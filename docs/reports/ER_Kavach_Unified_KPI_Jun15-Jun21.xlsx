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18530" windowHeight="6950" tabRatio="600" firstSheet="0" activeTab="0" autoFilterDateGrouping="1"/>
  </bookViews>
  <sheets>
    <sheet xmlns:r="http://schemas.openxmlformats.org/officeDocument/2006/relationships" name="Unified KPI" sheetId="1" state="visible" r:id="rId1"/>
    <sheet xmlns:r="http://schemas.openxmlformats.org/officeDocument/2006/relationships" name="Daily Breakdown" sheetId="2" state="visible" r:id="rId2"/>
    <sheet xmlns:r="http://schemas.openxmlformats.org/officeDocument/2006/relationships" name="EB Detail" sheetId="3" state="visible" r:id="rId3"/>
    <sheet xmlns:r="http://schemas.openxmlformats.org/officeDocument/2006/relationships" name="KM Verification" sheetId="4" state="visible" r:id="rId4"/>
    <sheet xmlns:r="http://schemas.openxmlformats.org/officeDocument/2006/relationships" name="Methodology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000"/>
    <numFmt numFmtId="166" formatCode="0.00000"/>
    <numFmt numFmtId="167" formatCode="0.000"/>
    <numFmt numFmtId="168" formatCode="_ * #,##0.00_ ;_ * \-#,##0.00_ ;_ * &quot;-&quot;??_ ;_ @_ "/>
    <numFmt numFmtId="169" formatCode="_ * #,##0_ ;_ * \-#,##0_ ;_ * &quot;-&quot;_ ;_ @_ "/>
    <numFmt numFmtId="170" formatCode="_ &quot;₹&quot;* #,##0_ ;_ &quot;₹&quot;* \-#,##0_ ;_ &quot;₹&quot;* &quot;-&quot;_ ;_ @_ "/>
    <numFmt numFmtId="171" formatCode="_ &quot;₹&quot;* #,##0.00_ ;_ &quot;₹&quot;* \-#,##0.00_ ;_ &quot;₹&quot;* &quot;-&quot;??_ ;_ @_ "/>
  </numFmts>
  <fonts count="35">
    <font>
      <name val="Calibri"/>
      <charset val="134"/>
      <color theme="1"/>
      <sz val="11"/>
      <scheme val="minor"/>
    </font>
    <font>
      <name val="Arial"/>
      <charset val="134"/>
      <b val="1"/>
      <color rgb="FF1F3864"/>
      <sz val="16"/>
    </font>
    <font>
      <name val="Arial"/>
      <charset val="134"/>
      <b val="1"/>
      <color rgb="FF2E5496"/>
      <sz val="11"/>
    </font>
    <font>
      <name val="Arial"/>
      <charset val="134"/>
      <sz val="10"/>
    </font>
    <font>
      <name val="Arial"/>
      <charset val="134"/>
      <b val="1"/>
      <color rgb="FF1F3864"/>
      <sz val="13"/>
    </font>
    <font>
      <name val="Arial"/>
      <charset val="134"/>
      <i val="1"/>
      <color rgb="FF808080"/>
      <sz val="9"/>
    </font>
    <font>
      <name val="Arial"/>
      <charset val="134"/>
      <b val="1"/>
      <color rgb="FFFFFFFF"/>
      <sz val="9"/>
    </font>
    <font>
      <name val="Arial"/>
      <charset val="134"/>
      <b val="1"/>
      <color rgb="FF1F3864"/>
      <sz val="10"/>
    </font>
    <font>
      <name val="Arial"/>
      <charset val="134"/>
      <b val="1"/>
      <sz val="10"/>
    </font>
    <font>
      <name val="Arial"/>
      <charset val="134"/>
      <b val="1"/>
      <color rgb="FFFFFFFF"/>
      <sz val="10"/>
    </font>
    <font>
      <name val="Arial"/>
      <charset val="134"/>
      <b val="1"/>
      <color rgb="FF1F3864"/>
      <sz val="18"/>
    </font>
    <font>
      <name val="Arial"/>
      <charset val="134"/>
      <i val="1"/>
      <color rgb="FF808080"/>
      <sz val="10"/>
    </font>
    <font>
      <name val="Arial"/>
      <charset val="134"/>
      <b val="1"/>
      <sz val="11"/>
    </font>
    <font>
      <name val="Arial"/>
      <charset val="134"/>
      <b val="1"/>
      <color rgb="FF1F3864"/>
      <sz val="11"/>
    </font>
    <font>
      <name val="Arial"/>
      <charset val="134"/>
      <b val="1"/>
      <color rgb="FF1F3864"/>
      <sz val="12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3F3F7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A7D00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2E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E0F0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EF3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18" fillId="0" borderId="0"/>
    <xf numFmtId="0" fontId="17" fillId="11" borderId="0" applyAlignment="1">
      <alignment vertical="center"/>
    </xf>
    <xf numFmtId="168" fontId="18" fillId="0" borderId="0" applyAlignment="1">
      <alignment vertical="center"/>
    </xf>
    <xf numFmtId="169" fontId="18" fillId="0" borderId="0" applyAlignment="1">
      <alignment vertical="center"/>
    </xf>
    <xf numFmtId="170" fontId="18" fillId="0" borderId="0" applyAlignment="1">
      <alignment vertical="center"/>
    </xf>
    <xf numFmtId="171" fontId="18" fillId="0" borderId="0" applyAlignment="1">
      <alignment vertical="center"/>
    </xf>
    <xf numFmtId="9" fontId="18" fillId="0" borderId="0" applyAlignment="1">
      <alignment vertical="center"/>
    </xf>
    <xf numFmtId="0" fontId="21" fillId="0" borderId="0" applyAlignment="1">
      <alignment vertical="center"/>
    </xf>
    <xf numFmtId="0" fontId="15" fillId="13" borderId="0" applyAlignment="1">
      <alignment vertical="center"/>
    </xf>
    <xf numFmtId="0" fontId="22" fillId="0" borderId="0" applyAlignment="1">
      <alignment vertical="center"/>
    </xf>
    <xf numFmtId="0" fontId="24" fillId="17" borderId="3" applyAlignment="1">
      <alignment vertical="center"/>
    </xf>
    <xf numFmtId="0" fontId="25" fillId="0" borderId="4" applyAlignment="1">
      <alignment vertical="center"/>
    </xf>
    <xf numFmtId="0" fontId="18" fillId="22" borderId="5" applyAlignment="1">
      <alignment vertical="center"/>
    </xf>
    <xf numFmtId="0" fontId="17" fillId="25" borderId="0" applyAlignment="1">
      <alignment vertical="center"/>
    </xf>
    <xf numFmtId="0" fontId="27" fillId="0" borderId="0" applyAlignment="1">
      <alignment vertical="center"/>
    </xf>
    <xf numFmtId="0" fontId="17" fillId="29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4" applyAlignment="1">
      <alignment vertical="center"/>
    </xf>
    <xf numFmtId="0" fontId="19" fillId="0" borderId="7" applyAlignment="1">
      <alignment vertical="center"/>
    </xf>
    <xf numFmtId="0" fontId="19" fillId="0" borderId="0" applyAlignment="1">
      <alignment vertical="center"/>
    </xf>
    <xf numFmtId="0" fontId="31" fillId="32" borderId="2" applyAlignment="1">
      <alignment vertical="center"/>
    </xf>
    <xf numFmtId="0" fontId="15" fillId="31" borderId="0" applyAlignment="1">
      <alignment vertical="center"/>
    </xf>
    <xf numFmtId="0" fontId="32" fillId="33" borderId="0" applyAlignment="1">
      <alignment vertical="center"/>
    </xf>
    <xf numFmtId="0" fontId="33" fillId="12" borderId="8" applyAlignment="1">
      <alignment vertical="center"/>
    </xf>
    <xf numFmtId="0" fontId="17" fillId="35" borderId="0" applyAlignment="1">
      <alignment vertical="center"/>
    </xf>
    <xf numFmtId="0" fontId="20" fillId="12" borderId="2" applyAlignment="1">
      <alignment vertical="center"/>
    </xf>
    <xf numFmtId="0" fontId="34" fillId="0" borderId="9" applyAlignment="1">
      <alignment vertical="center"/>
    </xf>
    <xf numFmtId="0" fontId="26" fillId="0" borderId="6" applyAlignment="1">
      <alignment vertical="center"/>
    </xf>
    <xf numFmtId="0" fontId="23" fillId="16" borderId="0" applyAlignment="1">
      <alignment vertical="center"/>
    </xf>
    <xf numFmtId="0" fontId="16" fillId="10" borderId="0" applyAlignment="1">
      <alignment vertical="center"/>
    </xf>
    <xf numFmtId="0" fontId="15" fillId="9" borderId="0" applyAlignment="1">
      <alignment vertical="center"/>
    </xf>
    <xf numFmtId="0" fontId="17" fillId="24" borderId="0" applyAlignment="1">
      <alignment vertical="center"/>
    </xf>
    <xf numFmtId="0" fontId="15" fillId="34" borderId="0" applyAlignment="1">
      <alignment vertical="center"/>
    </xf>
    <xf numFmtId="0" fontId="15" fillId="37" borderId="0" applyAlignment="1">
      <alignment vertical="center"/>
    </xf>
    <xf numFmtId="0" fontId="17" fillId="38" borderId="0" applyAlignment="1">
      <alignment vertical="center"/>
    </xf>
    <xf numFmtId="0" fontId="17" fillId="30" borderId="0" applyAlignment="1">
      <alignment vertical="center"/>
    </xf>
    <xf numFmtId="0" fontId="15" fillId="21" borderId="0" applyAlignment="1">
      <alignment vertical="center"/>
    </xf>
    <xf numFmtId="0" fontId="15" fillId="28" borderId="0" applyAlignment="1">
      <alignment vertical="center"/>
    </xf>
    <xf numFmtId="0" fontId="17" fillId="27" borderId="0" applyAlignment="1">
      <alignment vertical="center"/>
    </xf>
    <xf numFmtId="0" fontId="15" fillId="20" borderId="0" applyAlignment="1">
      <alignment vertical="center"/>
    </xf>
    <xf numFmtId="0" fontId="17" fillId="23" borderId="0" applyAlignment="1">
      <alignment vertical="center"/>
    </xf>
    <xf numFmtId="0" fontId="17" fillId="15" borderId="0" applyAlignment="1">
      <alignment vertical="center"/>
    </xf>
    <xf numFmtId="0" fontId="15" fillId="14" borderId="0" applyAlignment="1">
      <alignment vertical="center"/>
    </xf>
    <xf numFmtId="0" fontId="17" fillId="26" borderId="0" applyAlignment="1">
      <alignment vertical="center"/>
    </xf>
    <xf numFmtId="0" fontId="15" fillId="19" borderId="0" applyAlignment="1">
      <alignment vertical="center"/>
    </xf>
    <xf numFmtId="0" fontId="15" fillId="36" borderId="0" applyAlignment="1">
      <alignment vertical="center"/>
    </xf>
    <xf numFmtId="0" fontId="17" fillId="39" borderId="0" applyAlignment="1">
      <alignment vertical="center"/>
    </xf>
    <xf numFmtId="0" fontId="15" fillId="18" borderId="0" applyAlignment="1">
      <alignment vertical="center"/>
    </xf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4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2" fontId="9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3" fontId="13" fillId="7" borderId="1" applyAlignment="1" pivotButton="0" quotePrefix="0" xfId="0">
      <alignment horizontal="center" vertical="center" wrapText="1"/>
    </xf>
    <xf numFmtId="4" fontId="13" fillId="7" borderId="1" applyAlignment="1" pivotButton="0" quotePrefix="0" xfId="0">
      <alignment horizontal="center" vertical="center" wrapText="1"/>
    </xf>
    <xf numFmtId="2" fontId="13" fillId="7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166" fontId="13" fillId="7" borderId="1" applyAlignment="1" pivotButton="0" quotePrefix="0" xfId="0">
      <alignment horizontal="center" vertical="center" wrapText="1"/>
    </xf>
    <xf numFmtId="167" fontId="13" fillId="7" borderId="1" applyAlignment="1" pivotButton="0" quotePrefix="0" xfId="0">
      <alignment horizontal="center" vertical="center" wrapText="1"/>
    </xf>
    <xf numFmtId="2" fontId="14" fillId="8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166" fontId="13" fillId="7" borderId="1" applyAlignment="1" pivotButton="0" quotePrefix="0" xfId="0">
      <alignment horizontal="center" vertical="center" wrapText="1"/>
    </xf>
    <xf numFmtId="167" fontId="13" fillId="7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tabSelected="1" workbookViewId="0">
      <selection activeCell="A1" sqref="A1:H1"/>
    </sheetView>
  </sheetViews>
  <sheetFormatPr baseColWidth="8" defaultColWidth="9" defaultRowHeight="14.5" outlineLevelRow="4"/>
  <cols>
    <col width="13" customWidth="1" min="1" max="3"/>
    <col width="17" customWidth="1" min="4" max="9"/>
    <col width="19" customWidth="1" min="10" max="11"/>
    <col width="23" customWidth="1" min="12" max="12"/>
    <col width="29" customWidth="1" min="13" max="13"/>
    <col width="17" customWidth="1" min="14" max="14"/>
    <col width="19" customWidth="1" min="15" max="16"/>
    <col width="28" customWidth="1" min="17" max="17"/>
    <col width="23" customWidth="1" min="18" max="18"/>
    <col width="13" customWidth="1" min="19" max="19"/>
    <col width="28" customWidth="1" min="20" max="20"/>
  </cols>
  <sheetData>
    <row r="1" ht="23" customHeight="1">
      <c r="A1" s="34" t="inlineStr">
        <is>
          <t>ER — Kavach Unified KPI</t>
        </is>
      </c>
    </row>
    <row r="2">
      <c r="A2" s="35" t="inlineStr">
        <is>
          <t>Period: Jun15 - Jun21 (custom)  ·  all locomotives  ·  one combined row</t>
        </is>
      </c>
    </row>
    <row r="3"/>
    <row r="4" ht="34" customHeight="1">
      <c r="A4" s="36" t="inlineStr">
        <is>
          <t>Month</t>
        </is>
      </c>
      <c r="B4" s="36" t="inlineStr">
        <is>
          <t>Zone</t>
        </is>
      </c>
      <c r="C4" s="36" t="inlineStr">
        <is>
          <t>Section</t>
        </is>
      </c>
      <c r="D4" s="36" t="inlineStr">
        <is>
          <t>No Of Trips</t>
        </is>
      </c>
      <c r="E4" s="36" t="inlineStr">
        <is>
          <t>Total KMs Run On Kavach</t>
        </is>
      </c>
      <c r="F4" s="36" t="inlineStr">
        <is>
          <t>Availability (FS+OS)</t>
        </is>
      </c>
      <c r="G4" s="36" t="inlineStr">
        <is>
          <t>Total EB</t>
        </is>
      </c>
      <c r="H4" s="36" t="inlineStr">
        <is>
          <t>EB (Valid Trips)</t>
        </is>
      </c>
      <c r="I4" s="36" t="inlineStr">
        <is>
          <t>EB (Non-Valid Trips)</t>
        </is>
      </c>
      <c r="J4" s="36" t="inlineStr">
        <is>
          <t>EB per Trip</t>
        </is>
      </c>
      <c r="K4" s="36" t="inlineStr">
        <is>
          <t>EB per KM</t>
        </is>
      </c>
      <c r="L4" s="36" t="inlineStr">
        <is>
          <t>EB per 100 KM</t>
        </is>
      </c>
      <c r="M4" s="36" t="inlineStr">
        <is>
          <t>EB per Trip per 1000 KM</t>
        </is>
      </c>
      <c r="N4" s="36" t="inlineStr">
        <is>
          <t>Total Mode Degradation</t>
        </is>
      </c>
      <c r="O4" s="36" t="inlineStr">
        <is>
          <t>Mode Degradation per Trip</t>
        </is>
      </c>
      <c r="P4" s="36" t="inlineStr">
        <is>
          <t>Mode Degradation per KM</t>
        </is>
      </c>
      <c r="Q4" s="36" t="inlineStr">
        <is>
          <t>Mode Degradation per Trip per 100 KM</t>
        </is>
      </c>
      <c r="R4" s="36" t="inlineStr">
        <is>
          <t>Mode Degradation per 100 KM</t>
        </is>
      </c>
      <c r="S4" s="36" t="inlineStr">
        <is>
          <t>Undesirable EB</t>
        </is>
      </c>
      <c r="T4" s="36" t="inlineStr">
        <is>
          <t>UNIFIED KPI</t>
        </is>
      </c>
    </row>
    <row r="5" ht="69" customHeight="1">
      <c r="A5" s="37" t="inlineStr">
        <is>
          <t>Jun15 - Jun21 (custom)</t>
        </is>
      </c>
      <c r="B5" s="37" t="inlineStr">
        <is>
          <t>ER</t>
        </is>
      </c>
      <c r="C5" s="37" t="inlineStr">
        <is>
          <t>12000_HWH to 12062_CAM</t>
        </is>
      </c>
      <c r="D5" s="38">
        <f>'Daily Breakdown'!C270</f>
        <v/>
      </c>
      <c r="E5" s="39">
        <f>'Daily Breakdown'!D270</f>
        <v/>
      </c>
      <c r="F5" s="40">
        <f>'Daily Breakdown'!G270</f>
        <v/>
      </c>
      <c r="G5" s="38">
        <f>'Daily Breakdown'!H270</f>
        <v/>
      </c>
      <c r="H5" s="41">
        <f>'Daily Breakdown'!I270</f>
        <v/>
      </c>
      <c r="I5" s="41">
        <f>'Daily Breakdown'!J270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38">
        <f>'Daily Breakdown'!K270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41" t="n">
        <v>66</v>
      </c>
      <c r="T5" s="45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"/>
  <sheetViews>
    <sheetView showGridLines="0" workbookViewId="0">
      <pane ySplit="3" topLeftCell="A4" activePane="bottomLeft" state="frozen"/>
      <selection activeCell="A1" sqref="A1"/>
      <selection pane="bottomLeft" activeCell="D10" sqref="D10"/>
    </sheetView>
  </sheetViews>
  <sheetFormatPr baseColWidth="8" defaultColWidth="9" defaultRowHeight="14.5"/>
  <cols>
    <col width="13" customWidth="1" min="1" max="2"/>
    <col width="34" customWidth="1" min="3" max="6"/>
    <col width="29" customWidth="1" min="7" max="7"/>
    <col width="34" customWidth="1" min="8" max="11"/>
  </cols>
  <sheetData>
    <row r="1" ht="16.5" customHeight="1">
      <c r="A1" s="4" t="inlineStr">
        <is>
          <t>Daily Breakdown — by day and locomotive (all locos)</t>
        </is>
      </c>
    </row>
    <row r="3">
      <c r="A3" s="6" t="inlineStr">
        <is>
          <t>Date</t>
        </is>
      </c>
      <c r="B3" s="6" t="inlineStr">
        <is>
          <t>Loco ID</t>
        </is>
      </c>
      <c r="C3" s="6" t="inlineStr">
        <is>
          <t>No of Trips</t>
        </is>
      </c>
      <c r="D3" s="6" t="inlineStr">
        <is>
          <t>Total KMs</t>
        </is>
      </c>
      <c r="E3" s="6" t="inlineStr">
        <is>
          <t>FS+OS pkts</t>
        </is>
      </c>
      <c r="F3" s="6" t="inlineStr">
        <is>
          <t>Total pkts</t>
        </is>
      </c>
      <c r="G3" s="6" t="inlineStr">
        <is>
          <t>Availability (FS+OS)</t>
        </is>
      </c>
      <c r="H3" s="6" t="inlineStr">
        <is>
          <t>Total EB</t>
        </is>
      </c>
      <c r="I3" s="6" t="inlineStr">
        <is>
          <t>EB (Valid)</t>
        </is>
      </c>
      <c r="J3" s="6" t="inlineStr">
        <is>
          <t>EB (Non-Valid)</t>
        </is>
      </c>
      <c r="K3" s="6" t="inlineStr">
        <is>
          <t>Mode Degradation</t>
        </is>
      </c>
    </row>
    <row r="4">
      <c r="A4" s="21" t="inlineStr">
        <is>
          <t>15 Jun</t>
        </is>
      </c>
      <c r="B4" s="21" t="inlineStr">
        <is>
          <t>35001</t>
        </is>
      </c>
      <c r="C4" s="7" t="n">
        <v>2</v>
      </c>
      <c r="D4" s="49" t="n">
        <v>244.03</v>
      </c>
      <c r="E4" s="23" t="n">
        <v>24383</v>
      </c>
      <c r="F4" s="23" t="n">
        <v>24765</v>
      </c>
      <c r="G4" s="11">
        <f>IF(F4=0,0,E4/F4*100)</f>
        <v/>
      </c>
      <c r="H4" s="7" t="n">
        <v>0</v>
      </c>
      <c r="I4" s="7" t="n">
        <v>0</v>
      </c>
      <c r="J4" s="7" t="n">
        <v>0</v>
      </c>
      <c r="K4" s="7" t="n">
        <v>11</v>
      </c>
    </row>
    <row r="5">
      <c r="A5" s="21" t="inlineStr">
        <is>
          <t>15 Jun</t>
        </is>
      </c>
      <c r="B5" s="21" t="inlineStr">
        <is>
          <t>37034</t>
        </is>
      </c>
      <c r="C5" s="7" t="n">
        <v>1</v>
      </c>
      <c r="D5" s="49" t="n">
        <v>244.02</v>
      </c>
      <c r="E5" s="23" t="n">
        <v>12732</v>
      </c>
      <c r="F5" s="23" t="n">
        <v>12860</v>
      </c>
      <c r="G5" s="11">
        <f>IF(F5=0,0,E5/F5*100)</f>
        <v/>
      </c>
      <c r="H5" s="7" t="n">
        <v>0</v>
      </c>
      <c r="I5" s="7" t="n">
        <v>0</v>
      </c>
      <c r="J5" s="7" t="n">
        <v>0</v>
      </c>
      <c r="K5" s="7" t="n">
        <v>5</v>
      </c>
    </row>
    <row r="6">
      <c r="A6" s="21" t="inlineStr">
        <is>
          <t>15 Jun</t>
        </is>
      </c>
      <c r="B6" s="21" t="inlineStr">
        <is>
          <t>37024</t>
        </is>
      </c>
      <c r="C6" s="7" t="n">
        <v>1</v>
      </c>
      <c r="D6" s="49" t="n">
        <v>244.02</v>
      </c>
      <c r="E6" s="23" t="n">
        <v>8825</v>
      </c>
      <c r="F6" s="23" t="n">
        <v>8974</v>
      </c>
      <c r="G6" s="11">
        <f>IF(F6=0,0,E6/F6*100)</f>
        <v/>
      </c>
      <c r="H6" s="7" t="n">
        <v>0</v>
      </c>
      <c r="I6" s="7" t="n">
        <v>0</v>
      </c>
      <c r="J6" s="7" t="n">
        <v>0</v>
      </c>
      <c r="K6" s="7" t="n">
        <v>3</v>
      </c>
    </row>
    <row r="7">
      <c r="A7" s="21" t="inlineStr">
        <is>
          <t>15 Jun</t>
        </is>
      </c>
      <c r="B7" s="21" t="inlineStr">
        <is>
          <t>39409</t>
        </is>
      </c>
      <c r="C7" s="7" t="n">
        <v>1</v>
      </c>
      <c r="D7" s="49" t="n">
        <v>243.69</v>
      </c>
      <c r="E7" s="23" t="n">
        <v>8071</v>
      </c>
      <c r="F7" s="23" t="n">
        <v>8299</v>
      </c>
      <c r="G7" s="11">
        <f>IF(F7=0,0,E7/F7*100)</f>
        <v/>
      </c>
      <c r="H7" s="7" t="n">
        <v>0</v>
      </c>
      <c r="I7" s="7" t="n">
        <v>0</v>
      </c>
      <c r="J7" s="7" t="n">
        <v>0</v>
      </c>
      <c r="K7" s="7" t="n">
        <v>3</v>
      </c>
    </row>
    <row r="8">
      <c r="A8" s="21" t="inlineStr">
        <is>
          <t>15 Jun</t>
        </is>
      </c>
      <c r="B8" s="21" t="inlineStr">
        <is>
          <t>37778</t>
        </is>
      </c>
      <c r="C8" s="7" t="n">
        <v>1</v>
      </c>
      <c r="D8" s="49" t="n">
        <v>243.99</v>
      </c>
      <c r="E8" s="23" t="n">
        <v>8045</v>
      </c>
      <c r="F8" s="23" t="n">
        <v>8224</v>
      </c>
      <c r="G8" s="11">
        <f>IF(F8=0,0,E8/F8*100)</f>
        <v/>
      </c>
      <c r="H8" s="7" t="n">
        <v>0</v>
      </c>
      <c r="I8" s="7" t="n">
        <v>0</v>
      </c>
      <c r="J8" s="7" t="n">
        <v>0</v>
      </c>
      <c r="K8" s="7" t="n">
        <v>13</v>
      </c>
    </row>
    <row r="9">
      <c r="A9" s="21" t="inlineStr">
        <is>
          <t>15 Jun</t>
        </is>
      </c>
      <c r="B9" s="21" t="inlineStr">
        <is>
          <t>37898</t>
        </is>
      </c>
      <c r="C9" s="7" t="n">
        <v>0</v>
      </c>
      <c r="D9" s="49" t="n">
        <v>208.81</v>
      </c>
      <c r="E9" s="23" t="n">
        <v>16703</v>
      </c>
      <c r="F9" s="23" t="n">
        <v>17072</v>
      </c>
      <c r="G9" s="11">
        <f>IF(F9=0,0,E9/F9*100)</f>
        <v/>
      </c>
      <c r="H9" s="7" t="n">
        <v>0</v>
      </c>
      <c r="I9" s="7" t="n">
        <v>0</v>
      </c>
      <c r="J9" s="7" t="n">
        <v>0</v>
      </c>
      <c r="K9" s="7" t="n">
        <v>6</v>
      </c>
    </row>
    <row r="10">
      <c r="A10" s="21" t="inlineStr">
        <is>
          <t>15 Jun</t>
        </is>
      </c>
      <c r="B10" s="21" t="inlineStr">
        <is>
          <t>30305</t>
        </is>
      </c>
      <c r="C10" s="7" t="n">
        <v>0</v>
      </c>
      <c r="D10" s="49" t="n">
        <v>231.66</v>
      </c>
      <c r="E10" s="23" t="n">
        <v>14808</v>
      </c>
      <c r="F10" s="23" t="n">
        <v>15025</v>
      </c>
      <c r="G10" s="11">
        <f>IF(F10=0,0,E10/F10*100)</f>
        <v/>
      </c>
      <c r="H10" s="7" t="n">
        <v>2</v>
      </c>
      <c r="I10" s="7" t="n">
        <v>0</v>
      </c>
      <c r="J10" s="7" t="n">
        <v>2</v>
      </c>
      <c r="K10" s="7" t="n">
        <v>9</v>
      </c>
    </row>
    <row r="11">
      <c r="A11" s="21" t="inlineStr">
        <is>
          <t>15 Jun</t>
        </is>
      </c>
      <c r="B11" s="21" t="inlineStr">
        <is>
          <t>37081</t>
        </is>
      </c>
      <c r="C11" s="7" t="n">
        <v>0</v>
      </c>
      <c r="D11" s="49" t="n">
        <v>199.77</v>
      </c>
      <c r="E11" s="23" t="n">
        <v>13731</v>
      </c>
      <c r="F11" s="23" t="n">
        <v>13849</v>
      </c>
      <c r="G11" s="11">
        <f>IF(F11=0,0,E11/F11*100)</f>
        <v/>
      </c>
      <c r="H11" s="7" t="n">
        <v>0</v>
      </c>
      <c r="I11" s="7" t="n">
        <v>0</v>
      </c>
      <c r="J11" s="7" t="n">
        <v>0</v>
      </c>
      <c r="K11" s="7" t="n">
        <v>4</v>
      </c>
    </row>
    <row r="12">
      <c r="A12" s="21" t="inlineStr">
        <is>
          <t>15 Jun</t>
        </is>
      </c>
      <c r="B12" s="21" t="inlineStr">
        <is>
          <t>37403</t>
        </is>
      </c>
      <c r="C12" s="7" t="n">
        <v>0</v>
      </c>
      <c r="D12" s="49" t="n">
        <v>199.73</v>
      </c>
      <c r="E12" s="23" t="n">
        <v>11744</v>
      </c>
      <c r="F12" s="23" t="n">
        <v>11943</v>
      </c>
      <c r="G12" s="11">
        <f>IF(F12=0,0,E12/F12*100)</f>
        <v/>
      </c>
      <c r="H12" s="7" t="n">
        <v>0</v>
      </c>
      <c r="I12" s="7" t="n">
        <v>0</v>
      </c>
      <c r="J12" s="7" t="n">
        <v>0</v>
      </c>
      <c r="K12" s="7" t="n">
        <v>3</v>
      </c>
    </row>
    <row r="13">
      <c r="A13" s="21" t="inlineStr">
        <is>
          <t>15 Jun</t>
        </is>
      </c>
      <c r="B13" s="21" t="inlineStr">
        <is>
          <t>30371</t>
        </is>
      </c>
      <c r="C13" s="7" t="n">
        <v>0</v>
      </c>
      <c r="D13" s="49" t="n">
        <v>232.26</v>
      </c>
      <c r="E13" s="23" t="n">
        <v>11268</v>
      </c>
      <c r="F13" s="23" t="n">
        <v>11471</v>
      </c>
      <c r="G13" s="11">
        <f>IF(F13=0,0,E13/F13*100)</f>
        <v/>
      </c>
      <c r="H13" s="7" t="n">
        <v>0</v>
      </c>
      <c r="I13" s="7" t="n">
        <v>0</v>
      </c>
      <c r="J13" s="7" t="n">
        <v>0</v>
      </c>
      <c r="K13" s="7" t="n">
        <v>5</v>
      </c>
    </row>
    <row r="14">
      <c r="A14" s="21" t="inlineStr">
        <is>
          <t>15 Jun</t>
        </is>
      </c>
      <c r="B14" s="21" t="inlineStr">
        <is>
          <t>37720</t>
        </is>
      </c>
      <c r="C14" s="7" t="n">
        <v>0</v>
      </c>
      <c r="D14" s="49" t="n">
        <v>232.2</v>
      </c>
      <c r="E14" s="23" t="n">
        <v>10867</v>
      </c>
      <c r="F14" s="23" t="n">
        <v>11217</v>
      </c>
      <c r="G14" s="11">
        <f>IF(F14=0,0,E14/F14*100)</f>
        <v/>
      </c>
      <c r="H14" s="7" t="n">
        <v>0</v>
      </c>
      <c r="I14" s="7" t="n">
        <v>0</v>
      </c>
      <c r="J14" s="7" t="n">
        <v>0</v>
      </c>
      <c r="K14" s="7" t="n">
        <v>13</v>
      </c>
    </row>
    <row r="15">
      <c r="A15" s="21" t="inlineStr">
        <is>
          <t>15 Jun</t>
        </is>
      </c>
      <c r="B15" s="21" t="inlineStr">
        <is>
          <t>30487</t>
        </is>
      </c>
      <c r="C15" s="7" t="n">
        <v>0</v>
      </c>
      <c r="D15" s="49" t="n">
        <v>232.25</v>
      </c>
      <c r="E15" s="23" t="n">
        <v>10516</v>
      </c>
      <c r="F15" s="23" t="n">
        <v>10671</v>
      </c>
      <c r="G15" s="11">
        <f>IF(F15=0,0,E15/F15*100)</f>
        <v/>
      </c>
      <c r="H15" s="7" t="n">
        <v>0</v>
      </c>
      <c r="I15" s="7" t="n">
        <v>0</v>
      </c>
      <c r="J15" s="7" t="n">
        <v>0</v>
      </c>
      <c r="K15" s="7" t="n">
        <v>6</v>
      </c>
    </row>
    <row r="16">
      <c r="A16" s="21" t="inlineStr">
        <is>
          <t>15 Jun</t>
        </is>
      </c>
      <c r="B16" s="21" t="inlineStr">
        <is>
          <t>30742</t>
        </is>
      </c>
      <c r="C16" s="7" t="n">
        <v>0</v>
      </c>
      <c r="D16" s="49" t="n">
        <v>232.25</v>
      </c>
      <c r="E16" s="23" t="n">
        <v>8635</v>
      </c>
      <c r="F16" s="23" t="n">
        <v>9231</v>
      </c>
      <c r="G16" s="11">
        <f>IF(F16=0,0,E16/F16*100)</f>
        <v/>
      </c>
      <c r="H16" s="7" t="n">
        <v>0</v>
      </c>
      <c r="I16" s="7" t="n">
        <v>0</v>
      </c>
      <c r="J16" s="7" t="n">
        <v>0</v>
      </c>
      <c r="K16" s="7" t="n">
        <v>35</v>
      </c>
    </row>
    <row r="17">
      <c r="A17" s="21" t="inlineStr">
        <is>
          <t>15 Jun</t>
        </is>
      </c>
      <c r="B17" s="21" t="inlineStr">
        <is>
          <t>37215</t>
        </is>
      </c>
      <c r="C17" s="7" t="n">
        <v>0</v>
      </c>
      <c r="D17" s="49" t="n">
        <v>198.94</v>
      </c>
      <c r="E17" s="23" t="n">
        <v>8886</v>
      </c>
      <c r="F17" s="23" t="n">
        <v>9166</v>
      </c>
      <c r="G17" s="11">
        <f>IF(F17=0,0,E17/F17*100)</f>
        <v/>
      </c>
      <c r="H17" s="7" t="n">
        <v>1</v>
      </c>
      <c r="I17" s="7" t="n">
        <v>0</v>
      </c>
      <c r="J17" s="7" t="n">
        <v>1</v>
      </c>
      <c r="K17" s="7" t="n">
        <v>15</v>
      </c>
    </row>
    <row r="18">
      <c r="A18" s="21" t="inlineStr">
        <is>
          <t>15 Jun</t>
        </is>
      </c>
      <c r="B18" s="21" t="inlineStr">
        <is>
          <t>39482</t>
        </is>
      </c>
      <c r="C18" s="7" t="n">
        <v>0</v>
      </c>
      <c r="D18" s="49" t="n">
        <v>94.27</v>
      </c>
      <c r="E18" s="23" t="n">
        <v>8951</v>
      </c>
      <c r="F18" s="23" t="n">
        <v>9166</v>
      </c>
      <c r="G18" s="11">
        <f>IF(F18=0,0,E18/F18*100)</f>
        <v/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21" t="inlineStr">
        <is>
          <t>15 Jun</t>
        </is>
      </c>
      <c r="B19" s="21" t="inlineStr">
        <is>
          <t>37585</t>
        </is>
      </c>
      <c r="C19" s="7" t="n">
        <v>0</v>
      </c>
      <c r="D19" s="49" t="n">
        <v>164.43</v>
      </c>
      <c r="E19" s="23" t="n">
        <v>8821</v>
      </c>
      <c r="F19" s="23" t="n">
        <v>9162</v>
      </c>
      <c r="G19" s="11">
        <f>IF(F19=0,0,E19/F19*100)</f>
        <v/>
      </c>
      <c r="H19" s="7" t="n">
        <v>0</v>
      </c>
      <c r="I19" s="7" t="n">
        <v>0</v>
      </c>
      <c r="J19" s="7" t="n">
        <v>0</v>
      </c>
      <c r="K19" s="7" t="n">
        <v>17</v>
      </c>
    </row>
    <row r="20">
      <c r="A20" s="21" t="inlineStr">
        <is>
          <t>15 Jun</t>
        </is>
      </c>
      <c r="B20" s="21" t="inlineStr">
        <is>
          <t>39135</t>
        </is>
      </c>
      <c r="C20" s="7" t="n">
        <v>0</v>
      </c>
      <c r="D20" s="49" t="n">
        <v>214.45</v>
      </c>
      <c r="E20" s="23" t="n">
        <v>8402</v>
      </c>
      <c r="F20" s="23" t="n">
        <v>8520</v>
      </c>
      <c r="G20" s="11">
        <f>IF(F20=0,0,E20/F20*100)</f>
        <v/>
      </c>
      <c r="H20" s="7" t="n">
        <v>0</v>
      </c>
      <c r="I20" s="7" t="n">
        <v>0</v>
      </c>
      <c r="J20" s="7" t="n">
        <v>0</v>
      </c>
      <c r="K20" s="7" t="n">
        <v>5</v>
      </c>
    </row>
    <row r="21">
      <c r="A21" s="21" t="inlineStr">
        <is>
          <t>15 Jun</t>
        </is>
      </c>
      <c r="B21" s="21" t="inlineStr">
        <is>
          <t>37954</t>
        </is>
      </c>
      <c r="C21" s="7" t="n">
        <v>0</v>
      </c>
      <c r="D21" s="49" t="n">
        <v>150.15</v>
      </c>
      <c r="E21" s="23" t="n">
        <v>8200</v>
      </c>
      <c r="F21" s="23" t="n">
        <v>8369</v>
      </c>
      <c r="G21" s="11">
        <f>IF(F21=0,0,E21/F21*100)</f>
        <v/>
      </c>
      <c r="H21" s="7" t="n">
        <v>0</v>
      </c>
      <c r="I21" s="7" t="n">
        <v>0</v>
      </c>
      <c r="J21" s="7" t="n">
        <v>0</v>
      </c>
      <c r="K21" s="7" t="n">
        <v>5</v>
      </c>
    </row>
    <row r="22">
      <c r="A22" s="21" t="inlineStr">
        <is>
          <t>15 Jun</t>
        </is>
      </c>
      <c r="B22" s="21" t="inlineStr">
        <is>
          <t>37452</t>
        </is>
      </c>
      <c r="C22" s="7" t="n">
        <v>0</v>
      </c>
      <c r="D22" s="49" t="n">
        <v>197.96</v>
      </c>
      <c r="E22" s="23" t="n">
        <v>7566</v>
      </c>
      <c r="F22" s="23" t="n">
        <v>7862</v>
      </c>
      <c r="G22" s="11">
        <f>IF(F22=0,0,E22/F22*100)</f>
        <v/>
      </c>
      <c r="H22" s="7" t="n">
        <v>1</v>
      </c>
      <c r="I22" s="7" t="n">
        <v>0</v>
      </c>
      <c r="J22" s="7" t="n">
        <v>1</v>
      </c>
      <c r="K22" s="7" t="n">
        <v>14</v>
      </c>
    </row>
    <row r="23">
      <c r="A23" s="21" t="inlineStr">
        <is>
          <t>15 Jun</t>
        </is>
      </c>
      <c r="B23" s="21" t="inlineStr">
        <is>
          <t>37268</t>
        </is>
      </c>
      <c r="C23" s="7" t="n">
        <v>0</v>
      </c>
      <c r="D23" s="49" t="n">
        <v>94.26000000000001</v>
      </c>
      <c r="E23" s="23" t="n">
        <v>7338</v>
      </c>
      <c r="F23" s="23" t="n">
        <v>7466</v>
      </c>
      <c r="G23" s="11">
        <f>IF(F23=0,0,E23/F23*100)</f>
        <v/>
      </c>
      <c r="H23" s="7" t="n">
        <v>0</v>
      </c>
      <c r="I23" s="7" t="n">
        <v>0</v>
      </c>
      <c r="J23" s="7" t="n">
        <v>0</v>
      </c>
      <c r="K23" s="7" t="n">
        <v>2</v>
      </c>
    </row>
    <row r="24">
      <c r="A24" s="21" t="inlineStr">
        <is>
          <t>15 Jun</t>
        </is>
      </c>
      <c r="B24" s="21" t="inlineStr">
        <is>
          <t>37456</t>
        </is>
      </c>
      <c r="C24" s="7" t="n">
        <v>0</v>
      </c>
      <c r="D24" s="49" t="n">
        <v>187.85</v>
      </c>
      <c r="E24" s="23" t="n">
        <v>7098</v>
      </c>
      <c r="F24" s="23" t="n">
        <v>7103</v>
      </c>
      <c r="G24" s="11">
        <f>IF(F24=0,0,E24/F24*100)</f>
        <v/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21" t="inlineStr">
        <is>
          <t>15 Jun</t>
        </is>
      </c>
      <c r="B25" s="21" t="inlineStr">
        <is>
          <t>30508</t>
        </is>
      </c>
      <c r="C25" s="7" t="n">
        <v>0</v>
      </c>
      <c r="D25" s="49" t="n">
        <v>199.4</v>
      </c>
      <c r="E25" s="23" t="n">
        <v>7004</v>
      </c>
      <c r="F25" s="23" t="n">
        <v>7054</v>
      </c>
      <c r="G25" s="11">
        <f>IF(F25=0,0,E25/F25*100)</f>
        <v/>
      </c>
      <c r="H25" s="7" t="n">
        <v>0</v>
      </c>
      <c r="I25" s="7" t="n">
        <v>0</v>
      </c>
      <c r="J25" s="7" t="n">
        <v>0</v>
      </c>
      <c r="K25" s="7" t="n">
        <v>4</v>
      </c>
    </row>
    <row r="26">
      <c r="A26" s="21" t="inlineStr">
        <is>
          <t>15 Jun</t>
        </is>
      </c>
      <c r="B26" s="21" t="inlineStr">
        <is>
          <t>37040</t>
        </is>
      </c>
      <c r="C26" s="7" t="n">
        <v>0</v>
      </c>
      <c r="D26" s="49" t="n">
        <v>199.4</v>
      </c>
      <c r="E26" s="23" t="n">
        <v>6435</v>
      </c>
      <c r="F26" s="23" t="n">
        <v>6486</v>
      </c>
      <c r="G26" s="11">
        <f>IF(F26=0,0,E26/F26*100)</f>
        <v/>
      </c>
      <c r="H26" s="7" t="n">
        <v>0</v>
      </c>
      <c r="I26" s="7" t="n">
        <v>0</v>
      </c>
      <c r="J26" s="7" t="n">
        <v>0</v>
      </c>
      <c r="K26" s="7" t="n">
        <v>0</v>
      </c>
    </row>
    <row r="27">
      <c r="A27" s="21" t="inlineStr">
        <is>
          <t>15 Jun</t>
        </is>
      </c>
      <c r="B27" s="21" t="inlineStr">
        <is>
          <t>37610</t>
        </is>
      </c>
      <c r="C27" s="7" t="n">
        <v>0</v>
      </c>
      <c r="D27" s="49" t="n">
        <v>137.69</v>
      </c>
      <c r="E27" s="23" t="n">
        <v>5034</v>
      </c>
      <c r="F27" s="23" t="n">
        <v>5057</v>
      </c>
      <c r="G27" s="11">
        <f>IF(F27=0,0,E27/F27*100)</f>
        <v/>
      </c>
      <c r="H27" s="7" t="n">
        <v>0</v>
      </c>
      <c r="I27" s="7" t="n">
        <v>0</v>
      </c>
      <c r="J27" s="7" t="n">
        <v>0</v>
      </c>
      <c r="K27" s="7" t="n">
        <v>2</v>
      </c>
    </row>
    <row r="28">
      <c r="A28" s="21" t="inlineStr">
        <is>
          <t>15 Jun</t>
        </is>
      </c>
      <c r="B28" s="21" t="inlineStr">
        <is>
          <t>37182</t>
        </is>
      </c>
      <c r="C28" s="7" t="n">
        <v>0</v>
      </c>
      <c r="D28" s="49" t="n">
        <v>94.39</v>
      </c>
      <c r="E28" s="23" t="n">
        <v>3714</v>
      </c>
      <c r="F28" s="23" t="n">
        <v>3993</v>
      </c>
      <c r="G28" s="11">
        <f>IF(F28=0,0,E28/F28*100)</f>
        <v/>
      </c>
      <c r="H28" s="7" t="n">
        <v>4</v>
      </c>
      <c r="I28" s="7" t="n">
        <v>0</v>
      </c>
      <c r="J28" s="7" t="n">
        <v>4</v>
      </c>
      <c r="K28" s="7" t="n">
        <v>13</v>
      </c>
    </row>
    <row r="29">
      <c r="A29" s="21" t="inlineStr">
        <is>
          <t>15 Jun</t>
        </is>
      </c>
      <c r="B29" s="21" t="inlineStr">
        <is>
          <t>30468</t>
        </is>
      </c>
      <c r="C29" s="7" t="n">
        <v>0</v>
      </c>
      <c r="D29" s="49" t="n">
        <v>175.77</v>
      </c>
      <c r="E29" s="23" t="n">
        <v>3699</v>
      </c>
      <c r="F29" s="23" t="n">
        <v>3832</v>
      </c>
      <c r="G29" s="11">
        <f>IF(F29=0,0,E29/F29*100)</f>
        <v/>
      </c>
      <c r="H29" s="7" t="n">
        <v>0</v>
      </c>
      <c r="I29" s="7" t="n">
        <v>0</v>
      </c>
      <c r="J29" s="7" t="n">
        <v>0</v>
      </c>
      <c r="K29" s="7" t="n">
        <v>9</v>
      </c>
    </row>
    <row r="30">
      <c r="A30" s="21" t="inlineStr">
        <is>
          <t>15 Jun</t>
        </is>
      </c>
      <c r="B30" s="21" t="inlineStr">
        <is>
          <t>37168</t>
        </is>
      </c>
      <c r="C30" s="7" t="n">
        <v>0</v>
      </c>
      <c r="D30" s="49" t="n">
        <v>93.77</v>
      </c>
      <c r="E30" s="23" t="n">
        <v>3629</v>
      </c>
      <c r="F30" s="23" t="n">
        <v>3796</v>
      </c>
      <c r="G30" s="11">
        <f>IF(F30=0,0,E30/F30*100)</f>
        <v/>
      </c>
      <c r="H30" s="7" t="n">
        <v>0</v>
      </c>
      <c r="I30" s="7" t="n">
        <v>0</v>
      </c>
      <c r="J30" s="7" t="n">
        <v>0</v>
      </c>
      <c r="K30" s="7" t="n">
        <v>8</v>
      </c>
    </row>
    <row r="31">
      <c r="A31" s="21" t="inlineStr">
        <is>
          <t>15 Jun</t>
        </is>
      </c>
      <c r="B31" s="21" t="inlineStr">
        <is>
          <t>37779</t>
        </is>
      </c>
      <c r="C31" s="7" t="n">
        <v>0</v>
      </c>
      <c r="D31" s="49" t="n">
        <v>78.26000000000001</v>
      </c>
      <c r="E31" s="23" t="n">
        <v>3593</v>
      </c>
      <c r="F31" s="23" t="n">
        <v>3698</v>
      </c>
      <c r="G31" s="11">
        <f>IF(F31=0,0,E31/F31*100)</f>
        <v/>
      </c>
      <c r="H31" s="7" t="n">
        <v>0</v>
      </c>
      <c r="I31" s="7" t="n">
        <v>0</v>
      </c>
      <c r="J31" s="7" t="n">
        <v>0</v>
      </c>
      <c r="K31" s="7" t="n">
        <v>3</v>
      </c>
    </row>
    <row r="32">
      <c r="A32" s="21" t="inlineStr">
        <is>
          <t>15 Jun</t>
        </is>
      </c>
      <c r="B32" s="21" t="inlineStr">
        <is>
          <t>30639</t>
        </is>
      </c>
      <c r="C32" s="7" t="n">
        <v>0</v>
      </c>
      <c r="D32" s="49" t="n">
        <v>94.2</v>
      </c>
      <c r="E32" s="23" t="n">
        <v>3546</v>
      </c>
      <c r="F32" s="23" t="n">
        <v>3632</v>
      </c>
      <c r="G32" s="11">
        <f>IF(F32=0,0,E32/F32*100)</f>
        <v/>
      </c>
      <c r="H32" s="7" t="n">
        <v>0</v>
      </c>
      <c r="I32" s="7" t="n">
        <v>0</v>
      </c>
      <c r="J32" s="7" t="n">
        <v>0</v>
      </c>
      <c r="K32" s="7" t="n">
        <v>1</v>
      </c>
    </row>
    <row r="33">
      <c r="A33" s="21" t="inlineStr">
        <is>
          <t>15 Jun</t>
        </is>
      </c>
      <c r="B33" s="21" t="inlineStr">
        <is>
          <t>30203</t>
        </is>
      </c>
      <c r="C33" s="7" t="n">
        <v>0</v>
      </c>
      <c r="D33" s="49" t="n">
        <v>81.42</v>
      </c>
      <c r="E33" s="23" t="n">
        <v>3516</v>
      </c>
      <c r="F33" s="23" t="n">
        <v>3630</v>
      </c>
      <c r="G33" s="11">
        <f>IF(F33=0,0,E33/F33*100)</f>
        <v/>
      </c>
      <c r="H33" s="7" t="n">
        <v>0</v>
      </c>
      <c r="I33" s="7" t="n">
        <v>0</v>
      </c>
      <c r="J33" s="7" t="n">
        <v>0</v>
      </c>
      <c r="K33" s="7" t="n">
        <v>3</v>
      </c>
    </row>
    <row r="34">
      <c r="A34" s="21" t="inlineStr">
        <is>
          <t>15 Jun</t>
        </is>
      </c>
      <c r="B34" s="21" t="inlineStr">
        <is>
          <t>37907</t>
        </is>
      </c>
      <c r="C34" s="7" t="n">
        <v>0</v>
      </c>
      <c r="D34" s="49" t="n">
        <v>93.89</v>
      </c>
      <c r="E34" s="23" t="n">
        <v>3526</v>
      </c>
      <c r="F34" s="23" t="n">
        <v>3583</v>
      </c>
      <c r="G34" s="11">
        <f>IF(F34=0,0,E34/F34*100)</f>
        <v/>
      </c>
      <c r="H34" s="7" t="n">
        <v>0</v>
      </c>
      <c r="I34" s="7" t="n">
        <v>0</v>
      </c>
      <c r="J34" s="7" t="n">
        <v>0</v>
      </c>
      <c r="K34" s="7" t="n">
        <v>0</v>
      </c>
    </row>
    <row r="35">
      <c r="A35" s="21" t="inlineStr">
        <is>
          <t>15 Jun</t>
        </is>
      </c>
      <c r="B35" s="21" t="inlineStr">
        <is>
          <t>37005</t>
        </is>
      </c>
      <c r="C35" s="7" t="n">
        <v>0</v>
      </c>
      <c r="D35" s="49" t="n">
        <v>92.67</v>
      </c>
      <c r="E35" s="23" t="n">
        <v>3190</v>
      </c>
      <c r="F35" s="23" t="n">
        <v>3422</v>
      </c>
      <c r="G35" s="11">
        <f>IF(F35=0,0,E35/F35*100)</f>
        <v/>
      </c>
      <c r="H35" s="7" t="n">
        <v>0</v>
      </c>
      <c r="I35" s="7" t="n">
        <v>0</v>
      </c>
      <c r="J35" s="7" t="n">
        <v>0</v>
      </c>
      <c r="K35" s="7" t="n">
        <v>13</v>
      </c>
    </row>
    <row r="36">
      <c r="A36" s="21" t="inlineStr">
        <is>
          <t>15 Jun</t>
        </is>
      </c>
      <c r="B36" s="21" t="inlineStr">
        <is>
          <t>30493</t>
        </is>
      </c>
      <c r="C36" s="7" t="n">
        <v>0</v>
      </c>
      <c r="D36" s="49" t="n">
        <v>82.48</v>
      </c>
      <c r="E36" s="23" t="n">
        <v>2336</v>
      </c>
      <c r="F36" s="23" t="n">
        <v>2449</v>
      </c>
      <c r="G36" s="11">
        <f>IF(F36=0,0,E36/F36*100)</f>
        <v/>
      </c>
      <c r="H36" s="7" t="n">
        <v>0</v>
      </c>
      <c r="I36" s="7" t="n">
        <v>0</v>
      </c>
      <c r="J36" s="7" t="n">
        <v>0</v>
      </c>
      <c r="K36" s="7" t="n">
        <v>5</v>
      </c>
    </row>
    <row r="37">
      <c r="A37" s="21" t="inlineStr">
        <is>
          <t>15 Jun</t>
        </is>
      </c>
      <c r="B37" s="21" t="inlineStr">
        <is>
          <t>30327</t>
        </is>
      </c>
      <c r="C37" s="7" t="n">
        <v>0</v>
      </c>
      <c r="D37" s="49" t="n">
        <v>59.38</v>
      </c>
      <c r="E37" s="23" t="n">
        <v>1682</v>
      </c>
      <c r="F37" s="23" t="n">
        <v>1685</v>
      </c>
      <c r="G37" s="11">
        <f>IF(F37=0,0,E37/F37*100)</f>
        <v/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21" t="inlineStr">
        <is>
          <t>15 Jun</t>
        </is>
      </c>
      <c r="B38" s="21" t="inlineStr">
        <is>
          <t>39481</t>
        </is>
      </c>
      <c r="C38" s="7" t="n">
        <v>0</v>
      </c>
      <c r="D38" s="49" t="n">
        <v>11.81</v>
      </c>
      <c r="E38" s="23" t="n">
        <v>1006</v>
      </c>
      <c r="F38" s="23" t="n">
        <v>1027</v>
      </c>
      <c r="G38" s="11">
        <f>IF(F38=0,0,E38/F38*100)</f>
        <v/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21" t="inlineStr">
        <is>
          <t>15 Jun</t>
        </is>
      </c>
      <c r="B39" s="21" t="inlineStr">
        <is>
          <t>45003</t>
        </is>
      </c>
      <c r="C39" s="7" t="n">
        <v>0</v>
      </c>
      <c r="D39" s="49" t="n">
        <v>0.52</v>
      </c>
      <c r="E39" s="23" t="n">
        <v>582</v>
      </c>
      <c r="F39" s="23" t="n">
        <v>652</v>
      </c>
      <c r="G39" s="11">
        <f>IF(F39=0,0,E39/F39*100)</f>
        <v/>
      </c>
      <c r="H39" s="7" t="n">
        <v>10</v>
      </c>
      <c r="I39" s="7" t="n">
        <v>0</v>
      </c>
      <c r="J39" s="7" t="n">
        <v>10</v>
      </c>
      <c r="K39" s="7" t="n">
        <v>2</v>
      </c>
    </row>
    <row r="40">
      <c r="A40" s="21" t="inlineStr">
        <is>
          <t>15 Jun</t>
        </is>
      </c>
      <c r="B40" s="21" t="inlineStr">
        <is>
          <t>555555</t>
        </is>
      </c>
      <c r="C40" s="7" t="n">
        <v>0</v>
      </c>
      <c r="D40" s="49" t="n">
        <v>10.44</v>
      </c>
      <c r="E40" s="23" t="n">
        <v>29</v>
      </c>
      <c r="F40" s="23" t="n">
        <v>42</v>
      </c>
      <c r="G40" s="11">
        <f>IF(F40=0,0,E40/F40*100)</f>
        <v/>
      </c>
      <c r="H40" s="7" t="n">
        <v>0</v>
      </c>
      <c r="I40" s="7" t="n">
        <v>0</v>
      </c>
      <c r="J40" s="7" t="n">
        <v>0</v>
      </c>
      <c r="K40" s="7" t="n">
        <v>1</v>
      </c>
    </row>
    <row r="41">
      <c r="A41" s="24" t="inlineStr">
        <is>
          <t>15 Jun</t>
        </is>
      </c>
      <c r="B41" s="24" t="inlineStr">
        <is>
          <t>Day Total</t>
        </is>
      </c>
      <c r="C41" s="25">
        <f>SUM(C4:C40)</f>
        <v/>
      </c>
      <c r="D41" s="50">
        <f>SUM(D4:D40)</f>
        <v/>
      </c>
      <c r="E41" s="27">
        <f>SUM(E4:E40)</f>
        <v/>
      </c>
      <c r="F41" s="27">
        <f>SUM(F4:F40)</f>
        <v/>
      </c>
      <c r="G41" s="28">
        <f>IF(F41=0,0,E41/F41*100)</f>
        <v/>
      </c>
      <c r="H41" s="25">
        <f>SUM(H4:H40)</f>
        <v/>
      </c>
      <c r="I41" s="25">
        <f>SUM(I4:I40)</f>
        <v/>
      </c>
      <c r="J41" s="25">
        <f>SUM(J4:J40)</f>
        <v/>
      </c>
      <c r="K41" s="25">
        <f>SUM(K4:K40)</f>
        <v/>
      </c>
    </row>
    <row r="42">
      <c r="A42" s="21" t="inlineStr">
        <is>
          <t>16 Jun</t>
        </is>
      </c>
      <c r="B42" s="21" t="inlineStr">
        <is>
          <t>35001</t>
        </is>
      </c>
      <c r="C42" s="7" t="n">
        <v>1</v>
      </c>
      <c r="D42" s="49" t="n">
        <v>244.03</v>
      </c>
      <c r="E42" s="23" t="n">
        <v>11907</v>
      </c>
      <c r="F42" s="23" t="n">
        <v>12120</v>
      </c>
      <c r="G42" s="11">
        <f>IF(F42=0,0,E42/F42*100)</f>
        <v/>
      </c>
      <c r="H42" s="7" t="n">
        <v>0</v>
      </c>
      <c r="I42" s="7" t="n">
        <v>0</v>
      </c>
      <c r="J42" s="7" t="n">
        <v>0</v>
      </c>
      <c r="K42" s="7" t="n">
        <v>5</v>
      </c>
    </row>
    <row r="43">
      <c r="A43" s="21" t="inlineStr">
        <is>
          <t>16 Jun</t>
        </is>
      </c>
      <c r="B43" s="21" t="inlineStr">
        <is>
          <t>35049</t>
        </is>
      </c>
      <c r="C43" s="7" t="n">
        <v>1</v>
      </c>
      <c r="D43" s="49" t="n">
        <v>243.74</v>
      </c>
      <c r="E43" s="23" t="n">
        <v>11180</v>
      </c>
      <c r="F43" s="23" t="n">
        <v>11678</v>
      </c>
      <c r="G43" s="11">
        <f>IF(F43=0,0,E43/F43*100)</f>
        <v/>
      </c>
      <c r="H43" s="7" t="n">
        <v>0</v>
      </c>
      <c r="I43" s="7" t="n">
        <v>0</v>
      </c>
      <c r="J43" s="7" t="n">
        <v>0</v>
      </c>
      <c r="K43" s="7" t="n">
        <v>7</v>
      </c>
    </row>
    <row r="44">
      <c r="A44" s="21" t="inlineStr">
        <is>
          <t>16 Jun</t>
        </is>
      </c>
      <c r="B44" s="21" t="inlineStr">
        <is>
          <t>37778</t>
        </is>
      </c>
      <c r="C44" s="7" t="n">
        <v>1</v>
      </c>
      <c r="D44" s="49" t="n">
        <v>243.91</v>
      </c>
      <c r="E44" s="23" t="n">
        <v>8546</v>
      </c>
      <c r="F44" s="23" t="n">
        <v>8658</v>
      </c>
      <c r="G44" s="11">
        <f>IF(F44=0,0,E44/F44*100)</f>
        <v/>
      </c>
      <c r="H44" s="7" t="n">
        <v>0</v>
      </c>
      <c r="I44" s="7" t="n">
        <v>0</v>
      </c>
      <c r="J44" s="7" t="n">
        <v>0</v>
      </c>
      <c r="K44" s="7" t="n">
        <v>3</v>
      </c>
    </row>
    <row r="45">
      <c r="A45" s="21" t="inlineStr">
        <is>
          <t>16 Jun</t>
        </is>
      </c>
      <c r="B45" s="21" t="inlineStr">
        <is>
          <t>39178</t>
        </is>
      </c>
      <c r="C45" s="7" t="n">
        <v>0</v>
      </c>
      <c r="D45" s="49" t="n">
        <v>199.74</v>
      </c>
      <c r="E45" s="23" t="n">
        <v>17303</v>
      </c>
      <c r="F45" s="23" t="n">
        <v>17629</v>
      </c>
      <c r="G45" s="11">
        <f>IF(F45=0,0,E45/F45*100)</f>
        <v/>
      </c>
      <c r="H45" s="7" t="n">
        <v>0</v>
      </c>
      <c r="I45" s="7" t="n">
        <v>0</v>
      </c>
      <c r="J45" s="7" t="n">
        <v>0</v>
      </c>
      <c r="K45" s="7" t="n">
        <v>3</v>
      </c>
    </row>
    <row r="46">
      <c r="A46" s="21" t="inlineStr">
        <is>
          <t>16 Jun</t>
        </is>
      </c>
      <c r="B46" s="21" t="inlineStr">
        <is>
          <t>30204</t>
        </is>
      </c>
      <c r="C46" s="7" t="n">
        <v>0</v>
      </c>
      <c r="D46" s="49" t="n">
        <v>231.64</v>
      </c>
      <c r="E46" s="23" t="n">
        <v>13621</v>
      </c>
      <c r="F46" s="23" t="n">
        <v>14946</v>
      </c>
      <c r="G46" s="11">
        <f>IF(F46=0,0,E46/F46*100)</f>
        <v/>
      </c>
      <c r="H46" s="7" t="n">
        <v>0</v>
      </c>
      <c r="I46" s="7" t="n">
        <v>0</v>
      </c>
      <c r="J46" s="7" t="n">
        <v>0</v>
      </c>
      <c r="K46" s="7" t="n">
        <v>8</v>
      </c>
    </row>
    <row r="47">
      <c r="A47" s="21" t="inlineStr">
        <is>
          <t>16 Jun</t>
        </is>
      </c>
      <c r="B47" s="21" t="inlineStr">
        <is>
          <t>37401</t>
        </is>
      </c>
      <c r="C47" s="7" t="n">
        <v>0</v>
      </c>
      <c r="D47" s="49" t="n">
        <v>94.28</v>
      </c>
      <c r="E47" s="23" t="n">
        <v>13390</v>
      </c>
      <c r="F47" s="23" t="n">
        <v>13646</v>
      </c>
      <c r="G47" s="11">
        <f>IF(F47=0,0,E47/F47*100)</f>
        <v/>
      </c>
      <c r="H47" s="7" t="n">
        <v>0</v>
      </c>
      <c r="I47" s="7" t="n">
        <v>0</v>
      </c>
      <c r="J47" s="7" t="n">
        <v>0</v>
      </c>
      <c r="K47" s="7" t="n">
        <v>2</v>
      </c>
    </row>
    <row r="48">
      <c r="A48" s="21" t="inlineStr">
        <is>
          <t>16 Jun</t>
        </is>
      </c>
      <c r="B48" s="21" t="inlineStr">
        <is>
          <t>37879</t>
        </is>
      </c>
      <c r="C48" s="7" t="n">
        <v>0</v>
      </c>
      <c r="D48" s="49" t="n">
        <v>199.05</v>
      </c>
      <c r="E48" s="23" t="n">
        <v>13244</v>
      </c>
      <c r="F48" s="23" t="n">
        <v>13361</v>
      </c>
      <c r="G48" s="11">
        <f>IF(F48=0,0,E48/F48*100)</f>
        <v/>
      </c>
      <c r="H48" s="7" t="n">
        <v>0</v>
      </c>
      <c r="I48" s="7" t="n">
        <v>0</v>
      </c>
      <c r="J48" s="7" t="n">
        <v>0</v>
      </c>
      <c r="K48" s="7" t="n">
        <v>4</v>
      </c>
    </row>
    <row r="49">
      <c r="A49" s="21" t="inlineStr">
        <is>
          <t>16 Jun</t>
        </is>
      </c>
      <c r="B49" s="21" t="inlineStr">
        <is>
          <t>30328</t>
        </is>
      </c>
      <c r="C49" s="7" t="n">
        <v>0</v>
      </c>
      <c r="D49" s="49" t="n">
        <v>231.66</v>
      </c>
      <c r="E49" s="23" t="n">
        <v>10870</v>
      </c>
      <c r="F49" s="23" t="n">
        <v>10968</v>
      </c>
      <c r="G49" s="11">
        <f>IF(F49=0,0,E49/F49*100)</f>
        <v/>
      </c>
      <c r="H49" s="7" t="n">
        <v>0</v>
      </c>
      <c r="I49" s="7" t="n">
        <v>0</v>
      </c>
      <c r="J49" s="7" t="n">
        <v>0</v>
      </c>
      <c r="K49" s="7" t="n">
        <v>2</v>
      </c>
    </row>
    <row r="50">
      <c r="A50" s="21" t="inlineStr">
        <is>
          <t>16 Jun</t>
        </is>
      </c>
      <c r="B50" s="21" t="inlineStr">
        <is>
          <t>30568</t>
        </is>
      </c>
      <c r="C50" s="7" t="n">
        <v>0</v>
      </c>
      <c r="D50" s="49" t="n">
        <v>165.27</v>
      </c>
      <c r="E50" s="23" t="n">
        <v>10291</v>
      </c>
      <c r="F50" s="23" t="n">
        <v>10820</v>
      </c>
      <c r="G50" s="11">
        <f>IF(F50=0,0,E50/F50*100)</f>
        <v/>
      </c>
      <c r="H50" s="7" t="n">
        <v>1</v>
      </c>
      <c r="I50" s="7" t="n">
        <v>0</v>
      </c>
      <c r="J50" s="7" t="n">
        <v>1</v>
      </c>
      <c r="K50" s="7" t="n">
        <v>9</v>
      </c>
    </row>
    <row r="51">
      <c r="A51" s="21" t="inlineStr">
        <is>
          <t>16 Jun</t>
        </is>
      </c>
      <c r="B51" s="21" t="inlineStr">
        <is>
          <t>30305</t>
        </is>
      </c>
      <c r="C51" s="7" t="n">
        <v>0</v>
      </c>
      <c r="D51" s="49" t="n">
        <v>232.23</v>
      </c>
      <c r="E51" s="23" t="n">
        <v>9423</v>
      </c>
      <c r="F51" s="23" t="n">
        <v>10441</v>
      </c>
      <c r="G51" s="11">
        <f>IF(F51=0,0,E51/F51*100)</f>
        <v/>
      </c>
      <c r="H51" s="7" t="n">
        <v>0</v>
      </c>
      <c r="I51" s="7" t="n">
        <v>0</v>
      </c>
      <c r="J51" s="7" t="n">
        <v>0</v>
      </c>
      <c r="K51" s="7" t="n">
        <v>12</v>
      </c>
    </row>
    <row r="52">
      <c r="A52" s="21" t="inlineStr">
        <is>
          <t>16 Jun</t>
        </is>
      </c>
      <c r="B52" s="21" t="inlineStr">
        <is>
          <t>37719</t>
        </is>
      </c>
      <c r="C52" s="7" t="n">
        <v>0</v>
      </c>
      <c r="D52" s="49" t="n">
        <v>199.74</v>
      </c>
      <c r="E52" s="23" t="n">
        <v>10237</v>
      </c>
      <c r="F52" s="23" t="n">
        <v>10391</v>
      </c>
      <c r="G52" s="11">
        <f>IF(F52=0,0,E52/F52*100)</f>
        <v/>
      </c>
      <c r="H52" s="7" t="n">
        <v>0</v>
      </c>
      <c r="I52" s="7" t="n">
        <v>0</v>
      </c>
      <c r="J52" s="7" t="n">
        <v>0</v>
      </c>
      <c r="K52" s="7" t="n">
        <v>0</v>
      </c>
    </row>
    <row r="53">
      <c r="A53" s="21" t="inlineStr">
        <is>
          <t>16 Jun</t>
        </is>
      </c>
      <c r="B53" s="21" t="inlineStr">
        <is>
          <t>39481</t>
        </is>
      </c>
      <c r="C53" s="7" t="n">
        <v>0</v>
      </c>
      <c r="D53" s="49" t="n">
        <v>231.99</v>
      </c>
      <c r="E53" s="23" t="n">
        <v>9722</v>
      </c>
      <c r="F53" s="23" t="n">
        <v>9908</v>
      </c>
      <c r="G53" s="11">
        <f>IF(F53=0,0,E53/F53*100)</f>
        <v/>
      </c>
      <c r="H53" s="7" t="n">
        <v>0</v>
      </c>
      <c r="I53" s="7" t="n">
        <v>0</v>
      </c>
      <c r="J53" s="7" t="n">
        <v>0</v>
      </c>
      <c r="K53" s="7" t="n">
        <v>5</v>
      </c>
    </row>
    <row r="54">
      <c r="A54" s="21" t="inlineStr">
        <is>
          <t>16 Jun</t>
        </is>
      </c>
      <c r="B54" s="21" t="inlineStr">
        <is>
          <t>37081</t>
        </is>
      </c>
      <c r="C54" s="7" t="n">
        <v>0</v>
      </c>
      <c r="D54" s="49" t="n">
        <v>199.19</v>
      </c>
      <c r="E54" s="23" t="n">
        <v>9457</v>
      </c>
      <c r="F54" s="23" t="n">
        <v>9475</v>
      </c>
      <c r="G54" s="11">
        <f>IF(F54=0,0,E54/F54*100)</f>
        <v/>
      </c>
      <c r="H54" s="7" t="n">
        <v>0</v>
      </c>
      <c r="I54" s="7" t="n">
        <v>0</v>
      </c>
      <c r="J54" s="7" t="n">
        <v>0</v>
      </c>
      <c r="K54" s="7" t="n">
        <v>0</v>
      </c>
    </row>
    <row r="55">
      <c r="A55" s="21" t="inlineStr">
        <is>
          <t>16 Jun</t>
        </is>
      </c>
      <c r="B55" s="21" t="inlineStr">
        <is>
          <t>30624</t>
        </is>
      </c>
      <c r="C55" s="7" t="n">
        <v>0</v>
      </c>
      <c r="D55" s="49" t="n">
        <v>216.58</v>
      </c>
      <c r="E55" s="23" t="n">
        <v>9208</v>
      </c>
      <c r="F55" s="23" t="n">
        <v>9474</v>
      </c>
      <c r="G55" s="11">
        <f>IF(F55=0,0,E55/F55*100)</f>
        <v/>
      </c>
      <c r="H55" s="7" t="n">
        <v>0</v>
      </c>
      <c r="I55" s="7" t="n">
        <v>0</v>
      </c>
      <c r="J55" s="7" t="n">
        <v>0</v>
      </c>
      <c r="K55" s="7" t="n">
        <v>3</v>
      </c>
    </row>
    <row r="56">
      <c r="A56" s="21" t="inlineStr">
        <is>
          <t>16 Jun</t>
        </is>
      </c>
      <c r="B56" s="21" t="inlineStr">
        <is>
          <t>39133</t>
        </is>
      </c>
      <c r="C56" s="7" t="n">
        <v>0</v>
      </c>
      <c r="D56" s="49" t="n">
        <v>199.19</v>
      </c>
      <c r="E56" s="23" t="n">
        <v>9374</v>
      </c>
      <c r="F56" s="23" t="n">
        <v>9397</v>
      </c>
      <c r="G56" s="11">
        <f>IF(F56=0,0,E56/F56*100)</f>
        <v/>
      </c>
      <c r="H56" s="7" t="n">
        <v>0</v>
      </c>
      <c r="I56" s="7" t="n">
        <v>0</v>
      </c>
      <c r="J56" s="7" t="n">
        <v>0</v>
      </c>
      <c r="K56" s="7" t="n">
        <v>0</v>
      </c>
    </row>
    <row r="57">
      <c r="A57" s="21" t="inlineStr">
        <is>
          <t>16 Jun</t>
        </is>
      </c>
      <c r="B57" s="21" t="inlineStr">
        <is>
          <t>37501</t>
        </is>
      </c>
      <c r="C57" s="7" t="n">
        <v>0</v>
      </c>
      <c r="D57" s="49" t="n">
        <v>199.4</v>
      </c>
      <c r="E57" s="23" t="n">
        <v>8771</v>
      </c>
      <c r="F57" s="23" t="n">
        <v>8852</v>
      </c>
      <c r="G57" s="11">
        <f>IF(F57=0,0,E57/F57*100)</f>
        <v/>
      </c>
      <c r="H57" s="7" t="n">
        <v>0</v>
      </c>
      <c r="I57" s="7" t="n">
        <v>0</v>
      </c>
      <c r="J57" s="7" t="n">
        <v>0</v>
      </c>
      <c r="K57" s="7" t="n">
        <v>1</v>
      </c>
    </row>
    <row r="58">
      <c r="A58" s="21" t="inlineStr">
        <is>
          <t>16 Jun</t>
        </is>
      </c>
      <c r="B58" s="21" t="inlineStr">
        <is>
          <t>37034</t>
        </is>
      </c>
      <c r="C58" s="7" t="n">
        <v>0</v>
      </c>
      <c r="D58" s="49" t="n">
        <v>215.48</v>
      </c>
      <c r="E58" s="23" t="n">
        <v>8089</v>
      </c>
      <c r="F58" s="23" t="n">
        <v>8218</v>
      </c>
      <c r="G58" s="11">
        <f>IF(F58=0,0,E58/F58*100)</f>
        <v/>
      </c>
      <c r="H58" s="7" t="n">
        <v>0</v>
      </c>
      <c r="I58" s="7" t="n">
        <v>0</v>
      </c>
      <c r="J58" s="7" t="n">
        <v>0</v>
      </c>
      <c r="K58" s="7" t="n">
        <v>2</v>
      </c>
    </row>
    <row r="59">
      <c r="A59" s="21" t="inlineStr">
        <is>
          <t>16 Jun</t>
        </is>
      </c>
      <c r="B59" s="21" t="inlineStr">
        <is>
          <t>37268</t>
        </is>
      </c>
      <c r="C59" s="7" t="n">
        <v>0</v>
      </c>
      <c r="D59" s="49" t="n">
        <v>94.28</v>
      </c>
      <c r="E59" s="23" t="n">
        <v>7895</v>
      </c>
      <c r="F59" s="23" t="n">
        <v>8013</v>
      </c>
      <c r="G59" s="11">
        <f>IF(F59=0,0,E59/F59*100)</f>
        <v/>
      </c>
      <c r="H59" s="7" t="n">
        <v>0</v>
      </c>
      <c r="I59" s="7" t="n">
        <v>0</v>
      </c>
      <c r="J59" s="7" t="n">
        <v>0</v>
      </c>
      <c r="K59" s="7" t="n">
        <v>0</v>
      </c>
    </row>
    <row r="60">
      <c r="A60" s="21" t="inlineStr">
        <is>
          <t>16 Jun</t>
        </is>
      </c>
      <c r="B60" s="21" t="inlineStr">
        <is>
          <t>39059</t>
        </is>
      </c>
      <c r="C60" s="7" t="n">
        <v>0</v>
      </c>
      <c r="D60" s="49" t="n">
        <v>198.45</v>
      </c>
      <c r="E60" s="23" t="n">
        <v>7901</v>
      </c>
      <c r="F60" s="23" t="n">
        <v>7932</v>
      </c>
      <c r="G60" s="11">
        <f>IF(F60=0,0,E60/F60*100)</f>
        <v/>
      </c>
      <c r="H60" s="7" t="n">
        <v>0</v>
      </c>
      <c r="I60" s="7" t="n">
        <v>0</v>
      </c>
      <c r="J60" s="7" t="n">
        <v>0</v>
      </c>
      <c r="K60" s="7" t="n">
        <v>1</v>
      </c>
    </row>
    <row r="61">
      <c r="A61" s="21" t="inlineStr">
        <is>
          <t>16 Jun</t>
        </is>
      </c>
      <c r="B61" s="21" t="inlineStr">
        <is>
          <t>37398</t>
        </is>
      </c>
      <c r="C61" s="7" t="n">
        <v>0</v>
      </c>
      <c r="D61" s="49" t="n">
        <v>187.94</v>
      </c>
      <c r="E61" s="23" t="n">
        <v>7321</v>
      </c>
      <c r="F61" s="23" t="n">
        <v>7354</v>
      </c>
      <c r="G61" s="11">
        <f>IF(F61=0,0,E61/F61*100)</f>
        <v/>
      </c>
      <c r="H61" s="7" t="n">
        <v>0</v>
      </c>
      <c r="I61" s="7" t="n">
        <v>0</v>
      </c>
      <c r="J61" s="7" t="n">
        <v>0</v>
      </c>
      <c r="K61" s="7" t="n">
        <v>1</v>
      </c>
    </row>
    <row r="62">
      <c r="A62" s="21" t="inlineStr">
        <is>
          <t>16 Jun</t>
        </is>
      </c>
      <c r="B62" s="21" t="inlineStr">
        <is>
          <t>30327</t>
        </is>
      </c>
      <c r="C62" s="7" t="n">
        <v>0</v>
      </c>
      <c r="D62" s="49" t="n">
        <v>172.9</v>
      </c>
      <c r="E62" s="23" t="n">
        <v>6906</v>
      </c>
      <c r="F62" s="23" t="n">
        <v>7230</v>
      </c>
      <c r="G62" s="11">
        <f>IF(F62=0,0,E62/F62*100)</f>
        <v/>
      </c>
      <c r="H62" s="7" t="n">
        <v>0</v>
      </c>
      <c r="I62" s="7" t="n">
        <v>0</v>
      </c>
      <c r="J62" s="7" t="n">
        <v>0</v>
      </c>
      <c r="K62" s="7" t="n">
        <v>5</v>
      </c>
    </row>
    <row r="63">
      <c r="A63" s="21" t="inlineStr">
        <is>
          <t>16 Jun</t>
        </is>
      </c>
      <c r="B63" s="21" t="inlineStr">
        <is>
          <t>39482</t>
        </is>
      </c>
      <c r="C63" s="7" t="n">
        <v>0</v>
      </c>
      <c r="D63" s="49" t="n">
        <v>199.4</v>
      </c>
      <c r="E63" s="23" t="n">
        <v>6829</v>
      </c>
      <c r="F63" s="23" t="n">
        <v>6898</v>
      </c>
      <c r="G63" s="11">
        <f>IF(F63=0,0,E63/F63*100)</f>
        <v/>
      </c>
      <c r="H63" s="7" t="n">
        <v>1</v>
      </c>
      <c r="I63" s="7" t="n">
        <v>0</v>
      </c>
      <c r="J63" s="7" t="n">
        <v>1</v>
      </c>
      <c r="K63" s="7" t="n">
        <v>0</v>
      </c>
    </row>
    <row r="64">
      <c r="A64" s="21" t="inlineStr">
        <is>
          <t>16 Jun</t>
        </is>
      </c>
      <c r="B64" s="21" t="inlineStr">
        <is>
          <t>30503</t>
        </is>
      </c>
      <c r="C64" s="7" t="n">
        <v>0</v>
      </c>
      <c r="D64" s="49" t="n">
        <v>194.67</v>
      </c>
      <c r="E64" s="23" t="n">
        <v>6849</v>
      </c>
      <c r="F64" s="23" t="n">
        <v>6888</v>
      </c>
      <c r="G64" s="11">
        <f>IF(F64=0,0,E64/F64*100)</f>
        <v/>
      </c>
      <c r="H64" s="7" t="n">
        <v>0</v>
      </c>
      <c r="I64" s="7" t="n">
        <v>0</v>
      </c>
      <c r="J64" s="7" t="n">
        <v>0</v>
      </c>
      <c r="K64" s="7" t="n">
        <v>1</v>
      </c>
    </row>
    <row r="65">
      <c r="A65" s="21" t="inlineStr">
        <is>
          <t>16 Jun</t>
        </is>
      </c>
      <c r="B65" s="21" t="inlineStr">
        <is>
          <t>30329</t>
        </is>
      </c>
      <c r="C65" s="7" t="n">
        <v>0</v>
      </c>
      <c r="D65" s="49" t="n">
        <v>82.64</v>
      </c>
      <c r="E65" s="23" t="n">
        <v>6762</v>
      </c>
      <c r="F65" s="23" t="n">
        <v>6870</v>
      </c>
      <c r="G65" s="11">
        <f>IF(F65=0,0,E65/F65*100)</f>
        <v/>
      </c>
      <c r="H65" s="7" t="n">
        <v>0</v>
      </c>
      <c r="I65" s="7" t="n">
        <v>0</v>
      </c>
      <c r="J65" s="7" t="n">
        <v>0</v>
      </c>
      <c r="K65" s="7" t="n">
        <v>3</v>
      </c>
    </row>
    <row r="66">
      <c r="A66" s="21" t="inlineStr">
        <is>
          <t>16 Jun</t>
        </is>
      </c>
      <c r="B66" s="21" t="inlineStr">
        <is>
          <t>37609</t>
        </is>
      </c>
      <c r="C66" s="7" t="n">
        <v>0</v>
      </c>
      <c r="D66" s="49" t="n">
        <v>82.51000000000001</v>
      </c>
      <c r="E66" s="23" t="n">
        <v>6076</v>
      </c>
      <c r="F66" s="23" t="n">
        <v>6184</v>
      </c>
      <c r="G66" s="11">
        <f>IF(F66=0,0,E66/F66*100)</f>
        <v/>
      </c>
      <c r="H66" s="7" t="n">
        <v>0</v>
      </c>
      <c r="I66" s="7" t="n">
        <v>0</v>
      </c>
      <c r="J66" s="7" t="n">
        <v>0</v>
      </c>
      <c r="K66" s="7" t="n">
        <v>2</v>
      </c>
    </row>
    <row r="67">
      <c r="A67" s="21" t="inlineStr">
        <is>
          <t>16 Jun</t>
        </is>
      </c>
      <c r="B67" s="21" t="inlineStr">
        <is>
          <t>37860</t>
        </is>
      </c>
      <c r="C67" s="7" t="n">
        <v>0</v>
      </c>
      <c r="D67" s="49" t="n">
        <v>93.77</v>
      </c>
      <c r="E67" s="23" t="n">
        <v>5609</v>
      </c>
      <c r="F67" s="23" t="n">
        <v>5719</v>
      </c>
      <c r="G67" s="11">
        <f>IF(F67=0,0,E67/F67*100)</f>
        <v/>
      </c>
      <c r="H67" s="7" t="n">
        <v>0</v>
      </c>
      <c r="I67" s="7" t="n">
        <v>0</v>
      </c>
      <c r="J67" s="7" t="n">
        <v>0</v>
      </c>
      <c r="K67" s="7" t="n">
        <v>2</v>
      </c>
    </row>
    <row r="68">
      <c r="A68" s="21" t="inlineStr">
        <is>
          <t>16 Jun</t>
        </is>
      </c>
      <c r="B68" s="21" t="inlineStr">
        <is>
          <t>30639</t>
        </is>
      </c>
      <c r="C68" s="7" t="n">
        <v>0</v>
      </c>
      <c r="D68" s="49" t="n">
        <v>93.77</v>
      </c>
      <c r="E68" s="23" t="n">
        <v>5211</v>
      </c>
      <c r="F68" s="23" t="n">
        <v>5299</v>
      </c>
      <c r="G68" s="11">
        <f>IF(F68=0,0,E68/F68*100)</f>
        <v/>
      </c>
      <c r="H68" s="7" t="n">
        <v>0</v>
      </c>
      <c r="I68" s="7" t="n">
        <v>0</v>
      </c>
      <c r="J68" s="7" t="n">
        <v>0</v>
      </c>
      <c r="K68" s="7" t="n">
        <v>0</v>
      </c>
    </row>
    <row r="69">
      <c r="A69" s="21" t="inlineStr">
        <is>
          <t>16 Jun</t>
        </is>
      </c>
      <c r="B69" s="21" t="inlineStr">
        <is>
          <t>39113</t>
        </is>
      </c>
      <c r="C69" s="7" t="n">
        <v>0</v>
      </c>
      <c r="D69" s="49" t="n">
        <v>94</v>
      </c>
      <c r="E69" s="23" t="n">
        <v>3636</v>
      </c>
      <c r="F69" s="23" t="n">
        <v>3680</v>
      </c>
      <c r="G69" s="11">
        <f>IF(F69=0,0,E69/F69*100)</f>
        <v/>
      </c>
      <c r="H69" s="7" t="n">
        <v>0</v>
      </c>
      <c r="I69" s="7" t="n">
        <v>0</v>
      </c>
      <c r="J69" s="7" t="n">
        <v>0</v>
      </c>
      <c r="K69" s="7" t="n">
        <v>0</v>
      </c>
    </row>
    <row r="70">
      <c r="A70" s="21" t="inlineStr">
        <is>
          <t>16 Jun</t>
        </is>
      </c>
      <c r="B70" s="21" t="inlineStr">
        <is>
          <t>39410</t>
        </is>
      </c>
      <c r="C70" s="7" t="n">
        <v>0</v>
      </c>
      <c r="D70" s="49" t="n">
        <v>93.89</v>
      </c>
      <c r="E70" s="23" t="n">
        <v>3613</v>
      </c>
      <c r="F70" s="23" t="n">
        <v>3671</v>
      </c>
      <c r="G70" s="11">
        <f>IF(F70=0,0,E70/F70*100)</f>
        <v/>
      </c>
      <c r="H70" s="7" t="n">
        <v>0</v>
      </c>
      <c r="I70" s="7" t="n">
        <v>0</v>
      </c>
      <c r="J70" s="7" t="n">
        <v>0</v>
      </c>
      <c r="K70" s="7" t="n">
        <v>0</v>
      </c>
    </row>
    <row r="71">
      <c r="A71" s="21" t="inlineStr">
        <is>
          <t>16 Jun</t>
        </is>
      </c>
      <c r="B71" s="21" t="inlineStr">
        <is>
          <t>37585</t>
        </is>
      </c>
      <c r="C71" s="7" t="n">
        <v>0</v>
      </c>
      <c r="D71" s="49" t="n">
        <v>79.28</v>
      </c>
      <c r="E71" s="23" t="n">
        <v>3449</v>
      </c>
      <c r="F71" s="23" t="n">
        <v>3589</v>
      </c>
      <c r="G71" s="11">
        <f>IF(F71=0,0,E71/F71*100)</f>
        <v/>
      </c>
      <c r="H71" s="7" t="n">
        <v>0</v>
      </c>
      <c r="I71" s="7" t="n">
        <v>0</v>
      </c>
      <c r="J71" s="7" t="n">
        <v>0</v>
      </c>
      <c r="K71" s="7" t="n">
        <v>7</v>
      </c>
    </row>
    <row r="72">
      <c r="A72" s="21" t="inlineStr">
        <is>
          <t>16 Jun</t>
        </is>
      </c>
      <c r="B72" s="21" t="inlineStr">
        <is>
          <t>37358</t>
        </is>
      </c>
      <c r="C72" s="7" t="n">
        <v>0</v>
      </c>
      <c r="D72" s="49" t="n">
        <v>94.17</v>
      </c>
      <c r="E72" s="23" t="n">
        <v>3272</v>
      </c>
      <c r="F72" s="23" t="n">
        <v>3378</v>
      </c>
      <c r="G72" s="11">
        <f>IF(F72=0,0,E72/F72*100)</f>
        <v/>
      </c>
      <c r="H72" s="7" t="n">
        <v>0</v>
      </c>
      <c r="I72" s="7" t="n">
        <v>0</v>
      </c>
      <c r="J72" s="7" t="n">
        <v>0</v>
      </c>
      <c r="K72" s="7" t="n">
        <v>1</v>
      </c>
    </row>
    <row r="73">
      <c r="A73" s="21" t="inlineStr">
        <is>
          <t>16 Jun</t>
        </is>
      </c>
      <c r="B73" s="21" t="inlineStr">
        <is>
          <t>30203</t>
        </is>
      </c>
      <c r="C73" s="7" t="n">
        <v>0</v>
      </c>
      <c r="D73" s="49" t="n">
        <v>82.61</v>
      </c>
      <c r="E73" s="23" t="n">
        <v>3231</v>
      </c>
      <c r="F73" s="23" t="n">
        <v>3238</v>
      </c>
      <c r="G73" s="11">
        <f>IF(F73=0,0,E73/F73*100)</f>
        <v/>
      </c>
      <c r="H73" s="7" t="n">
        <v>0</v>
      </c>
      <c r="I73" s="7" t="n">
        <v>0</v>
      </c>
      <c r="J73" s="7" t="n">
        <v>0</v>
      </c>
      <c r="K73" s="7" t="n">
        <v>0</v>
      </c>
    </row>
    <row r="74">
      <c r="A74" s="21" t="inlineStr">
        <is>
          <t>16 Jun</t>
        </is>
      </c>
      <c r="B74" s="21" t="inlineStr">
        <is>
          <t>30322</t>
        </is>
      </c>
      <c r="C74" s="7" t="n">
        <v>0</v>
      </c>
      <c r="D74" s="49" t="n">
        <v>82.53</v>
      </c>
      <c r="E74" s="23" t="n">
        <v>3073</v>
      </c>
      <c r="F74" s="23" t="n">
        <v>3081</v>
      </c>
      <c r="G74" s="11">
        <f>IF(F74=0,0,E74/F74*100)</f>
        <v/>
      </c>
      <c r="H74" s="7" t="n">
        <v>0</v>
      </c>
      <c r="I74" s="7" t="n">
        <v>0</v>
      </c>
      <c r="J74" s="7" t="n">
        <v>0</v>
      </c>
      <c r="K74" s="7" t="n">
        <v>0</v>
      </c>
    </row>
    <row r="75">
      <c r="A75" s="21" t="inlineStr">
        <is>
          <t>16 Jun</t>
        </is>
      </c>
      <c r="B75" s="21" t="inlineStr">
        <is>
          <t>30455</t>
        </is>
      </c>
      <c r="C75" s="7" t="n">
        <v>0</v>
      </c>
      <c r="D75" s="49" t="n">
        <v>82.64</v>
      </c>
      <c r="E75" s="23" t="n">
        <v>2739</v>
      </c>
      <c r="F75" s="23" t="n">
        <v>2745</v>
      </c>
      <c r="G75" s="11">
        <f>IF(F75=0,0,E75/F75*100)</f>
        <v/>
      </c>
      <c r="H75" s="7" t="n">
        <v>0</v>
      </c>
      <c r="I75" s="7" t="n">
        <v>0</v>
      </c>
      <c r="J75" s="7" t="n">
        <v>0</v>
      </c>
      <c r="K75" s="7" t="n">
        <v>0</v>
      </c>
    </row>
    <row r="76">
      <c r="A76" s="21" t="inlineStr">
        <is>
          <t>16 Jun</t>
        </is>
      </c>
      <c r="B76" s="21" t="inlineStr">
        <is>
          <t>37657</t>
        </is>
      </c>
      <c r="C76" s="7" t="n">
        <v>0</v>
      </c>
      <c r="D76" s="49" t="n">
        <v>0.52</v>
      </c>
      <c r="E76" s="23" t="n">
        <v>378</v>
      </c>
      <c r="F76" s="23" t="n">
        <v>449</v>
      </c>
      <c r="G76" s="11">
        <f>IF(F76=0,0,E76/F76*100)</f>
        <v/>
      </c>
      <c r="H76" s="7" t="n">
        <v>2</v>
      </c>
      <c r="I76" s="7" t="n">
        <v>0</v>
      </c>
      <c r="J76" s="7" t="n">
        <v>2</v>
      </c>
      <c r="K76" s="7" t="n">
        <v>4</v>
      </c>
    </row>
    <row r="77">
      <c r="A77" s="21" t="inlineStr">
        <is>
          <t>16 Jun</t>
        </is>
      </c>
      <c r="B77" s="21" t="inlineStr">
        <is>
          <t>37025</t>
        </is>
      </c>
      <c r="C77" s="7" t="n">
        <v>0</v>
      </c>
      <c r="D77" s="49" t="n">
        <v>2.55</v>
      </c>
      <c r="E77" s="23" t="n">
        <v>125</v>
      </c>
      <c r="F77" s="23" t="n">
        <v>155</v>
      </c>
      <c r="G77" s="11">
        <f>IF(F77=0,0,E77/F77*100)</f>
        <v/>
      </c>
      <c r="H77" s="7" t="n">
        <v>0</v>
      </c>
      <c r="I77" s="7" t="n">
        <v>0</v>
      </c>
      <c r="J77" s="7" t="n">
        <v>0</v>
      </c>
      <c r="K77" s="7" t="n">
        <v>0</v>
      </c>
    </row>
    <row r="78">
      <c r="A78" s="21" t="inlineStr">
        <is>
          <t>16 Jun</t>
        </is>
      </c>
      <c r="B78" s="21" t="inlineStr">
        <is>
          <t>555555</t>
        </is>
      </c>
      <c r="C78" s="7" t="n">
        <v>0</v>
      </c>
      <c r="D78" s="49" t="n">
        <v>5</v>
      </c>
      <c r="E78" s="23" t="n">
        <v>36</v>
      </c>
      <c r="F78" s="23" t="n">
        <v>36</v>
      </c>
      <c r="G78" s="11">
        <f>IF(F78=0,0,E78/F78*100)</f>
        <v/>
      </c>
      <c r="H78" s="7" t="n">
        <v>0</v>
      </c>
      <c r="I78" s="7" t="n">
        <v>0</v>
      </c>
      <c r="J78" s="7" t="n">
        <v>0</v>
      </c>
      <c r="K78" s="7" t="n">
        <v>0</v>
      </c>
    </row>
    <row r="79">
      <c r="A79" s="24" t="inlineStr">
        <is>
          <t>16 Jun</t>
        </is>
      </c>
      <c r="B79" s="24" t="inlineStr">
        <is>
          <t>Day Total</t>
        </is>
      </c>
      <c r="C79" s="25">
        <f>SUM(C42:C78)</f>
        <v/>
      </c>
      <c r="D79" s="50">
        <f>SUM(D42:D78)</f>
        <v/>
      </c>
      <c r="E79" s="27">
        <f>SUM(E42:E78)</f>
        <v/>
      </c>
      <c r="F79" s="27">
        <f>SUM(F42:F78)</f>
        <v/>
      </c>
      <c r="G79" s="28">
        <f>IF(F79=0,0,E79/F79*100)</f>
        <v/>
      </c>
      <c r="H79" s="25">
        <f>SUM(H42:H78)</f>
        <v/>
      </c>
      <c r="I79" s="25">
        <f>SUM(I42:I78)</f>
        <v/>
      </c>
      <c r="J79" s="25">
        <f>SUM(J42:J78)</f>
        <v/>
      </c>
      <c r="K79" s="25">
        <f>SUM(K42:K78)</f>
        <v/>
      </c>
    </row>
    <row r="80">
      <c r="A80" s="21" t="inlineStr">
        <is>
          <t>17 Jun</t>
        </is>
      </c>
      <c r="B80" s="21" t="inlineStr">
        <is>
          <t>35049</t>
        </is>
      </c>
      <c r="C80" s="7" t="n">
        <v>1</v>
      </c>
      <c r="D80" s="49" t="n">
        <v>244.01</v>
      </c>
      <c r="E80" s="23" t="n">
        <v>12825</v>
      </c>
      <c r="F80" s="23" t="n">
        <v>13211</v>
      </c>
      <c r="G80" s="11">
        <f>IF(F80=0,0,E80/F80*100)</f>
        <v/>
      </c>
      <c r="H80" s="7" t="n">
        <v>0</v>
      </c>
      <c r="I80" s="7" t="n">
        <v>0</v>
      </c>
      <c r="J80" s="7" t="n">
        <v>0</v>
      </c>
      <c r="K80" s="7" t="n">
        <v>5</v>
      </c>
    </row>
    <row r="81">
      <c r="A81" s="21" t="inlineStr">
        <is>
          <t>17 Jun</t>
        </is>
      </c>
      <c r="B81" s="21" t="inlineStr">
        <is>
          <t>30692</t>
        </is>
      </c>
      <c r="C81" s="7" t="n">
        <v>1</v>
      </c>
      <c r="D81" s="49" t="n">
        <v>244.01</v>
      </c>
      <c r="E81" s="23" t="n">
        <v>11494</v>
      </c>
      <c r="F81" s="23" t="n">
        <v>11796</v>
      </c>
      <c r="G81" s="11">
        <f>IF(F81=0,0,E81/F81*100)</f>
        <v/>
      </c>
      <c r="H81" s="7" t="n">
        <v>0</v>
      </c>
      <c r="I81" s="7" t="n">
        <v>0</v>
      </c>
      <c r="J81" s="7" t="n">
        <v>0</v>
      </c>
      <c r="K81" s="7" t="n">
        <v>6</v>
      </c>
    </row>
    <row r="82">
      <c r="A82" s="21" t="inlineStr">
        <is>
          <t>17 Jun</t>
        </is>
      </c>
      <c r="B82" s="21" t="inlineStr">
        <is>
          <t>30200</t>
        </is>
      </c>
      <c r="C82" s="7" t="n">
        <v>1</v>
      </c>
      <c r="D82" s="49" t="n">
        <v>243.76</v>
      </c>
      <c r="E82" s="23" t="n">
        <v>11110</v>
      </c>
      <c r="F82" s="23" t="n">
        <v>11511</v>
      </c>
      <c r="G82" s="11">
        <f>IF(F82=0,0,E82/F82*100)</f>
        <v/>
      </c>
      <c r="H82" s="7" t="n">
        <v>0</v>
      </c>
      <c r="I82" s="7" t="n">
        <v>0</v>
      </c>
      <c r="J82" s="7" t="n">
        <v>0</v>
      </c>
      <c r="K82" s="7" t="n">
        <v>5</v>
      </c>
    </row>
    <row r="83">
      <c r="A83" s="21" t="inlineStr">
        <is>
          <t>17 Jun</t>
        </is>
      </c>
      <c r="B83" s="21" t="inlineStr">
        <is>
          <t>37778</t>
        </is>
      </c>
      <c r="C83" s="7" t="n">
        <v>1</v>
      </c>
      <c r="D83" s="49" t="n">
        <v>243.91</v>
      </c>
      <c r="E83" s="23" t="n">
        <v>8573</v>
      </c>
      <c r="F83" s="23" t="n">
        <v>8797</v>
      </c>
      <c r="G83" s="11">
        <f>IF(F83=0,0,E83/F83*100)</f>
        <v/>
      </c>
      <c r="H83" s="7" t="n">
        <v>0</v>
      </c>
      <c r="I83" s="7" t="n">
        <v>0</v>
      </c>
      <c r="J83" s="7" t="n">
        <v>0</v>
      </c>
      <c r="K83" s="7" t="n">
        <v>4</v>
      </c>
    </row>
    <row r="84">
      <c r="A84" s="21" t="inlineStr">
        <is>
          <t>17 Jun</t>
        </is>
      </c>
      <c r="B84" s="21" t="inlineStr">
        <is>
          <t>39409</t>
        </is>
      </c>
      <c r="C84" s="7" t="n">
        <v>1</v>
      </c>
      <c r="D84" s="49" t="n">
        <v>243.68</v>
      </c>
      <c r="E84" s="23" t="n">
        <v>7979</v>
      </c>
      <c r="F84" s="23" t="n">
        <v>8689</v>
      </c>
      <c r="G84" s="11">
        <f>IF(F84=0,0,E84/F84*100)</f>
        <v/>
      </c>
      <c r="H84" s="7" t="n">
        <v>0</v>
      </c>
      <c r="I84" s="7" t="n">
        <v>0</v>
      </c>
      <c r="J84" s="7" t="n">
        <v>0</v>
      </c>
      <c r="K84" s="7" t="n">
        <v>4</v>
      </c>
    </row>
    <row r="85">
      <c r="A85" s="21" t="inlineStr">
        <is>
          <t>17 Jun</t>
        </is>
      </c>
      <c r="B85" s="21" t="inlineStr">
        <is>
          <t>37025</t>
        </is>
      </c>
      <c r="C85" s="7" t="n">
        <v>0</v>
      </c>
      <c r="D85" s="49" t="n">
        <v>181.05</v>
      </c>
      <c r="E85" s="23" t="n">
        <v>17724</v>
      </c>
      <c r="F85" s="23" t="n">
        <v>17966</v>
      </c>
      <c r="G85" s="11">
        <f>IF(F85=0,0,E85/F85*100)</f>
        <v/>
      </c>
      <c r="H85" s="7" t="n">
        <v>0</v>
      </c>
      <c r="I85" s="7" t="n">
        <v>0</v>
      </c>
      <c r="J85" s="7" t="n">
        <v>0</v>
      </c>
      <c r="K85" s="7" t="n">
        <v>0</v>
      </c>
    </row>
    <row r="86">
      <c r="A86" s="21" t="inlineStr">
        <is>
          <t>17 Jun</t>
        </is>
      </c>
      <c r="B86" s="21" t="inlineStr">
        <is>
          <t>39111</t>
        </is>
      </c>
      <c r="C86" s="7" t="n">
        <v>0</v>
      </c>
      <c r="D86" s="49" t="n">
        <v>199.74</v>
      </c>
      <c r="E86" s="23" t="n">
        <v>15051</v>
      </c>
      <c r="F86" s="23" t="n">
        <v>15390</v>
      </c>
      <c r="G86" s="11">
        <f>IF(F86=0,0,E86/F86*100)</f>
        <v/>
      </c>
      <c r="H86" s="7" t="n">
        <v>0</v>
      </c>
      <c r="I86" s="7" t="n">
        <v>0</v>
      </c>
      <c r="J86" s="7" t="n">
        <v>0</v>
      </c>
      <c r="K86" s="7" t="n">
        <v>4</v>
      </c>
    </row>
    <row r="87">
      <c r="A87" s="21" t="inlineStr">
        <is>
          <t>17 Jun</t>
        </is>
      </c>
      <c r="B87" s="21" t="inlineStr">
        <is>
          <t>37182</t>
        </is>
      </c>
      <c r="C87" s="7" t="n">
        <v>0</v>
      </c>
      <c r="D87" s="49" t="n">
        <v>199.73</v>
      </c>
      <c r="E87" s="23" t="n">
        <v>12947</v>
      </c>
      <c r="F87" s="23" t="n">
        <v>13287</v>
      </c>
      <c r="G87" s="11">
        <f>IF(F87=0,0,E87/F87*100)</f>
        <v/>
      </c>
      <c r="H87" s="7" t="n">
        <v>0</v>
      </c>
      <c r="I87" s="7" t="n">
        <v>0</v>
      </c>
      <c r="J87" s="7" t="n">
        <v>0</v>
      </c>
      <c r="K87" s="7" t="n">
        <v>3</v>
      </c>
    </row>
    <row r="88">
      <c r="A88" s="21" t="inlineStr">
        <is>
          <t>17 Jun</t>
        </is>
      </c>
      <c r="B88" s="21" t="inlineStr">
        <is>
          <t>39170</t>
        </is>
      </c>
      <c r="C88" s="7" t="n">
        <v>0</v>
      </c>
      <c r="D88" s="49" t="n">
        <v>199.05</v>
      </c>
      <c r="E88" s="23" t="n">
        <v>11875</v>
      </c>
      <c r="F88" s="23" t="n">
        <v>12193</v>
      </c>
      <c r="G88" s="11">
        <f>IF(F88=0,0,E88/F88*100)</f>
        <v/>
      </c>
      <c r="H88" s="7" t="n">
        <v>1</v>
      </c>
      <c r="I88" s="7" t="n">
        <v>0</v>
      </c>
      <c r="J88" s="7" t="n">
        <v>1</v>
      </c>
      <c r="K88" s="7" t="n">
        <v>8</v>
      </c>
    </row>
    <row r="89">
      <c r="A89" s="21" t="inlineStr">
        <is>
          <t>17 Jun</t>
        </is>
      </c>
      <c r="B89" s="21" t="inlineStr">
        <is>
          <t>37360</t>
        </is>
      </c>
      <c r="C89" s="7" t="n">
        <v>0</v>
      </c>
      <c r="D89" s="49" t="n">
        <v>232.22</v>
      </c>
      <c r="E89" s="23" t="n">
        <v>10804</v>
      </c>
      <c r="F89" s="23" t="n">
        <v>11463</v>
      </c>
      <c r="G89" s="11">
        <f>IF(F89=0,0,E89/F89*100)</f>
        <v/>
      </c>
      <c r="H89" s="7" t="n">
        <v>0</v>
      </c>
      <c r="I89" s="7" t="n">
        <v>0</v>
      </c>
      <c r="J89" s="7" t="n">
        <v>0</v>
      </c>
      <c r="K89" s="7" t="n">
        <v>4</v>
      </c>
    </row>
    <row r="90">
      <c r="A90" s="21" t="inlineStr">
        <is>
          <t>17 Jun</t>
        </is>
      </c>
      <c r="B90" s="21" t="inlineStr">
        <is>
          <t>37720</t>
        </is>
      </c>
      <c r="C90" s="7" t="n">
        <v>0</v>
      </c>
      <c r="D90" s="49" t="n">
        <v>232.25</v>
      </c>
      <c r="E90" s="23" t="n">
        <v>10619</v>
      </c>
      <c r="F90" s="23" t="n">
        <v>11065</v>
      </c>
      <c r="G90" s="11">
        <f>IF(F90=0,0,E90/F90*100)</f>
        <v/>
      </c>
      <c r="H90" s="7" t="n">
        <v>1</v>
      </c>
      <c r="I90" s="7" t="n">
        <v>0</v>
      </c>
      <c r="J90" s="7" t="n">
        <v>1</v>
      </c>
      <c r="K90" s="7" t="n">
        <v>8</v>
      </c>
    </row>
    <row r="91">
      <c r="A91" s="21" t="inlineStr">
        <is>
          <t>17 Jun</t>
        </is>
      </c>
      <c r="B91" s="21" t="inlineStr">
        <is>
          <t>30455</t>
        </is>
      </c>
      <c r="C91" s="7" t="n">
        <v>0</v>
      </c>
      <c r="D91" s="49" t="n">
        <v>232.24</v>
      </c>
      <c r="E91" s="23" t="n">
        <v>10187</v>
      </c>
      <c r="F91" s="23" t="n">
        <v>10589</v>
      </c>
      <c r="G91" s="11">
        <f>IF(F91=0,0,E91/F91*100)</f>
        <v/>
      </c>
      <c r="H91" s="7" t="n">
        <v>0</v>
      </c>
      <c r="I91" s="7" t="n">
        <v>0</v>
      </c>
      <c r="J91" s="7" t="n">
        <v>0</v>
      </c>
      <c r="K91" s="7" t="n">
        <v>7</v>
      </c>
    </row>
    <row r="92">
      <c r="A92" s="21" t="inlineStr">
        <is>
          <t>17 Jun</t>
        </is>
      </c>
      <c r="B92" s="21" t="inlineStr">
        <is>
          <t>37481</t>
        </is>
      </c>
      <c r="C92" s="7" t="n">
        <v>0</v>
      </c>
      <c r="D92" s="49" t="n">
        <v>198.79</v>
      </c>
      <c r="E92" s="23" t="n">
        <v>9697</v>
      </c>
      <c r="F92" s="23" t="n">
        <v>9899</v>
      </c>
      <c r="G92" s="11">
        <f>IF(F92=0,0,E92/F92*100)</f>
        <v/>
      </c>
      <c r="H92" s="7" t="n">
        <v>0</v>
      </c>
      <c r="I92" s="7" t="n">
        <v>0</v>
      </c>
      <c r="J92" s="7" t="n">
        <v>0</v>
      </c>
      <c r="K92" s="7" t="n">
        <v>2</v>
      </c>
    </row>
    <row r="93">
      <c r="A93" s="21" t="inlineStr">
        <is>
          <t>17 Jun</t>
        </is>
      </c>
      <c r="B93" s="21" t="inlineStr">
        <is>
          <t>37016</t>
        </is>
      </c>
      <c r="C93" s="7" t="n">
        <v>0</v>
      </c>
      <c r="D93" s="49" t="n">
        <v>199.35</v>
      </c>
      <c r="E93" s="23" t="n">
        <v>9534</v>
      </c>
      <c r="F93" s="23" t="n">
        <v>9827</v>
      </c>
      <c r="G93" s="11">
        <f>IF(F93=0,0,E93/F93*100)</f>
        <v/>
      </c>
      <c r="H93" s="7" t="n">
        <v>0</v>
      </c>
      <c r="I93" s="7" t="n">
        <v>0</v>
      </c>
      <c r="J93" s="7" t="n">
        <v>0</v>
      </c>
      <c r="K93" s="7" t="n">
        <v>2</v>
      </c>
    </row>
    <row r="94">
      <c r="A94" s="21" t="inlineStr">
        <is>
          <t>17 Jun</t>
        </is>
      </c>
      <c r="B94" s="21" t="inlineStr">
        <is>
          <t>37455</t>
        </is>
      </c>
      <c r="C94" s="7" t="n">
        <v>0</v>
      </c>
      <c r="D94" s="49" t="n">
        <v>199.19</v>
      </c>
      <c r="E94" s="23" t="n">
        <v>9386</v>
      </c>
      <c r="F94" s="23" t="n">
        <v>9441</v>
      </c>
      <c r="G94" s="11">
        <f>IF(F94=0,0,E94/F94*100)</f>
        <v/>
      </c>
      <c r="H94" s="7" t="n">
        <v>0</v>
      </c>
      <c r="I94" s="7" t="n">
        <v>0</v>
      </c>
      <c r="J94" s="7" t="n">
        <v>0</v>
      </c>
      <c r="K94" s="7" t="n">
        <v>6</v>
      </c>
    </row>
    <row r="95">
      <c r="A95" s="21" t="inlineStr">
        <is>
          <t>17 Jun</t>
        </is>
      </c>
      <c r="B95" s="21" t="inlineStr">
        <is>
          <t>30084</t>
        </is>
      </c>
      <c r="C95" s="7" t="n">
        <v>0</v>
      </c>
      <c r="D95" s="49" t="n">
        <v>22.53</v>
      </c>
      <c r="E95" s="23" t="n">
        <v>6404</v>
      </c>
      <c r="F95" s="23" t="n">
        <v>9406</v>
      </c>
      <c r="G95" s="11">
        <f>IF(F95=0,0,E95/F95*100)</f>
        <v/>
      </c>
      <c r="H95" s="7" t="n">
        <v>17</v>
      </c>
      <c r="I95" s="7" t="n">
        <v>0</v>
      </c>
      <c r="J95" s="7" t="n">
        <v>17</v>
      </c>
      <c r="K95" s="7" t="n">
        <v>4</v>
      </c>
    </row>
    <row r="96">
      <c r="A96" s="21" t="inlineStr">
        <is>
          <t>17 Jun</t>
        </is>
      </c>
      <c r="B96" s="21" t="inlineStr">
        <is>
          <t>39133</t>
        </is>
      </c>
      <c r="C96" s="7" t="n">
        <v>0</v>
      </c>
      <c r="D96" s="49" t="n">
        <v>94.28</v>
      </c>
      <c r="E96" s="23" t="n">
        <v>8576</v>
      </c>
      <c r="F96" s="23" t="n">
        <v>8684</v>
      </c>
      <c r="G96" s="11">
        <f>IF(F96=0,0,E96/F96*100)</f>
        <v/>
      </c>
      <c r="H96" s="7" t="n">
        <v>0</v>
      </c>
      <c r="I96" s="7" t="n">
        <v>0</v>
      </c>
      <c r="J96" s="7" t="n">
        <v>0</v>
      </c>
      <c r="K96" s="7" t="n">
        <v>0</v>
      </c>
    </row>
    <row r="97">
      <c r="A97" s="21" t="inlineStr">
        <is>
          <t>17 Jun</t>
        </is>
      </c>
      <c r="B97" s="21" t="inlineStr">
        <is>
          <t>37586</t>
        </is>
      </c>
      <c r="C97" s="7" t="n">
        <v>0</v>
      </c>
      <c r="D97" s="49" t="n">
        <v>199.05</v>
      </c>
      <c r="E97" s="23" t="n">
        <v>8396</v>
      </c>
      <c r="F97" s="23" t="n">
        <v>8624</v>
      </c>
      <c r="G97" s="11">
        <f>IF(F97=0,0,E97/F97*100)</f>
        <v/>
      </c>
      <c r="H97" s="7" t="n">
        <v>0</v>
      </c>
      <c r="I97" s="7" t="n">
        <v>0</v>
      </c>
      <c r="J97" s="7" t="n">
        <v>0</v>
      </c>
      <c r="K97" s="7" t="n">
        <v>2</v>
      </c>
    </row>
    <row r="98">
      <c r="A98" s="21" t="inlineStr">
        <is>
          <t>17 Jun</t>
        </is>
      </c>
      <c r="B98" s="21" t="inlineStr">
        <is>
          <t>30639</t>
        </is>
      </c>
      <c r="C98" s="7" t="n">
        <v>0</v>
      </c>
      <c r="D98" s="49" t="n">
        <v>215.74</v>
      </c>
      <c r="E98" s="23" t="n">
        <v>7934</v>
      </c>
      <c r="F98" s="23" t="n">
        <v>8281</v>
      </c>
      <c r="G98" s="11">
        <f>IF(F98=0,0,E98/F98*100)</f>
        <v/>
      </c>
      <c r="H98" s="7" t="n">
        <v>0</v>
      </c>
      <c r="I98" s="7" t="n">
        <v>0</v>
      </c>
      <c r="J98" s="7" t="n">
        <v>0</v>
      </c>
      <c r="K98" s="7" t="n">
        <v>6</v>
      </c>
    </row>
    <row r="99">
      <c r="A99" s="21" t="inlineStr">
        <is>
          <t>17 Jun</t>
        </is>
      </c>
      <c r="B99" s="21" t="inlineStr">
        <is>
          <t>37384</t>
        </is>
      </c>
      <c r="C99" s="7" t="n">
        <v>0</v>
      </c>
      <c r="D99" s="49" t="n">
        <v>199.4</v>
      </c>
      <c r="E99" s="23" t="n">
        <v>7907</v>
      </c>
      <c r="F99" s="23" t="n">
        <v>8144</v>
      </c>
      <c r="G99" s="11">
        <f>IF(F99=0,0,E99/F99*100)</f>
        <v/>
      </c>
      <c r="H99" s="7" t="n">
        <v>0</v>
      </c>
      <c r="I99" s="7" t="n">
        <v>0</v>
      </c>
      <c r="J99" s="7" t="n">
        <v>0</v>
      </c>
      <c r="K99" s="7" t="n">
        <v>2</v>
      </c>
    </row>
    <row r="100">
      <c r="A100" s="21" t="inlineStr">
        <is>
          <t>17 Jun</t>
        </is>
      </c>
      <c r="B100" s="21" t="inlineStr">
        <is>
          <t>37268</t>
        </is>
      </c>
      <c r="C100" s="7" t="n">
        <v>0</v>
      </c>
      <c r="D100" s="49" t="n">
        <v>198.81</v>
      </c>
      <c r="E100" s="23" t="n">
        <v>8102</v>
      </c>
      <c r="F100" s="23" t="n">
        <v>8106</v>
      </c>
      <c r="G100" s="11">
        <f>IF(F100=0,0,E100/F100*100)</f>
        <v/>
      </c>
      <c r="H100" s="7" t="n">
        <v>0</v>
      </c>
      <c r="I100" s="7" t="n">
        <v>0</v>
      </c>
      <c r="J100" s="7" t="n">
        <v>0</v>
      </c>
      <c r="K100" s="7" t="n">
        <v>0</v>
      </c>
    </row>
    <row r="101">
      <c r="A101" s="21" t="inlineStr">
        <is>
          <t>17 Jun</t>
        </is>
      </c>
      <c r="B101" s="21" t="inlineStr">
        <is>
          <t>37401</t>
        </is>
      </c>
      <c r="C101" s="7" t="n">
        <v>0</v>
      </c>
      <c r="D101" s="49" t="n">
        <v>199.53</v>
      </c>
      <c r="E101" s="23" t="n">
        <v>7599</v>
      </c>
      <c r="F101" s="23" t="n">
        <v>7859</v>
      </c>
      <c r="G101" s="11">
        <f>IF(F101=0,0,E101/F101*100)</f>
        <v/>
      </c>
      <c r="H101" s="7" t="n">
        <v>0</v>
      </c>
      <c r="I101" s="7" t="n">
        <v>0</v>
      </c>
      <c r="J101" s="7" t="n">
        <v>0</v>
      </c>
      <c r="K101" s="7" t="n">
        <v>5</v>
      </c>
    </row>
    <row r="102">
      <c r="A102" s="21" t="inlineStr">
        <is>
          <t>17 Jun</t>
        </is>
      </c>
      <c r="B102" s="21" t="inlineStr">
        <is>
          <t>37959</t>
        </is>
      </c>
      <c r="C102" s="7" t="n">
        <v>0</v>
      </c>
      <c r="D102" s="49" t="n">
        <v>232.21</v>
      </c>
      <c r="E102" s="23" t="n">
        <v>7417</v>
      </c>
      <c r="F102" s="23" t="n">
        <v>7756</v>
      </c>
      <c r="G102" s="11">
        <f>IF(F102=0,0,E102/F102*100)</f>
        <v/>
      </c>
      <c r="H102" s="7" t="n">
        <v>0</v>
      </c>
      <c r="I102" s="7" t="n">
        <v>0</v>
      </c>
      <c r="J102" s="7" t="n">
        <v>0</v>
      </c>
      <c r="K102" s="7" t="n">
        <v>9</v>
      </c>
    </row>
    <row r="103">
      <c r="A103" s="21" t="inlineStr">
        <is>
          <t>17 Jun</t>
        </is>
      </c>
      <c r="B103" s="21" t="inlineStr">
        <is>
          <t>30503</t>
        </is>
      </c>
      <c r="C103" s="7" t="n">
        <v>0</v>
      </c>
      <c r="D103" s="49" t="n">
        <v>199.39</v>
      </c>
      <c r="E103" s="23" t="n">
        <v>6882</v>
      </c>
      <c r="F103" s="23" t="n">
        <v>7015</v>
      </c>
      <c r="G103" s="11">
        <f>IF(F103=0,0,E103/F103*100)</f>
        <v/>
      </c>
      <c r="H103" s="7" t="n">
        <v>0</v>
      </c>
      <c r="I103" s="7" t="n">
        <v>0</v>
      </c>
      <c r="J103" s="7" t="n">
        <v>0</v>
      </c>
      <c r="K103" s="7" t="n">
        <v>3</v>
      </c>
    </row>
    <row r="104">
      <c r="A104" s="21" t="inlineStr">
        <is>
          <t>17 Jun</t>
        </is>
      </c>
      <c r="B104" s="21" t="inlineStr">
        <is>
          <t>30567</t>
        </is>
      </c>
      <c r="C104" s="7" t="n">
        <v>0</v>
      </c>
      <c r="D104" s="49" t="n">
        <v>186.68</v>
      </c>
      <c r="E104" s="23" t="n">
        <v>5921</v>
      </c>
      <c r="F104" s="23" t="n">
        <v>6254</v>
      </c>
      <c r="G104" s="11">
        <f>IF(F104=0,0,E104/F104*100)</f>
        <v/>
      </c>
      <c r="H104" s="7" t="n">
        <v>0</v>
      </c>
      <c r="I104" s="7" t="n">
        <v>0</v>
      </c>
      <c r="J104" s="7" t="n">
        <v>0</v>
      </c>
      <c r="K104" s="7" t="n">
        <v>4</v>
      </c>
    </row>
    <row r="105">
      <c r="A105" s="21" t="inlineStr">
        <is>
          <t>17 Jun</t>
        </is>
      </c>
      <c r="B105" s="21" t="inlineStr">
        <is>
          <t>37907</t>
        </is>
      </c>
      <c r="C105" s="7" t="n">
        <v>0</v>
      </c>
      <c r="D105" s="49" t="n">
        <v>93.77</v>
      </c>
      <c r="E105" s="23" t="n">
        <v>4772</v>
      </c>
      <c r="F105" s="23" t="n">
        <v>4809</v>
      </c>
      <c r="G105" s="11">
        <f>IF(F105=0,0,E105/F105*100)</f>
        <v/>
      </c>
      <c r="H105" s="7" t="n">
        <v>0</v>
      </c>
      <c r="I105" s="7" t="n">
        <v>0</v>
      </c>
      <c r="J105" s="7" t="n">
        <v>0</v>
      </c>
      <c r="K105" s="7" t="n">
        <v>0</v>
      </c>
    </row>
    <row r="106">
      <c r="A106" s="21" t="inlineStr">
        <is>
          <t>17 Jun</t>
        </is>
      </c>
      <c r="B106" s="21" t="inlineStr">
        <is>
          <t>35001</t>
        </is>
      </c>
      <c r="C106" s="7" t="n">
        <v>0</v>
      </c>
      <c r="D106" s="49" t="n">
        <v>93.98999999999999</v>
      </c>
      <c r="E106" s="23" t="n">
        <v>4751</v>
      </c>
      <c r="F106" s="23" t="n">
        <v>4788</v>
      </c>
      <c r="G106" s="11">
        <f>IF(F106=0,0,E106/F106*100)</f>
        <v/>
      </c>
      <c r="H106" s="7" t="n">
        <v>0</v>
      </c>
      <c r="I106" s="7" t="n">
        <v>0</v>
      </c>
      <c r="J106" s="7" t="n">
        <v>0</v>
      </c>
      <c r="K106" s="7" t="n">
        <v>0</v>
      </c>
    </row>
    <row r="107">
      <c r="A107" s="21" t="inlineStr">
        <is>
          <t>17 Jun</t>
        </is>
      </c>
      <c r="B107" s="21" t="inlineStr">
        <is>
          <t>37040</t>
        </is>
      </c>
      <c r="C107" s="7" t="n">
        <v>0</v>
      </c>
      <c r="D107" s="49" t="n">
        <v>110.7</v>
      </c>
      <c r="E107" s="23" t="n">
        <v>4450</v>
      </c>
      <c r="F107" s="23" t="n">
        <v>4581</v>
      </c>
      <c r="G107" s="11">
        <f>IF(F107=0,0,E107/F107*100)</f>
        <v/>
      </c>
      <c r="H107" s="7" t="n">
        <v>0</v>
      </c>
      <c r="I107" s="7" t="n">
        <v>0</v>
      </c>
      <c r="J107" s="7" t="n">
        <v>0</v>
      </c>
      <c r="K107" s="7" t="n">
        <v>0</v>
      </c>
    </row>
    <row r="108">
      <c r="A108" s="21" t="inlineStr">
        <is>
          <t>17 Jun</t>
        </is>
      </c>
      <c r="B108" s="21" t="inlineStr">
        <is>
          <t>37358</t>
        </is>
      </c>
      <c r="C108" s="7" t="n">
        <v>0</v>
      </c>
      <c r="D108" s="49" t="n">
        <v>93.77</v>
      </c>
      <c r="E108" s="23" t="n">
        <v>4289</v>
      </c>
      <c r="F108" s="23" t="n">
        <v>4315</v>
      </c>
      <c r="G108" s="11">
        <f>IF(F108=0,0,E108/F108*100)</f>
        <v/>
      </c>
      <c r="H108" s="7" t="n">
        <v>0</v>
      </c>
      <c r="I108" s="7" t="n">
        <v>0</v>
      </c>
      <c r="J108" s="7" t="n">
        <v>0</v>
      </c>
      <c r="K108" s="7" t="n">
        <v>0</v>
      </c>
    </row>
    <row r="109">
      <c r="A109" s="21" t="inlineStr">
        <is>
          <t>17 Jun</t>
        </is>
      </c>
      <c r="B109" s="21" t="inlineStr">
        <is>
          <t>30457</t>
        </is>
      </c>
      <c r="C109" s="7" t="n">
        <v>0</v>
      </c>
      <c r="D109" s="49" t="n">
        <v>63.1</v>
      </c>
      <c r="E109" s="23" t="n">
        <v>3635</v>
      </c>
      <c r="F109" s="23" t="n">
        <v>3867</v>
      </c>
      <c r="G109" s="11">
        <f>IF(F109=0,0,E109/F109*100)</f>
        <v/>
      </c>
      <c r="H109" s="7" t="n">
        <v>0</v>
      </c>
      <c r="I109" s="7" t="n">
        <v>0</v>
      </c>
      <c r="J109" s="7" t="n">
        <v>0</v>
      </c>
      <c r="K109" s="7" t="n">
        <v>2</v>
      </c>
    </row>
    <row r="110">
      <c r="A110" s="21" t="inlineStr">
        <is>
          <t>17 Jun</t>
        </is>
      </c>
      <c r="B110" s="21" t="inlineStr">
        <is>
          <t>37879</t>
        </is>
      </c>
      <c r="C110" s="7" t="n">
        <v>0</v>
      </c>
      <c r="D110" s="49" t="n">
        <v>85.12</v>
      </c>
      <c r="E110" s="23" t="n">
        <v>3579</v>
      </c>
      <c r="F110" s="23" t="n">
        <v>3866</v>
      </c>
      <c r="G110" s="11">
        <f>IF(F110=0,0,E110/F110*100)</f>
        <v/>
      </c>
      <c r="H110" s="7" t="n">
        <v>0</v>
      </c>
      <c r="I110" s="7" t="n">
        <v>0</v>
      </c>
      <c r="J110" s="7" t="n">
        <v>0</v>
      </c>
      <c r="K110" s="7" t="n">
        <v>5</v>
      </c>
    </row>
    <row r="111">
      <c r="A111" s="21" t="inlineStr">
        <is>
          <t>17 Jun</t>
        </is>
      </c>
      <c r="B111" s="21" t="inlineStr">
        <is>
          <t>37894</t>
        </is>
      </c>
      <c r="C111" s="7" t="n">
        <v>0</v>
      </c>
      <c r="D111" s="49" t="n">
        <v>92.66</v>
      </c>
      <c r="E111" s="23" t="n">
        <v>3670</v>
      </c>
      <c r="F111" s="23" t="n">
        <v>3757</v>
      </c>
      <c r="G111" s="11">
        <f>IF(F111=0,0,E111/F111*100)</f>
        <v/>
      </c>
      <c r="H111" s="7" t="n">
        <v>0</v>
      </c>
      <c r="I111" s="7" t="n">
        <v>0</v>
      </c>
      <c r="J111" s="7" t="n">
        <v>0</v>
      </c>
      <c r="K111" s="7" t="n">
        <v>0</v>
      </c>
    </row>
    <row r="112">
      <c r="A112" s="21" t="inlineStr">
        <is>
          <t>17 Jun</t>
        </is>
      </c>
      <c r="B112" s="21" t="inlineStr">
        <is>
          <t>37168</t>
        </is>
      </c>
      <c r="C112" s="7" t="n">
        <v>0</v>
      </c>
      <c r="D112" s="49" t="n">
        <v>94.15000000000001</v>
      </c>
      <c r="E112" s="23" t="n">
        <v>3324</v>
      </c>
      <c r="F112" s="23" t="n">
        <v>3693</v>
      </c>
      <c r="G112" s="11">
        <f>IF(F112=0,0,E112/F112*100)</f>
        <v/>
      </c>
      <c r="H112" s="7" t="n">
        <v>0</v>
      </c>
      <c r="I112" s="7" t="n">
        <v>0</v>
      </c>
      <c r="J112" s="7" t="n">
        <v>0</v>
      </c>
      <c r="K112" s="7" t="n">
        <v>0</v>
      </c>
    </row>
    <row r="113">
      <c r="A113" s="21" t="inlineStr">
        <is>
          <t>17 Jun</t>
        </is>
      </c>
      <c r="B113" s="21" t="inlineStr">
        <is>
          <t>30487</t>
        </is>
      </c>
      <c r="C113" s="7" t="n">
        <v>0</v>
      </c>
      <c r="D113" s="49" t="n">
        <v>81.40000000000001</v>
      </c>
      <c r="E113" s="23" t="n">
        <v>3438</v>
      </c>
      <c r="F113" s="23" t="n">
        <v>3544</v>
      </c>
      <c r="G113" s="11">
        <f>IF(F113=0,0,E113/F113*100)</f>
        <v/>
      </c>
      <c r="H113" s="7" t="n">
        <v>0</v>
      </c>
      <c r="I113" s="7" t="n">
        <v>0</v>
      </c>
      <c r="J113" s="7" t="n">
        <v>0</v>
      </c>
      <c r="K113" s="7" t="n">
        <v>2</v>
      </c>
    </row>
    <row r="114">
      <c r="A114" s="21" t="inlineStr">
        <is>
          <t>17 Jun</t>
        </is>
      </c>
      <c r="B114" s="21" t="inlineStr">
        <is>
          <t>30493</t>
        </is>
      </c>
      <c r="C114" s="7" t="n">
        <v>0</v>
      </c>
      <c r="D114" s="49" t="n">
        <v>81.29000000000001</v>
      </c>
      <c r="E114" s="23" t="n">
        <v>3252</v>
      </c>
      <c r="F114" s="23" t="n">
        <v>3348</v>
      </c>
      <c r="G114" s="11">
        <f>IF(F114=0,0,E114/F114*100)</f>
        <v/>
      </c>
      <c r="H114" s="7" t="n">
        <v>0</v>
      </c>
      <c r="I114" s="7" t="n">
        <v>0</v>
      </c>
      <c r="J114" s="7" t="n">
        <v>0</v>
      </c>
      <c r="K114" s="7" t="n">
        <v>2</v>
      </c>
    </row>
    <row r="115">
      <c r="A115" s="21" t="inlineStr">
        <is>
          <t>17 Jun</t>
        </is>
      </c>
      <c r="B115" s="21" t="inlineStr">
        <is>
          <t>30205</t>
        </is>
      </c>
      <c r="C115" s="7" t="n">
        <v>0</v>
      </c>
      <c r="D115" s="49" t="n">
        <v>82.52</v>
      </c>
      <c r="E115" s="23" t="n">
        <v>3238</v>
      </c>
      <c r="F115" s="23" t="n">
        <v>3246</v>
      </c>
      <c r="G115" s="11">
        <f>IF(F115=0,0,E115/F115*100)</f>
        <v/>
      </c>
      <c r="H115" s="7" t="n">
        <v>0</v>
      </c>
      <c r="I115" s="7" t="n">
        <v>0</v>
      </c>
      <c r="J115" s="7" t="n">
        <v>0</v>
      </c>
      <c r="K115" s="7" t="n">
        <v>0</v>
      </c>
    </row>
    <row r="116">
      <c r="A116" s="21" t="inlineStr">
        <is>
          <t>17 Jun</t>
        </is>
      </c>
      <c r="B116" s="21" t="inlineStr">
        <is>
          <t>37244</t>
        </is>
      </c>
      <c r="C116" s="7" t="n">
        <v>0</v>
      </c>
      <c r="D116" s="49" t="n">
        <v>47.38</v>
      </c>
      <c r="E116" s="23" t="n">
        <v>2235</v>
      </c>
      <c r="F116" s="23" t="n">
        <v>2353</v>
      </c>
      <c r="G116" s="11">
        <f>IF(F116=0,0,E116/F116*100)</f>
        <v/>
      </c>
      <c r="H116" s="7" t="n">
        <v>2</v>
      </c>
      <c r="I116" s="7" t="n">
        <v>0</v>
      </c>
      <c r="J116" s="7" t="n">
        <v>2</v>
      </c>
      <c r="K116" s="7" t="n">
        <v>0</v>
      </c>
    </row>
    <row r="117">
      <c r="A117" s="21" t="inlineStr">
        <is>
          <t>17 Jun</t>
        </is>
      </c>
      <c r="B117" s="21" t="inlineStr">
        <is>
          <t>39263</t>
        </is>
      </c>
      <c r="C117" s="7" t="n">
        <v>0</v>
      </c>
      <c r="D117" s="49" t="n">
        <v>56.51</v>
      </c>
      <c r="E117" s="23" t="n">
        <v>1634</v>
      </c>
      <c r="F117" s="23" t="n">
        <v>1646</v>
      </c>
      <c r="G117" s="11">
        <f>IF(F117=0,0,E117/F117*100)</f>
        <v/>
      </c>
      <c r="H117" s="7" t="n">
        <v>0</v>
      </c>
      <c r="I117" s="7" t="n">
        <v>0</v>
      </c>
      <c r="J117" s="7" t="n">
        <v>0</v>
      </c>
      <c r="K117" s="7" t="n">
        <v>2</v>
      </c>
    </row>
    <row r="118">
      <c r="A118" s="21" t="inlineStr">
        <is>
          <t>17 Jun</t>
        </is>
      </c>
      <c r="B118" s="21" t="inlineStr">
        <is>
          <t>44078</t>
        </is>
      </c>
      <c r="C118" s="7" t="n">
        <v>0</v>
      </c>
      <c r="D118" s="49" t="n">
        <v>0.2</v>
      </c>
      <c r="E118" s="23" t="n">
        <v>258</v>
      </c>
      <c r="F118" s="23" t="n">
        <v>459</v>
      </c>
      <c r="G118" s="11">
        <f>IF(F118=0,0,E118/F118*100)</f>
        <v/>
      </c>
      <c r="H118" s="7" t="n">
        <v>11</v>
      </c>
      <c r="I118" s="7" t="n">
        <v>0</v>
      </c>
      <c r="J118" s="7" t="n">
        <v>11</v>
      </c>
      <c r="K118" s="7" t="n">
        <v>0</v>
      </c>
    </row>
    <row r="119">
      <c r="A119" s="21" t="inlineStr">
        <is>
          <t>17 Jun</t>
        </is>
      </c>
      <c r="B119" s="21" t="inlineStr">
        <is>
          <t>37081</t>
        </is>
      </c>
      <c r="C119" s="7" t="n">
        <v>0</v>
      </c>
      <c r="D119" s="49" t="n">
        <v>0.5</v>
      </c>
      <c r="E119" s="23" t="n">
        <v>331</v>
      </c>
      <c r="F119" s="23" t="n">
        <v>379</v>
      </c>
      <c r="G119" s="11">
        <f>IF(F119=0,0,E119/F119*100)</f>
        <v/>
      </c>
      <c r="H119" s="7" t="n">
        <v>1</v>
      </c>
      <c r="I119" s="7" t="n">
        <v>0</v>
      </c>
      <c r="J119" s="7" t="n">
        <v>1</v>
      </c>
      <c r="K119" s="7" t="n">
        <v>4</v>
      </c>
    </row>
    <row r="120">
      <c r="A120" s="21" t="inlineStr">
        <is>
          <t>17 Jun</t>
        </is>
      </c>
      <c r="B120" s="21" t="inlineStr">
        <is>
          <t>30328</t>
        </is>
      </c>
      <c r="C120" s="7" t="n">
        <v>0</v>
      </c>
      <c r="D120" s="49" t="n">
        <v>9.35</v>
      </c>
      <c r="E120" s="23" t="n">
        <v>355</v>
      </c>
      <c r="F120" s="23" t="n">
        <v>358</v>
      </c>
      <c r="G120" s="11">
        <f>IF(F120=0,0,E120/F120*100)</f>
        <v/>
      </c>
      <c r="H120" s="7" t="n">
        <v>0</v>
      </c>
      <c r="I120" s="7" t="n">
        <v>0</v>
      </c>
      <c r="J120" s="7" t="n">
        <v>0</v>
      </c>
      <c r="K120" s="7" t="n">
        <v>0</v>
      </c>
    </row>
    <row r="121">
      <c r="A121" s="21" t="inlineStr">
        <is>
          <t>17 Jun</t>
        </is>
      </c>
      <c r="B121" s="21" t="inlineStr">
        <is>
          <t>37215</t>
        </is>
      </c>
      <c r="C121" s="7" t="n">
        <v>0</v>
      </c>
      <c r="D121" s="49" t="n">
        <v>0.49</v>
      </c>
      <c r="E121" s="23" t="n">
        <v>173</v>
      </c>
      <c r="F121" s="23" t="n">
        <v>214</v>
      </c>
      <c r="G121" s="11">
        <f>IF(F121=0,0,E121/F121*100)</f>
        <v/>
      </c>
      <c r="H121" s="7" t="n">
        <v>3</v>
      </c>
      <c r="I121" s="7" t="n">
        <v>0</v>
      </c>
      <c r="J121" s="7" t="n">
        <v>3</v>
      </c>
      <c r="K121" s="7" t="n">
        <v>3</v>
      </c>
    </row>
    <row r="122">
      <c r="A122" s="21" t="inlineStr">
        <is>
          <t>17 Jun</t>
        </is>
      </c>
      <c r="B122" s="21" t="inlineStr">
        <is>
          <t>30199</t>
        </is>
      </c>
      <c r="C122" s="7" t="n">
        <v>0</v>
      </c>
      <c r="D122" s="49" t="n">
        <v>0.49</v>
      </c>
      <c r="E122" s="23" t="n">
        <v>178</v>
      </c>
      <c r="F122" s="23" t="n">
        <v>211</v>
      </c>
      <c r="G122" s="11">
        <f>IF(F122=0,0,E122/F122*100)</f>
        <v/>
      </c>
      <c r="H122" s="7" t="n">
        <v>2</v>
      </c>
      <c r="I122" s="7" t="n">
        <v>0</v>
      </c>
      <c r="J122" s="7" t="n">
        <v>2</v>
      </c>
      <c r="K122" s="7" t="n">
        <v>3</v>
      </c>
    </row>
    <row r="123">
      <c r="A123" s="21" t="inlineStr">
        <is>
          <t>17 Jun</t>
        </is>
      </c>
      <c r="B123" s="21" t="inlineStr">
        <is>
          <t>30552</t>
        </is>
      </c>
      <c r="C123" s="7" t="n">
        <v>0</v>
      </c>
      <c r="D123" s="49" t="n">
        <v>0.04</v>
      </c>
      <c r="E123" s="23" t="n">
        <v>61</v>
      </c>
      <c r="F123" s="23" t="n">
        <v>124</v>
      </c>
      <c r="G123" s="11">
        <f>IF(F123=0,0,E123/F123*100)</f>
        <v/>
      </c>
      <c r="H123" s="7" t="n">
        <v>1</v>
      </c>
      <c r="I123" s="7" t="n">
        <v>0</v>
      </c>
      <c r="J123" s="7" t="n">
        <v>1</v>
      </c>
      <c r="K123" s="7" t="n">
        <v>1</v>
      </c>
    </row>
    <row r="124">
      <c r="A124" s="21" t="inlineStr">
        <is>
          <t>17 Jun</t>
        </is>
      </c>
      <c r="B124" s="21" t="inlineStr">
        <is>
          <t>555555</t>
        </is>
      </c>
      <c r="C124" s="7" t="n">
        <v>0</v>
      </c>
      <c r="D124" s="49" t="n">
        <v>0.2</v>
      </c>
      <c r="E124" s="23" t="n">
        <v>18</v>
      </c>
      <c r="F124" s="23" t="n">
        <v>19</v>
      </c>
      <c r="G124" s="11">
        <f>IF(F124=0,0,E124/F124*100)</f>
        <v/>
      </c>
      <c r="H124" s="7" t="n">
        <v>0</v>
      </c>
      <c r="I124" s="7" t="n">
        <v>0</v>
      </c>
      <c r="J124" s="7" t="n">
        <v>0</v>
      </c>
      <c r="K124" s="7" t="n">
        <v>0</v>
      </c>
    </row>
    <row r="125">
      <c r="A125" s="24" t="inlineStr">
        <is>
          <t>17 Jun</t>
        </is>
      </c>
      <c r="B125" s="24" t="inlineStr">
        <is>
          <t>Day Total</t>
        </is>
      </c>
      <c r="C125" s="25">
        <f>SUM(C80:C124)</f>
        <v/>
      </c>
      <c r="D125" s="50">
        <f>SUM(D80:D124)</f>
        <v/>
      </c>
      <c r="E125" s="27">
        <f>SUM(E80:E124)</f>
        <v/>
      </c>
      <c r="F125" s="27">
        <f>SUM(F80:F124)</f>
        <v/>
      </c>
      <c r="G125" s="28">
        <f>IF(F125=0,0,E125/F125*100)</f>
        <v/>
      </c>
      <c r="H125" s="25">
        <f>SUM(H80:H124)</f>
        <v/>
      </c>
      <c r="I125" s="25">
        <f>SUM(I80:I124)</f>
        <v/>
      </c>
      <c r="J125" s="25">
        <f>SUM(J80:J124)</f>
        <v/>
      </c>
      <c r="K125" s="25">
        <f>SUM(K80:K124)</f>
        <v/>
      </c>
    </row>
    <row r="126">
      <c r="A126" s="21" t="inlineStr">
        <is>
          <t>18 Jun</t>
        </is>
      </c>
      <c r="B126" s="21" t="inlineStr">
        <is>
          <t>30200</t>
        </is>
      </c>
      <c r="C126" s="7" t="n">
        <v>2</v>
      </c>
      <c r="D126" s="49" t="n">
        <v>244.03</v>
      </c>
      <c r="E126" s="23" t="n">
        <v>23462</v>
      </c>
      <c r="F126" s="23" t="n">
        <v>24155</v>
      </c>
      <c r="G126" s="11">
        <f>IF(F126=0,0,E126/F126*100)</f>
        <v/>
      </c>
      <c r="H126" s="7" t="n">
        <v>1</v>
      </c>
      <c r="I126" s="7" t="n">
        <v>1</v>
      </c>
      <c r="J126" s="7" t="n">
        <v>0</v>
      </c>
      <c r="K126" s="7" t="n">
        <v>9</v>
      </c>
    </row>
    <row r="127">
      <c r="A127" s="21" t="inlineStr">
        <is>
          <t>18 Jun</t>
        </is>
      </c>
      <c r="B127" s="21" t="inlineStr">
        <is>
          <t>37456</t>
        </is>
      </c>
      <c r="C127" s="7" t="n">
        <v>1</v>
      </c>
      <c r="D127" s="49" t="n">
        <v>243.64</v>
      </c>
      <c r="E127" s="23" t="n">
        <v>11255</v>
      </c>
      <c r="F127" s="23" t="n">
        <v>11548</v>
      </c>
      <c r="G127" s="11">
        <f>IF(F127=0,0,E127/F127*100)</f>
        <v/>
      </c>
      <c r="H127" s="7" t="n">
        <v>0</v>
      </c>
      <c r="I127" s="7" t="n">
        <v>0</v>
      </c>
      <c r="J127" s="7" t="n">
        <v>0</v>
      </c>
      <c r="K127" s="7" t="n">
        <v>7</v>
      </c>
    </row>
    <row r="128">
      <c r="A128" s="21" t="inlineStr">
        <is>
          <t>18 Jun</t>
        </is>
      </c>
      <c r="B128" s="21" t="inlineStr">
        <is>
          <t>30360</t>
        </is>
      </c>
      <c r="C128" s="7" t="n">
        <v>1</v>
      </c>
      <c r="D128" s="49" t="n">
        <v>243.68</v>
      </c>
      <c r="E128" s="23" t="n">
        <v>11171</v>
      </c>
      <c r="F128" s="23" t="n">
        <v>11300</v>
      </c>
      <c r="G128" s="11">
        <f>IF(F128=0,0,E128/F128*100)</f>
        <v/>
      </c>
      <c r="H128" s="7" t="n">
        <v>1</v>
      </c>
      <c r="I128" s="7" t="n">
        <v>1</v>
      </c>
      <c r="J128" s="7" t="n">
        <v>0</v>
      </c>
      <c r="K128" s="7" t="n">
        <v>4</v>
      </c>
    </row>
    <row r="129">
      <c r="A129" s="21" t="inlineStr">
        <is>
          <t>18 Jun</t>
        </is>
      </c>
      <c r="B129" s="21" t="inlineStr">
        <is>
          <t>37398</t>
        </is>
      </c>
      <c r="C129" s="7" t="n">
        <v>0</v>
      </c>
      <c r="D129" s="49" t="n">
        <v>232.2</v>
      </c>
      <c r="E129" s="23" t="n">
        <v>17719</v>
      </c>
      <c r="F129" s="23" t="n">
        <v>17955</v>
      </c>
      <c r="G129" s="11">
        <f>IF(F129=0,0,E129/F129*100)</f>
        <v/>
      </c>
      <c r="H129" s="7" t="n">
        <v>1</v>
      </c>
      <c r="I129" s="7" t="n">
        <v>0</v>
      </c>
      <c r="J129" s="7" t="n">
        <v>1</v>
      </c>
      <c r="K129" s="7" t="n">
        <v>8</v>
      </c>
    </row>
    <row r="130">
      <c r="A130" s="21" t="inlineStr">
        <is>
          <t>18 Jun</t>
        </is>
      </c>
      <c r="B130" s="21" t="inlineStr">
        <is>
          <t>37005</t>
        </is>
      </c>
      <c r="C130" s="7" t="n">
        <v>0</v>
      </c>
      <c r="D130" s="49" t="n">
        <v>199.9</v>
      </c>
      <c r="E130" s="23" t="n">
        <v>16894</v>
      </c>
      <c r="F130" s="23" t="n">
        <v>17485</v>
      </c>
      <c r="G130" s="11">
        <f>IF(F130=0,0,E130/F130*100)</f>
        <v/>
      </c>
      <c r="H130" s="7" t="n">
        <v>0</v>
      </c>
      <c r="I130" s="7" t="n">
        <v>0</v>
      </c>
      <c r="J130" s="7" t="n">
        <v>0</v>
      </c>
      <c r="K130" s="7" t="n">
        <v>0</v>
      </c>
    </row>
    <row r="131">
      <c r="A131" s="21" t="inlineStr">
        <is>
          <t>18 Jun</t>
        </is>
      </c>
      <c r="B131" s="21" t="inlineStr">
        <is>
          <t>37253</t>
        </is>
      </c>
      <c r="C131" s="7" t="n">
        <v>0</v>
      </c>
      <c r="D131" s="49" t="n">
        <v>199.73</v>
      </c>
      <c r="E131" s="23" t="n">
        <v>14964</v>
      </c>
      <c r="F131" s="23" t="n">
        <v>15108</v>
      </c>
      <c r="G131" s="11">
        <f>IF(F131=0,0,E131/F131*100)</f>
        <v/>
      </c>
      <c r="H131" s="7" t="n">
        <v>0</v>
      </c>
      <c r="I131" s="7" t="n">
        <v>0</v>
      </c>
      <c r="J131" s="7" t="n">
        <v>0</v>
      </c>
      <c r="K131" s="7" t="n">
        <v>9</v>
      </c>
    </row>
    <row r="132">
      <c r="A132" s="21" t="inlineStr">
        <is>
          <t>18 Jun</t>
        </is>
      </c>
      <c r="B132" s="21" t="inlineStr">
        <is>
          <t>30084</t>
        </is>
      </c>
      <c r="C132" s="7" t="n">
        <v>0</v>
      </c>
      <c r="D132" s="49" t="n">
        <v>38.48</v>
      </c>
      <c r="E132" s="23" t="n">
        <v>6228</v>
      </c>
      <c r="F132" s="23" t="n">
        <v>13115</v>
      </c>
      <c r="G132" s="11">
        <f>IF(F132=0,0,E132/F132*100)</f>
        <v/>
      </c>
      <c r="H132" s="7" t="n">
        <v>12</v>
      </c>
      <c r="I132" s="7" t="n">
        <v>0</v>
      </c>
      <c r="J132" s="7" t="n">
        <v>12</v>
      </c>
      <c r="K132" s="7" t="n">
        <v>589</v>
      </c>
    </row>
    <row r="133">
      <c r="A133" s="21" t="inlineStr">
        <is>
          <t>18 Jun</t>
        </is>
      </c>
      <c r="B133" s="21" t="inlineStr">
        <is>
          <t>37403</t>
        </is>
      </c>
      <c r="C133" s="7" t="n">
        <v>0</v>
      </c>
      <c r="D133" s="49" t="n">
        <v>157.81</v>
      </c>
      <c r="E133" s="23" t="n">
        <v>12768</v>
      </c>
      <c r="F133" s="23" t="n">
        <v>13098</v>
      </c>
      <c r="G133" s="11">
        <f>IF(F133=0,0,E133/F133*100)</f>
        <v/>
      </c>
      <c r="H133" s="7" t="n">
        <v>0</v>
      </c>
      <c r="I133" s="7" t="n">
        <v>0</v>
      </c>
      <c r="J133" s="7" t="n">
        <v>0</v>
      </c>
      <c r="K133" s="7" t="n">
        <v>9</v>
      </c>
    </row>
    <row r="134">
      <c r="A134" s="21" t="inlineStr">
        <is>
          <t>18 Jun</t>
        </is>
      </c>
      <c r="B134" s="21" t="inlineStr">
        <is>
          <t>37609</t>
        </is>
      </c>
      <c r="C134" s="7" t="n">
        <v>0</v>
      </c>
      <c r="D134" s="49" t="n">
        <v>232.24</v>
      </c>
      <c r="E134" s="23" t="n">
        <v>11241</v>
      </c>
      <c r="F134" s="23" t="n">
        <v>11592</v>
      </c>
      <c r="G134" s="11">
        <f>IF(F134=0,0,E134/F134*100)</f>
        <v/>
      </c>
      <c r="H134" s="7" t="n">
        <v>0</v>
      </c>
      <c r="I134" s="7" t="n">
        <v>0</v>
      </c>
      <c r="J134" s="7" t="n">
        <v>0</v>
      </c>
      <c r="K134" s="7" t="n">
        <v>7</v>
      </c>
    </row>
    <row r="135">
      <c r="A135" s="21" t="inlineStr">
        <is>
          <t>18 Jun</t>
        </is>
      </c>
      <c r="B135" s="21" t="inlineStr">
        <is>
          <t>39571</t>
        </is>
      </c>
      <c r="C135" s="7" t="n">
        <v>0</v>
      </c>
      <c r="D135" s="49" t="n">
        <v>199.04</v>
      </c>
      <c r="E135" s="23" t="n">
        <v>9961</v>
      </c>
      <c r="F135" s="23" t="n">
        <v>10036</v>
      </c>
      <c r="G135" s="11">
        <f>IF(F135=0,0,E135/F135*100)</f>
        <v/>
      </c>
      <c r="H135" s="7" t="n">
        <v>0</v>
      </c>
      <c r="I135" s="7" t="n">
        <v>0</v>
      </c>
      <c r="J135" s="7" t="n">
        <v>0</v>
      </c>
      <c r="K135" s="7" t="n">
        <v>0</v>
      </c>
    </row>
    <row r="136">
      <c r="A136" s="21" t="inlineStr">
        <is>
          <t>18 Jun</t>
        </is>
      </c>
      <c r="B136" s="21" t="inlineStr">
        <is>
          <t>35002</t>
        </is>
      </c>
      <c r="C136" s="7" t="n">
        <v>0</v>
      </c>
      <c r="D136" s="49" t="n">
        <v>199.16</v>
      </c>
      <c r="E136" s="23" t="n">
        <v>9582</v>
      </c>
      <c r="F136" s="23" t="n">
        <v>9620</v>
      </c>
      <c r="G136" s="11">
        <f>IF(F136=0,0,E136/F136*100)</f>
        <v/>
      </c>
      <c r="H136" s="7" t="n">
        <v>0</v>
      </c>
      <c r="I136" s="7" t="n">
        <v>0</v>
      </c>
      <c r="J136" s="7" t="n">
        <v>0</v>
      </c>
      <c r="K136" s="7" t="n">
        <v>2</v>
      </c>
    </row>
    <row r="137">
      <c r="A137" s="21" t="inlineStr">
        <is>
          <t>18 Jun</t>
        </is>
      </c>
      <c r="B137" s="21" t="inlineStr">
        <is>
          <t>39135</t>
        </is>
      </c>
      <c r="C137" s="7" t="n">
        <v>0</v>
      </c>
      <c r="D137" s="49" t="n">
        <v>199.05</v>
      </c>
      <c r="E137" s="23" t="n">
        <v>8853</v>
      </c>
      <c r="F137" s="23" t="n">
        <v>8916</v>
      </c>
      <c r="G137" s="11">
        <f>IF(F137=0,0,E137/F137*100)</f>
        <v/>
      </c>
      <c r="H137" s="7" t="n">
        <v>0</v>
      </c>
      <c r="I137" s="7" t="n">
        <v>0</v>
      </c>
      <c r="J137" s="7" t="n">
        <v>0</v>
      </c>
      <c r="K137" s="7" t="n">
        <v>2</v>
      </c>
    </row>
    <row r="138">
      <c r="A138" s="21" t="inlineStr">
        <is>
          <t>18 Jun</t>
        </is>
      </c>
      <c r="B138" s="21" t="inlineStr">
        <is>
          <t>30692</t>
        </is>
      </c>
      <c r="C138" s="7" t="n">
        <v>0</v>
      </c>
      <c r="D138" s="49" t="n">
        <v>209.96</v>
      </c>
      <c r="E138" s="23" t="n">
        <v>8507</v>
      </c>
      <c r="F138" s="23" t="n">
        <v>8759</v>
      </c>
      <c r="G138" s="11">
        <f>IF(F138=0,0,E138/F138*100)</f>
        <v/>
      </c>
      <c r="H138" s="7" t="n">
        <v>0</v>
      </c>
      <c r="I138" s="7" t="n">
        <v>0</v>
      </c>
      <c r="J138" s="7" t="n">
        <v>0</v>
      </c>
      <c r="K138" s="7" t="n">
        <v>3</v>
      </c>
    </row>
    <row r="139">
      <c r="A139" s="21" t="inlineStr">
        <is>
          <t>18 Jun</t>
        </is>
      </c>
      <c r="B139" s="21" t="inlineStr">
        <is>
          <t>39263</t>
        </is>
      </c>
      <c r="C139" s="7" t="n">
        <v>0</v>
      </c>
      <c r="D139" s="49" t="n">
        <v>175.69</v>
      </c>
      <c r="E139" s="23" t="n">
        <v>8300</v>
      </c>
      <c r="F139" s="23" t="n">
        <v>8649</v>
      </c>
      <c r="G139" s="11">
        <f>IF(F139=0,0,E139/F139*100)</f>
        <v/>
      </c>
      <c r="H139" s="7" t="n">
        <v>0</v>
      </c>
      <c r="I139" s="7" t="n">
        <v>0</v>
      </c>
      <c r="J139" s="7" t="n">
        <v>0</v>
      </c>
      <c r="K139" s="7" t="n">
        <v>4</v>
      </c>
    </row>
    <row r="140">
      <c r="A140" s="21" t="inlineStr">
        <is>
          <t>18 Jun</t>
        </is>
      </c>
      <c r="B140" s="21" t="inlineStr">
        <is>
          <t>39410</t>
        </is>
      </c>
      <c r="C140" s="7" t="n">
        <v>0</v>
      </c>
      <c r="D140" s="49" t="n">
        <v>161.48</v>
      </c>
      <c r="E140" s="23" t="n">
        <v>8238</v>
      </c>
      <c r="F140" s="23" t="n">
        <v>8453</v>
      </c>
      <c r="G140" s="11">
        <f>IF(F140=0,0,E140/F140*100)</f>
        <v/>
      </c>
      <c r="H140" s="7" t="n">
        <v>3</v>
      </c>
      <c r="I140" s="7" t="n">
        <v>0</v>
      </c>
      <c r="J140" s="7" t="n">
        <v>3</v>
      </c>
      <c r="K140" s="7" t="n">
        <v>6</v>
      </c>
    </row>
    <row r="141">
      <c r="A141" s="21" t="inlineStr">
        <is>
          <t>18 Jun</t>
        </is>
      </c>
      <c r="B141" s="21" t="inlineStr">
        <is>
          <t>35048</t>
        </is>
      </c>
      <c r="C141" s="7" t="n">
        <v>0</v>
      </c>
      <c r="D141" s="49" t="n">
        <v>94.22</v>
      </c>
      <c r="E141" s="23" t="n">
        <v>8019</v>
      </c>
      <c r="F141" s="23" t="n">
        <v>8073</v>
      </c>
      <c r="G141" s="11">
        <f>IF(F141=0,0,E141/F141*100)</f>
        <v/>
      </c>
      <c r="H141" s="7" t="n">
        <v>0</v>
      </c>
      <c r="I141" s="7" t="n">
        <v>0</v>
      </c>
      <c r="J141" s="7" t="n">
        <v>0</v>
      </c>
      <c r="K141" s="7" t="n">
        <v>1</v>
      </c>
    </row>
    <row r="142">
      <c r="A142" s="21" t="inlineStr">
        <is>
          <t>18 Jun</t>
        </is>
      </c>
      <c r="B142" s="21" t="inlineStr">
        <is>
          <t>37719</t>
        </is>
      </c>
      <c r="C142" s="7" t="n">
        <v>0</v>
      </c>
      <c r="D142" s="49" t="n">
        <v>199.46</v>
      </c>
      <c r="E142" s="23" t="n">
        <v>7433</v>
      </c>
      <c r="F142" s="23" t="n">
        <v>7575</v>
      </c>
      <c r="G142" s="11">
        <f>IF(F142=0,0,E142/F142*100)</f>
        <v/>
      </c>
      <c r="H142" s="7" t="n">
        <v>0</v>
      </c>
      <c r="I142" s="7" t="n">
        <v>0</v>
      </c>
      <c r="J142" s="7" t="n">
        <v>0</v>
      </c>
      <c r="K142" s="7" t="n">
        <v>8</v>
      </c>
    </row>
    <row r="143">
      <c r="A143" s="21" t="inlineStr">
        <is>
          <t>18 Jun</t>
        </is>
      </c>
      <c r="B143" s="21" t="inlineStr">
        <is>
          <t>39177</t>
        </is>
      </c>
      <c r="C143" s="7" t="n">
        <v>0</v>
      </c>
      <c r="D143" s="49" t="n">
        <v>93.91</v>
      </c>
      <c r="E143" s="23" t="n">
        <v>6861</v>
      </c>
      <c r="F143" s="23" t="n">
        <v>6943</v>
      </c>
      <c r="G143" s="11">
        <f>IF(F143=0,0,E143/F143*100)</f>
        <v/>
      </c>
      <c r="H143" s="7" t="n">
        <v>0</v>
      </c>
      <c r="I143" s="7" t="n">
        <v>0</v>
      </c>
      <c r="J143" s="7" t="n">
        <v>0</v>
      </c>
      <c r="K143" s="7" t="n">
        <v>0</v>
      </c>
    </row>
    <row r="144">
      <c r="A144" s="21" t="inlineStr">
        <is>
          <t>18 Jun</t>
        </is>
      </c>
      <c r="B144" s="21" t="inlineStr">
        <is>
          <t>37778</t>
        </is>
      </c>
      <c r="C144" s="7" t="n">
        <v>0</v>
      </c>
      <c r="D144" s="49" t="n">
        <v>199.6</v>
      </c>
      <c r="E144" s="23" t="n">
        <v>6560</v>
      </c>
      <c r="F144" s="23" t="n">
        <v>6575</v>
      </c>
      <c r="G144" s="11">
        <f>IF(F144=0,0,E144/F144*100)</f>
        <v/>
      </c>
      <c r="H144" s="7" t="n">
        <v>0</v>
      </c>
      <c r="I144" s="7" t="n">
        <v>0</v>
      </c>
      <c r="J144" s="7" t="n">
        <v>0</v>
      </c>
      <c r="K144" s="7" t="n">
        <v>0</v>
      </c>
    </row>
    <row r="145">
      <c r="A145" s="21" t="inlineStr">
        <is>
          <t>18 Jun</t>
        </is>
      </c>
      <c r="B145" s="21" t="inlineStr">
        <is>
          <t>37894</t>
        </is>
      </c>
      <c r="C145" s="7" t="n">
        <v>0</v>
      </c>
      <c r="D145" s="49" t="n">
        <v>199.4</v>
      </c>
      <c r="E145" s="23" t="n">
        <v>6443</v>
      </c>
      <c r="F145" s="23" t="n">
        <v>6510</v>
      </c>
      <c r="G145" s="11">
        <f>IF(F145=0,0,E145/F145*100)</f>
        <v/>
      </c>
      <c r="H145" s="7" t="n">
        <v>0</v>
      </c>
      <c r="I145" s="7" t="n">
        <v>0</v>
      </c>
      <c r="J145" s="7" t="n">
        <v>0</v>
      </c>
      <c r="K145" s="7" t="n">
        <v>0</v>
      </c>
    </row>
    <row r="146">
      <c r="A146" s="21" t="inlineStr">
        <is>
          <t>18 Jun</t>
        </is>
      </c>
      <c r="B146" s="21" t="inlineStr">
        <is>
          <t>30322</t>
        </is>
      </c>
      <c r="C146" s="7" t="n">
        <v>0</v>
      </c>
      <c r="D146" s="49" t="n">
        <v>82.54000000000001</v>
      </c>
      <c r="E146" s="23" t="n">
        <v>5776</v>
      </c>
      <c r="F146" s="23" t="n">
        <v>5919</v>
      </c>
      <c r="G146" s="11">
        <f>IF(F146=0,0,E146/F146*100)</f>
        <v/>
      </c>
      <c r="H146" s="7" t="n">
        <v>0</v>
      </c>
      <c r="I146" s="7" t="n">
        <v>0</v>
      </c>
      <c r="J146" s="7" t="n">
        <v>0</v>
      </c>
      <c r="K146" s="7" t="n">
        <v>10</v>
      </c>
    </row>
    <row r="147">
      <c r="A147" s="21" t="inlineStr">
        <is>
          <t>18 Jun</t>
        </is>
      </c>
      <c r="B147" s="21" t="inlineStr">
        <is>
          <t>30329</t>
        </is>
      </c>
      <c r="C147" s="7" t="n">
        <v>0</v>
      </c>
      <c r="D147" s="49" t="n">
        <v>82.63</v>
      </c>
      <c r="E147" s="23" t="n">
        <v>5688</v>
      </c>
      <c r="F147" s="23" t="n">
        <v>5858</v>
      </c>
      <c r="G147" s="11">
        <f>IF(F147=0,0,E147/F147*100)</f>
        <v/>
      </c>
      <c r="H147" s="7" t="n">
        <v>0</v>
      </c>
      <c r="I147" s="7" t="n">
        <v>0</v>
      </c>
      <c r="J147" s="7" t="n">
        <v>0</v>
      </c>
      <c r="K147" s="7" t="n">
        <v>4</v>
      </c>
    </row>
    <row r="148">
      <c r="A148" s="21" t="inlineStr">
        <is>
          <t>18 Jun</t>
        </is>
      </c>
      <c r="B148" s="21" t="inlineStr">
        <is>
          <t>37168</t>
        </is>
      </c>
      <c r="C148" s="7" t="n">
        <v>0</v>
      </c>
      <c r="D148" s="49" t="n">
        <v>93.77</v>
      </c>
      <c r="E148" s="23" t="n">
        <v>4952</v>
      </c>
      <c r="F148" s="23" t="n">
        <v>5081</v>
      </c>
      <c r="G148" s="11">
        <f>IF(F148=0,0,E148/F148*100)</f>
        <v/>
      </c>
      <c r="H148" s="7" t="n">
        <v>0</v>
      </c>
      <c r="I148" s="7" t="n">
        <v>0</v>
      </c>
      <c r="J148" s="7" t="n">
        <v>0</v>
      </c>
      <c r="K148" s="7" t="n">
        <v>4</v>
      </c>
    </row>
    <row r="149">
      <c r="A149" s="21" t="inlineStr">
        <is>
          <t>18 Jun</t>
        </is>
      </c>
      <c r="B149" s="21" t="inlineStr">
        <is>
          <t>39060</t>
        </is>
      </c>
      <c r="C149" s="7" t="n">
        <v>0</v>
      </c>
      <c r="D149" s="49" t="n">
        <v>93.77</v>
      </c>
      <c r="E149" s="23" t="n">
        <v>4133</v>
      </c>
      <c r="F149" s="23" t="n">
        <v>4166</v>
      </c>
      <c r="G149" s="11">
        <f>IF(F149=0,0,E149/F149*100)</f>
        <v/>
      </c>
      <c r="H149" s="7" t="n">
        <v>0</v>
      </c>
      <c r="I149" s="7" t="n">
        <v>0</v>
      </c>
      <c r="J149" s="7" t="n">
        <v>0</v>
      </c>
      <c r="K149" s="7" t="n">
        <v>0</v>
      </c>
    </row>
    <row r="150">
      <c r="A150" s="21" t="inlineStr">
        <is>
          <t>18 Jun</t>
        </is>
      </c>
      <c r="B150" s="21" t="inlineStr">
        <is>
          <t>39195</t>
        </is>
      </c>
      <c r="C150" s="7" t="n">
        <v>0</v>
      </c>
      <c r="D150" s="49" t="n">
        <v>107.22</v>
      </c>
      <c r="E150" s="23" t="n">
        <v>3659</v>
      </c>
      <c r="F150" s="23" t="n">
        <v>3776</v>
      </c>
      <c r="G150" s="11">
        <f>IF(F150=0,0,E150/F150*100)</f>
        <v/>
      </c>
      <c r="H150" s="7" t="n">
        <v>1</v>
      </c>
      <c r="I150" s="7" t="n">
        <v>0</v>
      </c>
      <c r="J150" s="7" t="n">
        <v>1</v>
      </c>
      <c r="K150" s="7" t="n">
        <v>0</v>
      </c>
    </row>
    <row r="151">
      <c r="A151" s="21" t="inlineStr">
        <is>
          <t>18 Jun</t>
        </is>
      </c>
      <c r="B151" s="21" t="inlineStr">
        <is>
          <t>39113</t>
        </is>
      </c>
      <c r="C151" s="7" t="n">
        <v>0</v>
      </c>
      <c r="D151" s="49" t="n">
        <v>91.61</v>
      </c>
      <c r="E151" s="23" t="n">
        <v>3204</v>
      </c>
      <c r="F151" s="23" t="n">
        <v>3240</v>
      </c>
      <c r="G151" s="11">
        <f>IF(F151=0,0,E151/F151*100)</f>
        <v/>
      </c>
      <c r="H151" s="7" t="n">
        <v>0</v>
      </c>
      <c r="I151" s="7" t="n">
        <v>0</v>
      </c>
      <c r="J151" s="7" t="n">
        <v>0</v>
      </c>
      <c r="K151" s="7" t="n">
        <v>1</v>
      </c>
    </row>
    <row r="152">
      <c r="A152" s="21" t="inlineStr">
        <is>
          <t>18 Jun</t>
        </is>
      </c>
      <c r="B152" s="21" t="inlineStr">
        <is>
          <t>30328</t>
        </is>
      </c>
      <c r="C152" s="7" t="n">
        <v>0</v>
      </c>
      <c r="D152" s="49" t="n">
        <v>73.26000000000001</v>
      </c>
      <c r="E152" s="23" t="n">
        <v>2841</v>
      </c>
      <c r="F152" s="23" t="n">
        <v>2858</v>
      </c>
      <c r="G152" s="11">
        <f>IF(F152=0,0,E152/F152*100)</f>
        <v/>
      </c>
      <c r="H152" s="7" t="n">
        <v>0</v>
      </c>
      <c r="I152" s="7" t="n">
        <v>0</v>
      </c>
      <c r="J152" s="7" t="n">
        <v>0</v>
      </c>
      <c r="K152" s="7" t="n">
        <v>3</v>
      </c>
    </row>
    <row r="153">
      <c r="A153" s="21" t="inlineStr">
        <is>
          <t>18 Jun</t>
        </is>
      </c>
      <c r="B153" s="21" t="inlineStr">
        <is>
          <t>37244</t>
        </is>
      </c>
      <c r="C153" s="7" t="n">
        <v>0</v>
      </c>
      <c r="D153" s="49" t="n">
        <v>44.04</v>
      </c>
      <c r="E153" s="23" t="n">
        <v>1901</v>
      </c>
      <c r="F153" s="23" t="n">
        <v>2218</v>
      </c>
      <c r="G153" s="11">
        <f>IF(F153=0,0,E153/F153*100)</f>
        <v/>
      </c>
      <c r="H153" s="7" t="n">
        <v>0</v>
      </c>
      <c r="I153" s="7" t="n">
        <v>0</v>
      </c>
      <c r="J153" s="7" t="n">
        <v>0</v>
      </c>
      <c r="K153" s="7" t="n">
        <v>5</v>
      </c>
    </row>
    <row r="154">
      <c r="A154" s="21" t="inlineStr">
        <is>
          <t>18 Jun</t>
        </is>
      </c>
      <c r="B154" s="21" t="inlineStr">
        <is>
          <t>30468</t>
        </is>
      </c>
      <c r="C154" s="7" t="n">
        <v>0</v>
      </c>
      <c r="D154" s="49" t="n">
        <v>60.22</v>
      </c>
      <c r="E154" s="23" t="n">
        <v>715</v>
      </c>
      <c r="F154" s="23" t="n">
        <v>796</v>
      </c>
      <c r="G154" s="11">
        <f>IF(F154=0,0,E154/F154*100)</f>
        <v/>
      </c>
      <c r="H154" s="7" t="n">
        <v>0</v>
      </c>
      <c r="I154" s="7" t="n">
        <v>0</v>
      </c>
      <c r="J154" s="7" t="n">
        <v>0</v>
      </c>
      <c r="K154" s="7" t="n">
        <v>5</v>
      </c>
    </row>
    <row r="155">
      <c r="A155" s="21" t="inlineStr">
        <is>
          <t>18 Jun</t>
        </is>
      </c>
      <c r="B155" s="21" t="inlineStr">
        <is>
          <t>38443</t>
        </is>
      </c>
      <c r="C155" s="7" t="n">
        <v>0</v>
      </c>
      <c r="D155" s="49" t="n">
        <v>0.25</v>
      </c>
      <c r="E155" s="23" t="n">
        <v>448</v>
      </c>
      <c r="F155" s="23" t="n">
        <v>526</v>
      </c>
      <c r="G155" s="11">
        <f>IF(F155=0,0,E155/F155*100)</f>
        <v/>
      </c>
      <c r="H155" s="7" t="n">
        <v>2</v>
      </c>
      <c r="I155" s="7" t="n">
        <v>0</v>
      </c>
      <c r="J155" s="7" t="n">
        <v>2</v>
      </c>
      <c r="K155" s="7" t="n">
        <v>7</v>
      </c>
    </row>
    <row r="156">
      <c r="A156" s="21" t="inlineStr">
        <is>
          <t>18 Jun</t>
        </is>
      </c>
      <c r="B156" s="21" t="inlineStr">
        <is>
          <t>555555</t>
        </is>
      </c>
      <c r="C156" s="7" t="n">
        <v>0</v>
      </c>
      <c r="D156" s="49" t="n">
        <v>3.82</v>
      </c>
      <c r="E156" s="23" t="n">
        <v>16</v>
      </c>
      <c r="F156" s="23" t="n">
        <v>36</v>
      </c>
      <c r="G156" s="11">
        <f>IF(F156=0,0,E156/F156*100)</f>
        <v/>
      </c>
      <c r="H156" s="7" t="n">
        <v>0</v>
      </c>
      <c r="I156" s="7" t="n">
        <v>0</v>
      </c>
      <c r="J156" s="7" t="n">
        <v>0</v>
      </c>
      <c r="K156" s="7" t="n">
        <v>0</v>
      </c>
    </row>
    <row r="157">
      <c r="A157" s="24" t="inlineStr">
        <is>
          <t>18 Jun</t>
        </is>
      </c>
      <c r="B157" s="24" t="inlineStr">
        <is>
          <t>Day Total</t>
        </is>
      </c>
      <c r="C157" s="25">
        <f>SUM(C126:C156)</f>
        <v/>
      </c>
      <c r="D157" s="50">
        <f>SUM(D126:D156)</f>
        <v/>
      </c>
      <c r="E157" s="27">
        <f>SUM(E126:E156)</f>
        <v/>
      </c>
      <c r="F157" s="27">
        <f>SUM(F126:F156)</f>
        <v/>
      </c>
      <c r="G157" s="28">
        <f>IF(F157=0,0,E157/F157*100)</f>
        <v/>
      </c>
      <c r="H157" s="25">
        <f>SUM(H126:H156)</f>
        <v/>
      </c>
      <c r="I157" s="25">
        <f>SUM(I126:I156)</f>
        <v/>
      </c>
      <c r="J157" s="25">
        <f>SUM(J126:J156)</f>
        <v/>
      </c>
      <c r="K157" s="25">
        <f>SUM(K126:K156)</f>
        <v/>
      </c>
    </row>
    <row r="158">
      <c r="A158" s="21" t="inlineStr">
        <is>
          <t>19 Jun</t>
        </is>
      </c>
      <c r="B158" s="21" t="inlineStr">
        <is>
          <t>30200</t>
        </is>
      </c>
      <c r="C158" s="7" t="n">
        <v>1</v>
      </c>
      <c r="D158" s="49" t="n">
        <v>243.74</v>
      </c>
      <c r="E158" s="23" t="n">
        <v>21779</v>
      </c>
      <c r="F158" s="23" t="n">
        <v>22250</v>
      </c>
      <c r="G158" s="11">
        <f>IF(F158=0,0,E158/F158*100)</f>
        <v/>
      </c>
      <c r="H158" s="7" t="n">
        <v>4</v>
      </c>
      <c r="I158" s="7" t="n">
        <v>4</v>
      </c>
      <c r="J158" s="7" t="n">
        <v>0</v>
      </c>
      <c r="K158" s="7" t="n">
        <v>15</v>
      </c>
    </row>
    <row r="159">
      <c r="A159" s="21" t="inlineStr">
        <is>
          <t>19 Jun</t>
        </is>
      </c>
      <c r="B159" s="21" t="inlineStr">
        <is>
          <t>39409</t>
        </is>
      </c>
      <c r="C159" s="7" t="n">
        <v>1</v>
      </c>
      <c r="D159" s="49" t="n">
        <v>244.02</v>
      </c>
      <c r="E159" s="23" t="n">
        <v>11313</v>
      </c>
      <c r="F159" s="23" t="n">
        <v>11557</v>
      </c>
      <c r="G159" s="11">
        <f>IF(F159=0,0,E159/F159*100)</f>
        <v/>
      </c>
      <c r="H159" s="7" t="n">
        <v>0</v>
      </c>
      <c r="I159" s="7" t="n">
        <v>0</v>
      </c>
      <c r="J159" s="7" t="n">
        <v>0</v>
      </c>
      <c r="K159" s="7" t="n">
        <v>4</v>
      </c>
    </row>
    <row r="160">
      <c r="A160" s="21" t="inlineStr">
        <is>
          <t>19 Jun</t>
        </is>
      </c>
      <c r="B160" s="21" t="inlineStr">
        <is>
          <t>37034</t>
        </is>
      </c>
      <c r="C160" s="7" t="n">
        <v>1</v>
      </c>
      <c r="D160" s="49" t="n">
        <v>243.52</v>
      </c>
      <c r="E160" s="23" t="n">
        <v>10190</v>
      </c>
      <c r="F160" s="23" t="n">
        <v>10402</v>
      </c>
      <c r="G160" s="11">
        <f>IF(F160=0,0,E160/F160*100)</f>
        <v/>
      </c>
      <c r="H160" s="7" t="n">
        <v>0</v>
      </c>
      <c r="I160" s="7" t="n">
        <v>0</v>
      </c>
      <c r="J160" s="7" t="n">
        <v>0</v>
      </c>
      <c r="K160" s="7" t="n">
        <v>6</v>
      </c>
    </row>
    <row r="161">
      <c r="A161" s="21" t="inlineStr">
        <is>
          <t>19 Jun</t>
        </is>
      </c>
      <c r="B161" s="21" t="inlineStr">
        <is>
          <t>37777</t>
        </is>
      </c>
      <c r="C161" s="7" t="n">
        <v>1</v>
      </c>
      <c r="D161" s="49" t="n">
        <v>243.66</v>
      </c>
      <c r="E161" s="23" t="n">
        <v>8746</v>
      </c>
      <c r="F161" s="23" t="n">
        <v>9385</v>
      </c>
      <c r="G161" s="11">
        <f>IF(F161=0,0,E161/F161*100)</f>
        <v/>
      </c>
      <c r="H161" s="7" t="n">
        <v>0</v>
      </c>
      <c r="I161" s="7" t="n">
        <v>0</v>
      </c>
      <c r="J161" s="7" t="n">
        <v>0</v>
      </c>
      <c r="K161" s="7" t="n">
        <v>10</v>
      </c>
    </row>
    <row r="162">
      <c r="A162" s="21" t="inlineStr">
        <is>
          <t>19 Jun</t>
        </is>
      </c>
      <c r="B162" s="21" t="inlineStr">
        <is>
          <t>37778</t>
        </is>
      </c>
      <c r="C162" s="7" t="n">
        <v>1</v>
      </c>
      <c r="D162" s="49" t="n">
        <v>243.89</v>
      </c>
      <c r="E162" s="23" t="n">
        <v>8414</v>
      </c>
      <c r="F162" s="23" t="n">
        <v>8537</v>
      </c>
      <c r="G162" s="11">
        <f>IF(F162=0,0,E162/F162*100)</f>
        <v/>
      </c>
      <c r="H162" s="7" t="n">
        <v>0</v>
      </c>
      <c r="I162" s="7" t="n">
        <v>0</v>
      </c>
      <c r="J162" s="7" t="n">
        <v>0</v>
      </c>
      <c r="K162" s="7" t="n">
        <v>3</v>
      </c>
    </row>
    <row r="163">
      <c r="A163" s="21" t="inlineStr">
        <is>
          <t>19 Jun</t>
        </is>
      </c>
      <c r="B163" s="21" t="inlineStr">
        <is>
          <t>39408</t>
        </is>
      </c>
      <c r="C163" s="7" t="n">
        <v>0</v>
      </c>
      <c r="D163" s="49" t="n">
        <v>199.75</v>
      </c>
      <c r="E163" s="23" t="n">
        <v>15698</v>
      </c>
      <c r="F163" s="23" t="n">
        <v>15775</v>
      </c>
      <c r="G163" s="11">
        <f>IF(F163=0,0,E163/F163*100)</f>
        <v/>
      </c>
      <c r="H163" s="7" t="n">
        <v>0</v>
      </c>
      <c r="I163" s="7" t="n">
        <v>0</v>
      </c>
      <c r="J163" s="7" t="n">
        <v>0</v>
      </c>
      <c r="K163" s="7" t="n">
        <v>0</v>
      </c>
    </row>
    <row r="164">
      <c r="A164" s="21" t="inlineStr">
        <is>
          <t>19 Jun</t>
        </is>
      </c>
      <c r="B164" s="21" t="inlineStr">
        <is>
          <t>39411</t>
        </is>
      </c>
      <c r="C164" s="7" t="n">
        <v>0</v>
      </c>
      <c r="D164" s="49" t="n">
        <v>199.04</v>
      </c>
      <c r="E164" s="23" t="n">
        <v>13184</v>
      </c>
      <c r="F164" s="23" t="n">
        <v>13504</v>
      </c>
      <c r="G164" s="11">
        <f>IF(F164=0,0,E164/F164*100)</f>
        <v/>
      </c>
      <c r="H164" s="7" t="n">
        <v>0</v>
      </c>
      <c r="I164" s="7" t="n">
        <v>0</v>
      </c>
      <c r="J164" s="7" t="n">
        <v>0</v>
      </c>
      <c r="K164" s="7" t="n">
        <v>3</v>
      </c>
    </row>
    <row r="165">
      <c r="A165" s="21" t="inlineStr">
        <is>
          <t>19 Jun</t>
        </is>
      </c>
      <c r="B165" s="21" t="inlineStr">
        <is>
          <t>30493</t>
        </is>
      </c>
      <c r="C165" s="7" t="n">
        <v>0</v>
      </c>
      <c r="D165" s="49" t="n">
        <v>232.24</v>
      </c>
      <c r="E165" s="23" t="n">
        <v>11438</v>
      </c>
      <c r="F165" s="23" t="n">
        <v>11835</v>
      </c>
      <c r="G165" s="11">
        <f>IF(F165=0,0,E165/F165*100)</f>
        <v/>
      </c>
      <c r="H165" s="7" t="n">
        <v>0</v>
      </c>
      <c r="I165" s="7" t="n">
        <v>0</v>
      </c>
      <c r="J165" s="7" t="n">
        <v>0</v>
      </c>
      <c r="K165" s="7" t="n">
        <v>20</v>
      </c>
    </row>
    <row r="166">
      <c r="A166" s="21" t="inlineStr">
        <is>
          <t>19 Jun</t>
        </is>
      </c>
      <c r="B166" s="21" t="inlineStr">
        <is>
          <t>37610</t>
        </is>
      </c>
      <c r="C166" s="7" t="n">
        <v>0</v>
      </c>
      <c r="D166" s="49" t="n">
        <v>232.25</v>
      </c>
      <c r="E166" s="23" t="n">
        <v>11166</v>
      </c>
      <c r="F166" s="23" t="n">
        <v>11297</v>
      </c>
      <c r="G166" s="11">
        <f>IF(F166=0,0,E166/F166*100)</f>
        <v/>
      </c>
      <c r="H166" s="7" t="n">
        <v>0</v>
      </c>
      <c r="I166" s="7" t="n">
        <v>0</v>
      </c>
      <c r="J166" s="7" t="n">
        <v>0</v>
      </c>
      <c r="K166" s="7" t="n">
        <v>3</v>
      </c>
    </row>
    <row r="167">
      <c r="A167" s="21" t="inlineStr">
        <is>
          <t>19 Jun</t>
        </is>
      </c>
      <c r="B167" s="21" t="inlineStr">
        <is>
          <t>30552</t>
        </is>
      </c>
      <c r="C167" s="7" t="n">
        <v>0</v>
      </c>
      <c r="D167" s="49" t="n">
        <v>231.65</v>
      </c>
      <c r="E167" s="23" t="n">
        <v>9861</v>
      </c>
      <c r="F167" s="23" t="n">
        <v>9954</v>
      </c>
      <c r="G167" s="11">
        <f>IF(F167=0,0,E167/F167*100)</f>
        <v/>
      </c>
      <c r="H167" s="7" t="n">
        <v>0</v>
      </c>
      <c r="I167" s="7" t="n">
        <v>0</v>
      </c>
      <c r="J167" s="7" t="n">
        <v>0</v>
      </c>
      <c r="K167" s="7" t="n">
        <v>3</v>
      </c>
    </row>
    <row r="168">
      <c r="A168" s="21" t="inlineStr">
        <is>
          <t>19 Jun</t>
        </is>
      </c>
      <c r="B168" s="21" t="inlineStr">
        <is>
          <t>37024</t>
        </is>
      </c>
      <c r="C168" s="7" t="n">
        <v>0</v>
      </c>
      <c r="D168" s="49" t="n">
        <v>199.04</v>
      </c>
      <c r="E168" s="23" t="n">
        <v>9636</v>
      </c>
      <c r="F168" s="23" t="n">
        <v>9823</v>
      </c>
      <c r="G168" s="11">
        <f>IF(F168=0,0,E168/F168*100)</f>
        <v/>
      </c>
      <c r="H168" s="7" t="n">
        <v>0</v>
      </c>
      <c r="I168" s="7" t="n">
        <v>0</v>
      </c>
      <c r="J168" s="7" t="n">
        <v>0</v>
      </c>
      <c r="K168" s="7" t="n">
        <v>9</v>
      </c>
    </row>
    <row r="169">
      <c r="A169" s="21" t="inlineStr">
        <is>
          <t>19 Jun</t>
        </is>
      </c>
      <c r="B169" s="21" t="inlineStr">
        <is>
          <t>37720</t>
        </is>
      </c>
      <c r="C169" s="7" t="n">
        <v>0</v>
      </c>
      <c r="D169" s="49" t="n">
        <v>232.22</v>
      </c>
      <c r="E169" s="23" t="n">
        <v>8464</v>
      </c>
      <c r="F169" s="23" t="n">
        <v>8676</v>
      </c>
      <c r="G169" s="11">
        <f>IF(F169=0,0,E169/F169*100)</f>
        <v/>
      </c>
      <c r="H169" s="7" t="n">
        <v>0</v>
      </c>
      <c r="I169" s="7" t="n">
        <v>0</v>
      </c>
      <c r="J169" s="7" t="n">
        <v>0</v>
      </c>
      <c r="K169" s="7" t="n">
        <v>5</v>
      </c>
    </row>
    <row r="170">
      <c r="A170" s="21" t="inlineStr">
        <is>
          <t>19 Jun</t>
        </is>
      </c>
      <c r="B170" s="21" t="inlineStr">
        <is>
          <t>37959</t>
        </is>
      </c>
      <c r="C170" s="7" t="n">
        <v>0</v>
      </c>
      <c r="D170" s="49" t="n">
        <v>231.68</v>
      </c>
      <c r="E170" s="23" t="n">
        <v>8433</v>
      </c>
      <c r="F170" s="23" t="n">
        <v>8525</v>
      </c>
      <c r="G170" s="11">
        <f>IF(F170=0,0,E170/F170*100)</f>
        <v/>
      </c>
      <c r="H170" s="7" t="n">
        <v>0</v>
      </c>
      <c r="I170" s="7" t="n">
        <v>0</v>
      </c>
      <c r="J170" s="7" t="n">
        <v>0</v>
      </c>
      <c r="K170" s="7" t="n">
        <v>2</v>
      </c>
    </row>
    <row r="171">
      <c r="A171" s="21" t="inlineStr">
        <is>
          <t>19 Jun</t>
        </is>
      </c>
      <c r="B171" s="21" t="inlineStr">
        <is>
          <t>37272</t>
        </is>
      </c>
      <c r="C171" s="7" t="n">
        <v>0</v>
      </c>
      <c r="D171" s="49" t="n">
        <v>199.62</v>
      </c>
      <c r="E171" s="23" t="n">
        <v>7962</v>
      </c>
      <c r="F171" s="23" t="n">
        <v>8394</v>
      </c>
      <c r="G171" s="11">
        <f>IF(F171=0,0,E171/F171*100)</f>
        <v/>
      </c>
      <c r="H171" s="7" t="n">
        <v>0</v>
      </c>
      <c r="I171" s="7" t="n">
        <v>0</v>
      </c>
      <c r="J171" s="7" t="n">
        <v>0</v>
      </c>
      <c r="K171" s="7" t="n">
        <v>3</v>
      </c>
    </row>
    <row r="172">
      <c r="A172" s="21" t="inlineStr">
        <is>
          <t>19 Jun</t>
        </is>
      </c>
      <c r="B172" s="21" t="inlineStr">
        <is>
          <t>39059</t>
        </is>
      </c>
      <c r="C172" s="7" t="n">
        <v>0</v>
      </c>
      <c r="D172" s="49" t="n">
        <v>199.05</v>
      </c>
      <c r="E172" s="23" t="n">
        <v>8296</v>
      </c>
      <c r="F172" s="23" t="n">
        <v>8340</v>
      </c>
      <c r="G172" s="11">
        <f>IF(F172=0,0,E172/F172*100)</f>
        <v/>
      </c>
      <c r="H172" s="7" t="n">
        <v>0</v>
      </c>
      <c r="I172" s="7" t="n">
        <v>0</v>
      </c>
      <c r="J172" s="7" t="n">
        <v>0</v>
      </c>
      <c r="K172" s="7" t="n">
        <v>1</v>
      </c>
    </row>
    <row r="173">
      <c r="A173" s="21" t="inlineStr">
        <is>
          <t>19 Jun</t>
        </is>
      </c>
      <c r="B173" s="21" t="inlineStr">
        <is>
          <t>35004</t>
        </is>
      </c>
      <c r="C173" s="7" t="n">
        <v>0</v>
      </c>
      <c r="D173" s="49" t="n">
        <v>199.53</v>
      </c>
      <c r="E173" s="23" t="n">
        <v>7867</v>
      </c>
      <c r="F173" s="23" t="n">
        <v>7961</v>
      </c>
      <c r="G173" s="11">
        <f>IF(F173=0,0,E173/F173*100)</f>
        <v/>
      </c>
      <c r="H173" s="7" t="n">
        <v>1</v>
      </c>
      <c r="I173" s="7" t="n">
        <v>0</v>
      </c>
      <c r="J173" s="7" t="n">
        <v>1</v>
      </c>
      <c r="K173" s="7" t="n">
        <v>2</v>
      </c>
    </row>
    <row r="174">
      <c r="A174" s="21" t="inlineStr">
        <is>
          <t>19 Jun</t>
        </is>
      </c>
      <c r="B174" s="21" t="inlineStr">
        <is>
          <t>39095</t>
        </is>
      </c>
      <c r="C174" s="7" t="n">
        <v>0</v>
      </c>
      <c r="D174" s="49" t="n">
        <v>199.39</v>
      </c>
      <c r="E174" s="23" t="n">
        <v>7730</v>
      </c>
      <c r="F174" s="23" t="n">
        <v>7777</v>
      </c>
      <c r="G174" s="11">
        <f>IF(F174=0,0,E174/F174*100)</f>
        <v/>
      </c>
      <c r="H174" s="7" t="n">
        <v>0</v>
      </c>
      <c r="I174" s="7" t="n">
        <v>0</v>
      </c>
      <c r="J174" s="7" t="n">
        <v>0</v>
      </c>
      <c r="K174" s="7" t="n">
        <v>0</v>
      </c>
    </row>
    <row r="175">
      <c r="A175" s="21" t="inlineStr">
        <is>
          <t>19 Jun</t>
        </is>
      </c>
      <c r="B175" s="21" t="inlineStr">
        <is>
          <t>37168</t>
        </is>
      </c>
      <c r="C175" s="7" t="n">
        <v>0</v>
      </c>
      <c r="D175" s="49" t="n">
        <v>206.82</v>
      </c>
      <c r="E175" s="23" t="n">
        <v>7047</v>
      </c>
      <c r="F175" s="23" t="n">
        <v>7465</v>
      </c>
      <c r="G175" s="11">
        <f>IF(F175=0,0,E175/F175*100)</f>
        <v/>
      </c>
      <c r="H175" s="7" t="n">
        <v>0</v>
      </c>
      <c r="I175" s="7" t="n">
        <v>0</v>
      </c>
      <c r="J175" s="7" t="n">
        <v>0</v>
      </c>
      <c r="K175" s="7" t="n">
        <v>15</v>
      </c>
    </row>
    <row r="176">
      <c r="A176" s="21" t="inlineStr">
        <is>
          <t>19 Jun</t>
        </is>
      </c>
      <c r="B176" s="21" t="inlineStr">
        <is>
          <t>35001</t>
        </is>
      </c>
      <c r="C176" s="7" t="n">
        <v>0</v>
      </c>
      <c r="D176" s="49" t="n">
        <v>94.3</v>
      </c>
      <c r="E176" s="23" t="n">
        <v>6789</v>
      </c>
      <c r="F176" s="23" t="n">
        <v>6893</v>
      </c>
      <c r="G176" s="11">
        <f>IF(F176=0,0,E176/F176*100)</f>
        <v/>
      </c>
      <c r="H176" s="7" t="n">
        <v>0</v>
      </c>
      <c r="I176" s="7" t="n">
        <v>0</v>
      </c>
      <c r="J176" s="7" t="n">
        <v>0</v>
      </c>
      <c r="K176" s="7" t="n">
        <v>2</v>
      </c>
    </row>
    <row r="177">
      <c r="A177" s="21" t="inlineStr">
        <is>
          <t>19 Jun</t>
        </is>
      </c>
      <c r="B177" s="21" t="inlineStr">
        <is>
          <t>37261</t>
        </is>
      </c>
      <c r="C177" s="7" t="n">
        <v>0</v>
      </c>
      <c r="D177" s="49" t="n">
        <v>194.25</v>
      </c>
      <c r="E177" s="23" t="n">
        <v>6748</v>
      </c>
      <c r="F177" s="23" t="n">
        <v>6804</v>
      </c>
      <c r="G177" s="11">
        <f>IF(F177=0,0,E177/F177*100)</f>
        <v/>
      </c>
      <c r="H177" s="7" t="n">
        <v>0</v>
      </c>
      <c r="I177" s="7" t="n">
        <v>0</v>
      </c>
      <c r="J177" s="7" t="n">
        <v>0</v>
      </c>
      <c r="K177" s="7" t="n">
        <v>0</v>
      </c>
    </row>
    <row r="178">
      <c r="A178" s="21" t="inlineStr">
        <is>
          <t>19 Jun</t>
        </is>
      </c>
      <c r="B178" s="21" t="inlineStr">
        <is>
          <t>37025</t>
        </is>
      </c>
      <c r="C178" s="7" t="n">
        <v>0</v>
      </c>
      <c r="D178" s="49" t="n">
        <v>93.77</v>
      </c>
      <c r="E178" s="23" t="n">
        <v>5356</v>
      </c>
      <c r="F178" s="23" t="n">
        <v>5563</v>
      </c>
      <c r="G178" s="11">
        <f>IF(F178=0,0,E178/F178*100)</f>
        <v/>
      </c>
      <c r="H178" s="7" t="n">
        <v>0</v>
      </c>
      <c r="I178" s="7" t="n">
        <v>0</v>
      </c>
      <c r="J178" s="7" t="n">
        <v>0</v>
      </c>
      <c r="K178" s="7" t="n">
        <v>10</v>
      </c>
    </row>
    <row r="179">
      <c r="A179" s="21" t="inlineStr">
        <is>
          <t>19 Jun</t>
        </is>
      </c>
      <c r="B179" s="21" t="inlineStr">
        <is>
          <t>37246</t>
        </is>
      </c>
      <c r="C179" s="7" t="n">
        <v>0</v>
      </c>
      <c r="D179" s="49" t="n">
        <v>137.32</v>
      </c>
      <c r="E179" s="23" t="n">
        <v>4932</v>
      </c>
      <c r="F179" s="23" t="n">
        <v>5040</v>
      </c>
      <c r="G179" s="11">
        <f>IF(F179=0,0,E179/F179*100)</f>
        <v/>
      </c>
      <c r="H179" s="7" t="n">
        <v>0</v>
      </c>
      <c r="I179" s="7" t="n">
        <v>0</v>
      </c>
      <c r="J179" s="7" t="n">
        <v>0</v>
      </c>
      <c r="K179" s="7" t="n">
        <v>6</v>
      </c>
    </row>
    <row r="180">
      <c r="A180" s="21" t="inlineStr">
        <is>
          <t>19 Jun</t>
        </is>
      </c>
      <c r="B180" s="21" t="inlineStr">
        <is>
          <t>30112</t>
        </is>
      </c>
      <c r="C180" s="7" t="n">
        <v>0</v>
      </c>
      <c r="D180" s="49" t="n">
        <v>93.77</v>
      </c>
      <c r="E180" s="23" t="n">
        <v>3990</v>
      </c>
      <c r="F180" s="23" t="n">
        <v>4022</v>
      </c>
      <c r="G180" s="11">
        <f>IF(F180=0,0,E180/F180*100)</f>
        <v/>
      </c>
      <c r="H180" s="7" t="n">
        <v>1</v>
      </c>
      <c r="I180" s="7" t="n">
        <v>0</v>
      </c>
      <c r="J180" s="7" t="n">
        <v>1</v>
      </c>
      <c r="K180" s="7" t="n">
        <v>0</v>
      </c>
    </row>
    <row r="181">
      <c r="A181" s="21" t="inlineStr">
        <is>
          <t>19 Jun</t>
        </is>
      </c>
      <c r="B181" s="21" t="inlineStr">
        <is>
          <t>37401</t>
        </is>
      </c>
      <c r="C181" s="7" t="n">
        <v>0</v>
      </c>
      <c r="D181" s="49" t="n">
        <v>94.17</v>
      </c>
      <c r="E181" s="23" t="n">
        <v>3694</v>
      </c>
      <c r="F181" s="23" t="n">
        <v>3911</v>
      </c>
      <c r="G181" s="11">
        <f>IF(F181=0,0,E181/F181*100)</f>
        <v/>
      </c>
      <c r="H181" s="7" t="n">
        <v>0</v>
      </c>
      <c r="I181" s="7" t="n">
        <v>0</v>
      </c>
      <c r="J181" s="7" t="n">
        <v>0</v>
      </c>
      <c r="K181" s="7" t="n">
        <v>2</v>
      </c>
    </row>
    <row r="182">
      <c r="A182" s="21" t="inlineStr">
        <is>
          <t>19 Jun</t>
        </is>
      </c>
      <c r="B182" s="21" t="inlineStr">
        <is>
          <t>39133</t>
        </is>
      </c>
      <c r="C182" s="7" t="n">
        <v>0</v>
      </c>
      <c r="D182" s="49" t="n">
        <v>93.87</v>
      </c>
      <c r="E182" s="23" t="n">
        <v>3521</v>
      </c>
      <c r="F182" s="23" t="n">
        <v>3574</v>
      </c>
      <c r="G182" s="11">
        <f>IF(F182=0,0,E182/F182*100)</f>
        <v/>
      </c>
      <c r="H182" s="7" t="n">
        <v>0</v>
      </c>
      <c r="I182" s="7" t="n">
        <v>0</v>
      </c>
      <c r="J182" s="7" t="n">
        <v>0</v>
      </c>
      <c r="K182" s="7" t="n">
        <v>2</v>
      </c>
    </row>
    <row r="183">
      <c r="A183" s="21" t="inlineStr">
        <is>
          <t>19 Jun</t>
        </is>
      </c>
      <c r="B183" s="21" t="inlineStr">
        <is>
          <t>30742</t>
        </is>
      </c>
      <c r="C183" s="7" t="n">
        <v>0</v>
      </c>
      <c r="D183" s="49" t="n">
        <v>82.55</v>
      </c>
      <c r="E183" s="23" t="n">
        <v>3289</v>
      </c>
      <c r="F183" s="23" t="n">
        <v>3331</v>
      </c>
      <c r="G183" s="11">
        <f>IF(F183=0,0,E183/F183*100)</f>
        <v/>
      </c>
      <c r="H183" s="7" t="n">
        <v>0</v>
      </c>
      <c r="I183" s="7" t="n">
        <v>0</v>
      </c>
      <c r="J183" s="7" t="n">
        <v>0</v>
      </c>
      <c r="K183" s="7" t="n">
        <v>3</v>
      </c>
    </row>
    <row r="184">
      <c r="A184" s="21" t="inlineStr">
        <is>
          <t>19 Jun</t>
        </is>
      </c>
      <c r="B184" s="21" t="inlineStr">
        <is>
          <t>30203</t>
        </is>
      </c>
      <c r="C184" s="7" t="n">
        <v>0</v>
      </c>
      <c r="D184" s="49" t="n">
        <v>82.63</v>
      </c>
      <c r="E184" s="23" t="n">
        <v>3276</v>
      </c>
      <c r="F184" s="23" t="n">
        <v>3285</v>
      </c>
      <c r="G184" s="11">
        <f>IF(F184=0,0,E184/F184*100)</f>
        <v/>
      </c>
      <c r="H184" s="7" t="n">
        <v>0</v>
      </c>
      <c r="I184" s="7" t="n">
        <v>0</v>
      </c>
      <c r="J184" s="7" t="n">
        <v>0</v>
      </c>
      <c r="K184" s="7" t="n">
        <v>0</v>
      </c>
    </row>
    <row r="185">
      <c r="A185" s="21" t="inlineStr">
        <is>
          <t>19 Jun</t>
        </is>
      </c>
      <c r="B185" s="21" t="inlineStr">
        <is>
          <t>39170</t>
        </is>
      </c>
      <c r="C185" s="7" t="n">
        <v>0</v>
      </c>
      <c r="D185" s="49" t="n">
        <v>93.77</v>
      </c>
      <c r="E185" s="23" t="n">
        <v>3136</v>
      </c>
      <c r="F185" s="23" t="n">
        <v>3272</v>
      </c>
      <c r="G185" s="11">
        <f>IF(F185=0,0,E185/F185*100)</f>
        <v/>
      </c>
      <c r="H185" s="7" t="n">
        <v>0</v>
      </c>
      <c r="I185" s="7" t="n">
        <v>0</v>
      </c>
      <c r="J185" s="7" t="n">
        <v>0</v>
      </c>
      <c r="K185" s="7" t="n">
        <v>9</v>
      </c>
    </row>
    <row r="186">
      <c r="A186" s="21" t="inlineStr">
        <is>
          <t>19 Jun</t>
        </is>
      </c>
      <c r="B186" s="21" t="inlineStr">
        <is>
          <t>30468</t>
        </is>
      </c>
      <c r="C186" s="7" t="n">
        <v>0</v>
      </c>
      <c r="D186" s="49" t="n">
        <v>171.95</v>
      </c>
      <c r="E186" s="23" t="n">
        <v>3028</v>
      </c>
      <c r="F186" s="23" t="n">
        <v>3252</v>
      </c>
      <c r="G186" s="11">
        <f>IF(F186=0,0,E186/F186*100)</f>
        <v/>
      </c>
      <c r="H186" s="7" t="n">
        <v>0</v>
      </c>
      <c r="I186" s="7" t="n">
        <v>0</v>
      </c>
      <c r="J186" s="7" t="n">
        <v>0</v>
      </c>
      <c r="K186" s="7" t="n">
        <v>15</v>
      </c>
    </row>
    <row r="187">
      <c r="A187" s="21" t="inlineStr">
        <is>
          <t>19 Jun</t>
        </is>
      </c>
      <c r="B187" s="21" t="inlineStr">
        <is>
          <t>30328</t>
        </is>
      </c>
      <c r="C187" s="7" t="n">
        <v>0</v>
      </c>
      <c r="D187" s="49" t="n">
        <v>81.98999999999999</v>
      </c>
      <c r="E187" s="23" t="n">
        <v>2854</v>
      </c>
      <c r="F187" s="23" t="n">
        <v>3026</v>
      </c>
      <c r="G187" s="11">
        <f>IF(F187=0,0,E187/F187*100)</f>
        <v/>
      </c>
      <c r="H187" s="7" t="n">
        <v>0</v>
      </c>
      <c r="I187" s="7" t="n">
        <v>0</v>
      </c>
      <c r="J187" s="7" t="n">
        <v>0</v>
      </c>
      <c r="K187" s="7" t="n">
        <v>3</v>
      </c>
    </row>
    <row r="188">
      <c r="A188" s="21" t="inlineStr">
        <is>
          <t>19 Jun</t>
        </is>
      </c>
      <c r="B188" s="21" t="inlineStr">
        <is>
          <t>30300</t>
        </is>
      </c>
      <c r="C188" s="7" t="n">
        <v>0</v>
      </c>
      <c r="D188" s="49" t="n">
        <v>61.77</v>
      </c>
      <c r="E188" s="23" t="n">
        <v>1971</v>
      </c>
      <c r="F188" s="23" t="n">
        <v>2019</v>
      </c>
      <c r="G188" s="11">
        <f>IF(F188=0,0,E188/F188*100)</f>
        <v/>
      </c>
      <c r="H188" s="7" t="n">
        <v>0</v>
      </c>
      <c r="I188" s="7" t="n">
        <v>0</v>
      </c>
      <c r="J188" s="7" t="n">
        <v>0</v>
      </c>
      <c r="K188" s="7" t="n">
        <v>3</v>
      </c>
    </row>
    <row r="189">
      <c r="A189" s="21" t="inlineStr">
        <is>
          <t>19 Jun</t>
        </is>
      </c>
      <c r="B189" s="21" t="inlineStr">
        <is>
          <t>30327</t>
        </is>
      </c>
      <c r="C189" s="7" t="n">
        <v>0</v>
      </c>
      <c r="D189" s="49" t="n">
        <v>58.63</v>
      </c>
      <c r="E189" s="23" t="n">
        <v>1590</v>
      </c>
      <c r="F189" s="23" t="n">
        <v>1651</v>
      </c>
      <c r="G189" s="11">
        <f>IF(F189=0,0,E189/F189*100)</f>
        <v/>
      </c>
      <c r="H189" s="7" t="n">
        <v>0</v>
      </c>
      <c r="I189" s="7" t="n">
        <v>0</v>
      </c>
      <c r="J189" s="7" t="n">
        <v>0</v>
      </c>
      <c r="K189" s="7" t="n">
        <v>5</v>
      </c>
    </row>
    <row r="190">
      <c r="A190" s="21" t="inlineStr">
        <is>
          <t>19 Jun</t>
        </is>
      </c>
      <c r="B190" s="21" t="inlineStr">
        <is>
          <t>37042</t>
        </is>
      </c>
      <c r="C190" s="7" t="n">
        <v>0</v>
      </c>
      <c r="D190" s="49" t="n">
        <v>36.85</v>
      </c>
      <c r="E190" s="23" t="n">
        <v>1442</v>
      </c>
      <c r="F190" s="23" t="n">
        <v>1505</v>
      </c>
      <c r="G190" s="11">
        <f>IF(F190=0,0,E190/F190*100)</f>
        <v/>
      </c>
      <c r="H190" s="7" t="n">
        <v>0</v>
      </c>
      <c r="I190" s="7" t="n">
        <v>0</v>
      </c>
      <c r="J190" s="7" t="n">
        <v>0</v>
      </c>
      <c r="K190" s="7" t="n">
        <v>0</v>
      </c>
    </row>
    <row r="191">
      <c r="A191" s="21" t="inlineStr">
        <is>
          <t>19 Jun</t>
        </is>
      </c>
      <c r="B191" s="21" t="inlineStr">
        <is>
          <t>37403</t>
        </is>
      </c>
      <c r="C191" s="7" t="n">
        <v>0</v>
      </c>
      <c r="D191" s="49" t="n">
        <v>34.27</v>
      </c>
      <c r="E191" s="23" t="n">
        <v>1489</v>
      </c>
      <c r="F191" s="23" t="n">
        <v>1493</v>
      </c>
      <c r="G191" s="11">
        <f>IF(F191=0,0,E191/F191*100)</f>
        <v/>
      </c>
      <c r="H191" s="7" t="n">
        <v>0</v>
      </c>
      <c r="I191" s="7" t="n">
        <v>0</v>
      </c>
      <c r="J191" s="7" t="n">
        <v>0</v>
      </c>
      <c r="K191" s="7" t="n">
        <v>0</v>
      </c>
    </row>
    <row r="192">
      <c r="A192" s="21" t="inlineStr">
        <is>
          <t>19 Jun</t>
        </is>
      </c>
      <c r="B192" s="21" t="inlineStr">
        <is>
          <t>30676</t>
        </is>
      </c>
      <c r="C192" s="7" t="n">
        <v>0</v>
      </c>
      <c r="D192" s="49" t="n">
        <v>25.32</v>
      </c>
      <c r="E192" s="23" t="n">
        <v>946</v>
      </c>
      <c r="F192" s="23" t="n">
        <v>1109</v>
      </c>
      <c r="G192" s="11">
        <f>IF(F192=0,0,E192/F192*100)</f>
        <v/>
      </c>
      <c r="H192" s="7" t="n">
        <v>3</v>
      </c>
      <c r="I192" s="7" t="n">
        <v>0</v>
      </c>
      <c r="J192" s="7" t="n">
        <v>3</v>
      </c>
      <c r="K192" s="7" t="n">
        <v>2</v>
      </c>
    </row>
    <row r="193">
      <c r="A193" s="21" t="inlineStr">
        <is>
          <t>19 Jun</t>
        </is>
      </c>
      <c r="B193" s="21" t="inlineStr">
        <is>
          <t>39571</t>
        </is>
      </c>
      <c r="C193" s="7" t="n">
        <v>0</v>
      </c>
      <c r="D193" s="49" t="n">
        <v>35.36</v>
      </c>
      <c r="E193" s="23" t="n">
        <v>810</v>
      </c>
      <c r="F193" s="23" t="n">
        <v>881</v>
      </c>
      <c r="G193" s="11">
        <f>IF(F193=0,0,E193/F193*100)</f>
        <v/>
      </c>
      <c r="H193" s="7" t="n">
        <v>0</v>
      </c>
      <c r="I193" s="7" t="n">
        <v>0</v>
      </c>
      <c r="J193" s="7" t="n">
        <v>0</v>
      </c>
      <c r="K193" s="7" t="n">
        <v>2</v>
      </c>
    </row>
    <row r="194">
      <c r="A194" s="21" t="inlineStr">
        <is>
          <t>19 Jun</t>
        </is>
      </c>
      <c r="B194" s="21" t="inlineStr">
        <is>
          <t>555555</t>
        </is>
      </c>
      <c r="C194" s="7" t="n">
        <v>0</v>
      </c>
      <c r="D194" s="49" t="n">
        <v>6.39</v>
      </c>
      <c r="E194" s="23" t="n">
        <v>392</v>
      </c>
      <c r="F194" s="23" t="n">
        <v>815</v>
      </c>
      <c r="G194" s="11">
        <f>IF(F194=0,0,E194/F194*100)</f>
        <v/>
      </c>
      <c r="H194" s="7" t="n">
        <v>0</v>
      </c>
      <c r="I194" s="7" t="n">
        <v>0</v>
      </c>
      <c r="J194" s="7" t="n">
        <v>0</v>
      </c>
      <c r="K194" s="7" t="n">
        <v>2</v>
      </c>
    </row>
    <row r="195">
      <c r="A195" s="21" t="inlineStr">
        <is>
          <t>19 Jun</t>
        </is>
      </c>
      <c r="B195" s="21" t="inlineStr">
        <is>
          <t>30321</t>
        </is>
      </c>
      <c r="C195" s="7" t="n">
        <v>0</v>
      </c>
      <c r="D195" s="49" t="n">
        <v>0.06</v>
      </c>
      <c r="E195" s="23" t="n">
        <v>130</v>
      </c>
      <c r="F195" s="23" t="n">
        <v>342</v>
      </c>
      <c r="G195" s="11">
        <f>IF(F195=0,0,E195/F195*100)</f>
        <v/>
      </c>
      <c r="H195" s="7" t="n">
        <v>1</v>
      </c>
      <c r="I195" s="7" t="n">
        <v>0</v>
      </c>
      <c r="J195" s="7" t="n">
        <v>1</v>
      </c>
      <c r="K195" s="7" t="n">
        <v>2</v>
      </c>
    </row>
    <row r="196">
      <c r="A196" s="21" t="inlineStr">
        <is>
          <t>19 Jun</t>
        </is>
      </c>
      <c r="B196" s="21" t="inlineStr">
        <is>
          <t>39597</t>
        </is>
      </c>
      <c r="C196" s="7" t="n">
        <v>0</v>
      </c>
      <c r="D196" s="49" t="n">
        <v>0.03</v>
      </c>
      <c r="E196" s="23" t="n">
        <v>0</v>
      </c>
      <c r="F196" s="23" t="n">
        <v>20</v>
      </c>
      <c r="G196" s="11">
        <f>IF(F196=0,0,E196/F196*100)</f>
        <v/>
      </c>
      <c r="H196" s="7" t="n">
        <v>0</v>
      </c>
      <c r="I196" s="7" t="n">
        <v>0</v>
      </c>
      <c r="J196" s="7" t="n">
        <v>0</v>
      </c>
      <c r="K196" s="7" t="n">
        <v>0</v>
      </c>
    </row>
    <row r="197">
      <c r="A197" s="24" t="inlineStr">
        <is>
          <t>19 Jun</t>
        </is>
      </c>
      <c r="B197" s="24" t="inlineStr">
        <is>
          <t>Day Total</t>
        </is>
      </c>
      <c r="C197" s="25">
        <f>SUM(C158:C196)</f>
        <v/>
      </c>
      <c r="D197" s="50">
        <f>SUM(D158:D196)</f>
        <v/>
      </c>
      <c r="E197" s="27">
        <f>SUM(E158:E196)</f>
        <v/>
      </c>
      <c r="F197" s="27">
        <f>SUM(F158:F196)</f>
        <v/>
      </c>
      <c r="G197" s="28">
        <f>IF(F197=0,0,E197/F197*100)</f>
        <v/>
      </c>
      <c r="H197" s="25">
        <f>SUM(H158:H196)</f>
        <v/>
      </c>
      <c r="I197" s="25">
        <f>SUM(I158:I196)</f>
        <v/>
      </c>
      <c r="J197" s="25">
        <f>SUM(J158:J196)</f>
        <v/>
      </c>
      <c r="K197" s="25">
        <f>SUM(K158:K196)</f>
        <v/>
      </c>
    </row>
    <row r="198">
      <c r="A198" s="21" t="inlineStr">
        <is>
          <t>20 Jun</t>
        </is>
      </c>
      <c r="B198" s="21" t="inlineStr">
        <is>
          <t>30200</t>
        </is>
      </c>
      <c r="C198" s="7" t="n">
        <v>2</v>
      </c>
      <c r="D198" s="49" t="n">
        <v>244.03</v>
      </c>
      <c r="E198" s="23" t="n">
        <v>24306</v>
      </c>
      <c r="F198" s="23" t="n">
        <v>25146</v>
      </c>
      <c r="G198" s="11">
        <f>IF(F198=0,0,E198/F198*100)</f>
        <v/>
      </c>
      <c r="H198" s="7" t="n">
        <v>1</v>
      </c>
      <c r="I198" s="7" t="n">
        <v>1</v>
      </c>
      <c r="J198" s="7" t="n">
        <v>0</v>
      </c>
      <c r="K198" s="7" t="n">
        <v>9</v>
      </c>
    </row>
    <row r="199">
      <c r="A199" s="21" t="inlineStr">
        <is>
          <t>20 Jun</t>
        </is>
      </c>
      <c r="B199" s="21" t="inlineStr">
        <is>
          <t>39177</t>
        </is>
      </c>
      <c r="C199" s="7" t="n">
        <v>1</v>
      </c>
      <c r="D199" s="49" t="n">
        <v>244</v>
      </c>
      <c r="E199" s="23" t="n">
        <v>13690</v>
      </c>
      <c r="F199" s="23" t="n">
        <v>14066</v>
      </c>
      <c r="G199" s="11">
        <f>IF(F199=0,0,E199/F199*100)</f>
        <v/>
      </c>
      <c r="H199" s="7" t="n">
        <v>0</v>
      </c>
      <c r="I199" s="7" t="n">
        <v>0</v>
      </c>
      <c r="J199" s="7" t="n">
        <v>0</v>
      </c>
      <c r="K199" s="7" t="n">
        <v>12</v>
      </c>
    </row>
    <row r="200">
      <c r="A200" s="21" t="inlineStr">
        <is>
          <t>20 Jun</t>
        </is>
      </c>
      <c r="B200" s="21" t="inlineStr">
        <is>
          <t>37860</t>
        </is>
      </c>
      <c r="C200" s="7" t="n">
        <v>1</v>
      </c>
      <c r="D200" s="49" t="n">
        <v>243.62</v>
      </c>
      <c r="E200" s="23" t="n">
        <v>11864</v>
      </c>
      <c r="F200" s="23" t="n">
        <v>12229</v>
      </c>
      <c r="G200" s="11">
        <f>IF(F200=0,0,E200/F200*100)</f>
        <v/>
      </c>
      <c r="H200" s="7" t="n">
        <v>0</v>
      </c>
      <c r="I200" s="7" t="n">
        <v>0</v>
      </c>
      <c r="J200" s="7" t="n">
        <v>0</v>
      </c>
      <c r="K200" s="7" t="n">
        <v>9</v>
      </c>
    </row>
    <row r="201">
      <c r="A201" s="21" t="inlineStr">
        <is>
          <t>20 Jun</t>
        </is>
      </c>
      <c r="B201" s="21" t="inlineStr">
        <is>
          <t>37778</t>
        </is>
      </c>
      <c r="C201" s="7" t="n">
        <v>1</v>
      </c>
      <c r="D201" s="49" t="n">
        <v>243.89</v>
      </c>
      <c r="E201" s="23" t="n">
        <v>8412</v>
      </c>
      <c r="F201" s="23" t="n">
        <v>8809</v>
      </c>
      <c r="G201" s="11">
        <f>IF(F201=0,0,E201/F201*100)</f>
        <v/>
      </c>
      <c r="H201" s="7" t="n">
        <v>0</v>
      </c>
      <c r="I201" s="7" t="n">
        <v>0</v>
      </c>
      <c r="J201" s="7" t="n">
        <v>0</v>
      </c>
      <c r="K201" s="7" t="n">
        <v>5</v>
      </c>
    </row>
    <row r="202">
      <c r="A202" s="21" t="inlineStr">
        <is>
          <t>20 Jun</t>
        </is>
      </c>
      <c r="B202" s="21" t="inlineStr">
        <is>
          <t>39111</t>
        </is>
      </c>
      <c r="C202" s="7" t="n">
        <v>0</v>
      </c>
      <c r="D202" s="49" t="n">
        <v>199.74</v>
      </c>
      <c r="E202" s="23" t="n">
        <v>15214</v>
      </c>
      <c r="F202" s="23" t="n">
        <v>15520</v>
      </c>
      <c r="G202" s="11">
        <f>IF(F202=0,0,E202/F202*100)</f>
        <v/>
      </c>
      <c r="H202" s="7" t="n">
        <v>1</v>
      </c>
      <c r="I202" s="7" t="n">
        <v>0</v>
      </c>
      <c r="J202" s="7" t="n">
        <v>1</v>
      </c>
      <c r="K202" s="7" t="n">
        <v>8</v>
      </c>
    </row>
    <row r="203">
      <c r="A203" s="21" t="inlineStr">
        <is>
          <t>20 Jun</t>
        </is>
      </c>
      <c r="B203" s="21" t="inlineStr">
        <is>
          <t>39195</t>
        </is>
      </c>
      <c r="C203" s="7" t="n">
        <v>0</v>
      </c>
      <c r="D203" s="49" t="n">
        <v>208.64</v>
      </c>
      <c r="E203" s="23" t="n">
        <v>13372</v>
      </c>
      <c r="F203" s="23" t="n">
        <v>13665</v>
      </c>
      <c r="G203" s="11">
        <f>IF(F203=0,0,E203/F203*100)</f>
        <v/>
      </c>
      <c r="H203" s="7" t="n">
        <v>0</v>
      </c>
      <c r="I203" s="7" t="n">
        <v>0</v>
      </c>
      <c r="J203" s="7" t="n">
        <v>0</v>
      </c>
      <c r="K203" s="7" t="n">
        <v>3</v>
      </c>
    </row>
    <row r="204">
      <c r="A204" s="21" t="inlineStr">
        <is>
          <t>20 Jun</t>
        </is>
      </c>
      <c r="B204" s="21" t="inlineStr">
        <is>
          <t>37609</t>
        </is>
      </c>
      <c r="C204" s="7" t="n">
        <v>0</v>
      </c>
      <c r="D204" s="49" t="n">
        <v>232.22</v>
      </c>
      <c r="E204" s="23" t="n">
        <v>11638</v>
      </c>
      <c r="F204" s="23" t="n">
        <v>12051</v>
      </c>
      <c r="G204" s="11">
        <f>IF(F204=0,0,E204/F204*100)</f>
        <v/>
      </c>
      <c r="H204" s="7" t="n">
        <v>0</v>
      </c>
      <c r="I204" s="7" t="n">
        <v>0</v>
      </c>
      <c r="J204" s="7" t="n">
        <v>0</v>
      </c>
      <c r="K204" s="7" t="n">
        <v>4</v>
      </c>
    </row>
    <row r="205">
      <c r="A205" s="21" t="inlineStr">
        <is>
          <t>20 Jun</t>
        </is>
      </c>
      <c r="B205" s="21" t="inlineStr">
        <is>
          <t>30508</t>
        </is>
      </c>
      <c r="C205" s="7" t="n">
        <v>0</v>
      </c>
      <c r="D205" s="49" t="n">
        <v>199.46</v>
      </c>
      <c r="E205" s="23" t="n">
        <v>9223</v>
      </c>
      <c r="F205" s="23" t="n">
        <v>9365</v>
      </c>
      <c r="G205" s="11">
        <f>IF(F205=0,0,E205/F205*100)</f>
        <v/>
      </c>
      <c r="H205" s="7" t="n">
        <v>0</v>
      </c>
      <c r="I205" s="7" t="n">
        <v>0</v>
      </c>
      <c r="J205" s="7" t="n">
        <v>0</v>
      </c>
      <c r="K205" s="7" t="n">
        <v>4</v>
      </c>
    </row>
    <row r="206">
      <c r="A206" s="21" t="inlineStr">
        <is>
          <t>20 Jun</t>
        </is>
      </c>
      <c r="B206" s="21" t="inlineStr">
        <is>
          <t>35001</t>
        </is>
      </c>
      <c r="C206" s="7" t="n">
        <v>0</v>
      </c>
      <c r="D206" s="49" t="n">
        <v>94.26000000000001</v>
      </c>
      <c r="E206" s="23" t="n">
        <v>9099</v>
      </c>
      <c r="F206" s="23" t="n">
        <v>9156</v>
      </c>
      <c r="G206" s="11">
        <f>IF(F206=0,0,E206/F206*100)</f>
        <v/>
      </c>
      <c r="H206" s="7" t="n">
        <v>0</v>
      </c>
      <c r="I206" s="7" t="n">
        <v>0</v>
      </c>
      <c r="J206" s="7" t="n">
        <v>0</v>
      </c>
      <c r="K206" s="7" t="n">
        <v>0</v>
      </c>
    </row>
    <row r="207">
      <c r="A207" s="21" t="inlineStr">
        <is>
          <t>20 Jun</t>
        </is>
      </c>
      <c r="B207" s="21" t="inlineStr">
        <is>
          <t>30455</t>
        </is>
      </c>
      <c r="C207" s="7" t="n">
        <v>0</v>
      </c>
      <c r="D207" s="49" t="n">
        <v>231.63</v>
      </c>
      <c r="E207" s="23" t="n">
        <v>8578</v>
      </c>
      <c r="F207" s="23" t="n">
        <v>8987</v>
      </c>
      <c r="G207" s="11">
        <f>IF(F207=0,0,E207/F207*100)</f>
        <v/>
      </c>
      <c r="H207" s="7" t="n">
        <v>1</v>
      </c>
      <c r="I207" s="7" t="n">
        <v>0</v>
      </c>
      <c r="J207" s="7" t="n">
        <v>1</v>
      </c>
      <c r="K207" s="7" t="n">
        <v>7</v>
      </c>
    </row>
    <row r="208">
      <c r="A208" s="21" t="inlineStr">
        <is>
          <t>20 Jun</t>
        </is>
      </c>
      <c r="B208" s="21" t="inlineStr">
        <is>
          <t>37719</t>
        </is>
      </c>
      <c r="C208" s="7" t="n">
        <v>0</v>
      </c>
      <c r="D208" s="49" t="n">
        <v>198.51</v>
      </c>
      <c r="E208" s="23" t="n">
        <v>8064</v>
      </c>
      <c r="F208" s="23" t="n">
        <v>8403</v>
      </c>
      <c r="G208" s="11">
        <f>IF(F208=0,0,E208/F208*100)</f>
        <v/>
      </c>
      <c r="H208" s="7" t="n">
        <v>1</v>
      </c>
      <c r="I208" s="7" t="n">
        <v>0</v>
      </c>
      <c r="J208" s="7" t="n">
        <v>1</v>
      </c>
      <c r="K208" s="7" t="n">
        <v>2</v>
      </c>
    </row>
    <row r="209">
      <c r="A209" s="21" t="inlineStr">
        <is>
          <t>20 Jun</t>
        </is>
      </c>
      <c r="B209" s="21" t="inlineStr">
        <is>
          <t>39059</t>
        </is>
      </c>
      <c r="C209" s="7" t="n">
        <v>0</v>
      </c>
      <c r="D209" s="49" t="n">
        <v>199.4</v>
      </c>
      <c r="E209" s="23" t="n">
        <v>8241</v>
      </c>
      <c r="F209" s="23" t="n">
        <v>8305</v>
      </c>
      <c r="G209" s="11">
        <f>IF(F209=0,0,E209/F209*100)</f>
        <v/>
      </c>
      <c r="H209" s="7" t="n">
        <v>0</v>
      </c>
      <c r="I209" s="7" t="n">
        <v>0</v>
      </c>
      <c r="J209" s="7" t="n">
        <v>0</v>
      </c>
      <c r="K209" s="7" t="n">
        <v>1</v>
      </c>
    </row>
    <row r="210">
      <c r="A210" s="21" t="inlineStr">
        <is>
          <t>20 Jun</t>
        </is>
      </c>
      <c r="B210" s="21" t="inlineStr">
        <is>
          <t>37898</t>
        </is>
      </c>
      <c r="C210" s="7" t="n">
        <v>0</v>
      </c>
      <c r="D210" s="49" t="n">
        <v>199.05</v>
      </c>
      <c r="E210" s="23" t="n">
        <v>7895</v>
      </c>
      <c r="F210" s="23" t="n">
        <v>8243</v>
      </c>
      <c r="G210" s="11">
        <f>IF(F210=0,0,E210/F210*100)</f>
        <v/>
      </c>
      <c r="H210" s="7" t="n">
        <v>1</v>
      </c>
      <c r="I210" s="7" t="n">
        <v>0</v>
      </c>
      <c r="J210" s="7" t="n">
        <v>1</v>
      </c>
      <c r="K210" s="7" t="n">
        <v>4</v>
      </c>
    </row>
    <row r="211">
      <c r="A211" s="21" t="inlineStr">
        <is>
          <t>20 Jun</t>
        </is>
      </c>
      <c r="B211" s="21" t="inlineStr">
        <is>
          <t>30639</t>
        </is>
      </c>
      <c r="C211" s="7" t="n">
        <v>0</v>
      </c>
      <c r="D211" s="49" t="n">
        <v>199.04</v>
      </c>
      <c r="E211" s="23" t="n">
        <v>7543</v>
      </c>
      <c r="F211" s="23" t="n">
        <v>8165</v>
      </c>
      <c r="G211" s="11">
        <f>IF(F211=0,0,E211/F211*100)</f>
        <v/>
      </c>
      <c r="H211" s="7" t="n">
        <v>1</v>
      </c>
      <c r="I211" s="7" t="n">
        <v>0</v>
      </c>
      <c r="J211" s="7" t="n">
        <v>1</v>
      </c>
      <c r="K211" s="7" t="n">
        <v>6</v>
      </c>
    </row>
    <row r="212">
      <c r="A212" s="21" t="inlineStr">
        <is>
          <t>20 Jun</t>
        </is>
      </c>
      <c r="B212" s="21" t="inlineStr">
        <is>
          <t>30204</t>
        </is>
      </c>
      <c r="C212" s="7" t="n">
        <v>0</v>
      </c>
      <c r="D212" s="49" t="n">
        <v>186.67</v>
      </c>
      <c r="E212" s="23" t="n">
        <v>7538</v>
      </c>
      <c r="F212" s="23" t="n">
        <v>7947</v>
      </c>
      <c r="G212" s="11">
        <f>IF(F212=0,0,E212/F212*100)</f>
        <v/>
      </c>
      <c r="H212" s="7" t="n">
        <v>0</v>
      </c>
      <c r="I212" s="7" t="n">
        <v>0</v>
      </c>
      <c r="J212" s="7" t="n">
        <v>0</v>
      </c>
      <c r="K212" s="7" t="n">
        <v>2</v>
      </c>
    </row>
    <row r="213">
      <c r="A213" s="21" t="inlineStr">
        <is>
          <t>20 Jun</t>
        </is>
      </c>
      <c r="B213" s="21" t="inlineStr">
        <is>
          <t>37455</t>
        </is>
      </c>
      <c r="C213" s="7" t="n">
        <v>0</v>
      </c>
      <c r="D213" s="49" t="n">
        <v>199.4</v>
      </c>
      <c r="E213" s="23" t="n">
        <v>7562</v>
      </c>
      <c r="F213" s="23" t="n">
        <v>7928</v>
      </c>
      <c r="G213" s="11">
        <f>IF(F213=0,0,E213/F213*100)</f>
        <v/>
      </c>
      <c r="H213" s="7" t="n">
        <v>0</v>
      </c>
      <c r="I213" s="7" t="n">
        <v>0</v>
      </c>
      <c r="J213" s="7" t="n">
        <v>0</v>
      </c>
      <c r="K213" s="7" t="n">
        <v>1</v>
      </c>
    </row>
    <row r="214">
      <c r="A214" s="21" t="inlineStr">
        <is>
          <t>20 Jun</t>
        </is>
      </c>
      <c r="B214" s="21" t="inlineStr">
        <is>
          <t>39615</t>
        </is>
      </c>
      <c r="C214" s="7" t="n">
        <v>0</v>
      </c>
      <c r="D214" s="49" t="n">
        <v>187.95</v>
      </c>
      <c r="E214" s="23" t="n">
        <v>7618</v>
      </c>
      <c r="F214" s="23" t="n">
        <v>7640</v>
      </c>
      <c r="G214" s="11">
        <f>IF(F214=0,0,E214/F214*100)</f>
        <v/>
      </c>
      <c r="H214" s="7" t="n">
        <v>0</v>
      </c>
      <c r="I214" s="7" t="n">
        <v>0</v>
      </c>
      <c r="J214" s="7" t="n">
        <v>0</v>
      </c>
      <c r="K214" s="7" t="n">
        <v>1</v>
      </c>
    </row>
    <row r="215">
      <c r="A215" s="21" t="inlineStr">
        <is>
          <t>20 Jun</t>
        </is>
      </c>
      <c r="B215" s="21" t="inlineStr">
        <is>
          <t>37268</t>
        </is>
      </c>
      <c r="C215" s="7" t="n">
        <v>0</v>
      </c>
      <c r="D215" s="49" t="n">
        <v>196.9</v>
      </c>
      <c r="E215" s="23" t="n">
        <v>7062</v>
      </c>
      <c r="F215" s="23" t="n">
        <v>7386</v>
      </c>
      <c r="G215" s="11">
        <f>IF(F215=0,0,E215/F215*100)</f>
        <v/>
      </c>
      <c r="H215" s="7" t="n">
        <v>0</v>
      </c>
      <c r="I215" s="7" t="n">
        <v>0</v>
      </c>
      <c r="J215" s="7" t="n">
        <v>0</v>
      </c>
      <c r="K215" s="7" t="n">
        <v>2</v>
      </c>
    </row>
    <row r="216">
      <c r="A216" s="21" t="inlineStr">
        <is>
          <t>20 Jun</t>
        </is>
      </c>
      <c r="B216" s="21" t="inlineStr">
        <is>
          <t>37024</t>
        </is>
      </c>
      <c r="C216" s="7" t="n">
        <v>0</v>
      </c>
      <c r="D216" s="49" t="n">
        <v>198.11</v>
      </c>
      <c r="E216" s="23" t="n">
        <v>6511</v>
      </c>
      <c r="F216" s="23" t="n">
        <v>7350</v>
      </c>
      <c r="G216" s="11">
        <f>IF(F216=0,0,E216/F216*100)</f>
        <v/>
      </c>
      <c r="H216" s="7" t="n">
        <v>0</v>
      </c>
      <c r="I216" s="7" t="n">
        <v>0</v>
      </c>
      <c r="J216" s="7" t="n">
        <v>0</v>
      </c>
      <c r="K216" s="7" t="n">
        <v>13</v>
      </c>
    </row>
    <row r="217">
      <c r="A217" s="21" t="inlineStr">
        <is>
          <t>20 Jun</t>
        </is>
      </c>
      <c r="B217" s="21" t="inlineStr">
        <is>
          <t>37025</t>
        </is>
      </c>
      <c r="C217" s="7" t="n">
        <v>0</v>
      </c>
      <c r="D217" s="49" t="n">
        <v>94.02</v>
      </c>
      <c r="E217" s="23" t="n">
        <v>7033</v>
      </c>
      <c r="F217" s="23" t="n">
        <v>7126</v>
      </c>
      <c r="G217" s="11">
        <f>IF(F217=0,0,E217/F217*100)</f>
        <v/>
      </c>
      <c r="H217" s="7" t="n">
        <v>0</v>
      </c>
      <c r="I217" s="7" t="n">
        <v>0</v>
      </c>
      <c r="J217" s="7" t="n">
        <v>0</v>
      </c>
      <c r="K217" s="7" t="n">
        <v>0</v>
      </c>
    </row>
    <row r="218">
      <c r="A218" s="21" t="inlineStr">
        <is>
          <t>20 Jun</t>
        </is>
      </c>
      <c r="B218" s="21" t="inlineStr">
        <is>
          <t>37401</t>
        </is>
      </c>
      <c r="C218" s="7" t="n">
        <v>0</v>
      </c>
      <c r="D218" s="49" t="n">
        <v>93.77</v>
      </c>
      <c r="E218" s="23" t="n">
        <v>5566</v>
      </c>
      <c r="F218" s="23" t="n">
        <v>5638</v>
      </c>
      <c r="G218" s="11">
        <f>IF(F218=0,0,E218/F218*100)</f>
        <v/>
      </c>
      <c r="H218" s="7" t="n">
        <v>0</v>
      </c>
      <c r="I218" s="7" t="n">
        <v>0</v>
      </c>
      <c r="J218" s="7" t="n">
        <v>0</v>
      </c>
      <c r="K218" s="7" t="n">
        <v>2</v>
      </c>
    </row>
    <row r="219">
      <c r="A219" s="21" t="inlineStr">
        <is>
          <t>20 Jun</t>
        </is>
      </c>
      <c r="B219" s="21" t="inlineStr">
        <is>
          <t>37246</t>
        </is>
      </c>
      <c r="C219" s="7" t="n">
        <v>0</v>
      </c>
      <c r="D219" s="49" t="n">
        <v>96.61</v>
      </c>
      <c r="E219" s="23" t="n">
        <v>4441</v>
      </c>
      <c r="F219" s="23" t="n">
        <v>4542</v>
      </c>
      <c r="G219" s="11">
        <f>IF(F219=0,0,E219/F219*100)</f>
        <v/>
      </c>
      <c r="H219" s="7" t="n">
        <v>1</v>
      </c>
      <c r="I219" s="7" t="n">
        <v>0</v>
      </c>
      <c r="J219" s="7" t="n">
        <v>1</v>
      </c>
      <c r="K219" s="7" t="n">
        <v>3</v>
      </c>
    </row>
    <row r="220">
      <c r="A220" s="21" t="inlineStr">
        <is>
          <t>20 Jun</t>
        </is>
      </c>
      <c r="B220" s="21" t="inlineStr">
        <is>
          <t>37042</t>
        </is>
      </c>
      <c r="C220" s="7" t="n">
        <v>0</v>
      </c>
      <c r="D220" s="49" t="n">
        <v>128.07</v>
      </c>
      <c r="E220" s="23" t="n">
        <v>3966</v>
      </c>
      <c r="F220" s="23" t="n">
        <v>4257</v>
      </c>
      <c r="G220" s="11">
        <f>IF(F220=0,0,E220/F220*100)</f>
        <v/>
      </c>
      <c r="H220" s="7" t="n">
        <v>2</v>
      </c>
      <c r="I220" s="7" t="n">
        <v>0</v>
      </c>
      <c r="J220" s="7" t="n">
        <v>2</v>
      </c>
      <c r="K220" s="7" t="n">
        <v>15</v>
      </c>
    </row>
    <row r="221">
      <c r="A221" s="21" t="inlineStr">
        <is>
          <t>20 Jun</t>
        </is>
      </c>
      <c r="B221" s="21" t="inlineStr">
        <is>
          <t>30329</t>
        </is>
      </c>
      <c r="C221" s="7" t="n">
        <v>0</v>
      </c>
      <c r="D221" s="49" t="n">
        <v>82.5</v>
      </c>
      <c r="E221" s="23" t="n">
        <v>3732</v>
      </c>
      <c r="F221" s="23" t="n">
        <v>3742</v>
      </c>
      <c r="G221" s="11">
        <f>IF(F221=0,0,E221/F221*100)</f>
        <v/>
      </c>
      <c r="H221" s="7" t="n">
        <v>0</v>
      </c>
      <c r="I221" s="7" t="n">
        <v>0</v>
      </c>
      <c r="J221" s="7" t="n">
        <v>0</v>
      </c>
      <c r="K221" s="7" t="n">
        <v>0</v>
      </c>
    </row>
    <row r="222">
      <c r="A222" s="21" t="inlineStr">
        <is>
          <t>20 Jun</t>
        </is>
      </c>
      <c r="B222" s="21" t="inlineStr">
        <is>
          <t>30327</t>
        </is>
      </c>
      <c r="C222" s="7" t="n">
        <v>0</v>
      </c>
      <c r="D222" s="49" t="n">
        <v>94.81999999999999</v>
      </c>
      <c r="E222" s="23" t="n">
        <v>3555</v>
      </c>
      <c r="F222" s="23" t="n">
        <v>3603</v>
      </c>
      <c r="G222" s="11">
        <f>IF(F222=0,0,E222/F222*100)</f>
        <v/>
      </c>
      <c r="H222" s="7" t="n">
        <v>0</v>
      </c>
      <c r="I222" s="7" t="n">
        <v>0</v>
      </c>
      <c r="J222" s="7" t="n">
        <v>0</v>
      </c>
      <c r="K222" s="7" t="n">
        <v>5</v>
      </c>
    </row>
    <row r="223">
      <c r="A223" s="21" t="inlineStr">
        <is>
          <t>20 Jun</t>
        </is>
      </c>
      <c r="B223" s="21" t="inlineStr">
        <is>
          <t>39113</t>
        </is>
      </c>
      <c r="C223" s="7" t="n">
        <v>0</v>
      </c>
      <c r="D223" s="49" t="n">
        <v>94.17</v>
      </c>
      <c r="E223" s="23" t="n">
        <v>3435</v>
      </c>
      <c r="F223" s="23" t="n">
        <v>3548</v>
      </c>
      <c r="G223" s="11">
        <f>IF(F223=0,0,E223/F223*100)</f>
        <v/>
      </c>
      <c r="H223" s="7" t="n">
        <v>0</v>
      </c>
      <c r="I223" s="7" t="n">
        <v>0</v>
      </c>
      <c r="J223" s="7" t="n">
        <v>0</v>
      </c>
      <c r="K223" s="7" t="n">
        <v>0</v>
      </c>
    </row>
    <row r="224">
      <c r="A224" s="21" t="inlineStr">
        <is>
          <t>20 Jun</t>
        </is>
      </c>
      <c r="B224" s="21" t="inlineStr">
        <is>
          <t>39135</t>
        </is>
      </c>
      <c r="C224" s="7" t="n">
        <v>0</v>
      </c>
      <c r="D224" s="49" t="n">
        <v>93.90000000000001</v>
      </c>
      <c r="E224" s="23" t="n">
        <v>3460</v>
      </c>
      <c r="F224" s="23" t="n">
        <v>3518</v>
      </c>
      <c r="G224" s="11">
        <f>IF(F224=0,0,E224/F224*100)</f>
        <v/>
      </c>
      <c r="H224" s="7" t="n">
        <v>0</v>
      </c>
      <c r="I224" s="7" t="n">
        <v>0</v>
      </c>
      <c r="J224" s="7" t="n">
        <v>0</v>
      </c>
      <c r="K224" s="7" t="n">
        <v>0</v>
      </c>
    </row>
    <row r="225">
      <c r="A225" s="21" t="inlineStr">
        <is>
          <t>20 Jun</t>
        </is>
      </c>
      <c r="B225" s="21" t="inlineStr">
        <is>
          <t>30300</t>
        </is>
      </c>
      <c r="C225" s="7" t="n">
        <v>0</v>
      </c>
      <c r="D225" s="49" t="n">
        <v>91.59999999999999</v>
      </c>
      <c r="E225" s="23" t="n">
        <v>3059</v>
      </c>
      <c r="F225" s="23" t="n">
        <v>3141</v>
      </c>
      <c r="G225" s="11">
        <f>IF(F225=0,0,E225/F225*100)</f>
        <v/>
      </c>
      <c r="H225" s="7" t="n">
        <v>0</v>
      </c>
      <c r="I225" s="7" t="n">
        <v>0</v>
      </c>
      <c r="J225" s="7" t="n">
        <v>0</v>
      </c>
      <c r="K225" s="7" t="n">
        <v>6</v>
      </c>
    </row>
    <row r="226">
      <c r="A226" s="21" t="inlineStr">
        <is>
          <t>20 Jun</t>
        </is>
      </c>
      <c r="B226" s="21" t="inlineStr">
        <is>
          <t>30552</t>
        </is>
      </c>
      <c r="C226" s="7" t="n">
        <v>0</v>
      </c>
      <c r="D226" s="49" t="n">
        <v>74.79000000000001</v>
      </c>
      <c r="E226" s="23" t="n">
        <v>2842</v>
      </c>
      <c r="F226" s="23" t="n">
        <v>2952</v>
      </c>
      <c r="G226" s="11">
        <f>IF(F226=0,0,E226/F226*100)</f>
        <v/>
      </c>
      <c r="H226" s="7" t="n">
        <v>3</v>
      </c>
      <c r="I226" s="7" t="n">
        <v>0</v>
      </c>
      <c r="J226" s="7" t="n">
        <v>3</v>
      </c>
      <c r="K226" s="7" t="n">
        <v>4</v>
      </c>
    </row>
    <row r="227">
      <c r="A227" s="21" t="inlineStr">
        <is>
          <t>20 Jun</t>
        </is>
      </c>
      <c r="B227" s="21" t="inlineStr">
        <is>
          <t>30205</t>
        </is>
      </c>
      <c r="C227" s="7" t="n">
        <v>0</v>
      </c>
      <c r="D227" s="49" t="n">
        <v>82.53</v>
      </c>
      <c r="E227" s="23" t="n">
        <v>2851</v>
      </c>
      <c r="F227" s="23" t="n">
        <v>2859</v>
      </c>
      <c r="G227" s="11">
        <f>IF(F227=0,0,E227/F227*100)</f>
        <v/>
      </c>
      <c r="H227" s="7" t="n">
        <v>0</v>
      </c>
      <c r="I227" s="7" t="n">
        <v>0</v>
      </c>
      <c r="J227" s="7" t="n">
        <v>0</v>
      </c>
      <c r="K227" s="7" t="n">
        <v>0</v>
      </c>
    </row>
    <row r="228">
      <c r="A228" s="21" t="inlineStr">
        <is>
          <t>20 Jun</t>
        </is>
      </c>
      <c r="B228" s="21" t="inlineStr">
        <is>
          <t>30328</t>
        </is>
      </c>
      <c r="C228" s="7" t="n">
        <v>0</v>
      </c>
      <c r="D228" s="49" t="n">
        <v>81.64</v>
      </c>
      <c r="E228" s="23" t="n">
        <v>2577</v>
      </c>
      <c r="F228" s="23" t="n">
        <v>2848</v>
      </c>
      <c r="G228" s="11">
        <f>IF(F228=0,0,E228/F228*100)</f>
        <v/>
      </c>
      <c r="H228" s="7" t="n">
        <v>0</v>
      </c>
      <c r="I228" s="7" t="n">
        <v>0</v>
      </c>
      <c r="J228" s="7" t="n">
        <v>0</v>
      </c>
      <c r="K228" s="7" t="n">
        <v>9</v>
      </c>
    </row>
    <row r="229">
      <c r="A229" s="21" t="inlineStr">
        <is>
          <t>20 Jun</t>
        </is>
      </c>
      <c r="B229" s="21" t="inlineStr">
        <is>
          <t>30457</t>
        </is>
      </c>
      <c r="C229" s="7" t="n">
        <v>0</v>
      </c>
      <c r="D229" s="49" t="n">
        <v>45.73</v>
      </c>
      <c r="E229" s="23" t="n">
        <v>2248</v>
      </c>
      <c r="F229" s="23" t="n">
        <v>2346</v>
      </c>
      <c r="G229" s="11">
        <f>IF(F229=0,0,E229/F229*100)</f>
        <v/>
      </c>
      <c r="H229" s="7" t="n">
        <v>1</v>
      </c>
      <c r="I229" s="7" t="n">
        <v>0</v>
      </c>
      <c r="J229" s="7" t="n">
        <v>1</v>
      </c>
      <c r="K229" s="7" t="n">
        <v>1</v>
      </c>
    </row>
    <row r="230">
      <c r="A230" s="21" t="inlineStr">
        <is>
          <t>20 Jun</t>
        </is>
      </c>
      <c r="B230" s="21" t="inlineStr">
        <is>
          <t>30371</t>
        </is>
      </c>
      <c r="C230" s="7" t="n">
        <v>0</v>
      </c>
      <c r="D230" s="49" t="n">
        <v>0.95</v>
      </c>
      <c r="E230" s="23" t="n">
        <v>362</v>
      </c>
      <c r="F230" s="23" t="n">
        <v>365</v>
      </c>
      <c r="G230" s="11">
        <f>IF(F230=0,0,E230/F230*100)</f>
        <v/>
      </c>
      <c r="H230" s="7" t="n">
        <v>0</v>
      </c>
      <c r="I230" s="7" t="n">
        <v>0</v>
      </c>
      <c r="J230" s="7" t="n">
        <v>0</v>
      </c>
      <c r="K230" s="7" t="n">
        <v>0</v>
      </c>
    </row>
    <row r="231">
      <c r="A231" s="21" t="inlineStr">
        <is>
          <t>20 Jun</t>
        </is>
      </c>
      <c r="B231" s="21" t="inlineStr">
        <is>
          <t>30487</t>
        </is>
      </c>
      <c r="C231" s="7" t="n">
        <v>0</v>
      </c>
      <c r="D231" s="49" t="n">
        <v>0.51</v>
      </c>
      <c r="E231" s="23" t="n">
        <v>236</v>
      </c>
      <c r="F231" s="23" t="n">
        <v>274</v>
      </c>
      <c r="G231" s="11">
        <f>IF(F231=0,0,E231/F231*100)</f>
        <v/>
      </c>
      <c r="H231" s="7" t="n">
        <v>2</v>
      </c>
      <c r="I231" s="7" t="n">
        <v>0</v>
      </c>
      <c r="J231" s="7" t="n">
        <v>2</v>
      </c>
      <c r="K231" s="7" t="n">
        <v>4</v>
      </c>
    </row>
    <row r="232">
      <c r="A232" s="21" t="inlineStr">
        <is>
          <t>20 Jun</t>
        </is>
      </c>
      <c r="B232" s="21" t="inlineStr">
        <is>
          <t>30490</t>
        </is>
      </c>
      <c r="C232" s="7" t="n">
        <v>0</v>
      </c>
      <c r="D232" s="49" t="n">
        <v>0.05</v>
      </c>
      <c r="E232" s="23" t="n">
        <v>181</v>
      </c>
      <c r="F232" s="23" t="n">
        <v>254</v>
      </c>
      <c r="G232" s="11">
        <f>IF(F232=0,0,E232/F232*100)</f>
        <v/>
      </c>
      <c r="H232" s="7" t="n">
        <v>1</v>
      </c>
      <c r="I232" s="7" t="n">
        <v>0</v>
      </c>
      <c r="J232" s="7" t="n">
        <v>1</v>
      </c>
      <c r="K232" s="7" t="n">
        <v>1</v>
      </c>
    </row>
    <row r="233">
      <c r="A233" s="21" t="inlineStr">
        <is>
          <t>20 Jun</t>
        </is>
      </c>
      <c r="B233" s="21" t="inlineStr">
        <is>
          <t>39597</t>
        </is>
      </c>
      <c r="C233" s="7" t="n">
        <v>0</v>
      </c>
      <c r="D233" s="49" t="n">
        <v>0.51</v>
      </c>
      <c r="E233" s="23" t="n">
        <v>23</v>
      </c>
      <c r="F233" s="23" t="n">
        <v>196</v>
      </c>
      <c r="G233" s="11">
        <f>IF(F233=0,0,E233/F233*100)</f>
        <v/>
      </c>
      <c r="H233" s="7" t="n">
        <v>0</v>
      </c>
      <c r="I233" s="7" t="n">
        <v>0</v>
      </c>
      <c r="J233" s="7" t="n">
        <v>0</v>
      </c>
      <c r="K233" s="7" t="n">
        <v>3</v>
      </c>
    </row>
    <row r="234">
      <c r="A234" s="21" t="inlineStr">
        <is>
          <t>20 Jun</t>
        </is>
      </c>
      <c r="B234" s="21" t="inlineStr">
        <is>
          <t>37014</t>
        </is>
      </c>
      <c r="C234" s="7" t="n">
        <v>0</v>
      </c>
      <c r="D234" s="49" t="n">
        <v>0.45</v>
      </c>
      <c r="E234" s="23" t="n">
        <v>132</v>
      </c>
      <c r="F234" s="23" t="n">
        <v>141</v>
      </c>
      <c r="G234" s="11">
        <f>IF(F234=0,0,E234/F234*100)</f>
        <v/>
      </c>
      <c r="H234" s="7" t="n">
        <v>0</v>
      </c>
      <c r="I234" s="7" t="n">
        <v>0</v>
      </c>
      <c r="J234" s="7" t="n">
        <v>0</v>
      </c>
      <c r="K234" s="7" t="n">
        <v>0</v>
      </c>
    </row>
    <row r="235">
      <c r="A235" s="21" t="inlineStr">
        <is>
          <t>20 Jun</t>
        </is>
      </c>
      <c r="B235" s="21" t="inlineStr">
        <is>
          <t>37358</t>
        </is>
      </c>
      <c r="C235" s="7" t="n">
        <v>0</v>
      </c>
      <c r="D235" s="49" t="n">
        <v>0.51</v>
      </c>
      <c r="E235" s="23" t="n">
        <v>121</v>
      </c>
      <c r="F235" s="23" t="n">
        <v>138</v>
      </c>
      <c r="G235" s="11">
        <f>IF(F235=0,0,E235/F235*100)</f>
        <v/>
      </c>
      <c r="H235" s="7" t="n">
        <v>3</v>
      </c>
      <c r="I235" s="7" t="n">
        <v>0</v>
      </c>
      <c r="J235" s="7" t="n">
        <v>3</v>
      </c>
      <c r="K235" s="7" t="n">
        <v>3</v>
      </c>
    </row>
    <row r="236">
      <c r="A236" s="24" t="inlineStr">
        <is>
          <t>20 Jun</t>
        </is>
      </c>
      <c r="B236" s="24" t="inlineStr">
        <is>
          <t>Day Total</t>
        </is>
      </c>
      <c r="C236" s="25">
        <f>SUM(C198:C235)</f>
        <v/>
      </c>
      <c r="D236" s="50">
        <f>SUM(D198:D235)</f>
        <v/>
      </c>
      <c r="E236" s="27">
        <f>SUM(E198:E235)</f>
        <v/>
      </c>
      <c r="F236" s="27">
        <f>SUM(F198:F235)</f>
        <v/>
      </c>
      <c r="G236" s="28">
        <f>IF(F236=0,0,E236/F236*100)</f>
        <v/>
      </c>
      <c r="H236" s="25">
        <f>SUM(H198:H235)</f>
        <v/>
      </c>
      <c r="I236" s="25">
        <f>SUM(I198:I235)</f>
        <v/>
      </c>
      <c r="J236" s="25">
        <f>SUM(J198:J235)</f>
        <v/>
      </c>
      <c r="K236" s="25">
        <f>SUM(K198:K235)</f>
        <v/>
      </c>
    </row>
    <row r="237">
      <c r="A237" s="21" t="inlineStr">
        <is>
          <t>21 Jun</t>
        </is>
      </c>
      <c r="B237" s="21" t="inlineStr">
        <is>
          <t>37089</t>
        </is>
      </c>
      <c r="C237" s="7" t="n">
        <v>1</v>
      </c>
      <c r="D237" s="49" t="n">
        <v>243.62</v>
      </c>
      <c r="E237" s="23" t="n">
        <v>11777</v>
      </c>
      <c r="F237" s="23" t="n">
        <v>11923</v>
      </c>
      <c r="G237" s="11">
        <f>IF(F237=0,0,E237/F237*100)</f>
        <v/>
      </c>
      <c r="H237" s="7" t="n">
        <v>0</v>
      </c>
      <c r="I237" s="7" t="n">
        <v>0</v>
      </c>
      <c r="J237" s="7" t="n">
        <v>0</v>
      </c>
      <c r="K237" s="7" t="n">
        <v>3</v>
      </c>
    </row>
    <row r="238">
      <c r="A238" s="21" t="inlineStr">
        <is>
          <t>21 Jun</t>
        </is>
      </c>
      <c r="B238" s="21" t="inlineStr">
        <is>
          <t>39482</t>
        </is>
      </c>
      <c r="C238" s="7" t="n">
        <v>1</v>
      </c>
      <c r="D238" s="49" t="n">
        <v>243.74</v>
      </c>
      <c r="E238" s="23" t="n">
        <v>10859</v>
      </c>
      <c r="F238" s="23" t="n">
        <v>11376</v>
      </c>
      <c r="G238" s="11">
        <f>IF(F238=0,0,E238/F238*100)</f>
        <v/>
      </c>
      <c r="H238" s="7" t="n">
        <v>0</v>
      </c>
      <c r="I238" s="7" t="n">
        <v>0</v>
      </c>
      <c r="J238" s="7" t="n">
        <v>0</v>
      </c>
      <c r="K238" s="7" t="n">
        <v>6</v>
      </c>
    </row>
    <row r="239">
      <c r="A239" s="21" t="inlineStr">
        <is>
          <t>21 Jun</t>
        </is>
      </c>
      <c r="B239" s="21" t="inlineStr">
        <is>
          <t>37586</t>
        </is>
      </c>
      <c r="C239" s="7" t="n">
        <v>1</v>
      </c>
      <c r="D239" s="49" t="n">
        <v>243.62</v>
      </c>
      <c r="E239" s="23" t="n">
        <v>10894</v>
      </c>
      <c r="F239" s="23" t="n">
        <v>11365</v>
      </c>
      <c r="G239" s="11">
        <f>IF(F239=0,0,E239/F239*100)</f>
        <v/>
      </c>
      <c r="H239" s="7" t="n">
        <v>0</v>
      </c>
      <c r="I239" s="7" t="n">
        <v>0</v>
      </c>
      <c r="J239" s="7" t="n">
        <v>0</v>
      </c>
      <c r="K239" s="7" t="n">
        <v>9</v>
      </c>
    </row>
    <row r="240">
      <c r="A240" s="21" t="inlineStr">
        <is>
          <t>21 Jun</t>
        </is>
      </c>
      <c r="B240" s="21" t="inlineStr">
        <is>
          <t>30487</t>
        </is>
      </c>
      <c r="C240" s="7" t="n">
        <v>1</v>
      </c>
      <c r="D240" s="49" t="n">
        <v>243.68</v>
      </c>
      <c r="E240" s="23" t="n">
        <v>9648</v>
      </c>
      <c r="F240" s="23" t="n">
        <v>9819</v>
      </c>
      <c r="G240" s="11">
        <f>IF(F240=0,0,E240/F240*100)</f>
        <v/>
      </c>
      <c r="H240" s="7" t="n">
        <v>0</v>
      </c>
      <c r="I240" s="7" t="n">
        <v>0</v>
      </c>
      <c r="J240" s="7" t="n">
        <v>0</v>
      </c>
      <c r="K240" s="7" t="n">
        <v>3</v>
      </c>
    </row>
    <row r="241">
      <c r="A241" s="21" t="inlineStr">
        <is>
          <t>21 Jun</t>
        </is>
      </c>
      <c r="B241" s="21" t="inlineStr">
        <is>
          <t>37005</t>
        </is>
      </c>
      <c r="C241" s="7" t="n">
        <v>0</v>
      </c>
      <c r="D241" s="49" t="n">
        <v>199.74</v>
      </c>
      <c r="E241" s="23" t="n">
        <v>14551</v>
      </c>
      <c r="F241" s="23" t="n">
        <v>14865</v>
      </c>
      <c r="G241" s="11">
        <f>IF(F241=0,0,E241/F241*100)</f>
        <v/>
      </c>
      <c r="H241" s="7" t="n">
        <v>0</v>
      </c>
      <c r="I241" s="7" t="n">
        <v>0</v>
      </c>
      <c r="J241" s="7" t="n">
        <v>0</v>
      </c>
      <c r="K241" s="7" t="n">
        <v>4</v>
      </c>
    </row>
    <row r="242">
      <c r="A242" s="21" t="inlineStr">
        <is>
          <t>21 Jun</t>
        </is>
      </c>
      <c r="B242" s="21" t="inlineStr">
        <is>
          <t>37360</t>
        </is>
      </c>
      <c r="C242" s="7" t="n">
        <v>0</v>
      </c>
      <c r="D242" s="49" t="n">
        <v>231.66</v>
      </c>
      <c r="E242" s="23" t="n">
        <v>11992</v>
      </c>
      <c r="F242" s="23" t="n">
        <v>12234</v>
      </c>
      <c r="G242" s="11">
        <f>IF(F242=0,0,E242/F242*100)</f>
        <v/>
      </c>
      <c r="H242" s="7" t="n">
        <v>0</v>
      </c>
      <c r="I242" s="7" t="n">
        <v>0</v>
      </c>
      <c r="J242" s="7" t="n">
        <v>0</v>
      </c>
      <c r="K242" s="7" t="n">
        <v>4</v>
      </c>
    </row>
    <row r="243">
      <c r="A243" s="21" t="inlineStr">
        <is>
          <t>21 Jun</t>
        </is>
      </c>
      <c r="B243" s="21" t="inlineStr">
        <is>
          <t>37720</t>
        </is>
      </c>
      <c r="C243" s="7" t="n">
        <v>0</v>
      </c>
      <c r="D243" s="49" t="n">
        <v>232.21</v>
      </c>
      <c r="E243" s="23" t="n">
        <v>10837</v>
      </c>
      <c r="F243" s="23" t="n">
        <v>11110</v>
      </c>
      <c r="G243" s="11">
        <f>IF(F243=0,0,E243/F243*100)</f>
        <v/>
      </c>
      <c r="H243" s="7" t="n">
        <v>0</v>
      </c>
      <c r="I243" s="7" t="n">
        <v>0</v>
      </c>
      <c r="J243" s="7" t="n">
        <v>0</v>
      </c>
      <c r="K243" s="7" t="n">
        <v>5</v>
      </c>
    </row>
    <row r="244">
      <c r="A244" s="21" t="inlineStr">
        <is>
          <t>21 Jun</t>
        </is>
      </c>
      <c r="B244" s="21" t="inlineStr">
        <is>
          <t>37879</t>
        </is>
      </c>
      <c r="C244" s="7" t="n">
        <v>0</v>
      </c>
      <c r="D244" s="49" t="n">
        <v>199.2</v>
      </c>
      <c r="E244" s="23" t="n">
        <v>10408</v>
      </c>
      <c r="F244" s="23" t="n">
        <v>10575</v>
      </c>
      <c r="G244" s="11">
        <f>IF(F244=0,0,E244/F244*100)</f>
        <v/>
      </c>
      <c r="H244" s="7" t="n">
        <v>0</v>
      </c>
      <c r="I244" s="7" t="n">
        <v>0</v>
      </c>
      <c r="J244" s="7" t="n">
        <v>0</v>
      </c>
      <c r="K244" s="7" t="n">
        <v>1</v>
      </c>
    </row>
    <row r="245">
      <c r="A245" s="21" t="inlineStr">
        <is>
          <t>21 Jun</t>
        </is>
      </c>
      <c r="B245" s="21" t="inlineStr">
        <is>
          <t>30200</t>
        </is>
      </c>
      <c r="C245" s="7" t="n">
        <v>0</v>
      </c>
      <c r="D245" s="49" t="n">
        <v>244.03</v>
      </c>
      <c r="E245" s="23" t="n">
        <v>9545</v>
      </c>
      <c r="F245" s="23" t="n">
        <v>9912</v>
      </c>
      <c r="G245" s="11">
        <f>IF(F245=0,0,E245/F245*100)</f>
        <v/>
      </c>
      <c r="H245" s="7" t="n">
        <v>4</v>
      </c>
      <c r="I245" s="7" t="n">
        <v>0</v>
      </c>
      <c r="J245" s="7" t="n">
        <v>4</v>
      </c>
      <c r="K245" s="7" t="n">
        <v>7</v>
      </c>
    </row>
    <row r="246">
      <c r="A246" s="21" t="inlineStr">
        <is>
          <t>21 Jun</t>
        </is>
      </c>
      <c r="B246" s="21" t="inlineStr">
        <is>
          <t>37859</t>
        </is>
      </c>
      <c r="C246" s="7" t="n">
        <v>0</v>
      </c>
      <c r="D246" s="49" t="n">
        <v>199.4</v>
      </c>
      <c r="E246" s="23" t="n">
        <v>9337</v>
      </c>
      <c r="F246" s="23" t="n">
        <v>9458</v>
      </c>
      <c r="G246" s="11">
        <f>IF(F246=0,0,E246/F246*100)</f>
        <v/>
      </c>
      <c r="H246" s="7" t="n">
        <v>0</v>
      </c>
      <c r="I246" s="7" t="n">
        <v>0</v>
      </c>
      <c r="J246" s="7" t="n">
        <v>0</v>
      </c>
      <c r="K246" s="7" t="n">
        <v>1</v>
      </c>
    </row>
    <row r="247">
      <c r="A247" s="21" t="inlineStr">
        <is>
          <t>21 Jun</t>
        </is>
      </c>
      <c r="B247" s="21" t="inlineStr">
        <is>
          <t>37777</t>
        </is>
      </c>
      <c r="C247" s="7" t="n">
        <v>0</v>
      </c>
      <c r="D247" s="49" t="n">
        <v>199.54</v>
      </c>
      <c r="E247" s="23" t="n">
        <v>9326</v>
      </c>
      <c r="F247" s="23" t="n">
        <v>9385</v>
      </c>
      <c r="G247" s="11">
        <f>IF(F247=0,0,E247/F247*100)</f>
        <v/>
      </c>
      <c r="H247" s="7" t="n">
        <v>0</v>
      </c>
      <c r="I247" s="7" t="n">
        <v>0</v>
      </c>
      <c r="J247" s="7" t="n">
        <v>0</v>
      </c>
      <c r="K247" s="7" t="n">
        <v>0</v>
      </c>
    </row>
    <row r="248">
      <c r="A248" s="21" t="inlineStr">
        <is>
          <t>21 Jun</t>
        </is>
      </c>
      <c r="B248" s="21" t="inlineStr">
        <is>
          <t>35049</t>
        </is>
      </c>
      <c r="C248" s="7" t="n">
        <v>0</v>
      </c>
      <c r="D248" s="49" t="n">
        <v>199.44</v>
      </c>
      <c r="E248" s="23" t="n">
        <v>9046</v>
      </c>
      <c r="F248" s="23" t="n">
        <v>9122</v>
      </c>
      <c r="G248" s="11">
        <f>IF(F248=0,0,E248/F248*100)</f>
        <v/>
      </c>
      <c r="H248" s="7" t="n">
        <v>0</v>
      </c>
      <c r="I248" s="7" t="n">
        <v>0</v>
      </c>
      <c r="J248" s="7" t="n">
        <v>0</v>
      </c>
      <c r="K248" s="7" t="n">
        <v>0</v>
      </c>
    </row>
    <row r="249">
      <c r="A249" s="21" t="inlineStr">
        <is>
          <t>21 Jun</t>
        </is>
      </c>
      <c r="B249" s="21" t="inlineStr">
        <is>
          <t>30508</t>
        </is>
      </c>
      <c r="C249" s="7" t="n">
        <v>0</v>
      </c>
      <c r="D249" s="49" t="n">
        <v>199.19</v>
      </c>
      <c r="E249" s="23" t="n">
        <v>8901</v>
      </c>
      <c r="F249" s="23" t="n">
        <v>9079</v>
      </c>
      <c r="G249" s="11">
        <f>IF(F249=0,0,E249/F249*100)</f>
        <v/>
      </c>
      <c r="H249" s="7" t="n">
        <v>0</v>
      </c>
      <c r="I249" s="7" t="n">
        <v>0</v>
      </c>
      <c r="J249" s="7" t="n">
        <v>0</v>
      </c>
      <c r="K249" s="7" t="n">
        <v>4</v>
      </c>
    </row>
    <row r="250">
      <c r="A250" s="21" t="inlineStr">
        <is>
          <t>21 Jun</t>
        </is>
      </c>
      <c r="B250" s="21" t="inlineStr">
        <is>
          <t>30112</t>
        </is>
      </c>
      <c r="C250" s="7" t="n">
        <v>0</v>
      </c>
      <c r="D250" s="49" t="n">
        <v>94.23</v>
      </c>
      <c r="E250" s="23" t="n">
        <v>8613</v>
      </c>
      <c r="F250" s="23" t="n">
        <v>8723</v>
      </c>
      <c r="G250" s="11">
        <f>IF(F250=0,0,E250/F250*100)</f>
        <v/>
      </c>
      <c r="H250" s="7" t="n">
        <v>0</v>
      </c>
      <c r="I250" s="7" t="n">
        <v>0</v>
      </c>
      <c r="J250" s="7" t="n">
        <v>0</v>
      </c>
      <c r="K250" s="7" t="n">
        <v>0</v>
      </c>
    </row>
    <row r="251">
      <c r="A251" s="21" t="inlineStr">
        <is>
          <t>21 Jun</t>
        </is>
      </c>
      <c r="B251" s="21" t="inlineStr">
        <is>
          <t>39133</t>
        </is>
      </c>
      <c r="C251" s="7" t="n">
        <v>0</v>
      </c>
      <c r="D251" s="49" t="n">
        <v>94.26000000000001</v>
      </c>
      <c r="E251" s="23" t="n">
        <v>8466</v>
      </c>
      <c r="F251" s="23" t="n">
        <v>8618</v>
      </c>
      <c r="G251" s="11">
        <f>IF(F251=0,0,E251/F251*100)</f>
        <v/>
      </c>
      <c r="H251" s="7" t="n">
        <v>0</v>
      </c>
      <c r="I251" s="7" t="n">
        <v>0</v>
      </c>
      <c r="J251" s="7" t="n">
        <v>0</v>
      </c>
      <c r="K251" s="7" t="n">
        <v>0</v>
      </c>
    </row>
    <row r="252">
      <c r="A252" s="21" t="inlineStr">
        <is>
          <t>21 Jun</t>
        </is>
      </c>
      <c r="B252" s="21" t="inlineStr">
        <is>
          <t>37401</t>
        </is>
      </c>
      <c r="C252" s="7" t="n">
        <v>0</v>
      </c>
      <c r="D252" s="49" t="n">
        <v>206.01</v>
      </c>
      <c r="E252" s="23" t="n">
        <v>7460</v>
      </c>
      <c r="F252" s="23" t="n">
        <v>7945</v>
      </c>
      <c r="G252" s="11">
        <f>IF(F252=0,0,E252/F252*100)</f>
        <v/>
      </c>
      <c r="H252" s="7" t="n">
        <v>1</v>
      </c>
      <c r="I252" s="7" t="n">
        <v>0</v>
      </c>
      <c r="J252" s="7" t="n">
        <v>1</v>
      </c>
      <c r="K252" s="7" t="n">
        <v>8</v>
      </c>
    </row>
    <row r="253">
      <c r="A253" s="21" t="inlineStr">
        <is>
          <t>21 Jun</t>
        </is>
      </c>
      <c r="B253" s="21" t="inlineStr">
        <is>
          <t>30455</t>
        </is>
      </c>
      <c r="C253" s="7" t="n">
        <v>0</v>
      </c>
      <c r="D253" s="49" t="n">
        <v>212.31</v>
      </c>
      <c r="E253" s="23" t="n">
        <v>7191</v>
      </c>
      <c r="F253" s="23" t="n">
        <v>7324</v>
      </c>
      <c r="G253" s="11">
        <f>IF(F253=0,0,E253/F253*100)</f>
        <v/>
      </c>
      <c r="H253" s="7" t="n">
        <v>0</v>
      </c>
      <c r="I253" s="7" t="n">
        <v>0</v>
      </c>
      <c r="J253" s="7" t="n">
        <v>0</v>
      </c>
      <c r="K253" s="7" t="n">
        <v>4</v>
      </c>
    </row>
    <row r="254">
      <c r="A254" s="21" t="inlineStr">
        <is>
          <t>21 Jun</t>
        </is>
      </c>
      <c r="B254" s="21" t="inlineStr">
        <is>
          <t>30567</t>
        </is>
      </c>
      <c r="C254" s="7" t="n">
        <v>0</v>
      </c>
      <c r="D254" s="49" t="n">
        <v>186.69</v>
      </c>
      <c r="E254" s="23" t="n">
        <v>6687</v>
      </c>
      <c r="F254" s="23" t="n">
        <v>6971</v>
      </c>
      <c r="G254" s="11">
        <f>IF(F254=0,0,E254/F254*100)</f>
        <v/>
      </c>
      <c r="H254" s="7" t="n">
        <v>0</v>
      </c>
      <c r="I254" s="7" t="n">
        <v>0</v>
      </c>
      <c r="J254" s="7" t="n">
        <v>0</v>
      </c>
      <c r="K254" s="7" t="n">
        <v>3</v>
      </c>
    </row>
    <row r="255">
      <c r="A255" s="21" t="inlineStr">
        <is>
          <t>21 Jun</t>
        </is>
      </c>
      <c r="B255" s="21" t="inlineStr">
        <is>
          <t>30742</t>
        </is>
      </c>
      <c r="C255" s="7" t="n">
        <v>0</v>
      </c>
      <c r="D255" s="49" t="n">
        <v>82.52</v>
      </c>
      <c r="E255" s="23" t="n">
        <v>6114</v>
      </c>
      <c r="F255" s="23" t="n">
        <v>6464</v>
      </c>
      <c r="G255" s="11">
        <f>IF(F255=0,0,E255/F255*100)</f>
        <v/>
      </c>
      <c r="H255" s="7" t="n">
        <v>0</v>
      </c>
      <c r="I255" s="7" t="n">
        <v>0</v>
      </c>
      <c r="J255" s="7" t="n">
        <v>0</v>
      </c>
      <c r="K255" s="7" t="n">
        <v>23</v>
      </c>
    </row>
    <row r="256">
      <c r="A256" s="21" t="inlineStr">
        <is>
          <t>21 Jun</t>
        </is>
      </c>
      <c r="B256" s="21" t="inlineStr">
        <is>
          <t>37081</t>
        </is>
      </c>
      <c r="C256" s="7" t="n">
        <v>0</v>
      </c>
      <c r="D256" s="49" t="n">
        <v>93.87</v>
      </c>
      <c r="E256" s="23" t="n">
        <v>4567</v>
      </c>
      <c r="F256" s="23" t="n">
        <v>4612</v>
      </c>
      <c r="G256" s="11">
        <f>IF(F256=0,0,E256/F256*100)</f>
        <v/>
      </c>
      <c r="H256" s="7" t="n">
        <v>0</v>
      </c>
      <c r="I256" s="7" t="n">
        <v>0</v>
      </c>
      <c r="J256" s="7" t="n">
        <v>0</v>
      </c>
      <c r="K256" s="7" t="n">
        <v>0</v>
      </c>
    </row>
    <row r="257">
      <c r="A257" s="21" t="inlineStr">
        <is>
          <t>21 Jun</t>
        </is>
      </c>
      <c r="B257" s="21" t="inlineStr">
        <is>
          <t>39411</t>
        </is>
      </c>
      <c r="C257" s="7" t="n">
        <v>0</v>
      </c>
      <c r="D257" s="49" t="n">
        <v>93.77</v>
      </c>
      <c r="E257" s="23" t="n">
        <v>4231</v>
      </c>
      <c r="F257" s="23" t="n">
        <v>4289</v>
      </c>
      <c r="G257" s="11">
        <f>IF(F257=0,0,E257/F257*100)</f>
        <v/>
      </c>
      <c r="H257" s="7" t="n">
        <v>0</v>
      </c>
      <c r="I257" s="7" t="n">
        <v>0</v>
      </c>
      <c r="J257" s="7" t="n">
        <v>0</v>
      </c>
      <c r="K257" s="7" t="n">
        <v>2</v>
      </c>
    </row>
    <row r="258">
      <c r="A258" s="21" t="inlineStr">
        <is>
          <t>21 Jun</t>
        </is>
      </c>
      <c r="B258" s="21" t="inlineStr">
        <is>
          <t>37954</t>
        </is>
      </c>
      <c r="C258" s="7" t="n">
        <v>0</v>
      </c>
      <c r="D258" s="49" t="n">
        <v>92.62</v>
      </c>
      <c r="E258" s="23" t="n">
        <v>3834</v>
      </c>
      <c r="F258" s="23" t="n">
        <v>3897</v>
      </c>
      <c r="G258" s="11">
        <f>IF(F258=0,0,E258/F258*100)</f>
        <v/>
      </c>
      <c r="H258" s="7" t="n">
        <v>0</v>
      </c>
      <c r="I258" s="7" t="n">
        <v>0</v>
      </c>
      <c r="J258" s="7" t="n">
        <v>0</v>
      </c>
      <c r="K258" s="7" t="n">
        <v>3</v>
      </c>
    </row>
    <row r="259">
      <c r="A259" s="21" t="inlineStr">
        <is>
          <t>21 Jun</t>
        </is>
      </c>
      <c r="B259" s="21" t="inlineStr">
        <is>
          <t>37778</t>
        </is>
      </c>
      <c r="C259" s="7" t="n">
        <v>0</v>
      </c>
      <c r="D259" s="49" t="n">
        <v>94.14</v>
      </c>
      <c r="E259" s="23" t="n">
        <v>3405</v>
      </c>
      <c r="F259" s="23" t="n">
        <v>3864</v>
      </c>
      <c r="G259" s="11">
        <f>IF(F259=0,0,E259/F259*100)</f>
        <v/>
      </c>
      <c r="H259" s="7" t="n">
        <v>0</v>
      </c>
      <c r="I259" s="7" t="n">
        <v>0</v>
      </c>
      <c r="J259" s="7" t="n">
        <v>0</v>
      </c>
      <c r="K259" s="7" t="n">
        <v>0</v>
      </c>
    </row>
    <row r="260">
      <c r="A260" s="21" t="inlineStr">
        <is>
          <t>21 Jun</t>
        </is>
      </c>
      <c r="B260" s="21" t="inlineStr">
        <is>
          <t>37014</t>
        </is>
      </c>
      <c r="C260" s="7" t="n">
        <v>0</v>
      </c>
      <c r="D260" s="49" t="n">
        <v>93.48</v>
      </c>
      <c r="E260" s="23" t="n">
        <v>3179</v>
      </c>
      <c r="F260" s="23" t="n">
        <v>3713</v>
      </c>
      <c r="G260" s="11">
        <f>IF(F260=0,0,E260/F260*100)</f>
        <v/>
      </c>
      <c r="H260" s="7" t="n">
        <v>0</v>
      </c>
      <c r="I260" s="7" t="n">
        <v>0</v>
      </c>
      <c r="J260" s="7" t="n">
        <v>0</v>
      </c>
      <c r="K260" s="7" t="n">
        <v>5</v>
      </c>
    </row>
    <row r="261">
      <c r="A261" s="21" t="inlineStr">
        <is>
          <t>21 Jun</t>
        </is>
      </c>
      <c r="B261" s="21" t="inlineStr">
        <is>
          <t>30203</t>
        </is>
      </c>
      <c r="C261" s="7" t="n">
        <v>0</v>
      </c>
      <c r="D261" s="49" t="n">
        <v>81.39</v>
      </c>
      <c r="E261" s="23" t="n">
        <v>3461</v>
      </c>
      <c r="F261" s="23" t="n">
        <v>3577</v>
      </c>
      <c r="G261" s="11">
        <f>IF(F261=0,0,E261/F261*100)</f>
        <v/>
      </c>
      <c r="H261" s="7" t="n">
        <v>0</v>
      </c>
      <c r="I261" s="7" t="n">
        <v>0</v>
      </c>
      <c r="J261" s="7" t="n">
        <v>0</v>
      </c>
      <c r="K261" s="7" t="n">
        <v>3</v>
      </c>
    </row>
    <row r="262">
      <c r="A262" s="21" t="inlineStr">
        <is>
          <t>21 Jun</t>
        </is>
      </c>
      <c r="B262" s="21" t="inlineStr">
        <is>
          <t>39178</t>
        </is>
      </c>
      <c r="C262" s="7" t="n">
        <v>0</v>
      </c>
      <c r="D262" s="49" t="n">
        <v>94.03</v>
      </c>
      <c r="E262" s="23" t="n">
        <v>3202</v>
      </c>
      <c r="F262" s="23" t="n">
        <v>3241</v>
      </c>
      <c r="G262" s="11">
        <f>IF(F262=0,0,E262/F262*100)</f>
        <v/>
      </c>
      <c r="H262" s="7" t="n">
        <v>0</v>
      </c>
      <c r="I262" s="7" t="n">
        <v>0</v>
      </c>
      <c r="J262" s="7" t="n">
        <v>0</v>
      </c>
      <c r="K262" s="7" t="n">
        <v>0</v>
      </c>
    </row>
    <row r="263">
      <c r="A263" s="21" t="inlineStr">
        <is>
          <t>21 Jun</t>
        </is>
      </c>
      <c r="B263" s="21" t="inlineStr">
        <is>
          <t>30328</t>
        </is>
      </c>
      <c r="C263" s="7" t="n">
        <v>0</v>
      </c>
      <c r="D263" s="49" t="n">
        <v>81.37</v>
      </c>
      <c r="E263" s="23" t="n">
        <v>2952</v>
      </c>
      <c r="F263" s="23" t="n">
        <v>3126</v>
      </c>
      <c r="G263" s="11">
        <f>IF(F263=0,0,E263/F263*100)</f>
        <v/>
      </c>
      <c r="H263" s="7" t="n">
        <v>0</v>
      </c>
      <c r="I263" s="7" t="n">
        <v>0</v>
      </c>
      <c r="J263" s="7" t="n">
        <v>0</v>
      </c>
      <c r="K263" s="7" t="n">
        <v>5</v>
      </c>
    </row>
    <row r="264">
      <c r="A264" s="21" t="inlineStr">
        <is>
          <t>21 Jun</t>
        </is>
      </c>
      <c r="B264" s="21" t="inlineStr">
        <is>
          <t>30676</t>
        </is>
      </c>
      <c r="C264" s="7" t="n">
        <v>0</v>
      </c>
      <c r="D264" s="49" t="n">
        <v>82.51000000000001</v>
      </c>
      <c r="E264" s="23" t="n">
        <v>3092</v>
      </c>
      <c r="F264" s="23" t="n">
        <v>3099</v>
      </c>
      <c r="G264" s="11">
        <f>IF(F264=0,0,E264/F264*100)</f>
        <v/>
      </c>
      <c r="H264" s="7" t="n">
        <v>0</v>
      </c>
      <c r="I264" s="7" t="n">
        <v>0</v>
      </c>
      <c r="J264" s="7" t="n">
        <v>0</v>
      </c>
      <c r="K264" s="7" t="n">
        <v>0</v>
      </c>
    </row>
    <row r="265">
      <c r="A265" s="21" t="inlineStr">
        <is>
          <t>21 Jun</t>
        </is>
      </c>
      <c r="B265" s="21" t="inlineStr">
        <is>
          <t>30371</t>
        </is>
      </c>
      <c r="C265" s="7" t="n">
        <v>0</v>
      </c>
      <c r="D265" s="49" t="n">
        <v>81.63</v>
      </c>
      <c r="E265" s="23" t="n">
        <v>2602</v>
      </c>
      <c r="F265" s="23" t="n">
        <v>2828</v>
      </c>
      <c r="G265" s="11">
        <f>IF(F265=0,0,E265/F265*100)</f>
        <v/>
      </c>
      <c r="H265" s="7" t="n">
        <v>0</v>
      </c>
      <c r="I265" s="7" t="n">
        <v>0</v>
      </c>
      <c r="J265" s="7" t="n">
        <v>0</v>
      </c>
      <c r="K265" s="7" t="n">
        <v>5</v>
      </c>
    </row>
    <row r="266">
      <c r="A266" s="21" t="inlineStr">
        <is>
          <t>21 Jun</t>
        </is>
      </c>
      <c r="B266" s="21" t="inlineStr">
        <is>
          <t>37268</t>
        </is>
      </c>
      <c r="C266" s="7" t="n">
        <v>0</v>
      </c>
      <c r="D266" s="49" t="n">
        <v>39.15</v>
      </c>
      <c r="E266" s="23" t="n">
        <v>1447</v>
      </c>
      <c r="F266" s="23" t="n">
        <v>1520</v>
      </c>
      <c r="G266" s="11">
        <f>IF(F266=0,0,E266/F266*100)</f>
        <v/>
      </c>
      <c r="H266" s="7" t="n">
        <v>0</v>
      </c>
      <c r="I266" s="7" t="n">
        <v>0</v>
      </c>
      <c r="J266" s="7" t="n">
        <v>0</v>
      </c>
      <c r="K266" s="7" t="n">
        <v>3</v>
      </c>
    </row>
    <row r="267">
      <c r="A267" s="21" t="inlineStr">
        <is>
          <t>21 Jun</t>
        </is>
      </c>
      <c r="B267" s="21" t="inlineStr">
        <is>
          <t>37405</t>
        </is>
      </c>
      <c r="C267" s="7" t="n">
        <v>0</v>
      </c>
      <c r="D267" s="49" t="n">
        <v>0.49</v>
      </c>
      <c r="E267" s="23" t="n">
        <v>274</v>
      </c>
      <c r="F267" s="23" t="n">
        <v>323</v>
      </c>
      <c r="G267" s="11">
        <f>IF(F267=0,0,E267/F267*100)</f>
        <v/>
      </c>
      <c r="H267" s="7" t="n">
        <v>3</v>
      </c>
      <c r="I267" s="7" t="n">
        <v>0</v>
      </c>
      <c r="J267" s="7" t="n">
        <v>3</v>
      </c>
      <c r="K267" s="7" t="n">
        <v>3</v>
      </c>
    </row>
    <row r="268">
      <c r="A268" s="21" t="inlineStr">
        <is>
          <t>21 Jun</t>
        </is>
      </c>
      <c r="B268" s="21" t="inlineStr">
        <is>
          <t>30321</t>
        </is>
      </c>
      <c r="C268" s="7" t="n">
        <v>0</v>
      </c>
      <c r="D268" s="49" t="n">
        <v>0.97</v>
      </c>
      <c r="E268" s="23" t="n">
        <v>238</v>
      </c>
      <c r="F268" s="23" t="n">
        <v>242</v>
      </c>
      <c r="G268" s="11">
        <f>IF(F268=0,0,E268/F268*100)</f>
        <v/>
      </c>
      <c r="H268" s="7" t="n">
        <v>0</v>
      </c>
      <c r="I268" s="7" t="n">
        <v>0</v>
      </c>
      <c r="J268" s="7" t="n">
        <v>0</v>
      </c>
      <c r="K268" s="7" t="n">
        <v>0</v>
      </c>
    </row>
    <row r="269">
      <c r="A269" s="24" t="inlineStr">
        <is>
          <t>21 Jun</t>
        </is>
      </c>
      <c r="B269" s="24" t="inlineStr">
        <is>
          <t>Day Total</t>
        </is>
      </c>
      <c r="C269" s="25">
        <f>SUM(C237:C268)</f>
        <v/>
      </c>
      <c r="D269" s="50">
        <f>SUM(D237:D268)</f>
        <v/>
      </c>
      <c r="E269" s="27">
        <f>SUM(E237:E268)</f>
        <v/>
      </c>
      <c r="F269" s="27">
        <f>SUM(F237:F268)</f>
        <v/>
      </c>
      <c r="G269" s="28">
        <f>IF(F269=0,0,E269/F269*100)</f>
        <v/>
      </c>
      <c r="H269" s="25">
        <f>SUM(H237:H268)</f>
        <v/>
      </c>
      <c r="I269" s="25">
        <f>SUM(I237:I268)</f>
        <v/>
      </c>
      <c r="J269" s="25">
        <f>SUM(J237:J268)</f>
        <v/>
      </c>
      <c r="K269" s="25">
        <f>SUM(K237:K268)</f>
        <v/>
      </c>
    </row>
    <row r="270">
      <c r="A270" s="29" t="inlineStr">
        <is>
          <t>GRAND TOTAL</t>
        </is>
      </c>
      <c r="B270" s="29" t="n"/>
      <c r="C270" s="30">
        <f>C41+C79+C125+C157+C197+C236+C269</f>
        <v/>
      </c>
      <c r="D270" s="51">
        <f>D41+D79+D125+D157+D197+D236+D269</f>
        <v/>
      </c>
      <c r="E270" s="32">
        <f>E41+E79+E125+E157+E197+E236+E269</f>
        <v/>
      </c>
      <c r="F270" s="32">
        <f>F41+F79+F125+F157+F197+F236+F269</f>
        <v/>
      </c>
      <c r="G270" s="33">
        <f>IF(F270=0,0,E270/F270*100)</f>
        <v/>
      </c>
      <c r="H270" s="30">
        <f>H41+H79+H125+H157+H197+H236+H269</f>
        <v/>
      </c>
      <c r="I270" s="30">
        <f>I41+I79+I125+I157+I197+I236+I269</f>
        <v/>
      </c>
      <c r="J270" s="30">
        <f>J41+J79+J125+J157+J197+J236+J269</f>
        <v/>
      </c>
      <c r="K270" s="30">
        <f>K41+K79+K125+K157+K197+K236+K269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4"/>
  <sheetViews>
    <sheetView topLeftCell="H1" zoomScale="76" zoomScaleNormal="76" workbookViewId="0">
      <pane ySplit="5" topLeftCell="A6" activePane="bottomLeft" state="frozen"/>
      <selection activeCell="A1" sqref="A1"/>
      <selection pane="bottomLeft" activeCell="H76" sqref="H76"/>
    </sheetView>
  </sheetViews>
  <sheetFormatPr baseColWidth="8" defaultColWidth="9" defaultRowHeight="14.5"/>
  <cols>
    <col width="13" customWidth="1" min="1" max="12"/>
    <col width="56" customWidth="1" min="13" max="13"/>
    <col width="26" customWidth="1" min="14" max="14"/>
    <col width="13" customWidth="1" min="15" max="15"/>
    <col width="46" customWidth="1" min="16" max="16"/>
  </cols>
  <sheetData>
    <row r="1" ht="16.5" customHeight="1">
      <c r="A1" s="4" t="inlineStr">
        <is>
          <t>EB Detail — every Emergency-Brake event, with speed / MA / Emergency diagnostics + undesirable classification</t>
        </is>
      </c>
    </row>
    <row r="2"/>
    <row r="3">
      <c r="A3" s="15" t="inlineStr">
        <is>
          <t>Total EB = 119   ·   Valid trips = 7   ·   Non-valid trips = 112   ·   Undesirable = 66</t>
        </is>
      </c>
    </row>
    <row r="4"/>
    <row r="5" ht="34" customHeight="1">
      <c r="A5" s="6" t="inlineStr">
        <is>
          <t>Date</t>
        </is>
      </c>
      <c r="B5" s="6" t="inlineStr">
        <is>
          <t>Loco ID</t>
        </is>
      </c>
      <c r="C5" s="6" t="inlineStr">
        <is>
          <t>Trip Type</t>
        </is>
      </c>
      <c r="D5" s="6" t="inlineStr">
        <is>
          <t>Onset</t>
        </is>
      </c>
      <c r="E5" s="6" t="inlineStr">
        <is>
          <t>End</t>
        </is>
      </c>
      <c r="F5" s="6" t="inlineStr">
        <is>
          <t>Duration (s)</t>
        </is>
      </c>
      <c r="G5" s="6" t="inlineStr">
        <is>
          <t>EB Packets</t>
        </is>
      </c>
      <c r="H5" s="6" t="inlineStr">
        <is>
          <t>Max Speed</t>
        </is>
      </c>
      <c r="I5" s="6" t="inlineStr">
        <is>
          <t>Mode @onset</t>
        </is>
      </c>
      <c r="J5" s="6" t="inlineStr">
        <is>
          <t>Location (km)</t>
        </is>
      </c>
      <c r="K5" s="6" t="inlineStr">
        <is>
          <t>Dir</t>
        </is>
      </c>
      <c r="L5" s="6" t="inlineStr">
        <is>
          <t>Station</t>
        </is>
      </c>
      <c r="M5" s="6" t="inlineStr">
        <is>
          <t>Speed at EB (PG check)</t>
        </is>
      </c>
      <c r="N5" s="6" t="inlineStr">
        <is>
          <t>MA wrt Sig</t>
        </is>
      </c>
      <c r="O5" s="6" t="inlineStr">
        <is>
          <t>Emergency (LReg)</t>
        </is>
      </c>
      <c r="P5" s="6" t="inlineStr">
        <is>
          <t>Suspected Reason (undesirable)</t>
        </is>
      </c>
    </row>
    <row r="6" ht="49" customHeight="1">
      <c r="A6" s="9" t="inlineStr">
        <is>
          <t>15 Jun</t>
        </is>
      </c>
      <c r="B6" s="9" t="inlineStr">
        <is>
          <t>37215</t>
        </is>
      </c>
      <c r="C6" s="9" t="inlineStr">
        <is>
          <t>Non-Valid</t>
        </is>
      </c>
      <c r="D6" s="9" t="inlineStr">
        <is>
          <t>06:16:04</t>
        </is>
      </c>
      <c r="E6" s="9" t="inlineStr">
        <is>
          <t>06:16:04</t>
        </is>
      </c>
      <c r="F6" s="9" t="n">
        <v>0</v>
      </c>
      <c r="G6" s="9" t="n">
        <v>1</v>
      </c>
      <c r="H6" s="9" t="n">
        <v>117</v>
      </c>
      <c r="I6" s="9" t="inlineStr">
        <is>
          <t>FS</t>
        </is>
      </c>
      <c r="J6" s="16" t="n">
        <v>161.93</v>
      </c>
      <c r="K6" s="9" t="inlineStr">
        <is>
          <t>R</t>
        </is>
      </c>
      <c r="L6" s="9" t="inlineStr">
        <is>
          <t>DCOP</t>
        </is>
      </c>
      <c r="M6" s="17" t="inlineStr">
        <is>
          <t>117 km/h</t>
        </is>
      </c>
      <c r="N6" s="17" t="inlineStr">
        <is>
          <t>1064
MA dropped from 3327 to 1064.</t>
        </is>
      </c>
      <c r="O6" s="9" t="inlineStr">
        <is>
          <t>-</t>
        </is>
      </c>
      <c r="P6" s="18" t="inlineStr">
        <is>
          <t>Sudden MA drop</t>
        </is>
      </c>
    </row>
    <row r="7" ht="34" customHeight="1">
      <c r="A7" s="9" t="inlineStr">
        <is>
          <t>15 Jun</t>
        </is>
      </c>
      <c r="B7" s="9" t="inlineStr">
        <is>
          <t>37452</t>
        </is>
      </c>
      <c r="C7" s="9" t="inlineStr">
        <is>
          <t>Non-Valid</t>
        </is>
      </c>
      <c r="D7" s="9" t="inlineStr">
        <is>
          <t>07:37:58</t>
        </is>
      </c>
      <c r="E7" s="9" t="inlineStr">
        <is>
          <t>07:38:02</t>
        </is>
      </c>
      <c r="F7" s="9" t="n">
        <v>4</v>
      </c>
      <c r="G7" s="9" t="n">
        <v>2</v>
      </c>
      <c r="H7" s="9" t="n">
        <v>4</v>
      </c>
      <c r="I7" s="9" t="inlineStr">
        <is>
          <t>FS</t>
        </is>
      </c>
      <c r="J7" s="16" t="n">
        <v>2.46</v>
      </c>
      <c r="K7" s="9" t="inlineStr">
        <is>
          <t>R</t>
        </is>
      </c>
      <c r="L7" s="9" t="inlineStr">
        <is>
          <t>Howrah Sorting Yard</t>
        </is>
      </c>
      <c r="M7" s="17" t="inlineStr">
        <is>
          <t>4 km/h</t>
        </is>
      </c>
      <c r="N7" s="17" t="inlineStr">
        <is>
          <t>150</t>
        </is>
      </c>
      <c r="O7" s="9" t="inlineStr">
        <is>
          <t>-</t>
        </is>
      </c>
      <c r="P7" s="17" t="inlineStr">
        <is>
          <t>-</t>
        </is>
      </c>
    </row>
    <row r="8">
      <c r="A8" s="9" t="inlineStr">
        <is>
          <t>15 Jun</t>
        </is>
      </c>
      <c r="B8" s="9" t="inlineStr">
        <is>
          <t>37182</t>
        </is>
      </c>
      <c r="C8" s="9" t="inlineStr">
        <is>
          <t>Non-Valid</t>
        </is>
      </c>
      <c r="D8" s="9" t="inlineStr">
        <is>
          <t>18:26:30</t>
        </is>
      </c>
      <c r="E8" s="9" t="inlineStr">
        <is>
          <t>18:26:30</t>
        </is>
      </c>
      <c r="F8" s="9" t="n">
        <v>0</v>
      </c>
      <c r="G8" s="9" t="n">
        <v>1</v>
      </c>
      <c r="H8" s="9" t="n">
        <v>5</v>
      </c>
      <c r="I8" s="9" t="inlineStr">
        <is>
          <t>StandBy</t>
        </is>
      </c>
      <c r="J8" s="16" t="n">
        <v>0.33</v>
      </c>
      <c r="K8" s="9" t="inlineStr">
        <is>
          <t>U</t>
        </is>
      </c>
      <c r="L8" s="9" t="inlineStr">
        <is>
          <t>Howrah</t>
        </is>
      </c>
      <c r="M8" s="17" t="inlineStr">
        <is>
          <t>5 km/h</t>
        </is>
      </c>
      <c r="N8" s="17" t="inlineStr">
        <is>
          <t>n/a</t>
        </is>
      </c>
      <c r="O8" s="9" t="inlineStr">
        <is>
          <t>-</t>
        </is>
      </c>
      <c r="P8" s="17" t="inlineStr">
        <is>
          <t>StandBy Mode</t>
        </is>
      </c>
    </row>
    <row r="9">
      <c r="A9" s="9" t="inlineStr">
        <is>
          <t>15 Jun</t>
        </is>
      </c>
      <c r="B9" s="9" t="inlineStr">
        <is>
          <t>37182</t>
        </is>
      </c>
      <c r="C9" s="9" t="inlineStr">
        <is>
          <t>Non-Valid</t>
        </is>
      </c>
      <c r="D9" s="9" t="inlineStr">
        <is>
          <t>18:32:52</t>
        </is>
      </c>
      <c r="E9" s="9" t="inlineStr">
        <is>
          <t>18:32:52</t>
        </is>
      </c>
      <c r="F9" s="9" t="n">
        <v>0</v>
      </c>
      <c r="G9" s="9" t="n">
        <v>1</v>
      </c>
      <c r="H9" s="9" t="n">
        <v>5</v>
      </c>
      <c r="I9" s="9" t="inlineStr">
        <is>
          <t>FS</t>
        </is>
      </c>
      <c r="J9" s="16" t="n">
        <v>0.73</v>
      </c>
      <c r="K9" s="9" t="inlineStr">
        <is>
          <t>N</t>
        </is>
      </c>
      <c r="L9" s="9" t="inlineStr">
        <is>
          <t>Howrah</t>
        </is>
      </c>
      <c r="M9" s="17" t="inlineStr">
        <is>
          <t>5 km/h</t>
        </is>
      </c>
      <c r="N9" s="17" t="inlineStr">
        <is>
          <t>n/a</t>
        </is>
      </c>
      <c r="O9" s="9" t="inlineStr">
        <is>
          <t>-</t>
        </is>
      </c>
      <c r="P9" s="17" t="inlineStr">
        <is>
          <t>-</t>
        </is>
      </c>
    </row>
    <row r="10">
      <c r="A10" s="9" t="inlineStr">
        <is>
          <t>15 Jun</t>
        </is>
      </c>
      <c r="B10" s="9" t="inlineStr">
        <is>
          <t>37182</t>
        </is>
      </c>
      <c r="C10" s="9" t="inlineStr">
        <is>
          <t>Non-Valid</t>
        </is>
      </c>
      <c r="D10" s="9" t="inlineStr">
        <is>
          <t>18:33:34</t>
        </is>
      </c>
      <c r="E10" s="9" t="inlineStr">
        <is>
          <t>18:33:34</t>
        </is>
      </c>
      <c r="F10" s="9" t="n">
        <v>0</v>
      </c>
      <c r="G10" s="9" t="n">
        <v>1</v>
      </c>
      <c r="H10" s="9" t="n">
        <v>3</v>
      </c>
      <c r="I10" s="9" t="inlineStr">
        <is>
          <t>FS</t>
        </is>
      </c>
      <c r="J10" s="16" t="n">
        <v>0.73</v>
      </c>
      <c r="K10" s="9" t="inlineStr">
        <is>
          <t>N</t>
        </is>
      </c>
      <c r="L10" s="9" t="inlineStr">
        <is>
          <t>Howrah</t>
        </is>
      </c>
      <c r="M10" s="17" t="inlineStr">
        <is>
          <t>3 km/h</t>
        </is>
      </c>
      <c r="N10" s="17" t="inlineStr">
        <is>
          <t>n/a</t>
        </is>
      </c>
      <c r="O10" s="9" t="inlineStr">
        <is>
          <t>-</t>
        </is>
      </c>
      <c r="P10" s="17" t="inlineStr">
        <is>
          <t>-</t>
        </is>
      </c>
    </row>
    <row r="11">
      <c r="A11" s="9" t="inlineStr">
        <is>
          <t>15 Jun</t>
        </is>
      </c>
      <c r="B11" s="9" t="inlineStr">
        <is>
          <t>37182</t>
        </is>
      </c>
      <c r="C11" s="9" t="inlineStr">
        <is>
          <t>Non-Valid</t>
        </is>
      </c>
      <c r="D11" s="9" t="inlineStr">
        <is>
          <t>18:34:10</t>
        </is>
      </c>
      <c r="E11" s="9" t="inlineStr">
        <is>
          <t>18:34:14</t>
        </is>
      </c>
      <c r="F11" s="9" t="n">
        <v>4</v>
      </c>
      <c r="G11" s="9" t="n">
        <v>3</v>
      </c>
      <c r="H11" s="9" t="n">
        <v>4</v>
      </c>
      <c r="I11" s="9" t="inlineStr">
        <is>
          <t>FS</t>
        </is>
      </c>
      <c r="J11" s="16" t="n">
        <v>0.73</v>
      </c>
      <c r="K11" s="9" t="inlineStr">
        <is>
          <t>N</t>
        </is>
      </c>
      <c r="L11" s="9" t="inlineStr">
        <is>
          <t>Howrah</t>
        </is>
      </c>
      <c r="M11" s="17" t="inlineStr">
        <is>
          <t>2 km/h</t>
        </is>
      </c>
      <c r="N11" s="17" t="inlineStr">
        <is>
          <t>n/a</t>
        </is>
      </c>
      <c r="O11" s="9" t="inlineStr">
        <is>
          <t>-</t>
        </is>
      </c>
      <c r="P11" s="17" t="inlineStr">
        <is>
          <t>-</t>
        </is>
      </c>
    </row>
    <row r="12">
      <c r="A12" s="9" t="inlineStr">
        <is>
          <t>15 Jun</t>
        </is>
      </c>
      <c r="B12" s="9" t="inlineStr">
        <is>
          <t>30305</t>
        </is>
      </c>
      <c r="C12" s="9" t="inlineStr">
        <is>
          <t>Non-Valid</t>
        </is>
      </c>
      <c r="D12" s="9" t="inlineStr">
        <is>
          <t>20:23:54</t>
        </is>
      </c>
      <c r="E12" s="9" t="inlineStr">
        <is>
          <t>20:24:08</t>
        </is>
      </c>
      <c r="F12" s="9" t="n">
        <v>14</v>
      </c>
      <c r="G12" s="9" t="n">
        <v>8</v>
      </c>
      <c r="H12" s="9" t="n">
        <v>35</v>
      </c>
      <c r="I12" s="9" t="inlineStr">
        <is>
          <t>TRIP</t>
        </is>
      </c>
      <c r="J12" s="16" t="n">
        <v>14.23</v>
      </c>
      <c r="K12" s="9" t="inlineStr">
        <is>
          <t>R</t>
        </is>
      </c>
      <c r="L12" s="9" t="inlineStr">
        <is>
          <t>Dankuni</t>
        </is>
      </c>
      <c r="M12" s="17" t="inlineStr">
        <is>
          <t>35 km/h</t>
        </is>
      </c>
      <c r="N12" s="17" t="inlineStr">
        <is>
          <t>n/a</t>
        </is>
      </c>
      <c r="O12" s="9" t="inlineStr">
        <is>
          <t>-</t>
        </is>
      </c>
      <c r="P12" s="18" t="inlineStr">
        <is>
          <t>Trip mode</t>
        </is>
      </c>
    </row>
    <row r="13">
      <c r="A13" s="9" t="inlineStr">
        <is>
          <t>15 Jun</t>
        </is>
      </c>
      <c r="B13" s="9" t="inlineStr">
        <is>
          <t>30305</t>
        </is>
      </c>
      <c r="C13" s="9" t="inlineStr">
        <is>
          <t>Non-Valid</t>
        </is>
      </c>
      <c r="D13" s="9" t="inlineStr">
        <is>
          <t>20:25:22</t>
        </is>
      </c>
      <c r="E13" s="9" t="inlineStr">
        <is>
          <t>20:25:22</t>
        </is>
      </c>
      <c r="F13" s="9" t="n">
        <v>0</v>
      </c>
      <c r="G13" s="9" t="n">
        <v>1</v>
      </c>
      <c r="H13" s="9" t="n">
        <v>1</v>
      </c>
      <c r="I13" s="9" t="inlineStr">
        <is>
          <t>POSTTRIP</t>
        </is>
      </c>
      <c r="J13" s="16" t="n">
        <v>14.14</v>
      </c>
      <c r="K13" s="9" t="inlineStr">
        <is>
          <t>R</t>
        </is>
      </c>
      <c r="L13" s="9" t="inlineStr">
        <is>
          <t>Dankuni</t>
        </is>
      </c>
      <c r="M13" s="17" t="inlineStr">
        <is>
          <t>1 km/h</t>
        </is>
      </c>
      <c r="N13" s="17" t="inlineStr">
        <is>
          <t>n/a</t>
        </is>
      </c>
      <c r="O13" s="9" t="inlineStr">
        <is>
          <t>-</t>
        </is>
      </c>
      <c r="P13" s="18" t="inlineStr">
        <is>
          <t>EB at 0-1 km/h</t>
        </is>
      </c>
    </row>
    <row r="14">
      <c r="A14" s="9" t="inlineStr">
        <is>
          <t>15 Jun</t>
        </is>
      </c>
      <c r="B14" s="9" t="inlineStr">
        <is>
          <t>45003</t>
        </is>
      </c>
      <c r="C14" s="9" t="inlineStr">
        <is>
          <t>Non-Valid</t>
        </is>
      </c>
      <c r="D14" s="9" t="inlineStr">
        <is>
          <t>23:06:22</t>
        </is>
      </c>
      <c r="E14" s="9" t="inlineStr">
        <is>
          <t>23:06:26</t>
        </is>
      </c>
      <c r="F14" s="9" t="n">
        <v>4</v>
      </c>
      <c r="G14" s="9" t="n">
        <v>3</v>
      </c>
      <c r="H14" s="9" t="n">
        <v>6</v>
      </c>
      <c r="I14" s="9" t="inlineStr">
        <is>
          <t>FS</t>
        </is>
      </c>
      <c r="J14" s="16" t="n">
        <v>0.45</v>
      </c>
      <c r="K14" s="9" t="inlineStr">
        <is>
          <t>R</t>
        </is>
      </c>
      <c r="L14" s="9" t="inlineStr">
        <is>
          <t>Howrah</t>
        </is>
      </c>
      <c r="M14" s="17" t="inlineStr">
        <is>
          <t>6 km/h</t>
        </is>
      </c>
      <c r="N14" s="17" t="inlineStr">
        <is>
          <t>n/a</t>
        </is>
      </c>
      <c r="O14" s="9" t="inlineStr">
        <is>
          <t>-</t>
        </is>
      </c>
      <c r="P14" s="17" t="inlineStr">
        <is>
          <t>-</t>
        </is>
      </c>
    </row>
    <row r="15">
      <c r="A15" s="9" t="inlineStr">
        <is>
          <t>15 Jun</t>
        </is>
      </c>
      <c r="B15" s="9" t="inlineStr">
        <is>
          <t>45003</t>
        </is>
      </c>
      <c r="C15" s="9" t="inlineStr">
        <is>
          <t>Non-Valid</t>
        </is>
      </c>
      <c r="D15" s="9" t="inlineStr">
        <is>
          <t>23:06:54</t>
        </is>
      </c>
      <c r="E15" s="9" t="inlineStr">
        <is>
          <t>23:06:54</t>
        </is>
      </c>
      <c r="F15" s="9" t="n">
        <v>0</v>
      </c>
      <c r="G15" s="9" t="n">
        <v>1</v>
      </c>
      <c r="H15" s="9" t="n">
        <v>3</v>
      </c>
      <c r="I15" s="9" t="inlineStr">
        <is>
          <t>FS</t>
        </is>
      </c>
      <c r="J15" s="16" t="n">
        <v>0.45</v>
      </c>
      <c r="K15" s="9" t="inlineStr">
        <is>
          <t>R</t>
        </is>
      </c>
      <c r="L15" s="9" t="inlineStr">
        <is>
          <t>Howrah</t>
        </is>
      </c>
      <c r="M15" s="17" t="inlineStr">
        <is>
          <t>3 km/h</t>
        </is>
      </c>
      <c r="N15" s="17" t="inlineStr">
        <is>
          <t>n/a</t>
        </is>
      </c>
      <c r="O15" s="9" t="inlineStr">
        <is>
          <t>-</t>
        </is>
      </c>
      <c r="P15" s="17" t="inlineStr">
        <is>
          <t>-</t>
        </is>
      </c>
    </row>
    <row r="16">
      <c r="A16" s="9" t="inlineStr">
        <is>
          <t>15 Jun</t>
        </is>
      </c>
      <c r="B16" s="9" t="inlineStr">
        <is>
          <t>45003</t>
        </is>
      </c>
      <c r="C16" s="9" t="inlineStr">
        <is>
          <t>Non-Valid</t>
        </is>
      </c>
      <c r="D16" s="9" t="inlineStr">
        <is>
          <t>23:07:30</t>
        </is>
      </c>
      <c r="E16" s="9" t="inlineStr">
        <is>
          <t>23:07:34</t>
        </is>
      </c>
      <c r="F16" s="9" t="n">
        <v>4</v>
      </c>
      <c r="G16" s="9" t="n">
        <v>2</v>
      </c>
      <c r="H16" s="9" t="n">
        <v>3</v>
      </c>
      <c r="I16" s="9" t="inlineStr">
        <is>
          <t>FS</t>
        </is>
      </c>
      <c r="J16" s="16" t="n">
        <v>0.44</v>
      </c>
      <c r="K16" s="9" t="inlineStr">
        <is>
          <t>R</t>
        </is>
      </c>
      <c r="L16" s="9" t="inlineStr">
        <is>
          <t>Howrah</t>
        </is>
      </c>
      <c r="M16" s="17" t="inlineStr">
        <is>
          <t>3 km/h</t>
        </is>
      </c>
      <c r="N16" s="17" t="inlineStr">
        <is>
          <t>n/a</t>
        </is>
      </c>
      <c r="O16" s="9" t="inlineStr">
        <is>
          <t>-</t>
        </is>
      </c>
      <c r="P16" s="17" t="inlineStr">
        <is>
          <t>-</t>
        </is>
      </c>
    </row>
    <row r="17">
      <c r="A17" s="9" t="inlineStr">
        <is>
          <t>15 Jun</t>
        </is>
      </c>
      <c r="B17" s="9" t="inlineStr">
        <is>
          <t>45003</t>
        </is>
      </c>
      <c r="C17" s="9" t="inlineStr">
        <is>
          <t>Non-Valid</t>
        </is>
      </c>
      <c r="D17" s="9" t="inlineStr">
        <is>
          <t>23:07:38</t>
        </is>
      </c>
      <c r="E17" s="9" t="inlineStr">
        <is>
          <t>23:07:48</t>
        </is>
      </c>
      <c r="F17" s="9" t="n">
        <v>10</v>
      </c>
      <c r="G17" s="9" t="n">
        <v>6</v>
      </c>
      <c r="H17" s="9" t="n">
        <v>0</v>
      </c>
      <c r="I17" s="9" t="inlineStr">
        <is>
          <t>FS</t>
        </is>
      </c>
      <c r="J17" s="16" t="n">
        <v>0.44</v>
      </c>
      <c r="K17" s="9" t="inlineStr">
        <is>
          <t>R</t>
        </is>
      </c>
      <c r="L17" s="9" t="inlineStr">
        <is>
          <t>Howrah</t>
        </is>
      </c>
      <c r="M17" s="17" t="inlineStr">
        <is>
          <t>0 km/h</t>
        </is>
      </c>
      <c r="N17" s="17" t="inlineStr">
        <is>
          <t>n/a</t>
        </is>
      </c>
      <c r="O17" s="9" t="inlineStr">
        <is>
          <t>-</t>
        </is>
      </c>
      <c r="P17" s="18" t="inlineStr">
        <is>
          <t>EB at 0-1 km/h</t>
        </is>
      </c>
    </row>
    <row r="18">
      <c r="A18" s="9" t="inlineStr">
        <is>
          <t>15 Jun</t>
        </is>
      </c>
      <c r="B18" s="9" t="inlineStr">
        <is>
          <t>45003</t>
        </is>
      </c>
      <c r="C18" s="9" t="inlineStr">
        <is>
          <t>Non-Valid</t>
        </is>
      </c>
      <c r="D18" s="9" t="inlineStr">
        <is>
          <t>23:10:28</t>
        </is>
      </c>
      <c r="E18" s="9" t="inlineStr">
        <is>
          <t>23:10:36</t>
        </is>
      </c>
      <c r="F18" s="9" t="n">
        <v>8</v>
      </c>
      <c r="G18" s="9" t="n">
        <v>5</v>
      </c>
      <c r="H18" s="9" t="n">
        <v>11</v>
      </c>
      <c r="I18" s="9" t="inlineStr">
        <is>
          <t>SR</t>
        </is>
      </c>
      <c r="J18" s="16" t="n">
        <v>0.37</v>
      </c>
      <c r="K18" s="9" t="inlineStr">
        <is>
          <t>R</t>
        </is>
      </c>
      <c r="L18" s="9" t="inlineStr">
        <is>
          <t>Howrah</t>
        </is>
      </c>
      <c r="M18" s="17" t="inlineStr">
        <is>
          <t>11 km/h</t>
        </is>
      </c>
      <c r="N18" s="17" t="inlineStr">
        <is>
          <t>n/a</t>
        </is>
      </c>
      <c r="O18" s="9" t="inlineStr">
        <is>
          <t>-</t>
        </is>
      </c>
      <c r="P18" s="18" t="inlineStr">
        <is>
          <t>FS-&gt;SR degradation + EB</t>
        </is>
      </c>
    </row>
    <row r="19">
      <c r="A19" s="9" t="inlineStr">
        <is>
          <t>15 Jun</t>
        </is>
      </c>
      <c r="B19" s="9" t="inlineStr">
        <is>
          <t>45003</t>
        </is>
      </c>
      <c r="C19" s="9" t="inlineStr">
        <is>
          <t>Non-Valid</t>
        </is>
      </c>
      <c r="D19" s="9" t="inlineStr">
        <is>
          <t>23:10:44</t>
        </is>
      </c>
      <c r="E19" s="9" t="inlineStr">
        <is>
          <t>23:11:06</t>
        </is>
      </c>
      <c r="F19" s="9" t="n">
        <v>22</v>
      </c>
      <c r="G19" s="9" t="n">
        <v>12</v>
      </c>
      <c r="H19" s="9" t="n">
        <v>0</v>
      </c>
      <c r="I19" s="9" t="inlineStr">
        <is>
          <t>SR</t>
        </is>
      </c>
      <c r="J19" s="16" t="n">
        <v>0.34</v>
      </c>
      <c r="K19" s="9" t="inlineStr">
        <is>
          <t>R</t>
        </is>
      </c>
      <c r="L19" s="9" t="inlineStr">
        <is>
          <t>Howrah</t>
        </is>
      </c>
      <c r="M19" s="17" t="inlineStr">
        <is>
          <t>0 km/h</t>
        </is>
      </c>
      <c r="N19" s="17" t="inlineStr">
        <is>
          <t>n/a</t>
        </is>
      </c>
      <c r="O19" s="9" t="inlineStr">
        <is>
          <t>-</t>
        </is>
      </c>
      <c r="P19" s="18" t="inlineStr">
        <is>
          <t>EB at 0-1 km/h; FS-&gt;SR degradation + EB</t>
        </is>
      </c>
    </row>
    <row r="20">
      <c r="A20" s="9" t="inlineStr">
        <is>
          <t>15 Jun</t>
        </is>
      </c>
      <c r="B20" s="9" t="inlineStr">
        <is>
          <t>45003</t>
        </is>
      </c>
      <c r="C20" s="9" t="inlineStr">
        <is>
          <t>Non-Valid</t>
        </is>
      </c>
      <c r="D20" s="9" t="inlineStr">
        <is>
          <t>23:20:36</t>
        </is>
      </c>
      <c r="E20" s="9" t="inlineStr">
        <is>
          <t>23:20:36</t>
        </is>
      </c>
      <c r="F20" s="9" t="n">
        <v>0</v>
      </c>
      <c r="G20" s="9" t="n">
        <v>1</v>
      </c>
      <c r="H20" s="9" t="n">
        <v>2</v>
      </c>
      <c r="I20" s="9" t="inlineStr">
        <is>
          <t>FS</t>
        </is>
      </c>
      <c r="J20" s="16" t="n">
        <v>0.73</v>
      </c>
      <c r="K20" s="9" t="inlineStr">
        <is>
          <t>N</t>
        </is>
      </c>
      <c r="L20" s="9" t="inlineStr">
        <is>
          <t>Howrah</t>
        </is>
      </c>
      <c r="M20" s="17" t="inlineStr">
        <is>
          <t>2 km/h</t>
        </is>
      </c>
      <c r="N20" s="17" t="inlineStr">
        <is>
          <t>n/a</t>
        </is>
      </c>
      <c r="O20" s="9" t="inlineStr">
        <is>
          <t>-</t>
        </is>
      </c>
      <c r="P20" s="17" t="inlineStr">
        <is>
          <t>-</t>
        </is>
      </c>
    </row>
    <row r="21">
      <c r="A21" s="9" t="inlineStr">
        <is>
          <t>15 Jun</t>
        </is>
      </c>
      <c r="B21" s="9" t="inlineStr">
        <is>
          <t>45003</t>
        </is>
      </c>
      <c r="C21" s="9" t="inlineStr">
        <is>
          <t>Non-Valid</t>
        </is>
      </c>
      <c r="D21" s="9" t="inlineStr">
        <is>
          <t>23:21:26</t>
        </is>
      </c>
      <c r="E21" s="9" t="inlineStr">
        <is>
          <t>23:21:26</t>
        </is>
      </c>
      <c r="F21" s="9" t="n">
        <v>0</v>
      </c>
      <c r="G21" s="9" t="n">
        <v>1</v>
      </c>
      <c r="H21" s="9" t="n">
        <v>1</v>
      </c>
      <c r="I21" s="9" t="inlineStr">
        <is>
          <t>FS</t>
        </is>
      </c>
      <c r="J21" s="16" t="n">
        <v>0.73</v>
      </c>
      <c r="K21" s="9" t="inlineStr">
        <is>
          <t>N</t>
        </is>
      </c>
      <c r="L21" s="9" t="inlineStr">
        <is>
          <t>Howrah</t>
        </is>
      </c>
      <c r="M21" s="17" t="inlineStr">
        <is>
          <t>1 km/h</t>
        </is>
      </c>
      <c r="N21" s="17" t="inlineStr">
        <is>
          <t>n/a</t>
        </is>
      </c>
      <c r="O21" s="9" t="inlineStr">
        <is>
          <t>-</t>
        </is>
      </c>
      <c r="P21" s="18" t="inlineStr">
        <is>
          <t>EB at 0-1 km/h</t>
        </is>
      </c>
    </row>
    <row r="22">
      <c r="A22" s="9" t="inlineStr">
        <is>
          <t>15 Jun</t>
        </is>
      </c>
      <c r="B22" s="9" t="inlineStr">
        <is>
          <t>45003</t>
        </is>
      </c>
      <c r="C22" s="9" t="inlineStr">
        <is>
          <t>Non-Valid</t>
        </is>
      </c>
      <c r="D22" s="9" t="inlineStr">
        <is>
          <t>23:22:00</t>
        </is>
      </c>
      <c r="E22" s="9" t="inlineStr">
        <is>
          <t>23:22:04</t>
        </is>
      </c>
      <c r="F22" s="9" t="n">
        <v>4</v>
      </c>
      <c r="G22" s="9" t="n">
        <v>3</v>
      </c>
      <c r="H22" s="9" t="n">
        <v>3</v>
      </c>
      <c r="I22" s="9" t="inlineStr">
        <is>
          <t>FS</t>
        </is>
      </c>
      <c r="J22" s="16" t="n">
        <v>0.73</v>
      </c>
      <c r="K22" s="9" t="inlineStr">
        <is>
          <t>N</t>
        </is>
      </c>
      <c r="L22" s="9" t="inlineStr">
        <is>
          <t>Howrah</t>
        </is>
      </c>
      <c r="M22" s="17" t="inlineStr">
        <is>
          <t>2 km/h</t>
        </is>
      </c>
      <c r="N22" s="17" t="inlineStr">
        <is>
          <t>n/a</t>
        </is>
      </c>
      <c r="O22" s="9" t="inlineStr">
        <is>
          <t>-</t>
        </is>
      </c>
      <c r="P22" s="17" t="inlineStr">
        <is>
          <t>-</t>
        </is>
      </c>
    </row>
    <row r="23">
      <c r="A23" s="9" t="inlineStr">
        <is>
          <t>15 Jun</t>
        </is>
      </c>
      <c r="B23" s="9" t="inlineStr">
        <is>
          <t>45003</t>
        </is>
      </c>
      <c r="C23" s="9" t="inlineStr">
        <is>
          <t>Non-Valid</t>
        </is>
      </c>
      <c r="D23" s="9" t="inlineStr">
        <is>
          <t>23:22:36</t>
        </is>
      </c>
      <c r="E23" s="9" t="inlineStr">
        <is>
          <t>23:22:46</t>
        </is>
      </c>
      <c r="F23" s="9" t="n">
        <v>10</v>
      </c>
      <c r="G23" s="9" t="n">
        <v>6</v>
      </c>
      <c r="H23" s="9" t="n">
        <v>3</v>
      </c>
      <c r="I23" s="9" t="inlineStr">
        <is>
          <t>TRIP</t>
        </is>
      </c>
      <c r="J23" s="16" t="n">
        <v>0.75</v>
      </c>
      <c r="K23" s="9" t="inlineStr">
        <is>
          <t>N</t>
        </is>
      </c>
      <c r="L23" s="9" t="inlineStr">
        <is>
          <t>Howrah</t>
        </is>
      </c>
      <c r="M23" s="17" t="inlineStr">
        <is>
          <t>1 km/h</t>
        </is>
      </c>
      <c r="N23" s="17" t="inlineStr">
        <is>
          <t>n/a</t>
        </is>
      </c>
      <c r="O23" s="9" t="inlineStr">
        <is>
          <t>-</t>
        </is>
      </c>
      <c r="P23" s="18" t="inlineStr">
        <is>
          <t>EB at 0-1 km/h; Trip mode</t>
        </is>
      </c>
    </row>
    <row r="24">
      <c r="A24" s="9" t="inlineStr">
        <is>
          <t>16 Jun</t>
        </is>
      </c>
      <c r="B24" s="9" t="inlineStr">
        <is>
          <t>37657</t>
        </is>
      </c>
      <c r="C24" s="9" t="inlineStr">
        <is>
          <t>Non-Valid</t>
        </is>
      </c>
      <c r="D24" s="9" t="inlineStr">
        <is>
          <t>01:40:12</t>
        </is>
      </c>
      <c r="E24" s="9" t="inlineStr">
        <is>
          <t>01:40:14</t>
        </is>
      </c>
      <c r="F24" s="9" t="n">
        <v>2</v>
      </c>
      <c r="G24" s="9" t="n">
        <v>2</v>
      </c>
      <c r="H24" s="9" t="n">
        <v>2</v>
      </c>
      <c r="I24" s="9" t="inlineStr">
        <is>
          <t>FS</t>
        </is>
      </c>
      <c r="J24" s="16" t="n">
        <v>0.74</v>
      </c>
      <c r="K24" s="9" t="inlineStr">
        <is>
          <t>N</t>
        </is>
      </c>
      <c r="L24" s="9" t="inlineStr">
        <is>
          <t>Howrah</t>
        </is>
      </c>
      <c r="M24" s="17" t="inlineStr">
        <is>
          <t>2 km/h</t>
        </is>
      </c>
      <c r="N24" s="17" t="inlineStr">
        <is>
          <t>n/a</t>
        </is>
      </c>
      <c r="O24" s="9" t="inlineStr">
        <is>
          <t>-</t>
        </is>
      </c>
      <c r="P24" s="17" t="inlineStr">
        <is>
          <t>-</t>
        </is>
      </c>
    </row>
    <row r="25">
      <c r="A25" s="9" t="inlineStr">
        <is>
          <t>16 Jun</t>
        </is>
      </c>
      <c r="B25" s="9" t="inlineStr">
        <is>
          <t>37657</t>
        </is>
      </c>
      <c r="C25" s="9" t="inlineStr">
        <is>
          <t>Non-Valid</t>
        </is>
      </c>
      <c r="D25" s="9" t="inlineStr">
        <is>
          <t>01:40:50</t>
        </is>
      </c>
      <c r="E25" s="9" t="inlineStr">
        <is>
          <t>01:40:54</t>
        </is>
      </c>
      <c r="F25" s="9" t="n">
        <v>4</v>
      </c>
      <c r="G25" s="9" t="n">
        <v>3</v>
      </c>
      <c r="H25" s="9" t="n">
        <v>2</v>
      </c>
      <c r="I25" s="9" t="inlineStr">
        <is>
          <t>FS</t>
        </is>
      </c>
      <c r="J25" s="16" t="n">
        <v>0.74</v>
      </c>
      <c r="K25" s="9" t="inlineStr">
        <is>
          <t>N</t>
        </is>
      </c>
      <c r="L25" s="9" t="inlineStr">
        <is>
          <t>Howrah</t>
        </is>
      </c>
      <c r="M25" s="17" t="inlineStr">
        <is>
          <t>1 km/h</t>
        </is>
      </c>
      <c r="N25" s="17" t="inlineStr">
        <is>
          <t>n/a</t>
        </is>
      </c>
      <c r="O25" s="9" t="inlineStr">
        <is>
          <t>-</t>
        </is>
      </c>
      <c r="P25" s="18" t="inlineStr">
        <is>
          <t>EB at 0-1 km/h</t>
        </is>
      </c>
    </row>
    <row r="26" ht="49" customHeight="1">
      <c r="A26" s="9" t="inlineStr">
        <is>
          <t>16 Jun</t>
        </is>
      </c>
      <c r="B26" s="9" t="inlineStr">
        <is>
          <t>39482</t>
        </is>
      </c>
      <c r="C26" s="9" t="inlineStr">
        <is>
          <t>Non-Valid</t>
        </is>
      </c>
      <c r="D26" s="9" t="inlineStr">
        <is>
          <t>09:19:52</t>
        </is>
      </c>
      <c r="E26" s="9" t="inlineStr">
        <is>
          <t>09:19:52</t>
        </is>
      </c>
      <c r="F26" s="9" t="n">
        <v>0</v>
      </c>
      <c r="G26" s="9" t="n">
        <v>1</v>
      </c>
      <c r="H26" s="9" t="n">
        <v>129</v>
      </c>
      <c r="I26" s="9" t="inlineStr">
        <is>
          <t>FS</t>
        </is>
      </c>
      <c r="J26" s="16" t="n">
        <v>107.22</v>
      </c>
      <c r="K26" s="9" t="inlineStr">
        <is>
          <t>N</t>
        </is>
      </c>
      <c r="L26" s="9" t="inlineStr">
        <is>
          <t>Khana Jn</t>
        </is>
      </c>
      <c r="M26" s="17" t="inlineStr">
        <is>
          <t>129 km/h</t>
        </is>
      </c>
      <c r="N26" s="17" t="inlineStr">
        <is>
          <t>1357
MA dropped from 3512 to 1357.</t>
        </is>
      </c>
      <c r="O26" s="9" t="inlineStr">
        <is>
          <t>-</t>
        </is>
      </c>
      <c r="P26" s="18" t="inlineStr">
        <is>
          <t>Sudden MA drop</t>
        </is>
      </c>
    </row>
    <row r="27">
      <c r="A27" s="9" t="inlineStr">
        <is>
          <t>16 Jun</t>
        </is>
      </c>
      <c r="B27" s="9" t="inlineStr">
        <is>
          <t>30568</t>
        </is>
      </c>
      <c r="C27" s="9" t="inlineStr">
        <is>
          <t>Non-Valid</t>
        </is>
      </c>
      <c r="D27" s="9" t="inlineStr">
        <is>
          <t>21:08:22</t>
        </is>
      </c>
      <c r="E27" s="9" t="inlineStr">
        <is>
          <t>21:08:28</t>
        </is>
      </c>
      <c r="F27" s="9" t="n">
        <v>6</v>
      </c>
      <c r="G27" s="9" t="n">
        <v>3</v>
      </c>
      <c r="H27" s="9" t="n">
        <v>14</v>
      </c>
      <c r="I27" s="9" t="inlineStr">
        <is>
          <t>OS</t>
        </is>
      </c>
      <c r="J27" s="16" t="n">
        <v>165.59</v>
      </c>
      <c r="K27" s="9" t="inlineStr">
        <is>
          <t>N</t>
        </is>
      </c>
      <c r="L27" s="9" t="inlineStr">
        <is>
          <t>DCOP</t>
        </is>
      </c>
      <c r="M27" s="17" t="inlineStr">
        <is>
          <t>14 km/h</t>
        </is>
      </c>
      <c r="N27" s="17" t="inlineStr">
        <is>
          <t>n/a</t>
        </is>
      </c>
      <c r="O27" s="9" t="inlineStr">
        <is>
          <t>-</t>
        </is>
      </c>
      <c r="P27" s="17" t="inlineStr">
        <is>
          <t>-</t>
        </is>
      </c>
    </row>
    <row r="28">
      <c r="A28" s="9" t="inlineStr">
        <is>
          <t>17 Jun</t>
        </is>
      </c>
      <c r="B28" s="9" t="inlineStr">
        <is>
          <t>30552</t>
        </is>
      </c>
      <c r="C28" s="9" t="inlineStr">
        <is>
          <t>Non-Valid</t>
        </is>
      </c>
      <c r="D28" s="9" t="inlineStr">
        <is>
          <t>00:09:14</t>
        </is>
      </c>
      <c r="E28" s="9" t="inlineStr">
        <is>
          <t>00:09:14</t>
        </is>
      </c>
      <c r="F28" s="9" t="n">
        <v>0</v>
      </c>
      <c r="G28" s="9" t="n">
        <v>1</v>
      </c>
      <c r="H28" s="9" t="n">
        <v>1</v>
      </c>
      <c r="I28" s="9" t="inlineStr">
        <is>
          <t>OS</t>
        </is>
      </c>
      <c r="J28" s="16" t="n">
        <v>0.16</v>
      </c>
      <c r="K28" s="9" t="inlineStr">
        <is>
          <t>R</t>
        </is>
      </c>
      <c r="L28" s="9" t="inlineStr">
        <is>
          <t>Howrah</t>
        </is>
      </c>
      <c r="M28" s="17" t="inlineStr">
        <is>
          <t>1 km/h</t>
        </is>
      </c>
      <c r="N28" s="17" t="inlineStr">
        <is>
          <t>n/a</t>
        </is>
      </c>
      <c r="O28" s="9" t="inlineStr">
        <is>
          <t>-</t>
        </is>
      </c>
      <c r="P28" s="18" t="inlineStr">
        <is>
          <t>EB at 0-1 km/h</t>
        </is>
      </c>
    </row>
    <row r="29">
      <c r="A29" s="9" t="inlineStr">
        <is>
          <t>17 Jun</t>
        </is>
      </c>
      <c r="B29" s="9" t="inlineStr">
        <is>
          <t>37215</t>
        </is>
      </c>
      <c r="C29" s="9" t="inlineStr">
        <is>
          <t>Non-Valid</t>
        </is>
      </c>
      <c r="D29" s="9" t="inlineStr">
        <is>
          <t>00:58:56</t>
        </is>
      </c>
      <c r="E29" s="9" t="inlineStr">
        <is>
          <t>00:58:58</t>
        </is>
      </c>
      <c r="F29" s="9" t="n">
        <v>2</v>
      </c>
      <c r="G29" s="9" t="n">
        <v>2</v>
      </c>
      <c r="H29" s="9" t="n">
        <v>9</v>
      </c>
      <c r="I29" s="9" t="inlineStr">
        <is>
          <t>FS</t>
        </is>
      </c>
      <c r="J29" s="16" t="n">
        <v>0.72</v>
      </c>
      <c r="K29" s="9" t="inlineStr">
        <is>
          <t>N</t>
        </is>
      </c>
      <c r="L29" s="9" t="inlineStr">
        <is>
          <t>Howrah</t>
        </is>
      </c>
      <c r="M29" s="17" t="inlineStr">
        <is>
          <t>8 km/h</t>
        </is>
      </c>
      <c r="N29" s="17" t="inlineStr">
        <is>
          <t>n/a</t>
        </is>
      </c>
      <c r="O29" s="9" t="inlineStr">
        <is>
          <t>-</t>
        </is>
      </c>
      <c r="P29" s="17" t="inlineStr">
        <is>
          <t>-</t>
        </is>
      </c>
    </row>
    <row r="30">
      <c r="A30" s="9" t="inlineStr">
        <is>
          <t>17 Jun</t>
        </is>
      </c>
      <c r="B30" s="9" t="inlineStr">
        <is>
          <t>37215</t>
        </is>
      </c>
      <c r="C30" s="9" t="inlineStr">
        <is>
          <t>Non-Valid</t>
        </is>
      </c>
      <c r="D30" s="9" t="inlineStr">
        <is>
          <t>00:59:20</t>
        </is>
      </c>
      <c r="E30" s="9" t="inlineStr">
        <is>
          <t>00:59:20</t>
        </is>
      </c>
      <c r="F30" s="9" t="n">
        <v>0</v>
      </c>
      <c r="G30" s="9" t="n">
        <v>1</v>
      </c>
      <c r="H30" s="9" t="n">
        <v>4</v>
      </c>
      <c r="I30" s="9" t="inlineStr">
        <is>
          <t>FS</t>
        </is>
      </c>
      <c r="J30" s="16" t="n">
        <v>0.74</v>
      </c>
      <c r="K30" s="9" t="inlineStr">
        <is>
          <t>N</t>
        </is>
      </c>
      <c r="L30" s="9" t="inlineStr">
        <is>
          <t>Howrah</t>
        </is>
      </c>
      <c r="M30" s="17" t="inlineStr">
        <is>
          <t>4 km/h</t>
        </is>
      </c>
      <c r="N30" s="17" t="inlineStr">
        <is>
          <t>n/a</t>
        </is>
      </c>
      <c r="O30" s="9" t="inlineStr">
        <is>
          <t>-</t>
        </is>
      </c>
      <c r="P30" s="17" t="inlineStr">
        <is>
          <t>-</t>
        </is>
      </c>
    </row>
    <row r="31">
      <c r="A31" s="9" t="inlineStr">
        <is>
          <t>17 Jun</t>
        </is>
      </c>
      <c r="B31" s="9" t="inlineStr">
        <is>
          <t>37215</t>
        </is>
      </c>
      <c r="C31" s="9" t="inlineStr">
        <is>
          <t>Non-Valid</t>
        </is>
      </c>
      <c r="D31" s="9" t="inlineStr">
        <is>
          <t>00:59:38</t>
        </is>
      </c>
      <c r="E31" s="9" t="inlineStr">
        <is>
          <t>00:59:40</t>
        </is>
      </c>
      <c r="F31" s="9" t="n">
        <v>2</v>
      </c>
      <c r="G31" s="9" t="n">
        <v>2</v>
      </c>
      <c r="H31" s="9" t="n">
        <v>3</v>
      </c>
      <c r="I31" s="9" t="inlineStr">
        <is>
          <t>TRIP</t>
        </is>
      </c>
      <c r="J31" s="16" t="n">
        <v>0.75</v>
      </c>
      <c r="K31" s="9" t="inlineStr">
        <is>
          <t>N</t>
        </is>
      </c>
      <c r="L31" s="9" t="inlineStr">
        <is>
          <t>Howrah</t>
        </is>
      </c>
      <c r="M31" s="17" t="inlineStr">
        <is>
          <t>3 km/h</t>
        </is>
      </c>
      <c r="N31" s="17" t="inlineStr">
        <is>
          <t>n/a</t>
        </is>
      </c>
      <c r="O31" s="9" t="inlineStr">
        <is>
          <t>-</t>
        </is>
      </c>
      <c r="P31" s="18" t="inlineStr">
        <is>
          <t>Trip mode</t>
        </is>
      </c>
    </row>
    <row r="32">
      <c r="A32" s="9" t="inlineStr">
        <is>
          <t>17 Jun</t>
        </is>
      </c>
      <c r="B32" s="9" t="inlineStr">
        <is>
          <t>30199</t>
        </is>
      </c>
      <c r="C32" s="9" t="inlineStr">
        <is>
          <t>Non-Valid</t>
        </is>
      </c>
      <c r="D32" s="9" t="inlineStr">
        <is>
          <t>01:25:00</t>
        </is>
      </c>
      <c r="E32" s="9" t="inlineStr">
        <is>
          <t>01:25:00</t>
        </is>
      </c>
      <c r="F32" s="9" t="n">
        <v>0</v>
      </c>
      <c r="G32" s="9" t="n">
        <v>1</v>
      </c>
      <c r="H32" s="9" t="n">
        <v>5</v>
      </c>
      <c r="I32" s="9" t="inlineStr">
        <is>
          <t>FS</t>
        </is>
      </c>
      <c r="J32" s="16" t="n">
        <v>0.45</v>
      </c>
      <c r="K32" s="9" t="inlineStr">
        <is>
          <t>R</t>
        </is>
      </c>
      <c r="L32" s="9" t="inlineStr">
        <is>
          <t>Howrah</t>
        </is>
      </c>
      <c r="M32" s="17" t="inlineStr">
        <is>
          <t>5 km/h</t>
        </is>
      </c>
      <c r="N32" s="17" t="inlineStr">
        <is>
          <t>n/a</t>
        </is>
      </c>
      <c r="O32" s="9" t="inlineStr">
        <is>
          <t>-</t>
        </is>
      </c>
      <c r="P32" s="17" t="inlineStr">
        <is>
          <t>-</t>
        </is>
      </c>
    </row>
    <row r="33">
      <c r="A33" s="9" t="inlineStr">
        <is>
          <t>17 Jun</t>
        </is>
      </c>
      <c r="B33" s="9" t="inlineStr">
        <is>
          <t>30199</t>
        </is>
      </c>
      <c r="C33" s="9" t="inlineStr">
        <is>
          <t>Non-Valid</t>
        </is>
      </c>
      <c r="D33" s="9" t="inlineStr">
        <is>
          <t>01:25:32</t>
        </is>
      </c>
      <c r="E33" s="9" t="inlineStr">
        <is>
          <t>01:25:34</t>
        </is>
      </c>
      <c r="F33" s="9" t="n">
        <v>2</v>
      </c>
      <c r="G33" s="9" t="n">
        <v>2</v>
      </c>
      <c r="H33" s="9" t="n">
        <v>5</v>
      </c>
      <c r="I33" s="9" t="inlineStr">
        <is>
          <t>FS</t>
        </is>
      </c>
      <c r="J33" s="16" t="n">
        <v>0.45</v>
      </c>
      <c r="K33" s="9" t="inlineStr">
        <is>
          <t>R</t>
        </is>
      </c>
      <c r="L33" s="9" t="inlineStr">
        <is>
          <t>Howrah</t>
        </is>
      </c>
      <c r="M33" s="17" t="inlineStr">
        <is>
          <t>3 km/h</t>
        </is>
      </c>
      <c r="N33" s="17" t="inlineStr">
        <is>
          <t>n/a</t>
        </is>
      </c>
      <c r="O33" s="9" t="inlineStr">
        <is>
          <t>-</t>
        </is>
      </c>
      <c r="P33" s="17" t="inlineStr">
        <is>
          <t>-</t>
        </is>
      </c>
    </row>
    <row r="34" ht="49" customHeight="1">
      <c r="A34" s="9" t="inlineStr">
        <is>
          <t>17 Jun</t>
        </is>
      </c>
      <c r="B34" s="9" t="inlineStr">
        <is>
          <t>39170</t>
        </is>
      </c>
      <c r="C34" s="9" t="inlineStr">
        <is>
          <t>Non-Valid</t>
        </is>
      </c>
      <c r="D34" s="9" t="inlineStr">
        <is>
          <t>05:37:10</t>
        </is>
      </c>
      <c r="E34" s="9" t="inlineStr">
        <is>
          <t>05:37:10</t>
        </is>
      </c>
      <c r="F34" s="9" t="n">
        <v>0</v>
      </c>
      <c r="G34" s="9" t="n">
        <v>1</v>
      </c>
      <c r="H34" s="9" t="n">
        <v>129</v>
      </c>
      <c r="I34" s="9" t="inlineStr">
        <is>
          <t>FS</t>
        </is>
      </c>
      <c r="J34" s="16" t="n">
        <v>114.31</v>
      </c>
      <c r="K34" s="9" t="inlineStr">
        <is>
          <t>R</t>
        </is>
      </c>
      <c r="L34" s="9" t="inlineStr">
        <is>
          <t>Khana Link</t>
        </is>
      </c>
      <c r="M34" s="17" t="inlineStr">
        <is>
          <t>129 km/h</t>
        </is>
      </c>
      <c r="N34" s="17" t="inlineStr">
        <is>
          <t>1001
MA dropped from 4569 to 1001.</t>
        </is>
      </c>
      <c r="O34" s="9" t="inlineStr">
        <is>
          <t>-</t>
        </is>
      </c>
      <c r="P34" s="18" t="inlineStr">
        <is>
          <t>Sudden MA drop</t>
        </is>
      </c>
    </row>
    <row r="35" ht="25" customHeight="1">
      <c r="A35" s="9" t="inlineStr">
        <is>
          <t>17 Jun</t>
        </is>
      </c>
      <c r="B35" s="9" t="inlineStr">
        <is>
          <t>37720</t>
        </is>
      </c>
      <c r="C35" s="9" t="inlineStr">
        <is>
          <t>Non-Valid</t>
        </is>
      </c>
      <c r="D35" s="9" t="inlineStr">
        <is>
          <t>08:45:54</t>
        </is>
      </c>
      <c r="E35" s="9" t="inlineStr">
        <is>
          <t>08:45:56</t>
        </is>
      </c>
      <c r="F35" s="9" t="n">
        <v>2</v>
      </c>
      <c r="G35" s="9" t="n">
        <v>2</v>
      </c>
      <c r="H35" s="9" t="n">
        <v>121</v>
      </c>
      <c r="I35" s="9" t="inlineStr">
        <is>
          <t>OS</t>
        </is>
      </c>
      <c r="J35" s="16" t="n">
        <v>97.34</v>
      </c>
      <c r="K35" s="9" t="inlineStr">
        <is>
          <t>R</t>
        </is>
      </c>
      <c r="L35" s="9" t="inlineStr">
        <is>
          <t>Barddhaman Jn</t>
        </is>
      </c>
      <c r="M35" s="17" t="inlineStr">
        <is>
          <t>121 km/h</t>
        </is>
      </c>
      <c r="N35" s="17" t="inlineStr">
        <is>
          <t>3270</t>
        </is>
      </c>
      <c r="O35" s="9" t="inlineStr">
        <is>
          <t>-</t>
        </is>
      </c>
      <c r="P35" s="17" t="inlineStr">
        <is>
          <t>-</t>
        </is>
      </c>
    </row>
    <row r="36">
      <c r="A36" s="9" t="inlineStr">
        <is>
          <t>17 Jun</t>
        </is>
      </c>
      <c r="B36" s="9" t="inlineStr">
        <is>
          <t>30084</t>
        </is>
      </c>
      <c r="C36" s="9" t="inlineStr">
        <is>
          <t>Non-Valid</t>
        </is>
      </c>
      <c r="D36" s="9" t="inlineStr">
        <is>
          <t>10:19:20</t>
        </is>
      </c>
      <c r="E36" s="9" t="inlineStr">
        <is>
          <t>10:19:30</t>
        </is>
      </c>
      <c r="F36" s="9" t="n">
        <v>10</v>
      </c>
      <c r="G36" s="9" t="n">
        <v>6</v>
      </c>
      <c r="H36" s="9" t="n">
        <v>28</v>
      </c>
      <c r="I36" s="9" t="inlineStr">
        <is>
          <t>FS</t>
        </is>
      </c>
      <c r="J36" s="16" t="n">
        <v>113.73</v>
      </c>
      <c r="K36" s="9" t="inlineStr">
        <is>
          <t>R</t>
        </is>
      </c>
      <c r="L36" s="9" t="inlineStr">
        <is>
          <t>Khana Link</t>
        </is>
      </c>
      <c r="M36" s="17" t="inlineStr">
        <is>
          <t>28 km/h</t>
        </is>
      </c>
      <c r="N36" s="17" t="inlineStr">
        <is>
          <t>n/a</t>
        </is>
      </c>
      <c r="O36" s="9" t="inlineStr">
        <is>
          <t>-</t>
        </is>
      </c>
      <c r="P36" s="17" t="inlineStr">
        <is>
          <t>-</t>
        </is>
      </c>
    </row>
    <row r="37">
      <c r="A37" s="9" t="inlineStr">
        <is>
          <t>17 Jun</t>
        </is>
      </c>
      <c r="B37" s="9" t="inlineStr">
        <is>
          <t>30084</t>
        </is>
      </c>
      <c r="C37" s="9" t="inlineStr">
        <is>
          <t>Non-Valid</t>
        </is>
      </c>
      <c r="D37" s="9" t="inlineStr">
        <is>
          <t>10:47:06</t>
        </is>
      </c>
      <c r="E37" s="9" t="inlineStr">
        <is>
          <t>10:47:16</t>
        </is>
      </c>
      <c r="F37" s="9" t="n">
        <v>10</v>
      </c>
      <c r="G37" s="9" t="n">
        <v>6</v>
      </c>
      <c r="H37" s="9" t="n">
        <v>23</v>
      </c>
      <c r="I37" s="9" t="inlineStr">
        <is>
          <t>TRIP</t>
        </is>
      </c>
      <c r="J37" s="16" t="n">
        <v>110.92</v>
      </c>
      <c r="K37" s="9" t="inlineStr">
        <is>
          <t>R</t>
        </is>
      </c>
      <c r="L37" s="9" t="inlineStr">
        <is>
          <t>Khana Link</t>
        </is>
      </c>
      <c r="M37" s="17" t="inlineStr">
        <is>
          <t>23 km/h</t>
        </is>
      </c>
      <c r="N37" s="17" t="inlineStr">
        <is>
          <t>n/a</t>
        </is>
      </c>
      <c r="O37" s="9" t="inlineStr">
        <is>
          <t>-</t>
        </is>
      </c>
      <c r="P37" s="18" t="inlineStr">
        <is>
          <t>Trip mode</t>
        </is>
      </c>
    </row>
    <row r="38">
      <c r="A38" s="9" t="inlineStr">
        <is>
          <t>17 Jun</t>
        </is>
      </c>
      <c r="B38" s="9" t="inlineStr">
        <is>
          <t>30084</t>
        </is>
      </c>
      <c r="C38" s="9" t="inlineStr">
        <is>
          <t>Non-Valid</t>
        </is>
      </c>
      <c r="D38" s="9" t="inlineStr">
        <is>
          <t>10:48:00</t>
        </is>
      </c>
      <c r="E38" s="9" t="inlineStr">
        <is>
          <t>10:48:08</t>
        </is>
      </c>
      <c r="F38" s="9" t="n">
        <v>8</v>
      </c>
      <c r="G38" s="9" t="n">
        <v>5</v>
      </c>
      <c r="H38" s="9" t="n">
        <v>10</v>
      </c>
      <c r="I38" s="9" t="inlineStr">
        <is>
          <t>POSTTRIP</t>
        </is>
      </c>
      <c r="J38" s="16" t="n">
        <v>110.89</v>
      </c>
      <c r="K38" s="9" t="inlineStr">
        <is>
          <t>R</t>
        </is>
      </c>
      <c r="L38" s="9" t="inlineStr">
        <is>
          <t>Khana Link</t>
        </is>
      </c>
      <c r="M38" s="17" t="inlineStr">
        <is>
          <t>1 km/h</t>
        </is>
      </c>
      <c r="N38" s="17" t="inlineStr">
        <is>
          <t>n/a</t>
        </is>
      </c>
      <c r="O38" s="9" t="inlineStr">
        <is>
          <t>-</t>
        </is>
      </c>
      <c r="P38" s="18" t="inlineStr">
        <is>
          <t>EB at 0-1 km/h</t>
        </is>
      </c>
    </row>
    <row r="39">
      <c r="A39" s="9" t="inlineStr">
        <is>
          <t>17 Jun</t>
        </is>
      </c>
      <c r="B39" s="9" t="inlineStr">
        <is>
          <t>30084</t>
        </is>
      </c>
      <c r="C39" s="9" t="inlineStr">
        <is>
          <t>Non-Valid</t>
        </is>
      </c>
      <c r="D39" s="9" t="inlineStr">
        <is>
          <t>12:27:16</t>
        </is>
      </c>
      <c r="E39" s="9" t="inlineStr">
        <is>
          <t>12:27:28</t>
        </is>
      </c>
      <c r="F39" s="9" t="n">
        <v>12</v>
      </c>
      <c r="G39" s="9" t="n">
        <v>7</v>
      </c>
      <c r="H39" s="9" t="n">
        <v>17</v>
      </c>
      <c r="I39" s="9" t="inlineStr">
        <is>
          <t>FS</t>
        </is>
      </c>
      <c r="J39" s="16" t="n">
        <v>113.69</v>
      </c>
      <c r="K39" s="9" t="inlineStr">
        <is>
          <t>R</t>
        </is>
      </c>
      <c r="L39" s="9" t="inlineStr">
        <is>
          <t>Khana Link</t>
        </is>
      </c>
      <c r="M39" s="17" t="inlineStr">
        <is>
          <t>17 km/h</t>
        </is>
      </c>
      <c r="N39" s="17" t="inlineStr">
        <is>
          <t>n/a</t>
        </is>
      </c>
      <c r="O39" s="9" t="inlineStr">
        <is>
          <t>-</t>
        </is>
      </c>
      <c r="P39" s="17" t="inlineStr">
        <is>
          <t>-</t>
        </is>
      </c>
    </row>
    <row r="40">
      <c r="A40" s="9" t="inlineStr">
        <is>
          <t>17 Jun</t>
        </is>
      </c>
      <c r="B40" s="9" t="inlineStr">
        <is>
          <t>30084</t>
        </is>
      </c>
      <c r="C40" s="9" t="inlineStr">
        <is>
          <t>Non-Valid</t>
        </is>
      </c>
      <c r="D40" s="9" t="inlineStr">
        <is>
          <t>12:41:50</t>
        </is>
      </c>
      <c r="E40" s="9" t="inlineStr">
        <is>
          <t>12:41:58</t>
        </is>
      </c>
      <c r="F40" s="9" t="n">
        <v>8</v>
      </c>
      <c r="G40" s="9" t="n">
        <v>5</v>
      </c>
      <c r="H40" s="9" t="n">
        <v>21</v>
      </c>
      <c r="I40" s="9" t="inlineStr">
        <is>
          <t>OS</t>
        </is>
      </c>
      <c r="J40" s="16" t="n">
        <v>111.6</v>
      </c>
      <c r="K40" s="9" t="inlineStr">
        <is>
          <t>R</t>
        </is>
      </c>
      <c r="L40" s="9" t="inlineStr">
        <is>
          <t>Khana Link</t>
        </is>
      </c>
      <c r="M40" s="17" t="inlineStr">
        <is>
          <t>10 km/h</t>
        </is>
      </c>
      <c r="N40" s="17" t="inlineStr">
        <is>
          <t>n/a</t>
        </is>
      </c>
      <c r="O40" s="9" t="inlineStr">
        <is>
          <t>SOS</t>
        </is>
      </c>
      <c r="P40" s="18" t="inlineStr">
        <is>
          <t>Emergency: SOS</t>
        </is>
      </c>
    </row>
    <row r="41">
      <c r="A41" s="9" t="inlineStr">
        <is>
          <t>17 Jun</t>
        </is>
      </c>
      <c r="B41" s="9" t="inlineStr">
        <is>
          <t>30084</t>
        </is>
      </c>
      <c r="C41" s="9" t="inlineStr">
        <is>
          <t>Non-Valid</t>
        </is>
      </c>
      <c r="D41" s="9" t="inlineStr">
        <is>
          <t>12:46:22</t>
        </is>
      </c>
      <c r="E41" s="9" t="inlineStr">
        <is>
          <t>12:46:22</t>
        </is>
      </c>
      <c r="F41" s="9" t="n">
        <v>0</v>
      </c>
      <c r="G41" s="9" t="n">
        <v>1</v>
      </c>
      <c r="H41" s="9" t="n">
        <v>1</v>
      </c>
      <c r="I41" s="9" t="inlineStr">
        <is>
          <t>TRIP</t>
        </is>
      </c>
      <c r="J41" s="16" t="n">
        <v>110.92</v>
      </c>
      <c r="K41" s="9" t="inlineStr">
        <is>
          <t>R</t>
        </is>
      </c>
      <c r="L41" s="9" t="inlineStr">
        <is>
          <t>Khana Link</t>
        </is>
      </c>
      <c r="M41" s="17" t="inlineStr">
        <is>
          <t>1 km/h</t>
        </is>
      </c>
      <c r="N41" s="17" t="inlineStr">
        <is>
          <t>n/a</t>
        </is>
      </c>
      <c r="O41" s="9" t="inlineStr">
        <is>
          <t>-</t>
        </is>
      </c>
      <c r="P41" s="18" t="inlineStr">
        <is>
          <t>EB at 0-1 km/h; Trip mode</t>
        </is>
      </c>
    </row>
    <row r="42">
      <c r="A42" s="9" t="inlineStr">
        <is>
          <t>17 Jun</t>
        </is>
      </c>
      <c r="B42" s="9" t="inlineStr">
        <is>
          <t>30084</t>
        </is>
      </c>
      <c r="C42" s="9" t="inlineStr">
        <is>
          <t>Non-Valid</t>
        </is>
      </c>
      <c r="D42" s="9" t="inlineStr">
        <is>
          <t>12:47:10</t>
        </is>
      </c>
      <c r="E42" s="9" t="inlineStr">
        <is>
          <t>12:47:12</t>
        </is>
      </c>
      <c r="F42" s="9" t="n">
        <v>2</v>
      </c>
      <c r="G42" s="9" t="n">
        <v>2</v>
      </c>
      <c r="H42" s="9" t="n">
        <v>4</v>
      </c>
      <c r="I42" s="9" t="inlineStr">
        <is>
          <t>POSTTRIP</t>
        </is>
      </c>
      <c r="J42" s="16" t="n">
        <v>110.92</v>
      </c>
      <c r="K42" s="9" t="inlineStr">
        <is>
          <t>R</t>
        </is>
      </c>
      <c r="L42" s="9" t="inlineStr">
        <is>
          <t>Khana Link</t>
        </is>
      </c>
      <c r="M42" s="17" t="inlineStr">
        <is>
          <t>4 km/h</t>
        </is>
      </c>
      <c r="N42" s="17" t="inlineStr">
        <is>
          <t>n/a</t>
        </is>
      </c>
      <c r="O42" s="9" t="inlineStr">
        <is>
          <t>-</t>
        </is>
      </c>
      <c r="P42" s="17" t="inlineStr">
        <is>
          <t>-</t>
        </is>
      </c>
    </row>
    <row r="43">
      <c r="A43" s="9" t="inlineStr">
        <is>
          <t>17 Jun</t>
        </is>
      </c>
      <c r="B43" s="9" t="inlineStr">
        <is>
          <t>30084</t>
        </is>
      </c>
      <c r="C43" s="9" t="inlineStr">
        <is>
          <t>Non-Valid</t>
        </is>
      </c>
      <c r="D43" s="9" t="inlineStr">
        <is>
          <t>12:51:08</t>
        </is>
      </c>
      <c r="E43" s="9" t="inlineStr">
        <is>
          <t>12:51:20</t>
        </is>
      </c>
      <c r="F43" s="9" t="n">
        <v>12</v>
      </c>
      <c r="G43" s="9" t="n">
        <v>7</v>
      </c>
      <c r="H43" s="9" t="n">
        <v>18</v>
      </c>
      <c r="I43" s="9" t="inlineStr">
        <is>
          <t>TRIP</t>
        </is>
      </c>
      <c r="J43" s="16" t="n">
        <v>110.38</v>
      </c>
      <c r="K43" s="9" t="inlineStr">
        <is>
          <t>R</t>
        </is>
      </c>
      <c r="L43" s="9" t="inlineStr">
        <is>
          <t>Khana Link</t>
        </is>
      </c>
      <c r="M43" s="17" t="inlineStr">
        <is>
          <t>18 km/h</t>
        </is>
      </c>
      <c r="N43" s="17" t="inlineStr">
        <is>
          <t>n/a</t>
        </is>
      </c>
      <c r="O43" s="9" t="inlineStr">
        <is>
          <t>-</t>
        </is>
      </c>
      <c r="P43" s="18" t="inlineStr">
        <is>
          <t>Trip mode</t>
        </is>
      </c>
    </row>
    <row r="44">
      <c r="A44" s="9" t="inlineStr">
        <is>
          <t>17 Jun</t>
        </is>
      </c>
      <c r="B44" s="9" t="inlineStr">
        <is>
          <t>44078</t>
        </is>
      </c>
      <c r="C44" s="9" t="inlineStr">
        <is>
          <t>Non-Valid</t>
        </is>
      </c>
      <c r="D44" s="9" t="inlineStr">
        <is>
          <t>13:04:26</t>
        </is>
      </c>
      <c r="E44" s="9" t="inlineStr">
        <is>
          <t>13:04:28</t>
        </is>
      </c>
      <c r="F44" s="9" t="n">
        <v>2</v>
      </c>
      <c r="G44" s="9" t="n">
        <v>2</v>
      </c>
      <c r="H44" s="9" t="n">
        <v>6</v>
      </c>
      <c r="I44" s="9" t="inlineStr">
        <is>
          <t>OS</t>
        </is>
      </c>
      <c r="J44" s="16" t="n">
        <v>0.17</v>
      </c>
      <c r="K44" s="9" t="inlineStr">
        <is>
          <t>R</t>
        </is>
      </c>
      <c r="L44" s="9" t="inlineStr">
        <is>
          <t>Howrah</t>
        </is>
      </c>
      <c r="M44" s="17" t="inlineStr">
        <is>
          <t>5 km/h</t>
        </is>
      </c>
      <c r="N44" s="17" t="inlineStr">
        <is>
          <t>n/a</t>
        </is>
      </c>
      <c r="O44" s="9" t="inlineStr">
        <is>
          <t>-</t>
        </is>
      </c>
      <c r="P44" s="17" t="inlineStr">
        <is>
          <t>-</t>
        </is>
      </c>
    </row>
    <row r="45">
      <c r="A45" s="9" t="inlineStr">
        <is>
          <t>17 Jun</t>
        </is>
      </c>
      <c r="B45" s="9" t="inlineStr">
        <is>
          <t>44078</t>
        </is>
      </c>
      <c r="C45" s="9" t="inlineStr">
        <is>
          <t>Non-Valid</t>
        </is>
      </c>
      <c r="D45" s="9" t="inlineStr">
        <is>
          <t>13:04:32</t>
        </is>
      </c>
      <c r="E45" s="9" t="inlineStr">
        <is>
          <t>13:04:34</t>
        </is>
      </c>
      <c r="F45" s="9" t="n">
        <v>2</v>
      </c>
      <c r="G45" s="9" t="n">
        <v>2</v>
      </c>
      <c r="H45" s="9" t="n">
        <v>1</v>
      </c>
      <c r="I45" s="9" t="inlineStr">
        <is>
          <t>TRIP</t>
        </is>
      </c>
      <c r="J45" s="16" t="n">
        <v>0.15</v>
      </c>
      <c r="K45" s="9" t="inlineStr">
        <is>
          <t>R</t>
        </is>
      </c>
      <c r="L45" s="9" t="inlineStr">
        <is>
          <t>Howrah</t>
        </is>
      </c>
      <c r="M45" s="17" t="inlineStr">
        <is>
          <t>1 km/h</t>
        </is>
      </c>
      <c r="N45" s="17" t="inlineStr">
        <is>
          <t>n/a</t>
        </is>
      </c>
      <c r="O45" s="9" t="inlineStr">
        <is>
          <t>-</t>
        </is>
      </c>
      <c r="P45" s="18" t="inlineStr">
        <is>
          <t>EB at 0-1 km/h; Trip mode</t>
        </is>
      </c>
    </row>
    <row r="46">
      <c r="A46" s="9" t="inlineStr">
        <is>
          <t>17 Jun</t>
        </is>
      </c>
      <c r="B46" s="9" t="inlineStr">
        <is>
          <t>44078</t>
        </is>
      </c>
      <c r="C46" s="9" t="inlineStr">
        <is>
          <t>Non-Valid</t>
        </is>
      </c>
      <c r="D46" s="9" t="inlineStr">
        <is>
          <t>13:05:12</t>
        </is>
      </c>
      <c r="E46" s="9" t="inlineStr">
        <is>
          <t>13:05:14</t>
        </is>
      </c>
      <c r="F46" s="9" t="n">
        <v>2</v>
      </c>
      <c r="G46" s="9" t="n">
        <v>2</v>
      </c>
      <c r="H46" s="9" t="n">
        <v>2</v>
      </c>
      <c r="I46" s="9" t="inlineStr">
        <is>
          <t>POSTTRIP</t>
        </is>
      </c>
      <c r="J46" s="16" t="n">
        <v>0.15</v>
      </c>
      <c r="K46" s="9" t="inlineStr">
        <is>
          <t>R</t>
        </is>
      </c>
      <c r="L46" s="9" t="inlineStr">
        <is>
          <t>Howrah</t>
        </is>
      </c>
      <c r="M46" s="17" t="inlineStr">
        <is>
          <t>1 km/h</t>
        </is>
      </c>
      <c r="N46" s="17" t="inlineStr">
        <is>
          <t>n/a</t>
        </is>
      </c>
      <c r="O46" s="9" t="inlineStr">
        <is>
          <t>-</t>
        </is>
      </c>
      <c r="P46" s="18" t="inlineStr">
        <is>
          <t>EB at 0-1 km/h</t>
        </is>
      </c>
    </row>
    <row r="47">
      <c r="A47" s="9" t="inlineStr">
        <is>
          <t>17 Jun</t>
        </is>
      </c>
      <c r="B47" s="9" t="inlineStr">
        <is>
          <t>44078</t>
        </is>
      </c>
      <c r="C47" s="9" t="inlineStr">
        <is>
          <t>Non-Valid</t>
        </is>
      </c>
      <c r="D47" s="9" t="inlineStr">
        <is>
          <t>13:12:44</t>
        </is>
      </c>
      <c r="E47" s="9" t="inlineStr">
        <is>
          <t>13:12:54</t>
        </is>
      </c>
      <c r="F47" s="9" t="n">
        <v>10</v>
      </c>
      <c r="G47" s="9" t="n">
        <v>6</v>
      </c>
      <c r="H47" s="9" t="n">
        <v>6</v>
      </c>
      <c r="I47" s="9" t="inlineStr">
        <is>
          <t>OS</t>
        </is>
      </c>
      <c r="J47" s="16" t="n">
        <v>0.45</v>
      </c>
      <c r="K47" s="9" t="inlineStr">
        <is>
          <t>N</t>
        </is>
      </c>
      <c r="L47" s="9" t="inlineStr">
        <is>
          <t>Howrah</t>
        </is>
      </c>
      <c r="M47" s="17" t="inlineStr">
        <is>
          <t>5 km/h</t>
        </is>
      </c>
      <c r="N47" s="17" t="inlineStr">
        <is>
          <t>n/a</t>
        </is>
      </c>
      <c r="O47" s="9" t="inlineStr">
        <is>
          <t>-</t>
        </is>
      </c>
      <c r="P47" s="17" t="inlineStr">
        <is>
          <t>-</t>
        </is>
      </c>
    </row>
    <row r="48">
      <c r="A48" s="9" t="inlineStr">
        <is>
          <t>17 Jun</t>
        </is>
      </c>
      <c r="B48" s="9" t="inlineStr">
        <is>
          <t>44078</t>
        </is>
      </c>
      <c r="C48" s="9" t="inlineStr">
        <is>
          <t>Non-Valid</t>
        </is>
      </c>
      <c r="D48" s="9" t="inlineStr">
        <is>
          <t>13:13:38</t>
        </is>
      </c>
      <c r="E48" s="9" t="inlineStr">
        <is>
          <t>13:13:40</t>
        </is>
      </c>
      <c r="F48" s="9" t="n">
        <v>2</v>
      </c>
      <c r="G48" s="9" t="n">
        <v>2</v>
      </c>
      <c r="H48" s="9" t="n">
        <v>1</v>
      </c>
      <c r="I48" s="9" t="inlineStr">
        <is>
          <t>POSTTRIP</t>
        </is>
      </c>
      <c r="J48" s="16" t="n">
        <v>0.47</v>
      </c>
      <c r="K48" s="9" t="inlineStr">
        <is>
          <t>N</t>
        </is>
      </c>
      <c r="L48" s="9" t="inlineStr">
        <is>
          <t>Howrah</t>
        </is>
      </c>
      <c r="M48" s="17" t="inlineStr">
        <is>
          <t>1 km/h</t>
        </is>
      </c>
      <c r="N48" s="17" t="inlineStr">
        <is>
          <t>n/a</t>
        </is>
      </c>
      <c r="O48" s="9" t="inlineStr">
        <is>
          <t>-</t>
        </is>
      </c>
      <c r="P48" s="18" t="inlineStr">
        <is>
          <t>EB at 0-1 km/h</t>
        </is>
      </c>
    </row>
    <row r="49">
      <c r="A49" s="9" t="inlineStr">
        <is>
          <t>17 Jun</t>
        </is>
      </c>
      <c r="B49" s="9" t="inlineStr">
        <is>
          <t>44078</t>
        </is>
      </c>
      <c r="C49" s="9" t="inlineStr">
        <is>
          <t>Non-Valid</t>
        </is>
      </c>
      <c r="D49" s="9" t="inlineStr">
        <is>
          <t>13:14:02</t>
        </is>
      </c>
      <c r="E49" s="9" t="inlineStr">
        <is>
          <t>13:14:06</t>
        </is>
      </c>
      <c r="F49" s="9" t="n">
        <v>4</v>
      </c>
      <c r="G49" s="9" t="n">
        <v>3</v>
      </c>
      <c r="H49" s="9" t="n">
        <v>4</v>
      </c>
      <c r="I49" s="9" t="inlineStr">
        <is>
          <t>POSTTRIP</t>
        </is>
      </c>
      <c r="J49" s="16" t="n">
        <v>0.47</v>
      </c>
      <c r="K49" s="9" t="inlineStr">
        <is>
          <t>N</t>
        </is>
      </c>
      <c r="L49" s="9" t="inlineStr">
        <is>
          <t>Howrah</t>
        </is>
      </c>
      <c r="M49" s="17" t="inlineStr">
        <is>
          <t>3 km/h</t>
        </is>
      </c>
      <c r="N49" s="17" t="inlineStr">
        <is>
          <t>n/a</t>
        </is>
      </c>
      <c r="O49" s="9" t="inlineStr">
        <is>
          <t>-</t>
        </is>
      </c>
      <c r="P49" s="17" t="inlineStr">
        <is>
          <t>-</t>
        </is>
      </c>
    </row>
    <row r="50">
      <c r="A50" s="9" t="inlineStr">
        <is>
          <t>17 Jun</t>
        </is>
      </c>
      <c r="B50" s="9" t="inlineStr">
        <is>
          <t>44078</t>
        </is>
      </c>
      <c r="C50" s="9" t="inlineStr">
        <is>
          <t>Non-Valid</t>
        </is>
      </c>
      <c r="D50" s="9" t="inlineStr">
        <is>
          <t>13:14:34</t>
        </is>
      </c>
      <c r="E50" s="9" t="inlineStr">
        <is>
          <t>13:14:38</t>
        </is>
      </c>
      <c r="F50" s="9" t="n">
        <v>4</v>
      </c>
      <c r="G50" s="9" t="n">
        <v>3</v>
      </c>
      <c r="H50" s="9" t="n">
        <v>3</v>
      </c>
      <c r="I50" s="9" t="inlineStr">
        <is>
          <t>POSTTRIP</t>
        </is>
      </c>
      <c r="J50" s="16" t="n">
        <v>0.48</v>
      </c>
      <c r="K50" s="9" t="inlineStr">
        <is>
          <t>N</t>
        </is>
      </c>
      <c r="L50" s="9" t="inlineStr">
        <is>
          <t>Howrah</t>
        </is>
      </c>
      <c r="M50" s="17" t="inlineStr">
        <is>
          <t>2 km/h</t>
        </is>
      </c>
      <c r="N50" s="17" t="inlineStr">
        <is>
          <t>n/a</t>
        </is>
      </c>
      <c r="O50" s="9" t="inlineStr">
        <is>
          <t>-</t>
        </is>
      </c>
      <c r="P50" s="17" t="inlineStr">
        <is>
          <t>-</t>
        </is>
      </c>
    </row>
    <row r="51">
      <c r="A51" s="9" t="inlineStr">
        <is>
          <t>17 Jun</t>
        </is>
      </c>
      <c r="B51" s="9" t="inlineStr">
        <is>
          <t>44078</t>
        </is>
      </c>
      <c r="C51" s="9" t="inlineStr">
        <is>
          <t>Non-Valid</t>
        </is>
      </c>
      <c r="D51" s="9" t="inlineStr">
        <is>
          <t>13:15:08</t>
        </is>
      </c>
      <c r="E51" s="9" t="inlineStr">
        <is>
          <t>13:15:12</t>
        </is>
      </c>
      <c r="F51" s="9" t="n">
        <v>4</v>
      </c>
      <c r="G51" s="9" t="n">
        <v>3</v>
      </c>
      <c r="H51" s="9" t="n">
        <v>3</v>
      </c>
      <c r="I51" s="9" t="inlineStr">
        <is>
          <t>POSTTRIP</t>
        </is>
      </c>
      <c r="J51" s="16" t="n">
        <v>0.48</v>
      </c>
      <c r="K51" s="9" t="inlineStr">
        <is>
          <t>N</t>
        </is>
      </c>
      <c r="L51" s="9" t="inlineStr">
        <is>
          <t>Howrah</t>
        </is>
      </c>
      <c r="M51" s="17" t="inlineStr">
        <is>
          <t>1 km/h</t>
        </is>
      </c>
      <c r="N51" s="17" t="inlineStr">
        <is>
          <t>n/a</t>
        </is>
      </c>
      <c r="O51" s="9" t="inlineStr">
        <is>
          <t>-</t>
        </is>
      </c>
      <c r="P51" s="18" t="inlineStr">
        <is>
          <t>EB at 0-1 km/h</t>
        </is>
      </c>
    </row>
    <row r="52">
      <c r="A52" s="9" t="inlineStr">
        <is>
          <t>17 Jun</t>
        </is>
      </c>
      <c r="B52" s="9" t="inlineStr">
        <is>
          <t>44078</t>
        </is>
      </c>
      <c r="C52" s="9" t="inlineStr">
        <is>
          <t>Non-Valid</t>
        </is>
      </c>
      <c r="D52" s="9" t="inlineStr">
        <is>
          <t>13:15:46</t>
        </is>
      </c>
      <c r="E52" s="9" t="inlineStr">
        <is>
          <t>13:15:54</t>
        </is>
      </c>
      <c r="F52" s="9" t="n">
        <v>8</v>
      </c>
      <c r="G52" s="9" t="n">
        <v>5</v>
      </c>
      <c r="H52" s="9" t="n">
        <v>6</v>
      </c>
      <c r="I52" s="9" t="inlineStr">
        <is>
          <t>POSTTRIP</t>
        </is>
      </c>
      <c r="J52" s="16" t="n">
        <v>0.49</v>
      </c>
      <c r="K52" s="9" t="inlineStr">
        <is>
          <t>N</t>
        </is>
      </c>
      <c r="L52" s="9" t="inlineStr">
        <is>
          <t>Howrah</t>
        </is>
      </c>
      <c r="M52" s="17" t="inlineStr">
        <is>
          <t>1 km/h</t>
        </is>
      </c>
      <c r="N52" s="17" t="inlineStr">
        <is>
          <t>n/a</t>
        </is>
      </c>
      <c r="O52" s="9" t="inlineStr">
        <is>
          <t>-</t>
        </is>
      </c>
      <c r="P52" s="18" t="inlineStr">
        <is>
          <t>EB at 0-1 km/h</t>
        </is>
      </c>
    </row>
    <row r="53">
      <c r="A53" s="9" t="inlineStr">
        <is>
          <t>17 Jun</t>
        </is>
      </c>
      <c r="B53" s="9" t="inlineStr">
        <is>
          <t>44078</t>
        </is>
      </c>
      <c r="C53" s="9" t="inlineStr">
        <is>
          <t>Non-Valid</t>
        </is>
      </c>
      <c r="D53" s="9" t="inlineStr">
        <is>
          <t>13:16:32</t>
        </is>
      </c>
      <c r="E53" s="9" t="inlineStr">
        <is>
          <t>13:16:40</t>
        </is>
      </c>
      <c r="F53" s="9" t="n">
        <v>8</v>
      </c>
      <c r="G53" s="9" t="n">
        <v>5</v>
      </c>
      <c r="H53" s="9" t="n">
        <v>5</v>
      </c>
      <c r="I53" s="9" t="inlineStr">
        <is>
          <t>POSTTRIP</t>
        </is>
      </c>
      <c r="J53" s="16" t="n">
        <v>0.49</v>
      </c>
      <c r="K53" s="9" t="inlineStr">
        <is>
          <t>N</t>
        </is>
      </c>
      <c r="L53" s="9" t="inlineStr">
        <is>
          <t>Howrah</t>
        </is>
      </c>
      <c r="M53" s="17" t="inlineStr">
        <is>
          <t>3 km/h</t>
        </is>
      </c>
      <c r="N53" s="17" t="inlineStr">
        <is>
          <t>n/a</t>
        </is>
      </c>
      <c r="O53" s="9" t="inlineStr">
        <is>
          <t>-</t>
        </is>
      </c>
      <c r="P53" s="17" t="inlineStr">
        <is>
          <t>-</t>
        </is>
      </c>
    </row>
    <row r="54">
      <c r="A54" s="9" t="inlineStr">
        <is>
          <t>17 Jun</t>
        </is>
      </c>
      <c r="B54" s="9" t="inlineStr">
        <is>
          <t>44078</t>
        </is>
      </c>
      <c r="C54" s="9" t="inlineStr">
        <is>
          <t>Non-Valid</t>
        </is>
      </c>
      <c r="D54" s="9" t="inlineStr">
        <is>
          <t>13:17:26</t>
        </is>
      </c>
      <c r="E54" s="9" t="inlineStr">
        <is>
          <t>13:17:30</t>
        </is>
      </c>
      <c r="F54" s="9" t="n">
        <v>4</v>
      </c>
      <c r="G54" s="9" t="n">
        <v>3</v>
      </c>
      <c r="H54" s="9" t="n">
        <v>2</v>
      </c>
      <c r="I54" s="9" t="inlineStr">
        <is>
          <t>POSTTRIP</t>
        </is>
      </c>
      <c r="J54" s="16" t="n">
        <v>0.5</v>
      </c>
      <c r="K54" s="9" t="inlineStr">
        <is>
          <t>N</t>
        </is>
      </c>
      <c r="L54" s="9" t="inlineStr">
        <is>
          <t>Howrah</t>
        </is>
      </c>
      <c r="M54" s="17" t="inlineStr">
        <is>
          <t>2 km/h</t>
        </is>
      </c>
      <c r="N54" s="17" t="inlineStr">
        <is>
          <t>n/a</t>
        </is>
      </c>
      <c r="O54" s="9" t="inlineStr">
        <is>
          <t>-</t>
        </is>
      </c>
      <c r="P54" s="17" t="inlineStr">
        <is>
          <t>-</t>
        </is>
      </c>
    </row>
    <row r="55">
      <c r="A55" s="9" t="inlineStr">
        <is>
          <t>17 Jun</t>
        </is>
      </c>
      <c r="B55" s="9" t="inlineStr">
        <is>
          <t>30084</t>
        </is>
      </c>
      <c r="C55" s="9" t="inlineStr">
        <is>
          <t>Non-Valid</t>
        </is>
      </c>
      <c r="D55" s="9" t="inlineStr">
        <is>
          <t>15:11:28</t>
        </is>
      </c>
      <c r="E55" s="9" t="inlineStr">
        <is>
          <t>15:11:48</t>
        </is>
      </c>
      <c r="F55" s="9" t="n">
        <v>20</v>
      </c>
      <c r="G55" s="9" t="n">
        <v>11</v>
      </c>
      <c r="H55" s="9" t="n">
        <v>29</v>
      </c>
      <c r="I55" s="9" t="inlineStr">
        <is>
          <t>FS</t>
        </is>
      </c>
      <c r="J55" s="16" t="n">
        <v>113.64</v>
      </c>
      <c r="K55" s="9" t="inlineStr">
        <is>
          <t>R</t>
        </is>
      </c>
      <c r="L55" s="9" t="inlineStr">
        <is>
          <t>Khana Link</t>
        </is>
      </c>
      <c r="M55" s="17" t="inlineStr">
        <is>
          <t>29 km/h</t>
        </is>
      </c>
      <c r="N55" s="17" t="inlineStr">
        <is>
          <t>n/a</t>
        </is>
      </c>
      <c r="O55" s="9" t="inlineStr">
        <is>
          <t>-</t>
        </is>
      </c>
      <c r="P55" s="17" t="inlineStr">
        <is>
          <t>-</t>
        </is>
      </c>
    </row>
    <row r="56">
      <c r="A56" s="9" t="inlineStr">
        <is>
          <t>17 Jun</t>
        </is>
      </c>
      <c r="B56" s="9" t="inlineStr">
        <is>
          <t>30084</t>
        </is>
      </c>
      <c r="C56" s="9" t="inlineStr">
        <is>
          <t>Non-Valid</t>
        </is>
      </c>
      <c r="D56" s="9" t="inlineStr">
        <is>
          <t>15:18:18</t>
        </is>
      </c>
      <c r="E56" s="9" t="inlineStr">
        <is>
          <t>15:18:36</t>
        </is>
      </c>
      <c r="F56" s="9" t="n">
        <v>18</v>
      </c>
      <c r="G56" s="9" t="n">
        <v>10</v>
      </c>
      <c r="H56" s="9" t="n">
        <v>39</v>
      </c>
      <c r="I56" s="9" t="inlineStr">
        <is>
          <t>FS</t>
        </is>
      </c>
      <c r="J56" s="16" t="n">
        <v>113.05</v>
      </c>
      <c r="K56" s="9" t="inlineStr">
        <is>
          <t>R</t>
        </is>
      </c>
      <c r="L56" s="9" t="inlineStr">
        <is>
          <t>Khana Link</t>
        </is>
      </c>
      <c r="M56" s="17" t="inlineStr">
        <is>
          <t>26 km/h</t>
        </is>
      </c>
      <c r="N56" s="17" t="inlineStr">
        <is>
          <t>n/a</t>
        </is>
      </c>
      <c r="O56" s="9" t="inlineStr">
        <is>
          <t>SOS</t>
        </is>
      </c>
      <c r="P56" s="18" t="inlineStr">
        <is>
          <t>Emergency: SOS</t>
        </is>
      </c>
    </row>
    <row r="57">
      <c r="A57" s="9" t="inlineStr">
        <is>
          <t>17 Jun</t>
        </is>
      </c>
      <c r="B57" s="9" t="inlineStr">
        <is>
          <t>30084</t>
        </is>
      </c>
      <c r="C57" s="9" t="inlineStr">
        <is>
          <t>Non-Valid</t>
        </is>
      </c>
      <c r="D57" s="9" t="inlineStr">
        <is>
          <t>15:29:20</t>
        </is>
      </c>
      <c r="E57" s="9" t="inlineStr">
        <is>
          <t>15:29:28</t>
        </is>
      </c>
      <c r="F57" s="9" t="n">
        <v>8</v>
      </c>
      <c r="G57" s="9" t="n">
        <v>5</v>
      </c>
      <c r="H57" s="9" t="n">
        <v>17</v>
      </c>
      <c r="I57" s="9" t="inlineStr">
        <is>
          <t>TRIP</t>
        </is>
      </c>
      <c r="J57" s="16" t="n">
        <v>110.91</v>
      </c>
      <c r="K57" s="9" t="inlineStr">
        <is>
          <t>R</t>
        </is>
      </c>
      <c r="L57" s="9" t="inlineStr">
        <is>
          <t>Khana Link</t>
        </is>
      </c>
      <c r="M57" s="17" t="inlineStr">
        <is>
          <t>17 km/h</t>
        </is>
      </c>
      <c r="N57" s="17" t="inlineStr">
        <is>
          <t>n/a</t>
        </is>
      </c>
      <c r="O57" s="9" t="inlineStr">
        <is>
          <t>-</t>
        </is>
      </c>
      <c r="P57" s="18" t="inlineStr">
        <is>
          <t>Trip mode</t>
        </is>
      </c>
    </row>
    <row r="58">
      <c r="A58" s="9" t="inlineStr">
        <is>
          <t>17 Jun</t>
        </is>
      </c>
      <c r="B58" s="9" t="inlineStr">
        <is>
          <t>30084</t>
        </is>
      </c>
      <c r="C58" s="9" t="inlineStr">
        <is>
          <t>Non-Valid</t>
        </is>
      </c>
      <c r="D58" s="9" t="inlineStr">
        <is>
          <t>15:30:24</t>
        </is>
      </c>
      <c r="E58" s="9" t="inlineStr">
        <is>
          <t>15:30:26</t>
        </is>
      </c>
      <c r="F58" s="9" t="n">
        <v>2</v>
      </c>
      <c r="G58" s="9" t="n">
        <v>2</v>
      </c>
      <c r="H58" s="9" t="n">
        <v>4</v>
      </c>
      <c r="I58" s="9" t="inlineStr">
        <is>
          <t>POSTTRIP</t>
        </is>
      </c>
      <c r="J58" s="16" t="n">
        <v>110.89</v>
      </c>
      <c r="K58" s="9" t="inlineStr">
        <is>
          <t>R</t>
        </is>
      </c>
      <c r="L58" s="9" t="inlineStr">
        <is>
          <t>Khana Link</t>
        </is>
      </c>
      <c r="M58" s="17" t="inlineStr">
        <is>
          <t>1 km/h</t>
        </is>
      </c>
      <c r="N58" s="17" t="inlineStr">
        <is>
          <t>n/a</t>
        </is>
      </c>
      <c r="O58" s="9" t="inlineStr">
        <is>
          <t>-</t>
        </is>
      </c>
      <c r="P58" s="18" t="inlineStr">
        <is>
          <t>EB at 0-1 km/h</t>
        </is>
      </c>
    </row>
    <row r="59">
      <c r="A59" s="9" t="inlineStr">
        <is>
          <t>17 Jun</t>
        </is>
      </c>
      <c r="B59" s="9" t="inlineStr">
        <is>
          <t>30084</t>
        </is>
      </c>
      <c r="C59" s="9" t="inlineStr">
        <is>
          <t>Non-Valid</t>
        </is>
      </c>
      <c r="D59" s="9" t="inlineStr">
        <is>
          <t>15:32:24</t>
        </is>
      </c>
      <c r="E59" s="9" t="inlineStr">
        <is>
          <t>15:32:38</t>
        </is>
      </c>
      <c r="F59" s="9" t="n">
        <v>14</v>
      </c>
      <c r="G59" s="9" t="n">
        <v>8</v>
      </c>
      <c r="H59" s="9" t="n">
        <v>19</v>
      </c>
      <c r="I59" s="9" t="inlineStr">
        <is>
          <t>TRIP</t>
        </is>
      </c>
      <c r="J59" s="16" t="n">
        <v>110.38</v>
      </c>
      <c r="K59" s="9" t="inlineStr">
        <is>
          <t>R</t>
        </is>
      </c>
      <c r="L59" s="9" t="inlineStr">
        <is>
          <t>Khana Link</t>
        </is>
      </c>
      <c r="M59" s="17" t="inlineStr">
        <is>
          <t>19 km/h</t>
        </is>
      </c>
      <c r="N59" s="17" t="inlineStr">
        <is>
          <t>n/a</t>
        </is>
      </c>
      <c r="O59" s="9" t="inlineStr">
        <is>
          <t>-</t>
        </is>
      </c>
      <c r="P59" s="18" t="inlineStr">
        <is>
          <t>Trip mode</t>
        </is>
      </c>
    </row>
    <row r="60">
      <c r="A60" s="9" t="inlineStr">
        <is>
          <t>17 Jun</t>
        </is>
      </c>
      <c r="B60" s="9" t="inlineStr">
        <is>
          <t>30084</t>
        </is>
      </c>
      <c r="C60" s="9" t="inlineStr">
        <is>
          <t>Non-Valid</t>
        </is>
      </c>
      <c r="D60" s="9" t="inlineStr">
        <is>
          <t>15:54:12</t>
        </is>
      </c>
      <c r="E60" s="9" t="inlineStr">
        <is>
          <t>15:54:26</t>
        </is>
      </c>
      <c r="F60" s="9" t="n">
        <v>14</v>
      </c>
      <c r="G60" s="9" t="n">
        <v>8</v>
      </c>
      <c r="H60" s="9" t="n">
        <v>30</v>
      </c>
      <c r="I60" s="9" t="inlineStr">
        <is>
          <t>FS</t>
        </is>
      </c>
      <c r="J60" s="16" t="n">
        <v>113.73</v>
      </c>
      <c r="K60" s="9" t="inlineStr">
        <is>
          <t>R</t>
        </is>
      </c>
      <c r="L60" s="9" t="inlineStr">
        <is>
          <t>Khana Link</t>
        </is>
      </c>
      <c r="M60" s="17" t="inlineStr">
        <is>
          <t>30 km/h</t>
        </is>
      </c>
      <c r="N60" s="17" t="inlineStr">
        <is>
          <t>n/a</t>
        </is>
      </c>
      <c r="O60" s="9" t="inlineStr">
        <is>
          <t>-</t>
        </is>
      </c>
      <c r="P60" s="17" t="inlineStr">
        <is>
          <t>-</t>
        </is>
      </c>
    </row>
    <row r="61">
      <c r="A61" s="9" t="inlineStr">
        <is>
          <t>17 Jun</t>
        </is>
      </c>
      <c r="B61" s="9" t="inlineStr">
        <is>
          <t>30084</t>
        </is>
      </c>
      <c r="C61" s="9" t="inlineStr">
        <is>
          <t>Non-Valid</t>
        </is>
      </c>
      <c r="D61" s="9" t="inlineStr">
        <is>
          <t>16:09:40</t>
        </is>
      </c>
      <c r="E61" s="9" t="inlineStr">
        <is>
          <t>16:09:54</t>
        </is>
      </c>
      <c r="F61" s="9" t="n">
        <v>14</v>
      </c>
      <c r="G61" s="9" t="n">
        <v>8</v>
      </c>
      <c r="H61" s="9" t="n">
        <v>31</v>
      </c>
      <c r="I61" s="9" t="inlineStr">
        <is>
          <t>TRIP</t>
        </is>
      </c>
      <c r="J61" s="16" t="n">
        <v>110.92</v>
      </c>
      <c r="K61" s="9" t="inlineStr">
        <is>
          <t>R</t>
        </is>
      </c>
      <c r="L61" s="9" t="inlineStr">
        <is>
          <t>Khana Link</t>
        </is>
      </c>
      <c r="M61" s="17" t="inlineStr">
        <is>
          <t>30 km/h</t>
        </is>
      </c>
      <c r="N61" s="17" t="inlineStr">
        <is>
          <t>n/a</t>
        </is>
      </c>
      <c r="O61" s="9" t="inlineStr">
        <is>
          <t>-</t>
        </is>
      </c>
      <c r="P61" s="18" t="inlineStr">
        <is>
          <t>Trip mode</t>
        </is>
      </c>
    </row>
    <row r="62">
      <c r="A62" s="9" t="inlineStr">
        <is>
          <t>17 Jun</t>
        </is>
      </c>
      <c r="B62" s="9" t="inlineStr">
        <is>
          <t>30084</t>
        </is>
      </c>
      <c r="C62" s="9" t="inlineStr">
        <is>
          <t>Non-Valid</t>
        </is>
      </c>
      <c r="D62" s="9" t="inlineStr">
        <is>
          <t>16:10:36</t>
        </is>
      </c>
      <c r="E62" s="9" t="inlineStr">
        <is>
          <t>16:10:40</t>
        </is>
      </c>
      <c r="F62" s="9" t="n">
        <v>4</v>
      </c>
      <c r="G62" s="9" t="n">
        <v>3</v>
      </c>
      <c r="H62" s="9" t="n">
        <v>6</v>
      </c>
      <c r="I62" s="9" t="inlineStr">
        <is>
          <t>POSTTRIP</t>
        </is>
      </c>
      <c r="J62" s="16" t="n">
        <v>110.84</v>
      </c>
      <c r="K62" s="9" t="inlineStr">
        <is>
          <t>R</t>
        </is>
      </c>
      <c r="L62" s="9" t="inlineStr">
        <is>
          <t>Khana Link</t>
        </is>
      </c>
      <c r="M62" s="17" t="inlineStr">
        <is>
          <t>5 km/h</t>
        </is>
      </c>
      <c r="N62" s="17" t="inlineStr">
        <is>
          <t>n/a</t>
        </is>
      </c>
      <c r="O62" s="9" t="inlineStr">
        <is>
          <t>-</t>
        </is>
      </c>
      <c r="P62" s="17" t="inlineStr">
        <is>
          <t>-</t>
        </is>
      </c>
    </row>
    <row r="63">
      <c r="A63" s="9" t="inlineStr">
        <is>
          <t>17 Jun</t>
        </is>
      </c>
      <c r="B63" s="9" t="inlineStr">
        <is>
          <t>30084</t>
        </is>
      </c>
      <c r="C63" s="9" t="inlineStr">
        <is>
          <t>Non-Valid</t>
        </is>
      </c>
      <c r="D63" s="9" t="inlineStr">
        <is>
          <t>16:12:26</t>
        </is>
      </c>
      <c r="E63" s="9" t="inlineStr">
        <is>
          <t>16:12:34</t>
        </is>
      </c>
      <c r="F63" s="9" t="n">
        <v>8</v>
      </c>
      <c r="G63" s="9" t="n">
        <v>5</v>
      </c>
      <c r="H63" s="9" t="n">
        <v>18</v>
      </c>
      <c r="I63" s="9" t="inlineStr">
        <is>
          <t>TRIP</t>
        </is>
      </c>
      <c r="J63" s="16" t="n">
        <v>110.38</v>
      </c>
      <c r="K63" s="9" t="inlineStr">
        <is>
          <t>R</t>
        </is>
      </c>
      <c r="L63" s="9" t="inlineStr">
        <is>
          <t>Khana Link</t>
        </is>
      </c>
      <c r="M63" s="17" t="inlineStr">
        <is>
          <t>18 km/h</t>
        </is>
      </c>
      <c r="N63" s="17" t="inlineStr">
        <is>
          <t>n/a</t>
        </is>
      </c>
      <c r="O63" s="9" t="inlineStr">
        <is>
          <t>-</t>
        </is>
      </c>
      <c r="P63" s="18" t="inlineStr">
        <is>
          <t>Trip mode</t>
        </is>
      </c>
    </row>
    <row r="64">
      <c r="A64" s="9" t="inlineStr">
        <is>
          <t>17 Jun</t>
        </is>
      </c>
      <c r="B64" s="9" t="inlineStr">
        <is>
          <t>37081</t>
        </is>
      </c>
      <c r="C64" s="9" t="inlineStr">
        <is>
          <t>Non-Valid</t>
        </is>
      </c>
      <c r="D64" s="9" t="inlineStr">
        <is>
          <t>22:12:02</t>
        </is>
      </c>
      <c r="E64" s="9" t="inlineStr">
        <is>
          <t>22:12:30</t>
        </is>
      </c>
      <c r="F64" s="9" t="n">
        <v>28</v>
      </c>
      <c r="G64" s="9" t="n">
        <v>3</v>
      </c>
      <c r="H64" s="9" t="n">
        <v>2</v>
      </c>
      <c r="I64" s="9" t="inlineStr">
        <is>
          <t>FS</t>
        </is>
      </c>
      <c r="J64" s="16" t="n">
        <v>0.74</v>
      </c>
      <c r="K64" s="9" t="inlineStr">
        <is>
          <t>N</t>
        </is>
      </c>
      <c r="L64" s="9" t="inlineStr">
        <is>
          <t>Howrah</t>
        </is>
      </c>
      <c r="M64" s="17" t="inlineStr">
        <is>
          <t>2 km/h</t>
        </is>
      </c>
      <c r="N64" s="17" t="inlineStr">
        <is>
          <t>n/a</t>
        </is>
      </c>
      <c r="O64" s="9" t="inlineStr">
        <is>
          <t>-</t>
        </is>
      </c>
      <c r="P64" s="17" t="inlineStr">
        <is>
          <t>-</t>
        </is>
      </c>
    </row>
    <row r="65">
      <c r="A65" s="9" t="inlineStr">
        <is>
          <t>17 Jun</t>
        </is>
      </c>
      <c r="B65" s="9" t="inlineStr">
        <is>
          <t>37244</t>
        </is>
      </c>
      <c r="C65" s="9" t="inlineStr">
        <is>
          <t>Non-Valid</t>
        </is>
      </c>
      <c r="D65" s="9" t="inlineStr">
        <is>
          <t>22:39:46</t>
        </is>
      </c>
      <c r="E65" s="9" t="inlineStr">
        <is>
          <t>22:39:50</t>
        </is>
      </c>
      <c r="F65" s="9" t="n">
        <v>4</v>
      </c>
      <c r="G65" s="9" t="n">
        <v>3</v>
      </c>
      <c r="H65" s="9" t="n">
        <v>6</v>
      </c>
      <c r="I65" s="9" t="inlineStr">
        <is>
          <t>OS</t>
        </is>
      </c>
      <c r="J65" s="16" t="n">
        <v>48</v>
      </c>
      <c r="K65" s="9" t="inlineStr">
        <is>
          <t>N</t>
        </is>
      </c>
      <c r="L65" s="9" t="inlineStr">
        <is>
          <t>Belmuri</t>
        </is>
      </c>
      <c r="M65" s="17" t="inlineStr">
        <is>
          <t>6 km/h</t>
        </is>
      </c>
      <c r="N65" s="17" t="inlineStr">
        <is>
          <t>163</t>
        </is>
      </c>
      <c r="O65" s="9" t="inlineStr">
        <is>
          <t>-</t>
        </is>
      </c>
      <c r="P65" s="17" t="inlineStr">
        <is>
          <t>-</t>
        </is>
      </c>
    </row>
    <row r="66">
      <c r="A66" s="9" t="inlineStr">
        <is>
          <t>17 Jun</t>
        </is>
      </c>
      <c r="B66" s="9" t="inlineStr">
        <is>
          <t>37244</t>
        </is>
      </c>
      <c r="C66" s="9" t="inlineStr">
        <is>
          <t>Non-Valid</t>
        </is>
      </c>
      <c r="D66" s="9" t="inlineStr">
        <is>
          <t>22:40:18</t>
        </is>
      </c>
      <c r="E66" s="9" t="inlineStr">
        <is>
          <t>22:40:20</t>
        </is>
      </c>
      <c r="F66" s="9" t="n">
        <v>2</v>
      </c>
      <c r="G66" s="9" t="n">
        <v>2</v>
      </c>
      <c r="H66" s="9" t="n">
        <v>1</v>
      </c>
      <c r="I66" s="9" t="inlineStr">
        <is>
          <t>POSTTRIP</t>
        </is>
      </c>
      <c r="J66" s="16" t="n">
        <v>48</v>
      </c>
      <c r="K66" s="9" t="inlineStr">
        <is>
          <t>N</t>
        </is>
      </c>
      <c r="L66" s="9" t="inlineStr">
        <is>
          <t>Belmuri</t>
        </is>
      </c>
      <c r="M66" s="17" t="inlineStr">
        <is>
          <t>1 km/h</t>
        </is>
      </c>
      <c r="N66" s="17" t="inlineStr">
        <is>
          <t>163</t>
        </is>
      </c>
      <c r="O66" s="9" t="inlineStr">
        <is>
          <t>-</t>
        </is>
      </c>
      <c r="P66" s="18" t="inlineStr">
        <is>
          <t>EB at 0-1 km/h</t>
        </is>
      </c>
    </row>
    <row r="67">
      <c r="A67" s="9" t="inlineStr">
        <is>
          <t>18 Jun</t>
        </is>
      </c>
      <c r="B67" s="9" t="inlineStr">
        <is>
          <t>37398</t>
        </is>
      </c>
      <c r="C67" s="9" t="inlineStr">
        <is>
          <t>Non-Valid</t>
        </is>
      </c>
      <c r="D67" s="9" t="inlineStr">
        <is>
          <t>02:56:46</t>
        </is>
      </c>
      <c r="E67" s="9" t="inlineStr">
        <is>
          <t>02:57:02</t>
        </is>
      </c>
      <c r="F67" s="9" t="n">
        <v>16</v>
      </c>
      <c r="G67" s="9" t="n">
        <v>7</v>
      </c>
      <c r="H67" s="9" t="n">
        <v>115</v>
      </c>
      <c r="I67" s="9" t="inlineStr">
        <is>
          <t>SR</t>
        </is>
      </c>
      <c r="J67" s="16" t="n">
        <v>142.37</v>
      </c>
      <c r="K67" s="9" t="inlineStr">
        <is>
          <t>R</t>
        </is>
      </c>
      <c r="L67" s="9" t="inlineStr">
        <is>
          <t>Panagarh</t>
        </is>
      </c>
      <c r="M67" s="17" t="inlineStr">
        <is>
          <t>115 km/h</t>
        </is>
      </c>
      <c r="N67" s="17" t="inlineStr">
        <is>
          <t>65535</t>
        </is>
      </c>
      <c r="O67" s="9" t="inlineStr">
        <is>
          <t>-</t>
        </is>
      </c>
      <c r="P67" s="18" t="inlineStr">
        <is>
          <t>FS-&gt;SR degradation + EB</t>
        </is>
      </c>
    </row>
    <row r="68" ht="34" customHeight="1">
      <c r="A68" s="9" t="inlineStr">
        <is>
          <t>18 Jun</t>
        </is>
      </c>
      <c r="B68" s="9" t="inlineStr">
        <is>
          <t>39410</t>
        </is>
      </c>
      <c r="C68" s="9" t="inlineStr">
        <is>
          <t>Non-Valid</t>
        </is>
      </c>
      <c r="D68" s="9" t="inlineStr">
        <is>
          <t>05:45:30</t>
        </is>
      </c>
      <c r="E68" s="9" t="inlineStr">
        <is>
          <t>05:45:34</t>
        </is>
      </c>
      <c r="F68" s="9" t="n">
        <v>4</v>
      </c>
      <c r="G68" s="9" t="n">
        <v>3</v>
      </c>
      <c r="H68" s="9" t="n">
        <v>7</v>
      </c>
      <c r="I68" s="9" t="inlineStr">
        <is>
          <t>OS</t>
        </is>
      </c>
      <c r="J68" s="16" t="n">
        <v>2.46</v>
      </c>
      <c r="K68" s="9" t="inlineStr">
        <is>
          <t>R</t>
        </is>
      </c>
      <c r="L68" s="9" t="inlineStr">
        <is>
          <t>Howrah Sorting Yard</t>
        </is>
      </c>
      <c r="M68" s="17" t="inlineStr">
        <is>
          <t>7 km/h</t>
        </is>
      </c>
      <c r="N68" s="17" t="inlineStr">
        <is>
          <t>150</t>
        </is>
      </c>
      <c r="O68" s="9" t="inlineStr">
        <is>
          <t>-</t>
        </is>
      </c>
      <c r="P68" s="17" t="inlineStr">
        <is>
          <t>-</t>
        </is>
      </c>
    </row>
    <row r="69" ht="34" customHeight="1">
      <c r="A69" s="9" t="inlineStr">
        <is>
          <t>18 Jun</t>
        </is>
      </c>
      <c r="B69" s="9" t="inlineStr">
        <is>
          <t>39410</t>
        </is>
      </c>
      <c r="C69" s="9" t="inlineStr">
        <is>
          <t>Non-Valid</t>
        </is>
      </c>
      <c r="D69" s="9" t="inlineStr">
        <is>
          <t>05:46:30</t>
        </is>
      </c>
      <c r="E69" s="9" t="inlineStr">
        <is>
          <t>05:46:32</t>
        </is>
      </c>
      <c r="F69" s="9" t="n">
        <v>2</v>
      </c>
      <c r="G69" s="9" t="n">
        <v>2</v>
      </c>
      <c r="H69" s="9" t="n">
        <v>1</v>
      </c>
      <c r="I69" s="9" t="inlineStr">
        <is>
          <t>POSTTRIP</t>
        </is>
      </c>
      <c r="J69" s="16" t="n">
        <v>2.45</v>
      </c>
      <c r="K69" s="9" t="inlineStr">
        <is>
          <t>R</t>
        </is>
      </c>
      <c r="L69" s="9" t="inlineStr">
        <is>
          <t>Howrah Sorting Yard</t>
        </is>
      </c>
      <c r="M69" s="17" t="inlineStr">
        <is>
          <t>1 km/h</t>
        </is>
      </c>
      <c r="N69" s="17" t="inlineStr">
        <is>
          <t>0</t>
        </is>
      </c>
      <c r="O69" s="9" t="inlineStr">
        <is>
          <t>-</t>
        </is>
      </c>
      <c r="P69" s="18" t="inlineStr">
        <is>
          <t>EB at 0-1 km/h</t>
        </is>
      </c>
    </row>
    <row r="70" ht="34" customHeight="1">
      <c r="A70" s="9" t="inlineStr">
        <is>
          <t>18 Jun</t>
        </is>
      </c>
      <c r="B70" s="9" t="inlineStr">
        <is>
          <t>39410</t>
        </is>
      </c>
      <c r="C70" s="9" t="inlineStr">
        <is>
          <t>Non-Valid</t>
        </is>
      </c>
      <c r="D70" s="9" t="inlineStr">
        <is>
          <t>05:47:28</t>
        </is>
      </c>
      <c r="E70" s="9" t="inlineStr">
        <is>
          <t>05:47:28</t>
        </is>
      </c>
      <c r="F70" s="9" t="n">
        <v>0</v>
      </c>
      <c r="G70" s="9" t="n">
        <v>1</v>
      </c>
      <c r="H70" s="9" t="n">
        <v>1</v>
      </c>
      <c r="I70" s="9" t="inlineStr">
        <is>
          <t>POSTTRIP</t>
        </is>
      </c>
      <c r="J70" s="16" t="n">
        <v>2.45</v>
      </c>
      <c r="K70" s="9" t="inlineStr">
        <is>
          <t>R</t>
        </is>
      </c>
      <c r="L70" s="9" t="inlineStr">
        <is>
          <t>Howrah Sorting Yard</t>
        </is>
      </c>
      <c r="M70" s="17" t="inlineStr">
        <is>
          <t>1 km/h</t>
        </is>
      </c>
      <c r="N70" s="17" t="inlineStr">
        <is>
          <t>0</t>
        </is>
      </c>
      <c r="O70" s="9" t="inlineStr">
        <is>
          <t>-</t>
        </is>
      </c>
      <c r="P70" s="18" t="inlineStr">
        <is>
          <t>EB at 0-1 km/h</t>
        </is>
      </c>
    </row>
    <row r="71">
      <c r="A71" s="7" t="inlineStr">
        <is>
          <t>18 Jun</t>
        </is>
      </c>
      <c r="B71" s="7" t="inlineStr">
        <is>
          <t>30200</t>
        </is>
      </c>
      <c r="C71" s="7" t="inlineStr">
        <is>
          <t>Valid</t>
        </is>
      </c>
      <c r="D71" s="7" t="inlineStr">
        <is>
          <t>10:28:34</t>
        </is>
      </c>
      <c r="E71" s="7" t="inlineStr">
        <is>
          <t>10:28:36</t>
        </is>
      </c>
      <c r="F71" s="7" t="n">
        <v>2</v>
      </c>
      <c r="G71" s="7" t="n">
        <v>2</v>
      </c>
      <c r="H71" s="7" t="n">
        <v>2</v>
      </c>
      <c r="I71" s="7" t="inlineStr">
        <is>
          <t>FS</t>
        </is>
      </c>
      <c r="J71" s="19" t="n">
        <v>0.03</v>
      </c>
      <c r="K71" s="7" t="inlineStr">
        <is>
          <t>R</t>
        </is>
      </c>
      <c r="L71" s="7" t="inlineStr">
        <is>
          <t>Howrah</t>
        </is>
      </c>
      <c r="M71" s="20" t="inlineStr">
        <is>
          <t>2 km/h</t>
        </is>
      </c>
      <c r="N71" s="20" t="inlineStr">
        <is>
          <t>412</t>
        </is>
      </c>
      <c r="O71" s="7" t="inlineStr">
        <is>
          <t>-</t>
        </is>
      </c>
      <c r="P71" s="20" t="inlineStr">
        <is>
          <t>-</t>
        </is>
      </c>
    </row>
    <row r="72">
      <c r="A72" s="9" t="inlineStr">
        <is>
          <t>18 Jun</t>
        </is>
      </c>
      <c r="B72" s="9" t="inlineStr">
        <is>
          <t>30084</t>
        </is>
      </c>
      <c r="C72" s="9" t="inlineStr">
        <is>
          <t>Non-Valid</t>
        </is>
      </c>
      <c r="D72" s="9" t="inlineStr">
        <is>
          <t>10:32:36</t>
        </is>
      </c>
      <c r="E72" s="9" t="inlineStr">
        <is>
          <t>10:32:50</t>
        </is>
      </c>
      <c r="F72" s="9" t="n">
        <v>14</v>
      </c>
      <c r="G72" s="9" t="n">
        <v>8</v>
      </c>
      <c r="H72" s="9" t="n">
        <v>40</v>
      </c>
      <c r="I72" s="9" t="inlineStr">
        <is>
          <t>FS</t>
        </is>
      </c>
      <c r="J72" s="16" t="n">
        <v>113.71</v>
      </c>
      <c r="K72" s="9" t="inlineStr">
        <is>
          <t>R</t>
        </is>
      </c>
      <c r="L72" s="9" t="inlineStr">
        <is>
          <t>Khana Link</t>
        </is>
      </c>
      <c r="M72" s="17" t="inlineStr">
        <is>
          <t>40 km/h</t>
        </is>
      </c>
      <c r="N72" s="17" t="inlineStr">
        <is>
          <t>n/a</t>
        </is>
      </c>
      <c r="O72" s="9" t="inlineStr">
        <is>
          <t>-</t>
        </is>
      </c>
      <c r="P72" s="17" t="inlineStr">
        <is>
          <t>-</t>
        </is>
      </c>
    </row>
    <row r="73">
      <c r="A73" s="9" t="inlineStr">
        <is>
          <t>18 Jun</t>
        </is>
      </c>
      <c r="B73" s="9" t="inlineStr">
        <is>
          <t>30084</t>
        </is>
      </c>
      <c r="C73" s="9" t="inlineStr">
        <is>
          <t>Non-Valid</t>
        </is>
      </c>
      <c r="D73" s="9" t="inlineStr">
        <is>
          <t>10:38:44</t>
        </is>
      </c>
      <c r="E73" s="9" t="inlineStr">
        <is>
          <t>10:38:54</t>
        </is>
      </c>
      <c r="F73" s="9" t="n">
        <v>10</v>
      </c>
      <c r="G73" s="9" t="n">
        <v>6</v>
      </c>
      <c r="H73" s="9" t="n">
        <v>27</v>
      </c>
      <c r="I73" s="9" t="inlineStr">
        <is>
          <t>FS</t>
        </is>
      </c>
      <c r="J73" s="16" t="n">
        <v>112.65</v>
      </c>
      <c r="K73" s="9" t="inlineStr">
        <is>
          <t>R</t>
        </is>
      </c>
      <c r="L73" s="9" t="inlineStr">
        <is>
          <t>Khana Link</t>
        </is>
      </c>
      <c r="M73" s="17" t="inlineStr">
        <is>
          <t>27 km/h</t>
        </is>
      </c>
      <c r="N73" s="17" t="inlineStr">
        <is>
          <t>n/a</t>
        </is>
      </c>
      <c r="O73" s="9" t="inlineStr">
        <is>
          <t>SOS</t>
        </is>
      </c>
      <c r="P73" s="18" t="inlineStr">
        <is>
          <t>Emergency: SOS</t>
        </is>
      </c>
    </row>
    <row r="74">
      <c r="A74" s="9" t="inlineStr">
        <is>
          <t>18 Jun</t>
        </is>
      </c>
      <c r="B74" s="9" t="inlineStr">
        <is>
          <t>30084</t>
        </is>
      </c>
      <c r="C74" s="9" t="inlineStr">
        <is>
          <t>Non-Valid</t>
        </is>
      </c>
      <c r="D74" s="9" t="inlineStr">
        <is>
          <t>10:40:02</t>
        </is>
      </c>
      <c r="E74" s="9" t="inlineStr">
        <is>
          <t>10:40:04</t>
        </is>
      </c>
      <c r="F74" s="9" t="n">
        <v>2</v>
      </c>
      <c r="G74" s="9" t="n">
        <v>2</v>
      </c>
      <c r="H74" s="9" t="n">
        <v>14</v>
      </c>
      <c r="I74" s="9" t="inlineStr">
        <is>
          <t>FS</t>
        </is>
      </c>
      <c r="J74" s="16" t="n">
        <v>112.56</v>
      </c>
      <c r="K74" s="9" t="inlineStr">
        <is>
          <t>R</t>
        </is>
      </c>
      <c r="L74" s="9" t="inlineStr">
        <is>
          <t>Khana Link</t>
        </is>
      </c>
      <c r="M74" s="17" t="inlineStr">
        <is>
          <t>14 km/h</t>
        </is>
      </c>
      <c r="N74" s="17" t="inlineStr">
        <is>
          <t>n/a</t>
        </is>
      </c>
      <c r="O74" s="9" t="inlineStr">
        <is>
          <t>SOS</t>
        </is>
      </c>
      <c r="P74" s="18" t="inlineStr">
        <is>
          <t>Emergency: SOS</t>
        </is>
      </c>
    </row>
    <row r="75">
      <c r="A75" s="9" t="inlineStr">
        <is>
          <t>18 Jun</t>
        </is>
      </c>
      <c r="B75" s="9" t="inlineStr">
        <is>
          <t>30084</t>
        </is>
      </c>
      <c r="C75" s="9" t="inlineStr">
        <is>
          <t>Non-Valid</t>
        </is>
      </c>
      <c r="D75" s="9" t="inlineStr">
        <is>
          <t>10:48:28</t>
        </is>
      </c>
      <c r="E75" s="9" t="inlineStr">
        <is>
          <t>10:48:36</t>
        </is>
      </c>
      <c r="F75" s="9" t="n">
        <v>8</v>
      </c>
      <c r="G75" s="9" t="n">
        <v>5</v>
      </c>
      <c r="H75" s="9" t="n">
        <v>18</v>
      </c>
      <c r="I75" s="9" t="inlineStr">
        <is>
          <t>TRIP</t>
        </is>
      </c>
      <c r="J75" s="16" t="n">
        <v>110.91</v>
      </c>
      <c r="K75" s="9" t="inlineStr">
        <is>
          <t>R</t>
        </is>
      </c>
      <c r="L75" s="9" t="inlineStr">
        <is>
          <t>Khana Link</t>
        </is>
      </c>
      <c r="M75" s="17" t="inlineStr">
        <is>
          <t>18 km/h</t>
        </is>
      </c>
      <c r="N75" s="17" t="inlineStr">
        <is>
          <t>n/a</t>
        </is>
      </c>
      <c r="O75" s="9" t="inlineStr">
        <is>
          <t>-</t>
        </is>
      </c>
      <c r="P75" s="18" t="inlineStr">
        <is>
          <t>Trip mode</t>
        </is>
      </c>
    </row>
    <row r="76">
      <c r="A76" s="9" t="inlineStr">
        <is>
          <t>18 Jun</t>
        </is>
      </c>
      <c r="B76" s="9" t="inlineStr">
        <is>
          <t>30084</t>
        </is>
      </c>
      <c r="C76" s="9" t="inlineStr">
        <is>
          <t>Non-Valid</t>
        </is>
      </c>
      <c r="D76" s="9" t="inlineStr">
        <is>
          <t>10:53:22</t>
        </is>
      </c>
      <c r="E76" s="9" t="inlineStr">
        <is>
          <t>10:54:02</t>
        </is>
      </c>
      <c r="F76" s="9" t="n">
        <v>40</v>
      </c>
      <c r="G76" s="9" t="n">
        <v>21</v>
      </c>
      <c r="H76" s="9" t="n">
        <v>36</v>
      </c>
      <c r="I76" s="9" t="inlineStr">
        <is>
          <t>TRIP</t>
        </is>
      </c>
      <c r="J76" s="16" t="n">
        <v>110.38</v>
      </c>
      <c r="K76" s="9" t="inlineStr">
        <is>
          <t>R</t>
        </is>
      </c>
      <c r="L76" s="9" t="inlineStr">
        <is>
          <t>Khana Link</t>
        </is>
      </c>
      <c r="M76" s="17" t="inlineStr">
        <is>
          <t>14 km/h</t>
        </is>
      </c>
      <c r="N76" s="17" t="inlineStr">
        <is>
          <t>n/a</t>
        </is>
      </c>
      <c r="O76" s="9" t="inlineStr">
        <is>
          <t>-</t>
        </is>
      </c>
      <c r="P76" s="18" t="inlineStr">
        <is>
          <t>Trip mode</t>
        </is>
      </c>
    </row>
    <row r="77">
      <c r="A77" s="9" t="inlineStr">
        <is>
          <t>18 Jun</t>
        </is>
      </c>
      <c r="B77" s="9" t="inlineStr">
        <is>
          <t>30084</t>
        </is>
      </c>
      <c r="C77" s="9" t="inlineStr">
        <is>
          <t>Non-Valid</t>
        </is>
      </c>
      <c r="D77" s="9" t="inlineStr">
        <is>
          <t>11:46:44</t>
        </is>
      </c>
      <c r="E77" s="9" t="inlineStr">
        <is>
          <t>11:55:34</t>
        </is>
      </c>
      <c r="F77" s="9" t="n">
        <v>530</v>
      </c>
      <c r="G77" s="9" t="n">
        <v>266</v>
      </c>
      <c r="H77" s="9" t="n">
        <v>15</v>
      </c>
      <c r="I77" s="9" t="inlineStr">
        <is>
          <t>TRIP</t>
        </is>
      </c>
      <c r="J77" s="16" t="n">
        <v>113.58</v>
      </c>
      <c r="K77" s="9" t="inlineStr">
        <is>
          <t>N</t>
        </is>
      </c>
      <c r="L77" s="9" t="inlineStr">
        <is>
          <t>Khana Link</t>
        </is>
      </c>
      <c r="M77" s="17" t="inlineStr">
        <is>
          <t>15 km/h</t>
        </is>
      </c>
      <c r="N77" s="17" t="inlineStr">
        <is>
          <t>n/a</t>
        </is>
      </c>
      <c r="O77" s="9" t="inlineStr">
        <is>
          <t>-</t>
        </is>
      </c>
      <c r="P77" s="18" t="inlineStr">
        <is>
          <t>Trip mode</t>
        </is>
      </c>
    </row>
    <row r="78">
      <c r="A78" s="9" t="inlineStr">
        <is>
          <t>18 Jun</t>
        </is>
      </c>
      <c r="B78" s="9" t="inlineStr">
        <is>
          <t>38443</t>
        </is>
      </c>
      <c r="C78" s="9" t="inlineStr">
        <is>
          <t>Non-Valid</t>
        </is>
      </c>
      <c r="D78" s="9" t="inlineStr">
        <is>
          <t>12:06:02</t>
        </is>
      </c>
      <c r="E78" s="9" t="inlineStr">
        <is>
          <t>12:06:04</t>
        </is>
      </c>
      <c r="F78" s="9" t="n">
        <v>2</v>
      </c>
      <c r="G78" s="9" t="n">
        <v>2</v>
      </c>
      <c r="H78" s="9" t="n">
        <v>3</v>
      </c>
      <c r="I78" s="9" t="inlineStr">
        <is>
          <t>FS</t>
        </is>
      </c>
      <c r="J78" s="16" t="n">
        <v>0.46</v>
      </c>
      <c r="K78" s="9" t="inlineStr">
        <is>
          <t>N</t>
        </is>
      </c>
      <c r="L78" s="9" t="inlineStr">
        <is>
          <t>Howrah</t>
        </is>
      </c>
      <c r="M78" s="17" t="inlineStr">
        <is>
          <t>3 km/h</t>
        </is>
      </c>
      <c r="N78" s="17" t="inlineStr">
        <is>
          <t>n/a</t>
        </is>
      </c>
      <c r="O78" s="9" t="inlineStr">
        <is>
          <t>-</t>
        </is>
      </c>
      <c r="P78" s="17" t="inlineStr">
        <is>
          <t>-</t>
        </is>
      </c>
    </row>
    <row r="79">
      <c r="A79" s="9" t="inlineStr">
        <is>
          <t>18 Jun</t>
        </is>
      </c>
      <c r="B79" s="9" t="inlineStr">
        <is>
          <t>38443</t>
        </is>
      </c>
      <c r="C79" s="9" t="inlineStr">
        <is>
          <t>Non-Valid</t>
        </is>
      </c>
      <c r="D79" s="9" t="inlineStr">
        <is>
          <t>12:06:36</t>
        </is>
      </c>
      <c r="E79" s="9" t="inlineStr">
        <is>
          <t>12:06:38</t>
        </is>
      </c>
      <c r="F79" s="9" t="n">
        <v>2</v>
      </c>
      <c r="G79" s="9" t="n">
        <v>2</v>
      </c>
      <c r="H79" s="9" t="n">
        <v>3</v>
      </c>
      <c r="I79" s="9" t="inlineStr">
        <is>
          <t>FS</t>
        </is>
      </c>
      <c r="J79" s="16" t="n">
        <v>0.46</v>
      </c>
      <c r="K79" s="9" t="inlineStr">
        <is>
          <t>N</t>
        </is>
      </c>
      <c r="L79" s="9" t="inlineStr">
        <is>
          <t>Howrah</t>
        </is>
      </c>
      <c r="M79" s="17" t="inlineStr">
        <is>
          <t>3 km/h</t>
        </is>
      </c>
      <c r="N79" s="17" t="inlineStr">
        <is>
          <t>n/a</t>
        </is>
      </c>
      <c r="O79" s="9" t="inlineStr">
        <is>
          <t>-</t>
        </is>
      </c>
      <c r="P79" s="17" t="inlineStr">
        <is>
          <t>-</t>
        </is>
      </c>
    </row>
    <row r="80">
      <c r="A80" s="9" t="inlineStr">
        <is>
          <t>18 Jun</t>
        </is>
      </c>
      <c r="B80" s="9" t="inlineStr">
        <is>
          <t>30084</t>
        </is>
      </c>
      <c r="C80" s="9" t="inlineStr">
        <is>
          <t>Non-Valid</t>
        </is>
      </c>
      <c r="D80" s="9" t="inlineStr">
        <is>
          <t>12:29:22</t>
        </is>
      </c>
      <c r="E80" s="9" t="inlineStr">
        <is>
          <t>12:29:34</t>
        </is>
      </c>
      <c r="F80" s="9" t="n">
        <v>12</v>
      </c>
      <c r="G80" s="9" t="n">
        <v>7</v>
      </c>
      <c r="H80" s="9" t="n">
        <v>26</v>
      </c>
      <c r="I80" s="9" t="inlineStr">
        <is>
          <t>FS</t>
        </is>
      </c>
      <c r="J80" s="16" t="n">
        <v>113.65</v>
      </c>
      <c r="K80" s="9" t="inlineStr">
        <is>
          <t>R</t>
        </is>
      </c>
      <c r="L80" s="9" t="inlineStr">
        <is>
          <t>Khana Link</t>
        </is>
      </c>
      <c r="M80" s="17" t="inlineStr">
        <is>
          <t>26 km/h</t>
        </is>
      </c>
      <c r="N80" s="17" t="inlineStr">
        <is>
          <t>n/a</t>
        </is>
      </c>
      <c r="O80" s="9" t="inlineStr">
        <is>
          <t>-</t>
        </is>
      </c>
      <c r="P80" s="17" t="inlineStr">
        <is>
          <t>-</t>
        </is>
      </c>
    </row>
    <row r="81">
      <c r="A81" s="9" t="inlineStr">
        <is>
          <t>18 Jun</t>
        </is>
      </c>
      <c r="B81" s="9" t="inlineStr">
        <is>
          <t>30084</t>
        </is>
      </c>
      <c r="C81" s="9" t="inlineStr">
        <is>
          <t>Non-Valid</t>
        </is>
      </c>
      <c r="D81" s="9" t="inlineStr">
        <is>
          <t>13:08:30</t>
        </is>
      </c>
      <c r="E81" s="9" t="inlineStr">
        <is>
          <t>13:08:42</t>
        </is>
      </c>
      <c r="F81" s="9" t="n">
        <v>12</v>
      </c>
      <c r="G81" s="9" t="n">
        <v>7</v>
      </c>
      <c r="H81" s="9" t="n">
        <v>35</v>
      </c>
      <c r="I81" s="9" t="inlineStr">
        <is>
          <t>FS</t>
        </is>
      </c>
      <c r="J81" s="16" t="n">
        <v>113.03</v>
      </c>
      <c r="K81" s="9" t="inlineStr">
        <is>
          <t>R</t>
        </is>
      </c>
      <c r="L81" s="9" t="inlineStr">
        <is>
          <t>Khana Link</t>
        </is>
      </c>
      <c r="M81" s="17" t="inlineStr">
        <is>
          <t>31 km/h</t>
        </is>
      </c>
      <c r="N81" s="17" t="inlineStr">
        <is>
          <t>n/a</t>
        </is>
      </c>
      <c r="O81" s="9" t="inlineStr">
        <is>
          <t>SOS</t>
        </is>
      </c>
      <c r="P81" s="18" t="inlineStr">
        <is>
          <t>Emergency: SOS</t>
        </is>
      </c>
    </row>
    <row r="82">
      <c r="A82" s="9" t="inlineStr">
        <is>
          <t>18 Jun</t>
        </is>
      </c>
      <c r="B82" s="9" t="inlineStr">
        <is>
          <t>30084</t>
        </is>
      </c>
      <c r="C82" s="9" t="inlineStr">
        <is>
          <t>Non-Valid</t>
        </is>
      </c>
      <c r="D82" s="9" t="inlineStr">
        <is>
          <t>13:17:50</t>
        </is>
      </c>
      <c r="E82" s="9" t="inlineStr">
        <is>
          <t>13:17:56</t>
        </is>
      </c>
      <c r="F82" s="9" t="n">
        <v>6</v>
      </c>
      <c r="G82" s="9" t="n">
        <v>4</v>
      </c>
      <c r="H82" s="9" t="n">
        <v>14</v>
      </c>
      <c r="I82" s="9" t="inlineStr">
        <is>
          <t>TRIP</t>
        </is>
      </c>
      <c r="J82" s="16" t="n">
        <v>110.92</v>
      </c>
      <c r="K82" s="9" t="inlineStr">
        <is>
          <t>R</t>
        </is>
      </c>
      <c r="L82" s="9" t="inlineStr">
        <is>
          <t>Khana Link</t>
        </is>
      </c>
      <c r="M82" s="17" t="inlineStr">
        <is>
          <t>14 km/h</t>
        </is>
      </c>
      <c r="N82" s="17" t="inlineStr">
        <is>
          <t>n/a</t>
        </is>
      </c>
      <c r="O82" s="9" t="inlineStr">
        <is>
          <t>-</t>
        </is>
      </c>
      <c r="P82" s="18" t="inlineStr">
        <is>
          <t>Trip mode</t>
        </is>
      </c>
    </row>
    <row r="83">
      <c r="A83" s="9" t="inlineStr">
        <is>
          <t>18 Jun</t>
        </is>
      </c>
      <c r="B83" s="9" t="inlineStr">
        <is>
          <t>30084</t>
        </is>
      </c>
      <c r="C83" s="9" t="inlineStr">
        <is>
          <t>Non-Valid</t>
        </is>
      </c>
      <c r="D83" s="9" t="inlineStr">
        <is>
          <t>13:18:32</t>
        </is>
      </c>
      <c r="E83" s="9" t="inlineStr">
        <is>
          <t>13:18:34</t>
        </is>
      </c>
      <c r="F83" s="9" t="n">
        <v>2</v>
      </c>
      <c r="G83" s="9" t="n">
        <v>2</v>
      </c>
      <c r="H83" s="9" t="n">
        <v>5</v>
      </c>
      <c r="I83" s="9" t="inlineStr">
        <is>
          <t>POSTTRIP</t>
        </is>
      </c>
      <c r="J83" s="16" t="n">
        <v>110.91</v>
      </c>
      <c r="K83" s="9" t="inlineStr">
        <is>
          <t>R</t>
        </is>
      </c>
      <c r="L83" s="9" t="inlineStr">
        <is>
          <t>Khana Link</t>
        </is>
      </c>
      <c r="M83" s="17" t="inlineStr">
        <is>
          <t>1 km/h</t>
        </is>
      </c>
      <c r="N83" s="17" t="inlineStr">
        <is>
          <t>n/a</t>
        </is>
      </c>
      <c r="O83" s="9" t="inlineStr">
        <is>
          <t>-</t>
        </is>
      </c>
      <c r="P83" s="18" t="inlineStr">
        <is>
          <t>EB at 0-1 km/h</t>
        </is>
      </c>
    </row>
    <row r="84">
      <c r="A84" s="9" t="inlineStr">
        <is>
          <t>18 Jun</t>
        </is>
      </c>
      <c r="B84" s="9" t="inlineStr">
        <is>
          <t>30084</t>
        </is>
      </c>
      <c r="C84" s="9" t="inlineStr">
        <is>
          <t>Non-Valid</t>
        </is>
      </c>
      <c r="D84" s="9" t="inlineStr">
        <is>
          <t>13:19:40</t>
        </is>
      </c>
      <c r="E84" s="9" t="inlineStr">
        <is>
          <t>13:20:40</t>
        </is>
      </c>
      <c r="F84" s="9" t="n">
        <v>60</v>
      </c>
      <c r="G84" s="9" t="n">
        <v>31</v>
      </c>
      <c r="H84" s="9" t="n">
        <v>27</v>
      </c>
      <c r="I84" s="9" t="inlineStr">
        <is>
          <t>OS</t>
        </is>
      </c>
      <c r="J84" s="16" t="n">
        <v>110.79</v>
      </c>
      <c r="K84" s="9" t="inlineStr">
        <is>
          <t>R</t>
        </is>
      </c>
      <c r="L84" s="9" t="inlineStr">
        <is>
          <t>Khana Link</t>
        </is>
      </c>
      <c r="M84" s="17" t="inlineStr">
        <is>
          <t>27 km/h</t>
        </is>
      </c>
      <c r="N84" s="17" t="inlineStr">
        <is>
          <t>n/a</t>
        </is>
      </c>
      <c r="O84" s="9" t="inlineStr">
        <is>
          <t>-</t>
        </is>
      </c>
      <c r="P84" s="17" t="inlineStr">
        <is>
          <t>-</t>
        </is>
      </c>
    </row>
    <row r="85">
      <c r="A85" s="9" t="inlineStr">
        <is>
          <t>18 Jun</t>
        </is>
      </c>
      <c r="B85" s="9" t="inlineStr">
        <is>
          <t>30084</t>
        </is>
      </c>
      <c r="C85" s="9" t="inlineStr">
        <is>
          <t>Non-Valid</t>
        </is>
      </c>
      <c r="D85" s="9" t="inlineStr">
        <is>
          <t>13:21:14</t>
        </is>
      </c>
      <c r="E85" s="9" t="inlineStr">
        <is>
          <t>13:21:30</t>
        </is>
      </c>
      <c r="F85" s="9" t="n">
        <v>16</v>
      </c>
      <c r="G85" s="9" t="n">
        <v>9</v>
      </c>
      <c r="H85" s="9" t="n">
        <v>13</v>
      </c>
      <c r="I85" s="9" t="inlineStr">
        <is>
          <t>POSTTRIP</t>
        </is>
      </c>
      <c r="J85" s="16" t="n">
        <v>110.38</v>
      </c>
      <c r="K85" s="9" t="inlineStr">
        <is>
          <t>R</t>
        </is>
      </c>
      <c r="L85" s="9" t="inlineStr">
        <is>
          <t>Khana Link</t>
        </is>
      </c>
      <c r="M85" s="17" t="inlineStr">
        <is>
          <t>4 km/h</t>
        </is>
      </c>
      <c r="N85" s="17" t="inlineStr">
        <is>
          <t>n/a</t>
        </is>
      </c>
      <c r="O85" s="9" t="inlineStr">
        <is>
          <t>-</t>
        </is>
      </c>
      <c r="P85" s="17" t="inlineStr">
        <is>
          <t>-</t>
        </is>
      </c>
    </row>
    <row r="86">
      <c r="A86" s="7" t="inlineStr">
        <is>
          <t>18 Jun</t>
        </is>
      </c>
      <c r="B86" s="7" t="inlineStr">
        <is>
          <t>30360</t>
        </is>
      </c>
      <c r="C86" s="7" t="inlineStr">
        <is>
          <t>Valid</t>
        </is>
      </c>
      <c r="D86" s="7" t="inlineStr">
        <is>
          <t>13:54:36</t>
        </is>
      </c>
      <c r="E86" s="7" t="inlineStr">
        <is>
          <t>13:54:48</t>
        </is>
      </c>
      <c r="F86" s="7" t="n">
        <v>12</v>
      </c>
      <c r="G86" s="7" t="n">
        <v>7</v>
      </c>
      <c r="H86" s="7" t="n">
        <v>116</v>
      </c>
      <c r="I86" s="7" t="inlineStr">
        <is>
          <t>FS</t>
        </is>
      </c>
      <c r="J86" s="19" t="n">
        <v>62.35</v>
      </c>
      <c r="K86" s="7" t="inlineStr">
        <is>
          <t>N</t>
        </is>
      </c>
      <c r="L86" s="7" t="inlineStr">
        <is>
          <t>Jaugram</t>
        </is>
      </c>
      <c r="M86" s="20" t="inlineStr">
        <is>
          <t>116 km/h</t>
        </is>
      </c>
      <c r="N86" s="20" t="inlineStr">
        <is>
          <t>1221</t>
        </is>
      </c>
      <c r="O86" s="7" t="inlineStr">
        <is>
          <t>-</t>
        </is>
      </c>
      <c r="P86" s="20" t="inlineStr">
        <is>
          <t>-</t>
        </is>
      </c>
    </row>
    <row r="87" ht="49" customHeight="1">
      <c r="A87" s="9" t="inlineStr">
        <is>
          <t>18 Jun</t>
        </is>
      </c>
      <c r="B87" s="9" t="inlineStr">
        <is>
          <t>39195</t>
        </is>
      </c>
      <c r="C87" s="9" t="inlineStr">
        <is>
          <t>Non-Valid</t>
        </is>
      </c>
      <c r="D87" s="9" t="inlineStr">
        <is>
          <t>18:01:36</t>
        </is>
      </c>
      <c r="E87" s="9" t="inlineStr">
        <is>
          <t>18:01:36</t>
        </is>
      </c>
      <c r="F87" s="9" t="n">
        <v>0</v>
      </c>
      <c r="G87" s="9" t="n">
        <v>1</v>
      </c>
      <c r="H87" s="9" t="n">
        <v>129</v>
      </c>
      <c r="I87" s="9" t="inlineStr">
        <is>
          <t>FS</t>
        </is>
      </c>
      <c r="J87" s="16" t="n">
        <v>106.83</v>
      </c>
      <c r="K87" s="9" t="inlineStr">
        <is>
          <t>N</t>
        </is>
      </c>
      <c r="L87" s="9" t="inlineStr">
        <is>
          <t>Khana Jn</t>
        </is>
      </c>
      <c r="M87" s="17" t="inlineStr">
        <is>
          <t>129 km/h</t>
        </is>
      </c>
      <c r="N87" s="17" t="inlineStr">
        <is>
          <t>1357
MA dropped from 4168 to 1357.</t>
        </is>
      </c>
      <c r="O87" s="9" t="inlineStr">
        <is>
          <t>-</t>
        </is>
      </c>
      <c r="P87" s="18" t="inlineStr">
        <is>
          <t>Sudden MA drop</t>
        </is>
      </c>
    </row>
    <row r="88" ht="49" customHeight="1">
      <c r="A88" s="7" t="inlineStr">
        <is>
          <t>19 Jun</t>
        </is>
      </c>
      <c r="B88" s="7" t="inlineStr">
        <is>
          <t>30200</t>
        </is>
      </c>
      <c r="C88" s="7" t="inlineStr">
        <is>
          <t>Valid</t>
        </is>
      </c>
      <c r="D88" s="7" t="inlineStr">
        <is>
          <t>08:25:44</t>
        </is>
      </c>
      <c r="E88" s="7" t="inlineStr">
        <is>
          <t>08:25:44</t>
        </is>
      </c>
      <c r="F88" s="7" t="n">
        <v>0</v>
      </c>
      <c r="G88" s="7" t="n">
        <v>1</v>
      </c>
      <c r="H88" s="7" t="n">
        <v>97</v>
      </c>
      <c r="I88" s="7" t="inlineStr">
        <is>
          <t>FS</t>
        </is>
      </c>
      <c r="J88" s="19" t="n">
        <v>154.81</v>
      </c>
      <c r="K88" s="7" t="inlineStr">
        <is>
          <t>R</t>
        </is>
      </c>
      <c r="L88" s="7" t="inlineStr">
        <is>
          <t>LC-111</t>
        </is>
      </c>
      <c r="M88" s="20" t="inlineStr">
        <is>
          <t>97 km/h</t>
        </is>
      </c>
      <c r="N88" s="20" t="inlineStr">
        <is>
          <t>1559
MA dropped from 4164 to 1559.</t>
        </is>
      </c>
      <c r="O88" s="7" t="inlineStr">
        <is>
          <t>-</t>
        </is>
      </c>
      <c r="P88" s="18" t="inlineStr">
        <is>
          <t>Sudden MA drop</t>
        </is>
      </c>
    </row>
    <row r="89" ht="49" customHeight="1">
      <c r="A89" s="7" t="inlineStr">
        <is>
          <t>19 Jun</t>
        </is>
      </c>
      <c r="B89" s="7" t="inlineStr">
        <is>
          <t>30200</t>
        </is>
      </c>
      <c r="C89" s="7" t="inlineStr">
        <is>
          <t>Valid</t>
        </is>
      </c>
      <c r="D89" s="7" t="inlineStr">
        <is>
          <t>09:44:32</t>
        </is>
      </c>
      <c r="E89" s="7" t="inlineStr">
        <is>
          <t>09:44:32</t>
        </is>
      </c>
      <c r="F89" s="7" t="n">
        <v>0</v>
      </c>
      <c r="G89" s="7" t="n">
        <v>1</v>
      </c>
      <c r="H89" s="7" t="n">
        <v>141</v>
      </c>
      <c r="I89" s="7" t="inlineStr">
        <is>
          <t>FS</t>
        </is>
      </c>
      <c r="J89" s="19" t="n">
        <v>69.20999999999999</v>
      </c>
      <c r="K89" s="7" t="inlineStr">
        <is>
          <t>R</t>
        </is>
      </c>
      <c r="L89" s="7" t="inlineStr">
        <is>
          <t>LC-57</t>
        </is>
      </c>
      <c r="M89" s="20" t="inlineStr">
        <is>
          <t>141 km/h
There was an abnormal speed fluctuation of 8 kmph (from 133 to 141 km/h). Possible suspect: PG issue.</t>
        </is>
      </c>
      <c r="N89" s="20" t="inlineStr">
        <is>
          <t>n/a</t>
        </is>
      </c>
      <c r="O89" s="7" t="inlineStr">
        <is>
          <t>-</t>
        </is>
      </c>
      <c r="P89" s="18" t="inlineStr">
        <is>
          <t>PG issue (speed fluctuation)</t>
        </is>
      </c>
    </row>
    <row r="90">
      <c r="A90" s="9" t="inlineStr">
        <is>
          <t>19 Jun</t>
        </is>
      </c>
      <c r="B90" s="9" t="inlineStr">
        <is>
          <t>30321</t>
        </is>
      </c>
      <c r="C90" s="9" t="inlineStr">
        <is>
          <t>Non-Valid</t>
        </is>
      </c>
      <c r="D90" s="9" t="inlineStr">
        <is>
          <t>13:51:00</t>
        </is>
      </c>
      <c r="E90" s="9" t="inlineStr">
        <is>
          <t>13:51:04</t>
        </is>
      </c>
      <c r="F90" s="9" t="n">
        <v>4</v>
      </c>
      <c r="G90" s="9" t="n">
        <v>2</v>
      </c>
      <c r="H90" s="9" t="n">
        <v>1</v>
      </c>
      <c r="I90" s="9" t="inlineStr">
        <is>
          <t>OS</t>
        </is>
      </c>
      <c r="J90" s="16" t="n">
        <v>0.16</v>
      </c>
      <c r="K90" s="9" t="inlineStr">
        <is>
          <t>R</t>
        </is>
      </c>
      <c r="L90" s="9" t="inlineStr">
        <is>
          <t>Howrah</t>
        </is>
      </c>
      <c r="M90" s="17" t="inlineStr">
        <is>
          <t>1 km/h</t>
        </is>
      </c>
      <c r="N90" s="17" t="inlineStr">
        <is>
          <t>n/a</t>
        </is>
      </c>
      <c r="O90" s="9" t="inlineStr">
        <is>
          <t>-</t>
        </is>
      </c>
      <c r="P90" s="18" t="inlineStr">
        <is>
          <t>EB at 0-1 km/h</t>
        </is>
      </c>
    </row>
    <row r="91">
      <c r="A91" s="9" t="inlineStr">
        <is>
          <t>19 Jun</t>
        </is>
      </c>
      <c r="B91" s="9" t="inlineStr">
        <is>
          <t>30112</t>
        </is>
      </c>
      <c r="C91" s="9" t="inlineStr">
        <is>
          <t>Non-Valid</t>
        </is>
      </c>
      <c r="D91" s="9" t="inlineStr">
        <is>
          <t>14:40:40</t>
        </is>
      </c>
      <c r="E91" s="9" t="inlineStr">
        <is>
          <t>14:40:42</t>
        </is>
      </c>
      <c r="F91" s="9" t="n">
        <v>2</v>
      </c>
      <c r="G91" s="9" t="n">
        <v>2</v>
      </c>
      <c r="H91" s="9" t="n">
        <v>4</v>
      </c>
      <c r="I91" s="9" t="inlineStr">
        <is>
          <t>FS</t>
        </is>
      </c>
      <c r="J91" s="16" t="n">
        <v>0.06</v>
      </c>
      <c r="K91" s="9" t="inlineStr">
        <is>
          <t>R</t>
        </is>
      </c>
      <c r="L91" s="9" t="inlineStr">
        <is>
          <t>Howrah</t>
        </is>
      </c>
      <c r="M91" s="17" t="inlineStr">
        <is>
          <t>4 km/h</t>
        </is>
      </c>
      <c r="N91" s="17" t="inlineStr">
        <is>
          <t>384</t>
        </is>
      </c>
      <c r="O91" s="9" t="inlineStr">
        <is>
          <t>-</t>
        </is>
      </c>
      <c r="P91" s="17" t="inlineStr">
        <is>
          <t>-</t>
        </is>
      </c>
    </row>
    <row r="92">
      <c r="A92" s="7" t="inlineStr">
        <is>
          <t>19 Jun</t>
        </is>
      </c>
      <c r="B92" s="7" t="inlineStr">
        <is>
          <t>30200</t>
        </is>
      </c>
      <c r="C92" s="7" t="inlineStr">
        <is>
          <t>Valid</t>
        </is>
      </c>
      <c r="D92" s="7" t="inlineStr">
        <is>
          <t>17:24:08</t>
        </is>
      </c>
      <c r="E92" s="7" t="inlineStr">
        <is>
          <t>17:24:10</t>
        </is>
      </c>
      <c r="F92" s="7" t="n">
        <v>2</v>
      </c>
      <c r="G92" s="7" t="n">
        <v>2</v>
      </c>
      <c r="H92" s="7" t="n">
        <v>3</v>
      </c>
      <c r="I92" s="7" t="inlineStr">
        <is>
          <t>OS</t>
        </is>
      </c>
      <c r="J92" s="19" t="n">
        <v>0.88</v>
      </c>
      <c r="K92" s="7" t="inlineStr">
        <is>
          <t>N</t>
        </is>
      </c>
      <c r="L92" s="7" t="inlineStr">
        <is>
          <t>Howrah</t>
        </is>
      </c>
      <c r="M92" s="20" t="inlineStr">
        <is>
          <t>3 km/h</t>
        </is>
      </c>
      <c r="N92" s="20" t="inlineStr">
        <is>
          <t>338</t>
        </is>
      </c>
      <c r="O92" s="7" t="inlineStr">
        <is>
          <t>-</t>
        </is>
      </c>
      <c r="P92" s="20" t="inlineStr">
        <is>
          <t>-</t>
        </is>
      </c>
    </row>
    <row r="93">
      <c r="A93" s="7" t="inlineStr">
        <is>
          <t>19 Jun</t>
        </is>
      </c>
      <c r="B93" s="7" t="inlineStr">
        <is>
          <t>30200</t>
        </is>
      </c>
      <c r="C93" s="7" t="inlineStr">
        <is>
          <t>Valid</t>
        </is>
      </c>
      <c r="D93" s="7" t="inlineStr">
        <is>
          <t>20:03:12</t>
        </is>
      </c>
      <c r="E93" s="7" t="inlineStr">
        <is>
          <t>20:03:12</t>
        </is>
      </c>
      <c r="F93" s="7" t="n">
        <v>0</v>
      </c>
      <c r="G93" s="7" t="n">
        <v>1</v>
      </c>
      <c r="H93" s="7" t="n">
        <v>7</v>
      </c>
      <c r="I93" s="7" t="inlineStr">
        <is>
          <t>FS</t>
        </is>
      </c>
      <c r="J93" s="19" t="n">
        <v>181.69</v>
      </c>
      <c r="K93" s="7" t="inlineStr">
        <is>
          <t>N</t>
        </is>
      </c>
      <c r="L93" s="7" t="inlineStr">
        <is>
          <t>Raniganj</t>
        </is>
      </c>
      <c r="M93" s="20" t="inlineStr">
        <is>
          <t>7 km/h</t>
        </is>
      </c>
      <c r="N93" s="20" t="inlineStr">
        <is>
          <t>200</t>
        </is>
      </c>
      <c r="O93" s="7" t="inlineStr">
        <is>
          <t>-</t>
        </is>
      </c>
      <c r="P93" s="20" t="inlineStr">
        <is>
          <t>-</t>
        </is>
      </c>
    </row>
    <row r="94" ht="49" customHeight="1">
      <c r="A94" s="9" t="inlineStr">
        <is>
          <t>19 Jun</t>
        </is>
      </c>
      <c r="B94" s="9" t="inlineStr">
        <is>
          <t>35004</t>
        </is>
      </c>
      <c r="C94" s="9" t="inlineStr">
        <is>
          <t>Non-Valid</t>
        </is>
      </c>
      <c r="D94" s="9" t="inlineStr">
        <is>
          <t>20:20:14</t>
        </is>
      </c>
      <c r="E94" s="9" t="inlineStr">
        <is>
          <t>20:20:14</t>
        </is>
      </c>
      <c r="F94" s="9" t="n">
        <v>0</v>
      </c>
      <c r="G94" s="9" t="n">
        <v>1</v>
      </c>
      <c r="H94" s="9" t="n">
        <v>142</v>
      </c>
      <c r="I94" s="9" t="inlineStr">
        <is>
          <t>FS</t>
        </is>
      </c>
      <c r="J94" s="16" t="n">
        <v>21.93</v>
      </c>
      <c r="K94" s="9" t="inlineStr">
        <is>
          <t>N</t>
        </is>
      </c>
      <c r="L94" s="9" t="inlineStr">
        <is>
          <t>Janai Road</t>
        </is>
      </c>
      <c r="M94" s="17" t="inlineStr">
        <is>
          <t>142 km/h
There was an abnormal speed fluctuation of 8 kmph (from 134 to 142 km/h). Possible suspect: PG issue.</t>
        </is>
      </c>
      <c r="N94" s="17" t="inlineStr">
        <is>
          <t>5181</t>
        </is>
      </c>
      <c r="O94" s="9" t="inlineStr">
        <is>
          <t>-</t>
        </is>
      </c>
      <c r="P94" s="18" t="inlineStr">
        <is>
          <t>PG issue (speed fluctuation)</t>
        </is>
      </c>
    </row>
    <row r="95">
      <c r="A95" s="9" t="inlineStr">
        <is>
          <t>19 Jun</t>
        </is>
      </c>
      <c r="B95" s="9" t="inlineStr">
        <is>
          <t>30676</t>
        </is>
      </c>
      <c r="C95" s="9" t="inlineStr">
        <is>
          <t>Non-Valid</t>
        </is>
      </c>
      <c r="D95" s="9" t="inlineStr">
        <is>
          <t>21:31:26</t>
        </is>
      </c>
      <c r="E95" s="9" t="inlineStr">
        <is>
          <t>21:31:44</t>
        </is>
      </c>
      <c r="F95" s="9" t="n">
        <v>18</v>
      </c>
      <c r="G95" s="9" t="n">
        <v>10</v>
      </c>
      <c r="H95" s="9" t="n">
        <v>67</v>
      </c>
      <c r="I95" s="9" t="inlineStr">
        <is>
          <t>TRIP</t>
        </is>
      </c>
      <c r="J95" s="16" t="n">
        <v>37.23</v>
      </c>
      <c r="K95" s="9" t="inlineStr">
        <is>
          <t>N</t>
        </is>
      </c>
      <c r="L95" s="9" t="inlineStr">
        <is>
          <t>Chandanpur</t>
        </is>
      </c>
      <c r="M95" s="17" t="inlineStr">
        <is>
          <t>67 km/h</t>
        </is>
      </c>
      <c r="N95" s="17" t="inlineStr">
        <is>
          <t>0</t>
        </is>
      </c>
      <c r="O95" s="9" t="inlineStr">
        <is>
          <t>-</t>
        </is>
      </c>
      <c r="P95" s="18" t="inlineStr">
        <is>
          <t>Trip mode</t>
        </is>
      </c>
    </row>
    <row r="96">
      <c r="A96" s="9" t="inlineStr">
        <is>
          <t>19 Jun</t>
        </is>
      </c>
      <c r="B96" s="9" t="inlineStr">
        <is>
          <t>30676</t>
        </is>
      </c>
      <c r="C96" s="9" t="inlineStr">
        <is>
          <t>Non-Valid</t>
        </is>
      </c>
      <c r="D96" s="9" t="inlineStr">
        <is>
          <t>21:33:30</t>
        </is>
      </c>
      <c r="E96" s="9" t="inlineStr">
        <is>
          <t>21:33:30</t>
        </is>
      </c>
      <c r="F96" s="9" t="n">
        <v>0</v>
      </c>
      <c r="G96" s="9" t="n">
        <v>1</v>
      </c>
      <c r="H96" s="9" t="n">
        <v>1</v>
      </c>
      <c r="I96" s="9" t="inlineStr">
        <is>
          <t>POSTTRIP</t>
        </is>
      </c>
      <c r="J96" s="16" t="n">
        <v>37.44</v>
      </c>
      <c r="K96" s="9" t="inlineStr">
        <is>
          <t>N</t>
        </is>
      </c>
      <c r="L96" s="9" t="inlineStr">
        <is>
          <t>Chandanpur</t>
        </is>
      </c>
      <c r="M96" s="17" t="inlineStr">
        <is>
          <t>1 km/h</t>
        </is>
      </c>
      <c r="N96" s="17" t="inlineStr">
        <is>
          <t>0</t>
        </is>
      </c>
      <c r="O96" s="9" t="inlineStr">
        <is>
          <t>-</t>
        </is>
      </c>
      <c r="P96" s="18" t="inlineStr">
        <is>
          <t>EB at 0-1 km/h</t>
        </is>
      </c>
    </row>
    <row r="97">
      <c r="A97" s="9" t="inlineStr">
        <is>
          <t>19 Jun</t>
        </is>
      </c>
      <c r="B97" s="9" t="inlineStr">
        <is>
          <t>30676</t>
        </is>
      </c>
      <c r="C97" s="9" t="inlineStr">
        <is>
          <t>Non-Valid</t>
        </is>
      </c>
      <c r="D97" s="9" t="inlineStr">
        <is>
          <t>21:34:52</t>
        </is>
      </c>
      <c r="E97" s="9" t="inlineStr">
        <is>
          <t>21:34:52</t>
        </is>
      </c>
      <c r="F97" s="9" t="n">
        <v>0</v>
      </c>
      <c r="G97" s="9" t="n">
        <v>1</v>
      </c>
      <c r="H97" s="9" t="n">
        <v>1</v>
      </c>
      <c r="I97" s="9" t="inlineStr">
        <is>
          <t>POSTTRIP</t>
        </is>
      </c>
      <c r="J97" s="16" t="n">
        <v>37.44</v>
      </c>
      <c r="K97" s="9" t="inlineStr">
        <is>
          <t>N</t>
        </is>
      </c>
      <c r="L97" s="9" t="inlineStr">
        <is>
          <t>Chandanpur</t>
        </is>
      </c>
      <c r="M97" s="17" t="inlineStr">
        <is>
          <t>1 km/h</t>
        </is>
      </c>
      <c r="N97" s="17" t="inlineStr">
        <is>
          <t>0</t>
        </is>
      </c>
      <c r="O97" s="9" t="inlineStr">
        <is>
          <t>-</t>
        </is>
      </c>
      <c r="P97" s="18" t="inlineStr">
        <is>
          <t>EB at 0-1 km/h</t>
        </is>
      </c>
    </row>
    <row r="98" ht="49" customHeight="1">
      <c r="A98" s="9" t="inlineStr">
        <is>
          <t>20 Jun</t>
        </is>
      </c>
      <c r="B98" s="9" t="inlineStr">
        <is>
          <t>37246</t>
        </is>
      </c>
      <c r="C98" s="9" t="inlineStr">
        <is>
          <t>Non-Valid</t>
        </is>
      </c>
      <c r="D98" s="9" t="inlineStr">
        <is>
          <t>00:00:28</t>
        </is>
      </c>
      <c r="E98" s="9" t="inlineStr">
        <is>
          <t>00:00:30</t>
        </is>
      </c>
      <c r="F98" s="9" t="n">
        <v>2</v>
      </c>
      <c r="G98" s="9" t="n">
        <v>2</v>
      </c>
      <c r="H98" s="9" t="n">
        <v>127</v>
      </c>
      <c r="I98" s="9" t="inlineStr">
        <is>
          <t>FS</t>
        </is>
      </c>
      <c r="J98" s="16" t="n">
        <v>148.71</v>
      </c>
      <c r="K98" s="9" t="inlineStr">
        <is>
          <t>N</t>
        </is>
      </c>
      <c r="L98" s="9" t="inlineStr">
        <is>
          <t>Rajbandh</t>
        </is>
      </c>
      <c r="M98" s="17" t="inlineStr">
        <is>
          <t>127 km/h</t>
        </is>
      </c>
      <c r="N98" s="17" t="inlineStr">
        <is>
          <t>968
MA dropped from 6103 to 968.</t>
        </is>
      </c>
      <c r="O98" s="9" t="inlineStr">
        <is>
          <t>-</t>
        </is>
      </c>
      <c r="P98" s="18" t="inlineStr">
        <is>
          <t>Sudden MA drop</t>
        </is>
      </c>
    </row>
    <row r="99">
      <c r="A99" s="9" t="inlineStr">
        <is>
          <t>20 Jun</t>
        </is>
      </c>
      <c r="B99" s="9" t="inlineStr">
        <is>
          <t>37042</t>
        </is>
      </c>
      <c r="C99" s="9" t="inlineStr">
        <is>
          <t>Non-Valid</t>
        </is>
      </c>
      <c r="D99" s="9" t="inlineStr">
        <is>
          <t>01:38:22</t>
        </is>
      </c>
      <c r="E99" s="9" t="inlineStr">
        <is>
          <t>01:38:22</t>
        </is>
      </c>
      <c r="F99" s="9" t="n">
        <v>0</v>
      </c>
      <c r="G99" s="9" t="n">
        <v>1</v>
      </c>
      <c r="H99" s="9" t="n">
        <v>2</v>
      </c>
      <c r="I99" s="9" t="inlineStr">
        <is>
          <t>TRIP</t>
        </is>
      </c>
      <c r="J99" s="16" t="n">
        <v>165.61</v>
      </c>
      <c r="K99" s="9" t="inlineStr">
        <is>
          <t>N</t>
        </is>
      </c>
      <c r="L99" s="9" t="inlineStr">
        <is>
          <t>Waria</t>
        </is>
      </c>
      <c r="M99" s="17" t="inlineStr">
        <is>
          <t>2 km/h</t>
        </is>
      </c>
      <c r="N99" s="17" t="inlineStr">
        <is>
          <t>n/a</t>
        </is>
      </c>
      <c r="O99" s="9" t="inlineStr">
        <is>
          <t>-</t>
        </is>
      </c>
      <c r="P99" s="18" t="inlineStr">
        <is>
          <t>Trip mode</t>
        </is>
      </c>
    </row>
    <row r="100">
      <c r="A100" s="9" t="inlineStr">
        <is>
          <t>20 Jun</t>
        </is>
      </c>
      <c r="B100" s="9" t="inlineStr">
        <is>
          <t>37042</t>
        </is>
      </c>
      <c r="C100" s="9" t="inlineStr">
        <is>
          <t>Non-Valid</t>
        </is>
      </c>
      <c r="D100" s="9" t="inlineStr">
        <is>
          <t>01:40:38</t>
        </is>
      </c>
      <c r="E100" s="9" t="inlineStr">
        <is>
          <t>01:40:38</t>
        </is>
      </c>
      <c r="F100" s="9" t="n">
        <v>0</v>
      </c>
      <c r="G100" s="9" t="n">
        <v>1</v>
      </c>
      <c r="H100" s="9" t="n">
        <v>1</v>
      </c>
      <c r="I100" s="9" t="inlineStr">
        <is>
          <t>POSTTRIP</t>
        </is>
      </c>
      <c r="J100" s="16" t="n">
        <v>165.61</v>
      </c>
      <c r="K100" s="9" t="inlineStr">
        <is>
          <t>N</t>
        </is>
      </c>
      <c r="L100" s="9" t="inlineStr">
        <is>
          <t>Waria</t>
        </is>
      </c>
      <c r="M100" s="17" t="inlineStr">
        <is>
          <t>1 km/h</t>
        </is>
      </c>
      <c r="N100" s="17" t="inlineStr">
        <is>
          <t>4840</t>
        </is>
      </c>
      <c r="O100" s="9" t="inlineStr">
        <is>
          <t>-</t>
        </is>
      </c>
      <c r="P100" s="18" t="inlineStr">
        <is>
          <t>EB at 0-1 km/h</t>
        </is>
      </c>
    </row>
    <row r="101">
      <c r="A101" s="9" t="inlineStr">
        <is>
          <t>20 Jun</t>
        </is>
      </c>
      <c r="B101" s="9" t="inlineStr">
        <is>
          <t>30639</t>
        </is>
      </c>
      <c r="C101" s="9" t="inlineStr">
        <is>
          <t>Non-Valid</t>
        </is>
      </c>
      <c r="D101" s="9" t="inlineStr">
        <is>
          <t>02:59:22</t>
        </is>
      </c>
      <c r="E101" s="9" t="inlineStr">
        <is>
          <t>02:59:22</t>
        </is>
      </c>
      <c r="F101" s="9" t="n">
        <v>0</v>
      </c>
      <c r="G101" s="9" t="n">
        <v>1</v>
      </c>
      <c r="H101" s="9" t="n">
        <v>123</v>
      </c>
      <c r="I101" s="9" t="inlineStr">
        <is>
          <t>FS</t>
        </is>
      </c>
      <c r="J101" s="16" t="n">
        <v>97.8</v>
      </c>
      <c r="K101" s="9" t="inlineStr">
        <is>
          <t>R</t>
        </is>
      </c>
      <c r="L101" s="9" t="inlineStr">
        <is>
          <t>Talit</t>
        </is>
      </c>
      <c r="M101" s="17" t="inlineStr">
        <is>
          <t>123 km/h</t>
        </is>
      </c>
      <c r="N101" s="17" t="inlineStr">
        <is>
          <t>4463</t>
        </is>
      </c>
      <c r="O101" s="9" t="inlineStr">
        <is>
          <t>-</t>
        </is>
      </c>
      <c r="P101" s="17" t="inlineStr">
        <is>
          <t>-</t>
        </is>
      </c>
    </row>
    <row r="102">
      <c r="A102" s="9" t="inlineStr">
        <is>
          <t>20 Jun</t>
        </is>
      </c>
      <c r="B102" s="9" t="inlineStr">
        <is>
          <t>39111</t>
        </is>
      </c>
      <c r="C102" s="9" t="inlineStr">
        <is>
          <t>Non-Valid</t>
        </is>
      </c>
      <c r="D102" s="9" t="inlineStr">
        <is>
          <t>03:21:16</t>
        </is>
      </c>
      <c r="E102" s="9" t="inlineStr">
        <is>
          <t>03:21:20</t>
        </is>
      </c>
      <c r="F102" s="9" t="n">
        <v>4</v>
      </c>
      <c r="G102" s="9" t="n">
        <v>3</v>
      </c>
      <c r="H102" s="9" t="n">
        <v>5</v>
      </c>
      <c r="I102" s="9" t="inlineStr">
        <is>
          <t>FS</t>
        </is>
      </c>
      <c r="J102" s="16" t="n">
        <v>0.06</v>
      </c>
      <c r="K102" s="9" t="inlineStr">
        <is>
          <t>R</t>
        </is>
      </c>
      <c r="L102" s="9" t="inlineStr">
        <is>
          <t>Howrah</t>
        </is>
      </c>
      <c r="M102" s="17" t="inlineStr">
        <is>
          <t>5 km/h</t>
        </is>
      </c>
      <c r="N102" s="17" t="inlineStr">
        <is>
          <t>384</t>
        </is>
      </c>
      <c r="O102" s="9" t="inlineStr">
        <is>
          <t>-</t>
        </is>
      </c>
      <c r="P102" s="17" t="inlineStr">
        <is>
          <t>-</t>
        </is>
      </c>
    </row>
    <row r="103">
      <c r="A103" s="9" t="inlineStr">
        <is>
          <t>20 Jun</t>
        </is>
      </c>
      <c r="B103" s="9" t="inlineStr">
        <is>
          <t>37719</t>
        </is>
      </c>
      <c r="C103" s="9" t="inlineStr">
        <is>
          <t>Non-Valid</t>
        </is>
      </c>
      <c r="D103" s="9" t="inlineStr">
        <is>
          <t>08:15:18</t>
        </is>
      </c>
      <c r="E103" s="9" t="inlineStr">
        <is>
          <t>08:15:22</t>
        </is>
      </c>
      <c r="F103" s="9" t="n">
        <v>4</v>
      </c>
      <c r="G103" s="9" t="n">
        <v>3</v>
      </c>
      <c r="H103" s="9" t="n">
        <v>4</v>
      </c>
      <c r="I103" s="9" t="inlineStr">
        <is>
          <t>FS</t>
        </is>
      </c>
      <c r="J103" s="16" t="n">
        <v>0.89</v>
      </c>
      <c r="K103" s="9" t="inlineStr">
        <is>
          <t>R</t>
        </is>
      </c>
      <c r="L103" s="9" t="inlineStr">
        <is>
          <t>Howrah</t>
        </is>
      </c>
      <c r="M103" s="17" t="inlineStr">
        <is>
          <t>4 km/h</t>
        </is>
      </c>
      <c r="N103" s="17" t="inlineStr">
        <is>
          <t>69</t>
        </is>
      </c>
      <c r="O103" s="9" t="inlineStr">
        <is>
          <t>-</t>
        </is>
      </c>
      <c r="P103" s="17" t="inlineStr">
        <is>
          <t>-</t>
        </is>
      </c>
    </row>
    <row r="104" ht="49" customHeight="1">
      <c r="A104" s="7" t="inlineStr">
        <is>
          <t>20 Jun</t>
        </is>
      </c>
      <c r="B104" s="7" t="inlineStr">
        <is>
          <t>30200</t>
        </is>
      </c>
      <c r="C104" s="7" t="inlineStr">
        <is>
          <t>Valid</t>
        </is>
      </c>
      <c r="D104" s="7" t="inlineStr">
        <is>
          <t>08:17:20</t>
        </is>
      </c>
      <c r="E104" s="7" t="inlineStr">
        <is>
          <t>08:17:20</t>
        </is>
      </c>
      <c r="F104" s="7" t="n">
        <v>0</v>
      </c>
      <c r="G104" s="7" t="n">
        <v>1</v>
      </c>
      <c r="H104" s="7" t="n">
        <v>100</v>
      </c>
      <c r="I104" s="7" t="inlineStr">
        <is>
          <t>FS</t>
        </is>
      </c>
      <c r="J104" s="19" t="n">
        <v>154.84</v>
      </c>
      <c r="K104" s="7" t="inlineStr">
        <is>
          <t>R</t>
        </is>
      </c>
      <c r="L104" s="7" t="inlineStr">
        <is>
          <t>LC-111</t>
        </is>
      </c>
      <c r="M104" s="20" t="inlineStr">
        <is>
          <t>100 km/h</t>
        </is>
      </c>
      <c r="N104" s="20" t="inlineStr">
        <is>
          <t>1559
MA dropped from 4955 to 1559.</t>
        </is>
      </c>
      <c r="O104" s="7" t="inlineStr">
        <is>
          <t>-</t>
        </is>
      </c>
      <c r="P104" s="18" t="inlineStr">
        <is>
          <t>Sudden MA drop</t>
        </is>
      </c>
    </row>
    <row r="105" ht="49" customHeight="1">
      <c r="A105" s="9" t="inlineStr">
        <is>
          <t>20 Jun</t>
        </is>
      </c>
      <c r="B105" s="9" t="inlineStr">
        <is>
          <t>37898</t>
        </is>
      </c>
      <c r="C105" s="9" t="inlineStr">
        <is>
          <t>Non-Valid</t>
        </is>
      </c>
      <c r="D105" s="9" t="inlineStr">
        <is>
          <t>11:25:36</t>
        </is>
      </c>
      <c r="E105" s="9" t="inlineStr">
        <is>
          <t>11:25:36</t>
        </is>
      </c>
      <c r="F105" s="9" t="n">
        <v>0</v>
      </c>
      <c r="G105" s="9" t="n">
        <v>1</v>
      </c>
      <c r="H105" s="9" t="n">
        <v>129</v>
      </c>
      <c r="I105" s="9" t="inlineStr">
        <is>
          <t>FS</t>
        </is>
      </c>
      <c r="J105" s="16" t="n">
        <v>114.48</v>
      </c>
      <c r="K105" s="9" t="inlineStr">
        <is>
          <t>R</t>
        </is>
      </c>
      <c r="L105" s="9" t="inlineStr">
        <is>
          <t>Khana Link</t>
        </is>
      </c>
      <c r="M105" s="17" t="inlineStr">
        <is>
          <t>129 km/h</t>
        </is>
      </c>
      <c r="N105" s="17" t="inlineStr">
        <is>
          <t>1001
MA dropped from 4309 to 1001.</t>
        </is>
      </c>
      <c r="O105" s="9" t="inlineStr">
        <is>
          <t>-</t>
        </is>
      </c>
      <c r="P105" s="18" t="inlineStr">
        <is>
          <t>Sudden MA drop</t>
        </is>
      </c>
    </row>
    <row r="106" ht="49" customHeight="1">
      <c r="A106" s="9" t="inlineStr">
        <is>
          <t>20 Jun</t>
        </is>
      </c>
      <c r="B106" s="9" t="inlineStr">
        <is>
          <t>30455</t>
        </is>
      </c>
      <c r="C106" s="9" t="inlineStr">
        <is>
          <t>Non-Valid</t>
        </is>
      </c>
      <c r="D106" s="9" t="inlineStr">
        <is>
          <t>11:48:28</t>
        </is>
      </c>
      <c r="E106" s="9" t="inlineStr">
        <is>
          <t>11:48:28</t>
        </is>
      </c>
      <c r="F106" s="9" t="n">
        <v>0</v>
      </c>
      <c r="G106" s="9" t="n">
        <v>1</v>
      </c>
      <c r="H106" s="9" t="n">
        <v>126</v>
      </c>
      <c r="I106" s="9" t="inlineStr">
        <is>
          <t>FS</t>
        </is>
      </c>
      <c r="J106" s="16" t="n">
        <v>114.57</v>
      </c>
      <c r="K106" s="9" t="inlineStr">
        <is>
          <t>R</t>
        </is>
      </c>
      <c r="L106" s="9" t="inlineStr">
        <is>
          <t>Khana Link</t>
        </is>
      </c>
      <c r="M106" s="17" t="inlineStr">
        <is>
          <t>126 km/h</t>
        </is>
      </c>
      <c r="N106" s="17" t="inlineStr">
        <is>
          <t>1001
MA dropped from 4569 to 1001.</t>
        </is>
      </c>
      <c r="O106" s="9" t="inlineStr">
        <is>
          <t>-</t>
        </is>
      </c>
      <c r="P106" s="18" t="inlineStr">
        <is>
          <t>Sudden MA drop</t>
        </is>
      </c>
    </row>
    <row r="107">
      <c r="A107" s="9" t="inlineStr">
        <is>
          <t>20 Jun</t>
        </is>
      </c>
      <c r="B107" s="9" t="inlineStr">
        <is>
          <t>30552</t>
        </is>
      </c>
      <c r="C107" s="9" t="inlineStr">
        <is>
          <t>Non-Valid</t>
        </is>
      </c>
      <c r="D107" s="9" t="inlineStr">
        <is>
          <t>13:16:30</t>
        </is>
      </c>
      <c r="E107" s="9" t="inlineStr">
        <is>
          <t>13:17:12</t>
        </is>
      </c>
      <c r="F107" s="9" t="n">
        <v>42</v>
      </c>
      <c r="G107" s="9" t="n">
        <v>22</v>
      </c>
      <c r="H107" s="9" t="n">
        <v>115</v>
      </c>
      <c r="I107" s="9" t="inlineStr">
        <is>
          <t>FS</t>
        </is>
      </c>
      <c r="J107" s="16" t="n">
        <v>86.15000000000001</v>
      </c>
      <c r="K107" s="9" t="inlineStr">
        <is>
          <t>N</t>
        </is>
      </c>
      <c r="L107" s="9" t="inlineStr">
        <is>
          <t>Gangpur</t>
        </is>
      </c>
      <c r="M107" s="17" t="inlineStr">
        <is>
          <t>115 km/h</t>
        </is>
      </c>
      <c r="N107" s="17" t="inlineStr">
        <is>
          <t>1015</t>
        </is>
      </c>
      <c r="O107" s="9" t="inlineStr">
        <is>
          <t>-</t>
        </is>
      </c>
      <c r="P107" s="17" t="inlineStr">
        <is>
          <t>-</t>
        </is>
      </c>
    </row>
    <row r="108">
      <c r="A108" s="9" t="inlineStr">
        <is>
          <t>20 Jun</t>
        </is>
      </c>
      <c r="B108" s="9" t="inlineStr">
        <is>
          <t>30552</t>
        </is>
      </c>
      <c r="C108" s="9" t="inlineStr">
        <is>
          <t>Non-Valid</t>
        </is>
      </c>
      <c r="D108" s="9" t="inlineStr">
        <is>
          <t>13:18:10</t>
        </is>
      </c>
      <c r="E108" s="9" t="inlineStr">
        <is>
          <t>13:18:10</t>
        </is>
      </c>
      <c r="F108" s="9" t="n">
        <v>0</v>
      </c>
      <c r="G108" s="9" t="n">
        <v>1</v>
      </c>
      <c r="H108" s="9" t="n">
        <v>1</v>
      </c>
      <c r="I108" s="9" t="inlineStr">
        <is>
          <t>POSTTRIP</t>
        </is>
      </c>
      <c r="J108" s="16" t="n">
        <v>86.90000000000001</v>
      </c>
      <c r="K108" s="9" t="inlineStr">
        <is>
          <t>N</t>
        </is>
      </c>
      <c r="L108" s="9" t="inlineStr">
        <is>
          <t>Gangpur</t>
        </is>
      </c>
      <c r="M108" s="17" t="inlineStr">
        <is>
          <t>1 km/h</t>
        </is>
      </c>
      <c r="N108" s="17" t="inlineStr">
        <is>
          <t>n/a</t>
        </is>
      </c>
      <c r="O108" s="9" t="inlineStr">
        <is>
          <t>-</t>
        </is>
      </c>
      <c r="P108" s="18" t="inlineStr">
        <is>
          <t>EB at 0-1 km/h</t>
        </is>
      </c>
    </row>
    <row r="109">
      <c r="A109" s="9" t="inlineStr">
        <is>
          <t>20 Jun</t>
        </is>
      </c>
      <c r="B109" s="9" t="inlineStr">
        <is>
          <t>30552</t>
        </is>
      </c>
      <c r="C109" s="9" t="inlineStr">
        <is>
          <t>Non-Valid</t>
        </is>
      </c>
      <c r="D109" s="9" t="inlineStr">
        <is>
          <t>13:19:12</t>
        </is>
      </c>
      <c r="E109" s="9" t="inlineStr">
        <is>
          <t>13:19:14</t>
        </is>
      </c>
      <c r="F109" s="9" t="n">
        <v>2</v>
      </c>
      <c r="G109" s="9" t="n">
        <v>2</v>
      </c>
      <c r="H109" s="9" t="n">
        <v>1</v>
      </c>
      <c r="I109" s="9" t="inlineStr">
        <is>
          <t>POSTTRIP</t>
        </is>
      </c>
      <c r="J109" s="16" t="n">
        <v>86.90000000000001</v>
      </c>
      <c r="K109" s="9" t="inlineStr">
        <is>
          <t>N</t>
        </is>
      </c>
      <c r="L109" s="9" t="inlineStr">
        <is>
          <t>Gangpur</t>
        </is>
      </c>
      <c r="M109" s="17" t="inlineStr">
        <is>
          <t>1 km/h</t>
        </is>
      </c>
      <c r="N109" s="17" t="inlineStr">
        <is>
          <t>0</t>
        </is>
      </c>
      <c r="O109" s="9" t="inlineStr">
        <is>
          <t>-</t>
        </is>
      </c>
      <c r="P109" s="18" t="inlineStr">
        <is>
          <t>EB at 0-1 km/h</t>
        </is>
      </c>
    </row>
    <row r="110">
      <c r="A110" s="9" t="inlineStr">
        <is>
          <t>20 Jun</t>
        </is>
      </c>
      <c r="B110" s="9" t="inlineStr">
        <is>
          <t>30490</t>
        </is>
      </c>
      <c r="C110" s="9" t="inlineStr">
        <is>
          <t>Non-Valid</t>
        </is>
      </c>
      <c r="D110" s="9" t="inlineStr">
        <is>
          <t>17:06:50</t>
        </is>
      </c>
      <c r="E110" s="9" t="inlineStr">
        <is>
          <t>17:06:52</t>
        </is>
      </c>
      <c r="F110" s="9" t="n">
        <v>2</v>
      </c>
      <c r="G110" s="9" t="n">
        <v>2</v>
      </c>
      <c r="H110" s="9" t="n">
        <v>1</v>
      </c>
      <c r="I110" s="9" t="inlineStr">
        <is>
          <t>OS</t>
        </is>
      </c>
      <c r="J110" s="16" t="n">
        <v>0.16</v>
      </c>
      <c r="K110" s="9" t="inlineStr">
        <is>
          <t>R</t>
        </is>
      </c>
      <c r="L110" s="9" t="inlineStr">
        <is>
          <t>Howrah</t>
        </is>
      </c>
      <c r="M110" s="17" t="inlineStr">
        <is>
          <t>1 km/h</t>
        </is>
      </c>
      <c r="N110" s="17" t="inlineStr">
        <is>
          <t>n/a</t>
        </is>
      </c>
      <c r="O110" s="9" t="inlineStr">
        <is>
          <t>-</t>
        </is>
      </c>
      <c r="P110" s="18" t="inlineStr">
        <is>
          <t>EB at 0-1 km/h</t>
        </is>
      </c>
    </row>
    <row r="111">
      <c r="A111" s="9" t="inlineStr">
        <is>
          <t>20 Jun</t>
        </is>
      </c>
      <c r="B111" s="9" t="inlineStr">
        <is>
          <t>30457</t>
        </is>
      </c>
      <c r="C111" s="9" t="inlineStr">
        <is>
          <t>Non-Valid</t>
        </is>
      </c>
      <c r="D111" s="9" t="inlineStr">
        <is>
          <t>21:09:12</t>
        </is>
      </c>
      <c r="E111" s="9" t="inlineStr">
        <is>
          <t>21:09:16</t>
        </is>
      </c>
      <c r="F111" s="9" t="n">
        <v>4</v>
      </c>
      <c r="G111" s="9" t="n">
        <v>3</v>
      </c>
      <c r="H111" s="9" t="n">
        <v>7</v>
      </c>
      <c r="I111" s="9" t="inlineStr">
        <is>
          <t>FS</t>
        </is>
      </c>
      <c r="J111" s="16" t="n">
        <v>57.85</v>
      </c>
      <c r="K111" s="9" t="inlineStr">
        <is>
          <t>N</t>
        </is>
      </c>
      <c r="L111" s="9" t="inlineStr">
        <is>
          <t>Gurap</t>
        </is>
      </c>
      <c r="M111" s="17" t="inlineStr">
        <is>
          <t>7 km/h</t>
        </is>
      </c>
      <c r="N111" s="17" t="inlineStr">
        <is>
          <t>150</t>
        </is>
      </c>
      <c r="O111" s="9" t="inlineStr">
        <is>
          <t>-</t>
        </is>
      </c>
      <c r="P111" s="17" t="inlineStr">
        <is>
          <t>-</t>
        </is>
      </c>
    </row>
    <row r="112">
      <c r="A112" s="9" t="inlineStr">
        <is>
          <t>20 Jun</t>
        </is>
      </c>
      <c r="B112" s="9" t="inlineStr">
        <is>
          <t>37358</t>
        </is>
      </c>
      <c r="C112" s="9" t="inlineStr">
        <is>
          <t>Non-Valid</t>
        </is>
      </c>
      <c r="D112" s="9" t="inlineStr">
        <is>
          <t>22:58:28</t>
        </is>
      </c>
      <c r="E112" s="9" t="inlineStr">
        <is>
          <t>22:58:28</t>
        </is>
      </c>
      <c r="F112" s="9" t="n">
        <v>0</v>
      </c>
      <c r="G112" s="9" t="n">
        <v>1</v>
      </c>
      <c r="H112" s="9" t="n">
        <v>1</v>
      </c>
      <c r="I112" s="9" t="inlineStr">
        <is>
          <t>FS</t>
        </is>
      </c>
      <c r="J112" s="16" t="n">
        <v>0.74</v>
      </c>
      <c r="K112" s="9" t="inlineStr">
        <is>
          <t>N</t>
        </is>
      </c>
      <c r="L112" s="9" t="inlineStr">
        <is>
          <t>Howrah</t>
        </is>
      </c>
      <c r="M112" s="17" t="inlineStr">
        <is>
          <t>1 km/h</t>
        </is>
      </c>
      <c r="N112" s="17" t="inlineStr">
        <is>
          <t>n/a</t>
        </is>
      </c>
      <c r="O112" s="9" t="inlineStr">
        <is>
          <t>-</t>
        </is>
      </c>
      <c r="P112" s="18" t="inlineStr">
        <is>
          <t>EB at 0-1 km/h</t>
        </is>
      </c>
    </row>
    <row r="113">
      <c r="A113" s="9" t="inlineStr">
        <is>
          <t>20 Jun</t>
        </is>
      </c>
      <c r="B113" s="9" t="inlineStr">
        <is>
          <t>37358</t>
        </is>
      </c>
      <c r="C113" s="9" t="inlineStr">
        <is>
          <t>Non-Valid</t>
        </is>
      </c>
      <c r="D113" s="9" t="inlineStr">
        <is>
          <t>22:58:40</t>
        </is>
      </c>
      <c r="E113" s="9" t="inlineStr">
        <is>
          <t>22:58:44</t>
        </is>
      </c>
      <c r="F113" s="9" t="n">
        <v>4</v>
      </c>
      <c r="G113" s="9" t="n">
        <v>2</v>
      </c>
      <c r="H113" s="9" t="n">
        <v>1</v>
      </c>
      <c r="I113" s="9" t="inlineStr">
        <is>
          <t>FS</t>
        </is>
      </c>
      <c r="J113" s="16" t="n">
        <v>0.74</v>
      </c>
      <c r="K113" s="9" t="inlineStr">
        <is>
          <t>N</t>
        </is>
      </c>
      <c r="L113" s="9" t="inlineStr">
        <is>
          <t>Howrah</t>
        </is>
      </c>
      <c r="M113" s="17" t="inlineStr">
        <is>
          <t>1 km/h</t>
        </is>
      </c>
      <c r="N113" s="17" t="inlineStr">
        <is>
          <t>n/a</t>
        </is>
      </c>
      <c r="O113" s="9" t="inlineStr">
        <is>
          <t>-</t>
        </is>
      </c>
      <c r="P113" s="18" t="inlineStr">
        <is>
          <t>EB at 0-1 km/h</t>
        </is>
      </c>
    </row>
    <row r="114">
      <c r="A114" s="9" t="inlineStr">
        <is>
          <t>20 Jun</t>
        </is>
      </c>
      <c r="B114" s="9" t="inlineStr">
        <is>
          <t>37358</t>
        </is>
      </c>
      <c r="C114" s="9" t="inlineStr">
        <is>
          <t>Non-Valid</t>
        </is>
      </c>
      <c r="D114" s="9" t="inlineStr">
        <is>
          <t>22:59:00</t>
        </is>
      </c>
      <c r="E114" s="9" t="inlineStr">
        <is>
          <t>22:59:00</t>
        </is>
      </c>
      <c r="F114" s="9" t="n">
        <v>0</v>
      </c>
      <c r="G114" s="9" t="n">
        <v>1</v>
      </c>
      <c r="H114" s="9" t="n">
        <v>3</v>
      </c>
      <c r="I114" s="9" t="inlineStr">
        <is>
          <t>TRIP</t>
        </is>
      </c>
      <c r="J114" s="16" t="n">
        <v>0.75</v>
      </c>
      <c r="K114" s="9" t="inlineStr">
        <is>
          <t>N</t>
        </is>
      </c>
      <c r="L114" s="9" t="inlineStr">
        <is>
          <t>Howrah</t>
        </is>
      </c>
      <c r="M114" s="17" t="inlineStr">
        <is>
          <t>3 km/h</t>
        </is>
      </c>
      <c r="N114" s="17" t="inlineStr">
        <is>
          <t>n/a</t>
        </is>
      </c>
      <c r="O114" s="9" t="inlineStr">
        <is>
          <t>-</t>
        </is>
      </c>
      <c r="P114" s="18" t="inlineStr">
        <is>
          <t>Trip mode</t>
        </is>
      </c>
    </row>
    <row r="115">
      <c r="A115" s="9" t="inlineStr">
        <is>
          <t>20 Jun</t>
        </is>
      </c>
      <c r="B115" s="9" t="inlineStr">
        <is>
          <t>30487</t>
        </is>
      </c>
      <c r="C115" s="9" t="inlineStr">
        <is>
          <t>Non-Valid</t>
        </is>
      </c>
      <c r="D115" s="9" t="inlineStr">
        <is>
          <t>23:31:38</t>
        </is>
      </c>
      <c r="E115" s="9" t="inlineStr">
        <is>
          <t>23:31:40</t>
        </is>
      </c>
      <c r="F115" s="9" t="n">
        <v>2</v>
      </c>
      <c r="G115" s="9" t="n">
        <v>2</v>
      </c>
      <c r="H115" s="9" t="n">
        <v>4</v>
      </c>
      <c r="I115" s="9" t="inlineStr">
        <is>
          <t>FS</t>
        </is>
      </c>
      <c r="J115" s="16" t="n">
        <v>0.73</v>
      </c>
      <c r="K115" s="9" t="inlineStr">
        <is>
          <t>N</t>
        </is>
      </c>
      <c r="L115" s="9" t="inlineStr">
        <is>
          <t>Howrah</t>
        </is>
      </c>
      <c r="M115" s="17" t="inlineStr">
        <is>
          <t>4 km/h</t>
        </is>
      </c>
      <c r="N115" s="17" t="inlineStr">
        <is>
          <t>n/a</t>
        </is>
      </c>
      <c r="O115" s="9" t="inlineStr">
        <is>
          <t>-</t>
        </is>
      </c>
      <c r="P115" s="17" t="inlineStr">
        <is>
          <t>-</t>
        </is>
      </c>
    </row>
    <row r="116">
      <c r="A116" s="9" t="inlineStr">
        <is>
          <t>20 Jun</t>
        </is>
      </c>
      <c r="B116" s="9" t="inlineStr">
        <is>
          <t>30487</t>
        </is>
      </c>
      <c r="C116" s="9" t="inlineStr">
        <is>
          <t>Non-Valid</t>
        </is>
      </c>
      <c r="D116" s="9" t="inlineStr">
        <is>
          <t>23:31:56</t>
        </is>
      </c>
      <c r="E116" s="9" t="inlineStr">
        <is>
          <t>23:31:56</t>
        </is>
      </c>
      <c r="F116" s="9" t="n">
        <v>0</v>
      </c>
      <c r="G116" s="9" t="n">
        <v>1</v>
      </c>
      <c r="H116" s="9" t="n">
        <v>2</v>
      </c>
      <c r="I116" s="9" t="inlineStr">
        <is>
          <t>FS</t>
        </is>
      </c>
      <c r="J116" s="16" t="n">
        <v>0.73</v>
      </c>
      <c r="K116" s="9" t="inlineStr">
        <is>
          <t>N</t>
        </is>
      </c>
      <c r="L116" s="9" t="inlineStr">
        <is>
          <t>Howrah</t>
        </is>
      </c>
      <c r="M116" s="17" t="inlineStr">
        <is>
          <t>2 km/h</t>
        </is>
      </c>
      <c r="N116" s="17" t="inlineStr">
        <is>
          <t>n/a</t>
        </is>
      </c>
      <c r="O116" s="9" t="inlineStr">
        <is>
          <t>-</t>
        </is>
      </c>
      <c r="P116" s="17" t="inlineStr">
        <is>
          <t>-</t>
        </is>
      </c>
    </row>
    <row r="117" ht="25" customHeight="1">
      <c r="A117" s="9" t="inlineStr">
        <is>
          <t>21 Jun</t>
        </is>
      </c>
      <c r="B117" s="9" t="inlineStr">
        <is>
          <t>37401</t>
        </is>
      </c>
      <c r="C117" s="9" t="inlineStr">
        <is>
          <t>Non-Valid</t>
        </is>
      </c>
      <c r="D117" s="9" t="inlineStr">
        <is>
          <t>00:40:22</t>
        </is>
      </c>
      <c r="E117" s="9" t="inlineStr">
        <is>
          <t>00:40:30</t>
        </is>
      </c>
      <c r="F117" s="9" t="n">
        <v>8</v>
      </c>
      <c r="G117" s="9" t="n">
        <v>5</v>
      </c>
      <c r="H117" s="9" t="n">
        <v>24</v>
      </c>
      <c r="I117" s="9" t="inlineStr">
        <is>
          <t>TRIP</t>
        </is>
      </c>
      <c r="J117" s="16" t="n">
        <v>94.86</v>
      </c>
      <c r="K117" s="9" t="inlineStr">
        <is>
          <t>N</t>
        </is>
      </c>
      <c r="L117" s="9" t="inlineStr">
        <is>
          <t>Barddhaman Jn</t>
        </is>
      </c>
      <c r="M117" s="17" t="inlineStr">
        <is>
          <t>24 km/h</t>
        </is>
      </c>
      <c r="N117" s="17" t="inlineStr">
        <is>
          <t>2456</t>
        </is>
      </c>
      <c r="O117" s="9" t="inlineStr">
        <is>
          <t>-</t>
        </is>
      </c>
      <c r="P117" s="18" t="inlineStr">
        <is>
          <t>Trip mode</t>
        </is>
      </c>
    </row>
    <row r="118">
      <c r="A118" s="9" t="inlineStr">
        <is>
          <t>21 Jun</t>
        </is>
      </c>
      <c r="B118" s="9" t="inlineStr">
        <is>
          <t>30200</t>
        </is>
      </c>
      <c r="C118" s="9" t="inlineStr">
        <is>
          <t>Non-Valid</t>
        </is>
      </c>
      <c r="D118" s="9" t="inlineStr">
        <is>
          <t>09:40:48</t>
        </is>
      </c>
      <c r="E118" s="9" t="inlineStr">
        <is>
          <t>09:40:48</t>
        </is>
      </c>
      <c r="F118" s="9" t="n">
        <v>0</v>
      </c>
      <c r="G118" s="9" t="n">
        <v>1</v>
      </c>
      <c r="H118" s="9" t="n">
        <v>73</v>
      </c>
      <c r="I118" s="9" t="inlineStr">
        <is>
          <t>StandBy</t>
        </is>
      </c>
      <c r="J118" s="16" t="n">
        <v>61.41</v>
      </c>
      <c r="K118" s="9" t="inlineStr">
        <is>
          <t>R</t>
        </is>
      </c>
      <c r="L118" s="9" t="inlineStr">
        <is>
          <t>Jaugram</t>
        </is>
      </c>
      <c r="M118" s="17" t="inlineStr">
        <is>
          <t>73 km/h</t>
        </is>
      </c>
      <c r="N118" s="17" t="inlineStr">
        <is>
          <t>n/a</t>
        </is>
      </c>
      <c r="O118" s="9" t="inlineStr">
        <is>
          <t>-</t>
        </is>
      </c>
      <c r="P118" s="17" t="inlineStr">
        <is>
          <t>StandBy Mode</t>
        </is>
      </c>
    </row>
    <row r="119" ht="49" customHeight="1">
      <c r="A119" s="9" t="inlineStr">
        <is>
          <t>21 Jun</t>
        </is>
      </c>
      <c r="B119" s="9" t="inlineStr">
        <is>
          <t>30200</t>
        </is>
      </c>
      <c r="C119" s="9" t="inlineStr">
        <is>
          <t>Non-Valid</t>
        </is>
      </c>
      <c r="D119" s="9" t="inlineStr">
        <is>
          <t>09:40:52</t>
        </is>
      </c>
      <c r="E119" s="9" t="inlineStr">
        <is>
          <t>09:41:08</t>
        </is>
      </c>
      <c r="F119" s="9" t="n">
        <v>16</v>
      </c>
      <c r="G119" s="9" t="n">
        <v>8</v>
      </c>
      <c r="H119" s="9" t="n">
        <v>73</v>
      </c>
      <c r="I119" s="9" t="inlineStr">
        <is>
          <t>StandBy</t>
        </is>
      </c>
      <c r="J119" s="16" t="n">
        <v>61.35</v>
      </c>
      <c r="K119" s="9" t="inlineStr">
        <is>
          <t>R</t>
        </is>
      </c>
      <c r="L119" s="9" t="inlineStr">
        <is>
          <t>Jaugram</t>
        </is>
      </c>
      <c r="M119" s="17" t="inlineStr">
        <is>
          <t>73 km/h
There was an abnormal speed fluctuation of 73 kmph (from 0 to 73 km/h). Possible suspect: PG issue.</t>
        </is>
      </c>
      <c r="N119" s="17" t="inlineStr">
        <is>
          <t>6366</t>
        </is>
      </c>
      <c r="O119" s="9" t="inlineStr">
        <is>
          <t>-</t>
        </is>
      </c>
      <c r="P119" s="18" t="inlineStr">
        <is>
          <t>PG issue (speed fluctuation); StandBy Mode</t>
        </is>
      </c>
    </row>
    <row r="120">
      <c r="A120" s="9" t="inlineStr">
        <is>
          <t>21 Jun</t>
        </is>
      </c>
      <c r="B120" s="9" t="inlineStr">
        <is>
          <t>30200</t>
        </is>
      </c>
      <c r="C120" s="9" t="inlineStr">
        <is>
          <t>Non-Valid</t>
        </is>
      </c>
      <c r="D120" s="9" t="inlineStr">
        <is>
          <t>18:09:14</t>
        </is>
      </c>
      <c r="E120" s="9" t="inlineStr">
        <is>
          <t>18:09:14</t>
        </is>
      </c>
      <c r="F120" s="9" t="n">
        <v>0</v>
      </c>
      <c r="G120" s="9" t="n">
        <v>1</v>
      </c>
      <c r="H120" s="9" t="n">
        <v>2</v>
      </c>
      <c r="I120" s="9" t="inlineStr">
        <is>
          <t>FS</t>
        </is>
      </c>
      <c r="J120" s="16" t="n">
        <v>0.74</v>
      </c>
      <c r="K120" s="9" t="inlineStr">
        <is>
          <t>N</t>
        </is>
      </c>
      <c r="L120" s="9" t="inlineStr">
        <is>
          <t>Howrah</t>
        </is>
      </c>
      <c r="M120" s="17" t="inlineStr">
        <is>
          <t>2 km/h</t>
        </is>
      </c>
      <c r="N120" s="17" t="inlineStr">
        <is>
          <t>n/a</t>
        </is>
      </c>
      <c r="O120" s="9" t="inlineStr">
        <is>
          <t>-</t>
        </is>
      </c>
      <c r="P120" s="17" t="inlineStr">
        <is>
          <t>-</t>
        </is>
      </c>
    </row>
    <row r="121">
      <c r="A121" s="9" t="inlineStr">
        <is>
          <t>21 Jun</t>
        </is>
      </c>
      <c r="B121" s="9" t="inlineStr">
        <is>
          <t>30200</t>
        </is>
      </c>
      <c r="C121" s="9" t="inlineStr">
        <is>
          <t>Non-Valid</t>
        </is>
      </c>
      <c r="D121" s="9" t="inlineStr">
        <is>
          <t>18:09:34</t>
        </is>
      </c>
      <c r="E121" s="9" t="inlineStr">
        <is>
          <t>18:09:34</t>
        </is>
      </c>
      <c r="F121" s="9" t="n">
        <v>0</v>
      </c>
      <c r="G121" s="9" t="n">
        <v>1</v>
      </c>
      <c r="H121" s="9" t="n">
        <v>1</v>
      </c>
      <c r="I121" s="9" t="inlineStr">
        <is>
          <t>FS</t>
        </is>
      </c>
      <c r="J121" s="16" t="n">
        <v>0.74</v>
      </c>
      <c r="K121" s="9" t="inlineStr">
        <is>
          <t>N</t>
        </is>
      </c>
      <c r="L121" s="9" t="inlineStr">
        <is>
          <t>Howrah</t>
        </is>
      </c>
      <c r="M121" s="17" t="inlineStr">
        <is>
          <t>1 km/h</t>
        </is>
      </c>
      <c r="N121" s="17" t="inlineStr">
        <is>
          <t>n/a</t>
        </is>
      </c>
      <c r="O121" s="9" t="inlineStr">
        <is>
          <t>-</t>
        </is>
      </c>
      <c r="P121" s="18" t="inlineStr">
        <is>
          <t>EB at 0-1 km/h</t>
        </is>
      </c>
    </row>
    <row r="122">
      <c r="A122" s="9" t="inlineStr">
        <is>
          <t>21 Jun</t>
        </is>
      </c>
      <c r="B122" s="9" t="inlineStr">
        <is>
          <t>37405</t>
        </is>
      </c>
      <c r="C122" s="9" t="inlineStr">
        <is>
          <t>Non-Valid</t>
        </is>
      </c>
      <c r="D122" s="9" t="inlineStr">
        <is>
          <t>23:48:34</t>
        </is>
      </c>
      <c r="E122" s="9" t="inlineStr">
        <is>
          <t>23:48:34</t>
        </is>
      </c>
      <c r="F122" s="9" t="n">
        <v>0</v>
      </c>
      <c r="G122" s="9" t="n">
        <v>1</v>
      </c>
      <c r="H122" s="9" t="n">
        <v>3</v>
      </c>
      <c r="I122" s="9" t="inlineStr">
        <is>
          <t>FS</t>
        </is>
      </c>
      <c r="J122" s="16" t="n">
        <v>0.45</v>
      </c>
      <c r="K122" s="9" t="inlineStr">
        <is>
          <t>R</t>
        </is>
      </c>
      <c r="L122" s="9" t="inlineStr">
        <is>
          <t>Howrah</t>
        </is>
      </c>
      <c r="M122" s="17" t="inlineStr">
        <is>
          <t>3 km/h</t>
        </is>
      </c>
      <c r="N122" s="17" t="inlineStr">
        <is>
          <t>n/a</t>
        </is>
      </c>
      <c r="O122" s="9" t="inlineStr">
        <is>
          <t>-</t>
        </is>
      </c>
      <c r="P122" s="17" t="inlineStr">
        <is>
          <t>-</t>
        </is>
      </c>
    </row>
    <row r="123">
      <c r="A123" s="9" t="inlineStr">
        <is>
          <t>21 Jun</t>
        </is>
      </c>
      <c r="B123" s="9" t="inlineStr">
        <is>
          <t>37405</t>
        </is>
      </c>
      <c r="C123" s="9" t="inlineStr">
        <is>
          <t>Non-Valid</t>
        </is>
      </c>
      <c r="D123" s="9" t="inlineStr">
        <is>
          <t>23:48:52</t>
        </is>
      </c>
      <c r="E123" s="9" t="inlineStr">
        <is>
          <t>23:48:54</t>
        </is>
      </c>
      <c r="F123" s="9" t="n">
        <v>2</v>
      </c>
      <c r="G123" s="9" t="n">
        <v>2</v>
      </c>
      <c r="H123" s="9" t="n">
        <v>2</v>
      </c>
      <c r="I123" s="9" t="inlineStr">
        <is>
          <t>FS</t>
        </is>
      </c>
      <c r="J123" s="16" t="n">
        <v>0.44</v>
      </c>
      <c r="K123" s="9" t="inlineStr">
        <is>
          <t>R</t>
        </is>
      </c>
      <c r="L123" s="9" t="inlineStr">
        <is>
          <t>Howrah</t>
        </is>
      </c>
      <c r="M123" s="17" t="inlineStr">
        <is>
          <t>2 km/h</t>
        </is>
      </c>
      <c r="N123" s="17" t="inlineStr">
        <is>
          <t>n/a</t>
        </is>
      </c>
      <c r="O123" s="9" t="inlineStr">
        <is>
          <t>-</t>
        </is>
      </c>
      <c r="P123" s="17" t="inlineStr">
        <is>
          <t>-</t>
        </is>
      </c>
    </row>
    <row r="124">
      <c r="A124" s="9" t="inlineStr">
        <is>
          <t>21 Jun</t>
        </is>
      </c>
      <c r="B124" s="9" t="inlineStr">
        <is>
          <t>37405</t>
        </is>
      </c>
      <c r="C124" s="9" t="inlineStr">
        <is>
          <t>Non-Valid</t>
        </is>
      </c>
      <c r="D124" s="9" t="inlineStr">
        <is>
          <t>23:49:12</t>
        </is>
      </c>
      <c r="E124" s="9" t="inlineStr">
        <is>
          <t>23:49:12</t>
        </is>
      </c>
      <c r="F124" s="9" t="n">
        <v>0</v>
      </c>
      <c r="G124" s="9" t="n">
        <v>1</v>
      </c>
      <c r="H124" s="9" t="n">
        <v>3</v>
      </c>
      <c r="I124" s="9" t="inlineStr">
        <is>
          <t>FS</t>
        </is>
      </c>
      <c r="J124" s="16" t="n">
        <v>0.44</v>
      </c>
      <c r="K124" s="9" t="inlineStr">
        <is>
          <t>R</t>
        </is>
      </c>
      <c r="L124" s="9" t="inlineStr">
        <is>
          <t>Howrah</t>
        </is>
      </c>
      <c r="M124" s="17" t="inlineStr">
        <is>
          <t>3 km/h</t>
        </is>
      </c>
      <c r="N124" s="17" t="inlineStr">
        <is>
          <t>n/a</t>
        </is>
      </c>
      <c r="O124" s="9" t="inlineStr">
        <is>
          <t>-</t>
        </is>
      </c>
      <c r="P124" s="17" t="inlineStr">
        <is>
          <t>-</t>
        </is>
      </c>
    </row>
  </sheetData>
  <mergeCells count="2"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8"/>
  <sheetViews>
    <sheetView showGridLines="0" workbookViewId="0">
      <pane ySplit="4" topLeftCell="A5" activePane="bottomLeft" state="frozen"/>
      <selection activeCell="A1" sqref="A1"/>
      <selection pane="bottomLeft" activeCell="A1" sqref="A1:M1"/>
    </sheetView>
  </sheetViews>
  <sheetFormatPr baseColWidth="8" defaultColWidth="9" defaultRowHeight="14.5"/>
  <cols>
    <col width="8" customWidth="1" min="1" max="1"/>
    <col width="9" customWidth="1" min="2" max="2"/>
    <col width="10" customWidth="1" min="3" max="3"/>
    <col width="13" customWidth="1" min="4" max="5"/>
    <col width="12" customWidth="1" min="6" max="7"/>
    <col width="13" customWidth="1" min="8" max="9"/>
    <col width="19" customWidth="1" min="10" max="10"/>
    <col width="10" customWidth="1" min="11" max="11"/>
    <col width="15" customWidth="1" min="12" max="12"/>
    <col width="60" customWidth="1" min="13" max="13"/>
  </cols>
  <sheetData>
    <row r="1" ht="16.5" customHeight="1">
      <c r="A1" s="4" t="inlineStr">
        <is>
          <t>KM Verification  -  KM = (In-section Max Abs  -  In-section Min Abs) / 1000</t>
        </is>
      </c>
    </row>
    <row r="2">
      <c r="A2" s="5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4" ht="34" customHeight="1">
      <c r="A4" s="6" t="inlineStr">
        <is>
          <t>Date</t>
        </is>
      </c>
      <c r="B4" s="6" t="inlineStr">
        <is>
          <t>Loco ID</t>
        </is>
      </c>
      <c r="C4" s="6" t="inlineStr">
        <is>
          <t>Total pkts</t>
        </is>
      </c>
      <c r="D4" s="6" t="inlineStr">
        <is>
          <t>Valid-abs pkts</t>
        </is>
      </c>
      <c r="E4" s="6" t="inlineStr">
        <is>
          <t>In-section pkts</t>
        </is>
      </c>
      <c r="F4" s="6" t="inlineStr">
        <is>
          <t>Raw Min Abs</t>
        </is>
      </c>
      <c r="G4" s="6" t="inlineStr">
        <is>
          <t>Raw Max Abs</t>
        </is>
      </c>
      <c r="H4" s="6" t="inlineStr">
        <is>
          <t>In-sec Min Abs</t>
        </is>
      </c>
      <c r="I4" s="6" t="inlineStr">
        <is>
          <t>In-sec Max Abs</t>
        </is>
      </c>
      <c r="J4" s="6" t="inlineStr">
        <is>
          <t>KM = (Max-Min)/1000</t>
        </is>
      </c>
      <c r="K4" s="6" t="inlineStr">
        <is>
          <t>In Report?</t>
        </is>
      </c>
      <c r="L4" s="6" t="inlineStr">
        <is>
          <t>Stations Passed (of 60)</t>
        </is>
      </c>
      <c r="M4" s="6" t="inlineStr">
        <is>
          <t>Stations Not Passed (if &lt; full trip)</t>
        </is>
      </c>
    </row>
    <row r="5">
      <c r="A5" s="7" t="inlineStr">
        <is>
          <t>15 Jun</t>
        </is>
      </c>
      <c r="B5" s="7" t="inlineStr">
        <is>
          <t>35001</t>
        </is>
      </c>
      <c r="C5" s="7" t="n">
        <v>24765</v>
      </c>
      <c r="D5" s="7" t="n">
        <v>24736</v>
      </c>
      <c r="E5" s="7" t="n">
        <v>24483</v>
      </c>
      <c r="F5" s="8" t="n">
        <v>50</v>
      </c>
      <c r="G5" s="8" t="n">
        <v>246089</v>
      </c>
      <c r="H5" s="8" t="n">
        <v>342</v>
      </c>
      <c r="I5" s="8" t="n">
        <v>244373</v>
      </c>
      <c r="J5" s="11">
        <f>(I5-H5)/1000</f>
        <v/>
      </c>
      <c r="K5" s="7" t="inlineStr">
        <is>
          <t>Yes</t>
        </is>
      </c>
      <c r="L5" s="7" t="n">
        <v>60</v>
      </c>
      <c r="M5" s="12" t="inlineStr">
        <is>
          <t>- (full trip)</t>
        </is>
      </c>
    </row>
    <row r="6">
      <c r="A6" s="7" t="inlineStr">
        <is>
          <t>15 Jun</t>
        </is>
      </c>
      <c r="B6" s="7" t="inlineStr">
        <is>
          <t>37024</t>
        </is>
      </c>
      <c r="C6" s="7" t="n">
        <v>8974</v>
      </c>
      <c r="D6" s="7" t="n">
        <v>8947</v>
      </c>
      <c r="E6" s="7" t="n">
        <v>8938</v>
      </c>
      <c r="F6" s="8" t="n">
        <v>350</v>
      </c>
      <c r="G6" s="8" t="n">
        <v>244627</v>
      </c>
      <c r="H6" s="8" t="n">
        <v>350</v>
      </c>
      <c r="I6" s="8" t="n">
        <v>244368</v>
      </c>
      <c r="J6" s="11">
        <f>(I6-H6)/1000</f>
        <v/>
      </c>
      <c r="K6" s="7" t="inlineStr">
        <is>
          <t>Yes</t>
        </is>
      </c>
      <c r="L6" s="7" t="n">
        <v>60</v>
      </c>
      <c r="M6" s="12" t="inlineStr">
        <is>
          <t>- (full trip)</t>
        </is>
      </c>
    </row>
    <row r="7">
      <c r="A7" s="7" t="inlineStr">
        <is>
          <t>15 Jun</t>
        </is>
      </c>
      <c r="B7" s="7" t="inlineStr">
        <is>
          <t>37034</t>
        </is>
      </c>
      <c r="C7" s="7" t="n">
        <v>12860</v>
      </c>
      <c r="D7" s="7" t="n">
        <v>12837</v>
      </c>
      <c r="E7" s="7" t="n">
        <v>12493</v>
      </c>
      <c r="F7" s="8" t="n">
        <v>21</v>
      </c>
      <c r="G7" s="8" t="n">
        <v>246089</v>
      </c>
      <c r="H7" s="8" t="n">
        <v>343</v>
      </c>
      <c r="I7" s="8" t="n">
        <v>244367</v>
      </c>
      <c r="J7" s="11">
        <f>(I7-H7)/1000</f>
        <v/>
      </c>
      <c r="K7" s="7" t="inlineStr">
        <is>
          <t>Yes</t>
        </is>
      </c>
      <c r="L7" s="7" t="n">
        <v>60</v>
      </c>
      <c r="M7" s="12" t="inlineStr">
        <is>
          <t>- (full trip)</t>
        </is>
      </c>
    </row>
    <row r="8">
      <c r="A8" s="7" t="inlineStr">
        <is>
          <t>15 Jun</t>
        </is>
      </c>
      <c r="B8" s="7" t="inlineStr">
        <is>
          <t>37778</t>
        </is>
      </c>
      <c r="C8" s="7" t="n">
        <v>8224</v>
      </c>
      <c r="D8" s="7" t="n">
        <v>8210</v>
      </c>
      <c r="E8" s="7" t="n">
        <v>8210</v>
      </c>
      <c r="F8" s="8" t="n">
        <v>350</v>
      </c>
      <c r="G8" s="8" t="n">
        <v>244340</v>
      </c>
      <c r="H8" s="8" t="n">
        <v>350</v>
      </c>
      <c r="I8" s="8" t="n">
        <v>244340</v>
      </c>
      <c r="J8" s="11">
        <f>(I8-H8)/1000</f>
        <v/>
      </c>
      <c r="K8" s="7" t="inlineStr">
        <is>
          <t>Yes</t>
        </is>
      </c>
      <c r="L8" s="7" t="n">
        <v>60</v>
      </c>
      <c r="M8" s="12" t="inlineStr">
        <is>
          <t>- (full trip)</t>
        </is>
      </c>
    </row>
    <row r="9">
      <c r="A9" s="7" t="inlineStr">
        <is>
          <t>15 Jun</t>
        </is>
      </c>
      <c r="B9" s="7" t="inlineStr">
        <is>
          <t>39409</t>
        </is>
      </c>
      <c r="C9" s="7" t="n">
        <v>8299</v>
      </c>
      <c r="D9" s="7" t="n">
        <v>8273</v>
      </c>
      <c r="E9" s="7" t="n">
        <v>8265</v>
      </c>
      <c r="F9" s="8" t="n">
        <v>688</v>
      </c>
      <c r="G9" s="8" t="n">
        <v>244619</v>
      </c>
      <c r="H9" s="8" t="n">
        <v>688</v>
      </c>
      <c r="I9" s="8" t="n">
        <v>244375</v>
      </c>
      <c r="J9" s="11">
        <f>(I9-H9)/1000</f>
        <v/>
      </c>
      <c r="K9" s="7" t="inlineStr">
        <is>
          <t>Yes</t>
        </is>
      </c>
      <c r="L9" s="7" t="n">
        <v>60</v>
      </c>
      <c r="M9" s="12" t="inlineStr">
        <is>
          <t>- (full trip)</t>
        </is>
      </c>
    </row>
    <row r="10">
      <c r="A10" s="7" t="inlineStr">
        <is>
          <t>15 Jun</t>
        </is>
      </c>
      <c r="B10" s="7" t="inlineStr">
        <is>
          <t>30371</t>
        </is>
      </c>
      <c r="C10" s="7" t="n">
        <v>11471</v>
      </c>
      <c r="D10" s="7" t="n">
        <v>11434</v>
      </c>
      <c r="E10" s="7" t="n">
        <v>11428</v>
      </c>
      <c r="F10" s="8" t="n">
        <v>12113</v>
      </c>
      <c r="G10" s="8" t="n">
        <v>244552</v>
      </c>
      <c r="H10" s="8" t="n">
        <v>12113</v>
      </c>
      <c r="I10" s="8" t="n">
        <v>244369</v>
      </c>
      <c r="J10" s="11">
        <f>(I10-H10)/1000</f>
        <v/>
      </c>
      <c r="K10" s="7" t="inlineStr">
        <is>
          <t>Yes</t>
        </is>
      </c>
      <c r="L10" s="7" t="n">
        <v>55</v>
      </c>
      <c r="M10" s="12" t="inlineStr">
        <is>
          <t>Howrah, Howrah Sorting Yard, Liluah, Belur, Bally</t>
        </is>
      </c>
    </row>
    <row r="11">
      <c r="A11" s="7" t="inlineStr">
        <is>
          <t>15 Jun</t>
        </is>
      </c>
      <c r="B11" s="7" t="inlineStr">
        <is>
          <t>30487</t>
        </is>
      </c>
      <c r="C11" s="7" t="n">
        <v>10671</v>
      </c>
      <c r="D11" s="7" t="n">
        <v>10648</v>
      </c>
      <c r="E11" s="7" t="n">
        <v>10588</v>
      </c>
      <c r="F11" s="8" t="n">
        <v>12115</v>
      </c>
      <c r="G11" s="8" t="n">
        <v>246089</v>
      </c>
      <c r="H11" s="8" t="n">
        <v>12115</v>
      </c>
      <c r="I11" s="8" t="n">
        <v>244369</v>
      </c>
      <c r="J11" s="11">
        <f>(I11-H11)/1000</f>
        <v/>
      </c>
      <c r="K11" s="7" t="inlineStr">
        <is>
          <t>Yes</t>
        </is>
      </c>
      <c r="L11" s="7" t="n">
        <v>55</v>
      </c>
      <c r="M11" s="12" t="inlineStr">
        <is>
          <t>Howrah, Howrah Sorting Yard, Liluah, Belur, Bally</t>
        </is>
      </c>
    </row>
    <row r="12">
      <c r="A12" s="7" t="inlineStr">
        <is>
          <t>15 Jun</t>
        </is>
      </c>
      <c r="B12" s="7" t="inlineStr">
        <is>
          <t>30742</t>
        </is>
      </c>
      <c r="C12" s="7" t="n">
        <v>9231</v>
      </c>
      <c r="D12" s="7" t="n">
        <v>9226</v>
      </c>
      <c r="E12" s="7" t="n">
        <v>9217</v>
      </c>
      <c r="F12" s="8" t="n">
        <v>12113</v>
      </c>
      <c r="G12" s="8" t="n">
        <v>244605</v>
      </c>
      <c r="H12" s="8" t="n">
        <v>12113</v>
      </c>
      <c r="I12" s="8" t="n">
        <v>244359</v>
      </c>
      <c r="J12" s="11">
        <f>(I12-H12)/1000</f>
        <v/>
      </c>
      <c r="K12" s="7" t="inlineStr">
        <is>
          <t>Yes</t>
        </is>
      </c>
      <c r="L12" s="7" t="n">
        <v>55</v>
      </c>
      <c r="M12" s="12" t="inlineStr">
        <is>
          <t>Howrah, Howrah Sorting Yard, Liluah, Belur, Bally</t>
        </is>
      </c>
    </row>
    <row r="13">
      <c r="A13" s="7" t="inlineStr">
        <is>
          <t>15 Jun</t>
        </is>
      </c>
      <c r="B13" s="7" t="inlineStr">
        <is>
          <t>37720</t>
        </is>
      </c>
      <c r="C13" s="7" t="n">
        <v>11217</v>
      </c>
      <c r="D13" s="7" t="n">
        <v>11194</v>
      </c>
      <c r="E13" s="7" t="n">
        <v>11185</v>
      </c>
      <c r="F13" s="8" t="n">
        <v>12159</v>
      </c>
      <c r="G13" s="8" t="n">
        <v>244616</v>
      </c>
      <c r="H13" s="8" t="n">
        <v>12159</v>
      </c>
      <c r="I13" s="8" t="n">
        <v>244363</v>
      </c>
      <c r="J13" s="11">
        <f>(I13-H13)/1000</f>
        <v/>
      </c>
      <c r="K13" s="7" t="inlineStr">
        <is>
          <t>Yes</t>
        </is>
      </c>
      <c r="L13" s="7" t="n">
        <v>55</v>
      </c>
      <c r="M13" s="12" t="inlineStr">
        <is>
          <t>Howrah, Howrah Sorting Yard, Liluah, Belur, Bally</t>
        </is>
      </c>
    </row>
    <row r="14">
      <c r="A14" s="7" t="inlineStr">
        <is>
          <t>15 Jun</t>
        </is>
      </c>
      <c r="B14" s="7" t="inlineStr">
        <is>
          <t>30305</t>
        </is>
      </c>
      <c r="C14" s="7" t="n">
        <v>15025</v>
      </c>
      <c r="D14" s="7" t="n">
        <v>15020</v>
      </c>
      <c r="E14" s="7" t="n">
        <v>14954</v>
      </c>
      <c r="F14" s="8" t="n">
        <v>12708</v>
      </c>
      <c r="G14" s="8" t="n">
        <v>246066</v>
      </c>
      <c r="H14" s="8" t="n">
        <v>12708</v>
      </c>
      <c r="I14" s="8" t="n">
        <v>244369</v>
      </c>
      <c r="J14" s="11">
        <f>(I14-H14)/1000</f>
        <v/>
      </c>
      <c r="K14" s="7" t="inlineStr">
        <is>
          <t>Yes</t>
        </is>
      </c>
      <c r="L14" s="7" t="n">
        <v>55</v>
      </c>
      <c r="M14" s="12" t="inlineStr">
        <is>
          <t>Howrah, Howrah Sorting Yard, Liluah, Belur, Bally</t>
        </is>
      </c>
    </row>
    <row r="15" ht="34" customHeight="1">
      <c r="A15" s="7" t="inlineStr">
        <is>
          <t>15 Jun</t>
        </is>
      </c>
      <c r="B15" s="7" t="inlineStr">
        <is>
          <t>39135</t>
        </is>
      </c>
      <c r="C15" s="7" t="n">
        <v>8520</v>
      </c>
      <c r="D15" s="7" t="n">
        <v>8515</v>
      </c>
      <c r="E15" s="7" t="n">
        <v>8505</v>
      </c>
      <c r="F15" s="8" t="n">
        <v>29917</v>
      </c>
      <c r="G15" s="8" t="n">
        <v>244650</v>
      </c>
      <c r="H15" s="8" t="n">
        <v>29917</v>
      </c>
      <c r="I15" s="8" t="n">
        <v>244369</v>
      </c>
      <c r="J15" s="11">
        <f>(I15-H15)/1000</f>
        <v/>
      </c>
      <c r="K15" s="7" t="inlineStr">
        <is>
          <t>Yes</t>
        </is>
      </c>
      <c r="L15" s="7" t="n">
        <v>50</v>
      </c>
      <c r="M15" s="12" t="inlineStr">
        <is>
          <t>Howrah, Howrah Sorting Yard, Liluah, Belur, Bally, Belanagar, Dankuni, Janai Road, Baruipara</t>
        </is>
      </c>
    </row>
    <row r="16" ht="34" customHeight="1">
      <c r="A16" s="7" t="inlineStr">
        <is>
          <t>15 Jun</t>
        </is>
      </c>
      <c r="B16" s="7" t="inlineStr">
        <is>
          <t>37898</t>
        </is>
      </c>
      <c r="C16" s="7" t="n">
        <v>17072</v>
      </c>
      <c r="D16" s="7" t="n">
        <v>17016</v>
      </c>
      <c r="E16" s="7" t="n">
        <v>16868</v>
      </c>
      <c r="F16" s="8" t="n">
        <v>31</v>
      </c>
      <c r="G16" s="8" t="n">
        <v>209151</v>
      </c>
      <c r="H16" s="8" t="n">
        <v>343</v>
      </c>
      <c r="I16" s="8" t="n">
        <v>209151</v>
      </c>
      <c r="J16" s="11">
        <f>(I16-H16)/1000</f>
        <v/>
      </c>
      <c r="K16" s="7" t="inlineStr">
        <is>
          <t>Yes</t>
        </is>
      </c>
      <c r="L16" s="7" t="n">
        <v>52</v>
      </c>
      <c r="M16" s="12" t="inlineStr">
        <is>
          <t>Kulti, Barakar, Kumardubi, Mugma, Thaparnagar, Kalubathan, Chhota Ambana</t>
        </is>
      </c>
    </row>
    <row r="17" ht="34" customHeight="1">
      <c r="A17" s="7" t="inlineStr">
        <is>
          <t>15 Jun</t>
        </is>
      </c>
      <c r="B17" s="7" t="inlineStr">
        <is>
          <t>37081</t>
        </is>
      </c>
      <c r="C17" s="7" t="n">
        <v>13849</v>
      </c>
      <c r="D17" s="7" t="n">
        <v>13816</v>
      </c>
      <c r="E17" s="7" t="n">
        <v>13726</v>
      </c>
      <c r="F17" s="8" t="n">
        <v>35</v>
      </c>
      <c r="G17" s="8" t="n">
        <v>200114</v>
      </c>
      <c r="H17" s="8" t="n">
        <v>342</v>
      </c>
      <c r="I17" s="8" t="n">
        <v>200114</v>
      </c>
      <c r="J17" s="11">
        <f>(I17-H17)/1000</f>
        <v/>
      </c>
      <c r="K17" s="7" t="inlineStr">
        <is>
          <t>Yes</t>
        </is>
      </c>
      <c r="L17" s="7" t="n">
        <v>50</v>
      </c>
      <c r="M17" s="12" t="inlineStr">
        <is>
          <t>Barachak Jn, Sitarampur Central, Kulti, Barakar, Kumardubi, Mugma, Thaparnagar, Kalubathan, Chhota Ambana</t>
        </is>
      </c>
    </row>
    <row r="18" ht="34" customHeight="1">
      <c r="A18" s="7" t="inlineStr">
        <is>
          <t>15 Jun</t>
        </is>
      </c>
      <c r="B18" s="7" t="inlineStr">
        <is>
          <t>37403</t>
        </is>
      </c>
      <c r="C18" s="7" t="n">
        <v>11943</v>
      </c>
      <c r="D18" s="7" t="n">
        <v>11909</v>
      </c>
      <c r="E18" s="7" t="n">
        <v>11490</v>
      </c>
      <c r="F18" s="8" t="n">
        <v>29</v>
      </c>
      <c r="G18" s="8" t="n">
        <v>200073</v>
      </c>
      <c r="H18" s="8" t="n">
        <v>342</v>
      </c>
      <c r="I18" s="8" t="n">
        <v>200073</v>
      </c>
      <c r="J18" s="11">
        <f>(I18-H18)/1000</f>
        <v/>
      </c>
      <c r="K18" s="7" t="inlineStr">
        <is>
          <t>Yes</t>
        </is>
      </c>
      <c r="L18" s="7" t="n">
        <v>50</v>
      </c>
      <c r="M18" s="12" t="inlineStr">
        <is>
          <t>Barachak Jn, Sitarampur Central, Kulti, Barakar, Kumardubi, Mugma, Thaparnagar, Kalubathan, Chhota Ambana</t>
        </is>
      </c>
    </row>
    <row r="19" ht="34" customHeight="1">
      <c r="A19" s="7" t="inlineStr">
        <is>
          <t>15 Jun</t>
        </is>
      </c>
      <c r="B19" s="7" t="inlineStr">
        <is>
          <t>30508</t>
        </is>
      </c>
      <c r="C19" s="7" t="n">
        <v>7054</v>
      </c>
      <c r="D19" s="7" t="n">
        <v>7027</v>
      </c>
      <c r="E19" s="7" t="n">
        <v>7027</v>
      </c>
      <c r="F19" s="8" t="n">
        <v>692</v>
      </c>
      <c r="G19" s="8" t="n">
        <v>200087</v>
      </c>
      <c r="H19" s="8" t="n">
        <v>692</v>
      </c>
      <c r="I19" s="8" t="n">
        <v>200087</v>
      </c>
      <c r="J19" s="11">
        <f>(I19-H19)/1000</f>
        <v/>
      </c>
      <c r="K19" s="7" t="inlineStr">
        <is>
          <t>Yes</t>
        </is>
      </c>
      <c r="L19" s="7" t="n">
        <v>50</v>
      </c>
      <c r="M19" s="12" t="inlineStr">
        <is>
          <t>Barachak Jn, Sitarampur Central, Kulti, Barakar, Kumardubi, Mugma, Thaparnagar, Kalubathan, Chhota Ambana</t>
        </is>
      </c>
    </row>
    <row r="20" ht="34" customHeight="1">
      <c r="A20" s="7" t="inlineStr">
        <is>
          <t>15 Jun</t>
        </is>
      </c>
      <c r="B20" s="7" t="inlineStr">
        <is>
          <t>37040</t>
        </is>
      </c>
      <c r="C20" s="7" t="n">
        <v>6486</v>
      </c>
      <c r="D20" s="7" t="n">
        <v>6469</v>
      </c>
      <c r="E20" s="7" t="n">
        <v>6469</v>
      </c>
      <c r="F20" s="8" t="n">
        <v>690</v>
      </c>
      <c r="G20" s="8" t="n">
        <v>200089</v>
      </c>
      <c r="H20" s="8" t="n">
        <v>690</v>
      </c>
      <c r="I20" s="8" t="n">
        <v>200089</v>
      </c>
      <c r="J20" s="11">
        <f>(I20-H20)/1000</f>
        <v/>
      </c>
      <c r="K20" s="7" t="inlineStr">
        <is>
          <t>Yes</t>
        </is>
      </c>
      <c r="L20" s="7" t="n">
        <v>50</v>
      </c>
      <c r="M20" s="12" t="inlineStr">
        <is>
          <t>Barachak Jn, Sitarampur Central, Kulti, Barakar, Kumardubi, Mugma, Thaparnagar, Kalubathan, Chhota Ambana</t>
        </is>
      </c>
    </row>
    <row r="21" ht="34" customHeight="1">
      <c r="A21" s="7" t="inlineStr">
        <is>
          <t>15 Jun</t>
        </is>
      </c>
      <c r="B21" s="7" t="inlineStr">
        <is>
          <t>37215</t>
        </is>
      </c>
      <c r="C21" s="7" t="n">
        <v>9166</v>
      </c>
      <c r="D21" s="7" t="n">
        <v>9141</v>
      </c>
      <c r="E21" s="7" t="n">
        <v>9141</v>
      </c>
      <c r="F21" s="8" t="n">
        <v>594</v>
      </c>
      <c r="G21" s="8" t="n">
        <v>199536</v>
      </c>
      <c r="H21" s="8" t="n">
        <v>594</v>
      </c>
      <c r="I21" s="8" t="n">
        <v>199536</v>
      </c>
      <c r="J21" s="11">
        <f>(I21-H21)/1000</f>
        <v/>
      </c>
      <c r="K21" s="7" t="inlineStr">
        <is>
          <t>Yes</t>
        </is>
      </c>
      <c r="L21" s="7" t="n">
        <v>50</v>
      </c>
      <c r="M21" s="12" t="inlineStr">
        <is>
          <t>Barachak Jn, Sitarampur Central, Kulti, Barakar, Kumardubi, Mugma, Thaparnagar, Kalubathan, Chhota Ambana</t>
        </is>
      </c>
    </row>
    <row r="22" ht="34" customHeight="1">
      <c r="A22" s="7" t="inlineStr">
        <is>
          <t>15 Jun</t>
        </is>
      </c>
      <c r="B22" s="7" t="inlineStr">
        <is>
          <t>37452</t>
        </is>
      </c>
      <c r="C22" s="7" t="n">
        <v>7862</v>
      </c>
      <c r="D22" s="7" t="n">
        <v>7829</v>
      </c>
      <c r="E22" s="7" t="n">
        <v>7829</v>
      </c>
      <c r="F22" s="8" t="n">
        <v>1437</v>
      </c>
      <c r="G22" s="8" t="n">
        <v>199393</v>
      </c>
      <c r="H22" s="8" t="n">
        <v>1437</v>
      </c>
      <c r="I22" s="8" t="n">
        <v>199393</v>
      </c>
      <c r="J22" s="11">
        <f>(I22-H22)/1000</f>
        <v/>
      </c>
      <c r="K22" s="7" t="inlineStr">
        <is>
          <t>Yes</t>
        </is>
      </c>
      <c r="L22" s="7" t="n">
        <v>50</v>
      </c>
      <c r="M22" s="12" t="inlineStr">
        <is>
          <t>Barachak Jn, Sitarampur Central, Kulti, Barakar, Kumardubi, Mugma, Thaparnagar, Kalubathan, Chhota Ambana</t>
        </is>
      </c>
    </row>
    <row r="23" ht="49" customHeight="1">
      <c r="A23" s="7" t="inlineStr">
        <is>
          <t>15 Jun</t>
        </is>
      </c>
      <c r="B23" s="7" t="inlineStr">
        <is>
          <t>37456</t>
        </is>
      </c>
      <c r="C23" s="7" t="n">
        <v>7103</v>
      </c>
      <c r="D23" s="7" t="n">
        <v>7098</v>
      </c>
      <c r="E23" s="7" t="n">
        <v>7098</v>
      </c>
      <c r="F23" s="8" t="n">
        <v>12241</v>
      </c>
      <c r="G23" s="8" t="n">
        <v>200090</v>
      </c>
      <c r="H23" s="8" t="n">
        <v>12241</v>
      </c>
      <c r="I23" s="8" t="n">
        <v>200090</v>
      </c>
      <c r="J23" s="11">
        <f>(I23-H23)/1000</f>
        <v/>
      </c>
      <c r="K23" s="7" t="inlineStr">
        <is>
          <t>Yes</t>
        </is>
      </c>
      <c r="L23" s="7" t="n">
        <v>45</v>
      </c>
      <c r="M23" s="12" t="inlineStr">
        <is>
          <t>Howrah, Howrah Sorting Yard, Liluah, Belur, Bally, Barachak Jn, Sitarampur Central, Kulti, Barakar, Kumardubi, Mugma, Thaparnagar, Kalubathan, Chhota Ambana</t>
        </is>
      </c>
    </row>
    <row r="24" ht="49" customHeight="1">
      <c r="A24" s="7" t="inlineStr">
        <is>
          <t>15 Jun</t>
        </is>
      </c>
      <c r="B24" s="7" t="inlineStr">
        <is>
          <t>30468</t>
        </is>
      </c>
      <c r="C24" s="7" t="n">
        <v>3832</v>
      </c>
      <c r="D24" s="7" t="n">
        <v>3829</v>
      </c>
      <c r="E24" s="7" t="n">
        <v>3825</v>
      </c>
      <c r="F24" s="8" t="n">
        <v>68602</v>
      </c>
      <c r="G24" s="8" t="n">
        <v>244585</v>
      </c>
      <c r="H24" s="8" t="n">
        <v>68602</v>
      </c>
      <c r="I24" s="8" t="n">
        <v>244371</v>
      </c>
      <c r="J24" s="11">
        <f>(I24-H24)/1000</f>
        <v/>
      </c>
      <c r="K24" s="7" t="inlineStr">
        <is>
          <t>Yes</t>
        </is>
      </c>
      <c r="L24" s="7" t="n">
        <v>40</v>
      </c>
      <c r="M24" s="12" t="inlineStr">
        <is>
          <t>Howrah, Howrah Sorting Yard, Liluah, Belur, Bally, Belanagar, Dankuni, Janai Road, Baruipara, Kamarkundu, LC-31, Chandanpur, LC-38, Belmuri, Cheragram, LC-41, Gurap, LC-48, Jaugram</t>
        </is>
      </c>
    </row>
    <row r="25" ht="64" customHeight="1">
      <c r="A25" s="7" t="inlineStr">
        <is>
          <t>15 Jun</t>
        </is>
      </c>
      <c r="B25" s="7" t="inlineStr">
        <is>
          <t>37585</t>
        </is>
      </c>
      <c r="C25" s="7" t="n">
        <v>9162</v>
      </c>
      <c r="D25" s="7" t="n">
        <v>9097</v>
      </c>
      <c r="E25" s="7" t="n">
        <v>9097</v>
      </c>
      <c r="F25" s="8" t="n">
        <v>691</v>
      </c>
      <c r="G25" s="8" t="n">
        <v>165120</v>
      </c>
      <c r="H25" s="8" t="n">
        <v>691</v>
      </c>
      <c r="I25" s="8" t="n">
        <v>165120</v>
      </c>
      <c r="J25" s="11">
        <f>(I25-H25)/1000</f>
        <v/>
      </c>
      <c r="K25" s="7" t="inlineStr">
        <is>
          <t>Yes</t>
        </is>
      </c>
      <c r="L25" s="7" t="n">
        <v>42</v>
      </c>
      <c r="M25" s="12" t="inlineStr">
        <is>
          <t>Andal East Outer, Andal, Baktarnagar B H, Raniganj, Nimcha B H, Ratibati, Kaliphari, Asansol, Barachak Jn, Sitarampur Central, Kulti, Barakar, Kumardubi, Mugma, Thaparnagar, Kalubathan, Chhota Ambana</t>
        </is>
      </c>
    </row>
    <row r="26" ht="64" customHeight="1">
      <c r="A26" s="7" t="inlineStr">
        <is>
          <t>15 Jun</t>
        </is>
      </c>
      <c r="B26" s="7" t="inlineStr">
        <is>
          <t>37954</t>
        </is>
      </c>
      <c r="C26" s="7" t="n">
        <v>8369</v>
      </c>
      <c r="D26" s="7" t="n">
        <v>8275</v>
      </c>
      <c r="E26" s="7" t="n">
        <v>8156</v>
      </c>
      <c r="F26" s="8" t="n">
        <v>94214</v>
      </c>
      <c r="G26" s="8" t="n">
        <v>246041</v>
      </c>
      <c r="H26" s="8" t="n">
        <v>94214</v>
      </c>
      <c r="I26" s="8" t="n">
        <v>244362</v>
      </c>
      <c r="J26" s="11">
        <f>(I26-H26)/1000</f>
        <v/>
      </c>
      <c r="K26" s="7" t="inlineStr">
        <is>
          <t>Yes</t>
        </is>
      </c>
      <c r="L26" s="7" t="n">
        <v>35</v>
      </c>
      <c r="M26" s="12" t="inlineStr">
        <is>
          <t>Howrah, Howrah Sorting Yard, Liluah, Belur, Bally, Belanagar, Dankuni, Janai Road, Baruipara, Kamarkundu, LC-31, Chandanpur, LC-38, Belmuri, Cheragram, LC-41, Gurap, LC-48, Jaugram, LC-57, Masagram, Palla Road, Saktigarh, Gangpur</t>
        </is>
      </c>
    </row>
    <row r="27" ht="79" customHeight="1">
      <c r="A27" s="7" t="inlineStr">
        <is>
          <t>15 Jun</t>
        </is>
      </c>
      <c r="B27" s="7" t="inlineStr">
        <is>
          <t>37610</t>
        </is>
      </c>
      <c r="C27" s="7" t="n">
        <v>5057</v>
      </c>
      <c r="D27" s="7" t="n">
        <v>5046</v>
      </c>
      <c r="E27" s="7" t="n">
        <v>5046</v>
      </c>
      <c r="F27" s="8" t="n">
        <v>12124</v>
      </c>
      <c r="G27" s="8" t="n">
        <v>149816</v>
      </c>
      <c r="H27" s="8" t="n">
        <v>12124</v>
      </c>
      <c r="I27" s="8" t="n">
        <v>149816</v>
      </c>
      <c r="J27" s="11">
        <f>(I27-H27)/1000</f>
        <v/>
      </c>
      <c r="K27" s="7" t="inlineStr">
        <is>
          <t>Yes</t>
        </is>
      </c>
      <c r="L27" s="7" t="n">
        <v>33</v>
      </c>
      <c r="M27" s="12" t="inlineStr">
        <is>
          <t>Howrah, Howrah Sorting Yard, Liluah, Belur, Bally,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8" ht="94" customHeight="1">
      <c r="A28" s="7" t="inlineStr">
        <is>
          <t>15 Jun</t>
        </is>
      </c>
      <c r="B28" s="7" t="inlineStr">
        <is>
          <t>37182</t>
        </is>
      </c>
      <c r="C28" s="7" t="n">
        <v>3993</v>
      </c>
      <c r="D28" s="7" t="n">
        <v>3942</v>
      </c>
      <c r="E28" s="7" t="n">
        <v>3934</v>
      </c>
      <c r="F28" s="8" t="n">
        <v>326</v>
      </c>
      <c r="G28" s="8" t="n">
        <v>94730</v>
      </c>
      <c r="H28" s="8" t="n">
        <v>342</v>
      </c>
      <c r="I28" s="8" t="n">
        <v>94730</v>
      </c>
      <c r="J28" s="11">
        <f>(I28-H28)/1000</f>
        <v/>
      </c>
      <c r="K28" s="7" t="inlineStr">
        <is>
          <t>Yes</t>
        </is>
      </c>
      <c r="L28" s="7" t="n">
        <v>26</v>
      </c>
      <c r="M2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" ht="94" customHeight="1">
      <c r="A29" s="7" t="inlineStr">
        <is>
          <t>15 Jun</t>
        </is>
      </c>
      <c r="B29" s="7" t="inlineStr">
        <is>
          <t>39482</t>
        </is>
      </c>
      <c r="C29" s="7" t="n">
        <v>9166</v>
      </c>
      <c r="D29" s="7" t="n">
        <v>9136</v>
      </c>
      <c r="E29" s="7" t="n">
        <v>8983</v>
      </c>
      <c r="F29" s="8" t="n">
        <v>34</v>
      </c>
      <c r="G29" s="8" t="n">
        <v>94616</v>
      </c>
      <c r="H29" s="8" t="n">
        <v>342</v>
      </c>
      <c r="I29" s="8" t="n">
        <v>94616</v>
      </c>
      <c r="J29" s="11">
        <f>(I29-H29)/1000</f>
        <v/>
      </c>
      <c r="K29" s="7" t="inlineStr">
        <is>
          <t>Yes</t>
        </is>
      </c>
      <c r="L29" s="7" t="n">
        <v>26</v>
      </c>
      <c r="M2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" ht="94" customHeight="1">
      <c r="A30" s="7" t="inlineStr">
        <is>
          <t>15 Jun</t>
        </is>
      </c>
      <c r="B30" s="7" t="inlineStr">
        <is>
          <t>37268</t>
        </is>
      </c>
      <c r="C30" s="7" t="n">
        <v>7466</v>
      </c>
      <c r="D30" s="7" t="n">
        <v>7412</v>
      </c>
      <c r="E30" s="7" t="n">
        <v>7412</v>
      </c>
      <c r="F30" s="8" t="n">
        <v>350</v>
      </c>
      <c r="G30" s="8" t="n">
        <v>94610</v>
      </c>
      <c r="H30" s="8" t="n">
        <v>350</v>
      </c>
      <c r="I30" s="8" t="n">
        <v>94610</v>
      </c>
      <c r="J30" s="11">
        <f>(I30-H30)/1000</f>
        <v/>
      </c>
      <c r="K30" s="7" t="inlineStr">
        <is>
          <t>Yes</t>
        </is>
      </c>
      <c r="L30" s="7" t="n">
        <v>26</v>
      </c>
      <c r="M3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" ht="94" customHeight="1">
      <c r="A31" s="7" t="inlineStr">
        <is>
          <t>15 Jun</t>
        </is>
      </c>
      <c r="B31" s="7" t="inlineStr">
        <is>
          <t>30639</t>
        </is>
      </c>
      <c r="C31" s="7" t="n">
        <v>3632</v>
      </c>
      <c r="D31" s="7" t="n">
        <v>3623</v>
      </c>
      <c r="E31" s="7" t="n">
        <v>3623</v>
      </c>
      <c r="F31" s="8" t="n">
        <v>444</v>
      </c>
      <c r="G31" s="8" t="n">
        <v>94649</v>
      </c>
      <c r="H31" s="8" t="n">
        <v>444</v>
      </c>
      <c r="I31" s="8" t="n">
        <v>94649</v>
      </c>
      <c r="J31" s="11">
        <f>(I31-H31)/1000</f>
        <v/>
      </c>
      <c r="K31" s="7" t="inlineStr">
        <is>
          <t>Yes</t>
        </is>
      </c>
      <c r="L31" s="7" t="n">
        <v>26</v>
      </c>
      <c r="M3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94" customHeight="1">
      <c r="A32" s="7" t="inlineStr">
        <is>
          <t>15 Jun</t>
        </is>
      </c>
      <c r="B32" s="7" t="inlineStr">
        <is>
          <t>37907</t>
        </is>
      </c>
      <c r="C32" s="7" t="n">
        <v>3583</v>
      </c>
      <c r="D32" s="7" t="n">
        <v>3529</v>
      </c>
      <c r="E32" s="7" t="n">
        <v>3529</v>
      </c>
      <c r="F32" s="8" t="n">
        <v>850</v>
      </c>
      <c r="G32" s="8" t="n">
        <v>94735</v>
      </c>
      <c r="H32" s="8" t="n">
        <v>850</v>
      </c>
      <c r="I32" s="8" t="n">
        <v>94735</v>
      </c>
      <c r="J32" s="11">
        <f>(I32-H32)/1000</f>
        <v/>
      </c>
      <c r="K32" s="7" t="inlineStr">
        <is>
          <t>Yes</t>
        </is>
      </c>
      <c r="L32" s="7" t="n">
        <v>26</v>
      </c>
      <c r="M3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3" ht="94" customHeight="1">
      <c r="A33" s="7" t="inlineStr">
        <is>
          <t>15 Jun</t>
        </is>
      </c>
      <c r="B33" s="7" t="inlineStr">
        <is>
          <t>37168</t>
        </is>
      </c>
      <c r="C33" s="7" t="n">
        <v>3796</v>
      </c>
      <c r="D33" s="7" t="n">
        <v>3767</v>
      </c>
      <c r="E33" s="7" t="n">
        <v>3566</v>
      </c>
      <c r="F33" s="8" t="n">
        <v>34</v>
      </c>
      <c r="G33" s="8" t="n">
        <v>94115</v>
      </c>
      <c r="H33" s="8" t="n">
        <v>345</v>
      </c>
      <c r="I33" s="8" t="n">
        <v>94115</v>
      </c>
      <c r="J33" s="11">
        <f>(I33-H33)/1000</f>
        <v/>
      </c>
      <c r="K33" s="7" t="inlineStr">
        <is>
          <t>Yes</t>
        </is>
      </c>
      <c r="L33" s="7" t="n">
        <v>26</v>
      </c>
      <c r="M3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4" ht="94" customHeight="1">
      <c r="A34" s="7" t="inlineStr">
        <is>
          <t>15 Jun</t>
        </is>
      </c>
      <c r="B34" s="7" t="inlineStr">
        <is>
          <t>37005</t>
        </is>
      </c>
      <c r="C34" s="7" t="n">
        <v>3422</v>
      </c>
      <c r="D34" s="7" t="n">
        <v>3395</v>
      </c>
      <c r="E34" s="7" t="n">
        <v>3395</v>
      </c>
      <c r="F34" s="8" t="n">
        <v>1447</v>
      </c>
      <c r="G34" s="8" t="n">
        <v>94114</v>
      </c>
      <c r="H34" s="8" t="n">
        <v>1447</v>
      </c>
      <c r="I34" s="8" t="n">
        <v>94114</v>
      </c>
      <c r="J34" s="11">
        <f>(I34-H34)/1000</f>
        <v/>
      </c>
      <c r="K34" s="7" t="inlineStr">
        <is>
          <t>Yes</t>
        </is>
      </c>
      <c r="L34" s="7" t="n">
        <v>26</v>
      </c>
      <c r="M3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5" ht="109" customHeight="1">
      <c r="A35" s="7" t="inlineStr">
        <is>
          <t>15 Jun</t>
        </is>
      </c>
      <c r="B35" s="7" t="inlineStr">
        <is>
          <t>30493</t>
        </is>
      </c>
      <c r="C35" s="7" t="n">
        <v>2449</v>
      </c>
      <c r="D35" s="7" t="n">
        <v>2443</v>
      </c>
      <c r="E35" s="7" t="n">
        <v>2443</v>
      </c>
      <c r="F35" s="8" t="n">
        <v>12159</v>
      </c>
      <c r="G35" s="8" t="n">
        <v>94637</v>
      </c>
      <c r="H35" s="8" t="n">
        <v>12159</v>
      </c>
      <c r="I35" s="8" t="n">
        <v>94637</v>
      </c>
      <c r="J35" s="11">
        <f>(I35-H35)/1000</f>
        <v/>
      </c>
      <c r="K35" s="7" t="inlineStr">
        <is>
          <t>Yes</t>
        </is>
      </c>
      <c r="L35" s="7" t="n">
        <v>21</v>
      </c>
      <c r="M35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6" ht="109" customHeight="1">
      <c r="A36" s="7" t="inlineStr">
        <is>
          <t>15 Jun</t>
        </is>
      </c>
      <c r="B36" s="7" t="inlineStr">
        <is>
          <t>30203</t>
        </is>
      </c>
      <c r="C36" s="7" t="n">
        <v>3630</v>
      </c>
      <c r="D36" s="7" t="n">
        <v>3612</v>
      </c>
      <c r="E36" s="7" t="n">
        <v>3612</v>
      </c>
      <c r="F36" s="8" t="n">
        <v>12691</v>
      </c>
      <c r="G36" s="8" t="n">
        <v>94114</v>
      </c>
      <c r="H36" s="8" t="n">
        <v>12691</v>
      </c>
      <c r="I36" s="8" t="n">
        <v>94114</v>
      </c>
      <c r="J36" s="11">
        <f>(I36-H36)/1000</f>
        <v/>
      </c>
      <c r="K36" s="7" t="inlineStr">
        <is>
          <t>Yes</t>
        </is>
      </c>
      <c r="L36" s="7" t="n">
        <v>21</v>
      </c>
      <c r="M36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7" ht="109" customHeight="1">
      <c r="A37" s="7" t="inlineStr">
        <is>
          <t>15 Jun</t>
        </is>
      </c>
      <c r="B37" s="7" t="inlineStr">
        <is>
          <t>37779</t>
        </is>
      </c>
      <c r="C37" s="7" t="n">
        <v>3698</v>
      </c>
      <c r="D37" s="7" t="n">
        <v>3694</v>
      </c>
      <c r="E37" s="7" t="n">
        <v>3684</v>
      </c>
      <c r="F37" s="8" t="n">
        <v>166100</v>
      </c>
      <c r="G37" s="8" t="n">
        <v>244647</v>
      </c>
      <c r="H37" s="8" t="n">
        <v>166100</v>
      </c>
      <c r="I37" s="8" t="n">
        <v>244361</v>
      </c>
      <c r="J37" s="11">
        <f>(I37-H37)/1000</f>
        <v/>
      </c>
      <c r="K37" s="7" t="inlineStr">
        <is>
          <t>Yes</t>
        </is>
      </c>
      <c r="L37" s="7" t="n">
        <v>19</v>
      </c>
      <c r="M37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</t>
        </is>
      </c>
    </row>
    <row r="38" ht="124" customHeight="1">
      <c r="A38" s="7" t="inlineStr">
        <is>
          <t>15 Jun</t>
        </is>
      </c>
      <c r="B38" s="7" t="inlineStr">
        <is>
          <t>30327</t>
        </is>
      </c>
      <c r="C38" s="7" t="n">
        <v>1685</v>
      </c>
      <c r="D38" s="7" t="n">
        <v>1684</v>
      </c>
      <c r="E38" s="7" t="n">
        <v>1684</v>
      </c>
      <c r="F38" s="8" t="n">
        <v>12119</v>
      </c>
      <c r="G38" s="8" t="n">
        <v>71495</v>
      </c>
      <c r="H38" s="8" t="n">
        <v>12119</v>
      </c>
      <c r="I38" s="8" t="n">
        <v>71495</v>
      </c>
      <c r="J38" s="11">
        <f>(I38-H38)/1000</f>
        <v/>
      </c>
      <c r="K38" s="7" t="inlineStr">
        <is>
          <t>Yes</t>
        </is>
      </c>
      <c r="L38" s="7" t="n">
        <v>17</v>
      </c>
      <c r="M38" s="12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9" ht="139" customHeight="1">
      <c r="A39" s="7" t="inlineStr">
        <is>
          <t>15 Jun</t>
        </is>
      </c>
      <c r="B39" s="7" t="inlineStr">
        <is>
          <t>39481</t>
        </is>
      </c>
      <c r="C39" s="7" t="n">
        <v>1027</v>
      </c>
      <c r="D39" s="7" t="n">
        <v>1008</v>
      </c>
      <c r="E39" s="7" t="n">
        <v>1008</v>
      </c>
      <c r="F39" s="8" t="n">
        <v>610</v>
      </c>
      <c r="G39" s="8" t="n">
        <v>12417</v>
      </c>
      <c r="H39" s="8" t="n">
        <v>610</v>
      </c>
      <c r="I39" s="8" t="n">
        <v>12417</v>
      </c>
      <c r="J39" s="11">
        <f>(I39-H39)/1000</f>
        <v/>
      </c>
      <c r="K39" s="7" t="inlineStr">
        <is>
          <t>Yes</t>
        </is>
      </c>
      <c r="L39" s="7" t="n">
        <v>7</v>
      </c>
      <c r="M39" s="12" t="inlineStr">
        <is>
          <t>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  ...(+3 more)</t>
        </is>
      </c>
    </row>
    <row r="40" ht="139" customHeight="1">
      <c r="A40" s="7" t="inlineStr">
        <is>
          <t>15 Jun</t>
        </is>
      </c>
      <c r="B40" s="7" t="inlineStr">
        <is>
          <t>555555</t>
        </is>
      </c>
      <c r="C40" s="7" t="n">
        <v>42</v>
      </c>
      <c r="D40" s="7" t="n">
        <v>41</v>
      </c>
      <c r="E40" s="7" t="n">
        <v>41</v>
      </c>
      <c r="F40" s="8" t="n">
        <v>95012</v>
      </c>
      <c r="G40" s="8" t="n">
        <v>105454</v>
      </c>
      <c r="H40" s="8" t="n">
        <v>95012</v>
      </c>
      <c r="I40" s="8" t="n">
        <v>105454</v>
      </c>
      <c r="J40" s="11">
        <f>(I40-H40)/1000</f>
        <v/>
      </c>
      <c r="K40" s="7" t="inlineStr">
        <is>
          <t>Yes</t>
        </is>
      </c>
      <c r="L40" s="7" t="n">
        <v>4</v>
      </c>
      <c r="M40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Khana Link, Galsi, LC-83, Paraj, Mankar, LC-96, Panagarh, LC-105, Rajbandh, LC-111, Durgapur, DCOP, Waria, Andal East Outer, Andal, Baktarnagar B H, Raniganj, Nimcha B H, Ratibati, Kaliphari, Asansol, Barachak Jn, Sitarampur Central, Kulti, Barakar  ...(+6 more)</t>
        </is>
      </c>
    </row>
    <row r="41" ht="139" customHeight="1">
      <c r="A41" s="7" t="inlineStr">
        <is>
          <t>15 Jun</t>
        </is>
      </c>
      <c r="B41" s="7" t="inlineStr">
        <is>
          <t>45003</t>
        </is>
      </c>
      <c r="C41" s="7" t="n">
        <v>652</v>
      </c>
      <c r="D41" s="7" t="n">
        <v>635</v>
      </c>
      <c r="E41" s="7" t="n">
        <v>635</v>
      </c>
      <c r="F41" s="8" t="n">
        <v>343</v>
      </c>
      <c r="G41" s="8" t="n">
        <v>859</v>
      </c>
      <c r="H41" s="8" t="n">
        <v>343</v>
      </c>
      <c r="I41" s="8" t="n">
        <v>859</v>
      </c>
      <c r="J41" s="11">
        <f>(I41-H41)/1000</f>
        <v/>
      </c>
      <c r="K41" s="7" t="inlineStr">
        <is>
          <t>Yes</t>
        </is>
      </c>
      <c r="L41" s="7" t="n">
        <v>1</v>
      </c>
      <c r="M41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2" ht="139" customHeight="1">
      <c r="A42" s="9" t="inlineStr">
        <is>
          <t>15 Jun</t>
        </is>
      </c>
      <c r="B42" s="9" t="inlineStr">
        <is>
          <t>11057</t>
        </is>
      </c>
      <c r="C42" s="9" t="n">
        <v>1</v>
      </c>
      <c r="D42" s="9" t="n">
        <v>0</v>
      </c>
      <c r="E42" s="9" t="n">
        <v>0</v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3" t="n">
        <v>0</v>
      </c>
      <c r="K42" s="9" t="inlineStr">
        <is>
          <t>No</t>
        </is>
      </c>
      <c r="L42" s="9" t="n">
        <v>0</v>
      </c>
      <c r="M4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3" ht="139" customHeight="1">
      <c r="A43" s="9" t="inlineStr">
        <is>
          <t>15 Jun</t>
        </is>
      </c>
      <c r="B43" s="9" t="inlineStr">
        <is>
          <t>30200</t>
        </is>
      </c>
      <c r="C43" s="9" t="n">
        <v>5</v>
      </c>
      <c r="D43" s="9" t="n">
        <v>0</v>
      </c>
      <c r="E43" s="9" t="n">
        <v>0</v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3" t="n">
        <v>0</v>
      </c>
      <c r="K43" s="9" t="inlineStr">
        <is>
          <t>No</t>
        </is>
      </c>
      <c r="L43" s="9" t="n">
        <v>0</v>
      </c>
      <c r="M4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4" ht="139" customHeight="1">
      <c r="A44" s="9" t="inlineStr">
        <is>
          <t>15 Jun</t>
        </is>
      </c>
      <c r="B44" s="9" t="inlineStr">
        <is>
          <t>37016</t>
        </is>
      </c>
      <c r="C44" s="9" t="n">
        <v>5</v>
      </c>
      <c r="D44" s="9" t="n">
        <v>0</v>
      </c>
      <c r="E44" s="9" t="n">
        <v>0</v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3" t="n">
        <v>0</v>
      </c>
      <c r="K44" s="9" t="inlineStr">
        <is>
          <t>No</t>
        </is>
      </c>
      <c r="L44" s="9" t="n">
        <v>0</v>
      </c>
      <c r="M4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5" ht="139" customHeight="1">
      <c r="A45" s="9" t="inlineStr">
        <is>
          <t>15 Jun</t>
        </is>
      </c>
      <c r="B45" s="9" t="inlineStr">
        <is>
          <t>37657</t>
        </is>
      </c>
      <c r="C45" s="9" t="n">
        <v>19</v>
      </c>
      <c r="D45" s="9" t="n">
        <v>0</v>
      </c>
      <c r="E45" s="9" t="n">
        <v>0</v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3" t="n">
        <v>0</v>
      </c>
      <c r="K45" s="9" t="inlineStr">
        <is>
          <t>No</t>
        </is>
      </c>
      <c r="L45" s="9" t="n">
        <v>0</v>
      </c>
      <c r="M4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6" ht="139" customHeight="1">
      <c r="A46" s="9" t="inlineStr">
        <is>
          <t>15 Jun</t>
        </is>
      </c>
      <c r="B46" s="9" t="inlineStr">
        <is>
          <t>37777</t>
        </is>
      </c>
      <c r="C46" s="9" t="n">
        <v>5</v>
      </c>
      <c r="D46" s="9" t="n">
        <v>0</v>
      </c>
      <c r="E46" s="9" t="n">
        <v>0</v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3" t="n">
        <v>0</v>
      </c>
      <c r="K46" s="9" t="inlineStr">
        <is>
          <t>No</t>
        </is>
      </c>
      <c r="L46" s="9" t="n">
        <v>0</v>
      </c>
      <c r="M4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7" ht="139" customHeight="1">
      <c r="A47" s="9" t="inlineStr">
        <is>
          <t>15 Jun</t>
        </is>
      </c>
      <c r="B47" s="9" t="inlineStr">
        <is>
          <t>38195</t>
        </is>
      </c>
      <c r="C47" s="9" t="n">
        <v>10</v>
      </c>
      <c r="D47" s="9" t="n">
        <v>0</v>
      </c>
      <c r="E47" s="9" t="n">
        <v>0</v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3" t="n">
        <v>0</v>
      </c>
      <c r="K47" s="9" t="inlineStr">
        <is>
          <t>No</t>
        </is>
      </c>
      <c r="L47" s="9" t="n">
        <v>0</v>
      </c>
      <c r="M4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8" ht="139" customHeight="1">
      <c r="A48" s="9" t="inlineStr">
        <is>
          <t>15 Jun</t>
        </is>
      </c>
      <c r="B48" s="9" t="inlineStr">
        <is>
          <t>39095</t>
        </is>
      </c>
      <c r="C48" s="9" t="n">
        <v>5</v>
      </c>
      <c r="D48" s="9" t="n">
        <v>0</v>
      </c>
      <c r="E48" s="9" t="n">
        <v>0</v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3" t="n">
        <v>0</v>
      </c>
      <c r="K48" s="9" t="inlineStr">
        <is>
          <t>No</t>
        </is>
      </c>
      <c r="L48" s="9" t="n">
        <v>0</v>
      </c>
      <c r="M4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9" ht="139" customHeight="1">
      <c r="A49" s="9" t="inlineStr">
        <is>
          <t>15 Jun</t>
        </is>
      </c>
      <c r="B49" s="9" t="inlineStr">
        <is>
          <t>39202</t>
        </is>
      </c>
      <c r="C49" s="9" t="n">
        <v>10</v>
      </c>
      <c r="D49" s="9" t="n">
        <v>0</v>
      </c>
      <c r="E49" s="9" t="n">
        <v>0</v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3" t="n">
        <v>0</v>
      </c>
      <c r="K49" s="9" t="inlineStr">
        <is>
          <t>No</t>
        </is>
      </c>
      <c r="L49" s="9" t="n">
        <v>0</v>
      </c>
      <c r="M4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0" ht="139" customHeight="1">
      <c r="A50" s="9" t="inlineStr">
        <is>
          <t>15 Jun</t>
        </is>
      </c>
      <c r="B50" s="9" t="inlineStr">
        <is>
          <t>43970</t>
        </is>
      </c>
      <c r="C50" s="9" t="n">
        <v>13</v>
      </c>
      <c r="D50" s="9" t="n">
        <v>0</v>
      </c>
      <c r="E50" s="9" t="n">
        <v>0</v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3" t="n">
        <v>0</v>
      </c>
      <c r="K50" s="9" t="inlineStr">
        <is>
          <t>No</t>
        </is>
      </c>
      <c r="L50" s="9" t="n">
        <v>0</v>
      </c>
      <c r="M5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51">
      <c r="A51" s="7" t="inlineStr">
        <is>
          <t>16 Jun</t>
        </is>
      </c>
      <c r="B51" s="7" t="inlineStr">
        <is>
          <t>35001</t>
        </is>
      </c>
      <c r="C51" s="7" t="n">
        <v>12120</v>
      </c>
      <c r="D51" s="7" t="n">
        <v>12107</v>
      </c>
      <c r="E51" s="7" t="n">
        <v>11924</v>
      </c>
      <c r="F51" s="8" t="n">
        <v>63</v>
      </c>
      <c r="G51" s="8" t="n">
        <v>246089</v>
      </c>
      <c r="H51" s="8" t="n">
        <v>344</v>
      </c>
      <c r="I51" s="8" t="n">
        <v>244374</v>
      </c>
      <c r="J51" s="11">
        <f>(I51-H51)/1000</f>
        <v/>
      </c>
      <c r="K51" s="7" t="inlineStr">
        <is>
          <t>Yes</t>
        </is>
      </c>
      <c r="L51" s="7" t="n">
        <v>60</v>
      </c>
      <c r="M51" s="12" t="inlineStr">
        <is>
          <t>- (full trip)</t>
        </is>
      </c>
    </row>
    <row r="52">
      <c r="A52" s="7" t="inlineStr">
        <is>
          <t>16 Jun</t>
        </is>
      </c>
      <c r="B52" s="7" t="inlineStr">
        <is>
          <t>37778</t>
        </is>
      </c>
      <c r="C52" s="7" t="n">
        <v>8658</v>
      </c>
      <c r="D52" s="7" t="n">
        <v>8643</v>
      </c>
      <c r="E52" s="7" t="n">
        <v>8643</v>
      </c>
      <c r="F52" s="8" t="n">
        <v>445</v>
      </c>
      <c r="G52" s="8" t="n">
        <v>244354</v>
      </c>
      <c r="H52" s="8" t="n">
        <v>445</v>
      </c>
      <c r="I52" s="8" t="n">
        <v>244354</v>
      </c>
      <c r="J52" s="11">
        <f>(I52-H52)/1000</f>
        <v/>
      </c>
      <c r="K52" s="7" t="inlineStr">
        <is>
          <t>Yes</t>
        </is>
      </c>
      <c r="L52" s="7" t="n">
        <v>60</v>
      </c>
      <c r="M52" s="12" t="inlineStr">
        <is>
          <t>- (full trip)</t>
        </is>
      </c>
    </row>
    <row r="53">
      <c r="A53" s="7" t="inlineStr">
        <is>
          <t>16 Jun</t>
        </is>
      </c>
      <c r="B53" s="7" t="inlineStr">
        <is>
          <t>35049</t>
        </is>
      </c>
      <c r="C53" s="7" t="n">
        <v>11678</v>
      </c>
      <c r="D53" s="7" t="n">
        <v>11648</v>
      </c>
      <c r="E53" s="7" t="n">
        <v>11642</v>
      </c>
      <c r="F53" s="8" t="n">
        <v>619</v>
      </c>
      <c r="G53" s="8" t="n">
        <v>244518</v>
      </c>
      <c r="H53" s="8" t="n">
        <v>619</v>
      </c>
      <c r="I53" s="8" t="n">
        <v>244354</v>
      </c>
      <c r="J53" s="11">
        <f>(I53-H53)/1000</f>
        <v/>
      </c>
      <c r="K53" s="7" t="inlineStr">
        <is>
          <t>Yes</t>
        </is>
      </c>
      <c r="L53" s="7" t="n">
        <v>60</v>
      </c>
      <c r="M53" s="12" t="inlineStr">
        <is>
          <t>- (full trip)</t>
        </is>
      </c>
    </row>
    <row r="54">
      <c r="A54" s="7" t="inlineStr">
        <is>
          <t>16 Jun</t>
        </is>
      </c>
      <c r="B54" s="7" t="inlineStr">
        <is>
          <t>30305</t>
        </is>
      </c>
      <c r="C54" s="7" t="n">
        <v>10441</v>
      </c>
      <c r="D54" s="7" t="n">
        <v>10435</v>
      </c>
      <c r="E54" s="7" t="n">
        <v>10425</v>
      </c>
      <c r="F54" s="8" t="n">
        <v>12121</v>
      </c>
      <c r="G54" s="8" t="n">
        <v>244608</v>
      </c>
      <c r="H54" s="8" t="n">
        <v>12121</v>
      </c>
      <c r="I54" s="8" t="n">
        <v>244349</v>
      </c>
      <c r="J54" s="11">
        <f>(I54-H54)/1000</f>
        <v/>
      </c>
      <c r="K54" s="7" t="inlineStr">
        <is>
          <t>Yes</t>
        </is>
      </c>
      <c r="L54" s="7" t="n">
        <v>55</v>
      </c>
      <c r="M54" s="12" t="inlineStr">
        <is>
          <t>Howrah, Howrah Sorting Yard, Liluah, Belur, Bally</t>
        </is>
      </c>
    </row>
    <row r="55">
      <c r="A55" s="7" t="inlineStr">
        <is>
          <t>16 Jun</t>
        </is>
      </c>
      <c r="B55" s="7" t="inlineStr">
        <is>
          <t>39481</t>
        </is>
      </c>
      <c r="C55" s="7" t="n">
        <v>9908</v>
      </c>
      <c r="D55" s="7" t="n">
        <v>9898</v>
      </c>
      <c r="E55" s="7" t="n">
        <v>9889</v>
      </c>
      <c r="F55" s="8" t="n">
        <v>12387</v>
      </c>
      <c r="G55" s="8" t="n">
        <v>244622</v>
      </c>
      <c r="H55" s="8" t="n">
        <v>12387</v>
      </c>
      <c r="I55" s="8" t="n">
        <v>244373</v>
      </c>
      <c r="J55" s="11">
        <f>(I55-H55)/1000</f>
        <v/>
      </c>
      <c r="K55" s="7" t="inlineStr">
        <is>
          <t>Yes</t>
        </is>
      </c>
      <c r="L55" s="7" t="n">
        <v>55</v>
      </c>
      <c r="M55" s="12" t="inlineStr">
        <is>
          <t>Howrah, Howrah Sorting Yard, Liluah, Belur, Bally</t>
        </is>
      </c>
    </row>
    <row r="56">
      <c r="A56" s="7" t="inlineStr">
        <is>
          <t>16 Jun</t>
        </is>
      </c>
      <c r="B56" s="7" t="inlineStr">
        <is>
          <t>30328</t>
        </is>
      </c>
      <c r="C56" s="7" t="n">
        <v>10968</v>
      </c>
      <c r="D56" s="7" t="n">
        <v>10960</v>
      </c>
      <c r="E56" s="7" t="n">
        <v>10895</v>
      </c>
      <c r="F56" s="8" t="n">
        <v>12704</v>
      </c>
      <c r="G56" s="8" t="n">
        <v>246084</v>
      </c>
      <c r="H56" s="8" t="n">
        <v>12704</v>
      </c>
      <c r="I56" s="8" t="n">
        <v>244361</v>
      </c>
      <c r="J56" s="11">
        <f>(I56-H56)/1000</f>
        <v/>
      </c>
      <c r="K56" s="7" t="inlineStr">
        <is>
          <t>Yes</t>
        </is>
      </c>
      <c r="L56" s="7" t="n">
        <v>55</v>
      </c>
      <c r="M56" s="12" t="inlineStr">
        <is>
          <t>Howrah, Howrah Sorting Yard, Liluah, Belur, Bally</t>
        </is>
      </c>
    </row>
    <row r="57">
      <c r="A57" s="7" t="inlineStr">
        <is>
          <t>16 Jun</t>
        </is>
      </c>
      <c r="B57" s="7" t="inlineStr">
        <is>
          <t>30204</t>
        </is>
      </c>
      <c r="C57" s="7" t="n">
        <v>14946</v>
      </c>
      <c r="D57" s="7" t="n">
        <v>14938</v>
      </c>
      <c r="E57" s="7" t="n">
        <v>14867</v>
      </c>
      <c r="F57" s="8" t="n">
        <v>12722</v>
      </c>
      <c r="G57" s="8" t="n">
        <v>246084</v>
      </c>
      <c r="H57" s="8" t="n">
        <v>12722</v>
      </c>
      <c r="I57" s="8" t="n">
        <v>244365</v>
      </c>
      <c r="J57" s="11">
        <f>(I57-H57)/1000</f>
        <v/>
      </c>
      <c r="K57" s="7" t="inlineStr">
        <is>
          <t>Yes</t>
        </is>
      </c>
      <c r="L57" s="7" t="n">
        <v>55</v>
      </c>
      <c r="M57" s="12" t="inlineStr">
        <is>
          <t>Howrah, Howrah Sorting Yard, Liluah, Belur, Bally</t>
        </is>
      </c>
    </row>
    <row r="58">
      <c r="A58" s="7" t="inlineStr">
        <is>
          <t>16 Jun</t>
        </is>
      </c>
      <c r="B58" s="7" t="inlineStr">
        <is>
          <t>30624</t>
        </is>
      </c>
      <c r="C58" s="7" t="n">
        <v>9474</v>
      </c>
      <c r="D58" s="7" t="n">
        <v>9453</v>
      </c>
      <c r="E58" s="7" t="n">
        <v>9453</v>
      </c>
      <c r="F58" s="8" t="n">
        <v>691</v>
      </c>
      <c r="G58" s="8" t="n">
        <v>217267</v>
      </c>
      <c r="H58" s="8" t="n">
        <v>691</v>
      </c>
      <c r="I58" s="8" t="n">
        <v>217267</v>
      </c>
      <c r="J58" s="11">
        <f>(I58-H58)/1000</f>
        <v/>
      </c>
      <c r="K58" s="7" t="inlineStr">
        <is>
          <t>Yes</t>
        </is>
      </c>
      <c r="L58" s="7" t="n">
        <v>54</v>
      </c>
      <c r="M58" s="12" t="inlineStr">
        <is>
          <t>Kumardubi, Mugma, Thaparnagar, Kalubathan, Chhota Ambana</t>
        </is>
      </c>
    </row>
    <row r="59" ht="34" customHeight="1">
      <c r="A59" s="7" t="inlineStr">
        <is>
          <t>16 Jun</t>
        </is>
      </c>
      <c r="B59" s="7" t="inlineStr">
        <is>
          <t>37034</t>
        </is>
      </c>
      <c r="C59" s="7" t="n">
        <v>8218</v>
      </c>
      <c r="D59" s="7" t="n">
        <v>8213</v>
      </c>
      <c r="E59" s="7" t="n">
        <v>8204</v>
      </c>
      <c r="F59" s="8" t="n">
        <v>28899</v>
      </c>
      <c r="G59" s="8" t="n">
        <v>244641</v>
      </c>
      <c r="H59" s="8" t="n">
        <v>28899</v>
      </c>
      <c r="I59" s="8" t="n">
        <v>244375</v>
      </c>
      <c r="J59" s="11">
        <f>(I59-H59)/1000</f>
        <v/>
      </c>
      <c r="K59" s="7" t="inlineStr">
        <is>
          <t>Yes</t>
        </is>
      </c>
      <c r="L59" s="7" t="n">
        <v>51</v>
      </c>
      <c r="M59" s="12" t="inlineStr">
        <is>
          <t>Howrah, Howrah Sorting Yard, Liluah, Belur, Bally, Belanagar, Dankuni, Janai Road</t>
        </is>
      </c>
    </row>
    <row r="60" ht="34" customHeight="1">
      <c r="A60" s="7" t="inlineStr">
        <is>
          <t>16 Jun</t>
        </is>
      </c>
      <c r="B60" s="7" t="inlineStr">
        <is>
          <t>37719</t>
        </is>
      </c>
      <c r="C60" s="7" t="n">
        <v>10391</v>
      </c>
      <c r="D60" s="7" t="n">
        <v>10348</v>
      </c>
      <c r="E60" s="7" t="n">
        <v>10183</v>
      </c>
      <c r="F60" s="8" t="n">
        <v>31</v>
      </c>
      <c r="G60" s="8" t="n">
        <v>200086</v>
      </c>
      <c r="H60" s="8" t="n">
        <v>345</v>
      </c>
      <c r="I60" s="8" t="n">
        <v>200086</v>
      </c>
      <c r="J60" s="11">
        <f>(I60-H60)/1000</f>
        <v/>
      </c>
      <c r="K60" s="7" t="inlineStr">
        <is>
          <t>Yes</t>
        </is>
      </c>
      <c r="L60" s="7" t="n">
        <v>50</v>
      </c>
      <c r="M60" s="12" t="inlineStr">
        <is>
          <t>Barachak Jn, Sitarampur Central, Kulti, Barakar, Kumardubi, Mugma, Thaparnagar, Kalubathan, Chhota Ambana</t>
        </is>
      </c>
    </row>
    <row r="61" ht="34" customHeight="1">
      <c r="A61" s="7" t="inlineStr">
        <is>
          <t>16 Jun</t>
        </is>
      </c>
      <c r="B61" s="7" t="inlineStr">
        <is>
          <t>39178</t>
        </is>
      </c>
      <c r="C61" s="7" t="n">
        <v>17629</v>
      </c>
      <c r="D61" s="7" t="n">
        <v>17520</v>
      </c>
      <c r="E61" s="7" t="n">
        <v>17311</v>
      </c>
      <c r="F61" s="8" t="n">
        <v>30</v>
      </c>
      <c r="G61" s="8" t="n">
        <v>200082</v>
      </c>
      <c r="H61" s="8" t="n">
        <v>342</v>
      </c>
      <c r="I61" s="8" t="n">
        <v>200082</v>
      </c>
      <c r="J61" s="11">
        <f>(I61-H61)/1000</f>
        <v/>
      </c>
      <c r="K61" s="7" t="inlineStr">
        <is>
          <t>Yes</t>
        </is>
      </c>
      <c r="L61" s="7" t="n">
        <v>50</v>
      </c>
      <c r="M61" s="12" t="inlineStr">
        <is>
          <t>Barachak Jn, Sitarampur Central, Kulti, Barakar, Kumardubi, Mugma, Thaparnagar, Kalubathan, Chhota Ambana</t>
        </is>
      </c>
    </row>
    <row r="62" ht="34" customHeight="1">
      <c r="A62" s="7" t="inlineStr">
        <is>
          <t>16 Jun</t>
        </is>
      </c>
      <c r="B62" s="7" t="inlineStr">
        <is>
          <t>37501</t>
        </is>
      </c>
      <c r="C62" s="7" t="n">
        <v>8852</v>
      </c>
      <c r="D62" s="7" t="n">
        <v>8812</v>
      </c>
      <c r="E62" s="7" t="n">
        <v>8812</v>
      </c>
      <c r="F62" s="8" t="n">
        <v>688</v>
      </c>
      <c r="G62" s="8" t="n">
        <v>200091</v>
      </c>
      <c r="H62" s="8" t="n">
        <v>688</v>
      </c>
      <c r="I62" s="8" t="n">
        <v>200091</v>
      </c>
      <c r="J62" s="11">
        <f>(I62-H62)/1000</f>
        <v/>
      </c>
      <c r="K62" s="7" t="inlineStr">
        <is>
          <t>Yes</t>
        </is>
      </c>
      <c r="L62" s="7" t="n">
        <v>50</v>
      </c>
      <c r="M62" s="12" t="inlineStr">
        <is>
          <t>Barachak Jn, Sitarampur Central, Kulti, Barakar, Kumardubi, Mugma, Thaparnagar, Kalubathan, Chhota Ambana</t>
        </is>
      </c>
    </row>
    <row r="63" ht="34" customHeight="1">
      <c r="A63" s="7" t="inlineStr">
        <is>
          <t>16 Jun</t>
        </is>
      </c>
      <c r="B63" s="7" t="inlineStr">
        <is>
          <t>39482</t>
        </is>
      </c>
      <c r="C63" s="7" t="n">
        <v>6898</v>
      </c>
      <c r="D63" s="7" t="n">
        <v>6869</v>
      </c>
      <c r="E63" s="7" t="n">
        <v>6869</v>
      </c>
      <c r="F63" s="8" t="n">
        <v>688</v>
      </c>
      <c r="G63" s="8" t="n">
        <v>200090</v>
      </c>
      <c r="H63" s="8" t="n">
        <v>688</v>
      </c>
      <c r="I63" s="8" t="n">
        <v>200090</v>
      </c>
      <c r="J63" s="11">
        <f>(I63-H63)/1000</f>
        <v/>
      </c>
      <c r="K63" s="7" t="inlineStr">
        <is>
          <t>Yes</t>
        </is>
      </c>
      <c r="L63" s="7" t="n">
        <v>50</v>
      </c>
      <c r="M63" s="12" t="inlineStr">
        <is>
          <t>Barachak Jn, Sitarampur Central, Kulti, Barakar, Kumardubi, Mugma, Thaparnagar, Kalubathan, Chhota Ambana</t>
        </is>
      </c>
    </row>
    <row r="64" ht="34" customHeight="1">
      <c r="A64" s="7" t="inlineStr">
        <is>
          <t>16 Jun</t>
        </is>
      </c>
      <c r="B64" s="7" t="inlineStr">
        <is>
          <t>37081</t>
        </is>
      </c>
      <c r="C64" s="7" t="n">
        <v>9475</v>
      </c>
      <c r="D64" s="7" t="n">
        <v>9460</v>
      </c>
      <c r="E64" s="7" t="n">
        <v>9297</v>
      </c>
      <c r="F64" s="8" t="n">
        <v>40</v>
      </c>
      <c r="G64" s="8" t="n">
        <v>199538</v>
      </c>
      <c r="H64" s="8" t="n">
        <v>344</v>
      </c>
      <c r="I64" s="8" t="n">
        <v>199538</v>
      </c>
      <c r="J64" s="11">
        <f>(I64-H64)/1000</f>
        <v/>
      </c>
      <c r="K64" s="7" t="inlineStr">
        <is>
          <t>Yes</t>
        </is>
      </c>
      <c r="L64" s="7" t="n">
        <v>50</v>
      </c>
      <c r="M64" s="12" t="inlineStr">
        <is>
          <t>Barachak Jn, Sitarampur Central, Kulti, Barakar, Kumardubi, Mugma, Thaparnagar, Kalubathan, Chhota Ambana</t>
        </is>
      </c>
    </row>
    <row r="65" ht="34" customHeight="1">
      <c r="A65" s="7" t="inlineStr">
        <is>
          <t>16 Jun</t>
        </is>
      </c>
      <c r="B65" s="7" t="inlineStr">
        <is>
          <t>39133</t>
        </is>
      </c>
      <c r="C65" s="7" t="n">
        <v>9397</v>
      </c>
      <c r="D65" s="7" t="n">
        <v>9377</v>
      </c>
      <c r="E65" s="7" t="n">
        <v>9232</v>
      </c>
      <c r="F65" s="8" t="n">
        <v>21</v>
      </c>
      <c r="G65" s="8" t="n">
        <v>199538</v>
      </c>
      <c r="H65" s="8" t="n">
        <v>343</v>
      </c>
      <c r="I65" s="8" t="n">
        <v>199538</v>
      </c>
      <c r="J65" s="11">
        <f>(I65-H65)/1000</f>
        <v/>
      </c>
      <c r="K65" s="7" t="inlineStr">
        <is>
          <t>Yes</t>
        </is>
      </c>
      <c r="L65" s="7" t="n">
        <v>50</v>
      </c>
      <c r="M65" s="12" t="inlineStr">
        <is>
          <t>Barachak Jn, Sitarampur Central, Kulti, Barakar, Kumardubi, Mugma, Thaparnagar, Kalubathan, Chhota Ambana</t>
        </is>
      </c>
    </row>
    <row r="66" ht="34" customHeight="1">
      <c r="A66" s="7" t="inlineStr">
        <is>
          <t>16 Jun</t>
        </is>
      </c>
      <c r="B66" s="7" t="inlineStr">
        <is>
          <t>37879</t>
        </is>
      </c>
      <c r="C66" s="7" t="n">
        <v>13361</v>
      </c>
      <c r="D66" s="7" t="n">
        <v>13313</v>
      </c>
      <c r="E66" s="7" t="n">
        <v>13169</v>
      </c>
      <c r="F66" s="8" t="n">
        <v>86</v>
      </c>
      <c r="G66" s="8" t="n">
        <v>199392</v>
      </c>
      <c r="H66" s="8" t="n">
        <v>343</v>
      </c>
      <c r="I66" s="8" t="n">
        <v>199392</v>
      </c>
      <c r="J66" s="11">
        <f>(I66-H66)/1000</f>
        <v/>
      </c>
      <c r="K66" s="7" t="inlineStr">
        <is>
          <t>Yes</t>
        </is>
      </c>
      <c r="L66" s="7" t="n">
        <v>50</v>
      </c>
      <c r="M66" s="12" t="inlineStr">
        <is>
          <t>Barachak Jn, Sitarampur Central, Kulti, Barakar, Kumardubi, Mugma, Thaparnagar, Kalubathan, Chhota Ambana</t>
        </is>
      </c>
    </row>
    <row r="67" ht="34" customHeight="1">
      <c r="A67" s="7" t="inlineStr">
        <is>
          <t>16 Jun</t>
        </is>
      </c>
      <c r="B67" s="7" t="inlineStr">
        <is>
          <t>39059</t>
        </is>
      </c>
      <c r="C67" s="7" t="n">
        <v>7932</v>
      </c>
      <c r="D67" s="7" t="n">
        <v>7916</v>
      </c>
      <c r="E67" s="7" t="n">
        <v>7916</v>
      </c>
      <c r="F67" s="8" t="n">
        <v>690</v>
      </c>
      <c r="G67" s="8" t="n">
        <v>199142</v>
      </c>
      <c r="H67" s="8" t="n">
        <v>690</v>
      </c>
      <c r="I67" s="8" t="n">
        <v>199142</v>
      </c>
      <c r="J67" s="11">
        <f>(I67-H67)/1000</f>
        <v/>
      </c>
      <c r="K67" s="7" t="inlineStr">
        <is>
          <t>Yes</t>
        </is>
      </c>
      <c r="L67" s="7" t="n">
        <v>50</v>
      </c>
      <c r="M67" s="12" t="inlineStr">
        <is>
          <t>Barachak Jn, Sitarampur Central, Kulti, Barakar, Kumardubi, Mugma, Thaparnagar, Kalubathan, Chhota Ambana</t>
        </is>
      </c>
    </row>
    <row r="68" ht="49" customHeight="1">
      <c r="A68" s="7" t="inlineStr">
        <is>
          <t>16 Jun</t>
        </is>
      </c>
      <c r="B68" s="7" t="inlineStr">
        <is>
          <t>30503</t>
        </is>
      </c>
      <c r="C68" s="7" t="n">
        <v>6888</v>
      </c>
      <c r="D68" s="7" t="n">
        <v>6858</v>
      </c>
      <c r="E68" s="7" t="n">
        <v>6858</v>
      </c>
      <c r="F68" s="8" t="n">
        <v>4727</v>
      </c>
      <c r="G68" s="8" t="n">
        <v>199393</v>
      </c>
      <c r="H68" s="8" t="n">
        <v>4727</v>
      </c>
      <c r="I68" s="8" t="n">
        <v>199393</v>
      </c>
      <c r="J68" s="11">
        <f>(I68-H68)/1000</f>
        <v/>
      </c>
      <c r="K68" s="7" t="inlineStr">
        <is>
          <t>Yes</t>
        </is>
      </c>
      <c r="L68" s="7" t="n">
        <v>48</v>
      </c>
      <c r="M68" s="12" t="inlineStr">
        <is>
          <t>Howrah, Howrah Sorting Yard, Barachak Jn, Sitarampur Central, Kulti, Barakar, Kumardubi, Mugma, Thaparnagar, Kalubathan, Chhota Ambana</t>
        </is>
      </c>
    </row>
    <row r="69" ht="49" customHeight="1">
      <c r="A69" s="7" t="inlineStr">
        <is>
          <t>16 Jun</t>
        </is>
      </c>
      <c r="B69" s="7" t="inlineStr">
        <is>
          <t>37398</t>
        </is>
      </c>
      <c r="C69" s="7" t="n">
        <v>7354</v>
      </c>
      <c r="D69" s="7" t="n">
        <v>7330</v>
      </c>
      <c r="E69" s="7" t="n">
        <v>7330</v>
      </c>
      <c r="F69" s="8" t="n">
        <v>12149</v>
      </c>
      <c r="G69" s="8" t="n">
        <v>200087</v>
      </c>
      <c r="H69" s="8" t="n">
        <v>12149</v>
      </c>
      <c r="I69" s="8" t="n">
        <v>200087</v>
      </c>
      <c r="J69" s="11">
        <f>(I69-H69)/1000</f>
        <v/>
      </c>
      <c r="K69" s="7" t="inlineStr">
        <is>
          <t>Yes</t>
        </is>
      </c>
      <c r="L69" s="7" t="n">
        <v>45</v>
      </c>
      <c r="M69" s="12" t="inlineStr">
        <is>
          <t>Howrah, Howrah Sorting Yard, Liluah, Belur, Bally, Barachak Jn, Sitarampur Central, Kulti, Barakar, Kumardubi, Mugma, Thaparnagar, Kalubathan, Chhota Ambana</t>
        </is>
      </c>
    </row>
    <row r="70" ht="64" customHeight="1">
      <c r="A70" s="7" t="inlineStr">
        <is>
          <t>16 Jun</t>
        </is>
      </c>
      <c r="B70" s="7" t="inlineStr">
        <is>
          <t>30327</t>
        </is>
      </c>
      <c r="C70" s="7" t="n">
        <v>7230</v>
      </c>
      <c r="D70" s="7" t="n">
        <v>7225</v>
      </c>
      <c r="E70" s="7" t="n">
        <v>7213</v>
      </c>
      <c r="F70" s="8" t="n">
        <v>71468</v>
      </c>
      <c r="G70" s="8" t="n">
        <v>244609</v>
      </c>
      <c r="H70" s="8" t="n">
        <v>71468</v>
      </c>
      <c r="I70" s="8" t="n">
        <v>244371</v>
      </c>
      <c r="J70" s="11">
        <f>(I70-H70)/1000</f>
        <v/>
      </c>
      <c r="K70" s="7" t="inlineStr">
        <is>
          <t>Yes</t>
        </is>
      </c>
      <c r="L70" s="7" t="n">
        <v>39</v>
      </c>
      <c r="M70" s="12" t="inlineStr">
        <is>
          <t>Howrah, Howrah Sorting Yard, Liluah, Belur, Bally, Belanagar, Dankuni, Janai Road, Baruipara, Kamarkundu, LC-31, Chandanpur, LC-38, Belmuri, Cheragram, LC-41, Gurap, LC-48, Jaugram, LC-57</t>
        </is>
      </c>
    </row>
    <row r="71" ht="64" customHeight="1">
      <c r="A71" s="7" t="inlineStr">
        <is>
          <t>16 Jun</t>
        </is>
      </c>
      <c r="B71" s="7" t="inlineStr">
        <is>
          <t>30568</t>
        </is>
      </c>
      <c r="C71" s="7" t="n">
        <v>10820</v>
      </c>
      <c r="D71" s="7" t="n">
        <v>10751</v>
      </c>
      <c r="E71" s="7" t="n">
        <v>10697</v>
      </c>
      <c r="F71" s="8" t="n">
        <v>94</v>
      </c>
      <c r="G71" s="8" t="n">
        <v>165609</v>
      </c>
      <c r="H71" s="8" t="n">
        <v>343</v>
      </c>
      <c r="I71" s="8" t="n">
        <v>165609</v>
      </c>
      <c r="J71" s="11">
        <f>(I71-H71)/1000</f>
        <v/>
      </c>
      <c r="K71" s="7" t="inlineStr">
        <is>
          <t>Yes</t>
        </is>
      </c>
      <c r="L71" s="7" t="n">
        <v>42</v>
      </c>
      <c r="M71" s="12" t="inlineStr">
        <is>
          <t>Andal East Outer, Andal, Baktarnagar B H, Raniganj, Nimcha B H, Ratibati, Kaliphari, Asansol, Barachak Jn, Sitarampur Central, Kulti, Barakar, Kumardubi, Mugma, Thaparnagar, Kalubathan, Chhota Ambana</t>
        </is>
      </c>
    </row>
    <row r="72" ht="94" customHeight="1">
      <c r="A72" s="7" t="inlineStr">
        <is>
          <t>16 Jun</t>
        </is>
      </c>
      <c r="B72" s="7" t="inlineStr">
        <is>
          <t>37268</t>
        </is>
      </c>
      <c r="C72" s="7" t="n">
        <v>8013</v>
      </c>
      <c r="D72" s="7" t="n">
        <v>7960</v>
      </c>
      <c r="E72" s="7" t="n">
        <v>7746</v>
      </c>
      <c r="F72" s="8" t="n">
        <v>39</v>
      </c>
      <c r="G72" s="8" t="n">
        <v>94624</v>
      </c>
      <c r="H72" s="8" t="n">
        <v>343</v>
      </c>
      <c r="I72" s="8" t="n">
        <v>94624</v>
      </c>
      <c r="J72" s="11">
        <f>(I72-H72)/1000</f>
        <v/>
      </c>
      <c r="K72" s="7" t="inlineStr">
        <is>
          <t>Yes</t>
        </is>
      </c>
      <c r="L72" s="7" t="n">
        <v>26</v>
      </c>
      <c r="M7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3" ht="94" customHeight="1">
      <c r="A73" s="7" t="inlineStr">
        <is>
          <t>16 Jun</t>
        </is>
      </c>
      <c r="B73" s="7" t="inlineStr">
        <is>
          <t>37401</t>
        </is>
      </c>
      <c r="C73" s="7" t="n">
        <v>13646</v>
      </c>
      <c r="D73" s="7" t="n">
        <v>13597</v>
      </c>
      <c r="E73" s="7" t="n">
        <v>13024</v>
      </c>
      <c r="F73" s="8" t="n">
        <v>21</v>
      </c>
      <c r="G73" s="8" t="n">
        <v>94622</v>
      </c>
      <c r="H73" s="8" t="n">
        <v>342</v>
      </c>
      <c r="I73" s="8" t="n">
        <v>94622</v>
      </c>
      <c r="J73" s="11">
        <f>(I73-H73)/1000</f>
        <v/>
      </c>
      <c r="K73" s="7" t="inlineStr">
        <is>
          <t>Yes</t>
        </is>
      </c>
      <c r="L73" s="7" t="n">
        <v>26</v>
      </c>
      <c r="M7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4" ht="94" customHeight="1">
      <c r="A74" s="7" t="inlineStr">
        <is>
          <t>16 Jun</t>
        </is>
      </c>
      <c r="B74" s="7" t="inlineStr">
        <is>
          <t>37358</t>
        </is>
      </c>
      <c r="C74" s="7" t="n">
        <v>3378</v>
      </c>
      <c r="D74" s="7" t="n">
        <v>3363</v>
      </c>
      <c r="E74" s="7" t="n">
        <v>3363</v>
      </c>
      <c r="F74" s="8" t="n">
        <v>445</v>
      </c>
      <c r="G74" s="8" t="n">
        <v>94612</v>
      </c>
      <c r="H74" s="8" t="n">
        <v>445</v>
      </c>
      <c r="I74" s="8" t="n">
        <v>94612</v>
      </c>
      <c r="J74" s="11">
        <f>(I74-H74)/1000</f>
        <v/>
      </c>
      <c r="K74" s="7" t="inlineStr">
        <is>
          <t>Yes</t>
        </is>
      </c>
      <c r="L74" s="7" t="n">
        <v>26</v>
      </c>
      <c r="M7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5" ht="94" customHeight="1">
      <c r="A75" s="7" t="inlineStr">
        <is>
          <t>16 Jun</t>
        </is>
      </c>
      <c r="B75" s="7" t="inlineStr">
        <is>
          <t>39113</t>
        </is>
      </c>
      <c r="C75" s="7" t="n">
        <v>3680</v>
      </c>
      <c r="D75" s="7" t="n">
        <v>3664</v>
      </c>
      <c r="E75" s="7" t="n">
        <v>3664</v>
      </c>
      <c r="F75" s="8" t="n">
        <v>736</v>
      </c>
      <c r="G75" s="8" t="n">
        <v>94737</v>
      </c>
      <c r="H75" s="8" t="n">
        <v>736</v>
      </c>
      <c r="I75" s="8" t="n">
        <v>94737</v>
      </c>
      <c r="J75" s="11">
        <f>(I75-H75)/1000</f>
        <v/>
      </c>
      <c r="K75" s="7" t="inlineStr">
        <is>
          <t>Yes</t>
        </is>
      </c>
      <c r="L75" s="7" t="n">
        <v>26</v>
      </c>
      <c r="M7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6" ht="94" customHeight="1">
      <c r="A76" s="7" t="inlineStr">
        <is>
          <t>16 Jun</t>
        </is>
      </c>
      <c r="B76" s="7" t="inlineStr">
        <is>
          <t>39410</t>
        </is>
      </c>
      <c r="C76" s="7" t="n">
        <v>3671</v>
      </c>
      <c r="D76" s="7" t="n">
        <v>3615</v>
      </c>
      <c r="E76" s="7" t="n">
        <v>3615</v>
      </c>
      <c r="F76" s="8" t="n">
        <v>849</v>
      </c>
      <c r="G76" s="8" t="n">
        <v>94735</v>
      </c>
      <c r="H76" s="8" t="n">
        <v>849</v>
      </c>
      <c r="I76" s="8" t="n">
        <v>94735</v>
      </c>
      <c r="J76" s="11">
        <f>(I76-H76)/1000</f>
        <v/>
      </c>
      <c r="K76" s="7" t="inlineStr">
        <is>
          <t>Yes</t>
        </is>
      </c>
      <c r="L76" s="7" t="n">
        <v>26</v>
      </c>
      <c r="M7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7" ht="94" customHeight="1">
      <c r="A77" s="7" t="inlineStr">
        <is>
          <t>16 Jun</t>
        </is>
      </c>
      <c r="B77" s="7" t="inlineStr">
        <is>
          <t>30639</t>
        </is>
      </c>
      <c r="C77" s="7" t="n">
        <v>5299</v>
      </c>
      <c r="D77" s="7" t="n">
        <v>5256</v>
      </c>
      <c r="E77" s="7" t="n">
        <v>5163</v>
      </c>
      <c r="F77" s="8" t="n">
        <v>33</v>
      </c>
      <c r="G77" s="8" t="n">
        <v>94115</v>
      </c>
      <c r="H77" s="8" t="n">
        <v>345</v>
      </c>
      <c r="I77" s="8" t="n">
        <v>94115</v>
      </c>
      <c r="J77" s="11">
        <f>(I77-H77)/1000</f>
        <v/>
      </c>
      <c r="K77" s="7" t="inlineStr">
        <is>
          <t>Yes</t>
        </is>
      </c>
      <c r="L77" s="7" t="n">
        <v>26</v>
      </c>
      <c r="M7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8" ht="94" customHeight="1">
      <c r="A78" s="7" t="inlineStr">
        <is>
          <t>16 Jun</t>
        </is>
      </c>
      <c r="B78" s="7" t="inlineStr">
        <is>
          <t>37860</t>
        </is>
      </c>
      <c r="C78" s="7" t="n">
        <v>5719</v>
      </c>
      <c r="D78" s="7" t="n">
        <v>5696</v>
      </c>
      <c r="E78" s="7" t="n">
        <v>5498</v>
      </c>
      <c r="F78" s="8" t="n">
        <v>32</v>
      </c>
      <c r="G78" s="8" t="n">
        <v>94111</v>
      </c>
      <c r="H78" s="8" t="n">
        <v>343</v>
      </c>
      <c r="I78" s="8" t="n">
        <v>94111</v>
      </c>
      <c r="J78" s="11">
        <f>(I78-H78)/1000</f>
        <v/>
      </c>
      <c r="K78" s="7" t="inlineStr">
        <is>
          <t>Yes</t>
        </is>
      </c>
      <c r="L78" s="7" t="n">
        <v>26</v>
      </c>
      <c r="M7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79" ht="109" customHeight="1">
      <c r="A79" s="7" t="inlineStr">
        <is>
          <t>16 Jun</t>
        </is>
      </c>
      <c r="B79" s="7" t="inlineStr">
        <is>
          <t>30329</t>
        </is>
      </c>
      <c r="C79" s="7" t="n">
        <v>6870</v>
      </c>
      <c r="D79" s="7" t="n">
        <v>6845</v>
      </c>
      <c r="E79" s="7" t="n">
        <v>6845</v>
      </c>
      <c r="F79" s="8" t="n">
        <v>12113</v>
      </c>
      <c r="G79" s="8" t="n">
        <v>94753</v>
      </c>
      <c r="H79" s="8" t="n">
        <v>12113</v>
      </c>
      <c r="I79" s="8" t="n">
        <v>94753</v>
      </c>
      <c r="J79" s="11">
        <f>(I79-H79)/1000</f>
        <v/>
      </c>
      <c r="K79" s="7" t="inlineStr">
        <is>
          <t>Yes</t>
        </is>
      </c>
      <c r="L79" s="7" t="n">
        <v>21</v>
      </c>
      <c r="M79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0" ht="109" customHeight="1">
      <c r="A80" s="7" t="inlineStr">
        <is>
          <t>16 Jun</t>
        </is>
      </c>
      <c r="B80" s="7" t="inlineStr">
        <is>
          <t>30455</t>
        </is>
      </c>
      <c r="C80" s="7" t="n">
        <v>2745</v>
      </c>
      <c r="D80" s="7" t="n">
        <v>2741</v>
      </c>
      <c r="E80" s="7" t="n">
        <v>2741</v>
      </c>
      <c r="F80" s="8" t="n">
        <v>12113</v>
      </c>
      <c r="G80" s="8" t="n">
        <v>94757</v>
      </c>
      <c r="H80" s="8" t="n">
        <v>12113</v>
      </c>
      <c r="I80" s="8" t="n">
        <v>94757</v>
      </c>
      <c r="J80" s="11">
        <f>(I80-H80)/1000</f>
        <v/>
      </c>
      <c r="K80" s="7" t="inlineStr">
        <is>
          <t>Yes</t>
        </is>
      </c>
      <c r="L80" s="7" t="n">
        <v>21</v>
      </c>
      <c r="M80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1" ht="109" customHeight="1">
      <c r="A81" s="7" t="inlineStr">
        <is>
          <t>16 Jun</t>
        </is>
      </c>
      <c r="B81" s="7" t="inlineStr">
        <is>
          <t>30203</t>
        </is>
      </c>
      <c r="C81" s="7" t="n">
        <v>3238</v>
      </c>
      <c r="D81" s="7" t="n">
        <v>3233</v>
      </c>
      <c r="E81" s="7" t="n">
        <v>3233</v>
      </c>
      <c r="F81" s="8" t="n">
        <v>12113</v>
      </c>
      <c r="G81" s="8" t="n">
        <v>94720</v>
      </c>
      <c r="H81" s="8" t="n">
        <v>12113</v>
      </c>
      <c r="I81" s="8" t="n">
        <v>94720</v>
      </c>
      <c r="J81" s="11">
        <f>(I81-H81)/1000</f>
        <v/>
      </c>
      <c r="K81" s="7" t="inlineStr">
        <is>
          <t>Yes</t>
        </is>
      </c>
      <c r="L81" s="7" t="n">
        <v>21</v>
      </c>
      <c r="M81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2" ht="109" customHeight="1">
      <c r="A82" s="7" t="inlineStr">
        <is>
          <t>16 Jun</t>
        </is>
      </c>
      <c r="B82" s="7" t="inlineStr">
        <is>
          <t>30322</t>
        </is>
      </c>
      <c r="C82" s="7" t="n">
        <v>3081</v>
      </c>
      <c r="D82" s="7" t="n">
        <v>3076</v>
      </c>
      <c r="E82" s="7" t="n">
        <v>3076</v>
      </c>
      <c r="F82" s="8" t="n">
        <v>12118</v>
      </c>
      <c r="G82" s="8" t="n">
        <v>94650</v>
      </c>
      <c r="H82" s="8" t="n">
        <v>12118</v>
      </c>
      <c r="I82" s="8" t="n">
        <v>94650</v>
      </c>
      <c r="J82" s="11">
        <f>(I82-H82)/1000</f>
        <v/>
      </c>
      <c r="K82" s="7" t="inlineStr">
        <is>
          <t>Yes</t>
        </is>
      </c>
      <c r="L82" s="7" t="n">
        <v>21</v>
      </c>
      <c r="M82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3" ht="109" customHeight="1">
      <c r="A83" s="7" t="inlineStr">
        <is>
          <t>16 Jun</t>
        </is>
      </c>
      <c r="B83" s="7" t="inlineStr">
        <is>
          <t>37609</t>
        </is>
      </c>
      <c r="C83" s="7" t="n">
        <v>6184</v>
      </c>
      <c r="D83" s="7" t="n">
        <v>6163</v>
      </c>
      <c r="E83" s="7" t="n">
        <v>6163</v>
      </c>
      <c r="F83" s="8" t="n">
        <v>12113</v>
      </c>
      <c r="G83" s="8" t="n">
        <v>94624</v>
      </c>
      <c r="H83" s="8" t="n">
        <v>12113</v>
      </c>
      <c r="I83" s="8" t="n">
        <v>94624</v>
      </c>
      <c r="J83" s="11">
        <f>(I83-H83)/1000</f>
        <v/>
      </c>
      <c r="K83" s="7" t="inlineStr">
        <is>
          <t>Yes</t>
        </is>
      </c>
      <c r="L83" s="7" t="n">
        <v>21</v>
      </c>
      <c r="M83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84" ht="109" customHeight="1">
      <c r="A84" s="7" t="inlineStr">
        <is>
          <t>16 Jun</t>
        </is>
      </c>
      <c r="B84" s="7" t="inlineStr">
        <is>
          <t>37585</t>
        </is>
      </c>
      <c r="C84" s="7" t="n">
        <v>3589</v>
      </c>
      <c r="D84" s="7" t="n">
        <v>3584</v>
      </c>
      <c r="E84" s="7" t="n">
        <v>3575</v>
      </c>
      <c r="F84" s="8" t="n">
        <v>165099</v>
      </c>
      <c r="G84" s="8" t="n">
        <v>244640</v>
      </c>
      <c r="H84" s="8" t="n">
        <v>165099</v>
      </c>
      <c r="I84" s="8" t="n">
        <v>244375</v>
      </c>
      <c r="J84" s="11">
        <f>(I84-H84)/1000</f>
        <v/>
      </c>
      <c r="K84" s="7" t="inlineStr">
        <is>
          <t>Yes</t>
        </is>
      </c>
      <c r="L84" s="7" t="n">
        <v>20</v>
      </c>
      <c r="M84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</t>
        </is>
      </c>
    </row>
    <row r="85" ht="139" customHeight="1">
      <c r="A85" s="7" t="inlineStr">
        <is>
          <t>16 Jun</t>
        </is>
      </c>
      <c r="B85" s="7" t="inlineStr">
        <is>
          <t>555555</t>
        </is>
      </c>
      <c r="C85" s="7" t="n">
        <v>36</v>
      </c>
      <c r="D85" s="7" t="n">
        <v>36</v>
      </c>
      <c r="E85" s="7" t="n">
        <v>36</v>
      </c>
      <c r="F85" s="8" t="n">
        <v>94104</v>
      </c>
      <c r="G85" s="8" t="n">
        <v>99099</v>
      </c>
      <c r="H85" s="8" t="n">
        <v>94104</v>
      </c>
      <c r="I85" s="8" t="n">
        <v>99099</v>
      </c>
      <c r="J85" s="11">
        <f>(I85-H85)/1000</f>
        <v/>
      </c>
      <c r="K85" s="7" t="inlineStr">
        <is>
          <t>Yes</t>
        </is>
      </c>
      <c r="L85" s="7" t="n">
        <v>2</v>
      </c>
      <c r="M85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86" ht="139" customHeight="1">
      <c r="A86" s="7" t="inlineStr">
        <is>
          <t>16 Jun</t>
        </is>
      </c>
      <c r="B86" s="7" t="inlineStr">
        <is>
          <t>37025</t>
        </is>
      </c>
      <c r="C86" s="7" t="n">
        <v>155</v>
      </c>
      <c r="D86" s="7" t="n">
        <v>127</v>
      </c>
      <c r="E86" s="7" t="n">
        <v>127</v>
      </c>
      <c r="F86" s="8" t="n">
        <v>196843</v>
      </c>
      <c r="G86" s="8" t="n">
        <v>199393</v>
      </c>
      <c r="H86" s="8" t="n">
        <v>196843</v>
      </c>
      <c r="I86" s="8" t="n">
        <v>199393</v>
      </c>
      <c r="J86" s="11">
        <f>(I86-H86)/1000</f>
        <v/>
      </c>
      <c r="K86" s="7" t="inlineStr">
        <is>
          <t>Yes</t>
        </is>
      </c>
      <c r="L86" s="7" t="n">
        <v>1</v>
      </c>
      <c r="M86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87" ht="139" customHeight="1">
      <c r="A87" s="7" t="inlineStr">
        <is>
          <t>16 Jun</t>
        </is>
      </c>
      <c r="B87" s="7" t="inlineStr">
        <is>
          <t>37657</t>
        </is>
      </c>
      <c r="C87" s="7" t="n">
        <v>449</v>
      </c>
      <c r="D87" s="7" t="n">
        <v>423</v>
      </c>
      <c r="E87" s="7" t="n">
        <v>415</v>
      </c>
      <c r="F87" s="8" t="n">
        <v>322</v>
      </c>
      <c r="G87" s="8" t="n">
        <v>858</v>
      </c>
      <c r="H87" s="8" t="n">
        <v>343</v>
      </c>
      <c r="I87" s="8" t="n">
        <v>858</v>
      </c>
      <c r="J87" s="11">
        <f>(I87-H87)/1000</f>
        <v/>
      </c>
      <c r="K87" s="7" t="inlineStr">
        <is>
          <t>Yes</t>
        </is>
      </c>
      <c r="L87" s="7" t="n">
        <v>1</v>
      </c>
      <c r="M87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88" ht="139" customHeight="1">
      <c r="A88" s="9" t="inlineStr">
        <is>
          <t>16 Jun</t>
        </is>
      </c>
      <c r="B88" s="9" t="inlineStr">
        <is>
          <t>30099</t>
        </is>
      </c>
      <c r="C88" s="9" t="n">
        <v>2</v>
      </c>
      <c r="D88" s="9" t="n">
        <v>0</v>
      </c>
      <c r="E88" s="9" t="n">
        <v>0</v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3" t="n">
        <v>0</v>
      </c>
      <c r="K88" s="9" t="inlineStr">
        <is>
          <t>No</t>
        </is>
      </c>
      <c r="L88" s="9" t="n">
        <v>0</v>
      </c>
      <c r="M8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89" ht="139" customHeight="1">
      <c r="A89" s="9" t="inlineStr">
        <is>
          <t>16 Jun</t>
        </is>
      </c>
      <c r="B89" s="9" t="inlineStr">
        <is>
          <t>30191</t>
        </is>
      </c>
      <c r="C89" s="9" t="n">
        <v>5</v>
      </c>
      <c r="D89" s="9" t="n">
        <v>0</v>
      </c>
      <c r="E89" s="9" t="n">
        <v>0</v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3" t="n">
        <v>0</v>
      </c>
      <c r="K89" s="9" t="inlineStr">
        <is>
          <t>No</t>
        </is>
      </c>
      <c r="L89" s="9" t="n">
        <v>0</v>
      </c>
      <c r="M8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0" ht="139" customHeight="1">
      <c r="A90" s="9" t="inlineStr">
        <is>
          <t>16 Jun</t>
        </is>
      </c>
      <c r="B90" s="9" t="inlineStr">
        <is>
          <t>30457</t>
        </is>
      </c>
      <c r="C90" s="9" t="n">
        <v>141</v>
      </c>
      <c r="D90" s="9" t="n">
        <v>66</v>
      </c>
      <c r="E90" s="9" t="n">
        <v>66</v>
      </c>
      <c r="F90" s="10" t="n">
        <v>199391</v>
      </c>
      <c r="G90" s="10" t="n">
        <v>199393</v>
      </c>
      <c r="H90" s="10" t="n">
        <v>199391</v>
      </c>
      <c r="I90" s="10" t="n">
        <v>199393</v>
      </c>
      <c r="J90" s="13">
        <f>(I90-H90)/1000</f>
        <v/>
      </c>
      <c r="K90" s="9" t="inlineStr">
        <is>
          <t>No</t>
        </is>
      </c>
      <c r="L90" s="9" t="n">
        <v>1</v>
      </c>
      <c r="M9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91" ht="139" customHeight="1">
      <c r="A91" s="9" t="inlineStr">
        <is>
          <t>16 Jun</t>
        </is>
      </c>
      <c r="B91" s="9" t="inlineStr">
        <is>
          <t>30552</t>
        </is>
      </c>
      <c r="C91" s="9" t="n">
        <v>17</v>
      </c>
      <c r="D91" s="9" t="n">
        <v>10</v>
      </c>
      <c r="E91" s="9" t="n">
        <v>0</v>
      </c>
      <c r="F91" s="10" t="n">
        <v>100</v>
      </c>
      <c r="G91" s="10" t="n">
        <v>204</v>
      </c>
      <c r="H91" s="10" t="inlineStr">
        <is>
          <t>-</t>
        </is>
      </c>
      <c r="I91" s="10" t="inlineStr">
        <is>
          <t>-</t>
        </is>
      </c>
      <c r="J91" s="13" t="n">
        <v>0</v>
      </c>
      <c r="K91" s="9" t="inlineStr">
        <is>
          <t>No</t>
        </is>
      </c>
      <c r="L91" s="9" t="n">
        <v>0</v>
      </c>
      <c r="M9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2" ht="139" customHeight="1">
      <c r="A92" s="9" t="inlineStr">
        <is>
          <t>16 Jun</t>
        </is>
      </c>
      <c r="B92" s="9" t="inlineStr">
        <is>
          <t>34216</t>
        </is>
      </c>
      <c r="C92" s="9" t="n">
        <v>188</v>
      </c>
      <c r="D92" s="9" t="n">
        <v>188</v>
      </c>
      <c r="E92" s="9" t="n">
        <v>0</v>
      </c>
      <c r="F92" s="10" t="n">
        <v>2500011</v>
      </c>
      <c r="G92" s="10" t="n">
        <v>2500625</v>
      </c>
      <c r="H92" s="10" t="inlineStr">
        <is>
          <t>-</t>
        </is>
      </c>
      <c r="I92" s="10" t="inlineStr">
        <is>
          <t>-</t>
        </is>
      </c>
      <c r="J92" s="13" t="n">
        <v>0</v>
      </c>
      <c r="K92" s="9" t="inlineStr">
        <is>
          <t>No</t>
        </is>
      </c>
      <c r="L92" s="9" t="n">
        <v>0</v>
      </c>
      <c r="M9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3" ht="139" customHeight="1">
      <c r="A93" s="9" t="inlineStr">
        <is>
          <t>16 Jun</t>
        </is>
      </c>
      <c r="B93" s="9" t="inlineStr">
        <is>
          <t>35003</t>
        </is>
      </c>
      <c r="C93" s="9" t="n">
        <v>5</v>
      </c>
      <c r="D93" s="9" t="n">
        <v>0</v>
      </c>
      <c r="E93" s="9" t="n">
        <v>0</v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3" t="n">
        <v>0</v>
      </c>
      <c r="K93" s="9" t="inlineStr">
        <is>
          <t>No</t>
        </is>
      </c>
      <c r="L93" s="9" t="n">
        <v>0</v>
      </c>
      <c r="M9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4" ht="139" customHeight="1">
      <c r="A94" s="9" t="inlineStr">
        <is>
          <t>16 Jun</t>
        </is>
      </c>
      <c r="B94" s="9" t="inlineStr">
        <is>
          <t>35048</t>
        </is>
      </c>
      <c r="C94" s="9" t="n">
        <v>5</v>
      </c>
      <c r="D94" s="9" t="n">
        <v>0</v>
      </c>
      <c r="E94" s="9" t="n">
        <v>0</v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3" t="n">
        <v>0</v>
      </c>
      <c r="K94" s="9" t="inlineStr">
        <is>
          <t>No</t>
        </is>
      </c>
      <c r="L94" s="9" t="n">
        <v>0</v>
      </c>
      <c r="M9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5" ht="139" customHeight="1">
      <c r="A95" s="9" t="inlineStr">
        <is>
          <t>16 Jun</t>
        </is>
      </c>
      <c r="B95" s="9" t="inlineStr">
        <is>
          <t>37014</t>
        </is>
      </c>
      <c r="C95" s="9" t="n">
        <v>5</v>
      </c>
      <c r="D95" s="9" t="n">
        <v>0</v>
      </c>
      <c r="E95" s="9" t="n">
        <v>0</v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3" t="n">
        <v>0</v>
      </c>
      <c r="K95" s="9" t="inlineStr">
        <is>
          <t>No</t>
        </is>
      </c>
      <c r="L95" s="9" t="n">
        <v>0</v>
      </c>
      <c r="M9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6" ht="139" customHeight="1">
      <c r="A96" s="9" t="inlineStr">
        <is>
          <t>16 Jun</t>
        </is>
      </c>
      <c r="B96" s="9" t="inlineStr">
        <is>
          <t>37016</t>
        </is>
      </c>
      <c r="C96" s="9" t="n">
        <v>5</v>
      </c>
      <c r="D96" s="9" t="n">
        <v>0</v>
      </c>
      <c r="E96" s="9" t="n">
        <v>0</v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3" t="n">
        <v>0</v>
      </c>
      <c r="K96" s="9" t="inlineStr">
        <is>
          <t>No</t>
        </is>
      </c>
      <c r="L96" s="9" t="n">
        <v>0</v>
      </c>
      <c r="M9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7" ht="139" customHeight="1">
      <c r="A97" s="9" t="inlineStr">
        <is>
          <t>16 Jun</t>
        </is>
      </c>
      <c r="B97" s="9" t="inlineStr">
        <is>
          <t>41957</t>
        </is>
      </c>
      <c r="C97" s="9" t="n">
        <v>5</v>
      </c>
      <c r="D97" s="9" t="n">
        <v>0</v>
      </c>
      <c r="E97" s="9" t="n">
        <v>0</v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3" t="n">
        <v>0</v>
      </c>
      <c r="K97" s="9" t="inlineStr">
        <is>
          <t>No</t>
        </is>
      </c>
      <c r="L97" s="9" t="n">
        <v>0</v>
      </c>
      <c r="M9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8" ht="139" customHeight="1">
      <c r="A98" s="9" t="inlineStr">
        <is>
          <t>16 Jun</t>
        </is>
      </c>
      <c r="B98" s="9" t="inlineStr">
        <is>
          <t>43970</t>
        </is>
      </c>
      <c r="C98" s="9" t="n">
        <v>11</v>
      </c>
      <c r="D98" s="9" t="n">
        <v>0</v>
      </c>
      <c r="E98" s="9" t="n">
        <v>0</v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3" t="n">
        <v>0</v>
      </c>
      <c r="K98" s="9" t="inlineStr">
        <is>
          <t>No</t>
        </is>
      </c>
      <c r="L98" s="9" t="n">
        <v>0</v>
      </c>
      <c r="M9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99" ht="139" customHeight="1">
      <c r="A99" s="9" t="inlineStr">
        <is>
          <t>16 Jun</t>
        </is>
      </c>
      <c r="B99" s="9" t="inlineStr">
        <is>
          <t>45003</t>
        </is>
      </c>
      <c r="C99" s="9" t="n">
        <v>1</v>
      </c>
      <c r="D99" s="9" t="n">
        <v>0</v>
      </c>
      <c r="E99" s="9" t="n">
        <v>0</v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3" t="n">
        <v>0</v>
      </c>
      <c r="K99" s="9" t="inlineStr">
        <is>
          <t>No</t>
        </is>
      </c>
      <c r="L99" s="9" t="n">
        <v>0</v>
      </c>
      <c r="M9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00">
      <c r="A100" s="7" t="inlineStr">
        <is>
          <t>17 Jun</t>
        </is>
      </c>
      <c r="B100" s="7" t="inlineStr">
        <is>
          <t>30692</t>
        </is>
      </c>
      <c r="C100" s="7" t="n">
        <v>11796</v>
      </c>
      <c r="D100" s="7" t="n">
        <v>11760</v>
      </c>
      <c r="E100" s="7" t="n">
        <v>11622</v>
      </c>
      <c r="F100" s="8" t="n">
        <v>31</v>
      </c>
      <c r="G100" s="8" t="n">
        <v>246089</v>
      </c>
      <c r="H100" s="8" t="n">
        <v>344</v>
      </c>
      <c r="I100" s="8" t="n">
        <v>244350</v>
      </c>
      <c r="J100" s="11">
        <f>(I100-H100)/1000</f>
        <v/>
      </c>
      <c r="K100" s="7" t="inlineStr">
        <is>
          <t>Yes</t>
        </is>
      </c>
      <c r="L100" s="7" t="n">
        <v>60</v>
      </c>
      <c r="M100" s="12" t="inlineStr">
        <is>
          <t>- (full trip)</t>
        </is>
      </c>
    </row>
    <row r="101">
      <c r="A101" s="7" t="inlineStr">
        <is>
          <t>17 Jun</t>
        </is>
      </c>
      <c r="B101" s="7" t="inlineStr">
        <is>
          <t>35049</t>
        </is>
      </c>
      <c r="C101" s="7" t="n">
        <v>13211</v>
      </c>
      <c r="D101" s="7" t="n">
        <v>13201</v>
      </c>
      <c r="E101" s="7" t="n">
        <v>12971</v>
      </c>
      <c r="F101" s="8" t="n">
        <v>63</v>
      </c>
      <c r="G101" s="8" t="n">
        <v>246056</v>
      </c>
      <c r="H101" s="8" t="n">
        <v>343</v>
      </c>
      <c r="I101" s="8" t="n">
        <v>244350</v>
      </c>
      <c r="J101" s="11">
        <f>(I101-H101)/1000</f>
        <v/>
      </c>
      <c r="K101" s="7" t="inlineStr">
        <is>
          <t>Yes</t>
        </is>
      </c>
      <c r="L101" s="7" t="n">
        <v>60</v>
      </c>
      <c r="M101" s="12" t="inlineStr">
        <is>
          <t>- (full trip)</t>
        </is>
      </c>
    </row>
    <row r="102">
      <c r="A102" s="7" t="inlineStr">
        <is>
          <t>17 Jun</t>
        </is>
      </c>
      <c r="B102" s="7" t="inlineStr">
        <is>
          <t>37778</t>
        </is>
      </c>
      <c r="C102" s="7" t="n">
        <v>8797</v>
      </c>
      <c r="D102" s="7" t="n">
        <v>8779</v>
      </c>
      <c r="E102" s="7" t="n">
        <v>8779</v>
      </c>
      <c r="F102" s="8" t="n">
        <v>444</v>
      </c>
      <c r="G102" s="8" t="n">
        <v>244355</v>
      </c>
      <c r="H102" s="8" t="n">
        <v>444</v>
      </c>
      <c r="I102" s="8" t="n">
        <v>244355</v>
      </c>
      <c r="J102" s="11">
        <f>(I102-H102)/1000</f>
        <v/>
      </c>
      <c r="K102" s="7" t="inlineStr">
        <is>
          <t>Yes</t>
        </is>
      </c>
      <c r="L102" s="7" t="n">
        <v>60</v>
      </c>
      <c r="M102" s="12" t="inlineStr">
        <is>
          <t>- (full trip)</t>
        </is>
      </c>
    </row>
    <row r="103">
      <c r="A103" s="7" t="inlineStr">
        <is>
          <t>17 Jun</t>
        </is>
      </c>
      <c r="B103" s="7" t="inlineStr">
        <is>
          <t>30200</t>
        </is>
      </c>
      <c r="C103" s="7" t="n">
        <v>11511</v>
      </c>
      <c r="D103" s="7" t="n">
        <v>11486</v>
      </c>
      <c r="E103" s="7" t="n">
        <v>11480</v>
      </c>
      <c r="F103" s="8" t="n">
        <v>613</v>
      </c>
      <c r="G103" s="8" t="n">
        <v>244544</v>
      </c>
      <c r="H103" s="8" t="n">
        <v>613</v>
      </c>
      <c r="I103" s="8" t="n">
        <v>244376</v>
      </c>
      <c r="J103" s="11">
        <f>(I103-H103)/1000</f>
        <v/>
      </c>
      <c r="K103" s="7" t="inlineStr">
        <is>
          <t>Yes</t>
        </is>
      </c>
      <c r="L103" s="7" t="n">
        <v>60</v>
      </c>
      <c r="M103" s="12" t="inlineStr">
        <is>
          <t>- (full trip)</t>
        </is>
      </c>
    </row>
    <row r="104">
      <c r="A104" s="7" t="inlineStr">
        <is>
          <t>17 Jun</t>
        </is>
      </c>
      <c r="B104" s="7" t="inlineStr">
        <is>
          <t>39409</t>
        </is>
      </c>
      <c r="C104" s="7" t="n">
        <v>8689</v>
      </c>
      <c r="D104" s="7" t="n">
        <v>8273</v>
      </c>
      <c r="E104" s="7" t="n">
        <v>8263</v>
      </c>
      <c r="F104" s="8" t="n">
        <v>689</v>
      </c>
      <c r="G104" s="8" t="n">
        <v>244634</v>
      </c>
      <c r="H104" s="8" t="n">
        <v>689</v>
      </c>
      <c r="I104" s="8" t="n">
        <v>244367</v>
      </c>
      <c r="J104" s="11">
        <f>(I104-H104)/1000</f>
        <v/>
      </c>
      <c r="K104" s="7" t="inlineStr">
        <is>
          <t>Yes</t>
        </is>
      </c>
      <c r="L104" s="7" t="n">
        <v>60</v>
      </c>
      <c r="M104" s="12" t="inlineStr">
        <is>
          <t>- (full trip)</t>
        </is>
      </c>
    </row>
    <row r="105">
      <c r="A105" s="7" t="inlineStr">
        <is>
          <t>17 Jun</t>
        </is>
      </c>
      <c r="B105" s="7" t="inlineStr">
        <is>
          <t>37720</t>
        </is>
      </c>
      <c r="C105" s="7" t="n">
        <v>11065</v>
      </c>
      <c r="D105" s="7" t="n">
        <v>11047</v>
      </c>
      <c r="E105" s="7" t="n">
        <v>10986</v>
      </c>
      <c r="F105" s="8" t="n">
        <v>12120</v>
      </c>
      <c r="G105" s="8" t="n">
        <v>246089</v>
      </c>
      <c r="H105" s="8" t="n">
        <v>12120</v>
      </c>
      <c r="I105" s="8" t="n">
        <v>244371</v>
      </c>
      <c r="J105" s="11">
        <f>(I105-H105)/1000</f>
        <v/>
      </c>
      <c r="K105" s="7" t="inlineStr">
        <is>
          <t>Yes</t>
        </is>
      </c>
      <c r="L105" s="7" t="n">
        <v>55</v>
      </c>
      <c r="M105" s="12" t="inlineStr">
        <is>
          <t>Howrah, Howrah Sorting Yard, Liluah, Belur, Bally</t>
        </is>
      </c>
    </row>
    <row r="106">
      <c r="A106" s="7" t="inlineStr">
        <is>
          <t>17 Jun</t>
        </is>
      </c>
      <c r="B106" s="7" t="inlineStr">
        <is>
          <t>30455</t>
        </is>
      </c>
      <c r="C106" s="7" t="n">
        <v>10589</v>
      </c>
      <c r="D106" s="7" t="n">
        <v>10568</v>
      </c>
      <c r="E106" s="7" t="n">
        <v>10560</v>
      </c>
      <c r="F106" s="8" t="n">
        <v>12113</v>
      </c>
      <c r="G106" s="8" t="n">
        <v>244576</v>
      </c>
      <c r="H106" s="8" t="n">
        <v>12113</v>
      </c>
      <c r="I106" s="8" t="n">
        <v>244350</v>
      </c>
      <c r="J106" s="11">
        <f>(I106-H106)/1000</f>
        <v/>
      </c>
      <c r="K106" s="7" t="inlineStr">
        <is>
          <t>Yes</t>
        </is>
      </c>
      <c r="L106" s="7" t="n">
        <v>55</v>
      </c>
      <c r="M106" s="12" t="inlineStr">
        <is>
          <t>Howrah, Howrah Sorting Yard, Liluah, Belur, Bally</t>
        </is>
      </c>
    </row>
    <row r="107">
      <c r="A107" s="7" t="inlineStr">
        <is>
          <t>17 Jun</t>
        </is>
      </c>
      <c r="B107" s="7" t="inlineStr">
        <is>
          <t>37360</t>
        </is>
      </c>
      <c r="C107" s="7" t="n">
        <v>11463</v>
      </c>
      <c r="D107" s="7" t="n">
        <v>11457</v>
      </c>
      <c r="E107" s="7" t="n">
        <v>11448</v>
      </c>
      <c r="F107" s="8" t="n">
        <v>12128</v>
      </c>
      <c r="G107" s="8" t="n">
        <v>244609</v>
      </c>
      <c r="H107" s="8" t="n">
        <v>12128</v>
      </c>
      <c r="I107" s="8" t="n">
        <v>244353</v>
      </c>
      <c r="J107" s="11">
        <f>(I107-H107)/1000</f>
        <v/>
      </c>
      <c r="K107" s="7" t="inlineStr">
        <is>
          <t>Yes</t>
        </is>
      </c>
      <c r="L107" s="7" t="n">
        <v>55</v>
      </c>
      <c r="M107" s="12" t="inlineStr">
        <is>
          <t>Howrah, Howrah Sorting Yard, Liluah, Belur, Bally</t>
        </is>
      </c>
    </row>
    <row r="108">
      <c r="A108" s="7" t="inlineStr">
        <is>
          <t>17 Jun</t>
        </is>
      </c>
      <c r="B108" s="7" t="inlineStr">
        <is>
          <t>37959</t>
        </is>
      </c>
      <c r="C108" s="7" t="n">
        <v>7756</v>
      </c>
      <c r="D108" s="7" t="n">
        <v>7722</v>
      </c>
      <c r="E108" s="7" t="n">
        <v>7713</v>
      </c>
      <c r="F108" s="8" t="n">
        <v>12157</v>
      </c>
      <c r="G108" s="8" t="n">
        <v>244635</v>
      </c>
      <c r="H108" s="8" t="n">
        <v>12157</v>
      </c>
      <c r="I108" s="8" t="n">
        <v>244365</v>
      </c>
      <c r="J108" s="11">
        <f>(I108-H108)/1000</f>
        <v/>
      </c>
      <c r="K108" s="7" t="inlineStr">
        <is>
          <t>Yes</t>
        </is>
      </c>
      <c r="L108" s="7" t="n">
        <v>55</v>
      </c>
      <c r="M108" s="12" t="inlineStr">
        <is>
          <t>Howrah, Howrah Sorting Yard, Liluah, Belur, Bally</t>
        </is>
      </c>
    </row>
    <row r="109" ht="34" customHeight="1">
      <c r="A109" s="7" t="inlineStr">
        <is>
          <t>17 Jun</t>
        </is>
      </c>
      <c r="B109" s="7" t="inlineStr">
        <is>
          <t>30639</t>
        </is>
      </c>
      <c r="C109" s="7" t="n">
        <v>8281</v>
      </c>
      <c r="D109" s="7" t="n">
        <v>8276</v>
      </c>
      <c r="E109" s="7" t="n">
        <v>8263</v>
      </c>
      <c r="F109" s="8" t="n">
        <v>28618</v>
      </c>
      <c r="G109" s="8" t="n">
        <v>244648</v>
      </c>
      <c r="H109" s="8" t="n">
        <v>28618</v>
      </c>
      <c r="I109" s="8" t="n">
        <v>244361</v>
      </c>
      <c r="J109" s="11">
        <f>(I109-H109)/1000</f>
        <v/>
      </c>
      <c r="K109" s="7" t="inlineStr">
        <is>
          <t>Yes</t>
        </is>
      </c>
      <c r="L109" s="7" t="n">
        <v>51</v>
      </c>
      <c r="M109" s="12" t="inlineStr">
        <is>
          <t>Howrah, Howrah Sorting Yard, Liluah, Belur, Bally, Belanagar, Dankuni, Janai Road</t>
        </is>
      </c>
    </row>
    <row r="110" ht="34" customHeight="1">
      <c r="A110" s="7" t="inlineStr">
        <is>
          <t>17 Jun</t>
        </is>
      </c>
      <c r="B110" s="7" t="inlineStr">
        <is>
          <t>39111</t>
        </is>
      </c>
      <c r="C110" s="7" t="n">
        <v>15390</v>
      </c>
      <c r="D110" s="7" t="n">
        <v>15350</v>
      </c>
      <c r="E110" s="7" t="n">
        <v>15196</v>
      </c>
      <c r="F110" s="8" t="n">
        <v>27</v>
      </c>
      <c r="G110" s="8" t="n">
        <v>200080</v>
      </c>
      <c r="H110" s="8" t="n">
        <v>342</v>
      </c>
      <c r="I110" s="8" t="n">
        <v>200080</v>
      </c>
      <c r="J110" s="11">
        <f>(I110-H110)/1000</f>
        <v/>
      </c>
      <c r="K110" s="7" t="inlineStr">
        <is>
          <t>Yes</t>
        </is>
      </c>
      <c r="L110" s="7" t="n">
        <v>50</v>
      </c>
      <c r="M110" s="12" t="inlineStr">
        <is>
          <t>Barachak Jn, Sitarampur Central, Kulti, Barakar, Kumardubi, Mugma, Thaparnagar, Kalubathan, Chhota Ambana</t>
        </is>
      </c>
    </row>
    <row r="111" ht="34" customHeight="1">
      <c r="A111" s="7" t="inlineStr">
        <is>
          <t>17 Jun</t>
        </is>
      </c>
      <c r="B111" s="7" t="inlineStr">
        <is>
          <t>37182</t>
        </is>
      </c>
      <c r="C111" s="7" t="n">
        <v>13287</v>
      </c>
      <c r="D111" s="7" t="n">
        <v>13248</v>
      </c>
      <c r="E111" s="7" t="n">
        <v>13074</v>
      </c>
      <c r="F111" s="8" t="n">
        <v>31</v>
      </c>
      <c r="G111" s="8" t="n">
        <v>200074</v>
      </c>
      <c r="H111" s="8" t="n">
        <v>343</v>
      </c>
      <c r="I111" s="8" t="n">
        <v>200074</v>
      </c>
      <c r="J111" s="11">
        <f>(I111-H111)/1000</f>
        <v/>
      </c>
      <c r="K111" s="7" t="inlineStr">
        <is>
          <t>Yes</t>
        </is>
      </c>
      <c r="L111" s="7" t="n">
        <v>50</v>
      </c>
      <c r="M111" s="12" t="inlineStr">
        <is>
          <t>Barachak Jn, Sitarampur Central, Kulti, Barakar, Kumardubi, Mugma, Thaparnagar, Kalubathan, Chhota Ambana</t>
        </is>
      </c>
    </row>
    <row r="112" ht="34" customHeight="1">
      <c r="A112" s="7" t="inlineStr">
        <is>
          <t>17 Jun</t>
        </is>
      </c>
      <c r="B112" s="7" t="inlineStr">
        <is>
          <t>37401</t>
        </is>
      </c>
      <c r="C112" s="7" t="n">
        <v>7859</v>
      </c>
      <c r="D112" s="7" t="n">
        <v>7826</v>
      </c>
      <c r="E112" s="7" t="n">
        <v>7826</v>
      </c>
      <c r="F112" s="8" t="n">
        <v>547</v>
      </c>
      <c r="G112" s="8" t="n">
        <v>200074</v>
      </c>
      <c r="H112" s="8" t="n">
        <v>547</v>
      </c>
      <c r="I112" s="8" t="n">
        <v>200074</v>
      </c>
      <c r="J112" s="11">
        <f>(I112-H112)/1000</f>
        <v/>
      </c>
      <c r="K112" s="7" t="inlineStr">
        <is>
          <t>Yes</t>
        </is>
      </c>
      <c r="L112" s="7" t="n">
        <v>50</v>
      </c>
      <c r="M112" s="12" t="inlineStr">
        <is>
          <t>Barachak Jn, Sitarampur Central, Kulti, Barakar, Kumardubi, Mugma, Thaparnagar, Kalubathan, Chhota Ambana</t>
        </is>
      </c>
    </row>
    <row r="113" ht="34" customHeight="1">
      <c r="A113" s="7" t="inlineStr">
        <is>
          <t>17 Jun</t>
        </is>
      </c>
      <c r="B113" s="7" t="inlineStr">
        <is>
          <t>37384</t>
        </is>
      </c>
      <c r="C113" s="7" t="n">
        <v>8144</v>
      </c>
      <c r="D113" s="7" t="n">
        <v>8128</v>
      </c>
      <c r="E113" s="7" t="n">
        <v>8128</v>
      </c>
      <c r="F113" s="8" t="n">
        <v>691</v>
      </c>
      <c r="G113" s="8" t="n">
        <v>200087</v>
      </c>
      <c r="H113" s="8" t="n">
        <v>691</v>
      </c>
      <c r="I113" s="8" t="n">
        <v>200087</v>
      </c>
      <c r="J113" s="11">
        <f>(I113-H113)/1000</f>
        <v/>
      </c>
      <c r="K113" s="7" t="inlineStr">
        <is>
          <t>Yes</t>
        </is>
      </c>
      <c r="L113" s="7" t="n">
        <v>50</v>
      </c>
      <c r="M113" s="12" t="inlineStr">
        <is>
          <t>Barachak Jn, Sitarampur Central, Kulti, Barakar, Kumardubi, Mugma, Thaparnagar, Kalubathan, Chhota Ambana</t>
        </is>
      </c>
    </row>
    <row r="114" ht="34" customHeight="1">
      <c r="A114" s="7" t="inlineStr">
        <is>
          <t>17 Jun</t>
        </is>
      </c>
      <c r="B114" s="7" t="inlineStr">
        <is>
          <t>30503</t>
        </is>
      </c>
      <c r="C114" s="7" t="n">
        <v>7015</v>
      </c>
      <c r="D114" s="7" t="n">
        <v>6983</v>
      </c>
      <c r="E114" s="7" t="n">
        <v>6983</v>
      </c>
      <c r="F114" s="8" t="n">
        <v>690</v>
      </c>
      <c r="G114" s="8" t="n">
        <v>200083</v>
      </c>
      <c r="H114" s="8" t="n">
        <v>690</v>
      </c>
      <c r="I114" s="8" t="n">
        <v>200083</v>
      </c>
      <c r="J114" s="11">
        <f>(I114-H114)/1000</f>
        <v/>
      </c>
      <c r="K114" s="7" t="inlineStr">
        <is>
          <t>Yes</t>
        </is>
      </c>
      <c r="L114" s="7" t="n">
        <v>50</v>
      </c>
      <c r="M114" s="12" t="inlineStr">
        <is>
          <t>Barachak Jn, Sitarampur Central, Kulti, Barakar, Kumardubi, Mugma, Thaparnagar, Kalubathan, Chhota Ambana</t>
        </is>
      </c>
    </row>
    <row r="115" ht="34" customHeight="1">
      <c r="A115" s="7" t="inlineStr">
        <is>
          <t>17 Jun</t>
        </is>
      </c>
      <c r="B115" s="7" t="inlineStr">
        <is>
          <t>37016</t>
        </is>
      </c>
      <c r="C115" s="7" t="n">
        <v>9827</v>
      </c>
      <c r="D115" s="7" t="n">
        <v>9815</v>
      </c>
      <c r="E115" s="7" t="n">
        <v>9815</v>
      </c>
      <c r="F115" s="8" t="n">
        <v>738</v>
      </c>
      <c r="G115" s="8" t="n">
        <v>200087</v>
      </c>
      <c r="H115" s="8" t="n">
        <v>738</v>
      </c>
      <c r="I115" s="8" t="n">
        <v>200087</v>
      </c>
      <c r="J115" s="11">
        <f>(I115-H115)/1000</f>
        <v/>
      </c>
      <c r="K115" s="7" t="inlineStr">
        <is>
          <t>Yes</t>
        </is>
      </c>
      <c r="L115" s="7" t="n">
        <v>50</v>
      </c>
      <c r="M115" s="12" t="inlineStr">
        <is>
          <t>Barachak Jn, Sitarampur Central, Kulti, Barakar, Kumardubi, Mugma, Thaparnagar, Kalubathan, Chhota Ambana</t>
        </is>
      </c>
    </row>
    <row r="116" ht="34" customHeight="1">
      <c r="A116" s="7" t="inlineStr">
        <is>
          <t>17 Jun</t>
        </is>
      </c>
      <c r="B116" s="7" t="inlineStr">
        <is>
          <t>37455</t>
        </is>
      </c>
      <c r="C116" s="7" t="n">
        <v>9441</v>
      </c>
      <c r="D116" s="7" t="n">
        <v>9415</v>
      </c>
      <c r="E116" s="7" t="n">
        <v>9211</v>
      </c>
      <c r="F116" s="8" t="n">
        <v>40</v>
      </c>
      <c r="G116" s="8" t="n">
        <v>199537</v>
      </c>
      <c r="H116" s="8" t="n">
        <v>343</v>
      </c>
      <c r="I116" s="8" t="n">
        <v>199537</v>
      </c>
      <c r="J116" s="11">
        <f>(I116-H116)/1000</f>
        <v/>
      </c>
      <c r="K116" s="7" t="inlineStr">
        <is>
          <t>Yes</t>
        </is>
      </c>
      <c r="L116" s="7" t="n">
        <v>50</v>
      </c>
      <c r="M116" s="12" t="inlineStr">
        <is>
          <t>Barachak Jn, Sitarampur Central, Kulti, Barakar, Kumardubi, Mugma, Thaparnagar, Kalubathan, Chhota Ambana</t>
        </is>
      </c>
    </row>
    <row r="117" ht="34" customHeight="1">
      <c r="A117" s="7" t="inlineStr">
        <is>
          <t>17 Jun</t>
        </is>
      </c>
      <c r="B117" s="7" t="inlineStr">
        <is>
          <t>37586</t>
        </is>
      </c>
      <c r="C117" s="7" t="n">
        <v>8624</v>
      </c>
      <c r="D117" s="7" t="n">
        <v>8590</v>
      </c>
      <c r="E117" s="7" t="n">
        <v>8416</v>
      </c>
      <c r="F117" s="8" t="n">
        <v>21</v>
      </c>
      <c r="G117" s="8" t="n">
        <v>199393</v>
      </c>
      <c r="H117" s="8" t="n">
        <v>344</v>
      </c>
      <c r="I117" s="8" t="n">
        <v>199393</v>
      </c>
      <c r="J117" s="11">
        <f>(I117-H117)/1000</f>
        <v/>
      </c>
      <c r="K117" s="7" t="inlineStr">
        <is>
          <t>Yes</t>
        </is>
      </c>
      <c r="L117" s="7" t="n">
        <v>50</v>
      </c>
      <c r="M117" s="12" t="inlineStr">
        <is>
          <t>Barachak Jn, Sitarampur Central, Kulti, Barakar, Kumardubi, Mugma, Thaparnagar, Kalubathan, Chhota Ambana</t>
        </is>
      </c>
    </row>
    <row r="118" ht="34" customHeight="1">
      <c r="A118" s="7" t="inlineStr">
        <is>
          <t>17 Jun</t>
        </is>
      </c>
      <c r="B118" s="7" t="inlineStr">
        <is>
          <t>39170</t>
        </is>
      </c>
      <c r="C118" s="7" t="n">
        <v>12193</v>
      </c>
      <c r="D118" s="7" t="n">
        <v>12141</v>
      </c>
      <c r="E118" s="7" t="n">
        <v>12080</v>
      </c>
      <c r="F118" s="8" t="n">
        <v>67</v>
      </c>
      <c r="G118" s="8" t="n">
        <v>199393</v>
      </c>
      <c r="H118" s="8" t="n">
        <v>344</v>
      </c>
      <c r="I118" s="8" t="n">
        <v>199393</v>
      </c>
      <c r="J118" s="11">
        <f>(I118-H118)/1000</f>
        <v/>
      </c>
      <c r="K118" s="7" t="inlineStr">
        <is>
          <t>Yes</t>
        </is>
      </c>
      <c r="L118" s="7" t="n">
        <v>50</v>
      </c>
      <c r="M118" s="12" t="inlineStr">
        <is>
          <t>Barachak Jn, Sitarampur Central, Kulti, Barakar, Kumardubi, Mugma, Thaparnagar, Kalubathan, Chhota Ambana</t>
        </is>
      </c>
    </row>
    <row r="119" ht="34" customHeight="1">
      <c r="A119" s="7" t="inlineStr">
        <is>
          <t>17 Jun</t>
        </is>
      </c>
      <c r="B119" s="7" t="inlineStr">
        <is>
          <t>37268</t>
        </is>
      </c>
      <c r="C119" s="7" t="n">
        <v>8106</v>
      </c>
      <c r="D119" s="7" t="n">
        <v>8102</v>
      </c>
      <c r="E119" s="7" t="n">
        <v>8102</v>
      </c>
      <c r="F119" s="8" t="n">
        <v>1272</v>
      </c>
      <c r="G119" s="8" t="n">
        <v>200087</v>
      </c>
      <c r="H119" s="8" t="n">
        <v>1272</v>
      </c>
      <c r="I119" s="8" t="n">
        <v>200087</v>
      </c>
      <c r="J119" s="11">
        <f>(I119-H119)/1000</f>
        <v/>
      </c>
      <c r="K119" s="7" t="inlineStr">
        <is>
          <t>Yes</t>
        </is>
      </c>
      <c r="L119" s="7" t="n">
        <v>50</v>
      </c>
      <c r="M119" s="12" t="inlineStr">
        <is>
          <t>Barachak Jn, Sitarampur Central, Kulti, Barakar, Kumardubi, Mugma, Thaparnagar, Kalubathan, Chhota Ambana</t>
        </is>
      </c>
    </row>
    <row r="120" ht="34" customHeight="1">
      <c r="A120" s="7" t="inlineStr">
        <is>
          <t>17 Jun</t>
        </is>
      </c>
      <c r="B120" s="7" t="inlineStr">
        <is>
          <t>37481</t>
        </is>
      </c>
      <c r="C120" s="7" t="n">
        <v>9899</v>
      </c>
      <c r="D120" s="7" t="n">
        <v>9860</v>
      </c>
      <c r="E120" s="7" t="n">
        <v>9669</v>
      </c>
      <c r="F120" s="8" t="n">
        <v>19</v>
      </c>
      <c r="G120" s="8" t="n">
        <v>199131</v>
      </c>
      <c r="H120" s="8" t="n">
        <v>342</v>
      </c>
      <c r="I120" s="8" t="n">
        <v>199131</v>
      </c>
      <c r="J120" s="11">
        <f>(I120-H120)/1000</f>
        <v/>
      </c>
      <c r="K120" s="7" t="inlineStr">
        <is>
          <t>Yes</t>
        </is>
      </c>
      <c r="L120" s="7" t="n">
        <v>50</v>
      </c>
      <c r="M120" s="12" t="inlineStr">
        <is>
          <t>Barachak Jn, Sitarampur Central, Kulti, Barakar, Kumardubi, Mugma, Thaparnagar, Kalubathan, Chhota Ambana</t>
        </is>
      </c>
    </row>
    <row r="121" ht="49" customHeight="1">
      <c r="A121" s="7" t="inlineStr">
        <is>
          <t>17 Jun</t>
        </is>
      </c>
      <c r="B121" s="7" t="inlineStr">
        <is>
          <t>30567</t>
        </is>
      </c>
      <c r="C121" s="7" t="n">
        <v>6254</v>
      </c>
      <c r="D121" s="7" t="n">
        <v>6215</v>
      </c>
      <c r="E121" s="7" t="n">
        <v>6215</v>
      </c>
      <c r="F121" s="8" t="n">
        <v>12714</v>
      </c>
      <c r="G121" s="8" t="n">
        <v>199389</v>
      </c>
      <c r="H121" s="8" t="n">
        <v>12714</v>
      </c>
      <c r="I121" s="8" t="n">
        <v>199389</v>
      </c>
      <c r="J121" s="11">
        <f>(I121-H121)/1000</f>
        <v/>
      </c>
      <c r="K121" s="7" t="inlineStr">
        <is>
          <t>Yes</t>
        </is>
      </c>
      <c r="L121" s="7" t="n">
        <v>45</v>
      </c>
      <c r="M121" s="12" t="inlineStr">
        <is>
          <t>Howrah, Howrah Sorting Yard, Liluah, Belur, Bally, Barachak Jn, Sitarampur Central, Kulti, Barakar, Kumardubi, Mugma, Thaparnagar, Kalubathan, Chhota Ambana</t>
        </is>
      </c>
    </row>
    <row r="122" ht="49" customHeight="1">
      <c r="A122" s="7" t="inlineStr">
        <is>
          <t>17 Jun</t>
        </is>
      </c>
      <c r="B122" s="7" t="inlineStr">
        <is>
          <t>37025</t>
        </is>
      </c>
      <c r="C122" s="7" t="n">
        <v>17966</v>
      </c>
      <c r="D122" s="7" t="n">
        <v>17936</v>
      </c>
      <c r="E122" s="7" t="n">
        <v>17336</v>
      </c>
      <c r="F122" s="8" t="n">
        <v>32</v>
      </c>
      <c r="G122" s="8" t="n">
        <v>181390</v>
      </c>
      <c r="H122" s="8" t="n">
        <v>343</v>
      </c>
      <c r="I122" s="8" t="n">
        <v>181390</v>
      </c>
      <c r="J122" s="11">
        <f>(I122-H122)/1000</f>
        <v/>
      </c>
      <c r="K122" s="7" t="inlineStr">
        <is>
          <t>Yes</t>
        </is>
      </c>
      <c r="L122" s="7" t="n">
        <v>46</v>
      </c>
      <c r="M122" s="12" t="inlineStr">
        <is>
          <t>Nimcha B H, Ratibati, Kaliphari, Asansol, Barachak Jn, Sitarampur Central, Kulti, Barakar, Kumardubi, Mugma, Thaparnagar, Kalubathan, Chhota Ambana</t>
        </is>
      </c>
    </row>
    <row r="123" ht="79" customHeight="1">
      <c r="A123" s="7" t="inlineStr">
        <is>
          <t>17 Jun</t>
        </is>
      </c>
      <c r="B123" s="7" t="inlineStr">
        <is>
          <t>37040</t>
        </is>
      </c>
      <c r="C123" s="7" t="n">
        <v>4581</v>
      </c>
      <c r="D123" s="7" t="n">
        <v>4472</v>
      </c>
      <c r="E123" s="7" t="n">
        <v>4472</v>
      </c>
      <c r="F123" s="8" t="n">
        <v>736</v>
      </c>
      <c r="G123" s="8" t="n">
        <v>111435</v>
      </c>
      <c r="H123" s="8" t="n">
        <v>736</v>
      </c>
      <c r="I123" s="8" t="n">
        <v>111435</v>
      </c>
      <c r="J123" s="11">
        <f>(I123-H123)/1000</f>
        <v/>
      </c>
      <c r="K123" s="7" t="inlineStr">
        <is>
          <t>Yes</t>
        </is>
      </c>
      <c r="L123" s="7" t="n">
        <v>30</v>
      </c>
      <c r="M123" s="12" t="inlineStr">
        <is>
          <t>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4" ht="94" customHeight="1">
      <c r="A124" s="7" t="inlineStr">
        <is>
          <t>17 Jun</t>
        </is>
      </c>
      <c r="B124" s="7" t="inlineStr">
        <is>
          <t>39133</t>
        </is>
      </c>
      <c r="C124" s="7" t="n">
        <v>8684</v>
      </c>
      <c r="D124" s="7" t="n">
        <v>8640</v>
      </c>
      <c r="E124" s="7" t="n">
        <v>8455</v>
      </c>
      <c r="F124" s="8" t="n">
        <v>41</v>
      </c>
      <c r="G124" s="8" t="n">
        <v>94619</v>
      </c>
      <c r="H124" s="8" t="n">
        <v>342</v>
      </c>
      <c r="I124" s="8" t="n">
        <v>94619</v>
      </c>
      <c r="J124" s="11">
        <f>(I124-H124)/1000</f>
        <v/>
      </c>
      <c r="K124" s="7" t="inlineStr">
        <is>
          <t>Yes</t>
        </is>
      </c>
      <c r="L124" s="7" t="n">
        <v>26</v>
      </c>
      <c r="M12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5" ht="94" customHeight="1">
      <c r="A125" s="7" t="inlineStr">
        <is>
          <t>17 Jun</t>
        </is>
      </c>
      <c r="B125" s="7" t="inlineStr">
        <is>
          <t>37168</t>
        </is>
      </c>
      <c r="C125" s="7" t="n">
        <v>3693</v>
      </c>
      <c r="D125" s="7" t="n">
        <v>3679</v>
      </c>
      <c r="E125" s="7" t="n">
        <v>3679</v>
      </c>
      <c r="F125" s="8" t="n">
        <v>444</v>
      </c>
      <c r="G125" s="8" t="n">
        <v>94596</v>
      </c>
      <c r="H125" s="8" t="n">
        <v>444</v>
      </c>
      <c r="I125" s="8" t="n">
        <v>94596</v>
      </c>
      <c r="J125" s="11">
        <f>(I125-H125)/1000</f>
        <v/>
      </c>
      <c r="K125" s="7" t="inlineStr">
        <is>
          <t>Yes</t>
        </is>
      </c>
      <c r="L125" s="7" t="n">
        <v>26</v>
      </c>
      <c r="M12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6" ht="94" customHeight="1">
      <c r="A126" s="7" t="inlineStr">
        <is>
          <t>17 Jun</t>
        </is>
      </c>
      <c r="B126" s="7" t="inlineStr">
        <is>
          <t>35001</t>
        </is>
      </c>
      <c r="C126" s="7" t="n">
        <v>4788</v>
      </c>
      <c r="D126" s="7" t="n">
        <v>4769</v>
      </c>
      <c r="E126" s="7" t="n">
        <v>4769</v>
      </c>
      <c r="F126" s="8" t="n">
        <v>737</v>
      </c>
      <c r="G126" s="8" t="n">
        <v>94731</v>
      </c>
      <c r="H126" s="8" t="n">
        <v>737</v>
      </c>
      <c r="I126" s="8" t="n">
        <v>94731</v>
      </c>
      <c r="J126" s="11">
        <f>(I126-H126)/1000</f>
        <v/>
      </c>
      <c r="K126" s="7" t="inlineStr">
        <is>
          <t>Yes</t>
        </is>
      </c>
      <c r="L126" s="7" t="n">
        <v>26</v>
      </c>
      <c r="M12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7" ht="94" customHeight="1">
      <c r="A127" s="7" t="inlineStr">
        <is>
          <t>17 Jun</t>
        </is>
      </c>
      <c r="B127" s="7" t="inlineStr">
        <is>
          <t>37358</t>
        </is>
      </c>
      <c r="C127" s="7" t="n">
        <v>4315</v>
      </c>
      <c r="D127" s="7" t="n">
        <v>4300</v>
      </c>
      <c r="E127" s="7" t="n">
        <v>4166</v>
      </c>
      <c r="F127" s="8" t="n">
        <v>28</v>
      </c>
      <c r="G127" s="8" t="n">
        <v>94112</v>
      </c>
      <c r="H127" s="8" t="n">
        <v>343</v>
      </c>
      <c r="I127" s="8" t="n">
        <v>94112</v>
      </c>
      <c r="J127" s="11">
        <f>(I127-H127)/1000</f>
        <v/>
      </c>
      <c r="K127" s="7" t="inlineStr">
        <is>
          <t>Yes</t>
        </is>
      </c>
      <c r="L127" s="7" t="n">
        <v>26</v>
      </c>
      <c r="M12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8" ht="94" customHeight="1">
      <c r="A128" s="7" t="inlineStr">
        <is>
          <t>17 Jun</t>
        </is>
      </c>
      <c r="B128" s="7" t="inlineStr">
        <is>
          <t>37907</t>
        </is>
      </c>
      <c r="C128" s="7" t="n">
        <v>4809</v>
      </c>
      <c r="D128" s="7" t="n">
        <v>4781</v>
      </c>
      <c r="E128" s="7" t="n">
        <v>4611</v>
      </c>
      <c r="F128" s="8" t="n">
        <v>22</v>
      </c>
      <c r="G128" s="8" t="n">
        <v>94113</v>
      </c>
      <c r="H128" s="8" t="n">
        <v>344</v>
      </c>
      <c r="I128" s="8" t="n">
        <v>94113</v>
      </c>
      <c r="J128" s="11">
        <f>(I128-H128)/1000</f>
        <v/>
      </c>
      <c r="K128" s="7" t="inlineStr">
        <is>
          <t>Yes</t>
        </is>
      </c>
      <c r="L128" s="7" t="n">
        <v>26</v>
      </c>
      <c r="M12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29" ht="94" customHeight="1">
      <c r="A129" s="7" t="inlineStr">
        <is>
          <t>17 Jun</t>
        </is>
      </c>
      <c r="B129" s="7" t="inlineStr">
        <is>
          <t>37894</t>
        </is>
      </c>
      <c r="C129" s="7" t="n">
        <v>3757</v>
      </c>
      <c r="D129" s="7" t="n">
        <v>3735</v>
      </c>
      <c r="E129" s="7" t="n">
        <v>3735</v>
      </c>
      <c r="F129" s="8" t="n">
        <v>1456</v>
      </c>
      <c r="G129" s="8" t="n">
        <v>94114</v>
      </c>
      <c r="H129" s="8" t="n">
        <v>1456</v>
      </c>
      <c r="I129" s="8" t="n">
        <v>94114</v>
      </c>
      <c r="J129" s="11">
        <f>(I129-H129)/1000</f>
        <v/>
      </c>
      <c r="K129" s="7" t="inlineStr">
        <is>
          <t>Yes</t>
        </is>
      </c>
      <c r="L129" s="7" t="n">
        <v>26</v>
      </c>
      <c r="M12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0" ht="94" customHeight="1">
      <c r="A130" s="7" t="inlineStr">
        <is>
          <t>17 Jun</t>
        </is>
      </c>
      <c r="B130" s="7" t="inlineStr">
        <is>
          <t>37879</t>
        </is>
      </c>
      <c r="C130" s="7" t="n">
        <v>3866</v>
      </c>
      <c r="D130" s="7" t="n">
        <v>3856</v>
      </c>
      <c r="E130" s="7" t="n">
        <v>3847</v>
      </c>
      <c r="F130" s="8" t="n">
        <v>159243</v>
      </c>
      <c r="G130" s="8" t="n">
        <v>244599</v>
      </c>
      <c r="H130" s="8" t="n">
        <v>159243</v>
      </c>
      <c r="I130" s="8" t="n">
        <v>244364</v>
      </c>
      <c r="J130" s="11">
        <f>(I130-H130)/1000</f>
        <v/>
      </c>
      <c r="K130" s="7" t="inlineStr">
        <is>
          <t>Yes</t>
        </is>
      </c>
      <c r="L130" s="7" t="n">
        <v>21</v>
      </c>
      <c r="M130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</t>
        </is>
      </c>
    </row>
    <row r="131" ht="109" customHeight="1">
      <c r="A131" s="7" t="inlineStr">
        <is>
          <t>17 Jun</t>
        </is>
      </c>
      <c r="B131" s="7" t="inlineStr">
        <is>
          <t>30205</t>
        </is>
      </c>
      <c r="C131" s="7" t="n">
        <v>3246</v>
      </c>
      <c r="D131" s="7" t="n">
        <v>3241</v>
      </c>
      <c r="E131" s="7" t="n">
        <v>3241</v>
      </c>
      <c r="F131" s="8" t="n">
        <v>12113</v>
      </c>
      <c r="G131" s="8" t="n">
        <v>94629</v>
      </c>
      <c r="H131" s="8" t="n">
        <v>12113</v>
      </c>
      <c r="I131" s="8" t="n">
        <v>94629</v>
      </c>
      <c r="J131" s="11">
        <f>(I131-H131)/1000</f>
        <v/>
      </c>
      <c r="K131" s="7" t="inlineStr">
        <is>
          <t>Yes</t>
        </is>
      </c>
      <c r="L131" s="7" t="n">
        <v>21</v>
      </c>
      <c r="M131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2" ht="109" customHeight="1">
      <c r="A132" s="7" t="inlineStr">
        <is>
          <t>17 Jun</t>
        </is>
      </c>
      <c r="B132" s="7" t="inlineStr">
        <is>
          <t>30487</t>
        </is>
      </c>
      <c r="C132" s="7" t="n">
        <v>3544</v>
      </c>
      <c r="D132" s="7" t="n">
        <v>3530</v>
      </c>
      <c r="E132" s="7" t="n">
        <v>3530</v>
      </c>
      <c r="F132" s="8" t="n">
        <v>12716</v>
      </c>
      <c r="G132" s="8" t="n">
        <v>94113</v>
      </c>
      <c r="H132" s="8" t="n">
        <v>12716</v>
      </c>
      <c r="I132" s="8" t="n">
        <v>94113</v>
      </c>
      <c r="J132" s="11">
        <f>(I132-H132)/1000</f>
        <v/>
      </c>
      <c r="K132" s="7" t="inlineStr">
        <is>
          <t>Yes</t>
        </is>
      </c>
      <c r="L132" s="7" t="n">
        <v>21</v>
      </c>
      <c r="M132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3" ht="109" customHeight="1">
      <c r="A133" s="7" t="inlineStr">
        <is>
          <t>17 Jun</t>
        </is>
      </c>
      <c r="B133" s="7" t="inlineStr">
        <is>
          <t>30493</t>
        </is>
      </c>
      <c r="C133" s="7" t="n">
        <v>3348</v>
      </c>
      <c r="D133" s="7" t="n">
        <v>3330</v>
      </c>
      <c r="E133" s="7" t="n">
        <v>3330</v>
      </c>
      <c r="F133" s="8" t="n">
        <v>12825</v>
      </c>
      <c r="G133" s="8" t="n">
        <v>94114</v>
      </c>
      <c r="H133" s="8" t="n">
        <v>12825</v>
      </c>
      <c r="I133" s="8" t="n">
        <v>94114</v>
      </c>
      <c r="J133" s="11">
        <f>(I133-H133)/1000</f>
        <v/>
      </c>
      <c r="K133" s="7" t="inlineStr">
        <is>
          <t>Yes</t>
        </is>
      </c>
      <c r="L133" s="7" t="n">
        <v>21</v>
      </c>
      <c r="M133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4" ht="109" customHeight="1">
      <c r="A134" s="7" t="inlineStr">
        <is>
          <t>17 Jun</t>
        </is>
      </c>
      <c r="B134" s="7" t="inlineStr">
        <is>
          <t>30457</t>
        </is>
      </c>
      <c r="C134" s="7" t="n">
        <v>3867</v>
      </c>
      <c r="D134" s="7" t="n">
        <v>3859</v>
      </c>
      <c r="E134" s="7" t="n">
        <v>3797</v>
      </c>
      <c r="F134" s="8" t="n">
        <v>181266</v>
      </c>
      <c r="G134" s="8" t="n">
        <v>246089</v>
      </c>
      <c r="H134" s="8" t="n">
        <v>181266</v>
      </c>
      <c r="I134" s="8" t="n">
        <v>244365</v>
      </c>
      <c r="J134" s="11">
        <f>(I134-H134)/1000</f>
        <v/>
      </c>
      <c r="K134" s="7" t="inlineStr">
        <is>
          <t>Yes</t>
        </is>
      </c>
      <c r="L134" s="7" t="n">
        <v>15</v>
      </c>
      <c r="M134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</t>
        </is>
      </c>
    </row>
    <row r="135" ht="124" customHeight="1">
      <c r="A135" s="7" t="inlineStr">
        <is>
          <t>17 Jun</t>
        </is>
      </c>
      <c r="B135" s="7" t="inlineStr">
        <is>
          <t>39263</t>
        </is>
      </c>
      <c r="C135" s="7" t="n">
        <v>1646</v>
      </c>
      <c r="D135" s="7" t="n">
        <v>1645</v>
      </c>
      <c r="E135" s="7" t="n">
        <v>1645</v>
      </c>
      <c r="F135" s="8" t="n">
        <v>12159</v>
      </c>
      <c r="G135" s="8" t="n">
        <v>68667</v>
      </c>
      <c r="H135" s="8" t="n">
        <v>12159</v>
      </c>
      <c r="I135" s="8" t="n">
        <v>68667</v>
      </c>
      <c r="J135" s="11">
        <f>(I135-H135)/1000</f>
        <v/>
      </c>
      <c r="K135" s="7" t="inlineStr">
        <is>
          <t>Yes</t>
        </is>
      </c>
      <c r="L135" s="7" t="n">
        <v>16</v>
      </c>
      <c r="M135" s="12" t="inlineStr">
        <is>
          <t>Howrah, Howrah Sorting Yard, Liluah, Belur, Bally,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6" ht="124" customHeight="1">
      <c r="A136" s="7" t="inlineStr">
        <is>
          <t>17 Jun</t>
        </is>
      </c>
      <c r="B136" s="7" t="inlineStr">
        <is>
          <t>37244</t>
        </is>
      </c>
      <c r="C136" s="7" t="n">
        <v>2353</v>
      </c>
      <c r="D136" s="7" t="n">
        <v>2304</v>
      </c>
      <c r="E136" s="7" t="n">
        <v>2304</v>
      </c>
      <c r="F136" s="8" t="n">
        <v>690</v>
      </c>
      <c r="G136" s="8" t="n">
        <v>48068</v>
      </c>
      <c r="H136" s="8" t="n">
        <v>690</v>
      </c>
      <c r="I136" s="8" t="n">
        <v>48068</v>
      </c>
      <c r="J136" s="11">
        <f>(I136-H136)/1000</f>
        <v/>
      </c>
      <c r="K136" s="7" t="inlineStr">
        <is>
          <t>Yes</t>
        </is>
      </c>
      <c r="L136" s="7" t="n">
        <v>15</v>
      </c>
      <c r="M136" s="12" t="inlineStr">
        <is>
          <t>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37" ht="139" customHeight="1">
      <c r="A137" s="7" t="inlineStr">
        <is>
          <t>17 Jun</t>
        </is>
      </c>
      <c r="B137" s="7" t="inlineStr">
        <is>
          <t>30084</t>
        </is>
      </c>
      <c r="C137" s="7" t="n">
        <v>9406</v>
      </c>
      <c r="D137" s="7" t="n">
        <v>9271</v>
      </c>
      <c r="E137" s="7" t="n">
        <v>9271</v>
      </c>
      <c r="F137" s="8" t="n">
        <v>92601</v>
      </c>
      <c r="G137" s="8" t="n">
        <v>115129</v>
      </c>
      <c r="H137" s="8" t="n">
        <v>92601</v>
      </c>
      <c r="I137" s="8" t="n">
        <v>115129</v>
      </c>
      <c r="J137" s="11">
        <f>(I137-H137)/1000</f>
        <v/>
      </c>
      <c r="K137" s="7" t="inlineStr">
        <is>
          <t>Yes</t>
        </is>
      </c>
      <c r="L137" s="7" t="n">
        <v>6</v>
      </c>
      <c r="M137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LC-83, Paraj, Mankar, LC-96, Panagarh, LC-105, Rajbandh, LC-111, Durgapur, DCOP, Waria, Andal East Outer, Andal, Baktarnagar B H, Raniganj, Nimcha B H, Ratibati, Kaliphari, Asansol, Barachak Jn, Sitarampur Central, Kulti, Barakar, Kumardubi, Mugma  ...(+4 more)</t>
        </is>
      </c>
    </row>
    <row r="138" ht="139" customHeight="1">
      <c r="A138" s="7" t="inlineStr">
        <is>
          <t>17 Jun</t>
        </is>
      </c>
      <c r="B138" s="7" t="inlineStr">
        <is>
          <t>30328</t>
        </is>
      </c>
      <c r="C138" s="7" t="n">
        <v>358</v>
      </c>
      <c r="D138" s="7" t="n">
        <v>357</v>
      </c>
      <c r="E138" s="7" t="n">
        <v>357</v>
      </c>
      <c r="F138" s="8" t="n">
        <v>12116</v>
      </c>
      <c r="G138" s="8" t="n">
        <v>21464</v>
      </c>
      <c r="H138" s="8" t="n">
        <v>12116</v>
      </c>
      <c r="I138" s="8" t="n">
        <v>21464</v>
      </c>
      <c r="J138" s="11">
        <f>(I138-H138)/1000</f>
        <v/>
      </c>
      <c r="K138" s="7" t="inlineStr">
        <is>
          <t>Yes</t>
        </is>
      </c>
      <c r="L138" s="7" t="n">
        <v>4</v>
      </c>
      <c r="M138" s="12" t="inlineStr">
        <is>
          <t>Howrah, Howrah Sorting Yard, Liluah, Belur, Bally,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  ...(+5 more)</t>
        </is>
      </c>
    </row>
    <row r="139" ht="139" customHeight="1">
      <c r="A139" s="7" t="inlineStr">
        <is>
          <t>17 Jun</t>
        </is>
      </c>
      <c r="B139" s="7" t="inlineStr">
        <is>
          <t>37081</t>
        </is>
      </c>
      <c r="C139" s="7" t="n">
        <v>379</v>
      </c>
      <c r="D139" s="7" t="n">
        <v>362</v>
      </c>
      <c r="E139" s="7" t="n">
        <v>362</v>
      </c>
      <c r="F139" s="8" t="n">
        <v>350</v>
      </c>
      <c r="G139" s="8" t="n">
        <v>854</v>
      </c>
      <c r="H139" s="8" t="n">
        <v>350</v>
      </c>
      <c r="I139" s="8" t="n">
        <v>854</v>
      </c>
      <c r="J139" s="11">
        <f>(I139-H139)/1000</f>
        <v/>
      </c>
      <c r="K139" s="7" t="inlineStr">
        <is>
          <t>Yes</t>
        </is>
      </c>
      <c r="L139" s="7" t="n">
        <v>1</v>
      </c>
      <c r="M139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0" ht="139" customHeight="1">
      <c r="A140" s="7" t="inlineStr">
        <is>
          <t>17 Jun</t>
        </is>
      </c>
      <c r="B140" s="7" t="inlineStr">
        <is>
          <t>30199</t>
        </is>
      </c>
      <c r="C140" s="7" t="n">
        <v>211</v>
      </c>
      <c r="D140" s="7" t="n">
        <v>201</v>
      </c>
      <c r="E140" s="7" t="n">
        <v>193</v>
      </c>
      <c r="F140" s="8" t="n">
        <v>324</v>
      </c>
      <c r="G140" s="8" t="n">
        <v>834</v>
      </c>
      <c r="H140" s="8" t="n">
        <v>345</v>
      </c>
      <c r="I140" s="8" t="n">
        <v>834</v>
      </c>
      <c r="J140" s="11">
        <f>(I140-H140)/1000</f>
        <v/>
      </c>
      <c r="K140" s="7" t="inlineStr">
        <is>
          <t>Yes</t>
        </is>
      </c>
      <c r="L140" s="7" t="n">
        <v>1</v>
      </c>
      <c r="M140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1" ht="139" customHeight="1">
      <c r="A141" s="7" t="inlineStr">
        <is>
          <t>17 Jun</t>
        </is>
      </c>
      <c r="B141" s="7" t="inlineStr">
        <is>
          <t>37215</t>
        </is>
      </c>
      <c r="C141" s="7" t="n">
        <v>214</v>
      </c>
      <c r="D141" s="7" t="n">
        <v>205</v>
      </c>
      <c r="E141" s="7" t="n">
        <v>205</v>
      </c>
      <c r="F141" s="8" t="n">
        <v>348</v>
      </c>
      <c r="G141" s="8" t="n">
        <v>843</v>
      </c>
      <c r="H141" s="8" t="n">
        <v>348</v>
      </c>
      <c r="I141" s="8" t="n">
        <v>843</v>
      </c>
      <c r="J141" s="11">
        <f>(I141-H141)/1000</f>
        <v/>
      </c>
      <c r="K141" s="7" t="inlineStr">
        <is>
          <t>Yes</t>
        </is>
      </c>
      <c r="L141" s="7" t="n">
        <v>1</v>
      </c>
      <c r="M141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2" ht="139" customHeight="1">
      <c r="A142" s="7" t="inlineStr">
        <is>
          <t>17 Jun</t>
        </is>
      </c>
      <c r="B142" s="7" t="inlineStr">
        <is>
          <t>44078</t>
        </is>
      </c>
      <c r="C142" s="7" t="n">
        <v>459</v>
      </c>
      <c r="D142" s="7" t="n">
        <v>458</v>
      </c>
      <c r="E142" s="7" t="n">
        <v>260</v>
      </c>
      <c r="F142" s="8" t="n">
        <v>45</v>
      </c>
      <c r="G142" s="8" t="n">
        <v>545</v>
      </c>
      <c r="H142" s="8" t="n">
        <v>342</v>
      </c>
      <c r="I142" s="8" t="n">
        <v>545</v>
      </c>
      <c r="J142" s="11">
        <f>(I142-H142)/1000</f>
        <v/>
      </c>
      <c r="K142" s="7" t="inlineStr">
        <is>
          <t>Yes</t>
        </is>
      </c>
      <c r="L142" s="7" t="n">
        <v>1</v>
      </c>
      <c r="M142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3" ht="139" customHeight="1">
      <c r="A143" s="7" t="inlineStr">
        <is>
          <t>17 Jun</t>
        </is>
      </c>
      <c r="B143" s="7" t="inlineStr">
        <is>
          <t>555555</t>
        </is>
      </c>
      <c r="C143" s="7" t="n">
        <v>19</v>
      </c>
      <c r="D143" s="7" t="n">
        <v>18</v>
      </c>
      <c r="E143" s="7" t="n">
        <v>18</v>
      </c>
      <c r="F143" s="8" t="n">
        <v>95450</v>
      </c>
      <c r="G143" s="8" t="n">
        <v>95650</v>
      </c>
      <c r="H143" s="8" t="n">
        <v>95450</v>
      </c>
      <c r="I143" s="8" t="n">
        <v>95650</v>
      </c>
      <c r="J143" s="11">
        <f>(I143-H143)/1000</f>
        <v/>
      </c>
      <c r="K143" s="7" t="inlineStr">
        <is>
          <t>Yes</t>
        </is>
      </c>
      <c r="L143" s="7" t="n">
        <v>1</v>
      </c>
      <c r="M143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4" ht="139" customHeight="1">
      <c r="A144" s="7" t="inlineStr">
        <is>
          <t>17 Jun</t>
        </is>
      </c>
      <c r="B144" s="7" t="inlineStr">
        <is>
          <t>30552</t>
        </is>
      </c>
      <c r="C144" s="7" t="n">
        <v>124</v>
      </c>
      <c r="D144" s="7" t="n">
        <v>90</v>
      </c>
      <c r="E144" s="7" t="n">
        <v>2</v>
      </c>
      <c r="F144" s="8" t="n">
        <v>60</v>
      </c>
      <c r="G144" s="8" t="n">
        <v>388</v>
      </c>
      <c r="H144" s="8" t="n">
        <v>344</v>
      </c>
      <c r="I144" s="8" t="n">
        <v>388</v>
      </c>
      <c r="J144" s="11">
        <f>(I144-H144)/1000</f>
        <v/>
      </c>
      <c r="K144" s="7" t="inlineStr">
        <is>
          <t>Yes</t>
        </is>
      </c>
      <c r="L144" s="7" t="n">
        <v>1</v>
      </c>
      <c r="M144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45" ht="139" customHeight="1">
      <c r="A145" s="9" t="inlineStr">
        <is>
          <t>17 Jun</t>
        </is>
      </c>
      <c r="B145" s="9" t="inlineStr">
        <is>
          <t>30191</t>
        </is>
      </c>
      <c r="C145" s="9" t="n">
        <v>5</v>
      </c>
      <c r="D145" s="9" t="n">
        <v>0</v>
      </c>
      <c r="E145" s="9" t="n">
        <v>0</v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-</t>
        </is>
      </c>
      <c r="J145" s="13" t="n">
        <v>0</v>
      </c>
      <c r="K145" s="9" t="inlineStr">
        <is>
          <t>No</t>
        </is>
      </c>
      <c r="L145" s="9" t="n">
        <v>0</v>
      </c>
      <c r="M14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6" ht="139" customHeight="1">
      <c r="A146" s="9" t="inlineStr">
        <is>
          <t>17 Jun</t>
        </is>
      </c>
      <c r="B146" s="9" t="inlineStr">
        <is>
          <t>30805</t>
        </is>
      </c>
      <c r="C146" s="9" t="n">
        <v>5</v>
      </c>
      <c r="D146" s="9" t="n">
        <v>0</v>
      </c>
      <c r="E146" s="9" t="n">
        <v>0</v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3" t="n">
        <v>0</v>
      </c>
      <c r="K146" s="9" t="inlineStr">
        <is>
          <t>No</t>
        </is>
      </c>
      <c r="L146" s="9" t="n">
        <v>0</v>
      </c>
      <c r="M14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7" ht="139" customHeight="1">
      <c r="A147" s="9" t="inlineStr">
        <is>
          <t>17 Jun</t>
        </is>
      </c>
      <c r="B147" s="9" t="inlineStr">
        <is>
          <t>35048</t>
        </is>
      </c>
      <c r="C147" s="9" t="n">
        <v>5</v>
      </c>
      <c r="D147" s="9" t="n">
        <v>0</v>
      </c>
      <c r="E147" s="9" t="n">
        <v>0</v>
      </c>
      <c r="F147" s="10" t="inlineStr">
        <is>
          <t>-</t>
        </is>
      </c>
      <c r="G147" s="10" t="inlineStr">
        <is>
          <t>-</t>
        </is>
      </c>
      <c r="H147" s="10" t="inlineStr">
        <is>
          <t>-</t>
        </is>
      </c>
      <c r="I147" s="10" t="inlineStr">
        <is>
          <t>-</t>
        </is>
      </c>
      <c r="J147" s="13" t="n">
        <v>0</v>
      </c>
      <c r="K147" s="9" t="inlineStr">
        <is>
          <t>No</t>
        </is>
      </c>
      <c r="L147" s="9" t="n">
        <v>0</v>
      </c>
      <c r="M14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8" ht="139" customHeight="1">
      <c r="A148" s="9" t="inlineStr">
        <is>
          <t>17 Jun</t>
        </is>
      </c>
      <c r="B148" s="9" t="inlineStr">
        <is>
          <t>38195</t>
        </is>
      </c>
      <c r="C148" s="9" t="n">
        <v>5</v>
      </c>
      <c r="D148" s="9" t="n">
        <v>0</v>
      </c>
      <c r="E148" s="9" t="n">
        <v>0</v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3" t="n">
        <v>0</v>
      </c>
      <c r="K148" s="9" t="inlineStr">
        <is>
          <t>No</t>
        </is>
      </c>
      <c r="L148" s="9" t="n">
        <v>0</v>
      </c>
      <c r="M14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49">
      <c r="A149" s="7" t="inlineStr">
        <is>
          <t>18 Jun</t>
        </is>
      </c>
      <c r="B149" s="7" t="inlineStr">
        <is>
          <t>30200</t>
        </is>
      </c>
      <c r="C149" s="7" t="n">
        <v>24155</v>
      </c>
      <c r="D149" s="7" t="n">
        <v>24125</v>
      </c>
      <c r="E149" s="7" t="n">
        <v>23819</v>
      </c>
      <c r="F149" s="8" t="n">
        <v>31</v>
      </c>
      <c r="G149" s="8" t="n">
        <v>246075</v>
      </c>
      <c r="H149" s="8" t="n">
        <v>344</v>
      </c>
      <c r="I149" s="8" t="n">
        <v>244370</v>
      </c>
      <c r="J149" s="11">
        <f>(I149-H149)/1000</f>
        <v/>
      </c>
      <c r="K149" s="7" t="inlineStr">
        <is>
          <t>Yes</t>
        </is>
      </c>
      <c r="L149" s="7" t="n">
        <v>60</v>
      </c>
      <c r="M149" s="12" t="inlineStr">
        <is>
          <t>- (full trip)</t>
        </is>
      </c>
    </row>
    <row r="150">
      <c r="A150" s="7" t="inlineStr">
        <is>
          <t>18 Jun</t>
        </is>
      </c>
      <c r="B150" s="7" t="inlineStr">
        <is>
          <t>30360</t>
        </is>
      </c>
      <c r="C150" s="7" t="n">
        <v>11300</v>
      </c>
      <c r="D150" s="7" t="n">
        <v>11277</v>
      </c>
      <c r="E150" s="7" t="n">
        <v>11270</v>
      </c>
      <c r="F150" s="8" t="n">
        <v>689</v>
      </c>
      <c r="G150" s="8" t="n">
        <v>244562</v>
      </c>
      <c r="H150" s="8" t="n">
        <v>689</v>
      </c>
      <c r="I150" s="8" t="n">
        <v>244364</v>
      </c>
      <c r="J150" s="11">
        <f>(I150-H150)/1000</f>
        <v/>
      </c>
      <c r="K150" s="7" t="inlineStr">
        <is>
          <t>Yes</t>
        </is>
      </c>
      <c r="L150" s="7" t="n">
        <v>60</v>
      </c>
      <c r="M150" s="12" t="inlineStr">
        <is>
          <t>- (full trip)</t>
        </is>
      </c>
    </row>
    <row r="151">
      <c r="A151" s="7" t="inlineStr">
        <is>
          <t>18 Jun</t>
        </is>
      </c>
      <c r="B151" s="7" t="inlineStr">
        <is>
          <t>37456</t>
        </is>
      </c>
      <c r="C151" s="7" t="n">
        <v>11548</v>
      </c>
      <c r="D151" s="7" t="n">
        <v>11533</v>
      </c>
      <c r="E151" s="7" t="n">
        <v>11523</v>
      </c>
      <c r="F151" s="8" t="n">
        <v>739</v>
      </c>
      <c r="G151" s="8" t="n">
        <v>244626</v>
      </c>
      <c r="H151" s="8" t="n">
        <v>739</v>
      </c>
      <c r="I151" s="8" t="n">
        <v>244376</v>
      </c>
      <c r="J151" s="11">
        <f>(I151-H151)/1000</f>
        <v/>
      </c>
      <c r="K151" s="7" t="inlineStr">
        <is>
          <t>Yes</t>
        </is>
      </c>
      <c r="L151" s="7" t="n">
        <v>60</v>
      </c>
      <c r="M151" s="12" t="inlineStr">
        <is>
          <t>- (full trip)</t>
        </is>
      </c>
    </row>
    <row r="152">
      <c r="A152" s="7" t="inlineStr">
        <is>
          <t>18 Jun</t>
        </is>
      </c>
      <c r="B152" s="7" t="inlineStr">
        <is>
          <t>37609</t>
        </is>
      </c>
      <c r="C152" s="7" t="n">
        <v>11592</v>
      </c>
      <c r="D152" s="7" t="n">
        <v>11571</v>
      </c>
      <c r="E152" s="7" t="n">
        <v>11554</v>
      </c>
      <c r="F152" s="8" t="n">
        <v>12125</v>
      </c>
      <c r="G152" s="8" t="n">
        <v>244621</v>
      </c>
      <c r="H152" s="8" t="n">
        <v>12125</v>
      </c>
      <c r="I152" s="8" t="n">
        <v>244367</v>
      </c>
      <c r="J152" s="11">
        <f>(I152-H152)/1000</f>
        <v/>
      </c>
      <c r="K152" s="7" t="inlineStr">
        <is>
          <t>Yes</t>
        </is>
      </c>
      <c r="L152" s="7" t="n">
        <v>55</v>
      </c>
      <c r="M152" s="12" t="inlineStr">
        <is>
          <t>Howrah, Howrah Sorting Yard, Liluah, Belur, Bally</t>
        </is>
      </c>
    </row>
    <row r="153">
      <c r="A153" s="7" t="inlineStr">
        <is>
          <t>18 Jun</t>
        </is>
      </c>
      <c r="B153" s="7" t="inlineStr">
        <is>
          <t>37398</t>
        </is>
      </c>
      <c r="C153" s="7" t="n">
        <v>17955</v>
      </c>
      <c r="D153" s="7" t="n">
        <v>17920</v>
      </c>
      <c r="E153" s="7" t="n">
        <v>17909</v>
      </c>
      <c r="F153" s="8" t="n">
        <v>12155</v>
      </c>
      <c r="G153" s="8" t="n">
        <v>244637</v>
      </c>
      <c r="H153" s="8" t="n">
        <v>12155</v>
      </c>
      <c r="I153" s="8" t="n">
        <v>244353</v>
      </c>
      <c r="J153" s="11">
        <f>(I153-H153)/1000</f>
        <v/>
      </c>
      <c r="K153" s="7" t="inlineStr">
        <is>
          <t>Yes</t>
        </is>
      </c>
      <c r="L153" s="7" t="n">
        <v>55</v>
      </c>
      <c r="M153" s="12" t="inlineStr">
        <is>
          <t>Howrah, Howrah Sorting Yard, Liluah, Belur, Bally</t>
        </is>
      </c>
    </row>
    <row r="154" ht="34" customHeight="1">
      <c r="A154" s="7" t="inlineStr">
        <is>
          <t>18 Jun</t>
        </is>
      </c>
      <c r="B154" s="7" t="inlineStr">
        <is>
          <t>30692</t>
        </is>
      </c>
      <c r="C154" s="7" t="n">
        <v>8759</v>
      </c>
      <c r="D154" s="7" t="n">
        <v>8744</v>
      </c>
      <c r="E154" s="7" t="n">
        <v>8744</v>
      </c>
      <c r="F154" s="8" t="n">
        <v>32378</v>
      </c>
      <c r="G154" s="8" t="n">
        <v>242341</v>
      </c>
      <c r="H154" s="8" t="n">
        <v>32378</v>
      </c>
      <c r="I154" s="8" t="n">
        <v>242341</v>
      </c>
      <c r="J154" s="11">
        <f>(I154-H154)/1000</f>
        <v/>
      </c>
      <c r="K154" s="7" t="inlineStr">
        <is>
          <t>Yes</t>
        </is>
      </c>
      <c r="L154" s="7" t="n">
        <v>50</v>
      </c>
      <c r="M154" s="12" t="inlineStr">
        <is>
          <t>Howrah, Howrah Sorting Yard, Liluah, Belur, Bally, Belanagar, Dankuni, Janai Road, Baruipara</t>
        </is>
      </c>
    </row>
    <row r="155" ht="34" customHeight="1">
      <c r="A155" s="7" t="inlineStr">
        <is>
          <t>18 Jun</t>
        </is>
      </c>
      <c r="B155" s="7" t="inlineStr">
        <is>
          <t>37005</t>
        </is>
      </c>
      <c r="C155" s="7" t="n">
        <v>17485</v>
      </c>
      <c r="D155" s="7" t="n">
        <v>17062</v>
      </c>
      <c r="E155" s="7" t="n">
        <v>17062</v>
      </c>
      <c r="F155" s="8" t="n">
        <v>465</v>
      </c>
      <c r="G155" s="8" t="n">
        <v>200367</v>
      </c>
      <c r="H155" s="8" t="n">
        <v>465</v>
      </c>
      <c r="I155" s="8" t="n">
        <v>200367</v>
      </c>
      <c r="J155" s="11">
        <f>(I155-H155)/1000</f>
        <v/>
      </c>
      <c r="K155" s="7" t="inlineStr">
        <is>
          <t>Yes</t>
        </is>
      </c>
      <c r="L155" s="7" t="n">
        <v>50</v>
      </c>
      <c r="M155" s="12" t="inlineStr">
        <is>
          <t>Barachak Jn, Sitarampur Central, Kulti, Barakar, Kumardubi, Mugma, Thaparnagar, Kalubathan, Chhota Ambana</t>
        </is>
      </c>
    </row>
    <row r="156" ht="34" customHeight="1">
      <c r="A156" s="7" t="inlineStr">
        <is>
          <t>18 Jun</t>
        </is>
      </c>
      <c r="B156" s="7" t="inlineStr">
        <is>
          <t>37253</t>
        </is>
      </c>
      <c r="C156" s="7" t="n">
        <v>15108</v>
      </c>
      <c r="D156" s="7" t="n">
        <v>15064</v>
      </c>
      <c r="E156" s="7" t="n">
        <v>14884</v>
      </c>
      <c r="F156" s="8" t="n">
        <v>38</v>
      </c>
      <c r="G156" s="8" t="n">
        <v>200074</v>
      </c>
      <c r="H156" s="8" t="n">
        <v>342</v>
      </c>
      <c r="I156" s="8" t="n">
        <v>200074</v>
      </c>
      <c r="J156" s="11">
        <f>(I156-H156)/1000</f>
        <v/>
      </c>
      <c r="K156" s="7" t="inlineStr">
        <is>
          <t>Yes</t>
        </is>
      </c>
      <c r="L156" s="7" t="n">
        <v>50</v>
      </c>
      <c r="M156" s="12" t="inlineStr">
        <is>
          <t>Barachak Jn, Sitarampur Central, Kulti, Barakar, Kumardubi, Mugma, Thaparnagar, Kalubathan, Chhota Ambana</t>
        </is>
      </c>
    </row>
    <row r="157" ht="34" customHeight="1">
      <c r="A157" s="7" t="inlineStr">
        <is>
          <t>18 Jun</t>
        </is>
      </c>
      <c r="B157" s="7" t="inlineStr">
        <is>
          <t>37778</t>
        </is>
      </c>
      <c r="C157" s="7" t="n">
        <v>6575</v>
      </c>
      <c r="D157" s="7" t="n">
        <v>6562</v>
      </c>
      <c r="E157" s="7" t="n">
        <v>6562</v>
      </c>
      <c r="F157" s="8" t="n">
        <v>448</v>
      </c>
      <c r="G157" s="8" t="n">
        <v>200045</v>
      </c>
      <c r="H157" s="8" t="n">
        <v>448</v>
      </c>
      <c r="I157" s="8" t="n">
        <v>200045</v>
      </c>
      <c r="J157" s="11">
        <f>(I157-H157)/1000</f>
        <v/>
      </c>
      <c r="K157" s="7" t="inlineStr">
        <is>
          <t>Yes</t>
        </is>
      </c>
      <c r="L157" s="7" t="n">
        <v>50</v>
      </c>
      <c r="M157" s="12" t="inlineStr">
        <is>
          <t>Barachak Jn, Sitarampur Central, Kulti, Barakar, Kumardubi, Mugma, Thaparnagar, Kalubathan, Chhota Ambana</t>
        </is>
      </c>
    </row>
    <row r="158" ht="34" customHeight="1">
      <c r="A158" s="7" t="inlineStr">
        <is>
          <t>18 Jun</t>
        </is>
      </c>
      <c r="B158" s="7" t="inlineStr">
        <is>
          <t>37719</t>
        </is>
      </c>
      <c r="C158" s="7" t="n">
        <v>7575</v>
      </c>
      <c r="D158" s="7" t="n">
        <v>7551</v>
      </c>
      <c r="E158" s="7" t="n">
        <v>7551</v>
      </c>
      <c r="F158" s="8" t="n">
        <v>619</v>
      </c>
      <c r="G158" s="8" t="n">
        <v>200075</v>
      </c>
      <c r="H158" s="8" t="n">
        <v>619</v>
      </c>
      <c r="I158" s="8" t="n">
        <v>200075</v>
      </c>
      <c r="J158" s="11">
        <f>(I158-H158)/1000</f>
        <v/>
      </c>
      <c r="K158" s="7" t="inlineStr">
        <is>
          <t>Yes</t>
        </is>
      </c>
      <c r="L158" s="7" t="n">
        <v>50</v>
      </c>
      <c r="M158" s="12" t="inlineStr">
        <is>
          <t>Barachak Jn, Sitarampur Central, Kulti, Barakar, Kumardubi, Mugma, Thaparnagar, Kalubathan, Chhota Ambana</t>
        </is>
      </c>
    </row>
    <row r="159" ht="34" customHeight="1">
      <c r="A159" s="7" t="inlineStr">
        <is>
          <t>18 Jun</t>
        </is>
      </c>
      <c r="B159" s="7" t="inlineStr">
        <is>
          <t>37894</t>
        </is>
      </c>
      <c r="C159" s="7" t="n">
        <v>6510</v>
      </c>
      <c r="D159" s="7" t="n">
        <v>6478</v>
      </c>
      <c r="E159" s="7" t="n">
        <v>6478</v>
      </c>
      <c r="F159" s="8" t="n">
        <v>689</v>
      </c>
      <c r="G159" s="8" t="n">
        <v>200091</v>
      </c>
      <c r="H159" s="8" t="n">
        <v>689</v>
      </c>
      <c r="I159" s="8" t="n">
        <v>200091</v>
      </c>
      <c r="J159" s="11">
        <f>(I159-H159)/1000</f>
        <v/>
      </c>
      <c r="K159" s="7" t="inlineStr">
        <is>
          <t>Yes</t>
        </is>
      </c>
      <c r="L159" s="7" t="n">
        <v>50</v>
      </c>
      <c r="M159" s="12" t="inlineStr">
        <is>
          <t>Barachak Jn, Sitarampur Central, Kulti, Barakar, Kumardubi, Mugma, Thaparnagar, Kalubathan, Chhota Ambana</t>
        </is>
      </c>
    </row>
    <row r="160" ht="34" customHeight="1">
      <c r="A160" s="7" t="inlineStr">
        <is>
          <t>18 Jun</t>
        </is>
      </c>
      <c r="B160" s="7" t="inlineStr">
        <is>
          <t>35002</t>
        </is>
      </c>
      <c r="C160" s="7" t="n">
        <v>9620</v>
      </c>
      <c r="D160" s="7" t="n">
        <v>9601</v>
      </c>
      <c r="E160" s="7" t="n">
        <v>9397</v>
      </c>
      <c r="F160" s="8" t="n">
        <v>42</v>
      </c>
      <c r="G160" s="8" t="n">
        <v>199505</v>
      </c>
      <c r="H160" s="8" t="n">
        <v>342</v>
      </c>
      <c r="I160" s="8" t="n">
        <v>199505</v>
      </c>
      <c r="J160" s="11">
        <f>(I160-H160)/1000</f>
        <v/>
      </c>
      <c r="K160" s="7" t="inlineStr">
        <is>
          <t>Yes</t>
        </is>
      </c>
      <c r="L160" s="7" t="n">
        <v>50</v>
      </c>
      <c r="M160" s="12" t="inlineStr">
        <is>
          <t>Barachak Jn, Sitarampur Central, Kulti, Barakar, Kumardubi, Mugma, Thaparnagar, Kalubathan, Chhota Ambana</t>
        </is>
      </c>
    </row>
    <row r="161" ht="34" customHeight="1">
      <c r="A161" s="7" t="inlineStr">
        <is>
          <t>18 Jun</t>
        </is>
      </c>
      <c r="B161" s="7" t="inlineStr">
        <is>
          <t>39135</t>
        </is>
      </c>
      <c r="C161" s="7" t="n">
        <v>8916</v>
      </c>
      <c r="D161" s="7" t="n">
        <v>8866</v>
      </c>
      <c r="E161" s="7" t="n">
        <v>8740</v>
      </c>
      <c r="F161" s="8" t="n">
        <v>29</v>
      </c>
      <c r="G161" s="8" t="n">
        <v>199392</v>
      </c>
      <c r="H161" s="8" t="n">
        <v>344</v>
      </c>
      <c r="I161" s="8" t="n">
        <v>199392</v>
      </c>
      <c r="J161" s="11">
        <f>(I161-H161)/1000</f>
        <v/>
      </c>
      <c r="K161" s="7" t="inlineStr">
        <is>
          <t>Yes</t>
        </is>
      </c>
      <c r="L161" s="7" t="n">
        <v>50</v>
      </c>
      <c r="M161" s="12" t="inlineStr">
        <is>
          <t>Barachak Jn, Sitarampur Central, Kulti, Barakar, Kumardubi, Mugma, Thaparnagar, Kalubathan, Chhota Ambana</t>
        </is>
      </c>
    </row>
    <row r="162" ht="34" customHeight="1">
      <c r="A162" s="7" t="inlineStr">
        <is>
          <t>18 Jun</t>
        </is>
      </c>
      <c r="B162" s="7" t="inlineStr">
        <is>
          <t>39571</t>
        </is>
      </c>
      <c r="C162" s="7" t="n">
        <v>10036</v>
      </c>
      <c r="D162" s="7" t="n">
        <v>9968</v>
      </c>
      <c r="E162" s="7" t="n">
        <v>9894</v>
      </c>
      <c r="F162" s="8" t="n">
        <v>90</v>
      </c>
      <c r="G162" s="8" t="n">
        <v>199391</v>
      </c>
      <c r="H162" s="8" t="n">
        <v>347</v>
      </c>
      <c r="I162" s="8" t="n">
        <v>199391</v>
      </c>
      <c r="J162" s="11">
        <f>(I162-H162)/1000</f>
        <v/>
      </c>
      <c r="K162" s="7" t="inlineStr">
        <is>
          <t>Yes</t>
        </is>
      </c>
      <c r="L162" s="7" t="n">
        <v>50</v>
      </c>
      <c r="M162" s="12" t="inlineStr">
        <is>
          <t>Barachak Jn, Sitarampur Central, Kulti, Barakar, Kumardubi, Mugma, Thaparnagar, Kalubathan, Chhota Ambana</t>
        </is>
      </c>
    </row>
    <row r="163" ht="49" customHeight="1">
      <c r="A163" s="7" t="inlineStr">
        <is>
          <t>18 Jun</t>
        </is>
      </c>
      <c r="B163" s="7" t="inlineStr">
        <is>
          <t>39263</t>
        </is>
      </c>
      <c r="C163" s="7" t="n">
        <v>8649</v>
      </c>
      <c r="D163" s="7" t="n">
        <v>8644</v>
      </c>
      <c r="E163" s="7" t="n">
        <v>8632</v>
      </c>
      <c r="F163" s="8" t="n">
        <v>68667</v>
      </c>
      <c r="G163" s="8" t="n">
        <v>244611</v>
      </c>
      <c r="H163" s="8" t="n">
        <v>68667</v>
      </c>
      <c r="I163" s="8" t="n">
        <v>244354</v>
      </c>
      <c r="J163" s="11">
        <f>(I163-H163)/1000</f>
        <v/>
      </c>
      <c r="K163" s="7" t="inlineStr">
        <is>
          <t>Yes</t>
        </is>
      </c>
      <c r="L163" s="7" t="n">
        <v>40</v>
      </c>
      <c r="M163" s="12" t="inlineStr">
        <is>
          <t>Howrah, Howrah Sorting Yard, Liluah, Belur, Bally, Belanagar, Dankuni, Janai Road, Baruipara, Kamarkundu, LC-31, Chandanpur, LC-38, Belmuri, Cheragram, LC-41, Gurap, LC-48, Jaugram</t>
        </is>
      </c>
    </row>
    <row r="164" ht="64" customHeight="1">
      <c r="A164" s="7" t="inlineStr">
        <is>
          <t>18 Jun</t>
        </is>
      </c>
      <c r="B164" s="7" t="inlineStr">
        <is>
          <t>39410</t>
        </is>
      </c>
      <c r="C164" s="7" t="n">
        <v>8453</v>
      </c>
      <c r="D164" s="7" t="n">
        <v>8407</v>
      </c>
      <c r="E164" s="7" t="n">
        <v>8407</v>
      </c>
      <c r="F164" s="8" t="n">
        <v>690</v>
      </c>
      <c r="G164" s="8" t="n">
        <v>162169</v>
      </c>
      <c r="H164" s="8" t="n">
        <v>690</v>
      </c>
      <c r="I164" s="8" t="n">
        <v>162169</v>
      </c>
      <c r="J164" s="11">
        <f>(I164-H164)/1000</f>
        <v/>
      </c>
      <c r="K164" s="7" t="inlineStr">
        <is>
          <t>Yes</t>
        </is>
      </c>
      <c r="L164" s="7" t="n">
        <v>41</v>
      </c>
      <c r="M164" s="12" t="inlineStr">
        <is>
          <t>Waria, Andal East Outer, Andal, Baktarnagar B H, Raniganj, Nimcha B H, Ratibati, Kaliphari, Asansol, Barachak Jn, Sitarampur Central, Kulti, Barakar, Kumardubi, Mugma, Thaparnagar, Kalubathan, Chhota Ambana</t>
        </is>
      </c>
    </row>
    <row r="165" ht="64" customHeight="1">
      <c r="A165" s="7" t="inlineStr">
        <is>
          <t>18 Jun</t>
        </is>
      </c>
      <c r="B165" s="7" t="inlineStr">
        <is>
          <t>37403</t>
        </is>
      </c>
      <c r="C165" s="7" t="n">
        <v>13098</v>
      </c>
      <c r="D165" s="7" t="n">
        <v>13038</v>
      </c>
      <c r="E165" s="7" t="n">
        <v>12900</v>
      </c>
      <c r="F165" s="8" t="n">
        <v>43</v>
      </c>
      <c r="G165" s="8" t="n">
        <v>158147</v>
      </c>
      <c r="H165" s="8" t="n">
        <v>342</v>
      </c>
      <c r="I165" s="8" t="n">
        <v>158147</v>
      </c>
      <c r="J165" s="11">
        <f>(I165-H165)/1000</f>
        <v/>
      </c>
      <c r="K165" s="7" t="inlineStr">
        <is>
          <t>Yes</t>
        </is>
      </c>
      <c r="L165" s="7" t="n">
        <v>40</v>
      </c>
      <c r="M165" s="12" t="inlineStr">
        <is>
          <t>DCOP, Waria, Andal East Outer, Andal, Baktarnagar B H, Raniganj, Nimcha B H, Ratibati, Kaliphari, Asansol, Barachak Jn, Sitarampur Central, Kulti, Barakar, Kumardubi, Mugma, Thaparnagar, Kalubathan, Chhota Ambana</t>
        </is>
      </c>
    </row>
    <row r="166" ht="94" customHeight="1">
      <c r="A166" s="7" t="inlineStr">
        <is>
          <t>18 Jun</t>
        </is>
      </c>
      <c r="B166" s="7" t="inlineStr">
        <is>
          <t>39195</t>
        </is>
      </c>
      <c r="C166" s="7" t="n">
        <v>3776</v>
      </c>
      <c r="D166" s="7" t="n">
        <v>3692</v>
      </c>
      <c r="E166" s="7" t="n">
        <v>3692</v>
      </c>
      <c r="F166" s="8" t="n">
        <v>688</v>
      </c>
      <c r="G166" s="8" t="n">
        <v>107907</v>
      </c>
      <c r="H166" s="8" t="n">
        <v>688</v>
      </c>
      <c r="I166" s="8" t="n">
        <v>107907</v>
      </c>
      <c r="J166" s="11">
        <f>(I166-H166)/1000</f>
        <v/>
      </c>
      <c r="K166" s="7" t="inlineStr">
        <is>
          <t>Yes</t>
        </is>
      </c>
      <c r="L166" s="7" t="n">
        <v>29</v>
      </c>
      <c r="M166" s="12" t="inlineStr">
        <is>
          <t>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7" ht="94" customHeight="1">
      <c r="A167" s="7" t="inlineStr">
        <is>
          <t>18 Jun</t>
        </is>
      </c>
      <c r="B167" s="7" t="inlineStr">
        <is>
          <t>35048</t>
        </is>
      </c>
      <c r="C167" s="7" t="n">
        <v>8073</v>
      </c>
      <c r="D167" s="7" t="n">
        <v>8036</v>
      </c>
      <c r="E167" s="7" t="n">
        <v>8036</v>
      </c>
      <c r="F167" s="8" t="n">
        <v>402</v>
      </c>
      <c r="G167" s="8" t="n">
        <v>94624</v>
      </c>
      <c r="H167" s="8" t="n">
        <v>402</v>
      </c>
      <c r="I167" s="8" t="n">
        <v>94624</v>
      </c>
      <c r="J167" s="11">
        <f>(I167-H167)/1000</f>
        <v/>
      </c>
      <c r="K167" s="7" t="inlineStr">
        <is>
          <t>Yes</t>
        </is>
      </c>
      <c r="L167" s="7" t="n">
        <v>26</v>
      </c>
      <c r="M16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8" ht="94" customHeight="1">
      <c r="A168" s="7" t="inlineStr">
        <is>
          <t>18 Jun</t>
        </is>
      </c>
      <c r="B168" s="7" t="inlineStr">
        <is>
          <t>39177</t>
        </is>
      </c>
      <c r="C168" s="7" t="n">
        <v>6943</v>
      </c>
      <c r="D168" s="7" t="n">
        <v>6877</v>
      </c>
      <c r="E168" s="7" t="n">
        <v>6877</v>
      </c>
      <c r="F168" s="8" t="n">
        <v>850</v>
      </c>
      <c r="G168" s="8" t="n">
        <v>94757</v>
      </c>
      <c r="H168" s="8" t="n">
        <v>850</v>
      </c>
      <c r="I168" s="8" t="n">
        <v>94757</v>
      </c>
      <c r="J168" s="11">
        <f>(I168-H168)/1000</f>
        <v/>
      </c>
      <c r="K168" s="7" t="inlineStr">
        <is>
          <t>Yes</t>
        </is>
      </c>
      <c r="L168" s="7" t="n">
        <v>26</v>
      </c>
      <c r="M16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69" ht="94" customHeight="1">
      <c r="A169" s="7" t="inlineStr">
        <is>
          <t>18 Jun</t>
        </is>
      </c>
      <c r="B169" s="7" t="inlineStr">
        <is>
          <t>37168</t>
        </is>
      </c>
      <c r="C169" s="7" t="n">
        <v>5081</v>
      </c>
      <c r="D169" s="7" t="n">
        <v>5042</v>
      </c>
      <c r="E169" s="7" t="n">
        <v>4822</v>
      </c>
      <c r="F169" s="8" t="n">
        <v>30</v>
      </c>
      <c r="G169" s="8" t="n">
        <v>94113</v>
      </c>
      <c r="H169" s="8" t="n">
        <v>342</v>
      </c>
      <c r="I169" s="8" t="n">
        <v>94113</v>
      </c>
      <c r="J169" s="11">
        <f>(I169-H169)/1000</f>
        <v/>
      </c>
      <c r="K169" s="7" t="inlineStr">
        <is>
          <t>Yes</t>
        </is>
      </c>
      <c r="L169" s="7" t="n">
        <v>26</v>
      </c>
      <c r="M16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0" ht="94" customHeight="1">
      <c r="A170" s="7" t="inlineStr">
        <is>
          <t>18 Jun</t>
        </is>
      </c>
      <c r="B170" s="7" t="inlineStr">
        <is>
          <t>39060</t>
        </is>
      </c>
      <c r="C170" s="7" t="n">
        <v>4166</v>
      </c>
      <c r="D170" s="7" t="n">
        <v>4147</v>
      </c>
      <c r="E170" s="7" t="n">
        <v>4065</v>
      </c>
      <c r="F170" s="8" t="n">
        <v>32</v>
      </c>
      <c r="G170" s="8" t="n">
        <v>94112</v>
      </c>
      <c r="H170" s="8" t="n">
        <v>342</v>
      </c>
      <c r="I170" s="8" t="n">
        <v>94112</v>
      </c>
      <c r="J170" s="11">
        <f>(I170-H170)/1000</f>
        <v/>
      </c>
      <c r="K170" s="7" t="inlineStr">
        <is>
          <t>Yes</t>
        </is>
      </c>
      <c r="L170" s="7" t="n">
        <v>26</v>
      </c>
      <c r="M17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1" ht="94" customHeight="1">
      <c r="A171" s="7" t="inlineStr">
        <is>
          <t>18 Jun</t>
        </is>
      </c>
      <c r="B171" s="7" t="inlineStr">
        <is>
          <t>39113</t>
        </is>
      </c>
      <c r="C171" s="7" t="n">
        <v>3240</v>
      </c>
      <c r="D171" s="7" t="n">
        <v>3220</v>
      </c>
      <c r="E171" s="7" t="n">
        <v>3220</v>
      </c>
      <c r="F171" s="8" t="n">
        <v>2509</v>
      </c>
      <c r="G171" s="8" t="n">
        <v>94115</v>
      </c>
      <c r="H171" s="8" t="n">
        <v>2509</v>
      </c>
      <c r="I171" s="8" t="n">
        <v>94115</v>
      </c>
      <c r="J171" s="11">
        <f>(I171-H171)/1000</f>
        <v/>
      </c>
      <c r="K171" s="7" t="inlineStr">
        <is>
          <t>Yes</t>
        </is>
      </c>
      <c r="L171" s="7" t="n">
        <v>26</v>
      </c>
      <c r="M17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2" ht="109" customHeight="1">
      <c r="A172" s="7" t="inlineStr">
        <is>
          <t>18 Jun</t>
        </is>
      </c>
      <c r="B172" s="7" t="inlineStr">
        <is>
          <t>30329</t>
        </is>
      </c>
      <c r="C172" s="7" t="n">
        <v>5858</v>
      </c>
      <c r="D172" s="7" t="n">
        <v>5838</v>
      </c>
      <c r="E172" s="7" t="n">
        <v>5838</v>
      </c>
      <c r="F172" s="8" t="n">
        <v>12121</v>
      </c>
      <c r="G172" s="8" t="n">
        <v>94754</v>
      </c>
      <c r="H172" s="8" t="n">
        <v>12121</v>
      </c>
      <c r="I172" s="8" t="n">
        <v>94754</v>
      </c>
      <c r="J172" s="11">
        <f>(I172-H172)/1000</f>
        <v/>
      </c>
      <c r="K172" s="7" t="inlineStr">
        <is>
          <t>Yes</t>
        </is>
      </c>
      <c r="L172" s="7" t="n">
        <v>21</v>
      </c>
      <c r="M172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3" ht="109" customHeight="1">
      <c r="A173" s="7" t="inlineStr">
        <is>
          <t>18 Jun</t>
        </is>
      </c>
      <c r="B173" s="7" t="inlineStr">
        <is>
          <t>30322</t>
        </is>
      </c>
      <c r="C173" s="7" t="n">
        <v>5919</v>
      </c>
      <c r="D173" s="7" t="n">
        <v>5895</v>
      </c>
      <c r="E173" s="7" t="n">
        <v>5895</v>
      </c>
      <c r="F173" s="8" t="n">
        <v>12113</v>
      </c>
      <c r="G173" s="8" t="n">
        <v>94650</v>
      </c>
      <c r="H173" s="8" t="n">
        <v>12113</v>
      </c>
      <c r="I173" s="8" t="n">
        <v>94650</v>
      </c>
      <c r="J173" s="11">
        <f>(I173-H173)/1000</f>
        <v/>
      </c>
      <c r="K173" s="7" t="inlineStr">
        <is>
          <t>Yes</t>
        </is>
      </c>
      <c r="L173" s="7" t="n">
        <v>21</v>
      </c>
      <c r="M173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4" ht="109" customHeight="1">
      <c r="A174" s="7" t="inlineStr">
        <is>
          <t>18 Jun</t>
        </is>
      </c>
      <c r="B174" s="7" t="inlineStr">
        <is>
          <t>30328</t>
        </is>
      </c>
      <c r="C174" s="7" t="n">
        <v>2858</v>
      </c>
      <c r="D174" s="7" t="n">
        <v>2853</v>
      </c>
      <c r="E174" s="7" t="n">
        <v>2853</v>
      </c>
      <c r="F174" s="8" t="n">
        <v>21495</v>
      </c>
      <c r="G174" s="8" t="n">
        <v>94755</v>
      </c>
      <c r="H174" s="8" t="n">
        <v>21495</v>
      </c>
      <c r="I174" s="8" t="n">
        <v>94755</v>
      </c>
      <c r="J174" s="11">
        <f>(I174-H174)/1000</f>
        <v/>
      </c>
      <c r="K174" s="7" t="inlineStr">
        <is>
          <t>Yes</t>
        </is>
      </c>
      <c r="L174" s="7" t="n">
        <v>18</v>
      </c>
      <c r="M174" s="12" t="inlineStr">
        <is>
          <t>Howrah, Howrah Sorting Yard, Liluah, Belur, Bally, Belanagar, Dankuni, LC-12,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75" ht="124" customHeight="1">
      <c r="A175" s="7" t="inlineStr">
        <is>
          <t>18 Jun</t>
        </is>
      </c>
      <c r="B175" s="7" t="inlineStr">
        <is>
          <t>30468</t>
        </is>
      </c>
      <c r="C175" s="7" t="n">
        <v>796</v>
      </c>
      <c r="D175" s="7" t="n">
        <v>795</v>
      </c>
      <c r="E175" s="7" t="n">
        <v>795</v>
      </c>
      <c r="F175" s="8" t="n">
        <v>12184</v>
      </c>
      <c r="G175" s="8" t="n">
        <v>72407</v>
      </c>
      <c r="H175" s="8" t="n">
        <v>12184</v>
      </c>
      <c r="I175" s="8" t="n">
        <v>72407</v>
      </c>
      <c r="J175" s="11">
        <f>(I175-H175)/1000</f>
        <v/>
      </c>
      <c r="K175" s="7" t="inlineStr">
        <is>
          <t>Yes</t>
        </is>
      </c>
      <c r="L175" s="7" t="n">
        <v>17</v>
      </c>
      <c r="M175" s="12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176" ht="124" customHeight="1">
      <c r="A176" s="7" t="inlineStr">
        <is>
          <t>18 Jun</t>
        </is>
      </c>
      <c r="B176" s="7" t="inlineStr">
        <is>
          <t>37244</t>
        </is>
      </c>
      <c r="C176" s="7" t="n">
        <v>2218</v>
      </c>
      <c r="D176" s="7" t="n">
        <v>2176</v>
      </c>
      <c r="E176" s="7" t="n">
        <v>2164</v>
      </c>
      <c r="F176" s="8" t="n">
        <v>200321</v>
      </c>
      <c r="G176" s="8" t="n">
        <v>244652</v>
      </c>
      <c r="H176" s="8" t="n">
        <v>200321</v>
      </c>
      <c r="I176" s="8" t="n">
        <v>244357</v>
      </c>
      <c r="J176" s="11">
        <f>(I176-H176)/1000</f>
        <v/>
      </c>
      <c r="K176" s="7" t="inlineStr">
        <is>
          <t>Yes</t>
        </is>
      </c>
      <c r="L176" s="7" t="n">
        <v>11</v>
      </c>
      <c r="M176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</t>
        </is>
      </c>
    </row>
    <row r="177" ht="139" customHeight="1">
      <c r="A177" s="7" t="inlineStr">
        <is>
          <t>18 Jun</t>
        </is>
      </c>
      <c r="B177" s="7" t="inlineStr">
        <is>
          <t>30084</t>
        </is>
      </c>
      <c r="C177" s="7" t="n">
        <v>13115</v>
      </c>
      <c r="D177" s="7" t="n">
        <v>12972</v>
      </c>
      <c r="E177" s="7" t="n">
        <v>12972</v>
      </c>
      <c r="F177" s="8" t="n">
        <v>109268</v>
      </c>
      <c r="G177" s="8" t="n">
        <v>147753</v>
      </c>
      <c r="H177" s="8" t="n">
        <v>109268</v>
      </c>
      <c r="I177" s="8" t="n">
        <v>147753</v>
      </c>
      <c r="J177" s="11">
        <f>(I177-H177)/1000</f>
        <v/>
      </c>
      <c r="K177" s="7" t="inlineStr">
        <is>
          <t>Yes</t>
        </is>
      </c>
      <c r="L177" s="7" t="n">
        <v>10</v>
      </c>
      <c r="M177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78" ht="139" customHeight="1">
      <c r="A178" s="7" t="inlineStr">
        <is>
          <t>18 Jun</t>
        </is>
      </c>
      <c r="B178" s="7" t="inlineStr">
        <is>
          <t>555555</t>
        </is>
      </c>
      <c r="C178" s="7" t="n">
        <v>36</v>
      </c>
      <c r="D178" s="7" t="n">
        <v>16</v>
      </c>
      <c r="E178" s="7" t="n">
        <v>16</v>
      </c>
      <c r="F178" s="8" t="n">
        <v>95449</v>
      </c>
      <c r="G178" s="8" t="n">
        <v>99269</v>
      </c>
      <c r="H178" s="8" t="n">
        <v>95449</v>
      </c>
      <c r="I178" s="8" t="n">
        <v>99269</v>
      </c>
      <c r="J178" s="11">
        <f>(I178-H178)/1000</f>
        <v/>
      </c>
      <c r="K178" s="7" t="inlineStr">
        <is>
          <t>Yes</t>
        </is>
      </c>
      <c r="L178" s="7" t="n">
        <v>2</v>
      </c>
      <c r="M178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179" ht="139" customHeight="1">
      <c r="A179" s="7" t="inlineStr">
        <is>
          <t>18 Jun</t>
        </is>
      </c>
      <c r="B179" s="7" t="inlineStr">
        <is>
          <t>38443</t>
        </is>
      </c>
      <c r="C179" s="7" t="n">
        <v>526</v>
      </c>
      <c r="D179" s="7" t="n">
        <v>495</v>
      </c>
      <c r="E179" s="7" t="n">
        <v>244</v>
      </c>
      <c r="F179" s="8" t="n">
        <v>28</v>
      </c>
      <c r="G179" s="8" t="n">
        <v>592</v>
      </c>
      <c r="H179" s="8" t="n">
        <v>343</v>
      </c>
      <c r="I179" s="8" t="n">
        <v>592</v>
      </c>
      <c r="J179" s="11">
        <f>(I179-H179)/1000</f>
        <v/>
      </c>
      <c r="K179" s="7" t="inlineStr">
        <is>
          <t>Yes</t>
        </is>
      </c>
      <c r="L179" s="7" t="n">
        <v>1</v>
      </c>
      <c r="M179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80" ht="139" customHeight="1">
      <c r="A180" s="9" t="inlineStr">
        <is>
          <t>18 Jun</t>
        </is>
      </c>
      <c r="B180" s="9" t="inlineStr">
        <is>
          <t>11519</t>
        </is>
      </c>
      <c r="C180" s="9" t="n">
        <v>1</v>
      </c>
      <c r="D180" s="9" t="n">
        <v>0</v>
      </c>
      <c r="E180" s="9" t="n">
        <v>0</v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3" t="n">
        <v>0</v>
      </c>
      <c r="K180" s="9" t="inlineStr">
        <is>
          <t>No</t>
        </is>
      </c>
      <c r="L180" s="9" t="n">
        <v>0</v>
      </c>
      <c r="M18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1" ht="139" customHeight="1">
      <c r="A181" s="9" t="inlineStr">
        <is>
          <t>18 Jun</t>
        </is>
      </c>
      <c r="B181" s="9" t="inlineStr">
        <is>
          <t>30199</t>
        </is>
      </c>
      <c r="C181" s="9" t="n">
        <v>5</v>
      </c>
      <c r="D181" s="9" t="n">
        <v>0</v>
      </c>
      <c r="E181" s="9" t="n">
        <v>0</v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3" t="n">
        <v>0</v>
      </c>
      <c r="K181" s="9" t="inlineStr">
        <is>
          <t>No</t>
        </is>
      </c>
      <c r="L181" s="9" t="n">
        <v>0</v>
      </c>
      <c r="M18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2" ht="139" customHeight="1">
      <c r="A182" s="9" t="inlineStr">
        <is>
          <t>18 Jun</t>
        </is>
      </c>
      <c r="B182" s="9" t="inlineStr">
        <is>
          <t>30795</t>
        </is>
      </c>
      <c r="C182" s="9" t="n">
        <v>27</v>
      </c>
      <c r="D182" s="9" t="n">
        <v>23</v>
      </c>
      <c r="E182" s="9" t="n">
        <v>23</v>
      </c>
      <c r="F182" s="10" t="n">
        <v>350</v>
      </c>
      <c r="G182" s="10" t="n">
        <v>350</v>
      </c>
      <c r="H182" s="10" t="n">
        <v>350</v>
      </c>
      <c r="I182" s="10" t="n">
        <v>350</v>
      </c>
      <c r="J182" s="13">
        <f>(I182-H182)/1000</f>
        <v/>
      </c>
      <c r="K182" s="9" t="inlineStr">
        <is>
          <t>No</t>
        </is>
      </c>
      <c r="L182" s="9" t="n">
        <v>1</v>
      </c>
      <c r="M182" s="14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183" ht="139" customHeight="1">
      <c r="A183" s="9" t="inlineStr">
        <is>
          <t>18 Jun</t>
        </is>
      </c>
      <c r="B183" s="9" t="inlineStr">
        <is>
          <t>37182</t>
        </is>
      </c>
      <c r="C183" s="9" t="n">
        <v>4</v>
      </c>
      <c r="D183" s="9" t="n">
        <v>0</v>
      </c>
      <c r="E183" s="9" t="n">
        <v>0</v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3" t="n">
        <v>0</v>
      </c>
      <c r="K183" s="9" t="inlineStr">
        <is>
          <t>No</t>
        </is>
      </c>
      <c r="L183" s="9" t="n">
        <v>0</v>
      </c>
      <c r="M18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4" ht="139" customHeight="1">
      <c r="A184" s="9" t="inlineStr">
        <is>
          <t>18 Jun</t>
        </is>
      </c>
      <c r="B184" s="9" t="inlineStr">
        <is>
          <t>37215</t>
        </is>
      </c>
      <c r="C184" s="9" t="n">
        <v>10</v>
      </c>
      <c r="D184" s="9" t="n">
        <v>0</v>
      </c>
      <c r="E184" s="9" t="n">
        <v>0</v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3" t="n">
        <v>0</v>
      </c>
      <c r="K184" s="9" t="inlineStr">
        <is>
          <t>No</t>
        </is>
      </c>
      <c r="L184" s="9" t="n">
        <v>0</v>
      </c>
      <c r="M18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5" ht="139" customHeight="1">
      <c r="A185" s="9" t="inlineStr">
        <is>
          <t>18 Jun</t>
        </is>
      </c>
      <c r="B185" s="9" t="inlineStr">
        <is>
          <t>37246</t>
        </is>
      </c>
      <c r="C185" s="9" t="n">
        <v>4</v>
      </c>
      <c r="D185" s="9" t="n">
        <v>0</v>
      </c>
      <c r="E185" s="9" t="n">
        <v>0</v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3" t="n">
        <v>0</v>
      </c>
      <c r="K185" s="9" t="inlineStr">
        <is>
          <t>No</t>
        </is>
      </c>
      <c r="L185" s="9" t="n">
        <v>0</v>
      </c>
      <c r="M18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6" ht="139" customHeight="1">
      <c r="A186" s="9" t="inlineStr">
        <is>
          <t>18 Jun</t>
        </is>
      </c>
      <c r="B186" s="9" t="inlineStr">
        <is>
          <t>43973</t>
        </is>
      </c>
      <c r="C186" s="9" t="n">
        <v>1</v>
      </c>
      <c r="D186" s="9" t="n">
        <v>0</v>
      </c>
      <c r="E186" s="9" t="n">
        <v>0</v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3" t="n">
        <v>0</v>
      </c>
      <c r="K186" s="9" t="inlineStr">
        <is>
          <t>No</t>
        </is>
      </c>
      <c r="L186" s="9" t="n">
        <v>0</v>
      </c>
      <c r="M18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7" ht="139" customHeight="1">
      <c r="A187" s="9" t="inlineStr">
        <is>
          <t>18 Jun</t>
        </is>
      </c>
      <c r="B187" s="9" t="inlineStr">
        <is>
          <t>45003</t>
        </is>
      </c>
      <c r="C187" s="9" t="n">
        <v>1</v>
      </c>
      <c r="D187" s="9" t="n">
        <v>0</v>
      </c>
      <c r="E187" s="9" t="n">
        <v>0</v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3" t="n">
        <v>0</v>
      </c>
      <c r="K187" s="9" t="inlineStr">
        <is>
          <t>No</t>
        </is>
      </c>
      <c r="L187" s="9" t="n">
        <v>0</v>
      </c>
      <c r="M18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188">
      <c r="A188" s="7" t="inlineStr">
        <is>
          <t>19 Jun</t>
        </is>
      </c>
      <c r="B188" s="7" t="inlineStr">
        <is>
          <t>39409</t>
        </is>
      </c>
      <c r="C188" s="7" t="n">
        <v>11557</v>
      </c>
      <c r="D188" s="7" t="n">
        <v>11523</v>
      </c>
      <c r="E188" s="7" t="n">
        <v>11513</v>
      </c>
      <c r="F188" s="8" t="n">
        <v>350</v>
      </c>
      <c r="G188" s="8" t="n">
        <v>244626</v>
      </c>
      <c r="H188" s="8" t="n">
        <v>350</v>
      </c>
      <c r="I188" s="8" t="n">
        <v>244371</v>
      </c>
      <c r="J188" s="11">
        <f>(I188-H188)/1000</f>
        <v/>
      </c>
      <c r="K188" s="7" t="inlineStr">
        <is>
          <t>Yes</t>
        </is>
      </c>
      <c r="L188" s="7" t="n">
        <v>60</v>
      </c>
      <c r="M188" s="12" t="inlineStr">
        <is>
          <t>- (full trip)</t>
        </is>
      </c>
    </row>
    <row r="189">
      <c r="A189" s="7" t="inlineStr">
        <is>
          <t>19 Jun</t>
        </is>
      </c>
      <c r="B189" s="7" t="inlineStr">
        <is>
          <t>37778</t>
        </is>
      </c>
      <c r="C189" s="7" t="n">
        <v>8537</v>
      </c>
      <c r="D189" s="7" t="n">
        <v>8524</v>
      </c>
      <c r="E189" s="7" t="n">
        <v>8524</v>
      </c>
      <c r="F189" s="8" t="n">
        <v>444</v>
      </c>
      <c r="G189" s="8" t="n">
        <v>244336</v>
      </c>
      <c r="H189" s="8" t="n">
        <v>444</v>
      </c>
      <c r="I189" s="8" t="n">
        <v>244336</v>
      </c>
      <c r="J189" s="11">
        <f>(I189-H189)/1000</f>
        <v/>
      </c>
      <c r="K189" s="7" t="inlineStr">
        <is>
          <t>Yes</t>
        </is>
      </c>
      <c r="L189" s="7" t="n">
        <v>60</v>
      </c>
      <c r="M189" s="12" t="inlineStr">
        <is>
          <t>- (full trip)</t>
        </is>
      </c>
    </row>
    <row r="190">
      <c r="A190" s="7" t="inlineStr">
        <is>
          <t>19 Jun</t>
        </is>
      </c>
      <c r="B190" s="7" t="inlineStr">
        <is>
          <t>30200</t>
        </is>
      </c>
      <c r="C190" s="7" t="n">
        <v>22250</v>
      </c>
      <c r="D190" s="7" t="n">
        <v>22142</v>
      </c>
      <c r="E190" s="7" t="n">
        <v>22137</v>
      </c>
      <c r="F190" s="8" t="n">
        <v>621</v>
      </c>
      <c r="G190" s="8" t="n">
        <v>244512</v>
      </c>
      <c r="H190" s="8" t="n">
        <v>621</v>
      </c>
      <c r="I190" s="8" t="n">
        <v>244356</v>
      </c>
      <c r="J190" s="11">
        <f>(I190-H190)/1000</f>
        <v/>
      </c>
      <c r="K190" s="7" t="inlineStr">
        <is>
          <t>Yes</t>
        </is>
      </c>
      <c r="L190" s="7" t="n">
        <v>60</v>
      </c>
      <c r="M190" s="12" t="inlineStr">
        <is>
          <t>- (full trip)</t>
        </is>
      </c>
    </row>
    <row r="191">
      <c r="A191" s="7" t="inlineStr">
        <is>
          <t>19 Jun</t>
        </is>
      </c>
      <c r="B191" s="7" t="inlineStr">
        <is>
          <t>37777</t>
        </is>
      </c>
      <c r="C191" s="7" t="n">
        <v>9385</v>
      </c>
      <c r="D191" s="7" t="n">
        <v>9352</v>
      </c>
      <c r="E191" s="7" t="n">
        <v>9342</v>
      </c>
      <c r="F191" s="8" t="n">
        <v>690</v>
      </c>
      <c r="G191" s="8" t="n">
        <v>244630</v>
      </c>
      <c r="H191" s="8" t="n">
        <v>690</v>
      </c>
      <c r="I191" s="8" t="n">
        <v>244350</v>
      </c>
      <c r="J191" s="11">
        <f>(I191-H191)/1000</f>
        <v/>
      </c>
      <c r="K191" s="7" t="inlineStr">
        <is>
          <t>Yes</t>
        </is>
      </c>
      <c r="L191" s="7" t="n">
        <v>60</v>
      </c>
      <c r="M191" s="12" t="inlineStr">
        <is>
          <t>- (full trip)</t>
        </is>
      </c>
    </row>
    <row r="192">
      <c r="A192" s="7" t="inlineStr">
        <is>
          <t>19 Jun</t>
        </is>
      </c>
      <c r="B192" s="7" t="inlineStr">
        <is>
          <t>37034</t>
        </is>
      </c>
      <c r="C192" s="7" t="n">
        <v>10402</v>
      </c>
      <c r="D192" s="7" t="n">
        <v>10309</v>
      </c>
      <c r="E192" s="7" t="n">
        <v>10299</v>
      </c>
      <c r="F192" s="8" t="n">
        <v>849</v>
      </c>
      <c r="G192" s="8" t="n">
        <v>244643</v>
      </c>
      <c r="H192" s="8" t="n">
        <v>849</v>
      </c>
      <c r="I192" s="8" t="n">
        <v>244369</v>
      </c>
      <c r="J192" s="11">
        <f>(I192-H192)/1000</f>
        <v/>
      </c>
      <c r="K192" s="7" t="inlineStr">
        <is>
          <t>Yes</t>
        </is>
      </c>
      <c r="L192" s="7" t="n">
        <v>60</v>
      </c>
      <c r="M192" s="12" t="inlineStr">
        <is>
          <t>- (full trip)</t>
        </is>
      </c>
    </row>
    <row r="193">
      <c r="A193" s="7" t="inlineStr">
        <is>
          <t>19 Jun</t>
        </is>
      </c>
      <c r="B193" s="7" t="inlineStr">
        <is>
          <t>37610</t>
        </is>
      </c>
      <c r="C193" s="7" t="n">
        <v>11297</v>
      </c>
      <c r="D193" s="7" t="n">
        <v>11291</v>
      </c>
      <c r="E193" s="7" t="n">
        <v>11279</v>
      </c>
      <c r="F193" s="8" t="n">
        <v>12130</v>
      </c>
      <c r="G193" s="8" t="n">
        <v>244628</v>
      </c>
      <c r="H193" s="8" t="n">
        <v>12130</v>
      </c>
      <c r="I193" s="8" t="n">
        <v>244376</v>
      </c>
      <c r="J193" s="11">
        <f>(I193-H193)/1000</f>
        <v/>
      </c>
      <c r="K193" s="7" t="inlineStr">
        <is>
          <t>Yes</t>
        </is>
      </c>
      <c r="L193" s="7" t="n">
        <v>55</v>
      </c>
      <c r="M193" s="12" t="inlineStr">
        <is>
          <t>Howrah, Howrah Sorting Yard, Liluah, Belur, Bally</t>
        </is>
      </c>
    </row>
    <row r="194">
      <c r="A194" s="7" t="inlineStr">
        <is>
          <t>19 Jun</t>
        </is>
      </c>
      <c r="B194" s="7" t="inlineStr">
        <is>
          <t>30493</t>
        </is>
      </c>
      <c r="C194" s="7" t="n">
        <v>11835</v>
      </c>
      <c r="D194" s="7" t="n">
        <v>11828</v>
      </c>
      <c r="E194" s="7" t="n">
        <v>11819</v>
      </c>
      <c r="F194" s="8" t="n">
        <v>12131</v>
      </c>
      <c r="G194" s="8" t="n">
        <v>244616</v>
      </c>
      <c r="H194" s="8" t="n">
        <v>12131</v>
      </c>
      <c r="I194" s="8" t="n">
        <v>244366</v>
      </c>
      <c r="J194" s="11">
        <f>(I194-H194)/1000</f>
        <v/>
      </c>
      <c r="K194" s="7" t="inlineStr">
        <is>
          <t>Yes</t>
        </is>
      </c>
      <c r="L194" s="7" t="n">
        <v>55</v>
      </c>
      <c r="M194" s="12" t="inlineStr">
        <is>
          <t>Howrah, Howrah Sorting Yard, Liluah, Belur, Bally</t>
        </is>
      </c>
    </row>
    <row r="195">
      <c r="A195" s="7" t="inlineStr">
        <is>
          <t>19 Jun</t>
        </is>
      </c>
      <c r="B195" s="7" t="inlineStr">
        <is>
          <t>37720</t>
        </is>
      </c>
      <c r="C195" s="7" t="n">
        <v>8676</v>
      </c>
      <c r="D195" s="7" t="n">
        <v>8670</v>
      </c>
      <c r="E195" s="7" t="n">
        <v>8662</v>
      </c>
      <c r="F195" s="8" t="n">
        <v>12113</v>
      </c>
      <c r="G195" s="8" t="n">
        <v>244600</v>
      </c>
      <c r="H195" s="8" t="n">
        <v>12113</v>
      </c>
      <c r="I195" s="8" t="n">
        <v>244329</v>
      </c>
      <c r="J195" s="11">
        <f>(I195-H195)/1000</f>
        <v/>
      </c>
      <c r="K195" s="7" t="inlineStr">
        <is>
          <t>Yes</t>
        </is>
      </c>
      <c r="L195" s="7" t="n">
        <v>55</v>
      </c>
      <c r="M195" s="12" t="inlineStr">
        <is>
          <t>Howrah, Howrah Sorting Yard, Liluah, Belur, Bally</t>
        </is>
      </c>
    </row>
    <row r="196">
      <c r="A196" s="7" t="inlineStr">
        <is>
          <t>19 Jun</t>
        </is>
      </c>
      <c r="B196" s="7" t="inlineStr">
        <is>
          <t>37959</t>
        </is>
      </c>
      <c r="C196" s="7" t="n">
        <v>8525</v>
      </c>
      <c r="D196" s="7" t="n">
        <v>8513</v>
      </c>
      <c r="E196" s="7" t="n">
        <v>8457</v>
      </c>
      <c r="F196" s="8" t="n">
        <v>12689</v>
      </c>
      <c r="G196" s="8" t="n">
        <v>246021</v>
      </c>
      <c r="H196" s="8" t="n">
        <v>12689</v>
      </c>
      <c r="I196" s="8" t="n">
        <v>244364</v>
      </c>
      <c r="J196" s="11">
        <f>(I196-H196)/1000</f>
        <v/>
      </c>
      <c r="K196" s="7" t="inlineStr">
        <is>
          <t>Yes</t>
        </is>
      </c>
      <c r="L196" s="7" t="n">
        <v>55</v>
      </c>
      <c r="M196" s="12" t="inlineStr">
        <is>
          <t>Howrah, Howrah Sorting Yard, Liluah, Belur, Bally</t>
        </is>
      </c>
    </row>
    <row r="197">
      <c r="A197" s="7" t="inlineStr">
        <is>
          <t>19 Jun</t>
        </is>
      </c>
      <c r="B197" s="7" t="inlineStr">
        <is>
          <t>30552</t>
        </is>
      </c>
      <c r="C197" s="7" t="n">
        <v>9954</v>
      </c>
      <c r="D197" s="7" t="n">
        <v>9945</v>
      </c>
      <c r="E197" s="7" t="n">
        <v>9866</v>
      </c>
      <c r="F197" s="8" t="n">
        <v>12718</v>
      </c>
      <c r="G197" s="8" t="n">
        <v>246089</v>
      </c>
      <c r="H197" s="8" t="n">
        <v>12718</v>
      </c>
      <c r="I197" s="8" t="n">
        <v>244365</v>
      </c>
      <c r="J197" s="11">
        <f>(I197-H197)/1000</f>
        <v/>
      </c>
      <c r="K197" s="7" t="inlineStr">
        <is>
          <t>Yes</t>
        </is>
      </c>
      <c r="L197" s="7" t="n">
        <v>55</v>
      </c>
      <c r="M197" s="12" t="inlineStr">
        <is>
          <t>Howrah, Howrah Sorting Yard, Liluah, Belur, Bally</t>
        </is>
      </c>
    </row>
    <row r="198" ht="34" customHeight="1">
      <c r="A198" s="7" t="inlineStr">
        <is>
          <t>19 Jun</t>
        </is>
      </c>
      <c r="B198" s="7" t="inlineStr">
        <is>
          <t>37168</t>
        </is>
      </c>
      <c r="C198" s="7" t="n">
        <v>7465</v>
      </c>
      <c r="D198" s="7" t="n">
        <v>7460</v>
      </c>
      <c r="E198" s="7" t="n">
        <v>7449</v>
      </c>
      <c r="F198" s="8" t="n">
        <v>37540</v>
      </c>
      <c r="G198" s="8" t="n">
        <v>244611</v>
      </c>
      <c r="H198" s="8" t="n">
        <v>37540</v>
      </c>
      <c r="I198" s="8" t="n">
        <v>244365</v>
      </c>
      <c r="J198" s="11">
        <f>(I198-H198)/1000</f>
        <v/>
      </c>
      <c r="K198" s="7" t="inlineStr">
        <is>
          <t>Yes</t>
        </is>
      </c>
      <c r="L198" s="7" t="n">
        <v>48</v>
      </c>
      <c r="M198" s="12" t="inlineStr">
        <is>
          <t>Howrah, Howrah Sorting Yard, Liluah, Belur, Bally, Belanagar, Dankuni, Janai Road, Baruipara, Kamarkundu, LC-31</t>
        </is>
      </c>
    </row>
    <row r="199" ht="34" customHeight="1">
      <c r="A199" s="7" t="inlineStr">
        <is>
          <t>19 Jun</t>
        </is>
      </c>
      <c r="B199" s="7" t="inlineStr">
        <is>
          <t>39408</t>
        </is>
      </c>
      <c r="C199" s="7" t="n">
        <v>15775</v>
      </c>
      <c r="D199" s="7" t="n">
        <v>15710</v>
      </c>
      <c r="E199" s="7" t="n">
        <v>15487</v>
      </c>
      <c r="F199" s="8" t="n">
        <v>33</v>
      </c>
      <c r="G199" s="8" t="n">
        <v>200090</v>
      </c>
      <c r="H199" s="8" t="n">
        <v>342</v>
      </c>
      <c r="I199" s="8" t="n">
        <v>200090</v>
      </c>
      <c r="J199" s="11">
        <f>(I199-H199)/1000</f>
        <v/>
      </c>
      <c r="K199" s="7" t="inlineStr">
        <is>
          <t>Yes</t>
        </is>
      </c>
      <c r="L199" s="7" t="n">
        <v>50</v>
      </c>
      <c r="M199" s="12" t="inlineStr">
        <is>
          <t>Barachak Jn, Sitarampur Central, Kulti, Barakar, Kumardubi, Mugma, Thaparnagar, Kalubathan, Chhota Ambana</t>
        </is>
      </c>
    </row>
    <row r="200" ht="34" customHeight="1">
      <c r="A200" s="7" t="inlineStr">
        <is>
          <t>19 Jun</t>
        </is>
      </c>
      <c r="B200" s="7" t="inlineStr">
        <is>
          <t>37272</t>
        </is>
      </c>
      <c r="C200" s="7" t="n">
        <v>8394</v>
      </c>
      <c r="D200" s="7" t="n">
        <v>8121</v>
      </c>
      <c r="E200" s="7" t="n">
        <v>8121</v>
      </c>
      <c r="F200" s="8" t="n">
        <v>466</v>
      </c>
      <c r="G200" s="8" t="n">
        <v>200087</v>
      </c>
      <c r="H200" s="8" t="n">
        <v>466</v>
      </c>
      <c r="I200" s="8" t="n">
        <v>200087</v>
      </c>
      <c r="J200" s="11">
        <f>(I200-H200)/1000</f>
        <v/>
      </c>
      <c r="K200" s="7" t="inlineStr">
        <is>
          <t>Yes</t>
        </is>
      </c>
      <c r="L200" s="7" t="n">
        <v>50</v>
      </c>
      <c r="M200" s="12" t="inlineStr">
        <is>
          <t>Barachak Jn, Sitarampur Central, Kulti, Barakar, Kumardubi, Mugma, Thaparnagar, Kalubathan, Chhota Ambana</t>
        </is>
      </c>
    </row>
    <row r="201" ht="34" customHeight="1">
      <c r="A201" s="7" t="inlineStr">
        <is>
          <t>19 Jun</t>
        </is>
      </c>
      <c r="B201" s="7" t="inlineStr">
        <is>
          <t>35004</t>
        </is>
      </c>
      <c r="C201" s="7" t="n">
        <v>7961</v>
      </c>
      <c r="D201" s="7" t="n">
        <v>7933</v>
      </c>
      <c r="E201" s="7" t="n">
        <v>7933</v>
      </c>
      <c r="F201" s="8" t="n">
        <v>547</v>
      </c>
      <c r="G201" s="8" t="n">
        <v>200080</v>
      </c>
      <c r="H201" s="8" t="n">
        <v>547</v>
      </c>
      <c r="I201" s="8" t="n">
        <v>200080</v>
      </c>
      <c r="J201" s="11">
        <f>(I201-H201)/1000</f>
        <v/>
      </c>
      <c r="K201" s="7" t="inlineStr">
        <is>
          <t>Yes</t>
        </is>
      </c>
      <c r="L201" s="7" t="n">
        <v>50</v>
      </c>
      <c r="M201" s="12" t="inlineStr">
        <is>
          <t>Barachak Jn, Sitarampur Central, Kulti, Barakar, Kumardubi, Mugma, Thaparnagar, Kalubathan, Chhota Ambana</t>
        </is>
      </c>
    </row>
    <row r="202" ht="34" customHeight="1">
      <c r="A202" s="7" t="inlineStr">
        <is>
          <t>19 Jun</t>
        </is>
      </c>
      <c r="B202" s="7" t="inlineStr">
        <is>
          <t>39095</t>
        </is>
      </c>
      <c r="C202" s="7" t="n">
        <v>7777</v>
      </c>
      <c r="D202" s="7" t="n">
        <v>7761</v>
      </c>
      <c r="E202" s="7" t="n">
        <v>7761</v>
      </c>
      <c r="F202" s="8" t="n">
        <v>689</v>
      </c>
      <c r="G202" s="8" t="n">
        <v>200081</v>
      </c>
      <c r="H202" s="8" t="n">
        <v>689</v>
      </c>
      <c r="I202" s="8" t="n">
        <v>200081</v>
      </c>
      <c r="J202" s="11">
        <f>(I202-H202)/1000</f>
        <v/>
      </c>
      <c r="K202" s="7" t="inlineStr">
        <is>
          <t>Yes</t>
        </is>
      </c>
      <c r="L202" s="7" t="n">
        <v>50</v>
      </c>
      <c r="M202" s="12" t="inlineStr">
        <is>
          <t>Barachak Jn, Sitarampur Central, Kulti, Barakar, Kumardubi, Mugma, Thaparnagar, Kalubathan, Chhota Ambana</t>
        </is>
      </c>
    </row>
    <row r="203" ht="34" customHeight="1">
      <c r="A203" s="7" t="inlineStr">
        <is>
          <t>19 Jun</t>
        </is>
      </c>
      <c r="B203" s="7" t="inlineStr">
        <is>
          <t>39059</t>
        </is>
      </c>
      <c r="C203" s="7" t="n">
        <v>8340</v>
      </c>
      <c r="D203" s="7" t="n">
        <v>8311</v>
      </c>
      <c r="E203" s="7" t="n">
        <v>8091</v>
      </c>
      <c r="F203" s="8" t="n">
        <v>20</v>
      </c>
      <c r="G203" s="8" t="n">
        <v>199389</v>
      </c>
      <c r="H203" s="8" t="n">
        <v>343</v>
      </c>
      <c r="I203" s="8" t="n">
        <v>199389</v>
      </c>
      <c r="J203" s="11">
        <f>(I203-H203)/1000</f>
        <v/>
      </c>
      <c r="K203" s="7" t="inlineStr">
        <is>
          <t>Yes</t>
        </is>
      </c>
      <c r="L203" s="7" t="n">
        <v>50</v>
      </c>
      <c r="M203" s="12" t="inlineStr">
        <is>
          <t>Barachak Jn, Sitarampur Central, Kulti, Barakar, Kumardubi, Mugma, Thaparnagar, Kalubathan, Chhota Ambana</t>
        </is>
      </c>
    </row>
    <row r="204" ht="34" customHeight="1">
      <c r="A204" s="7" t="inlineStr">
        <is>
          <t>19 Jun</t>
        </is>
      </c>
      <c r="B204" s="7" t="inlineStr">
        <is>
          <t>37024</t>
        </is>
      </c>
      <c r="C204" s="7" t="n">
        <v>9823</v>
      </c>
      <c r="D204" s="7" t="n">
        <v>9778</v>
      </c>
      <c r="E204" s="7" t="n">
        <v>9593</v>
      </c>
      <c r="F204" s="8" t="n">
        <v>33</v>
      </c>
      <c r="G204" s="8" t="n">
        <v>199387</v>
      </c>
      <c r="H204" s="8" t="n">
        <v>342</v>
      </c>
      <c r="I204" s="8" t="n">
        <v>199387</v>
      </c>
      <c r="J204" s="11">
        <f>(I204-H204)/1000</f>
        <v/>
      </c>
      <c r="K204" s="7" t="inlineStr">
        <is>
          <t>Yes</t>
        </is>
      </c>
      <c r="L204" s="7" t="n">
        <v>50</v>
      </c>
      <c r="M204" s="12" t="inlineStr">
        <is>
          <t>Barachak Jn, Sitarampur Central, Kulti, Barakar, Kumardubi, Mugma, Thaparnagar, Kalubathan, Chhota Ambana</t>
        </is>
      </c>
    </row>
    <row r="205" ht="34" customHeight="1">
      <c r="A205" s="7" t="inlineStr">
        <is>
          <t>19 Jun</t>
        </is>
      </c>
      <c r="B205" s="7" t="inlineStr">
        <is>
          <t>39411</t>
        </is>
      </c>
      <c r="C205" s="7" t="n">
        <v>13504</v>
      </c>
      <c r="D205" s="7" t="n">
        <v>13243</v>
      </c>
      <c r="E205" s="7" t="n">
        <v>13108</v>
      </c>
      <c r="F205" s="8" t="n">
        <v>33</v>
      </c>
      <c r="G205" s="8" t="n">
        <v>199386</v>
      </c>
      <c r="H205" s="8" t="n">
        <v>343</v>
      </c>
      <c r="I205" s="8" t="n">
        <v>199386</v>
      </c>
      <c r="J205" s="11">
        <f>(I205-H205)/1000</f>
        <v/>
      </c>
      <c r="K205" s="7" t="inlineStr">
        <is>
          <t>Yes</t>
        </is>
      </c>
      <c r="L205" s="7" t="n">
        <v>50</v>
      </c>
      <c r="M205" s="12" t="inlineStr">
        <is>
          <t>Barachak Jn, Sitarampur Central, Kulti, Barakar, Kumardubi, Mugma, Thaparnagar, Kalubathan, Chhota Ambana</t>
        </is>
      </c>
    </row>
    <row r="206" ht="34" customHeight="1">
      <c r="A206" s="7" t="inlineStr">
        <is>
          <t>19 Jun</t>
        </is>
      </c>
      <c r="B206" s="7" t="inlineStr">
        <is>
          <t>37261</t>
        </is>
      </c>
      <c r="C206" s="7" t="n">
        <v>6804</v>
      </c>
      <c r="D206" s="7" t="n">
        <v>6783</v>
      </c>
      <c r="E206" s="7" t="n">
        <v>6783</v>
      </c>
      <c r="F206" s="8" t="n">
        <v>688</v>
      </c>
      <c r="G206" s="8" t="n">
        <v>194935</v>
      </c>
      <c r="H206" s="8" t="n">
        <v>688</v>
      </c>
      <c r="I206" s="8" t="n">
        <v>194935</v>
      </c>
      <c r="J206" s="11">
        <f>(I206-H206)/1000</f>
        <v/>
      </c>
      <c r="K206" s="7" t="inlineStr">
        <is>
          <t>Yes</t>
        </is>
      </c>
      <c r="L206" s="7" t="n">
        <v>49</v>
      </c>
      <c r="M206" s="12" t="inlineStr">
        <is>
          <t>Asansol, Barachak Jn, Sitarampur Central, Kulti, Barakar, Kumardubi, Mugma, Thaparnagar, Kalubathan, Chhota Ambana</t>
        </is>
      </c>
    </row>
    <row r="207" ht="64" customHeight="1">
      <c r="A207" s="7" t="inlineStr">
        <is>
          <t>19 Jun</t>
        </is>
      </c>
      <c r="B207" s="7" t="inlineStr">
        <is>
          <t>30468</t>
        </is>
      </c>
      <c r="C207" s="7" t="n">
        <v>3252</v>
      </c>
      <c r="D207" s="7" t="n">
        <v>3250</v>
      </c>
      <c r="E207" s="7" t="n">
        <v>3244</v>
      </c>
      <c r="F207" s="8" t="n">
        <v>72423</v>
      </c>
      <c r="G207" s="8" t="n">
        <v>244638</v>
      </c>
      <c r="H207" s="8" t="n">
        <v>72423</v>
      </c>
      <c r="I207" s="8" t="n">
        <v>244369</v>
      </c>
      <c r="J207" s="11">
        <f>(I207-H207)/1000</f>
        <v/>
      </c>
      <c r="K207" s="7" t="inlineStr">
        <is>
          <t>Yes</t>
        </is>
      </c>
      <c r="L207" s="7" t="n">
        <v>39</v>
      </c>
      <c r="M207" s="12" t="inlineStr">
        <is>
          <t>Howrah, Howrah Sorting Yard, Liluah, Belur, Bally, Belanagar, Dankuni, Janai Road, Baruipara, Kamarkundu, LC-31, Chandanpur, LC-38, Belmuri, Cheragram, LC-41, Gurap, LC-48, Jaugram, LC-57</t>
        </is>
      </c>
    </row>
    <row r="208" ht="79" customHeight="1">
      <c r="A208" s="7" t="inlineStr">
        <is>
          <t>19 Jun</t>
        </is>
      </c>
      <c r="B208" s="7" t="inlineStr">
        <is>
          <t>37246</t>
        </is>
      </c>
      <c r="C208" s="7" t="n">
        <v>5040</v>
      </c>
      <c r="D208" s="7" t="n">
        <v>5024</v>
      </c>
      <c r="E208" s="7" t="n">
        <v>5024</v>
      </c>
      <c r="F208" s="8" t="n">
        <v>689</v>
      </c>
      <c r="G208" s="8" t="n">
        <v>138009</v>
      </c>
      <c r="H208" s="8" t="n">
        <v>689</v>
      </c>
      <c r="I208" s="8" t="n">
        <v>138009</v>
      </c>
      <c r="J208" s="11">
        <f>(I208-H208)/1000</f>
        <v/>
      </c>
      <c r="K208" s="7" t="inlineStr">
        <is>
          <t>Yes</t>
        </is>
      </c>
      <c r="L208" s="7" t="n">
        <v>35</v>
      </c>
      <c r="M208" s="12" t="inlineStr">
        <is>
          <t>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09" ht="94" customHeight="1">
      <c r="A209" s="7" t="inlineStr">
        <is>
          <t>19 Jun</t>
        </is>
      </c>
      <c r="B209" s="7" t="inlineStr">
        <is>
          <t>35001</t>
        </is>
      </c>
      <c r="C209" s="7" t="n">
        <v>6893</v>
      </c>
      <c r="D209" s="7" t="n">
        <v>6804</v>
      </c>
      <c r="E209" s="7" t="n">
        <v>6707</v>
      </c>
      <c r="F209" s="8" t="n">
        <v>33</v>
      </c>
      <c r="G209" s="8" t="n">
        <v>94638</v>
      </c>
      <c r="H209" s="8" t="n">
        <v>343</v>
      </c>
      <c r="I209" s="8" t="n">
        <v>94638</v>
      </c>
      <c r="J209" s="11">
        <f>(I209-H209)/1000</f>
        <v/>
      </c>
      <c r="K209" s="7" t="inlineStr">
        <is>
          <t>Yes</t>
        </is>
      </c>
      <c r="L209" s="7" t="n">
        <v>26</v>
      </c>
      <c r="M20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0" ht="94" customHeight="1">
      <c r="A210" s="7" t="inlineStr">
        <is>
          <t>19 Jun</t>
        </is>
      </c>
      <c r="B210" s="7" t="inlineStr">
        <is>
          <t>37401</t>
        </is>
      </c>
      <c r="C210" s="7" t="n">
        <v>3911</v>
      </c>
      <c r="D210" s="7" t="n">
        <v>3888</v>
      </c>
      <c r="E210" s="7" t="n">
        <v>3888</v>
      </c>
      <c r="F210" s="8" t="n">
        <v>477</v>
      </c>
      <c r="G210" s="8" t="n">
        <v>94642</v>
      </c>
      <c r="H210" s="8" t="n">
        <v>477</v>
      </c>
      <c r="I210" s="8" t="n">
        <v>94642</v>
      </c>
      <c r="J210" s="11">
        <f>(I210-H210)/1000</f>
        <v/>
      </c>
      <c r="K210" s="7" t="inlineStr">
        <is>
          <t>Yes</t>
        </is>
      </c>
      <c r="L210" s="7" t="n">
        <v>26</v>
      </c>
      <c r="M21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1" ht="94" customHeight="1">
      <c r="A211" s="7" t="inlineStr">
        <is>
          <t>19 Jun</t>
        </is>
      </c>
      <c r="B211" s="7" t="inlineStr">
        <is>
          <t>39133</t>
        </is>
      </c>
      <c r="C211" s="7" t="n">
        <v>3574</v>
      </c>
      <c r="D211" s="7" t="n">
        <v>3560</v>
      </c>
      <c r="E211" s="7" t="n">
        <v>3560</v>
      </c>
      <c r="F211" s="8" t="n">
        <v>736</v>
      </c>
      <c r="G211" s="8" t="n">
        <v>94604</v>
      </c>
      <c r="H211" s="8" t="n">
        <v>736</v>
      </c>
      <c r="I211" s="8" t="n">
        <v>94604</v>
      </c>
      <c r="J211" s="11">
        <f>(I211-H211)/1000</f>
        <v/>
      </c>
      <c r="K211" s="7" t="inlineStr">
        <is>
          <t>Yes</t>
        </is>
      </c>
      <c r="L211" s="7" t="n">
        <v>26</v>
      </c>
      <c r="M21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2" ht="94" customHeight="1">
      <c r="A212" s="7" t="inlineStr">
        <is>
          <t>19 Jun</t>
        </is>
      </c>
      <c r="B212" s="7" t="inlineStr">
        <is>
          <t>30112</t>
        </is>
      </c>
      <c r="C212" s="7" t="n">
        <v>4022</v>
      </c>
      <c r="D212" s="7" t="n">
        <v>4000</v>
      </c>
      <c r="E212" s="7" t="n">
        <v>3859</v>
      </c>
      <c r="F212" s="8" t="n">
        <v>54</v>
      </c>
      <c r="G212" s="8" t="n">
        <v>94110</v>
      </c>
      <c r="H212" s="8" t="n">
        <v>343</v>
      </c>
      <c r="I212" s="8" t="n">
        <v>94110</v>
      </c>
      <c r="J212" s="11">
        <f>(I212-H212)/1000</f>
        <v/>
      </c>
      <c r="K212" s="7" t="inlineStr">
        <is>
          <t>Yes</t>
        </is>
      </c>
      <c r="L212" s="7" t="n">
        <v>26</v>
      </c>
      <c r="M21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3" ht="94" customHeight="1">
      <c r="A213" s="7" t="inlineStr">
        <is>
          <t>19 Jun</t>
        </is>
      </c>
      <c r="B213" s="7" t="inlineStr">
        <is>
          <t>37025</t>
        </is>
      </c>
      <c r="C213" s="7" t="n">
        <v>5563</v>
      </c>
      <c r="D213" s="7" t="n">
        <v>5526</v>
      </c>
      <c r="E213" s="7" t="n">
        <v>5343</v>
      </c>
      <c r="F213" s="8" t="n">
        <v>42</v>
      </c>
      <c r="G213" s="8" t="n">
        <v>94110</v>
      </c>
      <c r="H213" s="8" t="n">
        <v>342</v>
      </c>
      <c r="I213" s="8" t="n">
        <v>94110</v>
      </c>
      <c r="J213" s="11">
        <f>(I213-H213)/1000</f>
        <v/>
      </c>
      <c r="K213" s="7" t="inlineStr">
        <is>
          <t>Yes</t>
        </is>
      </c>
      <c r="L213" s="7" t="n">
        <v>26</v>
      </c>
      <c r="M213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4" ht="94" customHeight="1">
      <c r="A214" s="7" t="inlineStr">
        <is>
          <t>19 Jun</t>
        </is>
      </c>
      <c r="B214" s="7" t="inlineStr">
        <is>
          <t>39170</t>
        </is>
      </c>
      <c r="C214" s="7" t="n">
        <v>3272</v>
      </c>
      <c r="D214" s="7" t="n">
        <v>3249</v>
      </c>
      <c r="E214" s="7" t="n">
        <v>3085</v>
      </c>
      <c r="F214" s="8" t="n">
        <v>32</v>
      </c>
      <c r="G214" s="8" t="n">
        <v>94111</v>
      </c>
      <c r="H214" s="8" t="n">
        <v>345</v>
      </c>
      <c r="I214" s="8" t="n">
        <v>94111</v>
      </c>
      <c r="J214" s="11">
        <f>(I214-H214)/1000</f>
        <v/>
      </c>
      <c r="K214" s="7" t="inlineStr">
        <is>
          <t>Yes</t>
        </is>
      </c>
      <c r="L214" s="7" t="n">
        <v>26</v>
      </c>
      <c r="M214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5" ht="109" customHeight="1">
      <c r="A215" s="7" t="inlineStr">
        <is>
          <t>19 Jun</t>
        </is>
      </c>
      <c r="B215" s="7" t="inlineStr">
        <is>
          <t>30203</t>
        </is>
      </c>
      <c r="C215" s="7" t="n">
        <v>3285</v>
      </c>
      <c r="D215" s="7" t="n">
        <v>3279</v>
      </c>
      <c r="E215" s="7" t="n">
        <v>3279</v>
      </c>
      <c r="F215" s="8" t="n">
        <v>12122</v>
      </c>
      <c r="G215" s="8" t="n">
        <v>94755</v>
      </c>
      <c r="H215" s="8" t="n">
        <v>12122</v>
      </c>
      <c r="I215" s="8" t="n">
        <v>94755</v>
      </c>
      <c r="J215" s="11">
        <f>(I215-H215)/1000</f>
        <v/>
      </c>
      <c r="K215" s="7" t="inlineStr">
        <is>
          <t>Yes</t>
        </is>
      </c>
      <c r="L215" s="7" t="n">
        <v>21</v>
      </c>
      <c r="M215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6" ht="109" customHeight="1">
      <c r="A216" s="7" t="inlineStr">
        <is>
          <t>19 Jun</t>
        </is>
      </c>
      <c r="B216" s="7" t="inlineStr">
        <is>
          <t>30742</t>
        </is>
      </c>
      <c r="C216" s="7" t="n">
        <v>3331</v>
      </c>
      <c r="D216" s="7" t="n">
        <v>3326</v>
      </c>
      <c r="E216" s="7" t="n">
        <v>3326</v>
      </c>
      <c r="F216" s="8" t="n">
        <v>12113</v>
      </c>
      <c r="G216" s="8" t="n">
        <v>94664</v>
      </c>
      <c r="H216" s="8" t="n">
        <v>12113</v>
      </c>
      <c r="I216" s="8" t="n">
        <v>94664</v>
      </c>
      <c r="J216" s="11">
        <f>(I216-H216)/1000</f>
        <v/>
      </c>
      <c r="K216" s="7" t="inlineStr">
        <is>
          <t>Yes</t>
        </is>
      </c>
      <c r="L216" s="7" t="n">
        <v>21</v>
      </c>
      <c r="M216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7" ht="109" customHeight="1">
      <c r="A217" s="7" t="inlineStr">
        <is>
          <t>19 Jun</t>
        </is>
      </c>
      <c r="B217" s="7" t="inlineStr">
        <is>
          <t>30328</t>
        </is>
      </c>
      <c r="C217" s="7" t="n">
        <v>3026</v>
      </c>
      <c r="D217" s="7" t="n">
        <v>2989</v>
      </c>
      <c r="E217" s="7" t="n">
        <v>2989</v>
      </c>
      <c r="F217" s="8" t="n">
        <v>12116</v>
      </c>
      <c r="G217" s="8" t="n">
        <v>94103</v>
      </c>
      <c r="H217" s="8" t="n">
        <v>12116</v>
      </c>
      <c r="I217" s="8" t="n">
        <v>94103</v>
      </c>
      <c r="J217" s="11">
        <f>(I217-H217)/1000</f>
        <v/>
      </c>
      <c r="K217" s="7" t="inlineStr">
        <is>
          <t>Yes</t>
        </is>
      </c>
      <c r="L217" s="7" t="n">
        <v>21</v>
      </c>
      <c r="M217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8" ht="109" customHeight="1">
      <c r="A218" s="7" t="inlineStr">
        <is>
          <t>19 Jun</t>
        </is>
      </c>
      <c r="B218" s="7" t="inlineStr">
        <is>
          <t>30300</t>
        </is>
      </c>
      <c r="C218" s="7" t="n">
        <v>2019</v>
      </c>
      <c r="D218" s="7" t="n">
        <v>2017</v>
      </c>
      <c r="E218" s="7" t="n">
        <v>2017</v>
      </c>
      <c r="F218" s="8" t="n">
        <v>12123</v>
      </c>
      <c r="G218" s="8" t="n">
        <v>73898</v>
      </c>
      <c r="H218" s="8" t="n">
        <v>12123</v>
      </c>
      <c r="I218" s="8" t="n">
        <v>73898</v>
      </c>
      <c r="J218" s="11">
        <f>(I218-H218)/1000</f>
        <v/>
      </c>
      <c r="K218" s="7" t="inlineStr">
        <is>
          <t>Yes</t>
        </is>
      </c>
      <c r="L218" s="7" t="n">
        <v>18</v>
      </c>
      <c r="M218" s="12" t="inlineStr">
        <is>
          <t>Howrah, Howrah Sorting Yard, Liluah, Belur, Bally,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19" ht="124" customHeight="1">
      <c r="A219" s="7" t="inlineStr">
        <is>
          <t>19 Jun</t>
        </is>
      </c>
      <c r="B219" s="7" t="inlineStr">
        <is>
          <t>30327</t>
        </is>
      </c>
      <c r="C219" s="7" t="n">
        <v>1651</v>
      </c>
      <c r="D219" s="7" t="n">
        <v>1651</v>
      </c>
      <c r="E219" s="7" t="n">
        <v>1651</v>
      </c>
      <c r="F219" s="8" t="n">
        <v>12113</v>
      </c>
      <c r="G219" s="8" t="n">
        <v>70740</v>
      </c>
      <c r="H219" s="8" t="n">
        <v>12113</v>
      </c>
      <c r="I219" s="8" t="n">
        <v>70740</v>
      </c>
      <c r="J219" s="11">
        <f>(I219-H219)/1000</f>
        <v/>
      </c>
      <c r="K219" s="7" t="inlineStr">
        <is>
          <t>Yes</t>
        </is>
      </c>
      <c r="L219" s="7" t="n">
        <v>17</v>
      </c>
      <c r="M219" s="12" t="inlineStr">
        <is>
          <t>Howrah, Howrah Sorting Yard, Liluah, Belur, Bally,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0" ht="124" customHeight="1">
      <c r="A220" s="7" t="inlineStr">
        <is>
          <t>19 Jun</t>
        </is>
      </c>
      <c r="B220" s="7" t="inlineStr">
        <is>
          <t>37042</t>
        </is>
      </c>
      <c r="C220" s="7" t="n">
        <v>1505</v>
      </c>
      <c r="D220" s="7" t="n">
        <v>1480</v>
      </c>
      <c r="E220" s="7" t="n">
        <v>1480</v>
      </c>
      <c r="F220" s="8" t="n">
        <v>689</v>
      </c>
      <c r="G220" s="8" t="n">
        <v>37540</v>
      </c>
      <c r="H220" s="8" t="n">
        <v>689</v>
      </c>
      <c r="I220" s="8" t="n">
        <v>37540</v>
      </c>
      <c r="J220" s="11">
        <f>(I220-H220)/1000</f>
        <v/>
      </c>
      <c r="K220" s="7" t="inlineStr">
        <is>
          <t>Yes</t>
        </is>
      </c>
      <c r="L220" s="7" t="n">
        <v>13</v>
      </c>
      <c r="M220" s="12" t="inlineStr">
        <is>
          <t>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1" ht="139" customHeight="1">
      <c r="A221" s="7" t="inlineStr">
        <is>
          <t>19 Jun</t>
        </is>
      </c>
      <c r="B221" s="7" t="inlineStr">
        <is>
          <t>39571</t>
        </is>
      </c>
      <c r="C221" s="7" t="n">
        <v>881</v>
      </c>
      <c r="D221" s="7" t="n">
        <v>881</v>
      </c>
      <c r="E221" s="7" t="n">
        <v>881</v>
      </c>
      <c r="F221" s="8" t="n">
        <v>16843</v>
      </c>
      <c r="G221" s="8" t="n">
        <v>52201</v>
      </c>
      <c r="H221" s="8" t="n">
        <v>16843</v>
      </c>
      <c r="I221" s="8" t="n">
        <v>52201</v>
      </c>
      <c r="J221" s="11">
        <f>(I221-H221)/1000</f>
        <v/>
      </c>
      <c r="K221" s="7" t="inlineStr">
        <is>
          <t>Yes</t>
        </is>
      </c>
      <c r="L221" s="7" t="n">
        <v>9</v>
      </c>
      <c r="M221" s="12" t="inlineStr">
        <is>
          <t>Howrah, Howrah Sorting Yard, Liluah, Belur, Bally, Belanagar, Dankuni,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22" ht="139" customHeight="1">
      <c r="A222" s="7" t="inlineStr">
        <is>
          <t>19 Jun</t>
        </is>
      </c>
      <c r="B222" s="7" t="inlineStr">
        <is>
          <t>37403</t>
        </is>
      </c>
      <c r="C222" s="7" t="n">
        <v>1493</v>
      </c>
      <c r="D222" s="7" t="n">
        <v>1489</v>
      </c>
      <c r="E222" s="7" t="n">
        <v>1489</v>
      </c>
      <c r="F222" s="8" t="n">
        <v>165807</v>
      </c>
      <c r="G222" s="8" t="n">
        <v>200080</v>
      </c>
      <c r="H222" s="8" t="n">
        <v>165807</v>
      </c>
      <c r="I222" s="8" t="n">
        <v>200080</v>
      </c>
      <c r="J222" s="11">
        <f>(I222-H222)/1000</f>
        <v/>
      </c>
      <c r="K222" s="7" t="inlineStr">
        <is>
          <t>Yes</t>
        </is>
      </c>
      <c r="L222" s="7" t="n">
        <v>9</v>
      </c>
      <c r="M222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Barachak Jn, Sitarampur Central, Kulti, Barakar, Kumardubi, Mugma, Thaparnagar, Kalubathan, LC-12  ...(+1 more)</t>
        </is>
      </c>
    </row>
    <row r="223" ht="139" customHeight="1">
      <c r="A223" s="7" t="inlineStr">
        <is>
          <t>19 Jun</t>
        </is>
      </c>
      <c r="B223" s="7" t="inlineStr">
        <is>
          <t>30676</t>
        </is>
      </c>
      <c r="C223" s="7" t="n">
        <v>1109</v>
      </c>
      <c r="D223" s="7" t="n">
        <v>1108</v>
      </c>
      <c r="E223" s="7" t="n">
        <v>1108</v>
      </c>
      <c r="F223" s="8" t="n">
        <v>12127</v>
      </c>
      <c r="G223" s="8" t="n">
        <v>37444</v>
      </c>
      <c r="H223" s="8" t="n">
        <v>12127</v>
      </c>
      <c r="I223" s="8" t="n">
        <v>37444</v>
      </c>
      <c r="J223" s="11">
        <f>(I223-H223)/1000</f>
        <v/>
      </c>
      <c r="K223" s="7" t="inlineStr">
        <is>
          <t>Yes</t>
        </is>
      </c>
      <c r="L223" s="7" t="n">
        <v>8</v>
      </c>
      <c r="M223" s="12" t="inlineStr">
        <is>
          <t>Howrah, Howrah Sorting Yard, Liluah, Belur, Bally,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  ...(+1 more)</t>
        </is>
      </c>
    </row>
    <row r="224" ht="139" customHeight="1">
      <c r="A224" s="7" t="inlineStr">
        <is>
          <t>19 Jun</t>
        </is>
      </c>
      <c r="B224" s="7" t="inlineStr">
        <is>
          <t>555555</t>
        </is>
      </c>
      <c r="C224" s="7" t="n">
        <v>815</v>
      </c>
      <c r="D224" s="7" t="n">
        <v>800</v>
      </c>
      <c r="E224" s="7" t="n">
        <v>800</v>
      </c>
      <c r="F224" s="8" t="n">
        <v>95033</v>
      </c>
      <c r="G224" s="8" t="n">
        <v>101422</v>
      </c>
      <c r="H224" s="8" t="n">
        <v>95033</v>
      </c>
      <c r="I224" s="8" t="n">
        <v>101422</v>
      </c>
      <c r="J224" s="11">
        <f>(I224-H224)/1000</f>
        <v/>
      </c>
      <c r="K224" s="7" t="inlineStr">
        <is>
          <t>Yes</t>
        </is>
      </c>
      <c r="L224" s="7" t="n">
        <v>2</v>
      </c>
      <c r="M224" s="1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225" ht="139" customHeight="1">
      <c r="A225" s="7" t="inlineStr">
        <is>
          <t>19 Jun</t>
        </is>
      </c>
      <c r="B225" s="7" t="inlineStr">
        <is>
          <t>30321</t>
        </is>
      </c>
      <c r="C225" s="7" t="n">
        <v>342</v>
      </c>
      <c r="D225" s="7" t="n">
        <v>294</v>
      </c>
      <c r="E225" s="7" t="n">
        <v>16</v>
      </c>
      <c r="F225" s="8" t="n">
        <v>19</v>
      </c>
      <c r="G225" s="8" t="n">
        <v>408</v>
      </c>
      <c r="H225" s="8" t="n">
        <v>344</v>
      </c>
      <c r="I225" s="8" t="n">
        <v>408</v>
      </c>
      <c r="J225" s="11">
        <f>(I225-H225)/1000</f>
        <v/>
      </c>
      <c r="K225" s="7" t="inlineStr">
        <is>
          <t>Yes</t>
        </is>
      </c>
      <c r="L225" s="7" t="n">
        <v>1</v>
      </c>
      <c r="M225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26" ht="139" customHeight="1">
      <c r="A226" s="7" t="inlineStr">
        <is>
          <t>19 Jun</t>
        </is>
      </c>
      <c r="B226" s="7" t="inlineStr">
        <is>
          <t>39597</t>
        </is>
      </c>
      <c r="C226" s="7" t="n">
        <v>20</v>
      </c>
      <c r="D226" s="7" t="n">
        <v>18</v>
      </c>
      <c r="E226" s="7" t="n">
        <v>18</v>
      </c>
      <c r="F226" s="8" t="n">
        <v>486</v>
      </c>
      <c r="G226" s="8" t="n">
        <v>518</v>
      </c>
      <c r="H226" s="8" t="n">
        <v>486</v>
      </c>
      <c r="I226" s="8" t="n">
        <v>518</v>
      </c>
      <c r="J226" s="11">
        <f>(I226-H226)/1000</f>
        <v/>
      </c>
      <c r="K226" s="7" t="inlineStr">
        <is>
          <t>Yes</t>
        </is>
      </c>
      <c r="L226" s="7" t="n">
        <v>1</v>
      </c>
      <c r="M226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27" ht="139" customHeight="1">
      <c r="A227" s="9" t="inlineStr">
        <is>
          <t>19 Jun</t>
        </is>
      </c>
      <c r="B227" s="9" t="inlineStr">
        <is>
          <t>11825</t>
        </is>
      </c>
      <c r="C227" s="9" t="n">
        <v>1</v>
      </c>
      <c r="D227" s="9" t="n">
        <v>0</v>
      </c>
      <c r="E227" s="9" t="n">
        <v>0</v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3" t="n">
        <v>0</v>
      </c>
      <c r="K227" s="9" t="inlineStr">
        <is>
          <t>No</t>
        </is>
      </c>
      <c r="L227" s="9" t="n">
        <v>0</v>
      </c>
      <c r="M22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28" ht="139" customHeight="1">
      <c r="A228" s="9" t="inlineStr">
        <is>
          <t>19 Jun</t>
        </is>
      </c>
      <c r="B228" s="9" t="inlineStr">
        <is>
          <t>30457</t>
        </is>
      </c>
      <c r="C228" s="9" t="n">
        <v>111</v>
      </c>
      <c r="D228" s="9" t="n">
        <v>78</v>
      </c>
      <c r="E228" s="9" t="n">
        <v>0</v>
      </c>
      <c r="F228" s="10" t="n">
        <v>54</v>
      </c>
      <c r="G228" s="10" t="n">
        <v>331</v>
      </c>
      <c r="H228" s="10" t="inlineStr">
        <is>
          <t>-</t>
        </is>
      </c>
      <c r="I228" s="10" t="inlineStr">
        <is>
          <t>-</t>
        </is>
      </c>
      <c r="J228" s="13" t="n">
        <v>0</v>
      </c>
      <c r="K228" s="9" t="inlineStr">
        <is>
          <t>No</t>
        </is>
      </c>
      <c r="L228" s="9" t="n">
        <v>0</v>
      </c>
      <c r="M22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29" ht="139" customHeight="1">
      <c r="A229" s="9" t="inlineStr">
        <is>
          <t>19 Jun</t>
        </is>
      </c>
      <c r="B229" s="9" t="inlineStr">
        <is>
          <t>35002</t>
        </is>
      </c>
      <c r="C229" s="9" t="n">
        <v>5</v>
      </c>
      <c r="D229" s="9" t="n">
        <v>0</v>
      </c>
      <c r="E229" s="9" t="n">
        <v>0</v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3" t="n">
        <v>0</v>
      </c>
      <c r="K229" s="9" t="inlineStr">
        <is>
          <t>No</t>
        </is>
      </c>
      <c r="L229" s="9" t="n">
        <v>0</v>
      </c>
      <c r="M229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0" ht="139" customHeight="1">
      <c r="A230" s="9" t="inlineStr">
        <is>
          <t>19 Jun</t>
        </is>
      </c>
      <c r="B230" s="9" t="inlineStr">
        <is>
          <t>35048</t>
        </is>
      </c>
      <c r="C230" s="9" t="n">
        <v>10</v>
      </c>
      <c r="D230" s="9" t="n">
        <v>0</v>
      </c>
      <c r="E230" s="9" t="n">
        <v>0</v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3" t="n">
        <v>0</v>
      </c>
      <c r="K230" s="9" t="inlineStr">
        <is>
          <t>No</t>
        </is>
      </c>
      <c r="L230" s="9" t="n">
        <v>0</v>
      </c>
      <c r="M230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1" ht="139" customHeight="1">
      <c r="A231" s="9" t="inlineStr">
        <is>
          <t>19 Jun</t>
        </is>
      </c>
      <c r="B231" s="9" t="inlineStr">
        <is>
          <t>37081</t>
        </is>
      </c>
      <c r="C231" s="9" t="n">
        <v>5</v>
      </c>
      <c r="D231" s="9" t="n">
        <v>0</v>
      </c>
      <c r="E231" s="9" t="n">
        <v>0</v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-</t>
        </is>
      </c>
      <c r="J231" s="13" t="n">
        <v>0</v>
      </c>
      <c r="K231" s="9" t="inlineStr">
        <is>
          <t>No</t>
        </is>
      </c>
      <c r="L231" s="9" t="n">
        <v>0</v>
      </c>
      <c r="M23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2" ht="139" customHeight="1">
      <c r="A232" s="9" t="inlineStr">
        <is>
          <t>19 Jun</t>
        </is>
      </c>
      <c r="B232" s="9" t="inlineStr">
        <is>
          <t>37358</t>
        </is>
      </c>
      <c r="C232" s="9" t="n">
        <v>10</v>
      </c>
      <c r="D232" s="9" t="n">
        <v>0</v>
      </c>
      <c r="E232" s="9" t="n">
        <v>0</v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3" t="n">
        <v>0</v>
      </c>
      <c r="K232" s="9" t="inlineStr">
        <is>
          <t>No</t>
        </is>
      </c>
      <c r="L232" s="9" t="n">
        <v>0</v>
      </c>
      <c r="M23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3" ht="139" customHeight="1">
      <c r="A233" s="9" t="inlineStr">
        <is>
          <t>19 Jun</t>
        </is>
      </c>
      <c r="B233" s="9" t="inlineStr">
        <is>
          <t>39178</t>
        </is>
      </c>
      <c r="C233" s="9" t="n">
        <v>15</v>
      </c>
      <c r="D233" s="9" t="n">
        <v>0</v>
      </c>
      <c r="E233" s="9" t="n">
        <v>0</v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3" t="n">
        <v>0</v>
      </c>
      <c r="K233" s="9" t="inlineStr">
        <is>
          <t>No</t>
        </is>
      </c>
      <c r="L233" s="9" t="n">
        <v>0</v>
      </c>
      <c r="M23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34">
      <c r="A234" s="7" t="inlineStr">
        <is>
          <t>20 Jun</t>
        </is>
      </c>
      <c r="B234" s="7" t="inlineStr">
        <is>
          <t>30200</t>
        </is>
      </c>
      <c r="C234" s="7" t="n">
        <v>25146</v>
      </c>
      <c r="D234" s="7" t="n">
        <v>25125</v>
      </c>
      <c r="E234" s="7" t="n">
        <v>24871</v>
      </c>
      <c r="F234" s="8" t="n">
        <v>36</v>
      </c>
      <c r="G234" s="8" t="n">
        <v>246089</v>
      </c>
      <c r="H234" s="8" t="n">
        <v>344</v>
      </c>
      <c r="I234" s="8" t="n">
        <v>244373</v>
      </c>
      <c r="J234" s="11">
        <f>(I234-H234)/1000</f>
        <v/>
      </c>
      <c r="K234" s="7" t="inlineStr">
        <is>
          <t>Yes</t>
        </is>
      </c>
      <c r="L234" s="7" t="n">
        <v>60</v>
      </c>
      <c r="M234" s="12" t="inlineStr">
        <is>
          <t>- (full trip)</t>
        </is>
      </c>
    </row>
    <row r="235">
      <c r="A235" s="7" t="inlineStr">
        <is>
          <t>20 Jun</t>
        </is>
      </c>
      <c r="B235" s="7" t="inlineStr">
        <is>
          <t>39177</t>
        </is>
      </c>
      <c r="C235" s="7" t="n">
        <v>14066</v>
      </c>
      <c r="D235" s="7" t="n">
        <v>14014</v>
      </c>
      <c r="E235" s="7" t="n">
        <v>13858</v>
      </c>
      <c r="F235" s="8" t="n">
        <v>21</v>
      </c>
      <c r="G235" s="8" t="n">
        <v>244614</v>
      </c>
      <c r="H235" s="8" t="n">
        <v>343</v>
      </c>
      <c r="I235" s="8" t="n">
        <v>244343</v>
      </c>
      <c r="J235" s="11">
        <f>(I235-H235)/1000</f>
        <v/>
      </c>
      <c r="K235" s="7" t="inlineStr">
        <is>
          <t>Yes</t>
        </is>
      </c>
      <c r="L235" s="7" t="n">
        <v>60</v>
      </c>
      <c r="M235" s="12" t="inlineStr">
        <is>
          <t>- (full trip)</t>
        </is>
      </c>
    </row>
    <row r="236">
      <c r="A236" s="7" t="inlineStr">
        <is>
          <t>20 Jun</t>
        </is>
      </c>
      <c r="B236" s="7" t="inlineStr">
        <is>
          <t>37778</t>
        </is>
      </c>
      <c r="C236" s="7" t="n">
        <v>8809</v>
      </c>
      <c r="D236" s="7" t="n">
        <v>8790</v>
      </c>
      <c r="E236" s="7" t="n">
        <v>8790</v>
      </c>
      <c r="F236" s="8" t="n">
        <v>446</v>
      </c>
      <c r="G236" s="8" t="n">
        <v>244339</v>
      </c>
      <c r="H236" s="8" t="n">
        <v>446</v>
      </c>
      <c r="I236" s="8" t="n">
        <v>244339</v>
      </c>
      <c r="J236" s="11">
        <f>(I236-H236)/1000</f>
        <v/>
      </c>
      <c r="K236" s="7" t="inlineStr">
        <is>
          <t>Yes</t>
        </is>
      </c>
      <c r="L236" s="7" t="n">
        <v>60</v>
      </c>
      <c r="M236" s="12" t="inlineStr">
        <is>
          <t>- (full trip)</t>
        </is>
      </c>
    </row>
    <row r="237">
      <c r="A237" s="7" t="inlineStr">
        <is>
          <t>20 Jun</t>
        </is>
      </c>
      <c r="B237" s="7" t="inlineStr">
        <is>
          <t>37860</t>
        </is>
      </c>
      <c r="C237" s="7" t="n">
        <v>12229</v>
      </c>
      <c r="D237" s="7" t="n">
        <v>12211</v>
      </c>
      <c r="E237" s="7" t="n">
        <v>12198</v>
      </c>
      <c r="F237" s="8" t="n">
        <v>736</v>
      </c>
      <c r="G237" s="8" t="n">
        <v>244594</v>
      </c>
      <c r="H237" s="8" t="n">
        <v>736</v>
      </c>
      <c r="I237" s="8" t="n">
        <v>244354</v>
      </c>
      <c r="J237" s="11">
        <f>(I237-H237)/1000</f>
        <v/>
      </c>
      <c r="K237" s="7" t="inlineStr">
        <is>
          <t>Yes</t>
        </is>
      </c>
      <c r="L237" s="7" t="n">
        <v>60</v>
      </c>
      <c r="M237" s="12" t="inlineStr">
        <is>
          <t>- (full trip)</t>
        </is>
      </c>
    </row>
    <row r="238">
      <c r="A238" s="7" t="inlineStr">
        <is>
          <t>20 Jun</t>
        </is>
      </c>
      <c r="B238" s="7" t="inlineStr">
        <is>
          <t>37609</t>
        </is>
      </c>
      <c r="C238" s="7" t="n">
        <v>12051</v>
      </c>
      <c r="D238" s="7" t="n">
        <v>12037</v>
      </c>
      <c r="E238" s="7" t="n">
        <v>11979</v>
      </c>
      <c r="F238" s="8" t="n">
        <v>12113</v>
      </c>
      <c r="G238" s="8" t="n">
        <v>246083</v>
      </c>
      <c r="H238" s="8" t="n">
        <v>12113</v>
      </c>
      <c r="I238" s="8" t="n">
        <v>244335</v>
      </c>
      <c r="J238" s="11">
        <f>(I238-H238)/1000</f>
        <v/>
      </c>
      <c r="K238" s="7" t="inlineStr">
        <is>
          <t>Yes</t>
        </is>
      </c>
      <c r="L238" s="7" t="n">
        <v>55</v>
      </c>
      <c r="M238" s="12" t="inlineStr">
        <is>
          <t>Howrah, Howrah Sorting Yard, Liluah, Belur, Bally</t>
        </is>
      </c>
    </row>
    <row r="239">
      <c r="A239" s="7" t="inlineStr">
        <is>
          <t>20 Jun</t>
        </is>
      </c>
      <c r="B239" s="7" t="inlineStr">
        <is>
          <t>30455</t>
        </is>
      </c>
      <c r="C239" s="7" t="n">
        <v>8987</v>
      </c>
      <c r="D239" s="7" t="n">
        <v>8975</v>
      </c>
      <c r="E239" s="7" t="n">
        <v>8887</v>
      </c>
      <c r="F239" s="8" t="n">
        <v>12734</v>
      </c>
      <c r="G239" s="8" t="n">
        <v>246089</v>
      </c>
      <c r="H239" s="8" t="n">
        <v>12734</v>
      </c>
      <c r="I239" s="8" t="n">
        <v>244360</v>
      </c>
      <c r="J239" s="11">
        <f>(I239-H239)/1000</f>
        <v/>
      </c>
      <c r="K239" s="7" t="inlineStr">
        <is>
          <t>Yes</t>
        </is>
      </c>
      <c r="L239" s="7" t="n">
        <v>55</v>
      </c>
      <c r="M239" s="12" t="inlineStr">
        <is>
          <t>Howrah, Howrah Sorting Yard, Liluah, Belur, Bally</t>
        </is>
      </c>
    </row>
    <row r="240" ht="34" customHeight="1">
      <c r="A240" s="7" t="inlineStr">
        <is>
          <t>20 Jun</t>
        </is>
      </c>
      <c r="B240" s="7" t="inlineStr">
        <is>
          <t>39195</t>
        </is>
      </c>
      <c r="C240" s="7" t="n">
        <v>13665</v>
      </c>
      <c r="D240" s="7" t="n">
        <v>13617</v>
      </c>
      <c r="E240" s="7" t="n">
        <v>13415</v>
      </c>
      <c r="F240" s="8" t="n">
        <v>33</v>
      </c>
      <c r="G240" s="8" t="n">
        <v>208978</v>
      </c>
      <c r="H240" s="8" t="n">
        <v>342</v>
      </c>
      <c r="I240" s="8" t="n">
        <v>208978</v>
      </c>
      <c r="J240" s="11">
        <f>(I240-H240)/1000</f>
        <v/>
      </c>
      <c r="K240" s="7" t="inlineStr">
        <is>
          <t>Yes</t>
        </is>
      </c>
      <c r="L240" s="7" t="n">
        <v>52</v>
      </c>
      <c r="M240" s="12" t="inlineStr">
        <is>
          <t>Kulti, Barakar, Kumardubi, Mugma, Thaparnagar, Kalubathan, Chhota Ambana</t>
        </is>
      </c>
    </row>
    <row r="241" ht="34" customHeight="1">
      <c r="A241" s="7" t="inlineStr">
        <is>
          <t>20 Jun</t>
        </is>
      </c>
      <c r="B241" s="7" t="inlineStr">
        <is>
          <t>39111</t>
        </is>
      </c>
      <c r="C241" s="7" t="n">
        <v>15520</v>
      </c>
      <c r="D241" s="7" t="n">
        <v>15404</v>
      </c>
      <c r="E241" s="7" t="n">
        <v>15329</v>
      </c>
      <c r="F241" s="8" t="n">
        <v>50</v>
      </c>
      <c r="G241" s="8" t="n">
        <v>200087</v>
      </c>
      <c r="H241" s="8" t="n">
        <v>344</v>
      </c>
      <c r="I241" s="8" t="n">
        <v>200087</v>
      </c>
      <c r="J241" s="11">
        <f>(I241-H241)/1000</f>
        <v/>
      </c>
      <c r="K241" s="7" t="inlineStr">
        <is>
          <t>Yes</t>
        </is>
      </c>
      <c r="L241" s="7" t="n">
        <v>50</v>
      </c>
      <c r="M241" s="12" t="inlineStr">
        <is>
          <t>Barachak Jn, Sitarampur Central, Kulti, Barakar, Kumardubi, Mugma, Thaparnagar, Kalubathan, Chhota Ambana</t>
        </is>
      </c>
    </row>
    <row r="242" ht="34" customHeight="1">
      <c r="A242" s="7" t="inlineStr">
        <is>
          <t>20 Jun</t>
        </is>
      </c>
      <c r="B242" s="7" t="inlineStr">
        <is>
          <t>30508</t>
        </is>
      </c>
      <c r="C242" s="7" t="n">
        <v>9365</v>
      </c>
      <c r="D242" s="7" t="n">
        <v>9346</v>
      </c>
      <c r="E242" s="7" t="n">
        <v>9346</v>
      </c>
      <c r="F242" s="8" t="n">
        <v>622</v>
      </c>
      <c r="G242" s="8" t="n">
        <v>200079</v>
      </c>
      <c r="H242" s="8" t="n">
        <v>622</v>
      </c>
      <c r="I242" s="8" t="n">
        <v>200079</v>
      </c>
      <c r="J242" s="11">
        <f>(I242-H242)/1000</f>
        <v/>
      </c>
      <c r="K242" s="7" t="inlineStr">
        <is>
          <t>Yes</t>
        </is>
      </c>
      <c r="L242" s="7" t="n">
        <v>50</v>
      </c>
      <c r="M242" s="12" t="inlineStr">
        <is>
          <t>Barachak Jn, Sitarampur Central, Kulti, Barakar, Kumardubi, Mugma, Thaparnagar, Kalubathan, Chhota Ambana</t>
        </is>
      </c>
    </row>
    <row r="243" ht="34" customHeight="1">
      <c r="A243" s="7" t="inlineStr">
        <is>
          <t>20 Jun</t>
        </is>
      </c>
      <c r="B243" s="7" t="inlineStr">
        <is>
          <t>37455</t>
        </is>
      </c>
      <c r="C243" s="7" t="n">
        <v>7928</v>
      </c>
      <c r="D243" s="7" t="n">
        <v>7864</v>
      </c>
      <c r="E243" s="7" t="n">
        <v>7864</v>
      </c>
      <c r="F243" s="8" t="n">
        <v>690</v>
      </c>
      <c r="G243" s="8" t="n">
        <v>200088</v>
      </c>
      <c r="H243" s="8" t="n">
        <v>690</v>
      </c>
      <c r="I243" s="8" t="n">
        <v>200088</v>
      </c>
      <c r="J243" s="11">
        <f>(I243-H243)/1000</f>
        <v/>
      </c>
      <c r="K243" s="7" t="inlineStr">
        <is>
          <t>Yes</t>
        </is>
      </c>
      <c r="L243" s="7" t="n">
        <v>50</v>
      </c>
      <c r="M243" s="12" t="inlineStr">
        <is>
          <t>Barachak Jn, Sitarampur Central, Kulti, Barakar, Kumardubi, Mugma, Thaparnagar, Kalubathan, Chhota Ambana</t>
        </is>
      </c>
    </row>
    <row r="244" ht="34" customHeight="1">
      <c r="A244" s="7" t="inlineStr">
        <is>
          <t>20 Jun</t>
        </is>
      </c>
      <c r="B244" s="7" t="inlineStr">
        <is>
          <t>39059</t>
        </is>
      </c>
      <c r="C244" s="7" t="n">
        <v>8305</v>
      </c>
      <c r="D244" s="7" t="n">
        <v>8258</v>
      </c>
      <c r="E244" s="7" t="n">
        <v>8258</v>
      </c>
      <c r="F244" s="8" t="n">
        <v>690</v>
      </c>
      <c r="G244" s="8" t="n">
        <v>200087</v>
      </c>
      <c r="H244" s="8" t="n">
        <v>690</v>
      </c>
      <c r="I244" s="8" t="n">
        <v>200087</v>
      </c>
      <c r="J244" s="11">
        <f>(I244-H244)/1000</f>
        <v/>
      </c>
      <c r="K244" s="7" t="inlineStr">
        <is>
          <t>Yes</t>
        </is>
      </c>
      <c r="L244" s="7" t="n">
        <v>50</v>
      </c>
      <c r="M244" s="12" t="inlineStr">
        <is>
          <t>Barachak Jn, Sitarampur Central, Kulti, Barakar, Kumardubi, Mugma, Thaparnagar, Kalubathan, Chhota Ambana</t>
        </is>
      </c>
    </row>
    <row r="245" ht="34" customHeight="1">
      <c r="A245" s="7" t="inlineStr">
        <is>
          <t>20 Jun</t>
        </is>
      </c>
      <c r="B245" s="7" t="inlineStr">
        <is>
          <t>37898</t>
        </is>
      </c>
      <c r="C245" s="7" t="n">
        <v>8243</v>
      </c>
      <c r="D245" s="7" t="n">
        <v>8215</v>
      </c>
      <c r="E245" s="7" t="n">
        <v>8081</v>
      </c>
      <c r="F245" s="8" t="n">
        <v>32</v>
      </c>
      <c r="G245" s="8" t="n">
        <v>199390</v>
      </c>
      <c r="H245" s="8" t="n">
        <v>342</v>
      </c>
      <c r="I245" s="8" t="n">
        <v>199390</v>
      </c>
      <c r="J245" s="11">
        <f>(I245-H245)/1000</f>
        <v/>
      </c>
      <c r="K245" s="7" t="inlineStr">
        <is>
          <t>Yes</t>
        </is>
      </c>
      <c r="L245" s="7" t="n">
        <v>50</v>
      </c>
      <c r="M245" s="12" t="inlineStr">
        <is>
          <t>Barachak Jn, Sitarampur Central, Kulti, Barakar, Kumardubi, Mugma, Thaparnagar, Kalubathan, Chhota Ambana</t>
        </is>
      </c>
    </row>
    <row r="246" ht="34" customHeight="1">
      <c r="A246" s="7" t="inlineStr">
        <is>
          <t>20 Jun</t>
        </is>
      </c>
      <c r="B246" s="7" t="inlineStr">
        <is>
          <t>30639</t>
        </is>
      </c>
      <c r="C246" s="7" t="n">
        <v>8165</v>
      </c>
      <c r="D246" s="7" t="n">
        <v>8136</v>
      </c>
      <c r="E246" s="7" t="n">
        <v>8082</v>
      </c>
      <c r="F246" s="8" t="n">
        <v>66</v>
      </c>
      <c r="G246" s="8" t="n">
        <v>199388</v>
      </c>
      <c r="H246" s="8" t="n">
        <v>346</v>
      </c>
      <c r="I246" s="8" t="n">
        <v>199388</v>
      </c>
      <c r="J246" s="11">
        <f>(I246-H246)/1000</f>
        <v/>
      </c>
      <c r="K246" s="7" t="inlineStr">
        <is>
          <t>Yes</t>
        </is>
      </c>
      <c r="L246" s="7" t="n">
        <v>50</v>
      </c>
      <c r="M246" s="12" t="inlineStr">
        <is>
          <t>Barachak Jn, Sitarampur Central, Kulti, Barakar, Kumardubi, Mugma, Thaparnagar, Kalubathan, Chhota Ambana</t>
        </is>
      </c>
    </row>
    <row r="247" ht="34" customHeight="1">
      <c r="A247" s="7" t="inlineStr">
        <is>
          <t>20 Jun</t>
        </is>
      </c>
      <c r="B247" s="7" t="inlineStr">
        <is>
          <t>37719</t>
        </is>
      </c>
      <c r="C247" s="7" t="n">
        <v>8403</v>
      </c>
      <c r="D247" s="7" t="n">
        <v>8372</v>
      </c>
      <c r="E247" s="7" t="n">
        <v>8372</v>
      </c>
      <c r="F247" s="8" t="n">
        <v>882</v>
      </c>
      <c r="G247" s="8" t="n">
        <v>199393</v>
      </c>
      <c r="H247" s="8" t="n">
        <v>882</v>
      </c>
      <c r="I247" s="8" t="n">
        <v>199393</v>
      </c>
      <c r="J247" s="11">
        <f>(I247-H247)/1000</f>
        <v/>
      </c>
      <c r="K247" s="7" t="inlineStr">
        <is>
          <t>Yes</t>
        </is>
      </c>
      <c r="L247" s="7" t="n">
        <v>50</v>
      </c>
      <c r="M247" s="12" t="inlineStr">
        <is>
          <t>Barachak Jn, Sitarampur Central, Kulti, Barakar, Kumardubi, Mugma, Thaparnagar, Kalubathan, Chhota Ambana</t>
        </is>
      </c>
    </row>
    <row r="248" ht="34" customHeight="1">
      <c r="A248" s="7" t="inlineStr">
        <is>
          <t>20 Jun</t>
        </is>
      </c>
      <c r="B248" s="7" t="inlineStr">
        <is>
          <t>37024</t>
        </is>
      </c>
      <c r="C248" s="7" t="n">
        <v>7350</v>
      </c>
      <c r="D248" s="7" t="n">
        <v>7345</v>
      </c>
      <c r="E248" s="7" t="n">
        <v>7345</v>
      </c>
      <c r="F248" s="8" t="n">
        <v>1030</v>
      </c>
      <c r="G248" s="8" t="n">
        <v>199136</v>
      </c>
      <c r="H248" s="8" t="n">
        <v>1030</v>
      </c>
      <c r="I248" s="8" t="n">
        <v>199136</v>
      </c>
      <c r="J248" s="11">
        <f>(I248-H248)/1000</f>
        <v/>
      </c>
      <c r="K248" s="7" t="inlineStr">
        <is>
          <t>Yes</t>
        </is>
      </c>
      <c r="L248" s="7" t="n">
        <v>50</v>
      </c>
      <c r="M248" s="12" t="inlineStr">
        <is>
          <t>Barachak Jn, Sitarampur Central, Kulti, Barakar, Kumardubi, Mugma, Thaparnagar, Kalubathan, Chhota Ambana</t>
        </is>
      </c>
    </row>
    <row r="249" ht="34" customHeight="1">
      <c r="A249" s="7" t="inlineStr">
        <is>
          <t>20 Jun</t>
        </is>
      </c>
      <c r="B249" s="7" t="inlineStr">
        <is>
          <t>37268</t>
        </is>
      </c>
      <c r="C249" s="7" t="n">
        <v>7386</v>
      </c>
      <c r="D249" s="7" t="n">
        <v>7344</v>
      </c>
      <c r="E249" s="7" t="n">
        <v>7344</v>
      </c>
      <c r="F249" s="8" t="n">
        <v>2490</v>
      </c>
      <c r="G249" s="8" t="n">
        <v>199392</v>
      </c>
      <c r="H249" s="8" t="n">
        <v>2490</v>
      </c>
      <c r="I249" s="8" t="n">
        <v>199392</v>
      </c>
      <c r="J249" s="11">
        <f>(I249-H249)/1000</f>
        <v/>
      </c>
      <c r="K249" s="7" t="inlineStr">
        <is>
          <t>Yes</t>
        </is>
      </c>
      <c r="L249" s="7" t="n">
        <v>50</v>
      </c>
      <c r="M249" s="12" t="inlineStr">
        <is>
          <t>Barachak Jn, Sitarampur Central, Kulti, Barakar, Kumardubi, Mugma, Thaparnagar, Kalubathan, Chhota Ambana</t>
        </is>
      </c>
    </row>
    <row r="250" ht="49" customHeight="1">
      <c r="A250" s="7" t="inlineStr">
        <is>
          <t>20 Jun</t>
        </is>
      </c>
      <c r="B250" s="7" t="inlineStr">
        <is>
          <t>39615</t>
        </is>
      </c>
      <c r="C250" s="7" t="n">
        <v>7640</v>
      </c>
      <c r="D250" s="7" t="n">
        <v>7627</v>
      </c>
      <c r="E250" s="7" t="n">
        <v>7627</v>
      </c>
      <c r="F250" s="8" t="n">
        <v>12137</v>
      </c>
      <c r="G250" s="8" t="n">
        <v>200091</v>
      </c>
      <c r="H250" s="8" t="n">
        <v>12137</v>
      </c>
      <c r="I250" s="8" t="n">
        <v>200091</v>
      </c>
      <c r="J250" s="11">
        <f>(I250-H250)/1000</f>
        <v/>
      </c>
      <c r="K250" s="7" t="inlineStr">
        <is>
          <t>Yes</t>
        </is>
      </c>
      <c r="L250" s="7" t="n">
        <v>45</v>
      </c>
      <c r="M250" s="12" t="inlineStr">
        <is>
          <t>Howrah, Howrah Sorting Yard, Liluah, Belur, Bally, Barachak Jn, Sitarampur Central, Kulti, Barakar, Kumardubi, Mugma, Thaparnagar, Kalubathan, Chhota Ambana</t>
        </is>
      </c>
    </row>
    <row r="251" ht="49" customHeight="1">
      <c r="A251" s="7" t="inlineStr">
        <is>
          <t>20 Jun</t>
        </is>
      </c>
      <c r="B251" s="7" t="inlineStr">
        <is>
          <t>30204</t>
        </is>
      </c>
      <c r="C251" s="7" t="n">
        <v>7947</v>
      </c>
      <c r="D251" s="7" t="n">
        <v>7916</v>
      </c>
      <c r="E251" s="7" t="n">
        <v>7916</v>
      </c>
      <c r="F251" s="8" t="n">
        <v>12721</v>
      </c>
      <c r="G251" s="8" t="n">
        <v>199392</v>
      </c>
      <c r="H251" s="8" t="n">
        <v>12721</v>
      </c>
      <c r="I251" s="8" t="n">
        <v>199392</v>
      </c>
      <c r="J251" s="11">
        <f>(I251-H251)/1000</f>
        <v/>
      </c>
      <c r="K251" s="7" t="inlineStr">
        <is>
          <t>Yes</t>
        </is>
      </c>
      <c r="L251" s="7" t="n">
        <v>45</v>
      </c>
      <c r="M251" s="12" t="inlineStr">
        <is>
          <t>Howrah, Howrah Sorting Yard, Liluah, Belur, Bally, Barachak Jn, Sitarampur Central, Kulti, Barakar, Kumardubi, Mugma, Thaparnagar, Kalubathan, Chhota Ambana</t>
        </is>
      </c>
    </row>
    <row r="252" ht="94" customHeight="1">
      <c r="A252" s="7" t="inlineStr">
        <is>
          <t>20 Jun</t>
        </is>
      </c>
      <c r="B252" s="7" t="inlineStr">
        <is>
          <t>37042</t>
        </is>
      </c>
      <c r="C252" s="7" t="n">
        <v>4257</v>
      </c>
      <c r="D252" s="7" t="n">
        <v>4255</v>
      </c>
      <c r="E252" s="7" t="n">
        <v>4255</v>
      </c>
      <c r="F252" s="8" t="n">
        <v>37540</v>
      </c>
      <c r="G252" s="8" t="n">
        <v>165612</v>
      </c>
      <c r="H252" s="8" t="n">
        <v>37540</v>
      </c>
      <c r="I252" s="8" t="n">
        <v>165612</v>
      </c>
      <c r="J252" s="11">
        <f>(I252-H252)/1000</f>
        <v/>
      </c>
      <c r="K252" s="7" t="inlineStr">
        <is>
          <t>Yes</t>
        </is>
      </c>
      <c r="L252" s="7" t="n">
        <v>30</v>
      </c>
      <c r="M252" s="12" t="inlineStr">
        <is>
          <t>Howrah, Howrah Sorting Yard, Liluah, Belur, Bally, Belanagar, Dankuni, LC-12, Janai Road, Baruipara, Kamarkundu, LC-31, Andal East Outer, Andal, Baktarnagar B H, Raniganj, Nimcha B H, Ratibati, Kaliphari, Asansol, Barachak Jn, Sitarampur Central, Kulti, Barakar, Kumardubi, Mugma, Thaparnagar, Kalubathan, LC-12, Chhota Ambana</t>
        </is>
      </c>
    </row>
    <row r="253" ht="94" customHeight="1">
      <c r="A253" s="7" t="inlineStr">
        <is>
          <t>20 Jun</t>
        </is>
      </c>
      <c r="B253" s="7" t="inlineStr">
        <is>
          <t>37246</t>
        </is>
      </c>
      <c r="C253" s="7" t="n">
        <v>4542</v>
      </c>
      <c r="D253" s="7" t="n">
        <v>4537</v>
      </c>
      <c r="E253" s="7" t="n">
        <v>4529</v>
      </c>
      <c r="F253" s="8" t="n">
        <v>147754</v>
      </c>
      <c r="G253" s="8" t="n">
        <v>244609</v>
      </c>
      <c r="H253" s="8" t="n">
        <v>147754</v>
      </c>
      <c r="I253" s="8" t="n">
        <v>244366</v>
      </c>
      <c r="J253" s="11">
        <f>(I253-H253)/1000</f>
        <v/>
      </c>
      <c r="K253" s="7" t="inlineStr">
        <is>
          <t>Yes</t>
        </is>
      </c>
      <c r="L253" s="7" t="n">
        <v>24</v>
      </c>
      <c r="M253" s="12" t="inlineStr">
        <is>
          <t>Howrah, Howrah Sorting Yard, Liluah, Belur, Bally, Belanagar, Dankuni, Janai Road, Baruipara, Kamarkundu, LC-31, Chandanpur, LC-38, Belmuri, Cheragram, LC-41, Gurap, LC-48, Jaugram, LC-57, Masagram, Palla Road, Saktigarh, Gangpur, Barddhaman Jn, Talit, LC-59, Khana Jn, Khana Link, Galsi, LC-83, Paraj, Mankar, LC-96, Panagarh</t>
        </is>
      </c>
    </row>
    <row r="254" ht="109" customHeight="1">
      <c r="A254" s="7" t="inlineStr">
        <is>
          <t>20 Jun</t>
        </is>
      </c>
      <c r="B254" s="7" t="inlineStr">
        <is>
          <t>30327</t>
        </is>
      </c>
      <c r="C254" s="7" t="n">
        <v>3603</v>
      </c>
      <c r="D254" s="7" t="n">
        <v>3598</v>
      </c>
      <c r="E254" s="7" t="n">
        <v>3598</v>
      </c>
      <c r="F254" s="8" t="n">
        <v>70767</v>
      </c>
      <c r="G254" s="8" t="n">
        <v>165590</v>
      </c>
      <c r="H254" s="8" t="n">
        <v>70767</v>
      </c>
      <c r="I254" s="8" t="n">
        <v>165590</v>
      </c>
      <c r="J254" s="11">
        <f>(I254-H254)/1000</f>
        <v/>
      </c>
      <c r="K254" s="7" t="inlineStr">
        <is>
          <t>Yes</t>
        </is>
      </c>
      <c r="L254" s="7" t="n">
        <v>21</v>
      </c>
      <c r="M254" s="12" t="inlineStr">
        <is>
          <t>Howrah, Howrah Sorting Yard, Liluah, Belur, Bally, Belanagar, Dankuni, LC-12, Janai Road, Baruipara, Kamarkundu, LC-31, Chandanpur, LC-38, Belmuri, Cheragram, LC-41, Gurap, LC-48, Jaugram, LC-57, Andal East Outer, Andal, Baktarnagar B H, Raniganj, Nimcha B H, Ratibati, Kaliphari, Asansol, Barachak Jn, Sitarampur Central, Kulti, Barakar, Kumardubi, Mugma, Thaparnagar, Kalubathan, LC-12, Chhota Ambana</t>
        </is>
      </c>
    </row>
    <row r="255" ht="94" customHeight="1">
      <c r="A255" s="7" t="inlineStr">
        <is>
          <t>20 Jun</t>
        </is>
      </c>
      <c r="B255" s="7" t="inlineStr">
        <is>
          <t>35001</t>
        </is>
      </c>
      <c r="C255" s="7" t="n">
        <v>9156</v>
      </c>
      <c r="D255" s="7" t="n">
        <v>9112</v>
      </c>
      <c r="E255" s="7" t="n">
        <v>8957</v>
      </c>
      <c r="F255" s="8" t="n">
        <v>34</v>
      </c>
      <c r="G255" s="8" t="n">
        <v>94600</v>
      </c>
      <c r="H255" s="8" t="n">
        <v>344</v>
      </c>
      <c r="I255" s="8" t="n">
        <v>94600</v>
      </c>
      <c r="J255" s="11">
        <f>(I255-H255)/1000</f>
        <v/>
      </c>
      <c r="K255" s="7" t="inlineStr">
        <is>
          <t>Yes</t>
        </is>
      </c>
      <c r="L255" s="7" t="n">
        <v>26</v>
      </c>
      <c r="M25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6" ht="94" customHeight="1">
      <c r="A256" s="7" t="inlineStr">
        <is>
          <t>20 Jun</t>
        </is>
      </c>
      <c r="B256" s="7" t="inlineStr">
        <is>
          <t>39113</t>
        </is>
      </c>
      <c r="C256" s="7" t="n">
        <v>3548</v>
      </c>
      <c r="D256" s="7" t="n">
        <v>3533</v>
      </c>
      <c r="E256" s="7" t="n">
        <v>3533</v>
      </c>
      <c r="F256" s="8" t="n">
        <v>446</v>
      </c>
      <c r="G256" s="8" t="n">
        <v>94613</v>
      </c>
      <c r="H256" s="8" t="n">
        <v>446</v>
      </c>
      <c r="I256" s="8" t="n">
        <v>94613</v>
      </c>
      <c r="J256" s="11">
        <f>(I256-H256)/1000</f>
        <v/>
      </c>
      <c r="K256" s="7" t="inlineStr">
        <is>
          <t>Yes</t>
        </is>
      </c>
      <c r="L256" s="7" t="n">
        <v>26</v>
      </c>
      <c r="M25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7" ht="94" customHeight="1">
      <c r="A257" s="7" t="inlineStr">
        <is>
          <t>20 Jun</t>
        </is>
      </c>
      <c r="B257" s="7" t="inlineStr">
        <is>
          <t>37025</t>
        </is>
      </c>
      <c r="C257" s="7" t="n">
        <v>7126</v>
      </c>
      <c r="D257" s="7" t="n">
        <v>7092</v>
      </c>
      <c r="E257" s="7" t="n">
        <v>7092</v>
      </c>
      <c r="F257" s="8" t="n">
        <v>619</v>
      </c>
      <c r="G257" s="8" t="n">
        <v>94637</v>
      </c>
      <c r="H257" s="8" t="n">
        <v>619</v>
      </c>
      <c r="I257" s="8" t="n">
        <v>94637</v>
      </c>
      <c r="J257" s="11">
        <f>(I257-H257)/1000</f>
        <v/>
      </c>
      <c r="K257" s="7" t="inlineStr">
        <is>
          <t>Yes</t>
        </is>
      </c>
      <c r="L257" s="7" t="n">
        <v>26</v>
      </c>
      <c r="M25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8" ht="94" customHeight="1">
      <c r="A258" s="7" t="inlineStr">
        <is>
          <t>20 Jun</t>
        </is>
      </c>
      <c r="B258" s="7" t="inlineStr">
        <is>
          <t>39135</t>
        </is>
      </c>
      <c r="C258" s="7" t="n">
        <v>3518</v>
      </c>
      <c r="D258" s="7" t="n">
        <v>3461</v>
      </c>
      <c r="E258" s="7" t="n">
        <v>3461</v>
      </c>
      <c r="F258" s="8" t="n">
        <v>849</v>
      </c>
      <c r="G258" s="8" t="n">
        <v>94749</v>
      </c>
      <c r="H258" s="8" t="n">
        <v>849</v>
      </c>
      <c r="I258" s="8" t="n">
        <v>94749</v>
      </c>
      <c r="J258" s="11">
        <f>(I258-H258)/1000</f>
        <v/>
      </c>
      <c r="K258" s="7" t="inlineStr">
        <is>
          <t>Yes</t>
        </is>
      </c>
      <c r="L258" s="7" t="n">
        <v>26</v>
      </c>
      <c r="M25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59" ht="94" customHeight="1">
      <c r="A259" s="7" t="inlineStr">
        <is>
          <t>20 Jun</t>
        </is>
      </c>
      <c r="B259" s="7" t="inlineStr">
        <is>
          <t>37401</t>
        </is>
      </c>
      <c r="C259" s="7" t="n">
        <v>5638</v>
      </c>
      <c r="D259" s="7" t="n">
        <v>5602</v>
      </c>
      <c r="E259" s="7" t="n">
        <v>5425</v>
      </c>
      <c r="F259" s="8" t="n">
        <v>32</v>
      </c>
      <c r="G259" s="8" t="n">
        <v>94111</v>
      </c>
      <c r="H259" s="8" t="n">
        <v>343</v>
      </c>
      <c r="I259" s="8" t="n">
        <v>94111</v>
      </c>
      <c r="J259" s="11">
        <f>(I259-H259)/1000</f>
        <v/>
      </c>
      <c r="K259" s="7" t="inlineStr">
        <is>
          <t>Yes</t>
        </is>
      </c>
      <c r="L259" s="7" t="n">
        <v>26</v>
      </c>
      <c r="M25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0" ht="109" customHeight="1">
      <c r="A260" s="7" t="inlineStr">
        <is>
          <t>20 Jun</t>
        </is>
      </c>
      <c r="B260" s="7" t="inlineStr">
        <is>
          <t>30300</t>
        </is>
      </c>
      <c r="C260" s="7" t="n">
        <v>3141</v>
      </c>
      <c r="D260" s="7" t="n">
        <v>3136</v>
      </c>
      <c r="E260" s="7" t="n">
        <v>3136</v>
      </c>
      <c r="F260" s="8" t="n">
        <v>73884</v>
      </c>
      <c r="G260" s="8" t="n">
        <v>165481</v>
      </c>
      <c r="H260" s="8" t="n">
        <v>73884</v>
      </c>
      <c r="I260" s="8" t="n">
        <v>165481</v>
      </c>
      <c r="J260" s="11">
        <f>(I260-H260)/1000</f>
        <v/>
      </c>
      <c r="K260" s="7" t="inlineStr">
        <is>
          <t>Yes</t>
        </is>
      </c>
      <c r="L260" s="7" t="n">
        <v>20</v>
      </c>
      <c r="M260" s="12" t="inlineStr">
        <is>
          <t>Howrah, Howrah Sorting Yard, Liluah, Belur, Bally, Belanagar, Dankuni, LC-12, Janai Road, Baruipara, Kamarkundu, LC-31, Chandanpur, LC-38, Belmuri, Cheragram, LC-41, Gurap, LC-48, Jaugram, LC-57, Masagram, Andal East Outer, Andal, Baktarnagar B H, Raniganj, Nimcha B H, Ratibati, Kaliphari, Asansol, Barachak Jn, Sitarampur Central, Kulti, Barakar, Kumardubi, Mugma, Thaparnagar, Kalubathan, LC-12, Chhota Ambana</t>
        </is>
      </c>
    </row>
    <row r="261" ht="109" customHeight="1">
      <c r="A261" s="7" t="inlineStr">
        <is>
          <t>20 Jun</t>
        </is>
      </c>
      <c r="B261" s="7" t="inlineStr">
        <is>
          <t>30205</t>
        </is>
      </c>
      <c r="C261" s="7" t="n">
        <v>2859</v>
      </c>
      <c r="D261" s="7" t="n">
        <v>2853</v>
      </c>
      <c r="E261" s="7" t="n">
        <v>2853</v>
      </c>
      <c r="F261" s="8" t="n">
        <v>12125</v>
      </c>
      <c r="G261" s="8" t="n">
        <v>94658</v>
      </c>
      <c r="H261" s="8" t="n">
        <v>12125</v>
      </c>
      <c r="I261" s="8" t="n">
        <v>94658</v>
      </c>
      <c r="J261" s="11">
        <f>(I261-H261)/1000</f>
        <v/>
      </c>
      <c r="K261" s="7" t="inlineStr">
        <is>
          <t>Yes</t>
        </is>
      </c>
      <c r="L261" s="7" t="n">
        <v>21</v>
      </c>
      <c r="M261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2" ht="109" customHeight="1">
      <c r="A262" s="7" t="inlineStr">
        <is>
          <t>20 Jun</t>
        </is>
      </c>
      <c r="B262" s="7" t="inlineStr">
        <is>
          <t>30329</t>
        </is>
      </c>
      <c r="C262" s="7" t="n">
        <v>3742</v>
      </c>
      <c r="D262" s="7" t="n">
        <v>3742</v>
      </c>
      <c r="E262" s="7" t="n">
        <v>3742</v>
      </c>
      <c r="F262" s="8" t="n">
        <v>12113</v>
      </c>
      <c r="G262" s="8" t="n">
        <v>94611</v>
      </c>
      <c r="H262" s="8" t="n">
        <v>12113</v>
      </c>
      <c r="I262" s="8" t="n">
        <v>94611</v>
      </c>
      <c r="J262" s="11">
        <f>(I262-H262)/1000</f>
        <v/>
      </c>
      <c r="K262" s="7" t="inlineStr">
        <is>
          <t>Yes</t>
        </is>
      </c>
      <c r="L262" s="7" t="n">
        <v>21</v>
      </c>
      <c r="M262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3" ht="109" customHeight="1">
      <c r="A263" s="7" t="inlineStr">
        <is>
          <t>20 Jun</t>
        </is>
      </c>
      <c r="B263" s="7" t="inlineStr">
        <is>
          <t>30328</t>
        </is>
      </c>
      <c r="C263" s="7" t="n">
        <v>2848</v>
      </c>
      <c r="D263" s="7" t="n">
        <v>2844</v>
      </c>
      <c r="E263" s="7" t="n">
        <v>2844</v>
      </c>
      <c r="F263" s="8" t="n">
        <v>13081</v>
      </c>
      <c r="G263" s="8" t="n">
        <v>94722</v>
      </c>
      <c r="H263" s="8" t="n">
        <v>13081</v>
      </c>
      <c r="I263" s="8" t="n">
        <v>94722</v>
      </c>
      <c r="J263" s="11">
        <f>(I263-H263)/1000</f>
        <v/>
      </c>
      <c r="K263" s="7" t="inlineStr">
        <is>
          <t>Yes</t>
        </is>
      </c>
      <c r="L263" s="7" t="n">
        <v>20</v>
      </c>
      <c r="M263" s="12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4" ht="109" customHeight="1">
      <c r="A264" s="7" t="inlineStr">
        <is>
          <t>20 Jun</t>
        </is>
      </c>
      <c r="B264" s="7" t="inlineStr">
        <is>
          <t>30552</t>
        </is>
      </c>
      <c r="C264" s="7" t="n">
        <v>2952</v>
      </c>
      <c r="D264" s="7" t="n">
        <v>2952</v>
      </c>
      <c r="E264" s="7" t="n">
        <v>2952</v>
      </c>
      <c r="F264" s="8" t="n">
        <v>12113</v>
      </c>
      <c r="G264" s="8" t="n">
        <v>86905</v>
      </c>
      <c r="H264" s="8" t="n">
        <v>12113</v>
      </c>
      <c r="I264" s="8" t="n">
        <v>86905</v>
      </c>
      <c r="J264" s="11">
        <f>(I264-H264)/1000</f>
        <v/>
      </c>
      <c r="K264" s="7" t="inlineStr">
        <is>
          <t>Yes</t>
        </is>
      </c>
      <c r="L264" s="7" t="n">
        <v>20</v>
      </c>
      <c r="M264" s="12" t="inlineStr">
        <is>
          <t>Howrah, Howrah Sorting Yard, Liluah, Belur, Bally,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5" ht="124" customHeight="1">
      <c r="A265" s="7" t="inlineStr">
        <is>
          <t>20 Jun</t>
        </is>
      </c>
      <c r="B265" s="7" t="inlineStr">
        <is>
          <t>30457</t>
        </is>
      </c>
      <c r="C265" s="7" t="n">
        <v>2346</v>
      </c>
      <c r="D265" s="7" t="n">
        <v>2340</v>
      </c>
      <c r="E265" s="7" t="n">
        <v>2340</v>
      </c>
      <c r="F265" s="8" t="n">
        <v>12125</v>
      </c>
      <c r="G265" s="8" t="n">
        <v>57860</v>
      </c>
      <c r="H265" s="8" t="n">
        <v>12125</v>
      </c>
      <c r="I265" s="8" t="n">
        <v>57860</v>
      </c>
      <c r="J265" s="11">
        <f>(I265-H265)/1000</f>
        <v/>
      </c>
      <c r="K265" s="7" t="inlineStr">
        <is>
          <t>Yes</t>
        </is>
      </c>
      <c r="L265" s="7" t="n">
        <v>13</v>
      </c>
      <c r="M265" s="12" t="inlineStr">
        <is>
          <t>Howrah, Howrah Sorting Yard, Liluah, Belur, Bally,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66" ht="139" customHeight="1">
      <c r="A266" s="7" t="inlineStr">
        <is>
          <t>20 Jun</t>
        </is>
      </c>
      <c r="B266" s="7" t="inlineStr">
        <is>
          <t>30371</t>
        </is>
      </c>
      <c r="C266" s="7" t="n">
        <v>365</v>
      </c>
      <c r="D266" s="7" t="n">
        <v>364</v>
      </c>
      <c r="E266" s="7" t="n">
        <v>364</v>
      </c>
      <c r="F266" s="8" t="n">
        <v>12124</v>
      </c>
      <c r="G266" s="8" t="n">
        <v>13075</v>
      </c>
      <c r="H266" s="8" t="n">
        <v>12124</v>
      </c>
      <c r="I266" s="8" t="n">
        <v>13075</v>
      </c>
      <c r="J266" s="11">
        <f>(I266-H266)/1000</f>
        <v/>
      </c>
      <c r="K266" s="7" t="inlineStr">
        <is>
          <t>Yes</t>
        </is>
      </c>
      <c r="L266" s="7" t="n">
        <v>2</v>
      </c>
      <c r="M266" s="12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267" ht="139" customHeight="1">
      <c r="A267" s="7" t="inlineStr">
        <is>
          <t>20 Jun</t>
        </is>
      </c>
      <c r="B267" s="7" t="inlineStr">
        <is>
          <t>30487</t>
        </is>
      </c>
      <c r="C267" s="7" t="n">
        <v>274</v>
      </c>
      <c r="D267" s="7" t="n">
        <v>259</v>
      </c>
      <c r="E267" s="7" t="n">
        <v>259</v>
      </c>
      <c r="F267" s="8" t="n">
        <v>347</v>
      </c>
      <c r="G267" s="8" t="n">
        <v>855</v>
      </c>
      <c r="H267" s="8" t="n">
        <v>347</v>
      </c>
      <c r="I267" s="8" t="n">
        <v>855</v>
      </c>
      <c r="J267" s="11">
        <f>(I267-H267)/1000</f>
        <v/>
      </c>
      <c r="K267" s="7" t="inlineStr">
        <is>
          <t>Yes</t>
        </is>
      </c>
      <c r="L267" s="7" t="n">
        <v>1</v>
      </c>
      <c r="M267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68" ht="139" customHeight="1">
      <c r="A268" s="7" t="inlineStr">
        <is>
          <t>20 Jun</t>
        </is>
      </c>
      <c r="B268" s="7" t="inlineStr">
        <is>
          <t>37358</t>
        </is>
      </c>
      <c r="C268" s="7" t="n">
        <v>138</v>
      </c>
      <c r="D268" s="7" t="n">
        <v>134</v>
      </c>
      <c r="E268" s="7" t="n">
        <v>134</v>
      </c>
      <c r="F268" s="8" t="n">
        <v>346</v>
      </c>
      <c r="G268" s="8" t="n">
        <v>854</v>
      </c>
      <c r="H268" s="8" t="n">
        <v>346</v>
      </c>
      <c r="I268" s="8" t="n">
        <v>854</v>
      </c>
      <c r="J268" s="11">
        <f>(I268-H268)/1000</f>
        <v/>
      </c>
      <c r="K268" s="7" t="inlineStr">
        <is>
          <t>Yes</t>
        </is>
      </c>
      <c r="L268" s="7" t="n">
        <v>1</v>
      </c>
      <c r="M268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69" ht="139" customHeight="1">
      <c r="A269" s="7" t="inlineStr">
        <is>
          <t>20 Jun</t>
        </is>
      </c>
      <c r="B269" s="7" t="inlineStr">
        <is>
          <t>39597</t>
        </is>
      </c>
      <c r="C269" s="7" t="n">
        <v>196</v>
      </c>
      <c r="D269" s="7" t="n">
        <v>177</v>
      </c>
      <c r="E269" s="7" t="n">
        <v>171</v>
      </c>
      <c r="F269" s="8" t="n">
        <v>328</v>
      </c>
      <c r="G269" s="8" t="n">
        <v>853</v>
      </c>
      <c r="H269" s="8" t="n">
        <v>344</v>
      </c>
      <c r="I269" s="8" t="n">
        <v>853</v>
      </c>
      <c r="J269" s="11">
        <f>(I269-H269)/1000</f>
        <v/>
      </c>
      <c r="K269" s="7" t="inlineStr">
        <is>
          <t>Yes</t>
        </is>
      </c>
      <c r="L269" s="7" t="n">
        <v>1</v>
      </c>
      <c r="M269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70" ht="139" customHeight="1">
      <c r="A270" s="7" t="inlineStr">
        <is>
          <t>20 Jun</t>
        </is>
      </c>
      <c r="B270" s="7" t="inlineStr">
        <is>
          <t>37014</t>
        </is>
      </c>
      <c r="C270" s="7" t="n">
        <v>141</v>
      </c>
      <c r="D270" s="7" t="n">
        <v>134</v>
      </c>
      <c r="E270" s="7" t="n">
        <v>134</v>
      </c>
      <c r="F270" s="8" t="n">
        <v>655</v>
      </c>
      <c r="G270" s="8" t="n">
        <v>1104</v>
      </c>
      <c r="H270" s="8" t="n">
        <v>655</v>
      </c>
      <c r="I270" s="8" t="n">
        <v>1104</v>
      </c>
      <c r="J270" s="11">
        <f>(I270-H270)/1000</f>
        <v/>
      </c>
      <c r="K270" s="7" t="inlineStr">
        <is>
          <t>Yes</t>
        </is>
      </c>
      <c r="L270" s="7" t="n">
        <v>1</v>
      </c>
      <c r="M270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71" ht="139" customHeight="1">
      <c r="A271" s="7" t="inlineStr">
        <is>
          <t>20 Jun</t>
        </is>
      </c>
      <c r="B271" s="7" t="inlineStr">
        <is>
          <t>30490</t>
        </is>
      </c>
      <c r="C271" s="7" t="n">
        <v>254</v>
      </c>
      <c r="D271" s="7" t="n">
        <v>205</v>
      </c>
      <c r="E271" s="7" t="n">
        <v>9</v>
      </c>
      <c r="F271" s="8" t="n">
        <v>44</v>
      </c>
      <c r="G271" s="8" t="n">
        <v>395</v>
      </c>
      <c r="H271" s="8" t="n">
        <v>343</v>
      </c>
      <c r="I271" s="8" t="n">
        <v>395</v>
      </c>
      <c r="J271" s="11">
        <f>(I271-H271)/1000</f>
        <v/>
      </c>
      <c r="K271" s="7" t="inlineStr">
        <is>
          <t>Yes</t>
        </is>
      </c>
      <c r="L271" s="7" t="n">
        <v>1</v>
      </c>
      <c r="M271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272" ht="139" customHeight="1">
      <c r="A272" s="9" t="inlineStr">
        <is>
          <t>20 Jun</t>
        </is>
      </c>
      <c r="B272" s="9" t="inlineStr">
        <is>
          <t>30191</t>
        </is>
      </c>
      <c r="C272" s="9" t="n">
        <v>5</v>
      </c>
      <c r="D272" s="9" t="n">
        <v>0</v>
      </c>
      <c r="E272" s="9" t="n">
        <v>0</v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3" t="n">
        <v>0</v>
      </c>
      <c r="K272" s="9" t="inlineStr">
        <is>
          <t>No</t>
        </is>
      </c>
      <c r="L272" s="9" t="n">
        <v>0</v>
      </c>
      <c r="M27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3" ht="139" customHeight="1">
      <c r="A273" s="9" t="inlineStr">
        <is>
          <t>20 Jun</t>
        </is>
      </c>
      <c r="B273" s="9" t="inlineStr">
        <is>
          <t>30478</t>
        </is>
      </c>
      <c r="C273" s="9" t="n">
        <v>5</v>
      </c>
      <c r="D273" s="9" t="n">
        <v>0</v>
      </c>
      <c r="E273" s="9" t="n">
        <v>0</v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3" t="n">
        <v>0</v>
      </c>
      <c r="K273" s="9" t="inlineStr">
        <is>
          <t>No</t>
        </is>
      </c>
      <c r="L273" s="9" t="n">
        <v>0</v>
      </c>
      <c r="M27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4" ht="139" customHeight="1">
      <c r="A274" s="9" t="inlineStr">
        <is>
          <t>20 Jun</t>
        </is>
      </c>
      <c r="B274" s="9" t="inlineStr">
        <is>
          <t>30795</t>
        </is>
      </c>
      <c r="C274" s="9" t="n">
        <v>5</v>
      </c>
      <c r="D274" s="9" t="n">
        <v>0</v>
      </c>
      <c r="E274" s="9" t="n">
        <v>0</v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3" t="n">
        <v>0</v>
      </c>
      <c r="K274" s="9" t="inlineStr">
        <is>
          <t>No</t>
        </is>
      </c>
      <c r="L274" s="9" t="n">
        <v>0</v>
      </c>
      <c r="M27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5" ht="139" customHeight="1">
      <c r="A275" s="9" t="inlineStr">
        <is>
          <t>20 Jun</t>
        </is>
      </c>
      <c r="B275" s="9" t="inlineStr">
        <is>
          <t>35049</t>
        </is>
      </c>
      <c r="C275" s="9" t="n">
        <v>5</v>
      </c>
      <c r="D275" s="9" t="n">
        <v>0</v>
      </c>
      <c r="E275" s="9" t="n">
        <v>0</v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3" t="n">
        <v>0</v>
      </c>
      <c r="K275" s="9" t="inlineStr">
        <is>
          <t>No</t>
        </is>
      </c>
      <c r="L275" s="9" t="n">
        <v>0</v>
      </c>
      <c r="M27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6" ht="139" customHeight="1">
      <c r="A276" s="9" t="inlineStr">
        <is>
          <t>20 Jun</t>
        </is>
      </c>
      <c r="B276" s="9" t="inlineStr">
        <is>
          <t>37585</t>
        </is>
      </c>
      <c r="C276" s="9" t="n">
        <v>6</v>
      </c>
      <c r="D276" s="9" t="n">
        <v>0</v>
      </c>
      <c r="E276" s="9" t="n">
        <v>0</v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3" t="n">
        <v>0</v>
      </c>
      <c r="K276" s="9" t="inlineStr">
        <is>
          <t>No</t>
        </is>
      </c>
      <c r="L276" s="9" t="n">
        <v>0</v>
      </c>
      <c r="M27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7" ht="139" customHeight="1">
      <c r="A277" s="9" t="inlineStr">
        <is>
          <t>20 Jun</t>
        </is>
      </c>
      <c r="B277" s="9" t="inlineStr">
        <is>
          <t>37639</t>
        </is>
      </c>
      <c r="C277" s="9" t="n">
        <v>5</v>
      </c>
      <c r="D277" s="9" t="n">
        <v>0</v>
      </c>
      <c r="E277" s="9" t="n">
        <v>0</v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3" t="n">
        <v>0</v>
      </c>
      <c r="K277" s="9" t="inlineStr">
        <is>
          <t>No</t>
        </is>
      </c>
      <c r="L277" s="9" t="n">
        <v>0</v>
      </c>
      <c r="M27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8" ht="139" customHeight="1">
      <c r="A278" s="9" t="inlineStr">
        <is>
          <t>20 Jun</t>
        </is>
      </c>
      <c r="B278" s="9" t="inlineStr">
        <is>
          <t>43973</t>
        </is>
      </c>
      <c r="C278" s="9" t="n">
        <v>1</v>
      </c>
      <c r="D278" s="9" t="n">
        <v>0</v>
      </c>
      <c r="E278" s="9" t="n">
        <v>0</v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3" t="n">
        <v>0</v>
      </c>
      <c r="K278" s="9" t="inlineStr">
        <is>
          <t>No</t>
        </is>
      </c>
      <c r="L278" s="9" t="n">
        <v>0</v>
      </c>
      <c r="M27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279">
      <c r="A279" s="7" t="inlineStr">
        <is>
          <t>21 Jun</t>
        </is>
      </c>
      <c r="B279" s="7" t="inlineStr">
        <is>
          <t>30200</t>
        </is>
      </c>
      <c r="C279" s="7" t="n">
        <v>9912</v>
      </c>
      <c r="D279" s="7" t="n">
        <v>9842</v>
      </c>
      <c r="E279" s="7" t="n">
        <v>9766</v>
      </c>
      <c r="F279" s="8" t="n">
        <v>320</v>
      </c>
      <c r="G279" s="8" t="n">
        <v>246089</v>
      </c>
      <c r="H279" s="8" t="n">
        <v>342</v>
      </c>
      <c r="I279" s="8" t="n">
        <v>244371</v>
      </c>
      <c r="J279" s="11">
        <f>(I279-H279)/1000</f>
        <v/>
      </c>
      <c r="K279" s="7" t="inlineStr">
        <is>
          <t>Yes</t>
        </is>
      </c>
      <c r="L279" s="7" t="n">
        <v>60</v>
      </c>
      <c r="M279" s="12" t="inlineStr">
        <is>
          <t>(all located stations passed)</t>
        </is>
      </c>
    </row>
    <row r="280">
      <c r="A280" s="7" t="inlineStr">
        <is>
          <t>21 Jun</t>
        </is>
      </c>
      <c r="B280" s="7" t="inlineStr">
        <is>
          <t>39482</t>
        </is>
      </c>
      <c r="C280" s="7" t="n">
        <v>11376</v>
      </c>
      <c r="D280" s="7" t="n">
        <v>11357</v>
      </c>
      <c r="E280" s="7" t="n">
        <v>11353</v>
      </c>
      <c r="F280" s="8" t="n">
        <v>620</v>
      </c>
      <c r="G280" s="8" t="n">
        <v>244479</v>
      </c>
      <c r="H280" s="8" t="n">
        <v>620</v>
      </c>
      <c r="I280" s="8" t="n">
        <v>244355</v>
      </c>
      <c r="J280" s="11">
        <f>(I280-H280)/1000</f>
        <v/>
      </c>
      <c r="K280" s="7" t="inlineStr">
        <is>
          <t>Yes</t>
        </is>
      </c>
      <c r="L280" s="7" t="n">
        <v>60</v>
      </c>
      <c r="M280" s="12" t="inlineStr">
        <is>
          <t>- (full trip)</t>
        </is>
      </c>
    </row>
    <row r="281">
      <c r="A281" s="7" t="inlineStr">
        <is>
          <t>21 Jun</t>
        </is>
      </c>
      <c r="B281" s="7" t="inlineStr">
        <is>
          <t>30487</t>
        </is>
      </c>
      <c r="C281" s="7" t="n">
        <v>9819</v>
      </c>
      <c r="D281" s="7" t="n">
        <v>9785</v>
      </c>
      <c r="E281" s="7" t="n">
        <v>9776</v>
      </c>
      <c r="F281" s="8" t="n">
        <v>688</v>
      </c>
      <c r="G281" s="8" t="n">
        <v>244614</v>
      </c>
      <c r="H281" s="8" t="n">
        <v>688</v>
      </c>
      <c r="I281" s="8" t="n">
        <v>244363</v>
      </c>
      <c r="J281" s="11">
        <f>(I281-H281)/1000</f>
        <v/>
      </c>
      <c r="K281" s="7" t="inlineStr">
        <is>
          <t>Yes</t>
        </is>
      </c>
      <c r="L281" s="7" t="n">
        <v>60</v>
      </c>
      <c r="M281" s="12" t="inlineStr">
        <is>
          <t>- (full trip)</t>
        </is>
      </c>
    </row>
    <row r="282">
      <c r="A282" s="7" t="inlineStr">
        <is>
          <t>21 Jun</t>
        </is>
      </c>
      <c r="B282" s="7" t="inlineStr">
        <is>
          <t>37089</t>
        </is>
      </c>
      <c r="C282" s="7" t="n">
        <v>11923</v>
      </c>
      <c r="D282" s="7" t="n">
        <v>11899</v>
      </c>
      <c r="E282" s="7" t="n">
        <v>11890</v>
      </c>
      <c r="F282" s="8" t="n">
        <v>737</v>
      </c>
      <c r="G282" s="8" t="n">
        <v>244597</v>
      </c>
      <c r="H282" s="8" t="n">
        <v>737</v>
      </c>
      <c r="I282" s="8" t="n">
        <v>244359</v>
      </c>
      <c r="J282" s="11">
        <f>(I282-H282)/1000</f>
        <v/>
      </c>
      <c r="K282" s="7" t="inlineStr">
        <is>
          <t>Yes</t>
        </is>
      </c>
      <c r="L282" s="7" t="n">
        <v>60</v>
      </c>
      <c r="M282" s="12" t="inlineStr">
        <is>
          <t>- (full trip)</t>
        </is>
      </c>
    </row>
    <row r="283">
      <c r="A283" s="7" t="inlineStr">
        <is>
          <t>21 Jun</t>
        </is>
      </c>
      <c r="B283" s="7" t="inlineStr">
        <is>
          <t>37586</t>
        </is>
      </c>
      <c r="C283" s="7" t="n">
        <v>11365</v>
      </c>
      <c r="D283" s="7" t="n">
        <v>11348</v>
      </c>
      <c r="E283" s="7" t="n">
        <v>11339</v>
      </c>
      <c r="F283" s="8" t="n">
        <v>736</v>
      </c>
      <c r="G283" s="8" t="n">
        <v>244617</v>
      </c>
      <c r="H283" s="8" t="n">
        <v>736</v>
      </c>
      <c r="I283" s="8" t="n">
        <v>244357</v>
      </c>
      <c r="J283" s="11">
        <f>(I283-H283)/1000</f>
        <v/>
      </c>
      <c r="K283" s="7" t="inlineStr">
        <is>
          <t>Yes</t>
        </is>
      </c>
      <c r="L283" s="7" t="n">
        <v>60</v>
      </c>
      <c r="M283" s="12" t="inlineStr">
        <is>
          <t>- (full trip)</t>
        </is>
      </c>
    </row>
    <row r="284">
      <c r="A284" s="7" t="inlineStr">
        <is>
          <t>21 Jun</t>
        </is>
      </c>
      <c r="B284" s="7" t="inlineStr">
        <is>
          <t>37720</t>
        </is>
      </c>
      <c r="C284" s="7" t="n">
        <v>11110</v>
      </c>
      <c r="D284" s="7" t="n">
        <v>11095</v>
      </c>
      <c r="E284" s="7" t="n">
        <v>11035</v>
      </c>
      <c r="F284" s="8" t="n">
        <v>12159</v>
      </c>
      <c r="G284" s="8" t="n">
        <v>246059</v>
      </c>
      <c r="H284" s="8" t="n">
        <v>12159</v>
      </c>
      <c r="I284" s="8" t="n">
        <v>244369</v>
      </c>
      <c r="J284" s="11">
        <f>(I284-H284)/1000</f>
        <v/>
      </c>
      <c r="K284" s="7" t="inlineStr">
        <is>
          <t>Yes</t>
        </is>
      </c>
      <c r="L284" s="7" t="n">
        <v>55</v>
      </c>
      <c r="M284" s="12" t="inlineStr">
        <is>
          <t>Howrah, Howrah Sorting Yard, Liluah, Belur, Bally</t>
        </is>
      </c>
    </row>
    <row r="285">
      <c r="A285" s="7" t="inlineStr">
        <is>
          <t>21 Jun</t>
        </is>
      </c>
      <c r="B285" s="7" t="inlineStr">
        <is>
          <t>37360</t>
        </is>
      </c>
      <c r="C285" s="7" t="n">
        <v>12234</v>
      </c>
      <c r="D285" s="7" t="n">
        <v>12225</v>
      </c>
      <c r="E285" s="7" t="n">
        <v>12155</v>
      </c>
      <c r="F285" s="8" t="n">
        <v>12694</v>
      </c>
      <c r="G285" s="8" t="n">
        <v>246089</v>
      </c>
      <c r="H285" s="8" t="n">
        <v>12694</v>
      </c>
      <c r="I285" s="8" t="n">
        <v>244355</v>
      </c>
      <c r="J285" s="11">
        <f>(I285-H285)/1000</f>
        <v/>
      </c>
      <c r="K285" s="7" t="inlineStr">
        <is>
          <t>Yes</t>
        </is>
      </c>
      <c r="L285" s="7" t="n">
        <v>55</v>
      </c>
      <c r="M285" s="12" t="inlineStr">
        <is>
          <t>Howrah, Howrah Sorting Yard, Liluah, Belur, Bally</t>
        </is>
      </c>
    </row>
    <row r="286" ht="34" customHeight="1">
      <c r="A286" s="7" t="inlineStr">
        <is>
          <t>21 Jun</t>
        </is>
      </c>
      <c r="B286" s="7" t="inlineStr">
        <is>
          <t>30455</t>
        </is>
      </c>
      <c r="C286" s="7" t="n">
        <v>7324</v>
      </c>
      <c r="D286" s="7" t="n">
        <v>7320</v>
      </c>
      <c r="E286" s="7" t="n">
        <v>7320</v>
      </c>
      <c r="F286" s="8" t="n">
        <v>12119</v>
      </c>
      <c r="G286" s="8" t="n">
        <v>224430</v>
      </c>
      <c r="H286" s="8" t="n">
        <v>12119</v>
      </c>
      <c r="I286" s="8" t="n">
        <v>224430</v>
      </c>
      <c r="J286" s="11">
        <f>(I286-H286)/1000</f>
        <v/>
      </c>
      <c r="K286" s="7" t="inlineStr">
        <is>
          <t>Yes</t>
        </is>
      </c>
      <c r="L286" s="7" t="n">
        <v>51</v>
      </c>
      <c r="M286" s="12" t="inlineStr">
        <is>
          <t>Howrah, Howrah Sorting Yard, Liluah, Belur, Bally, Thaparnagar, Kalubathan, Chhota Ambana</t>
        </is>
      </c>
    </row>
    <row r="287" ht="34" customHeight="1">
      <c r="A287" s="7" t="inlineStr">
        <is>
          <t>21 Jun</t>
        </is>
      </c>
      <c r="B287" s="7" t="inlineStr">
        <is>
          <t>37401</t>
        </is>
      </c>
      <c r="C287" s="7" t="n">
        <v>7945</v>
      </c>
      <c r="D287" s="7" t="n">
        <v>7919</v>
      </c>
      <c r="E287" s="7" t="n">
        <v>7910</v>
      </c>
      <c r="F287" s="8" t="n">
        <v>38351</v>
      </c>
      <c r="G287" s="8" t="n">
        <v>244635</v>
      </c>
      <c r="H287" s="8" t="n">
        <v>38351</v>
      </c>
      <c r="I287" s="8" t="n">
        <v>244363</v>
      </c>
      <c r="J287" s="11">
        <f>(I287-H287)/1000</f>
        <v/>
      </c>
      <c r="K287" s="7" t="inlineStr">
        <is>
          <t>Yes</t>
        </is>
      </c>
      <c r="L287" s="7" t="n">
        <v>48</v>
      </c>
      <c r="M287" s="12" t="inlineStr">
        <is>
          <t>Howrah, Howrah Sorting Yard, Liluah, Belur, Bally, Belanagar, Dankuni, Janai Road, Baruipara, Kamarkundu, LC-31</t>
        </is>
      </c>
    </row>
    <row r="288" ht="34" customHeight="1">
      <c r="A288" s="7" t="inlineStr">
        <is>
          <t>21 Jun</t>
        </is>
      </c>
      <c r="B288" s="7" t="inlineStr">
        <is>
          <t>37005</t>
        </is>
      </c>
      <c r="C288" s="7" t="n">
        <v>14865</v>
      </c>
      <c r="D288" s="7" t="n">
        <v>14817</v>
      </c>
      <c r="E288" s="7" t="n">
        <v>14696</v>
      </c>
      <c r="F288" s="8" t="n">
        <v>84</v>
      </c>
      <c r="G288" s="8" t="n">
        <v>200080</v>
      </c>
      <c r="H288" s="8" t="n">
        <v>343</v>
      </c>
      <c r="I288" s="8" t="n">
        <v>200080</v>
      </c>
      <c r="J288" s="11">
        <f>(I288-H288)/1000</f>
        <v/>
      </c>
      <c r="K288" s="7" t="inlineStr">
        <is>
          <t>Yes</t>
        </is>
      </c>
      <c r="L288" s="7" t="n">
        <v>50</v>
      </c>
      <c r="M288" s="12" t="inlineStr">
        <is>
          <t>Barachak Jn, Sitarampur Central, Kulti, Barakar, Kumardubi, Mugma, Thaparnagar, Kalubathan, Chhota Ambana</t>
        </is>
      </c>
    </row>
    <row r="289" ht="34" customHeight="1">
      <c r="A289" s="7" t="inlineStr">
        <is>
          <t>21 Jun</t>
        </is>
      </c>
      <c r="B289" s="7" t="inlineStr">
        <is>
          <t>37777</t>
        </is>
      </c>
      <c r="C289" s="7" t="n">
        <v>9385</v>
      </c>
      <c r="D289" s="7" t="n">
        <v>9355</v>
      </c>
      <c r="E289" s="7" t="n">
        <v>9355</v>
      </c>
      <c r="F289" s="8" t="n">
        <v>547</v>
      </c>
      <c r="G289" s="8" t="n">
        <v>200089</v>
      </c>
      <c r="H289" s="8" t="n">
        <v>547</v>
      </c>
      <c r="I289" s="8" t="n">
        <v>200089</v>
      </c>
      <c r="J289" s="11">
        <f>(I289-H289)/1000</f>
        <v/>
      </c>
      <c r="K289" s="7" t="inlineStr">
        <is>
          <t>Yes</t>
        </is>
      </c>
      <c r="L289" s="7" t="n">
        <v>50</v>
      </c>
      <c r="M289" s="12" t="inlineStr">
        <is>
          <t>Barachak Jn, Sitarampur Central, Kulti, Barakar, Kumardubi, Mugma, Thaparnagar, Kalubathan, Chhota Ambana</t>
        </is>
      </c>
    </row>
    <row r="290" ht="34" customHeight="1">
      <c r="A290" s="7" t="inlineStr">
        <is>
          <t>21 Jun</t>
        </is>
      </c>
      <c r="B290" s="7" t="inlineStr">
        <is>
          <t>35049</t>
        </is>
      </c>
      <c r="C290" s="7" t="n">
        <v>9122</v>
      </c>
      <c r="D290" s="7" t="n">
        <v>9101</v>
      </c>
      <c r="E290" s="7" t="n">
        <v>9101</v>
      </c>
      <c r="F290" s="8" t="n">
        <v>621</v>
      </c>
      <c r="G290" s="8" t="n">
        <v>200066</v>
      </c>
      <c r="H290" s="8" t="n">
        <v>621</v>
      </c>
      <c r="I290" s="8" t="n">
        <v>200066</v>
      </c>
      <c r="J290" s="11">
        <f>(I290-H290)/1000</f>
        <v/>
      </c>
      <c r="K290" s="7" t="inlineStr">
        <is>
          <t>Yes</t>
        </is>
      </c>
      <c r="L290" s="7" t="n">
        <v>50</v>
      </c>
      <c r="M290" s="12" t="inlineStr">
        <is>
          <t>Barachak Jn, Sitarampur Central, Kulti, Barakar, Kumardubi, Mugma, Thaparnagar, Kalubathan, Chhota Ambana</t>
        </is>
      </c>
    </row>
    <row r="291" ht="34" customHeight="1">
      <c r="A291" s="7" t="inlineStr">
        <is>
          <t>21 Jun</t>
        </is>
      </c>
      <c r="B291" s="7" t="inlineStr">
        <is>
          <t>37859</t>
        </is>
      </c>
      <c r="C291" s="7" t="n">
        <v>9458</v>
      </c>
      <c r="D291" s="7" t="n">
        <v>9401</v>
      </c>
      <c r="E291" s="7" t="n">
        <v>9401</v>
      </c>
      <c r="F291" s="8" t="n">
        <v>688</v>
      </c>
      <c r="G291" s="8" t="n">
        <v>200091</v>
      </c>
      <c r="H291" s="8" t="n">
        <v>688</v>
      </c>
      <c r="I291" s="8" t="n">
        <v>200091</v>
      </c>
      <c r="J291" s="11">
        <f>(I291-H291)/1000</f>
        <v/>
      </c>
      <c r="K291" s="7" t="inlineStr">
        <is>
          <t>Yes</t>
        </is>
      </c>
      <c r="L291" s="7" t="n">
        <v>50</v>
      </c>
      <c r="M291" s="12" t="inlineStr">
        <is>
          <t>Barachak Jn, Sitarampur Central, Kulti, Barakar, Kumardubi, Mugma, Thaparnagar, Kalubathan, Chhota Ambana</t>
        </is>
      </c>
    </row>
    <row r="292" ht="34" customHeight="1">
      <c r="A292" s="7" t="inlineStr">
        <is>
          <t>21 Jun</t>
        </is>
      </c>
      <c r="B292" s="7" t="inlineStr">
        <is>
          <t>37879</t>
        </is>
      </c>
      <c r="C292" s="7" t="n">
        <v>10575</v>
      </c>
      <c r="D292" s="7" t="n">
        <v>10560</v>
      </c>
      <c r="E292" s="7" t="n">
        <v>10248</v>
      </c>
      <c r="F292" s="8" t="n">
        <v>21</v>
      </c>
      <c r="G292" s="8" t="n">
        <v>199544</v>
      </c>
      <c r="H292" s="8" t="n">
        <v>343</v>
      </c>
      <c r="I292" s="8" t="n">
        <v>199544</v>
      </c>
      <c r="J292" s="11">
        <f>(I292-H292)/1000</f>
        <v/>
      </c>
      <c r="K292" s="7" t="inlineStr">
        <is>
          <t>Yes</t>
        </is>
      </c>
      <c r="L292" s="7" t="n">
        <v>50</v>
      </c>
      <c r="M292" s="12" t="inlineStr">
        <is>
          <t>Barachak Jn, Sitarampur Central, Kulti, Barakar, Kumardubi, Mugma, Thaparnagar, Kalubathan, Chhota Ambana</t>
        </is>
      </c>
    </row>
    <row r="293" ht="34" customHeight="1">
      <c r="A293" s="7" t="inlineStr">
        <is>
          <t>21 Jun</t>
        </is>
      </c>
      <c r="B293" s="7" t="inlineStr">
        <is>
          <t>30508</t>
        </is>
      </c>
      <c r="C293" s="7" t="n">
        <v>9079</v>
      </c>
      <c r="D293" s="7" t="n">
        <v>9060</v>
      </c>
      <c r="E293" s="7" t="n">
        <v>8920</v>
      </c>
      <c r="F293" s="8" t="n">
        <v>42</v>
      </c>
      <c r="G293" s="8" t="n">
        <v>199537</v>
      </c>
      <c r="H293" s="8" t="n">
        <v>342</v>
      </c>
      <c r="I293" s="8" t="n">
        <v>199537</v>
      </c>
      <c r="J293" s="11">
        <f>(I293-H293)/1000</f>
        <v/>
      </c>
      <c r="K293" s="7" t="inlineStr">
        <is>
          <t>Yes</t>
        </is>
      </c>
      <c r="L293" s="7" t="n">
        <v>50</v>
      </c>
      <c r="M293" s="12" t="inlineStr">
        <is>
          <t>Barachak Jn, Sitarampur Central, Kulti, Barakar, Kumardubi, Mugma, Thaparnagar, Kalubathan, Chhota Ambana</t>
        </is>
      </c>
    </row>
    <row r="294" ht="49" customHeight="1">
      <c r="A294" s="7" t="inlineStr">
        <is>
          <t>21 Jun</t>
        </is>
      </c>
      <c r="B294" s="7" t="inlineStr">
        <is>
          <t>30567</t>
        </is>
      </c>
      <c r="C294" s="7" t="n">
        <v>6971</v>
      </c>
      <c r="D294" s="7" t="n">
        <v>6938</v>
      </c>
      <c r="E294" s="7" t="n">
        <v>6938</v>
      </c>
      <c r="F294" s="8" t="n">
        <v>12705</v>
      </c>
      <c r="G294" s="8" t="n">
        <v>199393</v>
      </c>
      <c r="H294" s="8" t="n">
        <v>12705</v>
      </c>
      <c r="I294" s="8" t="n">
        <v>199393</v>
      </c>
      <c r="J294" s="11">
        <f>(I294-H294)/1000</f>
        <v/>
      </c>
      <c r="K294" s="7" t="inlineStr">
        <is>
          <t>Yes</t>
        </is>
      </c>
      <c r="L294" s="7" t="n">
        <v>45</v>
      </c>
      <c r="M294" s="12" t="inlineStr">
        <is>
          <t>Howrah, Howrah Sorting Yard, Liluah, Belur, Bally, Barachak Jn, Sitarampur Central, Kulti, Barakar, Kumardubi, Mugma, Thaparnagar, Kalubathan, Chhota Ambana</t>
        </is>
      </c>
    </row>
    <row r="295" ht="94" customHeight="1">
      <c r="A295" s="7" t="inlineStr">
        <is>
          <t>21 Jun</t>
        </is>
      </c>
      <c r="B295" s="7" t="inlineStr">
        <is>
          <t>39133</t>
        </is>
      </c>
      <c r="C295" s="7" t="n">
        <v>8618</v>
      </c>
      <c r="D295" s="7" t="n">
        <v>8576</v>
      </c>
      <c r="E295" s="7" t="n">
        <v>8490</v>
      </c>
      <c r="F295" s="8" t="n">
        <v>42</v>
      </c>
      <c r="G295" s="8" t="n">
        <v>94608</v>
      </c>
      <c r="H295" s="8" t="n">
        <v>345</v>
      </c>
      <c r="I295" s="8" t="n">
        <v>94608</v>
      </c>
      <c r="J295" s="11">
        <f>(I295-H295)/1000</f>
        <v/>
      </c>
      <c r="K295" s="7" t="inlineStr">
        <is>
          <t>Yes</t>
        </is>
      </c>
      <c r="L295" s="7" t="n">
        <v>26</v>
      </c>
      <c r="M295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6" ht="94" customHeight="1">
      <c r="A296" s="7" t="inlineStr">
        <is>
          <t>21 Jun</t>
        </is>
      </c>
      <c r="B296" s="7" t="inlineStr">
        <is>
          <t>30112</t>
        </is>
      </c>
      <c r="C296" s="7" t="n">
        <v>8723</v>
      </c>
      <c r="D296" s="7" t="n">
        <v>8688</v>
      </c>
      <c r="E296" s="7" t="n">
        <v>8534</v>
      </c>
      <c r="F296" s="8" t="n">
        <v>33</v>
      </c>
      <c r="G296" s="8" t="n">
        <v>94578</v>
      </c>
      <c r="H296" s="8" t="n">
        <v>343</v>
      </c>
      <c r="I296" s="8" t="n">
        <v>94578</v>
      </c>
      <c r="J296" s="11">
        <f>(I296-H296)/1000</f>
        <v/>
      </c>
      <c r="K296" s="7" t="inlineStr">
        <is>
          <t>Yes</t>
        </is>
      </c>
      <c r="L296" s="7" t="n">
        <v>26</v>
      </c>
      <c r="M296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7" ht="94" customHeight="1">
      <c r="A297" s="7" t="inlineStr">
        <is>
          <t>21 Jun</t>
        </is>
      </c>
      <c r="B297" s="7" t="inlineStr">
        <is>
          <t>37778</t>
        </is>
      </c>
      <c r="C297" s="7" t="n">
        <v>3864</v>
      </c>
      <c r="D297" s="7" t="n">
        <v>3408</v>
      </c>
      <c r="E297" s="7" t="n">
        <v>3408</v>
      </c>
      <c r="F297" s="8" t="n">
        <v>611</v>
      </c>
      <c r="G297" s="8" t="n">
        <v>94748</v>
      </c>
      <c r="H297" s="8" t="n">
        <v>611</v>
      </c>
      <c r="I297" s="8" t="n">
        <v>94748</v>
      </c>
      <c r="J297" s="11">
        <f>(I297-H297)/1000</f>
        <v/>
      </c>
      <c r="K297" s="7" t="inlineStr">
        <is>
          <t>Yes</t>
        </is>
      </c>
      <c r="L297" s="7" t="n">
        <v>26</v>
      </c>
      <c r="M297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8" ht="94" customHeight="1">
      <c r="A298" s="7" t="inlineStr">
        <is>
          <t>21 Jun</t>
        </is>
      </c>
      <c r="B298" s="7" t="inlineStr">
        <is>
          <t>39178</t>
        </is>
      </c>
      <c r="C298" s="7" t="n">
        <v>3241</v>
      </c>
      <c r="D298" s="7" t="n">
        <v>3223</v>
      </c>
      <c r="E298" s="7" t="n">
        <v>3223</v>
      </c>
      <c r="F298" s="8" t="n">
        <v>737</v>
      </c>
      <c r="G298" s="8" t="n">
        <v>94763</v>
      </c>
      <c r="H298" s="8" t="n">
        <v>737</v>
      </c>
      <c r="I298" s="8" t="n">
        <v>94763</v>
      </c>
      <c r="J298" s="11">
        <f>(I298-H298)/1000</f>
        <v/>
      </c>
      <c r="K298" s="7" t="inlineStr">
        <is>
          <t>Yes</t>
        </is>
      </c>
      <c r="L298" s="7" t="n">
        <v>26</v>
      </c>
      <c r="M298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9" ht="94" customHeight="1">
      <c r="A299" s="7" t="inlineStr">
        <is>
          <t>21 Jun</t>
        </is>
      </c>
      <c r="B299" s="7" t="inlineStr">
        <is>
          <t>37081</t>
        </is>
      </c>
      <c r="C299" s="7" t="n">
        <v>4612</v>
      </c>
      <c r="D299" s="7" t="n">
        <v>4596</v>
      </c>
      <c r="E299" s="7" t="n">
        <v>4596</v>
      </c>
      <c r="F299" s="8" t="n">
        <v>740</v>
      </c>
      <c r="G299" s="8" t="n">
        <v>94610</v>
      </c>
      <c r="H299" s="8" t="n">
        <v>740</v>
      </c>
      <c r="I299" s="8" t="n">
        <v>94610</v>
      </c>
      <c r="J299" s="11">
        <f>(I299-H299)/1000</f>
        <v/>
      </c>
      <c r="K299" s="7" t="inlineStr">
        <is>
          <t>Yes</t>
        </is>
      </c>
      <c r="L299" s="7" t="n">
        <v>26</v>
      </c>
      <c r="M299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0" ht="94" customHeight="1">
      <c r="A300" s="7" t="inlineStr">
        <is>
          <t>21 Jun</t>
        </is>
      </c>
      <c r="B300" s="7" t="inlineStr">
        <is>
          <t>39411</t>
        </is>
      </c>
      <c r="C300" s="7" t="n">
        <v>4289</v>
      </c>
      <c r="D300" s="7" t="n">
        <v>4267</v>
      </c>
      <c r="E300" s="7" t="n">
        <v>4031</v>
      </c>
      <c r="F300" s="8" t="n">
        <v>18</v>
      </c>
      <c r="G300" s="8" t="n">
        <v>94113</v>
      </c>
      <c r="H300" s="8" t="n">
        <v>344</v>
      </c>
      <c r="I300" s="8" t="n">
        <v>94113</v>
      </c>
      <c r="J300" s="11">
        <f>(I300-H300)/1000</f>
        <v/>
      </c>
      <c r="K300" s="7" t="inlineStr">
        <is>
          <t>Yes</t>
        </is>
      </c>
      <c r="L300" s="7" t="n">
        <v>26</v>
      </c>
      <c r="M300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1" ht="94" customHeight="1">
      <c r="A301" s="7" t="inlineStr">
        <is>
          <t>21 Jun</t>
        </is>
      </c>
      <c r="B301" s="7" t="inlineStr">
        <is>
          <t>37014</t>
        </is>
      </c>
      <c r="C301" s="7" t="n">
        <v>3713</v>
      </c>
      <c r="D301" s="7" t="n">
        <v>3657</v>
      </c>
      <c r="E301" s="7" t="n">
        <v>3657</v>
      </c>
      <c r="F301" s="8" t="n">
        <v>1098</v>
      </c>
      <c r="G301" s="8" t="n">
        <v>94582</v>
      </c>
      <c r="H301" s="8" t="n">
        <v>1098</v>
      </c>
      <c r="I301" s="8" t="n">
        <v>94582</v>
      </c>
      <c r="J301" s="11">
        <f>(I301-H301)/1000</f>
        <v/>
      </c>
      <c r="K301" s="7" t="inlineStr">
        <is>
          <t>Yes</t>
        </is>
      </c>
      <c r="L301" s="7" t="n">
        <v>26</v>
      </c>
      <c r="M301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2" ht="94" customHeight="1">
      <c r="A302" s="7" t="inlineStr">
        <is>
          <t>21 Jun</t>
        </is>
      </c>
      <c r="B302" s="7" t="inlineStr">
        <is>
          <t>37954</t>
        </is>
      </c>
      <c r="C302" s="7" t="n">
        <v>3897</v>
      </c>
      <c r="D302" s="7" t="n">
        <v>3888</v>
      </c>
      <c r="E302" s="7" t="n">
        <v>3888</v>
      </c>
      <c r="F302" s="8" t="n">
        <v>1448</v>
      </c>
      <c r="G302" s="8" t="n">
        <v>94068</v>
      </c>
      <c r="H302" s="8" t="n">
        <v>1448</v>
      </c>
      <c r="I302" s="8" t="n">
        <v>94068</v>
      </c>
      <c r="J302" s="11">
        <f>(I302-H302)/1000</f>
        <v/>
      </c>
      <c r="K302" s="7" t="inlineStr">
        <is>
          <t>Yes</t>
        </is>
      </c>
      <c r="L302" s="7" t="n">
        <v>26</v>
      </c>
      <c r="M302" s="12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3" ht="109" customHeight="1">
      <c r="A303" s="7" t="inlineStr">
        <is>
          <t>21 Jun</t>
        </is>
      </c>
      <c r="B303" s="7" t="inlineStr">
        <is>
          <t>30742</t>
        </is>
      </c>
      <c r="C303" s="7" t="n">
        <v>6464</v>
      </c>
      <c r="D303" s="7" t="n">
        <v>6435</v>
      </c>
      <c r="E303" s="7" t="n">
        <v>6435</v>
      </c>
      <c r="F303" s="8" t="n">
        <v>12113</v>
      </c>
      <c r="G303" s="8" t="n">
        <v>94632</v>
      </c>
      <c r="H303" s="8" t="n">
        <v>12113</v>
      </c>
      <c r="I303" s="8" t="n">
        <v>94632</v>
      </c>
      <c r="J303" s="11">
        <f>(I303-H303)/1000</f>
        <v/>
      </c>
      <c r="K303" s="7" t="inlineStr">
        <is>
          <t>Yes</t>
        </is>
      </c>
      <c r="L303" s="7" t="n">
        <v>21</v>
      </c>
      <c r="M303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4" ht="109" customHeight="1">
      <c r="A304" s="7" t="inlineStr">
        <is>
          <t>21 Jun</t>
        </is>
      </c>
      <c r="B304" s="7" t="inlineStr">
        <is>
          <t>30676</t>
        </is>
      </c>
      <c r="C304" s="7" t="n">
        <v>3099</v>
      </c>
      <c r="D304" s="7" t="n">
        <v>3094</v>
      </c>
      <c r="E304" s="7" t="n">
        <v>3094</v>
      </c>
      <c r="F304" s="8" t="n">
        <v>12125</v>
      </c>
      <c r="G304" s="8" t="n">
        <v>94633</v>
      </c>
      <c r="H304" s="8" t="n">
        <v>12125</v>
      </c>
      <c r="I304" s="8" t="n">
        <v>94633</v>
      </c>
      <c r="J304" s="11">
        <f>(I304-H304)/1000</f>
        <v/>
      </c>
      <c r="K304" s="7" t="inlineStr">
        <is>
          <t>Yes</t>
        </is>
      </c>
      <c r="L304" s="7" t="n">
        <v>21</v>
      </c>
      <c r="M304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5" ht="109" customHeight="1">
      <c r="A305" s="7" t="inlineStr">
        <is>
          <t>21 Jun</t>
        </is>
      </c>
      <c r="B305" s="7" t="inlineStr">
        <is>
          <t>30371</t>
        </is>
      </c>
      <c r="C305" s="7" t="n">
        <v>2828</v>
      </c>
      <c r="D305" s="7" t="n">
        <v>2823</v>
      </c>
      <c r="E305" s="7" t="n">
        <v>2823</v>
      </c>
      <c r="F305" s="8" t="n">
        <v>13075</v>
      </c>
      <c r="G305" s="8" t="n">
        <v>94709</v>
      </c>
      <c r="H305" s="8" t="n">
        <v>13075</v>
      </c>
      <c r="I305" s="8" t="n">
        <v>94709</v>
      </c>
      <c r="J305" s="11">
        <f>(I305-H305)/1000</f>
        <v/>
      </c>
      <c r="K305" s="7" t="inlineStr">
        <is>
          <t>Yes</t>
        </is>
      </c>
      <c r="L305" s="7" t="n">
        <v>20</v>
      </c>
      <c r="M305" s="12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6" ht="109" customHeight="1">
      <c r="A306" s="7" t="inlineStr">
        <is>
          <t>21 Jun</t>
        </is>
      </c>
      <c r="B306" s="7" t="inlineStr">
        <is>
          <t>30203</t>
        </is>
      </c>
      <c r="C306" s="7" t="n">
        <v>3577</v>
      </c>
      <c r="D306" s="7" t="n">
        <v>3561</v>
      </c>
      <c r="E306" s="7" t="n">
        <v>3561</v>
      </c>
      <c r="F306" s="8" t="n">
        <v>12717</v>
      </c>
      <c r="G306" s="8" t="n">
        <v>94111</v>
      </c>
      <c r="H306" s="8" t="n">
        <v>12717</v>
      </c>
      <c r="I306" s="8" t="n">
        <v>94111</v>
      </c>
      <c r="J306" s="11">
        <f>(I306-H306)/1000</f>
        <v/>
      </c>
      <c r="K306" s="7" t="inlineStr">
        <is>
          <t>Yes</t>
        </is>
      </c>
      <c r="L306" s="7" t="n">
        <v>21</v>
      </c>
      <c r="M306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7" ht="109" customHeight="1">
      <c r="A307" s="7" t="inlineStr">
        <is>
          <t>21 Jun</t>
        </is>
      </c>
      <c r="B307" s="7" t="inlineStr">
        <is>
          <t>30328</t>
        </is>
      </c>
      <c r="C307" s="7" t="n">
        <v>3126</v>
      </c>
      <c r="D307" s="7" t="n">
        <v>3081</v>
      </c>
      <c r="E307" s="7" t="n">
        <v>3081</v>
      </c>
      <c r="F307" s="8" t="n">
        <v>12744</v>
      </c>
      <c r="G307" s="8" t="n">
        <v>94115</v>
      </c>
      <c r="H307" s="8" t="n">
        <v>12744</v>
      </c>
      <c r="I307" s="8" t="n">
        <v>94115</v>
      </c>
      <c r="J307" s="11">
        <f>(I307-H307)/1000</f>
        <v/>
      </c>
      <c r="K307" s="7" t="inlineStr">
        <is>
          <t>Yes</t>
        </is>
      </c>
      <c r="L307" s="7" t="n">
        <v>21</v>
      </c>
      <c r="M307" s="12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8" ht="124" customHeight="1">
      <c r="A308" s="7" t="inlineStr">
        <is>
          <t>21 Jun</t>
        </is>
      </c>
      <c r="B308" s="7" t="inlineStr">
        <is>
          <t>37268</t>
        </is>
      </c>
      <c r="C308" s="7" t="n">
        <v>1520</v>
      </c>
      <c r="D308" s="7" t="n">
        <v>1496</v>
      </c>
      <c r="E308" s="7" t="n">
        <v>1496</v>
      </c>
      <c r="F308" s="8" t="n">
        <v>688</v>
      </c>
      <c r="G308" s="8" t="n">
        <v>39842</v>
      </c>
      <c r="H308" s="8" t="n">
        <v>688</v>
      </c>
      <c r="I308" s="8" t="n">
        <v>39842</v>
      </c>
      <c r="J308" s="11">
        <f>(I308-H308)/1000</f>
        <v/>
      </c>
      <c r="K308" s="7" t="inlineStr">
        <is>
          <t>Yes</t>
        </is>
      </c>
      <c r="L308" s="7" t="n">
        <v>13</v>
      </c>
      <c r="M308" s="12" t="inlineStr">
        <is>
          <t>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9" ht="139" customHeight="1">
      <c r="A309" s="7" t="inlineStr">
        <is>
          <t>21 Jun</t>
        </is>
      </c>
      <c r="B309" s="7" t="inlineStr">
        <is>
          <t>30321</t>
        </is>
      </c>
      <c r="C309" s="7" t="n">
        <v>242</v>
      </c>
      <c r="D309" s="7" t="n">
        <v>241</v>
      </c>
      <c r="E309" s="7" t="n">
        <v>241</v>
      </c>
      <c r="F309" s="8" t="n">
        <v>12123</v>
      </c>
      <c r="G309" s="8" t="n">
        <v>13090</v>
      </c>
      <c r="H309" s="8" t="n">
        <v>12123</v>
      </c>
      <c r="I309" s="8" t="n">
        <v>13090</v>
      </c>
      <c r="J309" s="11">
        <f>(I309-H309)/1000</f>
        <v/>
      </c>
      <c r="K309" s="7" t="inlineStr">
        <is>
          <t>Yes</t>
        </is>
      </c>
      <c r="L309" s="7" t="n">
        <v>2</v>
      </c>
      <c r="M309" s="12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310" ht="139" customHeight="1">
      <c r="A310" s="7" t="inlineStr">
        <is>
          <t>21 Jun</t>
        </is>
      </c>
      <c r="B310" s="7" t="inlineStr">
        <is>
          <t>37405</t>
        </is>
      </c>
      <c r="C310" s="7" t="n">
        <v>323</v>
      </c>
      <c r="D310" s="7" t="n">
        <v>303</v>
      </c>
      <c r="E310" s="7" t="n">
        <v>280</v>
      </c>
      <c r="F310" s="8" t="n">
        <v>305</v>
      </c>
      <c r="G310" s="8" t="n">
        <v>832</v>
      </c>
      <c r="H310" s="8" t="n">
        <v>342</v>
      </c>
      <c r="I310" s="8" t="n">
        <v>832</v>
      </c>
      <c r="J310" s="11">
        <f>(I310-H310)/1000</f>
        <v/>
      </c>
      <c r="K310" s="7" t="inlineStr">
        <is>
          <t>Yes</t>
        </is>
      </c>
      <c r="L310" s="7" t="n">
        <v>1</v>
      </c>
      <c r="M310" s="12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311" ht="139" customHeight="1">
      <c r="A311" s="9" t="inlineStr">
        <is>
          <t>21 Jun</t>
        </is>
      </c>
      <c r="B311" s="9" t="inlineStr">
        <is>
          <t>11521</t>
        </is>
      </c>
      <c r="C311" s="9" t="n">
        <v>1</v>
      </c>
      <c r="D311" s="9" t="n">
        <v>0</v>
      </c>
      <c r="E311" s="9" t="n">
        <v>0</v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3" t="n">
        <v>0</v>
      </c>
      <c r="K311" s="9" t="inlineStr">
        <is>
          <t>No</t>
        </is>
      </c>
      <c r="L311" s="9" t="n">
        <v>0</v>
      </c>
      <c r="M311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2" ht="139" customHeight="1">
      <c r="A312" s="9" t="inlineStr">
        <is>
          <t>21 Jun</t>
        </is>
      </c>
      <c r="B312" s="9" t="inlineStr">
        <is>
          <t>30199</t>
        </is>
      </c>
      <c r="C312" s="9" t="n">
        <v>5</v>
      </c>
      <c r="D312" s="9" t="n">
        <v>0</v>
      </c>
      <c r="E312" s="9" t="n">
        <v>0</v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3" t="n">
        <v>0</v>
      </c>
      <c r="K312" s="9" t="inlineStr">
        <is>
          <t>No</t>
        </is>
      </c>
      <c r="L312" s="9" t="n">
        <v>0</v>
      </c>
      <c r="M312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3" ht="139" customHeight="1">
      <c r="A313" s="9" t="inlineStr">
        <is>
          <t>21 Jun</t>
        </is>
      </c>
      <c r="B313" s="9" t="inlineStr">
        <is>
          <t>30490</t>
        </is>
      </c>
      <c r="C313" s="9" t="n">
        <v>25</v>
      </c>
      <c r="D313" s="9" t="n">
        <v>0</v>
      </c>
      <c r="E313" s="9" t="n">
        <v>0</v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3" t="n">
        <v>0</v>
      </c>
      <c r="K313" s="9" t="inlineStr">
        <is>
          <t>No</t>
        </is>
      </c>
      <c r="L313" s="9" t="n">
        <v>0</v>
      </c>
      <c r="M313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4" ht="139" customHeight="1">
      <c r="A314" s="9" t="inlineStr">
        <is>
          <t>21 Jun</t>
        </is>
      </c>
      <c r="B314" s="9" t="inlineStr">
        <is>
          <t>35002</t>
        </is>
      </c>
      <c r="C314" s="9" t="n">
        <v>5</v>
      </c>
      <c r="D314" s="9" t="n">
        <v>0</v>
      </c>
      <c r="E314" s="9" t="n">
        <v>0</v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3" t="n">
        <v>0</v>
      </c>
      <c r="K314" s="9" t="inlineStr">
        <is>
          <t>No</t>
        </is>
      </c>
      <c r="L314" s="9" t="n">
        <v>0</v>
      </c>
      <c r="M314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5" ht="139" customHeight="1">
      <c r="A315" s="9" t="inlineStr">
        <is>
          <t>21 Jun</t>
        </is>
      </c>
      <c r="B315" s="9" t="inlineStr">
        <is>
          <t>37040</t>
        </is>
      </c>
      <c r="C315" s="9" t="n">
        <v>5</v>
      </c>
      <c r="D315" s="9" t="n">
        <v>0</v>
      </c>
      <c r="E315" s="9" t="n">
        <v>0</v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3" t="n">
        <v>0</v>
      </c>
      <c r="K315" s="9" t="inlineStr">
        <is>
          <t>No</t>
        </is>
      </c>
      <c r="L315" s="9" t="n">
        <v>0</v>
      </c>
      <c r="M315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6" ht="139" customHeight="1">
      <c r="A316" s="9" t="inlineStr">
        <is>
          <t>21 Jun</t>
        </is>
      </c>
      <c r="B316" s="9" t="inlineStr">
        <is>
          <t>37973</t>
        </is>
      </c>
      <c r="C316" s="9" t="n">
        <v>1</v>
      </c>
      <c r="D316" s="9" t="n">
        <v>0</v>
      </c>
      <c r="E316" s="9" t="n">
        <v>0</v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3" t="n">
        <v>0</v>
      </c>
      <c r="K316" s="9" t="inlineStr">
        <is>
          <t>No</t>
        </is>
      </c>
      <c r="L316" s="9" t="n">
        <v>0</v>
      </c>
      <c r="M316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7" ht="139" customHeight="1">
      <c r="A317" s="9" t="inlineStr">
        <is>
          <t>21 Jun</t>
        </is>
      </c>
      <c r="B317" s="9" t="inlineStr">
        <is>
          <t>38608</t>
        </is>
      </c>
      <c r="C317" s="9" t="n">
        <v>1</v>
      </c>
      <c r="D317" s="9" t="n">
        <v>0</v>
      </c>
      <c r="E317" s="9" t="n">
        <v>0</v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3" t="n">
        <v>0</v>
      </c>
      <c r="K317" s="9" t="inlineStr">
        <is>
          <t>No</t>
        </is>
      </c>
      <c r="L317" s="9" t="n">
        <v>0</v>
      </c>
      <c r="M317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318" ht="139" customHeight="1">
      <c r="A318" s="9" t="inlineStr">
        <is>
          <t>21 Jun</t>
        </is>
      </c>
      <c r="B318" s="9" t="inlineStr">
        <is>
          <t>39597</t>
        </is>
      </c>
      <c r="C318" s="9" t="n">
        <v>1</v>
      </c>
      <c r="D318" s="9" t="n">
        <v>0</v>
      </c>
      <c r="E318" s="9" t="n">
        <v>0</v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-</t>
        </is>
      </c>
      <c r="J318" s="13" t="n">
        <v>0</v>
      </c>
      <c r="K318" s="9" t="inlineStr">
        <is>
          <t>No</t>
        </is>
      </c>
      <c r="L318" s="9" t="n">
        <v>0</v>
      </c>
      <c r="M318" s="14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ColWidth="9" defaultRowHeight="14.5"/>
  <cols>
    <col width="3" customWidth="1" min="1" max="1"/>
    <col width="22" customWidth="1" min="2" max="2"/>
    <col width="96" customWidth="1" min="3" max="3"/>
  </cols>
  <sheetData>
    <row r="1" ht="20" customHeight="1">
      <c r="B1" s="1" t="inlineStr">
        <is>
          <t>Methodology</t>
        </is>
      </c>
    </row>
    <row r="3" ht="34" customHeight="1">
      <c r="B3" s="2" t="inlineStr">
        <is>
          <t>Excluded</t>
        </is>
      </c>
      <c r="C3" s="3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2" t="inlineStr">
        <is>
          <t>No of Trips</t>
        </is>
      </c>
      <c r="C4" s="3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2" t="inlineStr">
        <is>
          <t>Total KMs Run on Kavach</t>
        </is>
      </c>
      <c r="C5" s="3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2" t="inlineStr">
        <is>
          <t>Availability (FS+OS)</t>
        </is>
      </c>
      <c r="C6" s="3" t="inlineStr">
        <is>
          <t>Packets in FS or OnSight ÷ all packets (all modes) × 100.</t>
        </is>
      </c>
    </row>
    <row r="7" ht="34" customHeight="1">
      <c r="B7" s="2" t="inlineStr">
        <is>
          <t>Total EB</t>
        </is>
      </c>
      <c r="C7" s="3" t="inlineStr">
        <is>
          <t>EB events in LReg brake status; one continuous hold = 1 (lost-packet gaps bridged, new event only at a real release). Split into Valid (trip locos) / Non-Valid.</t>
        </is>
      </c>
    </row>
    <row r="8" ht="34" customHeight="1">
      <c r="B8" s="2" t="inlineStr">
        <is>
          <t>Mode Degradation</t>
        </is>
      </c>
      <c r="C8" s="3" t="inlineStr">
        <is>
          <t>FS→Trip/LS/SR/Standby &amp; OS→SR/Standby (every transition). Excluded: start-of-mission/re-init SR, NonLeading→SR, FS→SR at 0 km/h, boundary-station re-init (917-reverse).</t>
        </is>
      </c>
    </row>
    <row r="9" ht="49" customHeight="1">
      <c r="B9" s="2" t="inlineStr">
        <is>
          <t>EB diagnostics</t>
        </is>
      </c>
      <c r="C9" s="3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2" t="inlineStr">
        <is>
          <t>Ratios</t>
        </is>
      </c>
      <c r="C10" s="3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2026-06-23T06:38:00Z</dcterms:created>
  <dcterms:modified xmlns:dcterms="http://purl.org/dc/terms/" xmlns:xsi="http://www.w3.org/2001/XMLSchema-instance" xsi:type="dcterms:W3CDTF">2026-06-30T11:07:04Z</dcterms:modified>
  <cp:lastModifiedBy>Vishwanath 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6A60CC6A387A4E10BC5BA4BC2E567F8F</vt:lpwstr>
  </property>
  <property name="KSOProductBuildVer" fmtid="{D5CDD505-2E9C-101B-9397-08002B2CF9AE}" pid="3">
    <vt:lpwstr xmlns:vt="http://schemas.openxmlformats.org/officeDocument/2006/docPropsVTypes">1033-11.2.0.11042</vt:lpwstr>
  </property>
</Properties>
</file>
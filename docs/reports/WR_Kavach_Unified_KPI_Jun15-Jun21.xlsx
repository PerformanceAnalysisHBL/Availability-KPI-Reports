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 KPI" sheetId="1" state="visible" r:id="rId1"/>
    <sheet xmlns:r="http://schemas.openxmlformats.org/officeDocument/2006/relationships" name="Daily Breakdown" sheetId="2" state="visible" r:id="rId2"/>
    <sheet xmlns:r="http://schemas.openxmlformats.org/officeDocument/2006/relationships" name="EB Detail" sheetId="3" state="visible" r:id="rId3"/>
    <sheet xmlns:r="http://schemas.openxmlformats.org/officeDocument/2006/relationships" name="KM Verification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"/>
    <numFmt numFmtId="166" formatCode="0.000"/>
    <numFmt numFmtId="167" formatCode="#,##0.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i val="1"/>
      <color rgb="00808080"/>
      <sz val="9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2" fontId="10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  <xf numFmtId="4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12" fillId="0" borderId="0" pivotButton="0" quotePrefix="0" xfId="0"/>
    <xf numFmtId="3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9" customWidth="1" min="10" max="10"/>
    <col width="19" customWidth="1" min="11" max="11"/>
    <col width="23" customWidth="1" min="12" max="12"/>
    <col width="29" customWidth="1" min="13" max="13"/>
    <col width="17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WR — Kavach Unified KPI</t>
        </is>
      </c>
    </row>
    <row r="2">
      <c r="A2" s="2" t="inlineStr">
        <is>
          <t>Period: Jun15 - Jun21 (custom)  ·  all locomotives  ·  one combined row</t>
        </is>
      </c>
    </row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34" customHeight="1">
      <c r="A5" s="4" t="inlineStr">
        <is>
          <t>Jun15 - Jun21 (custom)</t>
        </is>
      </c>
      <c r="B5" s="4" t="inlineStr">
        <is>
          <t>WR</t>
        </is>
      </c>
      <c r="C5" s="4" t="inlineStr">
        <is>
          <t>24000_ADI to 24051_BRC</t>
        </is>
      </c>
      <c r="D5" s="5">
        <f>'Daily Breakdown'!C279</f>
        <v/>
      </c>
      <c r="E5" s="6">
        <f>'Daily Breakdown'!D279</f>
        <v/>
      </c>
      <c r="F5" s="7">
        <f>'Daily Breakdown'!G279</f>
        <v/>
      </c>
      <c r="G5" s="5">
        <f>'Daily Breakdown'!H279</f>
        <v/>
      </c>
      <c r="H5" s="8">
        <f>'Daily Breakdown'!I279</f>
        <v/>
      </c>
      <c r="I5" s="8">
        <f>'Daily Breakdown'!J279</f>
        <v/>
      </c>
      <c r="J5" s="46">
        <f>IFERROR(G5/D5,0)</f>
        <v/>
      </c>
      <c r="K5" s="47">
        <f>IFERROR(G5/E5,0)</f>
        <v/>
      </c>
      <c r="L5" s="48">
        <f>IFERROR(G5/E5*100,0)</f>
        <v/>
      </c>
      <c r="M5" s="47">
        <f>IFERROR(G5/(D5*E5/1000),0)</f>
        <v/>
      </c>
      <c r="N5" s="5">
        <f>'Daily Breakdown'!K279</f>
        <v/>
      </c>
      <c r="O5" s="46">
        <f>IFERROR(N5/D5,0)</f>
        <v/>
      </c>
      <c r="P5" s="47">
        <f>IFERROR(N5/E5,0)</f>
        <v/>
      </c>
      <c r="Q5" s="47">
        <f>IFERROR(N5/(D5*E5/100),0)</f>
        <v/>
      </c>
      <c r="R5" s="48">
        <f>IFERROR(N5/E5*100,0)</f>
        <v/>
      </c>
      <c r="S5" s="8" t="n">
        <v>19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4" customWidth="1" min="3" max="3"/>
    <col width="34" customWidth="1" min="4" max="4"/>
    <col width="34" customWidth="1" min="5" max="5"/>
    <col width="34" customWidth="1" min="6" max="6"/>
    <col width="29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3" t="inlineStr">
        <is>
          <t>Daily Breakdown — by day and locomotive (all locos)</t>
        </is>
      </c>
    </row>
    <row r="2">
      <c r="A2" s="37" t="inlineStr">
        <is>
          <t>Availability base excludes locos with FS+OS pkts = 0 (they are still listed; only the Total-pkts availability base drops them).</t>
        </is>
      </c>
    </row>
    <row r="3">
      <c r="A3" s="14" t="inlineStr">
        <is>
          <t>Date</t>
        </is>
      </c>
      <c r="B3" s="14" t="inlineStr">
        <is>
          <t>Loco ID</t>
        </is>
      </c>
      <c r="C3" s="14" t="inlineStr">
        <is>
          <t>No of Trips</t>
        </is>
      </c>
      <c r="D3" s="14" t="inlineStr">
        <is>
          <t>Total KMs</t>
        </is>
      </c>
      <c r="E3" s="14" t="inlineStr">
        <is>
          <t>FS+OS pkts</t>
        </is>
      </c>
      <c r="F3" s="14" t="inlineStr">
        <is>
          <t>Total pkts</t>
        </is>
      </c>
      <c r="G3" s="14" t="inlineStr">
        <is>
          <t>Availability (FS+OS)</t>
        </is>
      </c>
      <c r="H3" s="14" t="inlineStr">
        <is>
          <t>Total EB</t>
        </is>
      </c>
      <c r="I3" s="14" t="inlineStr">
        <is>
          <t>EB (Valid)</t>
        </is>
      </c>
      <c r="J3" s="14" t="inlineStr">
        <is>
          <t>EB (Non-Valid)</t>
        </is>
      </c>
      <c r="K3" s="14" t="inlineStr">
        <is>
          <t>Mode Degradation</t>
        </is>
      </c>
    </row>
    <row r="4">
      <c r="A4" s="15" t="inlineStr">
        <is>
          <t>15 Jun</t>
        </is>
      </c>
      <c r="B4" s="15" t="inlineStr">
        <is>
          <t>30533</t>
        </is>
      </c>
      <c r="C4" s="16" t="n">
        <v>1</v>
      </c>
      <c r="D4" s="49" t="n">
        <v>93.31999999999999</v>
      </c>
      <c r="E4" s="18" t="n">
        <v>9062</v>
      </c>
      <c r="F4" s="18" t="n">
        <v>9378</v>
      </c>
      <c r="G4" s="19">
        <f>IF(F4=0,0,E4/F4*100)</f>
        <v/>
      </c>
      <c r="H4" s="16" t="n">
        <v>0</v>
      </c>
      <c r="I4" s="16" t="n">
        <v>0</v>
      </c>
      <c r="J4" s="16" t="n">
        <v>0</v>
      </c>
      <c r="K4" s="16" t="n">
        <v>4</v>
      </c>
    </row>
    <row r="5">
      <c r="A5" s="15" t="inlineStr">
        <is>
          <t>15 Jun</t>
        </is>
      </c>
      <c r="B5" s="15" t="inlineStr">
        <is>
          <t>30791</t>
        </is>
      </c>
      <c r="C5" s="16" t="n">
        <v>1</v>
      </c>
      <c r="D5" s="49" t="n">
        <v>93.91</v>
      </c>
      <c r="E5" s="18" t="n">
        <v>5664</v>
      </c>
      <c r="F5" s="18" t="n">
        <v>6816</v>
      </c>
      <c r="G5" s="19">
        <f>IF(F5=0,0,E5/F5*100)</f>
        <v/>
      </c>
      <c r="H5" s="16" t="n">
        <v>0</v>
      </c>
      <c r="I5" s="16" t="n">
        <v>0</v>
      </c>
      <c r="J5" s="16" t="n">
        <v>0</v>
      </c>
      <c r="K5" s="16" t="n">
        <v>4</v>
      </c>
    </row>
    <row r="6">
      <c r="A6" s="15" t="inlineStr">
        <is>
          <t>15 Jun</t>
        </is>
      </c>
      <c r="B6" s="15" t="inlineStr">
        <is>
          <t>37955</t>
        </is>
      </c>
      <c r="C6" s="16" t="n">
        <v>1</v>
      </c>
      <c r="D6" s="49" t="n">
        <v>93.31999999999999</v>
      </c>
      <c r="E6" s="18" t="n">
        <v>6281</v>
      </c>
      <c r="F6" s="18" t="n">
        <v>6421</v>
      </c>
      <c r="G6" s="19">
        <f>IF(F6=0,0,E6/F6*100)</f>
        <v/>
      </c>
      <c r="H6" s="16" t="n">
        <v>0</v>
      </c>
      <c r="I6" s="16" t="n">
        <v>0</v>
      </c>
      <c r="J6" s="16" t="n">
        <v>0</v>
      </c>
      <c r="K6" s="16" t="n">
        <v>1</v>
      </c>
    </row>
    <row r="7">
      <c r="A7" s="15" t="inlineStr">
        <is>
          <t>15 Jun</t>
        </is>
      </c>
      <c r="B7" s="15" t="inlineStr">
        <is>
          <t>37339</t>
        </is>
      </c>
      <c r="C7" s="16" t="n">
        <v>1</v>
      </c>
      <c r="D7" s="49" t="n">
        <v>90.56</v>
      </c>
      <c r="E7" s="18" t="n">
        <v>4831</v>
      </c>
      <c r="F7" s="18" t="n">
        <v>6118</v>
      </c>
      <c r="G7" s="19">
        <f>IF(F7=0,0,E7/F7*100)</f>
        <v/>
      </c>
      <c r="H7" s="16" t="n">
        <v>0</v>
      </c>
      <c r="I7" s="16" t="n">
        <v>0</v>
      </c>
      <c r="J7" s="16" t="n">
        <v>0</v>
      </c>
      <c r="K7" s="16" t="n">
        <v>4</v>
      </c>
    </row>
    <row r="8">
      <c r="A8" s="15" t="inlineStr">
        <is>
          <t>15 Jun</t>
        </is>
      </c>
      <c r="B8" s="15" t="inlineStr">
        <is>
          <t>39236</t>
        </is>
      </c>
      <c r="C8" s="16" t="n">
        <v>1</v>
      </c>
      <c r="D8" s="49" t="n">
        <v>93.91</v>
      </c>
      <c r="E8" s="18" t="n">
        <v>5508</v>
      </c>
      <c r="F8" s="18" t="n">
        <v>5967</v>
      </c>
      <c r="G8" s="19">
        <f>IF(F8=0,0,E8/F8*100)</f>
        <v/>
      </c>
      <c r="H8" s="16" t="n">
        <v>0</v>
      </c>
      <c r="I8" s="16" t="n">
        <v>0</v>
      </c>
      <c r="J8" s="16" t="n">
        <v>0</v>
      </c>
      <c r="K8" s="16" t="n">
        <v>1</v>
      </c>
    </row>
    <row r="9">
      <c r="A9" s="15" t="inlineStr">
        <is>
          <t>15 Jun</t>
        </is>
      </c>
      <c r="B9" s="15" t="inlineStr">
        <is>
          <t>37577</t>
        </is>
      </c>
      <c r="C9" s="16" t="n">
        <v>1</v>
      </c>
      <c r="D9" s="49" t="n">
        <v>93.86</v>
      </c>
      <c r="E9" s="18" t="n">
        <v>4797</v>
      </c>
      <c r="F9" s="18" t="n">
        <v>5858</v>
      </c>
      <c r="G9" s="19">
        <f>IF(F9=0,0,E9/F9*100)</f>
        <v/>
      </c>
      <c r="H9" s="16" t="n">
        <v>4</v>
      </c>
      <c r="I9" s="16" t="n">
        <v>4</v>
      </c>
      <c r="J9" s="16" t="n">
        <v>0</v>
      </c>
      <c r="K9" s="16" t="n">
        <v>6</v>
      </c>
    </row>
    <row r="10">
      <c r="A10" s="15" t="inlineStr">
        <is>
          <t>15 Jun</t>
        </is>
      </c>
      <c r="B10" s="15" t="inlineStr">
        <is>
          <t>39131</t>
        </is>
      </c>
      <c r="C10" s="16" t="n">
        <v>1</v>
      </c>
      <c r="D10" s="49" t="n">
        <v>93.89</v>
      </c>
      <c r="E10" s="18" t="n">
        <v>4697</v>
      </c>
      <c r="F10" s="18" t="n">
        <v>5772</v>
      </c>
      <c r="G10" s="19">
        <f>IF(F10=0,0,E10/F10*100)</f>
        <v/>
      </c>
      <c r="H10" s="16" t="n">
        <v>0</v>
      </c>
      <c r="I10" s="16" t="n">
        <v>0</v>
      </c>
      <c r="J10" s="16" t="n">
        <v>0</v>
      </c>
      <c r="K10" s="16" t="n">
        <v>3</v>
      </c>
    </row>
    <row r="11">
      <c r="A11" s="15" t="inlineStr">
        <is>
          <t>15 Jun</t>
        </is>
      </c>
      <c r="B11" s="15" t="inlineStr">
        <is>
          <t>37884</t>
        </is>
      </c>
      <c r="C11" s="16" t="n">
        <v>1</v>
      </c>
      <c r="D11" s="49" t="n">
        <v>93.89</v>
      </c>
      <c r="E11" s="18" t="n">
        <v>4767</v>
      </c>
      <c r="F11" s="18" t="n">
        <v>5507</v>
      </c>
      <c r="G11" s="19">
        <f>IF(F11=0,0,E11/F11*100)</f>
        <v/>
      </c>
      <c r="H11" s="16" t="n">
        <v>0</v>
      </c>
      <c r="I11" s="16" t="n">
        <v>0</v>
      </c>
      <c r="J11" s="16" t="n">
        <v>0</v>
      </c>
      <c r="K11" s="16" t="n">
        <v>2</v>
      </c>
    </row>
    <row r="12">
      <c r="A12" s="15" t="inlineStr">
        <is>
          <t>15 Jun</t>
        </is>
      </c>
      <c r="B12" s="15" t="inlineStr">
        <is>
          <t>37277</t>
        </is>
      </c>
      <c r="C12" s="16" t="n">
        <v>1</v>
      </c>
      <c r="D12" s="49" t="n">
        <v>93.88</v>
      </c>
      <c r="E12" s="18" t="n">
        <v>4585</v>
      </c>
      <c r="F12" s="18" t="n">
        <v>5377</v>
      </c>
      <c r="G12" s="19">
        <f>IF(F12=0,0,E12/F12*100)</f>
        <v/>
      </c>
      <c r="H12" s="16" t="n">
        <v>0</v>
      </c>
      <c r="I12" s="16" t="n">
        <v>0</v>
      </c>
      <c r="J12" s="16" t="n">
        <v>0</v>
      </c>
      <c r="K12" s="16" t="n">
        <v>2</v>
      </c>
    </row>
    <row r="13">
      <c r="A13" s="15" t="inlineStr">
        <is>
          <t>15 Jun</t>
        </is>
      </c>
      <c r="B13" s="15" t="inlineStr">
        <is>
          <t>37566</t>
        </is>
      </c>
      <c r="C13" s="16" t="n">
        <v>1</v>
      </c>
      <c r="D13" s="49" t="n">
        <v>93.87</v>
      </c>
      <c r="E13" s="18" t="n">
        <v>4229</v>
      </c>
      <c r="F13" s="18" t="n">
        <v>4931</v>
      </c>
      <c r="G13" s="19">
        <f>IF(F13=0,0,E13/F13*100)</f>
        <v/>
      </c>
      <c r="H13" s="16" t="n">
        <v>0</v>
      </c>
      <c r="I13" s="16" t="n">
        <v>0</v>
      </c>
      <c r="J13" s="16" t="n">
        <v>0</v>
      </c>
      <c r="K13" s="16" t="n">
        <v>3</v>
      </c>
    </row>
    <row r="14">
      <c r="A14" s="15" t="inlineStr">
        <is>
          <t>15 Jun</t>
        </is>
      </c>
      <c r="B14" s="15" t="inlineStr">
        <is>
          <t>37453</t>
        </is>
      </c>
      <c r="C14" s="16" t="n">
        <v>1</v>
      </c>
      <c r="D14" s="49" t="n">
        <v>93.91</v>
      </c>
      <c r="E14" s="18" t="n">
        <v>4002</v>
      </c>
      <c r="F14" s="18" t="n">
        <v>4834</v>
      </c>
      <c r="G14" s="19">
        <f>IF(F14=0,0,E14/F14*100)</f>
        <v/>
      </c>
      <c r="H14" s="16" t="n">
        <v>0</v>
      </c>
      <c r="I14" s="16" t="n">
        <v>0</v>
      </c>
      <c r="J14" s="16" t="n">
        <v>0</v>
      </c>
      <c r="K14" s="16" t="n">
        <v>3</v>
      </c>
    </row>
    <row r="15">
      <c r="A15" s="15" t="inlineStr">
        <is>
          <t>15 Jun</t>
        </is>
      </c>
      <c r="B15" s="15" t="inlineStr">
        <is>
          <t>30823</t>
        </is>
      </c>
      <c r="C15" s="16" t="n">
        <v>1</v>
      </c>
      <c r="D15" s="49" t="n">
        <v>93.89</v>
      </c>
      <c r="E15" s="18" t="n">
        <v>4125</v>
      </c>
      <c r="F15" s="18" t="n">
        <v>4692</v>
      </c>
      <c r="G15" s="19">
        <f>IF(F15=0,0,E15/F15*100)</f>
        <v/>
      </c>
      <c r="H15" s="16" t="n">
        <v>0</v>
      </c>
      <c r="I15" s="16" t="n">
        <v>0</v>
      </c>
      <c r="J15" s="16" t="n">
        <v>0</v>
      </c>
      <c r="K15" s="16" t="n">
        <v>2</v>
      </c>
    </row>
    <row r="16">
      <c r="A16" s="15" t="inlineStr">
        <is>
          <t>15 Jun</t>
        </is>
      </c>
      <c r="B16" s="15" t="inlineStr">
        <is>
          <t>37478</t>
        </is>
      </c>
      <c r="C16" s="16" t="n">
        <v>1</v>
      </c>
      <c r="D16" s="49" t="n">
        <v>91.7</v>
      </c>
      <c r="E16" s="18" t="n">
        <v>4332</v>
      </c>
      <c r="F16" s="18" t="n">
        <v>4427</v>
      </c>
      <c r="G16" s="19">
        <f>IF(F16=0,0,E16/F16*100)</f>
        <v/>
      </c>
      <c r="H16" s="16" t="n">
        <v>0</v>
      </c>
      <c r="I16" s="16" t="n">
        <v>0</v>
      </c>
      <c r="J16" s="16" t="n">
        <v>0</v>
      </c>
      <c r="K16" s="16" t="n">
        <v>6</v>
      </c>
    </row>
    <row r="17">
      <c r="A17" s="15" t="inlineStr">
        <is>
          <t>15 Jun</t>
        </is>
      </c>
      <c r="B17" s="15" t="inlineStr">
        <is>
          <t>30472</t>
        </is>
      </c>
      <c r="C17" s="16" t="n">
        <v>1</v>
      </c>
      <c r="D17" s="49" t="n">
        <v>93.90000000000001</v>
      </c>
      <c r="E17" s="18" t="n">
        <v>3725</v>
      </c>
      <c r="F17" s="18" t="n">
        <v>4422</v>
      </c>
      <c r="G17" s="19">
        <f>IF(F17=0,0,E17/F17*100)</f>
        <v/>
      </c>
      <c r="H17" s="16" t="n">
        <v>0</v>
      </c>
      <c r="I17" s="16" t="n">
        <v>0</v>
      </c>
      <c r="J17" s="16" t="n">
        <v>0</v>
      </c>
      <c r="K17" s="16" t="n">
        <v>2</v>
      </c>
    </row>
    <row r="18">
      <c r="A18" s="15" t="inlineStr">
        <is>
          <t>15 Jun</t>
        </is>
      </c>
      <c r="B18" s="15" t="inlineStr">
        <is>
          <t>30330</t>
        </is>
      </c>
      <c r="C18" s="16" t="n">
        <v>1</v>
      </c>
      <c r="D18" s="49" t="n">
        <v>93.89</v>
      </c>
      <c r="E18" s="18" t="n">
        <v>3404</v>
      </c>
      <c r="F18" s="18" t="n">
        <v>4044</v>
      </c>
      <c r="G18" s="19">
        <f>IF(F18=0,0,E18/F18*100)</f>
        <v/>
      </c>
      <c r="H18" s="16" t="n">
        <v>0</v>
      </c>
      <c r="I18" s="16" t="n">
        <v>0</v>
      </c>
      <c r="J18" s="16" t="n">
        <v>0</v>
      </c>
      <c r="K18" s="16" t="n">
        <v>2</v>
      </c>
    </row>
    <row r="19">
      <c r="A19" s="15" t="inlineStr">
        <is>
          <t>15 Jun</t>
        </is>
      </c>
      <c r="B19" s="15" t="inlineStr">
        <is>
          <t>37830</t>
        </is>
      </c>
      <c r="C19" s="16" t="n">
        <v>1</v>
      </c>
      <c r="D19" s="49" t="n">
        <v>93.90000000000001</v>
      </c>
      <c r="E19" s="18" t="n">
        <v>3192</v>
      </c>
      <c r="F19" s="18" t="n">
        <v>3725</v>
      </c>
      <c r="G19" s="19">
        <f>IF(F19=0,0,E19/F19*100)</f>
        <v/>
      </c>
      <c r="H19" s="16" t="n">
        <v>0</v>
      </c>
      <c r="I19" s="16" t="n">
        <v>0</v>
      </c>
      <c r="J19" s="16" t="n">
        <v>0</v>
      </c>
      <c r="K19" s="16" t="n">
        <v>3</v>
      </c>
    </row>
    <row r="20">
      <c r="A20" s="15" t="inlineStr">
        <is>
          <t>15 Jun</t>
        </is>
      </c>
      <c r="B20" s="15" t="inlineStr">
        <is>
          <t>39308</t>
        </is>
      </c>
      <c r="C20" s="16" t="n">
        <v>0</v>
      </c>
      <c r="D20" s="49" t="n">
        <v>41.58</v>
      </c>
      <c r="E20" s="18" t="n">
        <v>2977</v>
      </c>
      <c r="F20" s="18" t="n">
        <v>4822</v>
      </c>
      <c r="G20" s="19">
        <f>IF(F20=0,0,E20/F20*100)</f>
        <v/>
      </c>
      <c r="H20" s="16" t="n">
        <v>0</v>
      </c>
      <c r="I20" s="16" t="n">
        <v>0</v>
      </c>
      <c r="J20" s="16" t="n">
        <v>0</v>
      </c>
      <c r="K20" s="16" t="n">
        <v>2</v>
      </c>
    </row>
    <row r="21">
      <c r="A21" s="15" t="inlineStr">
        <is>
          <t>15 Jun</t>
        </is>
      </c>
      <c r="B21" s="15" t="inlineStr">
        <is>
          <t>30470</t>
        </is>
      </c>
      <c r="C21" s="16" t="n">
        <v>0</v>
      </c>
      <c r="D21" s="49" t="n">
        <v>82.78</v>
      </c>
      <c r="E21" s="18" t="n">
        <v>3896</v>
      </c>
      <c r="F21" s="18" t="n">
        <v>3999</v>
      </c>
      <c r="G21" s="19">
        <f>IF(F21=0,0,E21/F21*100)</f>
        <v/>
      </c>
      <c r="H21" s="16" t="n">
        <v>0</v>
      </c>
      <c r="I21" s="16" t="n">
        <v>0</v>
      </c>
      <c r="J21" s="16" t="n">
        <v>0</v>
      </c>
      <c r="K21" s="16" t="n">
        <v>1</v>
      </c>
    </row>
    <row r="22">
      <c r="A22" s="15" t="inlineStr">
        <is>
          <t>15 Jun</t>
        </is>
      </c>
      <c r="B22" s="15" t="inlineStr">
        <is>
          <t>37684</t>
        </is>
      </c>
      <c r="C22" s="16" t="n">
        <v>0</v>
      </c>
      <c r="D22" s="49" t="n">
        <v>74.2</v>
      </c>
      <c r="E22" s="18" t="n">
        <v>3893</v>
      </c>
      <c r="F22" s="18" t="n">
        <v>3971</v>
      </c>
      <c r="G22" s="19">
        <f>IF(F22=0,0,E22/F22*100)</f>
        <v/>
      </c>
      <c r="H22" s="16" t="n">
        <v>0</v>
      </c>
      <c r="I22" s="16" t="n">
        <v>0</v>
      </c>
      <c r="J22" s="16" t="n">
        <v>0</v>
      </c>
      <c r="K22" s="16" t="n">
        <v>1</v>
      </c>
    </row>
    <row r="23">
      <c r="A23" s="15" t="inlineStr">
        <is>
          <t>15 Jun</t>
        </is>
      </c>
      <c r="B23" s="15" t="inlineStr">
        <is>
          <t>37956</t>
        </is>
      </c>
      <c r="C23" s="16" t="n">
        <v>0</v>
      </c>
      <c r="D23" s="49" t="n">
        <v>48.56</v>
      </c>
      <c r="E23" s="18" t="n">
        <v>2038</v>
      </c>
      <c r="F23" s="18" t="n">
        <v>2824</v>
      </c>
      <c r="G23" s="19">
        <f>IF(F23=0,0,E23/F23*100)</f>
        <v/>
      </c>
      <c r="H23" s="16" t="n">
        <v>0</v>
      </c>
      <c r="I23" s="16" t="n">
        <v>0</v>
      </c>
      <c r="J23" s="16" t="n">
        <v>0</v>
      </c>
      <c r="K23" s="16" t="n">
        <v>1</v>
      </c>
    </row>
    <row r="24">
      <c r="A24" s="15" t="inlineStr">
        <is>
          <t>15 Jun</t>
        </is>
      </c>
      <c r="B24" s="15" t="inlineStr">
        <is>
          <t>39014</t>
        </is>
      </c>
      <c r="C24" s="16" t="n">
        <v>0</v>
      </c>
      <c r="D24" s="49" t="n">
        <v>36.82</v>
      </c>
      <c r="E24" s="18" t="n">
        <v>1337</v>
      </c>
      <c r="F24" s="18" t="n">
        <v>2653</v>
      </c>
      <c r="G24" s="19">
        <f>IF(F24=0,0,E24/F24*100)</f>
        <v/>
      </c>
      <c r="H24" s="16" t="n">
        <v>0</v>
      </c>
      <c r="I24" s="16" t="n">
        <v>0</v>
      </c>
      <c r="J24" s="16" t="n">
        <v>0</v>
      </c>
      <c r="K24" s="16" t="n">
        <v>1</v>
      </c>
    </row>
    <row r="25">
      <c r="A25" s="15" t="inlineStr">
        <is>
          <t>15 Jun</t>
        </is>
      </c>
      <c r="B25" s="15" t="inlineStr">
        <is>
          <t>30635</t>
        </is>
      </c>
      <c r="C25" s="16" t="n">
        <v>0</v>
      </c>
      <c r="D25" s="49" t="n">
        <v>36.71</v>
      </c>
      <c r="E25" s="18" t="n">
        <v>988</v>
      </c>
      <c r="F25" s="18" t="n">
        <v>2041</v>
      </c>
      <c r="G25" s="19">
        <f>IF(F25=0,0,E25/F25*100)</f>
        <v/>
      </c>
      <c r="H25" s="16" t="n">
        <v>0</v>
      </c>
      <c r="I25" s="16" t="n">
        <v>0</v>
      </c>
      <c r="J25" s="16" t="n">
        <v>0</v>
      </c>
      <c r="K25" s="16" t="n">
        <v>1</v>
      </c>
    </row>
    <row r="26">
      <c r="A26" s="15" t="inlineStr">
        <is>
          <t>15 Jun</t>
        </is>
      </c>
      <c r="B26" s="15" t="inlineStr">
        <is>
          <t>37286</t>
        </is>
      </c>
      <c r="C26" s="16" t="n">
        <v>0</v>
      </c>
      <c r="D26" s="49" t="n">
        <v>33.73</v>
      </c>
      <c r="E26" s="18" t="n">
        <v>949</v>
      </c>
      <c r="F26" s="18" t="n">
        <v>1901</v>
      </c>
      <c r="G26" s="19">
        <f>IF(F26=0,0,E26/F26*100)</f>
        <v/>
      </c>
      <c r="H26" s="16" t="n">
        <v>0</v>
      </c>
      <c r="I26" s="16" t="n">
        <v>0</v>
      </c>
      <c r="J26" s="16" t="n">
        <v>0</v>
      </c>
      <c r="K26" s="16" t="n">
        <v>1</v>
      </c>
    </row>
    <row r="27">
      <c r="A27" s="15" t="inlineStr">
        <is>
          <t>15 Jun</t>
        </is>
      </c>
      <c r="B27" s="15" t="inlineStr">
        <is>
          <t>37515</t>
        </is>
      </c>
      <c r="C27" s="16" t="n">
        <v>0</v>
      </c>
      <c r="D27" s="49" t="n">
        <v>37.85</v>
      </c>
      <c r="E27" s="18" t="n">
        <v>1114</v>
      </c>
      <c r="F27" s="18" t="n">
        <v>1821</v>
      </c>
      <c r="G27" s="19">
        <f>IF(F27=0,0,E27/F27*100)</f>
        <v/>
      </c>
      <c r="H27" s="16" t="n">
        <v>0</v>
      </c>
      <c r="I27" s="16" t="n">
        <v>0</v>
      </c>
      <c r="J27" s="16" t="n">
        <v>0</v>
      </c>
      <c r="K27" s="16" t="n">
        <v>1</v>
      </c>
    </row>
    <row r="28">
      <c r="A28" s="15" t="inlineStr">
        <is>
          <t>15 Jun</t>
        </is>
      </c>
      <c r="B28" s="15" t="inlineStr">
        <is>
          <t>39029</t>
        </is>
      </c>
      <c r="C28" s="16" t="n">
        <v>0</v>
      </c>
      <c r="D28" s="49" t="n">
        <v>39.55</v>
      </c>
      <c r="E28" s="18" t="n">
        <v>817</v>
      </c>
      <c r="F28" s="18" t="n">
        <v>1702</v>
      </c>
      <c r="G28" s="19">
        <f>IF(F28=0,0,E28/F28*100)</f>
        <v/>
      </c>
      <c r="H28" s="16" t="n">
        <v>0</v>
      </c>
      <c r="I28" s="16" t="n">
        <v>0</v>
      </c>
      <c r="J28" s="16" t="n">
        <v>0</v>
      </c>
      <c r="K28" s="16" t="n">
        <v>1</v>
      </c>
    </row>
    <row r="29">
      <c r="A29" s="15" t="inlineStr">
        <is>
          <t>15 Jun</t>
        </is>
      </c>
      <c r="B29" s="15" t="inlineStr">
        <is>
          <t>37471</t>
        </is>
      </c>
      <c r="C29" s="16" t="n">
        <v>0</v>
      </c>
      <c r="D29" s="49" t="n">
        <v>39.2</v>
      </c>
      <c r="E29" s="18" t="n">
        <v>863</v>
      </c>
      <c r="F29" s="18" t="n">
        <v>1695</v>
      </c>
      <c r="G29" s="19">
        <f>IF(F29=0,0,E29/F29*100)</f>
        <v/>
      </c>
      <c r="H29" s="16" t="n">
        <v>0</v>
      </c>
      <c r="I29" s="16" t="n">
        <v>0</v>
      </c>
      <c r="J29" s="16" t="n">
        <v>0</v>
      </c>
      <c r="K29" s="16" t="n">
        <v>1</v>
      </c>
    </row>
    <row r="30">
      <c r="A30" s="15" t="inlineStr">
        <is>
          <t>15 Jun</t>
        </is>
      </c>
      <c r="B30" s="15" t="inlineStr">
        <is>
          <t>30415</t>
        </is>
      </c>
      <c r="C30" s="16" t="n">
        <v>0</v>
      </c>
      <c r="D30" s="49" t="n">
        <v>38.35</v>
      </c>
      <c r="E30" s="18" t="n">
        <v>784</v>
      </c>
      <c r="F30" s="18" t="n">
        <v>1665</v>
      </c>
      <c r="G30" s="19">
        <f>IF(F30=0,0,E30/F30*100)</f>
        <v/>
      </c>
      <c r="H30" s="16" t="n">
        <v>0</v>
      </c>
      <c r="I30" s="16" t="n">
        <v>0</v>
      </c>
      <c r="J30" s="16" t="n">
        <v>0</v>
      </c>
      <c r="K30" s="16" t="n">
        <v>3</v>
      </c>
    </row>
    <row r="31">
      <c r="A31" s="15" t="inlineStr">
        <is>
          <t>15 Jun</t>
        </is>
      </c>
      <c r="B31" s="15" t="inlineStr">
        <is>
          <t>37920</t>
        </is>
      </c>
      <c r="C31" s="16" t="n">
        <v>0</v>
      </c>
      <c r="D31" s="49" t="n">
        <v>44.66</v>
      </c>
      <c r="E31" s="18" t="n">
        <v>0</v>
      </c>
      <c r="F31" s="18" t="n">
        <v>1664</v>
      </c>
      <c r="G31" s="19">
        <f>IF(F31=0,0,E31/F31*100)</f>
        <v/>
      </c>
      <c r="H31" s="16" t="n">
        <v>0</v>
      </c>
      <c r="I31" s="16" t="n">
        <v>0</v>
      </c>
      <c r="J31" s="16" t="n">
        <v>0</v>
      </c>
      <c r="K31" s="16" t="n">
        <v>0</v>
      </c>
    </row>
    <row r="32">
      <c r="A32" s="15" t="inlineStr">
        <is>
          <t>15 Jun</t>
        </is>
      </c>
      <c r="B32" s="15" t="inlineStr">
        <is>
          <t>39030</t>
        </is>
      </c>
      <c r="C32" s="16" t="n">
        <v>0</v>
      </c>
      <c r="D32" s="49" t="n">
        <v>36.45</v>
      </c>
      <c r="E32" s="18" t="n">
        <v>799</v>
      </c>
      <c r="F32" s="18" t="n">
        <v>1576</v>
      </c>
      <c r="G32" s="19">
        <f>IF(F32=0,0,E32/F32*100)</f>
        <v/>
      </c>
      <c r="H32" s="16" t="n">
        <v>0</v>
      </c>
      <c r="I32" s="16" t="n">
        <v>0</v>
      </c>
      <c r="J32" s="16" t="n">
        <v>0</v>
      </c>
      <c r="K32" s="16" t="n">
        <v>1</v>
      </c>
    </row>
    <row r="33">
      <c r="A33" s="15" t="inlineStr">
        <is>
          <t>15 Jun</t>
        </is>
      </c>
      <c r="B33" s="15" t="inlineStr">
        <is>
          <t>30507</t>
        </is>
      </c>
      <c r="C33" s="16" t="n">
        <v>0</v>
      </c>
      <c r="D33" s="49" t="n">
        <v>40.36</v>
      </c>
      <c r="E33" s="18" t="n">
        <v>888</v>
      </c>
      <c r="F33" s="18" t="n">
        <v>1177</v>
      </c>
      <c r="G33" s="19">
        <f>IF(F33=0,0,E33/F33*100)</f>
        <v/>
      </c>
      <c r="H33" s="16" t="n">
        <v>0</v>
      </c>
      <c r="I33" s="16" t="n">
        <v>0</v>
      </c>
      <c r="J33" s="16" t="n">
        <v>0</v>
      </c>
      <c r="K33" s="16" t="n">
        <v>1</v>
      </c>
    </row>
    <row r="34">
      <c r="A34" s="15" t="inlineStr">
        <is>
          <t>15 Jun</t>
        </is>
      </c>
      <c r="B34" s="15" t="inlineStr">
        <is>
          <t>39260</t>
        </is>
      </c>
      <c r="C34" s="16" t="n">
        <v>0</v>
      </c>
      <c r="D34" s="49" t="n">
        <v>36.35</v>
      </c>
      <c r="E34" s="18" t="n">
        <v>682</v>
      </c>
      <c r="F34" s="18" t="n">
        <v>1060</v>
      </c>
      <c r="G34" s="19">
        <f>IF(F34=0,0,E34/F34*100)</f>
        <v/>
      </c>
      <c r="H34" s="16" t="n">
        <v>0</v>
      </c>
      <c r="I34" s="16" t="n">
        <v>0</v>
      </c>
      <c r="J34" s="16" t="n">
        <v>0</v>
      </c>
      <c r="K34" s="16" t="n">
        <v>0</v>
      </c>
    </row>
    <row r="35">
      <c r="A35" s="15" t="inlineStr">
        <is>
          <t>15 Jun</t>
        </is>
      </c>
      <c r="B35" s="15" t="inlineStr">
        <is>
          <t>37091</t>
        </is>
      </c>
      <c r="C35" s="16" t="n">
        <v>0</v>
      </c>
      <c r="D35" s="49" t="n">
        <v>36.71</v>
      </c>
      <c r="E35" s="18" t="n">
        <v>590</v>
      </c>
      <c r="F35" s="18" t="n">
        <v>1000</v>
      </c>
      <c r="G35" s="19">
        <f>IF(F35=0,0,E35/F35*100)</f>
        <v/>
      </c>
      <c r="H35" s="16" t="n">
        <v>0</v>
      </c>
      <c r="I35" s="16" t="n">
        <v>0</v>
      </c>
      <c r="J35" s="16" t="n">
        <v>0</v>
      </c>
      <c r="K35" s="16" t="n">
        <v>0</v>
      </c>
    </row>
    <row r="36">
      <c r="A36" s="15" t="inlineStr">
        <is>
          <t>15 Jun</t>
        </is>
      </c>
      <c r="B36" s="15" t="inlineStr">
        <is>
          <t>39235</t>
        </is>
      </c>
      <c r="C36" s="16" t="n">
        <v>0</v>
      </c>
      <c r="D36" s="49" t="n">
        <v>0.82</v>
      </c>
      <c r="E36" s="18" t="n">
        <v>468</v>
      </c>
      <c r="F36" s="18" t="n">
        <v>471</v>
      </c>
      <c r="G36" s="19">
        <f>IF(F36=0,0,E36/F36*100)</f>
        <v/>
      </c>
      <c r="H36" s="16" t="n">
        <v>0</v>
      </c>
      <c r="I36" s="16" t="n">
        <v>0</v>
      </c>
      <c r="J36" s="16" t="n">
        <v>0</v>
      </c>
      <c r="K36" s="16" t="n">
        <v>0</v>
      </c>
    </row>
    <row r="37">
      <c r="A37" s="15" t="inlineStr">
        <is>
          <t>15 Jun</t>
        </is>
      </c>
      <c r="B37" s="15" t="inlineStr">
        <is>
          <t>51347</t>
        </is>
      </c>
      <c r="C37" s="16" t="n">
        <v>0</v>
      </c>
      <c r="D37" s="49" t="n">
        <v>1.08</v>
      </c>
      <c r="E37" s="18" t="n">
        <v>46</v>
      </c>
      <c r="F37" s="18" t="n">
        <v>50</v>
      </c>
      <c r="G37" s="19">
        <f>IF(F37=0,0,E37/F37*100)</f>
        <v/>
      </c>
      <c r="H37" s="16" t="n">
        <v>0</v>
      </c>
      <c r="I37" s="16" t="n">
        <v>0</v>
      </c>
      <c r="J37" s="16" t="n">
        <v>0</v>
      </c>
      <c r="K37" s="16" t="n">
        <v>1</v>
      </c>
    </row>
    <row r="38">
      <c r="A38" s="20" t="inlineStr">
        <is>
          <t>15 Jun</t>
        </is>
      </c>
      <c r="B38" s="20" t="inlineStr">
        <is>
          <t>Day Total</t>
        </is>
      </c>
      <c r="C38" s="21">
        <f>SUM(C4:C37)</f>
        <v/>
      </c>
      <c r="D38" s="50">
        <f>SUM(D4:D37)</f>
        <v/>
      </c>
      <c r="E38" s="23">
        <f>SUM(E4:E37)</f>
        <v/>
      </c>
      <c r="F38" s="23">
        <f>SUMIF(E4:E37,"&gt;0",F4:F37)</f>
        <v/>
      </c>
      <c r="G38" s="24">
        <f>IF(F38=0,0,E38/F38*100)</f>
        <v/>
      </c>
      <c r="H38" s="21">
        <f>SUM(H4:H37)</f>
        <v/>
      </c>
      <c r="I38" s="21">
        <f>SUM(I4:I37)</f>
        <v/>
      </c>
      <c r="J38" s="21">
        <f>SUM(J4:J37)</f>
        <v/>
      </c>
      <c r="K38" s="21">
        <f>SUM(K4:K37)</f>
        <v/>
      </c>
    </row>
    <row r="39">
      <c r="A39" s="15" t="inlineStr">
        <is>
          <t>16 Jun</t>
        </is>
      </c>
      <c r="B39" s="15" t="inlineStr">
        <is>
          <t>39236</t>
        </is>
      </c>
      <c r="C39" s="16" t="n">
        <v>2</v>
      </c>
      <c r="D39" s="49" t="n">
        <v>93.91</v>
      </c>
      <c r="E39" s="18" t="n">
        <v>9026</v>
      </c>
      <c r="F39" s="18" t="n">
        <v>14624</v>
      </c>
      <c r="G39" s="19">
        <f>IF(F39=0,0,E39/F39*100)</f>
        <v/>
      </c>
      <c r="H39" s="16" t="n">
        <v>0</v>
      </c>
      <c r="I39" s="16" t="n">
        <v>0</v>
      </c>
      <c r="J39" s="16" t="n">
        <v>0</v>
      </c>
      <c r="K39" s="16" t="n">
        <v>5</v>
      </c>
    </row>
    <row r="40">
      <c r="A40" s="15" t="inlineStr">
        <is>
          <t>16 Jun</t>
        </is>
      </c>
      <c r="B40" s="15" t="inlineStr">
        <is>
          <t>37507</t>
        </is>
      </c>
      <c r="C40" s="16" t="n">
        <v>2</v>
      </c>
      <c r="D40" s="49" t="n">
        <v>93.91</v>
      </c>
      <c r="E40" s="18" t="n">
        <v>10066</v>
      </c>
      <c r="F40" s="18" t="n">
        <v>11576</v>
      </c>
      <c r="G40" s="19">
        <f>IF(F40=0,0,E40/F40*100)</f>
        <v/>
      </c>
      <c r="H40" s="16" t="n">
        <v>0</v>
      </c>
      <c r="I40" s="16" t="n">
        <v>0</v>
      </c>
      <c r="J40" s="16" t="n">
        <v>0</v>
      </c>
      <c r="K40" s="16" t="n">
        <v>5</v>
      </c>
    </row>
    <row r="41">
      <c r="A41" s="15" t="inlineStr">
        <is>
          <t>16 Jun</t>
        </is>
      </c>
      <c r="B41" s="15" t="inlineStr">
        <is>
          <t>39047</t>
        </is>
      </c>
      <c r="C41" s="16" t="n">
        <v>2</v>
      </c>
      <c r="D41" s="49" t="n">
        <v>93.90000000000001</v>
      </c>
      <c r="E41" s="18" t="n">
        <v>8395</v>
      </c>
      <c r="F41" s="18" t="n">
        <v>10010</v>
      </c>
      <c r="G41" s="19">
        <f>IF(F41=0,0,E41/F41*100)</f>
        <v/>
      </c>
      <c r="H41" s="16" t="n">
        <v>0</v>
      </c>
      <c r="I41" s="16" t="n">
        <v>0</v>
      </c>
      <c r="J41" s="16" t="n">
        <v>0</v>
      </c>
      <c r="K41" s="16" t="n">
        <v>4</v>
      </c>
    </row>
    <row r="42">
      <c r="A42" s="15" t="inlineStr">
        <is>
          <t>16 Jun</t>
        </is>
      </c>
      <c r="B42" s="15" t="inlineStr">
        <is>
          <t>39235</t>
        </is>
      </c>
      <c r="C42" s="16" t="n">
        <v>2</v>
      </c>
      <c r="D42" s="49" t="n">
        <v>93.06</v>
      </c>
      <c r="E42" s="18" t="n">
        <v>7314</v>
      </c>
      <c r="F42" s="18" t="n">
        <v>9428</v>
      </c>
      <c r="G42" s="19">
        <f>IF(F42=0,0,E42/F42*100)</f>
        <v/>
      </c>
      <c r="H42" s="16" t="n">
        <v>0</v>
      </c>
      <c r="I42" s="16" t="n">
        <v>0</v>
      </c>
      <c r="J42" s="16" t="n">
        <v>0</v>
      </c>
      <c r="K42" s="16" t="n">
        <v>5</v>
      </c>
    </row>
    <row r="43">
      <c r="A43" s="15" t="inlineStr">
        <is>
          <t>16 Jun</t>
        </is>
      </c>
      <c r="B43" s="15" t="inlineStr">
        <is>
          <t>30791</t>
        </is>
      </c>
      <c r="C43" s="16" t="n">
        <v>2</v>
      </c>
      <c r="D43" s="49" t="n">
        <v>93.89</v>
      </c>
      <c r="E43" s="18" t="n">
        <v>7882</v>
      </c>
      <c r="F43" s="18" t="n">
        <v>8954</v>
      </c>
      <c r="G43" s="19">
        <f>IF(F43=0,0,E43/F43*100)</f>
        <v/>
      </c>
      <c r="H43" s="16" t="n">
        <v>0</v>
      </c>
      <c r="I43" s="16" t="n">
        <v>0</v>
      </c>
      <c r="J43" s="16" t="n">
        <v>0</v>
      </c>
      <c r="K43" s="16" t="n">
        <v>5</v>
      </c>
    </row>
    <row r="44">
      <c r="A44" s="15" t="inlineStr">
        <is>
          <t>16 Jun</t>
        </is>
      </c>
      <c r="B44" s="15" t="inlineStr">
        <is>
          <t>39028</t>
        </is>
      </c>
      <c r="C44" s="16" t="n">
        <v>1</v>
      </c>
      <c r="D44" s="49" t="n">
        <v>93.89</v>
      </c>
      <c r="E44" s="18" t="n">
        <v>5288</v>
      </c>
      <c r="F44" s="18" t="n">
        <v>6175</v>
      </c>
      <c r="G44" s="19">
        <f>IF(F44=0,0,E44/F44*100)</f>
        <v/>
      </c>
      <c r="H44" s="16" t="n">
        <v>0</v>
      </c>
      <c r="I44" s="16" t="n">
        <v>0</v>
      </c>
      <c r="J44" s="16" t="n">
        <v>0</v>
      </c>
      <c r="K44" s="16" t="n">
        <v>3</v>
      </c>
    </row>
    <row r="45">
      <c r="A45" s="15" t="inlineStr">
        <is>
          <t>16 Jun</t>
        </is>
      </c>
      <c r="B45" s="15" t="inlineStr">
        <is>
          <t>42010</t>
        </is>
      </c>
      <c r="C45" s="16" t="n">
        <v>1</v>
      </c>
      <c r="D45" s="49" t="n">
        <v>93.86</v>
      </c>
      <c r="E45" s="18" t="n">
        <v>5066</v>
      </c>
      <c r="F45" s="18" t="n">
        <v>6095</v>
      </c>
      <c r="G45" s="19">
        <f>IF(F45=0,0,E45/F45*100)</f>
        <v/>
      </c>
      <c r="H45" s="16" t="n">
        <v>1</v>
      </c>
      <c r="I45" s="16" t="n">
        <v>1</v>
      </c>
      <c r="J45" s="16" t="n">
        <v>0</v>
      </c>
      <c r="K45" s="16" t="n">
        <v>4</v>
      </c>
    </row>
    <row r="46">
      <c r="A46" s="15" t="inlineStr">
        <is>
          <t>16 Jun</t>
        </is>
      </c>
      <c r="B46" s="15" t="inlineStr">
        <is>
          <t>37396</t>
        </is>
      </c>
      <c r="C46" s="16" t="n">
        <v>1</v>
      </c>
      <c r="D46" s="49" t="n">
        <v>93.89</v>
      </c>
      <c r="E46" s="18" t="n">
        <v>4948</v>
      </c>
      <c r="F46" s="18" t="n">
        <v>5804</v>
      </c>
      <c r="G46" s="19">
        <f>IF(F46=0,0,E46/F46*100)</f>
        <v/>
      </c>
      <c r="H46" s="16" t="n">
        <v>0</v>
      </c>
      <c r="I46" s="16" t="n">
        <v>0</v>
      </c>
      <c r="J46" s="16" t="n">
        <v>0</v>
      </c>
      <c r="K46" s="16" t="n">
        <v>3</v>
      </c>
    </row>
    <row r="47">
      <c r="A47" s="15" t="inlineStr">
        <is>
          <t>16 Jun</t>
        </is>
      </c>
      <c r="B47" s="15" t="inlineStr">
        <is>
          <t>37050</t>
        </is>
      </c>
      <c r="C47" s="16" t="n">
        <v>1</v>
      </c>
      <c r="D47" s="49" t="n">
        <v>93.31999999999999</v>
      </c>
      <c r="E47" s="18" t="n">
        <v>5534</v>
      </c>
      <c r="F47" s="18" t="n">
        <v>5658</v>
      </c>
      <c r="G47" s="19">
        <f>IF(F47=0,0,E47/F47*100)</f>
        <v/>
      </c>
      <c r="H47" s="16" t="n">
        <v>0</v>
      </c>
      <c r="I47" s="16" t="n">
        <v>0</v>
      </c>
      <c r="J47" s="16" t="n">
        <v>0</v>
      </c>
      <c r="K47" s="16" t="n">
        <v>1</v>
      </c>
    </row>
    <row r="48">
      <c r="A48" s="15" t="inlineStr">
        <is>
          <t>16 Jun</t>
        </is>
      </c>
      <c r="B48" s="15" t="inlineStr">
        <is>
          <t>30480</t>
        </is>
      </c>
      <c r="C48" s="16" t="n">
        <v>1</v>
      </c>
      <c r="D48" s="49" t="n">
        <v>93.89</v>
      </c>
      <c r="E48" s="18" t="n">
        <v>4793</v>
      </c>
      <c r="F48" s="18" t="n">
        <v>5612</v>
      </c>
      <c r="G48" s="19">
        <f>IF(F48=0,0,E48/F48*100)</f>
        <v/>
      </c>
      <c r="H48" s="16" t="n">
        <v>0</v>
      </c>
      <c r="I48" s="16" t="n">
        <v>0</v>
      </c>
      <c r="J48" s="16" t="n">
        <v>0</v>
      </c>
      <c r="K48" s="16" t="n">
        <v>3</v>
      </c>
    </row>
    <row r="49">
      <c r="A49" s="15" t="inlineStr">
        <is>
          <t>16 Jun</t>
        </is>
      </c>
      <c r="B49" s="15" t="inlineStr">
        <is>
          <t>39514</t>
        </is>
      </c>
      <c r="C49" s="16" t="n">
        <v>1</v>
      </c>
      <c r="D49" s="49" t="n">
        <v>93.89</v>
      </c>
      <c r="E49" s="18" t="n">
        <v>4273</v>
      </c>
      <c r="F49" s="18" t="n">
        <v>5155</v>
      </c>
      <c r="G49" s="19">
        <f>IF(F49=0,0,E49/F49*100)</f>
        <v/>
      </c>
      <c r="H49" s="16" t="n">
        <v>0</v>
      </c>
      <c r="I49" s="16" t="n">
        <v>0</v>
      </c>
      <c r="J49" s="16" t="n">
        <v>0</v>
      </c>
      <c r="K49" s="16" t="n">
        <v>3</v>
      </c>
    </row>
    <row r="50">
      <c r="A50" s="15" t="inlineStr">
        <is>
          <t>16 Jun</t>
        </is>
      </c>
      <c r="B50" s="15" t="inlineStr">
        <is>
          <t>37684</t>
        </is>
      </c>
      <c r="C50" s="16" t="n">
        <v>1</v>
      </c>
      <c r="D50" s="49" t="n">
        <v>93.89</v>
      </c>
      <c r="E50" s="18" t="n">
        <v>3852</v>
      </c>
      <c r="F50" s="18" t="n">
        <v>5136</v>
      </c>
      <c r="G50" s="19">
        <f>IF(F50=0,0,E50/F50*100)</f>
        <v/>
      </c>
      <c r="H50" s="16" t="n">
        <v>0</v>
      </c>
      <c r="I50" s="16" t="n">
        <v>0</v>
      </c>
      <c r="J50" s="16" t="n">
        <v>0</v>
      </c>
      <c r="K50" s="16" t="n">
        <v>3</v>
      </c>
    </row>
    <row r="51">
      <c r="A51" s="15" t="inlineStr">
        <is>
          <t>16 Jun</t>
        </is>
      </c>
      <c r="B51" s="15" t="inlineStr">
        <is>
          <t>30182</t>
        </is>
      </c>
      <c r="C51" s="16" t="n">
        <v>1</v>
      </c>
      <c r="D51" s="49" t="n">
        <v>92.48999999999999</v>
      </c>
      <c r="E51" s="18" t="n">
        <v>3976</v>
      </c>
      <c r="F51" s="18" t="n">
        <v>5069</v>
      </c>
      <c r="G51" s="19">
        <f>IF(F51=0,0,E51/F51*100)</f>
        <v/>
      </c>
      <c r="H51" s="16" t="n">
        <v>0</v>
      </c>
      <c r="I51" s="16" t="n">
        <v>0</v>
      </c>
      <c r="J51" s="16" t="n">
        <v>0</v>
      </c>
      <c r="K51" s="16" t="n">
        <v>3</v>
      </c>
    </row>
    <row r="52">
      <c r="A52" s="15" t="inlineStr">
        <is>
          <t>16 Jun</t>
        </is>
      </c>
      <c r="B52" s="15" t="inlineStr">
        <is>
          <t>37350</t>
        </is>
      </c>
      <c r="C52" s="16" t="n">
        <v>1</v>
      </c>
      <c r="D52" s="49" t="n">
        <v>93.89</v>
      </c>
      <c r="E52" s="18" t="n">
        <v>4016</v>
      </c>
      <c r="F52" s="18" t="n">
        <v>5045</v>
      </c>
      <c r="G52" s="19">
        <f>IF(F52=0,0,E52/F52*100)</f>
        <v/>
      </c>
      <c r="H52" s="16" t="n">
        <v>0</v>
      </c>
      <c r="I52" s="16" t="n">
        <v>0</v>
      </c>
      <c r="J52" s="16" t="n">
        <v>0</v>
      </c>
      <c r="K52" s="16" t="n">
        <v>2</v>
      </c>
    </row>
    <row r="53">
      <c r="A53" s="15" t="inlineStr">
        <is>
          <t>16 Jun</t>
        </is>
      </c>
      <c r="B53" s="15" t="inlineStr">
        <is>
          <t>39287</t>
        </is>
      </c>
      <c r="C53" s="16" t="n">
        <v>1</v>
      </c>
      <c r="D53" s="49" t="n">
        <v>93.90000000000001</v>
      </c>
      <c r="E53" s="18" t="n">
        <v>4575</v>
      </c>
      <c r="F53" s="18" t="n">
        <v>5022</v>
      </c>
      <c r="G53" s="19">
        <f>IF(F53=0,0,E53/F53*100)</f>
        <v/>
      </c>
      <c r="H53" s="16" t="n">
        <v>0</v>
      </c>
      <c r="I53" s="16" t="n">
        <v>0</v>
      </c>
      <c r="J53" s="16" t="n">
        <v>0</v>
      </c>
      <c r="K53" s="16" t="n">
        <v>2</v>
      </c>
    </row>
    <row r="54">
      <c r="A54" s="15" t="inlineStr">
        <is>
          <t>16 Jun</t>
        </is>
      </c>
      <c r="B54" s="15" t="inlineStr">
        <is>
          <t>37277</t>
        </is>
      </c>
      <c r="C54" s="16" t="n">
        <v>1</v>
      </c>
      <c r="D54" s="49" t="n">
        <v>93.88</v>
      </c>
      <c r="E54" s="18" t="n">
        <v>4110</v>
      </c>
      <c r="F54" s="18" t="n">
        <v>4958</v>
      </c>
      <c r="G54" s="19">
        <f>IF(F54=0,0,E54/F54*100)</f>
        <v/>
      </c>
      <c r="H54" s="16" t="n">
        <v>1</v>
      </c>
      <c r="I54" s="16" t="n">
        <v>1</v>
      </c>
      <c r="J54" s="16" t="n">
        <v>0</v>
      </c>
      <c r="K54" s="16" t="n">
        <v>2</v>
      </c>
    </row>
    <row r="55">
      <c r="A55" s="15" t="inlineStr">
        <is>
          <t>16 Jun</t>
        </is>
      </c>
      <c r="B55" s="15" t="inlineStr">
        <is>
          <t>30470</t>
        </is>
      </c>
      <c r="C55" s="16" t="n">
        <v>1</v>
      </c>
      <c r="D55" s="49" t="n">
        <v>93.91</v>
      </c>
      <c r="E55" s="18" t="n">
        <v>3913</v>
      </c>
      <c r="F55" s="18" t="n">
        <v>4794</v>
      </c>
      <c r="G55" s="19">
        <f>IF(F55=0,0,E55/F55*100)</f>
        <v/>
      </c>
      <c r="H55" s="16" t="n">
        <v>0</v>
      </c>
      <c r="I55" s="16" t="n">
        <v>0</v>
      </c>
      <c r="J55" s="16" t="n">
        <v>0</v>
      </c>
      <c r="K55" s="16" t="n">
        <v>3</v>
      </c>
    </row>
    <row r="56">
      <c r="A56" s="15" t="inlineStr">
        <is>
          <t>16 Jun</t>
        </is>
      </c>
      <c r="B56" s="15" t="inlineStr">
        <is>
          <t>39035</t>
        </is>
      </c>
      <c r="C56" s="16" t="n">
        <v>1</v>
      </c>
      <c r="D56" s="49" t="n">
        <v>93.31</v>
      </c>
      <c r="E56" s="18" t="n">
        <v>4440</v>
      </c>
      <c r="F56" s="18" t="n">
        <v>4753</v>
      </c>
      <c r="G56" s="19">
        <f>IF(F56=0,0,E56/F56*100)</f>
        <v/>
      </c>
      <c r="H56" s="16" t="n">
        <v>0</v>
      </c>
      <c r="I56" s="16" t="n">
        <v>0</v>
      </c>
      <c r="J56" s="16" t="n">
        <v>0</v>
      </c>
      <c r="K56" s="16" t="n">
        <v>4</v>
      </c>
    </row>
    <row r="57">
      <c r="A57" s="15" t="inlineStr">
        <is>
          <t>16 Jun</t>
        </is>
      </c>
      <c r="B57" s="15" t="inlineStr">
        <is>
          <t>30821</t>
        </is>
      </c>
      <c r="C57" s="16" t="n">
        <v>1</v>
      </c>
      <c r="D57" s="49" t="n">
        <v>93.90000000000001</v>
      </c>
      <c r="E57" s="18" t="n">
        <v>3804</v>
      </c>
      <c r="F57" s="18" t="n">
        <v>4714</v>
      </c>
      <c r="G57" s="19">
        <f>IF(F57=0,0,E57/F57*100)</f>
        <v/>
      </c>
      <c r="H57" s="16" t="n">
        <v>0</v>
      </c>
      <c r="I57" s="16" t="n">
        <v>0</v>
      </c>
      <c r="J57" s="16" t="n">
        <v>0</v>
      </c>
      <c r="K57" s="16" t="n">
        <v>3</v>
      </c>
    </row>
    <row r="58">
      <c r="A58" s="15" t="inlineStr">
        <is>
          <t>16 Jun</t>
        </is>
      </c>
      <c r="B58" s="15" t="inlineStr">
        <is>
          <t>30314</t>
        </is>
      </c>
      <c r="C58" s="16" t="n">
        <v>1</v>
      </c>
      <c r="D58" s="49" t="n">
        <v>93.87</v>
      </c>
      <c r="E58" s="18" t="n">
        <v>3960</v>
      </c>
      <c r="F58" s="18" t="n">
        <v>4706</v>
      </c>
      <c r="G58" s="19">
        <f>IF(F58=0,0,E58/F58*100)</f>
        <v/>
      </c>
      <c r="H58" s="16" t="n">
        <v>0</v>
      </c>
      <c r="I58" s="16" t="n">
        <v>0</v>
      </c>
      <c r="J58" s="16" t="n">
        <v>0</v>
      </c>
      <c r="K58" s="16" t="n">
        <v>2</v>
      </c>
    </row>
    <row r="59">
      <c r="A59" s="15" t="inlineStr">
        <is>
          <t>16 Jun</t>
        </is>
      </c>
      <c r="B59" s="15" t="inlineStr">
        <is>
          <t>42746</t>
        </is>
      </c>
      <c r="C59" s="16" t="n">
        <v>1</v>
      </c>
      <c r="D59" s="49" t="n">
        <v>93.89</v>
      </c>
      <c r="E59" s="18" t="n">
        <v>3568</v>
      </c>
      <c r="F59" s="18" t="n">
        <v>4314</v>
      </c>
      <c r="G59" s="19">
        <f>IF(F59=0,0,E59/F59*100)</f>
        <v/>
      </c>
      <c r="H59" s="16" t="n">
        <v>0</v>
      </c>
      <c r="I59" s="16" t="n">
        <v>0</v>
      </c>
      <c r="J59" s="16" t="n">
        <v>0</v>
      </c>
      <c r="K59" s="16" t="n">
        <v>2</v>
      </c>
    </row>
    <row r="60">
      <c r="A60" s="15" t="inlineStr">
        <is>
          <t>16 Jun</t>
        </is>
      </c>
      <c r="B60" s="15" t="inlineStr">
        <is>
          <t>30473</t>
        </is>
      </c>
      <c r="C60" s="16" t="n">
        <v>1</v>
      </c>
      <c r="D60" s="49" t="n">
        <v>93.86</v>
      </c>
      <c r="E60" s="18" t="n">
        <v>3587</v>
      </c>
      <c r="F60" s="18" t="n">
        <v>3897</v>
      </c>
      <c r="G60" s="19">
        <f>IF(F60=0,0,E60/F60*100)</f>
        <v/>
      </c>
      <c r="H60" s="16" t="n">
        <v>0</v>
      </c>
      <c r="I60" s="16" t="n">
        <v>0</v>
      </c>
      <c r="J60" s="16" t="n">
        <v>0</v>
      </c>
      <c r="K60" s="16" t="n">
        <v>8</v>
      </c>
    </row>
    <row r="61">
      <c r="A61" s="15" t="inlineStr">
        <is>
          <t>16 Jun</t>
        </is>
      </c>
      <c r="B61" s="15" t="inlineStr">
        <is>
          <t>37560</t>
        </is>
      </c>
      <c r="C61" s="16" t="n">
        <v>1</v>
      </c>
      <c r="D61" s="49" t="n">
        <v>93.84999999999999</v>
      </c>
      <c r="E61" s="18" t="n">
        <v>3264</v>
      </c>
      <c r="F61" s="18" t="n">
        <v>3700</v>
      </c>
      <c r="G61" s="19">
        <f>IF(F61=0,0,E61/F61*100)</f>
        <v/>
      </c>
      <c r="H61" s="16" t="n">
        <v>0</v>
      </c>
      <c r="I61" s="16" t="n">
        <v>0</v>
      </c>
      <c r="J61" s="16" t="n">
        <v>0</v>
      </c>
      <c r="K61" s="16" t="n">
        <v>3</v>
      </c>
    </row>
    <row r="62">
      <c r="A62" s="15" t="inlineStr">
        <is>
          <t>16 Jun</t>
        </is>
      </c>
      <c r="B62" s="15" t="inlineStr">
        <is>
          <t>30533</t>
        </is>
      </c>
      <c r="C62" s="16" t="n">
        <v>0</v>
      </c>
      <c r="D62" s="49" t="n">
        <v>59.4</v>
      </c>
      <c r="E62" s="18" t="n">
        <v>3895</v>
      </c>
      <c r="F62" s="18" t="n">
        <v>3895</v>
      </c>
      <c r="G62" s="19">
        <f>IF(F62=0,0,E62/F62*100)</f>
        <v/>
      </c>
      <c r="H62" s="16" t="n">
        <v>0</v>
      </c>
      <c r="I62" s="16" t="n">
        <v>0</v>
      </c>
      <c r="J62" s="16" t="n">
        <v>0</v>
      </c>
      <c r="K62" s="16" t="n">
        <v>0</v>
      </c>
    </row>
    <row r="63">
      <c r="A63" s="15" t="inlineStr">
        <is>
          <t>16 Jun</t>
        </is>
      </c>
      <c r="B63" s="15" t="inlineStr">
        <is>
          <t>37566</t>
        </is>
      </c>
      <c r="C63" s="16" t="n">
        <v>0</v>
      </c>
      <c r="D63" s="49" t="n">
        <v>85.28</v>
      </c>
      <c r="E63" s="18" t="n">
        <v>3700</v>
      </c>
      <c r="F63" s="18" t="n">
        <v>3773</v>
      </c>
      <c r="G63" s="19">
        <f>IF(F63=0,0,E63/F63*100)</f>
        <v/>
      </c>
      <c r="H63" s="16" t="n">
        <v>0</v>
      </c>
      <c r="I63" s="16" t="n">
        <v>0</v>
      </c>
      <c r="J63" s="16" t="n">
        <v>0</v>
      </c>
      <c r="K63" s="16" t="n">
        <v>2</v>
      </c>
    </row>
    <row r="64">
      <c r="A64" s="15" t="inlineStr">
        <is>
          <t>16 Jun</t>
        </is>
      </c>
      <c r="B64" s="15" t="inlineStr">
        <is>
          <t>37087</t>
        </is>
      </c>
      <c r="C64" s="16" t="n">
        <v>0</v>
      </c>
      <c r="D64" s="49" t="n">
        <v>55</v>
      </c>
      <c r="E64" s="18" t="n">
        <v>3186</v>
      </c>
      <c r="F64" s="18" t="n">
        <v>3280</v>
      </c>
      <c r="G64" s="19">
        <f>IF(F64=0,0,E64/F64*100)</f>
        <v/>
      </c>
      <c r="H64" s="16" t="n">
        <v>0</v>
      </c>
      <c r="I64" s="16" t="n">
        <v>0</v>
      </c>
      <c r="J64" s="16" t="n">
        <v>0</v>
      </c>
      <c r="K64" s="16" t="n">
        <v>2</v>
      </c>
    </row>
    <row r="65">
      <c r="A65" s="15" t="inlineStr">
        <is>
          <t>16 Jun</t>
        </is>
      </c>
      <c r="B65" s="15" t="inlineStr">
        <is>
          <t>37582</t>
        </is>
      </c>
      <c r="C65" s="16" t="n">
        <v>0</v>
      </c>
      <c r="D65" s="49" t="n">
        <v>36.43</v>
      </c>
      <c r="E65" s="18" t="n">
        <v>1763</v>
      </c>
      <c r="F65" s="18" t="n">
        <v>3259</v>
      </c>
      <c r="G65" s="19">
        <f>IF(F65=0,0,E65/F65*100)</f>
        <v/>
      </c>
      <c r="H65" s="16" t="n">
        <v>0</v>
      </c>
      <c r="I65" s="16" t="n">
        <v>0</v>
      </c>
      <c r="J65" s="16" t="n">
        <v>0</v>
      </c>
      <c r="K65" s="16" t="n">
        <v>2</v>
      </c>
    </row>
    <row r="66">
      <c r="A66" s="15" t="inlineStr">
        <is>
          <t>16 Jun</t>
        </is>
      </c>
      <c r="B66" s="15" t="inlineStr">
        <is>
          <t>39331</t>
        </is>
      </c>
      <c r="C66" s="16" t="n">
        <v>0</v>
      </c>
      <c r="D66" s="49" t="n">
        <v>51.82</v>
      </c>
      <c r="E66" s="18" t="n">
        <v>1266</v>
      </c>
      <c r="F66" s="18" t="n">
        <v>2606</v>
      </c>
      <c r="G66" s="19">
        <f>IF(F66=0,0,E66/F66*100)</f>
        <v/>
      </c>
      <c r="H66" s="16" t="n">
        <v>0</v>
      </c>
      <c r="I66" s="16" t="n">
        <v>0</v>
      </c>
      <c r="J66" s="16" t="n">
        <v>0</v>
      </c>
      <c r="K66" s="16" t="n">
        <v>2</v>
      </c>
    </row>
    <row r="67">
      <c r="A67" s="15" t="inlineStr">
        <is>
          <t>16 Jun</t>
        </is>
      </c>
      <c r="B67" s="15" t="inlineStr">
        <is>
          <t>37793</t>
        </is>
      </c>
      <c r="C67" s="16" t="n">
        <v>0</v>
      </c>
      <c r="D67" s="49" t="n">
        <v>40.39</v>
      </c>
      <c r="E67" s="18" t="n">
        <v>1404</v>
      </c>
      <c r="F67" s="18" t="n">
        <v>2136</v>
      </c>
      <c r="G67" s="19">
        <f>IF(F67=0,0,E67/F67*100)</f>
        <v/>
      </c>
      <c r="H67" s="16" t="n">
        <v>0</v>
      </c>
      <c r="I67" s="16" t="n">
        <v>0</v>
      </c>
      <c r="J67" s="16" t="n">
        <v>0</v>
      </c>
      <c r="K67" s="16" t="n">
        <v>1</v>
      </c>
    </row>
    <row r="68">
      <c r="A68" s="15" t="inlineStr">
        <is>
          <t>16 Jun</t>
        </is>
      </c>
      <c r="B68" s="15" t="inlineStr">
        <is>
          <t>37887</t>
        </is>
      </c>
      <c r="C68" s="16" t="n">
        <v>0</v>
      </c>
      <c r="D68" s="49" t="n">
        <v>10.56</v>
      </c>
      <c r="E68" s="18" t="n">
        <v>747</v>
      </c>
      <c r="F68" s="18" t="n">
        <v>1508</v>
      </c>
      <c r="G68" s="19">
        <f>IF(F68=0,0,E68/F68*100)</f>
        <v/>
      </c>
      <c r="H68" s="16" t="n">
        <v>0</v>
      </c>
      <c r="I68" s="16" t="n">
        <v>0</v>
      </c>
      <c r="J68" s="16" t="n">
        <v>0</v>
      </c>
      <c r="K68" s="16" t="n">
        <v>1</v>
      </c>
    </row>
    <row r="69">
      <c r="A69" s="15" t="inlineStr">
        <is>
          <t>16 Jun</t>
        </is>
      </c>
      <c r="B69" s="15" t="inlineStr">
        <is>
          <t>30814</t>
        </is>
      </c>
      <c r="C69" s="16" t="n">
        <v>0</v>
      </c>
      <c r="D69" s="49" t="n">
        <v>36.69</v>
      </c>
      <c r="E69" s="18" t="n">
        <v>824</v>
      </c>
      <c r="F69" s="18" t="n">
        <v>1151</v>
      </c>
      <c r="G69" s="19">
        <f>IF(F69=0,0,E69/F69*100)</f>
        <v/>
      </c>
      <c r="H69" s="16" t="n">
        <v>0</v>
      </c>
      <c r="I69" s="16" t="n">
        <v>0</v>
      </c>
      <c r="J69" s="16" t="n">
        <v>0</v>
      </c>
      <c r="K69" s="16" t="n">
        <v>1</v>
      </c>
    </row>
    <row r="70">
      <c r="A70" s="15" t="inlineStr">
        <is>
          <t>16 Jun</t>
        </is>
      </c>
      <c r="B70" s="15" t="inlineStr">
        <is>
          <t>37746</t>
        </is>
      </c>
      <c r="C70" s="16" t="n">
        <v>0</v>
      </c>
      <c r="D70" s="49" t="n">
        <v>1.98</v>
      </c>
      <c r="E70" s="18" t="n">
        <v>29</v>
      </c>
      <c r="F70" s="18" t="n">
        <v>1095</v>
      </c>
      <c r="G70" s="19">
        <f>IF(F70=0,0,E70/F70*100)</f>
        <v/>
      </c>
      <c r="H70" s="16" t="n">
        <v>0</v>
      </c>
      <c r="I70" s="16" t="n">
        <v>0</v>
      </c>
      <c r="J70" s="16" t="n">
        <v>0</v>
      </c>
      <c r="K70" s="16" t="n">
        <v>0</v>
      </c>
    </row>
    <row r="71">
      <c r="A71" s="15" t="inlineStr">
        <is>
          <t>16 Jun</t>
        </is>
      </c>
      <c r="B71" s="15" t="inlineStr">
        <is>
          <t>37548</t>
        </is>
      </c>
      <c r="C71" s="16" t="n">
        <v>0</v>
      </c>
      <c r="D71" s="49" t="n">
        <v>36.82</v>
      </c>
      <c r="E71" s="18" t="n">
        <v>771</v>
      </c>
      <c r="F71" s="18" t="n">
        <v>1051</v>
      </c>
      <c r="G71" s="19">
        <f>IF(F71=0,0,E71/F71*100)</f>
        <v/>
      </c>
      <c r="H71" s="16" t="n">
        <v>0</v>
      </c>
      <c r="I71" s="16" t="n">
        <v>0</v>
      </c>
      <c r="J71" s="16" t="n">
        <v>0</v>
      </c>
      <c r="K71" s="16" t="n">
        <v>0</v>
      </c>
    </row>
    <row r="72">
      <c r="A72" s="15" t="inlineStr">
        <is>
          <t>16 Jun</t>
        </is>
      </c>
      <c r="B72" s="15" t="inlineStr">
        <is>
          <t>30415</t>
        </is>
      </c>
      <c r="C72" s="16" t="n">
        <v>0</v>
      </c>
      <c r="D72" s="49" t="n">
        <v>35.09</v>
      </c>
      <c r="E72" s="18" t="n">
        <v>904</v>
      </c>
      <c r="F72" s="18" t="n">
        <v>951</v>
      </c>
      <c r="G72" s="19">
        <f>IF(F72=0,0,E72/F72*100)</f>
        <v/>
      </c>
      <c r="H72" s="16" t="n">
        <v>0</v>
      </c>
      <c r="I72" s="16" t="n">
        <v>0</v>
      </c>
      <c r="J72" s="16" t="n">
        <v>0</v>
      </c>
      <c r="K72" s="16" t="n">
        <v>1</v>
      </c>
    </row>
    <row r="73">
      <c r="A73" s="15" t="inlineStr">
        <is>
          <t>16 Jun</t>
        </is>
      </c>
      <c r="B73" s="15" t="inlineStr">
        <is>
          <t>30083</t>
        </is>
      </c>
      <c r="C73" s="16" t="n">
        <v>0</v>
      </c>
      <c r="D73" s="49" t="n">
        <v>5.55</v>
      </c>
      <c r="E73" s="18" t="n">
        <v>0</v>
      </c>
      <c r="F73" s="18" t="n">
        <v>8</v>
      </c>
      <c r="G73" s="19">
        <f>IF(F73=0,0,E73/F73*100)</f>
        <v/>
      </c>
      <c r="H73" s="16" t="n">
        <v>0</v>
      </c>
      <c r="I73" s="16" t="n">
        <v>0</v>
      </c>
      <c r="J73" s="16" t="n">
        <v>0</v>
      </c>
      <c r="K73" s="16" t="n">
        <v>0</v>
      </c>
    </row>
    <row r="74">
      <c r="A74" s="20" t="inlineStr">
        <is>
          <t>16 Jun</t>
        </is>
      </c>
      <c r="B74" s="20" t="inlineStr">
        <is>
          <t>Day Total</t>
        </is>
      </c>
      <c r="C74" s="21">
        <f>SUM(C39:C73)</f>
        <v/>
      </c>
      <c r="D74" s="50">
        <f>SUM(D39:D73)</f>
        <v/>
      </c>
      <c r="E74" s="23">
        <f>SUM(E39:E73)</f>
        <v/>
      </c>
      <c r="F74" s="23">
        <f>SUMIF(E39:E73,"&gt;0",F39:F73)</f>
        <v/>
      </c>
      <c r="G74" s="24">
        <f>IF(F74=0,0,E74/F74*100)</f>
        <v/>
      </c>
      <c r="H74" s="21">
        <f>SUM(H39:H73)</f>
        <v/>
      </c>
      <c r="I74" s="21">
        <f>SUM(I39:I73)</f>
        <v/>
      </c>
      <c r="J74" s="21">
        <f>SUM(J39:J73)</f>
        <v/>
      </c>
      <c r="K74" s="21">
        <f>SUM(K39:K73)</f>
        <v/>
      </c>
    </row>
    <row r="75">
      <c r="A75" s="15" t="inlineStr">
        <is>
          <t>17 Jun</t>
        </is>
      </c>
      <c r="B75" s="15" t="inlineStr">
        <is>
          <t>37818</t>
        </is>
      </c>
      <c r="C75" s="16" t="n">
        <v>2</v>
      </c>
      <c r="D75" s="49" t="n">
        <v>93.31999999999999</v>
      </c>
      <c r="E75" s="18" t="n">
        <v>11441</v>
      </c>
      <c r="F75" s="18" t="n">
        <v>11840</v>
      </c>
      <c r="G75" s="19">
        <f>IF(F75=0,0,E75/F75*100)</f>
        <v/>
      </c>
      <c r="H75" s="16" t="n">
        <v>0</v>
      </c>
      <c r="I75" s="16" t="n">
        <v>0</v>
      </c>
      <c r="J75" s="16" t="n">
        <v>0</v>
      </c>
      <c r="K75" s="16" t="n">
        <v>4</v>
      </c>
    </row>
    <row r="76">
      <c r="A76" s="15" t="inlineStr">
        <is>
          <t>17 Jun</t>
        </is>
      </c>
      <c r="B76" s="15" t="inlineStr">
        <is>
          <t>30473</t>
        </is>
      </c>
      <c r="C76" s="16" t="n">
        <v>2</v>
      </c>
      <c r="D76" s="49" t="n">
        <v>93.88</v>
      </c>
      <c r="E76" s="18" t="n">
        <v>9506</v>
      </c>
      <c r="F76" s="18" t="n">
        <v>11106</v>
      </c>
      <c r="G76" s="19">
        <f>IF(F76=0,0,E76/F76*100)</f>
        <v/>
      </c>
      <c r="H76" s="16" t="n">
        <v>0</v>
      </c>
      <c r="I76" s="16" t="n">
        <v>0</v>
      </c>
      <c r="J76" s="16" t="n">
        <v>0</v>
      </c>
      <c r="K76" s="16" t="n">
        <v>5</v>
      </c>
    </row>
    <row r="77">
      <c r="A77" s="15" t="inlineStr">
        <is>
          <t>17 Jun</t>
        </is>
      </c>
      <c r="B77" s="15" t="inlineStr">
        <is>
          <t>37277</t>
        </is>
      </c>
      <c r="C77" s="16" t="n">
        <v>2</v>
      </c>
      <c r="D77" s="49" t="n">
        <v>93.90000000000001</v>
      </c>
      <c r="E77" s="18" t="n">
        <v>8820</v>
      </c>
      <c r="F77" s="18" t="n">
        <v>10219</v>
      </c>
      <c r="G77" s="19">
        <f>IF(F77=0,0,E77/F77*100)</f>
        <v/>
      </c>
      <c r="H77" s="16" t="n">
        <v>0</v>
      </c>
      <c r="I77" s="16" t="n">
        <v>0</v>
      </c>
      <c r="J77" s="16" t="n">
        <v>0</v>
      </c>
      <c r="K77" s="16" t="n">
        <v>5</v>
      </c>
    </row>
    <row r="78">
      <c r="A78" s="15" t="inlineStr">
        <is>
          <t>17 Jun</t>
        </is>
      </c>
      <c r="B78" s="15" t="inlineStr">
        <is>
          <t>37337</t>
        </is>
      </c>
      <c r="C78" s="16" t="n">
        <v>2</v>
      </c>
      <c r="D78" s="49" t="n">
        <v>93.88</v>
      </c>
      <c r="E78" s="18" t="n">
        <v>7599</v>
      </c>
      <c r="F78" s="18" t="n">
        <v>8820</v>
      </c>
      <c r="G78" s="19">
        <f>IF(F78=0,0,E78/F78*100)</f>
        <v/>
      </c>
      <c r="H78" s="16" t="n">
        <v>0</v>
      </c>
      <c r="I78" s="16" t="n">
        <v>0</v>
      </c>
      <c r="J78" s="16" t="n">
        <v>0</v>
      </c>
      <c r="K78" s="16" t="n">
        <v>7</v>
      </c>
    </row>
    <row r="79">
      <c r="A79" s="15" t="inlineStr">
        <is>
          <t>17 Jun</t>
        </is>
      </c>
      <c r="B79" s="15" t="inlineStr">
        <is>
          <t>37350</t>
        </is>
      </c>
      <c r="C79" s="16" t="n">
        <v>2</v>
      </c>
      <c r="D79" s="49" t="n">
        <v>93.90000000000001</v>
      </c>
      <c r="E79" s="18" t="n">
        <v>7479</v>
      </c>
      <c r="F79" s="18" t="n">
        <v>8682</v>
      </c>
      <c r="G79" s="19">
        <f>IF(F79=0,0,E79/F79*100)</f>
        <v/>
      </c>
      <c r="H79" s="16" t="n">
        <v>0</v>
      </c>
      <c r="I79" s="16" t="n">
        <v>0</v>
      </c>
      <c r="J79" s="16" t="n">
        <v>0</v>
      </c>
      <c r="K79" s="16" t="n">
        <v>8</v>
      </c>
    </row>
    <row r="80">
      <c r="A80" s="15" t="inlineStr">
        <is>
          <t>17 Jun</t>
        </is>
      </c>
      <c r="B80" s="15" t="inlineStr">
        <is>
          <t>37087</t>
        </is>
      </c>
      <c r="C80" s="16" t="n">
        <v>1</v>
      </c>
      <c r="D80" s="49" t="n">
        <v>93.90000000000001</v>
      </c>
      <c r="E80" s="18" t="n">
        <v>6693</v>
      </c>
      <c r="F80" s="18" t="n">
        <v>8062</v>
      </c>
      <c r="G80" s="19">
        <f>IF(F80=0,0,E80/F80*100)</f>
        <v/>
      </c>
      <c r="H80" s="16" t="n">
        <v>0</v>
      </c>
      <c r="I80" s="16" t="n">
        <v>0</v>
      </c>
      <c r="J80" s="16" t="n">
        <v>0</v>
      </c>
      <c r="K80" s="16" t="n">
        <v>3</v>
      </c>
    </row>
    <row r="81">
      <c r="A81" s="15" t="inlineStr">
        <is>
          <t>17 Jun</t>
        </is>
      </c>
      <c r="B81" s="15" t="inlineStr">
        <is>
          <t>37086</t>
        </is>
      </c>
      <c r="C81" s="16" t="n">
        <v>1</v>
      </c>
      <c r="D81" s="49" t="n">
        <v>93.31</v>
      </c>
      <c r="E81" s="18" t="n">
        <v>7510</v>
      </c>
      <c r="F81" s="18" t="n">
        <v>8016</v>
      </c>
      <c r="G81" s="19">
        <f>IF(F81=0,0,E81/F81*100)</f>
        <v/>
      </c>
      <c r="H81" s="16" t="n">
        <v>0</v>
      </c>
      <c r="I81" s="16" t="n">
        <v>0</v>
      </c>
      <c r="J81" s="16" t="n">
        <v>0</v>
      </c>
      <c r="K81" s="16" t="n">
        <v>2</v>
      </c>
    </row>
    <row r="82">
      <c r="A82" s="15" t="inlineStr">
        <is>
          <t>17 Jun</t>
        </is>
      </c>
      <c r="B82" s="15" t="inlineStr">
        <is>
          <t>39260</t>
        </is>
      </c>
      <c r="C82" s="16" t="n">
        <v>1</v>
      </c>
      <c r="D82" s="49" t="n">
        <v>93.91</v>
      </c>
      <c r="E82" s="18" t="n">
        <v>5168</v>
      </c>
      <c r="F82" s="18" t="n">
        <v>7027</v>
      </c>
      <c r="G82" s="19">
        <f>IF(F82=0,0,E82/F82*100)</f>
        <v/>
      </c>
      <c r="H82" s="16" t="n">
        <v>0</v>
      </c>
      <c r="I82" s="16" t="n">
        <v>0</v>
      </c>
      <c r="J82" s="16" t="n">
        <v>0</v>
      </c>
      <c r="K82" s="16" t="n">
        <v>3</v>
      </c>
    </row>
    <row r="83">
      <c r="A83" s="15" t="inlineStr">
        <is>
          <t>17 Jun</t>
        </is>
      </c>
      <c r="B83" s="15" t="inlineStr">
        <is>
          <t>37884</t>
        </is>
      </c>
      <c r="C83" s="16" t="n">
        <v>1</v>
      </c>
      <c r="D83" s="49" t="n">
        <v>93.91</v>
      </c>
      <c r="E83" s="18" t="n">
        <v>5317</v>
      </c>
      <c r="F83" s="18" t="n">
        <v>6425</v>
      </c>
      <c r="G83" s="19">
        <f>IF(F83=0,0,E83/F83*100)</f>
        <v/>
      </c>
      <c r="H83" s="16" t="n">
        <v>0</v>
      </c>
      <c r="I83" s="16" t="n">
        <v>0</v>
      </c>
      <c r="J83" s="16" t="n">
        <v>0</v>
      </c>
      <c r="K83" s="16" t="n">
        <v>3</v>
      </c>
    </row>
    <row r="84">
      <c r="A84" s="15" t="inlineStr">
        <is>
          <t>17 Jun</t>
        </is>
      </c>
      <c r="B84" s="15" t="inlineStr">
        <is>
          <t>39066</t>
        </is>
      </c>
      <c r="C84" s="16" t="n">
        <v>1</v>
      </c>
      <c r="D84" s="49" t="n">
        <v>93.90000000000001</v>
      </c>
      <c r="E84" s="18" t="n">
        <v>5113</v>
      </c>
      <c r="F84" s="18" t="n">
        <v>6029</v>
      </c>
      <c r="G84" s="19">
        <f>IF(F84=0,0,E84/F84*100)</f>
        <v/>
      </c>
      <c r="H84" s="16" t="n">
        <v>0</v>
      </c>
      <c r="I84" s="16" t="n">
        <v>0</v>
      </c>
      <c r="J84" s="16" t="n">
        <v>0</v>
      </c>
      <c r="K84" s="16" t="n">
        <v>3</v>
      </c>
    </row>
    <row r="85">
      <c r="A85" s="15" t="inlineStr">
        <is>
          <t>17 Jun</t>
        </is>
      </c>
      <c r="B85" s="15" t="inlineStr">
        <is>
          <t>37560</t>
        </is>
      </c>
      <c r="C85" s="16" t="n">
        <v>1</v>
      </c>
      <c r="D85" s="49" t="n">
        <v>93.31</v>
      </c>
      <c r="E85" s="18" t="n">
        <v>5776</v>
      </c>
      <c r="F85" s="18" t="n">
        <v>5875</v>
      </c>
      <c r="G85" s="19">
        <f>IF(F85=0,0,E85/F85*100)</f>
        <v/>
      </c>
      <c r="H85" s="16" t="n">
        <v>0</v>
      </c>
      <c r="I85" s="16" t="n">
        <v>0</v>
      </c>
      <c r="J85" s="16" t="n">
        <v>0</v>
      </c>
      <c r="K85" s="16" t="n">
        <v>1</v>
      </c>
    </row>
    <row r="86">
      <c r="A86" s="15" t="inlineStr">
        <is>
          <t>17 Jun</t>
        </is>
      </c>
      <c r="B86" s="15" t="inlineStr">
        <is>
          <t>39131</t>
        </is>
      </c>
      <c r="C86" s="16" t="n">
        <v>1</v>
      </c>
      <c r="D86" s="49" t="n">
        <v>93.90000000000001</v>
      </c>
      <c r="E86" s="18" t="n">
        <v>4442</v>
      </c>
      <c r="F86" s="18" t="n">
        <v>5580</v>
      </c>
      <c r="G86" s="19">
        <f>IF(F86=0,0,E86/F86*100)</f>
        <v/>
      </c>
      <c r="H86" s="16" t="n">
        <v>0</v>
      </c>
      <c r="I86" s="16" t="n">
        <v>0</v>
      </c>
      <c r="J86" s="16" t="n">
        <v>0</v>
      </c>
      <c r="K86" s="16" t="n">
        <v>4</v>
      </c>
    </row>
    <row r="87">
      <c r="A87" s="15" t="inlineStr">
        <is>
          <t>17 Jun</t>
        </is>
      </c>
      <c r="B87" s="15" t="inlineStr">
        <is>
          <t>39412</t>
        </is>
      </c>
      <c r="C87" s="16" t="n">
        <v>1</v>
      </c>
      <c r="D87" s="49" t="n">
        <v>93.89</v>
      </c>
      <c r="E87" s="18" t="n">
        <v>4275</v>
      </c>
      <c r="F87" s="18" t="n">
        <v>5448</v>
      </c>
      <c r="G87" s="19">
        <f>IF(F87=0,0,E87/F87*100)</f>
        <v/>
      </c>
      <c r="H87" s="16" t="n">
        <v>0</v>
      </c>
      <c r="I87" s="16" t="n">
        <v>0</v>
      </c>
      <c r="J87" s="16" t="n">
        <v>0</v>
      </c>
      <c r="K87" s="16" t="n">
        <v>3</v>
      </c>
    </row>
    <row r="88">
      <c r="A88" s="15" t="inlineStr">
        <is>
          <t>17 Jun</t>
        </is>
      </c>
      <c r="B88" s="15" t="inlineStr">
        <is>
          <t>30480</t>
        </is>
      </c>
      <c r="C88" s="16" t="n">
        <v>1</v>
      </c>
      <c r="D88" s="49" t="n">
        <v>93.83</v>
      </c>
      <c r="E88" s="18" t="n">
        <v>4343</v>
      </c>
      <c r="F88" s="18" t="n">
        <v>5069</v>
      </c>
      <c r="G88" s="19">
        <f>IF(F88=0,0,E88/F88*100)</f>
        <v/>
      </c>
      <c r="H88" s="16" t="n">
        <v>0</v>
      </c>
      <c r="I88" s="16" t="n">
        <v>0</v>
      </c>
      <c r="J88" s="16" t="n">
        <v>0</v>
      </c>
      <c r="K88" s="16" t="n">
        <v>2</v>
      </c>
    </row>
    <row r="89">
      <c r="A89" s="15" t="inlineStr">
        <is>
          <t>17 Jun</t>
        </is>
      </c>
      <c r="B89" s="15" t="inlineStr">
        <is>
          <t>39236</t>
        </is>
      </c>
      <c r="C89" s="16" t="n">
        <v>1</v>
      </c>
      <c r="D89" s="49" t="n">
        <v>93.90000000000001</v>
      </c>
      <c r="E89" s="18" t="n">
        <v>3878</v>
      </c>
      <c r="F89" s="18" t="n">
        <v>5029</v>
      </c>
      <c r="G89" s="19">
        <f>IF(F89=0,0,E89/F89*100)</f>
        <v/>
      </c>
      <c r="H89" s="16" t="n">
        <v>0</v>
      </c>
      <c r="I89" s="16" t="n">
        <v>0</v>
      </c>
      <c r="J89" s="16" t="n">
        <v>0</v>
      </c>
      <c r="K89" s="16" t="n">
        <v>2</v>
      </c>
    </row>
    <row r="90">
      <c r="A90" s="15" t="inlineStr">
        <is>
          <t>17 Jun</t>
        </is>
      </c>
      <c r="B90" s="15" t="inlineStr">
        <is>
          <t>30520</t>
        </is>
      </c>
      <c r="C90" s="16" t="n">
        <v>1</v>
      </c>
      <c r="D90" s="49" t="n">
        <v>93.88</v>
      </c>
      <c r="E90" s="18" t="n">
        <v>3790</v>
      </c>
      <c r="F90" s="18" t="n">
        <v>4824</v>
      </c>
      <c r="G90" s="19">
        <f>IF(F90=0,0,E90/F90*100)</f>
        <v/>
      </c>
      <c r="H90" s="16" t="n">
        <v>0</v>
      </c>
      <c r="I90" s="16" t="n">
        <v>0</v>
      </c>
      <c r="J90" s="16" t="n">
        <v>0</v>
      </c>
      <c r="K90" s="16" t="n">
        <v>2</v>
      </c>
    </row>
    <row r="91">
      <c r="A91" s="15" t="inlineStr">
        <is>
          <t>17 Jun</t>
        </is>
      </c>
      <c r="B91" s="15" t="inlineStr">
        <is>
          <t>30470</t>
        </is>
      </c>
      <c r="C91" s="16" t="n">
        <v>1</v>
      </c>
      <c r="D91" s="49" t="n">
        <v>93.90000000000001</v>
      </c>
      <c r="E91" s="18" t="n">
        <v>4280</v>
      </c>
      <c r="F91" s="18" t="n">
        <v>4763</v>
      </c>
      <c r="G91" s="19">
        <f>IF(F91=0,0,E91/F91*100)</f>
        <v/>
      </c>
      <c r="H91" s="16" t="n">
        <v>0</v>
      </c>
      <c r="I91" s="16" t="n">
        <v>0</v>
      </c>
      <c r="J91" s="16" t="n">
        <v>0</v>
      </c>
      <c r="K91" s="16" t="n">
        <v>2</v>
      </c>
    </row>
    <row r="92">
      <c r="A92" s="15" t="inlineStr">
        <is>
          <t>17 Jun</t>
        </is>
      </c>
      <c r="B92" s="15" t="inlineStr">
        <is>
          <t>30314</t>
        </is>
      </c>
      <c r="C92" s="16" t="n">
        <v>1</v>
      </c>
      <c r="D92" s="49" t="n">
        <v>93.89</v>
      </c>
      <c r="E92" s="18" t="n">
        <v>3756</v>
      </c>
      <c r="F92" s="18" t="n">
        <v>4486</v>
      </c>
      <c r="G92" s="19">
        <f>IF(F92=0,0,E92/F92*100)</f>
        <v/>
      </c>
      <c r="H92" s="16" t="n">
        <v>0</v>
      </c>
      <c r="I92" s="16" t="n">
        <v>0</v>
      </c>
      <c r="J92" s="16" t="n">
        <v>0</v>
      </c>
      <c r="K92" s="16" t="n">
        <v>4</v>
      </c>
    </row>
    <row r="93">
      <c r="A93" s="15" t="inlineStr">
        <is>
          <t>17 Jun</t>
        </is>
      </c>
      <c r="B93" s="15" t="inlineStr">
        <is>
          <t>37217</t>
        </is>
      </c>
      <c r="C93" s="16" t="n">
        <v>1</v>
      </c>
      <c r="D93" s="49" t="n">
        <v>93.88</v>
      </c>
      <c r="E93" s="18" t="n">
        <v>3583</v>
      </c>
      <c r="F93" s="18" t="n">
        <v>4314</v>
      </c>
      <c r="G93" s="19">
        <f>IF(F93=0,0,E93/F93*100)</f>
        <v/>
      </c>
      <c r="H93" s="16" t="n">
        <v>0</v>
      </c>
      <c r="I93" s="16" t="n">
        <v>0</v>
      </c>
      <c r="J93" s="16" t="n">
        <v>0</v>
      </c>
      <c r="K93" s="16" t="n">
        <v>3</v>
      </c>
    </row>
    <row r="94">
      <c r="A94" s="15" t="inlineStr">
        <is>
          <t>17 Jun</t>
        </is>
      </c>
      <c r="B94" s="15" t="inlineStr">
        <is>
          <t>30664</t>
        </is>
      </c>
      <c r="C94" s="16" t="n">
        <v>1</v>
      </c>
      <c r="D94" s="49" t="n">
        <v>93.90000000000001</v>
      </c>
      <c r="E94" s="18" t="n">
        <v>1762</v>
      </c>
      <c r="F94" s="18" t="n">
        <v>2061</v>
      </c>
      <c r="G94" s="19">
        <f>IF(F94=0,0,E94/F94*100)</f>
        <v/>
      </c>
      <c r="H94" s="16" t="n">
        <v>0</v>
      </c>
      <c r="I94" s="16" t="n">
        <v>0</v>
      </c>
      <c r="J94" s="16" t="n">
        <v>0</v>
      </c>
      <c r="K94" s="16" t="n">
        <v>3</v>
      </c>
    </row>
    <row r="95">
      <c r="A95" s="15" t="inlineStr">
        <is>
          <t>17 Jun</t>
        </is>
      </c>
      <c r="B95" s="15" t="inlineStr">
        <is>
          <t>37515</t>
        </is>
      </c>
      <c r="C95" s="16" t="n">
        <v>0</v>
      </c>
      <c r="D95" s="49" t="n">
        <v>37</v>
      </c>
      <c r="E95" s="18" t="n">
        <v>1189</v>
      </c>
      <c r="F95" s="18" t="n">
        <v>3846</v>
      </c>
      <c r="G95" s="19">
        <f>IF(F95=0,0,E95/F95*100)</f>
        <v/>
      </c>
      <c r="H95" s="16" t="n">
        <v>0</v>
      </c>
      <c r="I95" s="16" t="n">
        <v>0</v>
      </c>
      <c r="J95" s="16" t="n">
        <v>0</v>
      </c>
      <c r="K95" s="16" t="n">
        <v>1</v>
      </c>
    </row>
    <row r="96">
      <c r="A96" s="15" t="inlineStr">
        <is>
          <t>17 Jun</t>
        </is>
      </c>
      <c r="B96" s="15" t="inlineStr">
        <is>
          <t>37887</t>
        </is>
      </c>
      <c r="C96" s="16" t="n">
        <v>0</v>
      </c>
      <c r="D96" s="49" t="n">
        <v>83.34999999999999</v>
      </c>
      <c r="E96" s="18" t="n">
        <v>3716</v>
      </c>
      <c r="F96" s="18" t="n">
        <v>3802</v>
      </c>
      <c r="G96" s="19">
        <f>IF(F96=0,0,E96/F96*100)</f>
        <v/>
      </c>
      <c r="H96" s="16" t="n">
        <v>0</v>
      </c>
      <c r="I96" s="16" t="n">
        <v>0</v>
      </c>
      <c r="J96" s="16" t="n">
        <v>0</v>
      </c>
      <c r="K96" s="16" t="n">
        <v>1</v>
      </c>
    </row>
    <row r="97">
      <c r="A97" s="15" t="inlineStr">
        <is>
          <t>17 Jun</t>
        </is>
      </c>
      <c r="B97" s="15" t="inlineStr">
        <is>
          <t>39287</t>
        </is>
      </c>
      <c r="C97" s="16" t="n">
        <v>0</v>
      </c>
      <c r="D97" s="49" t="n">
        <v>60.61</v>
      </c>
      <c r="E97" s="18" t="n">
        <v>3004</v>
      </c>
      <c r="F97" s="18" t="n">
        <v>3154</v>
      </c>
      <c r="G97" s="19">
        <f>IF(F97=0,0,E97/F97*100)</f>
        <v/>
      </c>
      <c r="H97" s="16" t="n">
        <v>2</v>
      </c>
      <c r="I97" s="16" t="n">
        <v>0</v>
      </c>
      <c r="J97" s="16" t="n">
        <v>2</v>
      </c>
      <c r="K97" s="16" t="n">
        <v>3</v>
      </c>
    </row>
    <row r="98">
      <c r="A98" s="15" t="inlineStr">
        <is>
          <t>17 Jun</t>
        </is>
      </c>
      <c r="B98" s="15" t="inlineStr">
        <is>
          <t>37956</t>
        </is>
      </c>
      <c r="C98" s="16" t="n">
        <v>0</v>
      </c>
      <c r="D98" s="49" t="n">
        <v>36.83</v>
      </c>
      <c r="E98" s="18" t="n">
        <v>1709</v>
      </c>
      <c r="F98" s="18" t="n">
        <v>2899</v>
      </c>
      <c r="G98" s="19">
        <f>IF(F98=0,0,E98/F98*100)</f>
        <v/>
      </c>
      <c r="H98" s="16" t="n">
        <v>0</v>
      </c>
      <c r="I98" s="16" t="n">
        <v>0</v>
      </c>
      <c r="J98" s="16" t="n">
        <v>0</v>
      </c>
      <c r="K98" s="16" t="n">
        <v>3</v>
      </c>
    </row>
    <row r="99">
      <c r="A99" s="15" t="inlineStr">
        <is>
          <t>17 Jun</t>
        </is>
      </c>
      <c r="B99" s="15" t="inlineStr">
        <is>
          <t>37566</t>
        </is>
      </c>
      <c r="C99" s="16" t="n">
        <v>0</v>
      </c>
      <c r="D99" s="49" t="n">
        <v>36.95</v>
      </c>
      <c r="E99" s="18" t="n">
        <v>1311</v>
      </c>
      <c r="F99" s="18" t="n">
        <v>2480</v>
      </c>
      <c r="G99" s="19">
        <f>IF(F99=0,0,E99/F99*100)</f>
        <v/>
      </c>
      <c r="H99" s="16" t="n">
        <v>0</v>
      </c>
      <c r="I99" s="16" t="n">
        <v>0</v>
      </c>
      <c r="J99" s="16" t="n">
        <v>0</v>
      </c>
      <c r="K99" s="16" t="n">
        <v>2</v>
      </c>
    </row>
    <row r="100">
      <c r="A100" s="15" t="inlineStr">
        <is>
          <t>17 Jun</t>
        </is>
      </c>
      <c r="B100" s="15" t="inlineStr">
        <is>
          <t>30746</t>
        </is>
      </c>
      <c r="C100" s="16" t="n">
        <v>0</v>
      </c>
      <c r="D100" s="49" t="n">
        <v>36.78</v>
      </c>
      <c r="E100" s="18" t="n">
        <v>757</v>
      </c>
      <c r="F100" s="18" t="n">
        <v>2189</v>
      </c>
      <c r="G100" s="19">
        <f>IF(F100=0,0,E100/F100*100)</f>
        <v/>
      </c>
      <c r="H100" s="16" t="n">
        <v>0</v>
      </c>
      <c r="I100" s="16" t="n">
        <v>0</v>
      </c>
      <c r="J100" s="16" t="n">
        <v>0</v>
      </c>
      <c r="K100" s="16" t="n">
        <v>1</v>
      </c>
    </row>
    <row r="101">
      <c r="A101" s="15" t="inlineStr">
        <is>
          <t>17 Jun</t>
        </is>
      </c>
      <c r="B101" s="15" t="inlineStr">
        <is>
          <t>39466</t>
        </is>
      </c>
      <c r="C101" s="16" t="n">
        <v>0</v>
      </c>
      <c r="D101" s="49" t="n">
        <v>37.91</v>
      </c>
      <c r="E101" s="18" t="n">
        <v>956</v>
      </c>
      <c r="F101" s="18" t="n">
        <v>1916</v>
      </c>
      <c r="G101" s="19">
        <f>IF(F101=0,0,E101/F101*100)</f>
        <v/>
      </c>
      <c r="H101" s="16" t="n">
        <v>0</v>
      </c>
      <c r="I101" s="16" t="n">
        <v>0</v>
      </c>
      <c r="J101" s="16" t="n">
        <v>0</v>
      </c>
      <c r="K101" s="16" t="n">
        <v>1</v>
      </c>
    </row>
    <row r="102">
      <c r="A102" s="15" t="inlineStr">
        <is>
          <t>17 Jun</t>
        </is>
      </c>
      <c r="B102" s="15" t="inlineStr">
        <is>
          <t>39308</t>
        </is>
      </c>
      <c r="C102" s="16" t="n">
        <v>0</v>
      </c>
      <c r="D102" s="49" t="n">
        <v>36.76</v>
      </c>
      <c r="E102" s="18" t="n">
        <v>931</v>
      </c>
      <c r="F102" s="18" t="n">
        <v>1837</v>
      </c>
      <c r="G102" s="19">
        <f>IF(F102=0,0,E102/F102*100)</f>
        <v/>
      </c>
      <c r="H102" s="16" t="n">
        <v>0</v>
      </c>
      <c r="I102" s="16" t="n">
        <v>0</v>
      </c>
      <c r="J102" s="16" t="n">
        <v>0</v>
      </c>
      <c r="K102" s="16" t="n">
        <v>1</v>
      </c>
    </row>
    <row r="103">
      <c r="A103" s="15" t="inlineStr">
        <is>
          <t>17 Jun</t>
        </is>
      </c>
      <c r="B103" s="15" t="inlineStr">
        <is>
          <t>30829</t>
        </is>
      </c>
      <c r="C103" s="16" t="n">
        <v>0</v>
      </c>
      <c r="D103" s="49" t="n">
        <v>46.92</v>
      </c>
      <c r="E103" s="18" t="n">
        <v>1565</v>
      </c>
      <c r="F103" s="18" t="n">
        <v>1820</v>
      </c>
      <c r="G103" s="19">
        <f>IF(F103=0,0,E103/F103*100)</f>
        <v/>
      </c>
      <c r="H103" s="16" t="n">
        <v>1</v>
      </c>
      <c r="I103" s="16" t="n">
        <v>0</v>
      </c>
      <c r="J103" s="16" t="n">
        <v>1</v>
      </c>
      <c r="K103" s="16" t="n">
        <v>7</v>
      </c>
    </row>
    <row r="104">
      <c r="A104" s="15" t="inlineStr">
        <is>
          <t>17 Jun</t>
        </is>
      </c>
      <c r="B104" s="15" t="inlineStr">
        <is>
          <t>37813</t>
        </is>
      </c>
      <c r="C104" s="16" t="n">
        <v>0</v>
      </c>
      <c r="D104" s="49" t="n">
        <v>38.46</v>
      </c>
      <c r="E104" s="18" t="n">
        <v>1041</v>
      </c>
      <c r="F104" s="18" t="n">
        <v>1718</v>
      </c>
      <c r="G104" s="19">
        <f>IF(F104=0,0,E104/F104*100)</f>
        <v/>
      </c>
      <c r="H104" s="16" t="n">
        <v>0</v>
      </c>
      <c r="I104" s="16" t="n">
        <v>0</v>
      </c>
      <c r="J104" s="16" t="n">
        <v>0</v>
      </c>
      <c r="K104" s="16" t="n">
        <v>1</v>
      </c>
    </row>
    <row r="105">
      <c r="A105" s="15" t="inlineStr">
        <is>
          <t>17 Jun</t>
        </is>
      </c>
      <c r="B105" s="15" t="inlineStr">
        <is>
          <t>39311</t>
        </is>
      </c>
      <c r="C105" s="16" t="n">
        <v>0</v>
      </c>
      <c r="D105" s="49" t="n">
        <v>41.02</v>
      </c>
      <c r="E105" s="18" t="n">
        <v>993</v>
      </c>
      <c r="F105" s="18" t="n">
        <v>1704</v>
      </c>
      <c r="G105" s="19">
        <f>IF(F105=0,0,E105/F105*100)</f>
        <v/>
      </c>
      <c r="H105" s="16" t="n">
        <v>0</v>
      </c>
      <c r="I105" s="16" t="n">
        <v>0</v>
      </c>
      <c r="J105" s="16" t="n">
        <v>0</v>
      </c>
      <c r="K105" s="16" t="n">
        <v>1</v>
      </c>
    </row>
    <row r="106">
      <c r="A106" s="15" t="inlineStr">
        <is>
          <t>17 Jun</t>
        </is>
      </c>
      <c r="B106" s="15" t="inlineStr">
        <is>
          <t>37684</t>
        </is>
      </c>
      <c r="C106" s="16" t="n">
        <v>0</v>
      </c>
      <c r="D106" s="49" t="n">
        <v>39.47</v>
      </c>
      <c r="E106" s="18" t="n">
        <v>1101</v>
      </c>
      <c r="F106" s="18" t="n">
        <v>1695</v>
      </c>
      <c r="G106" s="19">
        <f>IF(F106=0,0,E106/F106*100)</f>
        <v/>
      </c>
      <c r="H106" s="16" t="n">
        <v>0</v>
      </c>
      <c r="I106" s="16" t="n">
        <v>0</v>
      </c>
      <c r="J106" s="16" t="n">
        <v>0</v>
      </c>
      <c r="K106" s="16" t="n">
        <v>1</v>
      </c>
    </row>
    <row r="107">
      <c r="A107" s="15" t="inlineStr">
        <is>
          <t>17 Jun</t>
        </is>
      </c>
      <c r="B107" s="15" t="inlineStr">
        <is>
          <t>37793</t>
        </is>
      </c>
      <c r="C107" s="16" t="n">
        <v>0</v>
      </c>
      <c r="D107" s="49" t="n">
        <v>36.7</v>
      </c>
      <c r="E107" s="18" t="n">
        <v>928</v>
      </c>
      <c r="F107" s="18" t="n">
        <v>1501</v>
      </c>
      <c r="G107" s="19">
        <f>IF(F107=0,0,E107/F107*100)</f>
        <v/>
      </c>
      <c r="H107" s="16" t="n">
        <v>0</v>
      </c>
      <c r="I107" s="16" t="n">
        <v>0</v>
      </c>
      <c r="J107" s="16" t="n">
        <v>0</v>
      </c>
      <c r="K107" s="16" t="n">
        <v>1</v>
      </c>
    </row>
    <row r="108">
      <c r="A108" s="15" t="inlineStr">
        <is>
          <t>17 Jun</t>
        </is>
      </c>
      <c r="B108" s="15" t="inlineStr">
        <is>
          <t>30791</t>
        </is>
      </c>
      <c r="C108" s="16" t="n">
        <v>0</v>
      </c>
      <c r="D108" s="49" t="n">
        <v>36.91</v>
      </c>
      <c r="E108" s="18" t="n">
        <v>875</v>
      </c>
      <c r="F108" s="18" t="n">
        <v>1457</v>
      </c>
      <c r="G108" s="19">
        <f>IF(F108=0,0,E108/F108*100)</f>
        <v/>
      </c>
      <c r="H108" s="16" t="n">
        <v>0</v>
      </c>
      <c r="I108" s="16" t="n">
        <v>0</v>
      </c>
      <c r="J108" s="16" t="n">
        <v>0</v>
      </c>
      <c r="K108" s="16" t="n">
        <v>2</v>
      </c>
    </row>
    <row r="109">
      <c r="A109" s="15" t="inlineStr">
        <is>
          <t>17 Jun</t>
        </is>
      </c>
      <c r="B109" s="15" t="inlineStr">
        <is>
          <t>39014</t>
        </is>
      </c>
      <c r="C109" s="16" t="n">
        <v>0</v>
      </c>
      <c r="D109" s="49" t="n">
        <v>36.72</v>
      </c>
      <c r="E109" s="18" t="n">
        <v>839</v>
      </c>
      <c r="F109" s="18" t="n">
        <v>1395</v>
      </c>
      <c r="G109" s="19">
        <f>IF(F109=0,0,E109/F109*100)</f>
        <v/>
      </c>
      <c r="H109" s="16" t="n">
        <v>0</v>
      </c>
      <c r="I109" s="16" t="n">
        <v>0</v>
      </c>
      <c r="J109" s="16" t="n">
        <v>0</v>
      </c>
      <c r="K109" s="16" t="n">
        <v>1</v>
      </c>
    </row>
    <row r="110">
      <c r="A110" s="15" t="inlineStr">
        <is>
          <t>17 Jun</t>
        </is>
      </c>
      <c r="B110" s="15" t="inlineStr">
        <is>
          <t>39331</t>
        </is>
      </c>
      <c r="C110" s="16" t="n">
        <v>0</v>
      </c>
      <c r="D110" s="49" t="n">
        <v>36.87</v>
      </c>
      <c r="E110" s="18" t="n">
        <v>707</v>
      </c>
      <c r="F110" s="18" t="n">
        <v>1086</v>
      </c>
      <c r="G110" s="19">
        <f>IF(F110=0,0,E110/F110*100)</f>
        <v/>
      </c>
      <c r="H110" s="16" t="n">
        <v>0</v>
      </c>
      <c r="I110" s="16" t="n">
        <v>0</v>
      </c>
      <c r="J110" s="16" t="n">
        <v>0</v>
      </c>
      <c r="K110" s="16" t="n">
        <v>0</v>
      </c>
    </row>
    <row r="111">
      <c r="A111" s="15" t="inlineStr">
        <is>
          <t>17 Jun</t>
        </is>
      </c>
      <c r="B111" s="15" t="inlineStr">
        <is>
          <t>41878</t>
        </is>
      </c>
      <c r="C111" s="16" t="n">
        <v>0</v>
      </c>
      <c r="D111" s="49" t="n">
        <v>0.41</v>
      </c>
      <c r="E111" s="18" t="n">
        <v>316</v>
      </c>
      <c r="F111" s="18" t="n">
        <v>800</v>
      </c>
      <c r="G111" s="19">
        <f>IF(F111=0,0,E111/F111*100)</f>
        <v/>
      </c>
      <c r="H111" s="16" t="n">
        <v>0</v>
      </c>
      <c r="I111" s="16" t="n">
        <v>0</v>
      </c>
      <c r="J111" s="16" t="n">
        <v>0</v>
      </c>
      <c r="K111" s="16" t="n">
        <v>3</v>
      </c>
    </row>
    <row r="112">
      <c r="A112" s="15" t="inlineStr">
        <is>
          <t>17 Jun</t>
        </is>
      </c>
      <c r="B112" s="15" t="inlineStr">
        <is>
          <t>30415</t>
        </is>
      </c>
      <c r="C112" s="16" t="n">
        <v>0</v>
      </c>
      <c r="D112" s="49" t="n">
        <v>0.47</v>
      </c>
      <c r="E112" s="18" t="n">
        <v>64</v>
      </c>
      <c r="F112" s="18" t="n">
        <v>737</v>
      </c>
      <c r="G112" s="19">
        <f>IF(F112=0,0,E112/F112*100)</f>
        <v/>
      </c>
      <c r="H112" s="16" t="n">
        <v>0</v>
      </c>
      <c r="I112" s="16" t="n">
        <v>0</v>
      </c>
      <c r="J112" s="16" t="n">
        <v>0</v>
      </c>
      <c r="K112" s="16" t="n">
        <v>0</v>
      </c>
    </row>
    <row r="113">
      <c r="A113" s="20" t="inlineStr">
        <is>
          <t>17 Jun</t>
        </is>
      </c>
      <c r="B113" s="20" t="inlineStr">
        <is>
          <t>Day Total</t>
        </is>
      </c>
      <c r="C113" s="21">
        <f>SUM(C75:C112)</f>
        <v/>
      </c>
      <c r="D113" s="50">
        <f>SUM(D75:D112)</f>
        <v/>
      </c>
      <c r="E113" s="23">
        <f>SUM(E75:E112)</f>
        <v/>
      </c>
      <c r="F113" s="23">
        <f>SUMIF(E75:E112,"&gt;0",F75:F112)</f>
        <v/>
      </c>
      <c r="G113" s="24">
        <f>IF(F113=0,0,E113/F113*100)</f>
        <v/>
      </c>
      <c r="H113" s="21">
        <f>SUM(H75:H112)</f>
        <v/>
      </c>
      <c r="I113" s="21">
        <f>SUM(I75:I112)</f>
        <v/>
      </c>
      <c r="J113" s="21">
        <f>SUM(J75:J112)</f>
        <v/>
      </c>
      <c r="K113" s="21">
        <f>SUM(K75:K112)</f>
        <v/>
      </c>
    </row>
    <row r="114">
      <c r="A114" s="15" t="inlineStr">
        <is>
          <t>18 Jun</t>
        </is>
      </c>
      <c r="B114" s="15" t="inlineStr">
        <is>
          <t>30531</t>
        </is>
      </c>
      <c r="C114" s="16" t="n">
        <v>2</v>
      </c>
      <c r="D114" s="49" t="n">
        <v>93.91</v>
      </c>
      <c r="E114" s="18" t="n">
        <v>8902</v>
      </c>
      <c r="F114" s="18" t="n">
        <v>10398</v>
      </c>
      <c r="G114" s="19">
        <f>IF(F114=0,0,E114/F114*100)</f>
        <v/>
      </c>
      <c r="H114" s="16" t="n">
        <v>0</v>
      </c>
      <c r="I114" s="16" t="n">
        <v>0</v>
      </c>
      <c r="J114" s="16" t="n">
        <v>0</v>
      </c>
      <c r="K114" s="16" t="n">
        <v>5</v>
      </c>
    </row>
    <row r="115">
      <c r="A115" s="15" t="inlineStr">
        <is>
          <t>18 Jun</t>
        </is>
      </c>
      <c r="B115" s="15" t="inlineStr">
        <is>
          <t>39311</t>
        </is>
      </c>
      <c r="C115" s="16" t="n">
        <v>2</v>
      </c>
      <c r="D115" s="49" t="n">
        <v>93.90000000000001</v>
      </c>
      <c r="E115" s="18" t="n">
        <v>8391</v>
      </c>
      <c r="F115" s="18" t="n">
        <v>9777</v>
      </c>
      <c r="G115" s="19">
        <f>IF(F115=0,0,E115/F115*100)</f>
        <v/>
      </c>
      <c r="H115" s="16" t="n">
        <v>0</v>
      </c>
      <c r="I115" s="16" t="n">
        <v>0</v>
      </c>
      <c r="J115" s="16" t="n">
        <v>0</v>
      </c>
      <c r="K115" s="16" t="n">
        <v>5</v>
      </c>
    </row>
    <row r="116">
      <c r="A116" s="15" t="inlineStr">
        <is>
          <t>18 Jun</t>
        </is>
      </c>
      <c r="B116" s="15" t="inlineStr">
        <is>
          <t>30460</t>
        </is>
      </c>
      <c r="C116" s="16" t="n">
        <v>2</v>
      </c>
      <c r="D116" s="49" t="n">
        <v>93.91</v>
      </c>
      <c r="E116" s="18" t="n">
        <v>8546</v>
      </c>
      <c r="F116" s="18" t="n">
        <v>9606</v>
      </c>
      <c r="G116" s="19">
        <f>IF(F116=0,0,E116/F116*100)</f>
        <v/>
      </c>
      <c r="H116" s="16" t="n">
        <v>1</v>
      </c>
      <c r="I116" s="16" t="n">
        <v>1</v>
      </c>
      <c r="J116" s="16" t="n">
        <v>0</v>
      </c>
      <c r="K116" s="16" t="n">
        <v>6</v>
      </c>
    </row>
    <row r="117">
      <c r="A117" s="15" t="inlineStr">
        <is>
          <t>18 Jun</t>
        </is>
      </c>
      <c r="B117" s="15" t="inlineStr">
        <is>
          <t>37934</t>
        </is>
      </c>
      <c r="C117" s="16" t="n">
        <v>1</v>
      </c>
      <c r="D117" s="49" t="n">
        <v>90.89</v>
      </c>
      <c r="E117" s="18" t="n">
        <v>8733</v>
      </c>
      <c r="F117" s="18" t="n">
        <v>9148</v>
      </c>
      <c r="G117" s="19">
        <f>IF(F117=0,0,E117/F117*100)</f>
        <v/>
      </c>
      <c r="H117" s="16" t="n">
        <v>1</v>
      </c>
      <c r="I117" s="16" t="n">
        <v>1</v>
      </c>
      <c r="J117" s="16" t="n">
        <v>0</v>
      </c>
      <c r="K117" s="16" t="n">
        <v>7</v>
      </c>
    </row>
    <row r="118">
      <c r="A118" s="15" t="inlineStr">
        <is>
          <t>18 Jun</t>
        </is>
      </c>
      <c r="B118" s="15" t="inlineStr">
        <is>
          <t>30823</t>
        </is>
      </c>
      <c r="C118" s="16" t="n">
        <v>1</v>
      </c>
      <c r="D118" s="49" t="n">
        <v>93.87</v>
      </c>
      <c r="E118" s="18" t="n">
        <v>6552</v>
      </c>
      <c r="F118" s="18" t="n">
        <v>7402</v>
      </c>
      <c r="G118" s="19">
        <f>IF(F118=0,0,E118/F118*100)</f>
        <v/>
      </c>
      <c r="H118" s="16" t="n">
        <v>0</v>
      </c>
      <c r="I118" s="16" t="n">
        <v>0</v>
      </c>
      <c r="J118" s="16" t="n">
        <v>0</v>
      </c>
      <c r="K118" s="16" t="n">
        <v>2</v>
      </c>
    </row>
    <row r="119">
      <c r="A119" s="15" t="inlineStr">
        <is>
          <t>18 Jun</t>
        </is>
      </c>
      <c r="B119" s="15" t="inlineStr">
        <is>
          <t>37339</t>
        </is>
      </c>
      <c r="C119" s="16" t="n">
        <v>1</v>
      </c>
      <c r="D119" s="49" t="n">
        <v>93.91</v>
      </c>
      <c r="E119" s="18" t="n">
        <v>5721</v>
      </c>
      <c r="F119" s="18" t="n">
        <v>6296</v>
      </c>
      <c r="G119" s="19">
        <f>IF(F119=0,0,E119/F119*100)</f>
        <v/>
      </c>
      <c r="H119" s="16" t="n">
        <v>0</v>
      </c>
      <c r="I119" s="16" t="n">
        <v>0</v>
      </c>
      <c r="J119" s="16" t="n">
        <v>0</v>
      </c>
      <c r="K119" s="16" t="n">
        <v>3</v>
      </c>
    </row>
    <row r="120">
      <c r="A120" s="15" t="inlineStr">
        <is>
          <t>18 Jun</t>
        </is>
      </c>
      <c r="B120" s="15" t="inlineStr">
        <is>
          <t>37577</t>
        </is>
      </c>
      <c r="C120" s="16" t="n">
        <v>1</v>
      </c>
      <c r="D120" s="49" t="n">
        <v>93.90000000000001</v>
      </c>
      <c r="E120" s="18" t="n">
        <v>5210</v>
      </c>
      <c r="F120" s="18" t="n">
        <v>6162</v>
      </c>
      <c r="G120" s="19">
        <f>IF(F120=0,0,E120/F120*100)</f>
        <v/>
      </c>
      <c r="H120" s="16" t="n">
        <v>0</v>
      </c>
      <c r="I120" s="16" t="n">
        <v>0</v>
      </c>
      <c r="J120" s="16" t="n">
        <v>0</v>
      </c>
      <c r="K120" s="16" t="n">
        <v>2</v>
      </c>
    </row>
    <row r="121">
      <c r="A121" s="15" t="inlineStr">
        <is>
          <t>18 Jun</t>
        </is>
      </c>
      <c r="B121" s="15" t="inlineStr">
        <is>
          <t>30173</t>
        </is>
      </c>
      <c r="C121" s="16" t="n">
        <v>1</v>
      </c>
      <c r="D121" s="49" t="n">
        <v>93.89</v>
      </c>
      <c r="E121" s="18" t="n">
        <v>4774</v>
      </c>
      <c r="F121" s="18" t="n">
        <v>5286</v>
      </c>
      <c r="G121" s="19">
        <f>IF(F121=0,0,E121/F121*100)</f>
        <v/>
      </c>
      <c r="H121" s="16" t="n">
        <v>0</v>
      </c>
      <c r="I121" s="16" t="n">
        <v>0</v>
      </c>
      <c r="J121" s="16" t="n">
        <v>0</v>
      </c>
      <c r="K121" s="16" t="n">
        <v>4</v>
      </c>
    </row>
    <row r="122">
      <c r="A122" s="15" t="inlineStr">
        <is>
          <t>18 Jun</t>
        </is>
      </c>
      <c r="B122" s="15" t="inlineStr">
        <is>
          <t>30606</t>
        </is>
      </c>
      <c r="C122" s="16" t="n">
        <v>1</v>
      </c>
      <c r="D122" s="49" t="n">
        <v>93.89</v>
      </c>
      <c r="E122" s="18" t="n">
        <v>4543</v>
      </c>
      <c r="F122" s="18" t="n">
        <v>5274</v>
      </c>
      <c r="G122" s="19">
        <f>IF(F122=0,0,E122/F122*100)</f>
        <v/>
      </c>
      <c r="H122" s="16" t="n">
        <v>0</v>
      </c>
      <c r="I122" s="16" t="n">
        <v>0</v>
      </c>
      <c r="J122" s="16" t="n">
        <v>0</v>
      </c>
      <c r="K122" s="16" t="n">
        <v>4</v>
      </c>
    </row>
    <row r="123">
      <c r="A123" s="15" t="inlineStr">
        <is>
          <t>18 Jun</t>
        </is>
      </c>
      <c r="B123" s="15" t="inlineStr">
        <is>
          <t>37453</t>
        </is>
      </c>
      <c r="C123" s="16" t="n">
        <v>1</v>
      </c>
      <c r="D123" s="49" t="n">
        <v>93.90000000000001</v>
      </c>
      <c r="E123" s="18" t="n">
        <v>4138</v>
      </c>
      <c r="F123" s="18" t="n">
        <v>5061</v>
      </c>
      <c r="G123" s="19">
        <f>IF(F123=0,0,E123/F123*100)</f>
        <v/>
      </c>
      <c r="H123" s="16" t="n">
        <v>0</v>
      </c>
      <c r="I123" s="16" t="n">
        <v>0</v>
      </c>
      <c r="J123" s="16" t="n">
        <v>0</v>
      </c>
      <c r="K123" s="16" t="n">
        <v>3</v>
      </c>
    </row>
    <row r="124">
      <c r="A124" s="15" t="inlineStr">
        <is>
          <t>18 Jun</t>
        </is>
      </c>
      <c r="B124" s="15" t="inlineStr">
        <is>
          <t>30153</t>
        </is>
      </c>
      <c r="C124" s="16" t="n">
        <v>1</v>
      </c>
      <c r="D124" s="49" t="n">
        <v>93.89</v>
      </c>
      <c r="E124" s="18" t="n">
        <v>4305</v>
      </c>
      <c r="F124" s="18" t="n">
        <v>5012</v>
      </c>
      <c r="G124" s="19">
        <f>IF(F124=0,0,E124/F124*100)</f>
        <v/>
      </c>
      <c r="H124" s="16" t="n">
        <v>0</v>
      </c>
      <c r="I124" s="16" t="n">
        <v>0</v>
      </c>
      <c r="J124" s="16" t="n">
        <v>0</v>
      </c>
      <c r="K124" s="16" t="n">
        <v>4</v>
      </c>
    </row>
    <row r="125">
      <c r="A125" s="15" t="inlineStr">
        <is>
          <t>18 Jun</t>
        </is>
      </c>
      <c r="B125" s="15" t="inlineStr">
        <is>
          <t>39131</t>
        </is>
      </c>
      <c r="C125" s="16" t="n">
        <v>1</v>
      </c>
      <c r="D125" s="49" t="n">
        <v>93.88</v>
      </c>
      <c r="E125" s="18" t="n">
        <v>4497</v>
      </c>
      <c r="F125" s="18" t="n">
        <v>4936</v>
      </c>
      <c r="G125" s="19">
        <f>IF(F125=0,0,E125/F125*100)</f>
        <v/>
      </c>
      <c r="H125" s="16" t="n">
        <v>0</v>
      </c>
      <c r="I125" s="16" t="n">
        <v>0</v>
      </c>
      <c r="J125" s="16" t="n">
        <v>0</v>
      </c>
      <c r="K125" s="16" t="n">
        <v>1</v>
      </c>
    </row>
    <row r="126">
      <c r="A126" s="15" t="inlineStr">
        <is>
          <t>18 Jun</t>
        </is>
      </c>
      <c r="B126" s="15" t="inlineStr">
        <is>
          <t>39066</t>
        </is>
      </c>
      <c r="C126" s="16" t="n">
        <v>1</v>
      </c>
      <c r="D126" s="49" t="n">
        <v>93.88</v>
      </c>
      <c r="E126" s="18" t="n">
        <v>4323</v>
      </c>
      <c r="F126" s="18" t="n">
        <v>4915</v>
      </c>
      <c r="G126" s="19">
        <f>IF(F126=0,0,E126/F126*100)</f>
        <v/>
      </c>
      <c r="H126" s="16" t="n">
        <v>0</v>
      </c>
      <c r="I126" s="16" t="n">
        <v>0</v>
      </c>
      <c r="J126" s="16" t="n">
        <v>0</v>
      </c>
      <c r="K126" s="16" t="n">
        <v>5</v>
      </c>
    </row>
    <row r="127">
      <c r="A127" s="15" t="inlineStr">
        <is>
          <t>18 Jun</t>
        </is>
      </c>
      <c r="B127" s="15" t="inlineStr">
        <is>
          <t>39259</t>
        </is>
      </c>
      <c r="C127" s="16" t="n">
        <v>1</v>
      </c>
      <c r="D127" s="49" t="n">
        <v>93.90000000000001</v>
      </c>
      <c r="E127" s="18" t="n">
        <v>3794</v>
      </c>
      <c r="F127" s="18" t="n">
        <v>4671</v>
      </c>
      <c r="G127" s="19">
        <f>IF(F127=0,0,E127/F127*100)</f>
        <v/>
      </c>
      <c r="H127" s="16" t="n">
        <v>0</v>
      </c>
      <c r="I127" s="16" t="n">
        <v>0</v>
      </c>
      <c r="J127" s="16" t="n">
        <v>0</v>
      </c>
      <c r="K127" s="16" t="n">
        <v>2</v>
      </c>
    </row>
    <row r="128">
      <c r="A128" s="15" t="inlineStr">
        <is>
          <t>18 Jun</t>
        </is>
      </c>
      <c r="B128" s="15" t="inlineStr">
        <is>
          <t>39235</t>
        </is>
      </c>
      <c r="C128" s="16" t="n">
        <v>1</v>
      </c>
      <c r="D128" s="49" t="n">
        <v>93.90000000000001</v>
      </c>
      <c r="E128" s="18" t="n">
        <v>3549</v>
      </c>
      <c r="F128" s="18" t="n">
        <v>4546</v>
      </c>
      <c r="G128" s="19">
        <f>IF(F128=0,0,E128/F128*100)</f>
        <v/>
      </c>
      <c r="H128" s="16" t="n">
        <v>0</v>
      </c>
      <c r="I128" s="16" t="n">
        <v>0</v>
      </c>
      <c r="J128" s="16" t="n">
        <v>0</v>
      </c>
      <c r="K128" s="16" t="n">
        <v>5</v>
      </c>
    </row>
    <row r="129">
      <c r="A129" s="15" t="inlineStr">
        <is>
          <t>18 Jun</t>
        </is>
      </c>
      <c r="B129" s="15" t="inlineStr">
        <is>
          <t>37505</t>
        </is>
      </c>
      <c r="C129" s="16" t="n">
        <v>1</v>
      </c>
      <c r="D129" s="49" t="n">
        <v>93.89</v>
      </c>
      <c r="E129" s="18" t="n">
        <v>3528</v>
      </c>
      <c r="F129" s="18" t="n">
        <v>3791</v>
      </c>
      <c r="G129" s="19">
        <f>IF(F129=0,0,E129/F129*100)</f>
        <v/>
      </c>
      <c r="H129" s="16" t="n">
        <v>0</v>
      </c>
      <c r="I129" s="16" t="n">
        <v>0</v>
      </c>
      <c r="J129" s="16" t="n">
        <v>0</v>
      </c>
      <c r="K129" s="16" t="n">
        <v>3</v>
      </c>
    </row>
    <row r="130">
      <c r="A130" s="15" t="inlineStr">
        <is>
          <t>18 Jun</t>
        </is>
      </c>
      <c r="B130" s="15" t="inlineStr">
        <is>
          <t>37337</t>
        </is>
      </c>
      <c r="C130" s="16" t="n">
        <v>0</v>
      </c>
      <c r="D130" s="49" t="n">
        <v>67.84</v>
      </c>
      <c r="E130" s="18" t="n">
        <v>3820</v>
      </c>
      <c r="F130" s="18" t="n">
        <v>4966</v>
      </c>
      <c r="G130" s="19">
        <f>IF(F130=0,0,E130/F130*100)</f>
        <v/>
      </c>
      <c r="H130" s="16" t="n">
        <v>0</v>
      </c>
      <c r="I130" s="16" t="n">
        <v>0</v>
      </c>
      <c r="J130" s="16" t="n">
        <v>0</v>
      </c>
      <c r="K130" s="16" t="n">
        <v>1</v>
      </c>
    </row>
    <row r="131">
      <c r="A131" s="15" t="inlineStr">
        <is>
          <t>18 Jun</t>
        </is>
      </c>
      <c r="B131" s="15" t="inlineStr">
        <is>
          <t>37853</t>
        </is>
      </c>
      <c r="C131" s="16" t="n">
        <v>0</v>
      </c>
      <c r="D131" s="49" t="n">
        <v>37.04</v>
      </c>
      <c r="E131" s="18" t="n">
        <v>1277</v>
      </c>
      <c r="F131" s="18" t="n">
        <v>2286</v>
      </c>
      <c r="G131" s="19">
        <f>IF(F131=0,0,E131/F131*100)</f>
        <v/>
      </c>
      <c r="H131" s="16" t="n">
        <v>0</v>
      </c>
      <c r="I131" s="16" t="n">
        <v>0</v>
      </c>
      <c r="J131" s="16" t="n">
        <v>0</v>
      </c>
      <c r="K131" s="16" t="n">
        <v>1</v>
      </c>
    </row>
    <row r="132">
      <c r="A132" s="15" t="inlineStr">
        <is>
          <t>18 Jun</t>
        </is>
      </c>
      <c r="B132" s="15" t="inlineStr">
        <is>
          <t>37956</t>
        </is>
      </c>
      <c r="C132" s="16" t="n">
        <v>0</v>
      </c>
      <c r="D132" s="49" t="n">
        <v>63.91</v>
      </c>
      <c r="E132" s="18" t="n">
        <v>1905</v>
      </c>
      <c r="F132" s="18" t="n">
        <v>2112</v>
      </c>
      <c r="G132" s="19">
        <f>IF(F132=0,0,E132/F132*100)</f>
        <v/>
      </c>
      <c r="H132" s="16" t="n">
        <v>0</v>
      </c>
      <c r="I132" s="16" t="n">
        <v>0</v>
      </c>
      <c r="J132" s="16" t="n">
        <v>0</v>
      </c>
      <c r="K132" s="16" t="n">
        <v>5</v>
      </c>
    </row>
    <row r="133">
      <c r="A133" s="15" t="inlineStr">
        <is>
          <t>18 Jun</t>
        </is>
      </c>
      <c r="B133" s="15" t="inlineStr">
        <is>
          <t>37275</t>
        </is>
      </c>
      <c r="C133" s="16" t="n">
        <v>0</v>
      </c>
      <c r="D133" s="49" t="n">
        <v>41.72</v>
      </c>
      <c r="E133" s="18" t="n">
        <v>1970</v>
      </c>
      <c r="F133" s="18" t="n">
        <v>2062</v>
      </c>
      <c r="G133" s="19">
        <f>IF(F133=0,0,E133/F133*100)</f>
        <v/>
      </c>
      <c r="H133" s="16" t="n">
        <v>0</v>
      </c>
      <c r="I133" s="16" t="n">
        <v>0</v>
      </c>
      <c r="J133" s="16" t="n">
        <v>0</v>
      </c>
      <c r="K133" s="16" t="n">
        <v>1</v>
      </c>
    </row>
    <row r="134">
      <c r="A134" s="15" t="inlineStr">
        <is>
          <t>18 Jun</t>
        </is>
      </c>
      <c r="B134" s="15" t="inlineStr">
        <is>
          <t>30635</t>
        </is>
      </c>
      <c r="C134" s="16" t="n">
        <v>0</v>
      </c>
      <c r="D134" s="49" t="n">
        <v>52.72</v>
      </c>
      <c r="E134" s="18" t="n">
        <v>1219</v>
      </c>
      <c r="F134" s="18" t="n">
        <v>2013</v>
      </c>
      <c r="G134" s="19">
        <f>IF(F134=0,0,E134/F134*100)</f>
        <v/>
      </c>
      <c r="H134" s="16" t="n">
        <v>0</v>
      </c>
      <c r="I134" s="16" t="n">
        <v>0</v>
      </c>
      <c r="J134" s="16" t="n">
        <v>0</v>
      </c>
      <c r="K134" s="16" t="n">
        <v>1</v>
      </c>
    </row>
    <row r="135">
      <c r="A135" s="15" t="inlineStr">
        <is>
          <t>18 Jun</t>
        </is>
      </c>
      <c r="B135" s="15" t="inlineStr">
        <is>
          <t>39030</t>
        </is>
      </c>
      <c r="C135" s="16" t="n">
        <v>0</v>
      </c>
      <c r="D135" s="49" t="n">
        <v>43.33</v>
      </c>
      <c r="E135" s="18" t="n">
        <v>939</v>
      </c>
      <c r="F135" s="18" t="n">
        <v>1935</v>
      </c>
      <c r="G135" s="19">
        <f>IF(F135=0,0,E135/F135*100)</f>
        <v/>
      </c>
      <c r="H135" s="16" t="n">
        <v>0</v>
      </c>
      <c r="I135" s="16" t="n">
        <v>0</v>
      </c>
      <c r="J135" s="16" t="n">
        <v>0</v>
      </c>
      <c r="K135" s="16" t="n">
        <v>1</v>
      </c>
    </row>
    <row r="136">
      <c r="A136" s="15" t="inlineStr">
        <is>
          <t>18 Jun</t>
        </is>
      </c>
      <c r="B136" s="15" t="inlineStr">
        <is>
          <t>39514</t>
        </is>
      </c>
      <c r="C136" s="16" t="n">
        <v>0</v>
      </c>
      <c r="D136" s="49" t="n">
        <v>66.36</v>
      </c>
      <c r="E136" s="18" t="n">
        <v>957</v>
      </c>
      <c r="F136" s="18" t="n">
        <v>1835</v>
      </c>
      <c r="G136" s="19">
        <f>IF(F136=0,0,E136/F136*100)</f>
        <v/>
      </c>
      <c r="H136" s="16" t="n">
        <v>0</v>
      </c>
      <c r="I136" s="16" t="n">
        <v>0</v>
      </c>
      <c r="J136" s="16" t="n">
        <v>0</v>
      </c>
      <c r="K136" s="16" t="n">
        <v>1</v>
      </c>
    </row>
    <row r="137">
      <c r="A137" s="15" t="inlineStr">
        <is>
          <t>18 Jun</t>
        </is>
      </c>
      <c r="B137" s="15" t="inlineStr">
        <is>
          <t>30753</t>
        </is>
      </c>
      <c r="C137" s="16" t="n">
        <v>0</v>
      </c>
      <c r="D137" s="49" t="n">
        <v>36.74</v>
      </c>
      <c r="E137" s="18" t="n">
        <v>1023</v>
      </c>
      <c r="F137" s="18" t="n">
        <v>1742</v>
      </c>
      <c r="G137" s="19">
        <f>IF(F137=0,0,E137/F137*100)</f>
        <v/>
      </c>
      <c r="H137" s="16" t="n">
        <v>0</v>
      </c>
      <c r="I137" s="16" t="n">
        <v>0</v>
      </c>
      <c r="J137" s="16" t="n">
        <v>0</v>
      </c>
      <c r="K137" s="16" t="n">
        <v>1</v>
      </c>
    </row>
    <row r="138">
      <c r="A138" s="15" t="inlineStr">
        <is>
          <t>18 Jun</t>
        </is>
      </c>
      <c r="B138" s="15" t="inlineStr">
        <is>
          <t>37582</t>
        </is>
      </c>
      <c r="C138" s="16" t="n">
        <v>0</v>
      </c>
      <c r="D138" s="49" t="n">
        <v>77.87</v>
      </c>
      <c r="E138" s="18" t="n">
        <v>974</v>
      </c>
      <c r="F138" s="18" t="n">
        <v>1690</v>
      </c>
      <c r="G138" s="19">
        <f>IF(F138=0,0,E138/F138*100)</f>
        <v/>
      </c>
      <c r="H138" s="16" t="n">
        <v>0</v>
      </c>
      <c r="I138" s="16" t="n">
        <v>0</v>
      </c>
      <c r="J138" s="16" t="n">
        <v>0</v>
      </c>
      <c r="K138" s="16" t="n">
        <v>2</v>
      </c>
    </row>
    <row r="139">
      <c r="A139" s="15" t="inlineStr">
        <is>
          <t>18 Jun</t>
        </is>
      </c>
      <c r="B139" s="15" t="inlineStr">
        <is>
          <t>37548</t>
        </is>
      </c>
      <c r="C139" s="16" t="n">
        <v>0</v>
      </c>
      <c r="D139" s="49" t="n">
        <v>38.49</v>
      </c>
      <c r="E139" s="18" t="n">
        <v>1033</v>
      </c>
      <c r="F139" s="18" t="n">
        <v>1639</v>
      </c>
      <c r="G139" s="19">
        <f>IF(F139=0,0,E139/F139*100)</f>
        <v/>
      </c>
      <c r="H139" s="16" t="n">
        <v>0</v>
      </c>
      <c r="I139" s="16" t="n">
        <v>0</v>
      </c>
      <c r="J139" s="16" t="n">
        <v>0</v>
      </c>
      <c r="K139" s="16" t="n">
        <v>1</v>
      </c>
    </row>
    <row r="140">
      <c r="A140" s="15" t="inlineStr">
        <is>
          <t>18 Jun</t>
        </is>
      </c>
      <c r="B140" s="15" t="inlineStr">
        <is>
          <t>30757</t>
        </is>
      </c>
      <c r="C140" s="16" t="n">
        <v>0</v>
      </c>
      <c r="D140" s="49" t="n">
        <v>1.98</v>
      </c>
      <c r="E140" s="18" t="n">
        <v>154</v>
      </c>
      <c r="F140" s="18" t="n">
        <v>1471</v>
      </c>
      <c r="G140" s="19">
        <f>IF(F140=0,0,E140/F140*100)</f>
        <v/>
      </c>
      <c r="H140" s="16" t="n">
        <v>0</v>
      </c>
      <c r="I140" s="16" t="n">
        <v>0</v>
      </c>
      <c r="J140" s="16" t="n">
        <v>0</v>
      </c>
      <c r="K140" s="16" t="n">
        <v>0</v>
      </c>
    </row>
    <row r="141">
      <c r="A141" s="15" t="inlineStr">
        <is>
          <t>18 Jun</t>
        </is>
      </c>
      <c r="B141" s="15" t="inlineStr">
        <is>
          <t>44406</t>
        </is>
      </c>
      <c r="C141" s="16" t="n">
        <v>0</v>
      </c>
      <c r="D141" s="49" t="n">
        <v>52.47</v>
      </c>
      <c r="E141" s="18" t="n">
        <v>0</v>
      </c>
      <c r="F141" s="18" t="n">
        <v>148</v>
      </c>
      <c r="G141" s="19">
        <f>IF(F141=0,0,E141/F141*100)</f>
        <v/>
      </c>
      <c r="H141" s="16" t="n">
        <v>0</v>
      </c>
      <c r="I141" s="16" t="n">
        <v>0</v>
      </c>
      <c r="J141" s="16" t="n">
        <v>0</v>
      </c>
      <c r="K141" s="16" t="n">
        <v>0</v>
      </c>
    </row>
    <row r="142">
      <c r="A142" s="15" t="inlineStr">
        <is>
          <t>18 Jun</t>
        </is>
      </c>
      <c r="B142" s="15" t="inlineStr">
        <is>
          <t>55555</t>
        </is>
      </c>
      <c r="C142" s="16" t="n">
        <v>0</v>
      </c>
      <c r="D142" s="49" t="n">
        <v>0.03</v>
      </c>
      <c r="E142" s="18" t="n">
        <v>9</v>
      </c>
      <c r="F142" s="18" t="n">
        <v>9</v>
      </c>
      <c r="G142" s="19">
        <f>IF(F142=0,0,E142/F142*100)</f>
        <v/>
      </c>
      <c r="H142" s="16" t="n">
        <v>0</v>
      </c>
      <c r="I142" s="16" t="n">
        <v>0</v>
      </c>
      <c r="J142" s="16" t="n">
        <v>0</v>
      </c>
      <c r="K142" s="16" t="n">
        <v>0</v>
      </c>
    </row>
    <row r="143">
      <c r="A143" s="15" t="inlineStr">
        <is>
          <t>18 Jun</t>
        </is>
      </c>
      <c r="B143" s="15" t="inlineStr">
        <is>
          <t>37286</t>
        </is>
      </c>
      <c r="C143" s="16" t="n">
        <v>0</v>
      </c>
      <c r="D143" s="49" t="n">
        <v>0.19</v>
      </c>
      <c r="E143" s="18" t="n">
        <v>4</v>
      </c>
      <c r="F143" s="18" t="n">
        <v>4</v>
      </c>
      <c r="G143" s="19">
        <f>IF(F143=0,0,E143/F143*100)</f>
        <v/>
      </c>
      <c r="H143" s="16" t="n">
        <v>0</v>
      </c>
      <c r="I143" s="16" t="n">
        <v>0</v>
      </c>
      <c r="J143" s="16" t="n">
        <v>0</v>
      </c>
      <c r="K143" s="16" t="n">
        <v>0</v>
      </c>
    </row>
    <row r="144">
      <c r="A144" s="20" t="inlineStr">
        <is>
          <t>18 Jun</t>
        </is>
      </c>
      <c r="B144" s="20" t="inlineStr">
        <is>
          <t>Day Total</t>
        </is>
      </c>
      <c r="C144" s="21">
        <f>SUM(C114:C143)</f>
        <v/>
      </c>
      <c r="D144" s="50">
        <f>SUM(D114:D143)</f>
        <v/>
      </c>
      <c r="E144" s="23">
        <f>SUM(E114:E143)</f>
        <v/>
      </c>
      <c r="F144" s="23">
        <f>SUMIF(E114:E143,"&gt;0",F114:F143)</f>
        <v/>
      </c>
      <c r="G144" s="24">
        <f>IF(F144=0,0,E144/F144*100)</f>
        <v/>
      </c>
      <c r="H144" s="21">
        <f>SUM(H114:H143)</f>
        <v/>
      </c>
      <c r="I144" s="21">
        <f>SUM(I114:I143)</f>
        <v/>
      </c>
      <c r="J144" s="21">
        <f>SUM(J114:J143)</f>
        <v/>
      </c>
      <c r="K144" s="21">
        <f>SUM(K114:K143)</f>
        <v/>
      </c>
    </row>
    <row r="145">
      <c r="A145" s="15" t="inlineStr">
        <is>
          <t>19 Jun</t>
        </is>
      </c>
      <c r="B145" s="15" t="inlineStr">
        <is>
          <t>37505</t>
        </is>
      </c>
      <c r="C145" s="16" t="n">
        <v>2</v>
      </c>
      <c r="D145" s="49" t="n">
        <v>93.90000000000001</v>
      </c>
      <c r="E145" s="18" t="n">
        <v>8796</v>
      </c>
      <c r="F145" s="18" t="n">
        <v>10217</v>
      </c>
      <c r="G145" s="19">
        <f>IF(F145=0,0,E145/F145*100)</f>
        <v/>
      </c>
      <c r="H145" s="16" t="n">
        <v>0</v>
      </c>
      <c r="I145" s="16" t="n">
        <v>0</v>
      </c>
      <c r="J145" s="16" t="n">
        <v>0</v>
      </c>
      <c r="K145" s="16" t="n">
        <v>8</v>
      </c>
    </row>
    <row r="146">
      <c r="A146" s="15" t="inlineStr">
        <is>
          <t>19 Jun</t>
        </is>
      </c>
      <c r="B146" s="15" t="inlineStr">
        <is>
          <t>37385</t>
        </is>
      </c>
      <c r="C146" s="16" t="n">
        <v>1</v>
      </c>
      <c r="D146" s="49" t="n">
        <v>93.31</v>
      </c>
      <c r="E146" s="18" t="n">
        <v>8093</v>
      </c>
      <c r="F146" s="18" t="n">
        <v>8323</v>
      </c>
      <c r="G146" s="19">
        <f>IF(F146=0,0,E146/F146*100)</f>
        <v/>
      </c>
      <c r="H146" s="16" t="n">
        <v>0</v>
      </c>
      <c r="I146" s="16" t="n">
        <v>0</v>
      </c>
      <c r="J146" s="16" t="n">
        <v>0</v>
      </c>
      <c r="K146" s="16" t="n">
        <v>3</v>
      </c>
    </row>
    <row r="147">
      <c r="A147" s="15" t="inlineStr">
        <is>
          <t>19 Jun</t>
        </is>
      </c>
      <c r="B147" s="15" t="inlineStr">
        <is>
          <t>37163</t>
        </is>
      </c>
      <c r="C147" s="16" t="n">
        <v>1</v>
      </c>
      <c r="D147" s="49" t="n">
        <v>93.31</v>
      </c>
      <c r="E147" s="18" t="n">
        <v>7969</v>
      </c>
      <c r="F147" s="18" t="n">
        <v>8283</v>
      </c>
      <c r="G147" s="19">
        <f>IF(F147=0,0,E147/F147*100)</f>
        <v/>
      </c>
      <c r="H147" s="16" t="n">
        <v>1</v>
      </c>
      <c r="I147" s="16" t="n">
        <v>1</v>
      </c>
      <c r="J147" s="16" t="n">
        <v>0</v>
      </c>
      <c r="K147" s="16" t="n">
        <v>2</v>
      </c>
    </row>
    <row r="148">
      <c r="A148" s="15" t="inlineStr">
        <is>
          <t>19 Jun</t>
        </is>
      </c>
      <c r="B148" s="15" t="inlineStr">
        <is>
          <t>30791</t>
        </is>
      </c>
      <c r="C148" s="16" t="n">
        <v>1</v>
      </c>
      <c r="D148" s="49" t="n">
        <v>93.91</v>
      </c>
      <c r="E148" s="18" t="n">
        <v>6241</v>
      </c>
      <c r="F148" s="18" t="n">
        <v>7814</v>
      </c>
      <c r="G148" s="19">
        <f>IF(F148=0,0,E148/F148*100)</f>
        <v/>
      </c>
      <c r="H148" s="16" t="n">
        <v>0</v>
      </c>
      <c r="I148" s="16" t="n">
        <v>0</v>
      </c>
      <c r="J148" s="16" t="n">
        <v>0</v>
      </c>
      <c r="K148" s="16" t="n">
        <v>4</v>
      </c>
    </row>
    <row r="149">
      <c r="A149" s="15" t="inlineStr">
        <is>
          <t>19 Jun</t>
        </is>
      </c>
      <c r="B149" s="15" t="inlineStr">
        <is>
          <t>39214</t>
        </is>
      </c>
      <c r="C149" s="16" t="n">
        <v>1</v>
      </c>
      <c r="D149" s="49" t="n">
        <v>93.91</v>
      </c>
      <c r="E149" s="18" t="n">
        <v>6090</v>
      </c>
      <c r="F149" s="18" t="n">
        <v>7715</v>
      </c>
      <c r="G149" s="19">
        <f>IF(F149=0,0,E149/F149*100)</f>
        <v/>
      </c>
      <c r="H149" s="16" t="n">
        <v>0</v>
      </c>
      <c r="I149" s="16" t="n">
        <v>0</v>
      </c>
      <c r="J149" s="16" t="n">
        <v>0</v>
      </c>
      <c r="K149" s="16" t="n">
        <v>2</v>
      </c>
    </row>
    <row r="150">
      <c r="A150" s="15" t="inlineStr">
        <is>
          <t>19 Jun</t>
        </is>
      </c>
      <c r="B150" s="15" t="inlineStr">
        <is>
          <t>30062</t>
        </is>
      </c>
      <c r="C150" s="16" t="n">
        <v>1</v>
      </c>
      <c r="D150" s="49" t="n">
        <v>90.89</v>
      </c>
      <c r="E150" s="18" t="n">
        <v>6784</v>
      </c>
      <c r="F150" s="18" t="n">
        <v>7287</v>
      </c>
      <c r="G150" s="19">
        <f>IF(F150=0,0,E150/F150*100)</f>
        <v/>
      </c>
      <c r="H150" s="16" t="n">
        <v>0</v>
      </c>
      <c r="I150" s="16" t="n">
        <v>0</v>
      </c>
      <c r="J150" s="16" t="n">
        <v>0</v>
      </c>
      <c r="K150" s="16" t="n">
        <v>2</v>
      </c>
    </row>
    <row r="151">
      <c r="A151" s="15" t="inlineStr">
        <is>
          <t>19 Jun</t>
        </is>
      </c>
      <c r="B151" s="15" t="inlineStr">
        <is>
          <t>37956</t>
        </is>
      </c>
      <c r="C151" s="16" t="n">
        <v>1</v>
      </c>
      <c r="D151" s="49" t="n">
        <v>93.90000000000001</v>
      </c>
      <c r="E151" s="18" t="n">
        <v>5434</v>
      </c>
      <c r="F151" s="18" t="n">
        <v>6518</v>
      </c>
      <c r="G151" s="19">
        <f>IF(F151=0,0,E151/F151*100)</f>
        <v/>
      </c>
      <c r="H151" s="16" t="n">
        <v>0</v>
      </c>
      <c r="I151" s="16" t="n">
        <v>0</v>
      </c>
      <c r="J151" s="16" t="n">
        <v>0</v>
      </c>
      <c r="K151" s="16" t="n">
        <v>3</v>
      </c>
    </row>
    <row r="152">
      <c r="A152" s="15" t="inlineStr">
        <is>
          <t>19 Jun</t>
        </is>
      </c>
      <c r="B152" s="15" t="inlineStr">
        <is>
          <t>30637</t>
        </is>
      </c>
      <c r="C152" s="16" t="n">
        <v>1</v>
      </c>
      <c r="D152" s="49" t="n">
        <v>93.87</v>
      </c>
      <c r="E152" s="18" t="n">
        <v>5013</v>
      </c>
      <c r="F152" s="18" t="n">
        <v>6034</v>
      </c>
      <c r="G152" s="19">
        <f>IF(F152=0,0,E152/F152*100)</f>
        <v/>
      </c>
      <c r="H152" s="16" t="n">
        <v>0</v>
      </c>
      <c r="I152" s="16" t="n">
        <v>0</v>
      </c>
      <c r="J152" s="16" t="n">
        <v>0</v>
      </c>
      <c r="K152" s="16" t="n">
        <v>3</v>
      </c>
    </row>
    <row r="153">
      <c r="A153" s="15" t="inlineStr">
        <is>
          <t>19 Jun</t>
        </is>
      </c>
      <c r="B153" s="15" t="inlineStr">
        <is>
          <t>39514</t>
        </is>
      </c>
      <c r="C153" s="16" t="n">
        <v>1</v>
      </c>
      <c r="D153" s="49" t="n">
        <v>93.87</v>
      </c>
      <c r="E153" s="18" t="n">
        <v>5433</v>
      </c>
      <c r="F153" s="18" t="n">
        <v>5960</v>
      </c>
      <c r="G153" s="19">
        <f>IF(F153=0,0,E153/F153*100)</f>
        <v/>
      </c>
      <c r="H153" s="16" t="n">
        <v>0</v>
      </c>
      <c r="I153" s="16" t="n">
        <v>0</v>
      </c>
      <c r="J153" s="16" t="n">
        <v>0</v>
      </c>
      <c r="K153" s="16" t="n">
        <v>5</v>
      </c>
    </row>
    <row r="154">
      <c r="A154" s="15" t="inlineStr">
        <is>
          <t>19 Jun</t>
        </is>
      </c>
      <c r="B154" s="15" t="inlineStr">
        <is>
          <t>37248</t>
        </is>
      </c>
      <c r="C154" s="16" t="n">
        <v>1</v>
      </c>
      <c r="D154" s="49" t="n">
        <v>93.31999999999999</v>
      </c>
      <c r="E154" s="18" t="n">
        <v>5749</v>
      </c>
      <c r="F154" s="18" t="n">
        <v>5960</v>
      </c>
      <c r="G154" s="19">
        <f>IF(F154=0,0,E154/F154*100)</f>
        <v/>
      </c>
      <c r="H154" s="16" t="n">
        <v>0</v>
      </c>
      <c r="I154" s="16" t="n">
        <v>0</v>
      </c>
      <c r="J154" s="16" t="n">
        <v>0</v>
      </c>
      <c r="K154" s="16" t="n">
        <v>4</v>
      </c>
    </row>
    <row r="155">
      <c r="A155" s="15" t="inlineStr">
        <is>
          <t>19 Jun</t>
        </is>
      </c>
      <c r="B155" s="15" t="inlineStr">
        <is>
          <t>30066</t>
        </is>
      </c>
      <c r="C155" s="16" t="n">
        <v>1</v>
      </c>
      <c r="D155" s="49" t="n">
        <v>93.89</v>
      </c>
      <c r="E155" s="18" t="n">
        <v>5120</v>
      </c>
      <c r="F155" s="18" t="n">
        <v>5954</v>
      </c>
      <c r="G155" s="19">
        <f>IF(F155=0,0,E155/F155*100)</f>
        <v/>
      </c>
      <c r="H155" s="16" t="n">
        <v>0</v>
      </c>
      <c r="I155" s="16" t="n">
        <v>0</v>
      </c>
      <c r="J155" s="16" t="n">
        <v>0</v>
      </c>
      <c r="K155" s="16" t="n">
        <v>2</v>
      </c>
    </row>
    <row r="156">
      <c r="A156" s="15" t="inlineStr">
        <is>
          <t>19 Jun</t>
        </is>
      </c>
      <c r="B156" s="15" t="inlineStr">
        <is>
          <t>39235</t>
        </is>
      </c>
      <c r="C156" s="16" t="n">
        <v>1</v>
      </c>
      <c r="D156" s="49" t="n">
        <v>93.89</v>
      </c>
      <c r="E156" s="18" t="n">
        <v>5046</v>
      </c>
      <c r="F156" s="18" t="n">
        <v>5565</v>
      </c>
      <c r="G156" s="19">
        <f>IF(F156=0,0,E156/F156*100)</f>
        <v/>
      </c>
      <c r="H156" s="16" t="n">
        <v>0</v>
      </c>
      <c r="I156" s="16" t="n">
        <v>0</v>
      </c>
      <c r="J156" s="16" t="n">
        <v>0</v>
      </c>
      <c r="K156" s="16" t="n">
        <v>3</v>
      </c>
    </row>
    <row r="157">
      <c r="A157" s="15" t="inlineStr">
        <is>
          <t>19 Jun</t>
        </is>
      </c>
      <c r="B157" s="15" t="inlineStr">
        <is>
          <t>37670</t>
        </is>
      </c>
      <c r="C157" s="16" t="n">
        <v>1</v>
      </c>
      <c r="D157" s="49" t="n">
        <v>93.86</v>
      </c>
      <c r="E157" s="18" t="n">
        <v>4558</v>
      </c>
      <c r="F157" s="18" t="n">
        <v>5554</v>
      </c>
      <c r="G157" s="19">
        <f>IF(F157=0,0,E157/F157*100)</f>
        <v/>
      </c>
      <c r="H157" s="16" t="n">
        <v>1</v>
      </c>
      <c r="I157" s="16" t="n">
        <v>1</v>
      </c>
      <c r="J157" s="16" t="n">
        <v>0</v>
      </c>
      <c r="K157" s="16" t="n">
        <v>3</v>
      </c>
    </row>
    <row r="158">
      <c r="A158" s="15" t="inlineStr">
        <is>
          <t>19 Jun</t>
        </is>
      </c>
      <c r="B158" s="15" t="inlineStr">
        <is>
          <t>39488</t>
        </is>
      </c>
      <c r="C158" s="16" t="n">
        <v>1</v>
      </c>
      <c r="D158" s="49" t="n">
        <v>93.31999999999999</v>
      </c>
      <c r="E158" s="18" t="n">
        <v>5173</v>
      </c>
      <c r="F158" s="18" t="n">
        <v>5365</v>
      </c>
      <c r="G158" s="19">
        <f>IF(F158=0,0,E158/F158*100)</f>
        <v/>
      </c>
      <c r="H158" s="16" t="n">
        <v>0</v>
      </c>
      <c r="I158" s="16" t="n">
        <v>0</v>
      </c>
      <c r="J158" s="16" t="n">
        <v>0</v>
      </c>
      <c r="K158" s="16" t="n">
        <v>5</v>
      </c>
    </row>
    <row r="159">
      <c r="A159" s="15" t="inlineStr">
        <is>
          <t>19 Jun</t>
        </is>
      </c>
      <c r="B159" s="15" t="inlineStr">
        <is>
          <t>30472</t>
        </is>
      </c>
      <c r="C159" s="16" t="n">
        <v>1</v>
      </c>
      <c r="D159" s="49" t="n">
        <v>93.87</v>
      </c>
      <c r="E159" s="18" t="n">
        <v>4473</v>
      </c>
      <c r="F159" s="18" t="n">
        <v>5328</v>
      </c>
      <c r="G159" s="19">
        <f>IF(F159=0,0,E159/F159*100)</f>
        <v/>
      </c>
      <c r="H159" s="16" t="n">
        <v>0</v>
      </c>
      <c r="I159" s="16" t="n">
        <v>0</v>
      </c>
      <c r="J159" s="16" t="n">
        <v>0</v>
      </c>
      <c r="K159" s="16" t="n">
        <v>3</v>
      </c>
    </row>
    <row r="160">
      <c r="A160" s="15" t="inlineStr">
        <is>
          <t>19 Jun</t>
        </is>
      </c>
      <c r="B160" s="15" t="inlineStr">
        <is>
          <t>43777</t>
        </is>
      </c>
      <c r="C160" s="16" t="n">
        <v>1</v>
      </c>
      <c r="D160" s="49" t="n">
        <v>93.87</v>
      </c>
      <c r="E160" s="18" t="n">
        <v>3814</v>
      </c>
      <c r="F160" s="18" t="n">
        <v>5224</v>
      </c>
      <c r="G160" s="19">
        <f>IF(F160=0,0,E160/F160*100)</f>
        <v/>
      </c>
      <c r="H160" s="16" t="n">
        <v>0</v>
      </c>
      <c r="I160" s="16" t="n">
        <v>0</v>
      </c>
      <c r="J160" s="16" t="n">
        <v>0</v>
      </c>
      <c r="K160" s="16" t="n">
        <v>14</v>
      </c>
    </row>
    <row r="161">
      <c r="A161" s="15" t="inlineStr">
        <is>
          <t>19 Jun</t>
        </is>
      </c>
      <c r="B161" s="15" t="inlineStr">
        <is>
          <t>39412</t>
        </is>
      </c>
      <c r="C161" s="16" t="n">
        <v>1</v>
      </c>
      <c r="D161" s="49" t="n">
        <v>93.91</v>
      </c>
      <c r="E161" s="18" t="n">
        <v>4010</v>
      </c>
      <c r="F161" s="18" t="n">
        <v>5189</v>
      </c>
      <c r="G161" s="19">
        <f>IF(F161=0,0,E161/F161*100)</f>
        <v/>
      </c>
      <c r="H161" s="16" t="n">
        <v>0</v>
      </c>
      <c r="I161" s="16" t="n">
        <v>0</v>
      </c>
      <c r="J161" s="16" t="n">
        <v>0</v>
      </c>
      <c r="K161" s="16" t="n">
        <v>2</v>
      </c>
    </row>
    <row r="162">
      <c r="A162" s="15" t="inlineStr">
        <is>
          <t>19 Jun</t>
        </is>
      </c>
      <c r="B162" s="15" t="inlineStr">
        <is>
          <t>39066</t>
        </is>
      </c>
      <c r="C162" s="16" t="n">
        <v>1</v>
      </c>
      <c r="D162" s="49" t="n">
        <v>93.91</v>
      </c>
      <c r="E162" s="18" t="n">
        <v>4758</v>
      </c>
      <c r="F162" s="18" t="n">
        <v>5183</v>
      </c>
      <c r="G162" s="19">
        <f>IF(F162=0,0,E162/F162*100)</f>
        <v/>
      </c>
      <c r="H162" s="16" t="n">
        <v>0</v>
      </c>
      <c r="I162" s="16" t="n">
        <v>0</v>
      </c>
      <c r="J162" s="16" t="n">
        <v>0</v>
      </c>
      <c r="K162" s="16" t="n">
        <v>3</v>
      </c>
    </row>
    <row r="163">
      <c r="A163" s="15" t="inlineStr">
        <is>
          <t>19 Jun</t>
        </is>
      </c>
      <c r="B163" s="15" t="inlineStr">
        <is>
          <t>39260</t>
        </is>
      </c>
      <c r="C163" s="16" t="n">
        <v>1</v>
      </c>
      <c r="D163" s="49" t="n">
        <v>93.90000000000001</v>
      </c>
      <c r="E163" s="18" t="n">
        <v>4267</v>
      </c>
      <c r="F163" s="18" t="n">
        <v>4949</v>
      </c>
      <c r="G163" s="19">
        <f>IF(F163=0,0,E163/F163*100)</f>
        <v/>
      </c>
      <c r="H163" s="16" t="n">
        <v>0</v>
      </c>
      <c r="I163" s="16" t="n">
        <v>0</v>
      </c>
      <c r="J163" s="16" t="n">
        <v>0</v>
      </c>
      <c r="K163" s="16" t="n">
        <v>3</v>
      </c>
    </row>
    <row r="164">
      <c r="A164" s="15" t="inlineStr">
        <is>
          <t>19 Jun</t>
        </is>
      </c>
      <c r="B164" s="15" t="inlineStr">
        <is>
          <t>39030</t>
        </is>
      </c>
      <c r="C164" s="16" t="n">
        <v>1</v>
      </c>
      <c r="D164" s="49" t="n">
        <v>93.89</v>
      </c>
      <c r="E164" s="18" t="n">
        <v>4351</v>
      </c>
      <c r="F164" s="18" t="n">
        <v>4926</v>
      </c>
      <c r="G164" s="19">
        <f>IF(F164=0,0,E164/F164*100)</f>
        <v/>
      </c>
      <c r="H164" s="16" t="n">
        <v>0</v>
      </c>
      <c r="I164" s="16" t="n">
        <v>0</v>
      </c>
      <c r="J164" s="16" t="n">
        <v>0</v>
      </c>
      <c r="K164" s="16" t="n">
        <v>2</v>
      </c>
    </row>
    <row r="165">
      <c r="A165" s="15" t="inlineStr">
        <is>
          <t>19 Jun</t>
        </is>
      </c>
      <c r="B165" s="15" t="inlineStr">
        <is>
          <t>37478</t>
        </is>
      </c>
      <c r="C165" s="16" t="n">
        <v>1</v>
      </c>
      <c r="D165" s="49" t="n">
        <v>93.89</v>
      </c>
      <c r="E165" s="18" t="n">
        <v>4140</v>
      </c>
      <c r="F165" s="18" t="n">
        <v>4857</v>
      </c>
      <c r="G165" s="19">
        <f>IF(F165=0,0,E165/F165*100)</f>
        <v/>
      </c>
      <c r="H165" s="16" t="n">
        <v>0</v>
      </c>
      <c r="I165" s="16" t="n">
        <v>0</v>
      </c>
      <c r="J165" s="16" t="n">
        <v>0</v>
      </c>
      <c r="K165" s="16" t="n">
        <v>2</v>
      </c>
    </row>
    <row r="166">
      <c r="A166" s="15" t="inlineStr">
        <is>
          <t>19 Jun</t>
        </is>
      </c>
      <c r="B166" s="15" t="inlineStr">
        <is>
          <t>39311</t>
        </is>
      </c>
      <c r="C166" s="16" t="n">
        <v>1</v>
      </c>
      <c r="D166" s="49" t="n">
        <v>93.88</v>
      </c>
      <c r="E166" s="18" t="n">
        <v>4163</v>
      </c>
      <c r="F166" s="18" t="n">
        <v>4797</v>
      </c>
      <c r="G166" s="19">
        <f>IF(F166=0,0,E166/F166*100)</f>
        <v/>
      </c>
      <c r="H166" s="16" t="n">
        <v>0</v>
      </c>
      <c r="I166" s="16" t="n">
        <v>0</v>
      </c>
      <c r="J166" s="16" t="n">
        <v>0</v>
      </c>
      <c r="K166" s="16" t="n">
        <v>2</v>
      </c>
    </row>
    <row r="167">
      <c r="A167" s="15" t="inlineStr">
        <is>
          <t>19 Jun</t>
        </is>
      </c>
      <c r="B167" s="15" t="inlineStr">
        <is>
          <t>37350</t>
        </is>
      </c>
      <c r="C167" s="16" t="n">
        <v>1</v>
      </c>
      <c r="D167" s="49" t="n">
        <v>93.91</v>
      </c>
      <c r="E167" s="18" t="n">
        <v>3827</v>
      </c>
      <c r="F167" s="18" t="n">
        <v>4552</v>
      </c>
      <c r="G167" s="19">
        <f>IF(F167=0,0,E167/F167*100)</f>
        <v/>
      </c>
      <c r="H167" s="16" t="n">
        <v>0</v>
      </c>
      <c r="I167" s="16" t="n">
        <v>0</v>
      </c>
      <c r="J167" s="16" t="n">
        <v>0</v>
      </c>
      <c r="K167" s="16" t="n">
        <v>3</v>
      </c>
    </row>
    <row r="168">
      <c r="A168" s="15" t="inlineStr">
        <is>
          <t>19 Jun</t>
        </is>
      </c>
      <c r="B168" s="15" t="inlineStr">
        <is>
          <t>30480</t>
        </is>
      </c>
      <c r="C168" s="16" t="n">
        <v>1</v>
      </c>
      <c r="D168" s="49" t="n">
        <v>93.91</v>
      </c>
      <c r="E168" s="18" t="n">
        <v>3851</v>
      </c>
      <c r="F168" s="18" t="n">
        <v>4503</v>
      </c>
      <c r="G168" s="19">
        <f>IF(F168=0,0,E168/F168*100)</f>
        <v/>
      </c>
      <c r="H168" s="16" t="n">
        <v>0</v>
      </c>
      <c r="I168" s="16" t="n">
        <v>0</v>
      </c>
      <c r="J168" s="16" t="n">
        <v>0</v>
      </c>
      <c r="K168" s="16" t="n">
        <v>3</v>
      </c>
    </row>
    <row r="169">
      <c r="A169" s="15" t="inlineStr">
        <is>
          <t>19 Jun</t>
        </is>
      </c>
      <c r="B169" s="15" t="inlineStr">
        <is>
          <t>30511</t>
        </is>
      </c>
      <c r="C169" s="16" t="n">
        <v>1</v>
      </c>
      <c r="D169" s="49" t="n">
        <v>93.87</v>
      </c>
      <c r="E169" s="18" t="n">
        <v>3516</v>
      </c>
      <c r="F169" s="18" t="n">
        <v>4479</v>
      </c>
      <c r="G169" s="19">
        <f>IF(F169=0,0,E169/F169*100)</f>
        <v/>
      </c>
      <c r="H169" s="16" t="n">
        <v>0</v>
      </c>
      <c r="I169" s="16" t="n">
        <v>0</v>
      </c>
      <c r="J169" s="16" t="n">
        <v>0</v>
      </c>
      <c r="K169" s="16" t="n">
        <v>4</v>
      </c>
    </row>
    <row r="170">
      <c r="A170" s="15" t="inlineStr">
        <is>
          <t>19 Jun</t>
        </is>
      </c>
      <c r="B170" s="15" t="inlineStr">
        <is>
          <t>45027</t>
        </is>
      </c>
      <c r="C170" s="16" t="n">
        <v>1</v>
      </c>
      <c r="D170" s="49" t="n">
        <v>93.90000000000001</v>
      </c>
      <c r="E170" s="18" t="n">
        <v>4013</v>
      </c>
      <c r="F170" s="18" t="n">
        <v>4343</v>
      </c>
      <c r="G170" s="19">
        <f>IF(F170=0,0,E170/F170*100)</f>
        <v/>
      </c>
      <c r="H170" s="16" t="n">
        <v>0</v>
      </c>
      <c r="I170" s="16" t="n">
        <v>0</v>
      </c>
      <c r="J170" s="16" t="n">
        <v>0</v>
      </c>
      <c r="K170" s="16" t="n">
        <v>2</v>
      </c>
    </row>
    <row r="171">
      <c r="A171" s="15" t="inlineStr">
        <is>
          <t>19 Jun</t>
        </is>
      </c>
      <c r="B171" s="15" t="inlineStr">
        <is>
          <t>37279</t>
        </is>
      </c>
      <c r="C171" s="16" t="n">
        <v>1</v>
      </c>
      <c r="D171" s="49" t="n">
        <v>90.89</v>
      </c>
      <c r="E171" s="18" t="n">
        <v>4190</v>
      </c>
      <c r="F171" s="18" t="n">
        <v>4287</v>
      </c>
      <c r="G171" s="19">
        <f>IF(F171=0,0,E171/F171*100)</f>
        <v/>
      </c>
      <c r="H171" s="16" t="n">
        <v>0</v>
      </c>
      <c r="I171" s="16" t="n">
        <v>0</v>
      </c>
      <c r="J171" s="16" t="n">
        <v>0</v>
      </c>
      <c r="K171" s="16" t="n">
        <v>1</v>
      </c>
    </row>
    <row r="172">
      <c r="A172" s="15" t="inlineStr">
        <is>
          <t>19 Jun</t>
        </is>
      </c>
      <c r="B172" s="15" t="inlineStr">
        <is>
          <t>37339</t>
        </is>
      </c>
      <c r="C172" s="16" t="n">
        <v>1</v>
      </c>
      <c r="D172" s="49" t="n">
        <v>93.90000000000001</v>
      </c>
      <c r="E172" s="18" t="n">
        <v>3574</v>
      </c>
      <c r="F172" s="18" t="n">
        <v>4145</v>
      </c>
      <c r="G172" s="19">
        <f>IF(F172=0,0,E172/F172*100)</f>
        <v/>
      </c>
      <c r="H172" s="16" t="n">
        <v>0</v>
      </c>
      <c r="I172" s="16" t="n">
        <v>0</v>
      </c>
      <c r="J172" s="16" t="n">
        <v>0</v>
      </c>
      <c r="K172" s="16" t="n">
        <v>2</v>
      </c>
    </row>
    <row r="173">
      <c r="A173" s="15" t="inlineStr">
        <is>
          <t>19 Jun</t>
        </is>
      </c>
      <c r="B173" s="15" t="inlineStr">
        <is>
          <t>37020</t>
        </is>
      </c>
      <c r="C173" s="16" t="n">
        <v>1</v>
      </c>
      <c r="D173" s="49" t="n">
        <v>93.90000000000001</v>
      </c>
      <c r="E173" s="18" t="n">
        <v>3636</v>
      </c>
      <c r="F173" s="18" t="n">
        <v>4076</v>
      </c>
      <c r="G173" s="19">
        <f>IF(F173=0,0,E173/F173*100)</f>
        <v/>
      </c>
      <c r="H173" s="16" t="n">
        <v>0</v>
      </c>
      <c r="I173" s="16" t="n">
        <v>0</v>
      </c>
      <c r="J173" s="16" t="n">
        <v>0</v>
      </c>
      <c r="K173" s="16" t="n">
        <v>3</v>
      </c>
    </row>
    <row r="174">
      <c r="A174" s="15" t="inlineStr">
        <is>
          <t>19 Jun</t>
        </is>
      </c>
      <c r="B174" s="15" t="inlineStr">
        <is>
          <t>30533</t>
        </is>
      </c>
      <c r="C174" s="16" t="n">
        <v>0</v>
      </c>
      <c r="D174" s="49" t="n">
        <v>72.97</v>
      </c>
      <c r="E174" s="18" t="n">
        <v>4514</v>
      </c>
      <c r="F174" s="18" t="n">
        <v>4689</v>
      </c>
      <c r="G174" s="19">
        <f>IF(F174=0,0,E174/F174*100)</f>
        <v/>
      </c>
      <c r="H174" s="16" t="n">
        <v>0</v>
      </c>
      <c r="I174" s="16" t="n">
        <v>0</v>
      </c>
      <c r="J174" s="16" t="n">
        <v>0</v>
      </c>
      <c r="K174" s="16" t="n">
        <v>1</v>
      </c>
    </row>
    <row r="175">
      <c r="A175" s="15" t="inlineStr">
        <is>
          <t>19 Jun</t>
        </is>
      </c>
      <c r="B175" s="15" t="inlineStr">
        <is>
          <t>37275</t>
        </is>
      </c>
      <c r="C175" s="16" t="n">
        <v>0</v>
      </c>
      <c r="D175" s="49" t="n">
        <v>51.59</v>
      </c>
      <c r="E175" s="18" t="n">
        <v>4305</v>
      </c>
      <c r="F175" s="18" t="n">
        <v>4305</v>
      </c>
      <c r="G175" s="19">
        <f>IF(F175=0,0,E175/F175*100)</f>
        <v/>
      </c>
      <c r="H175" s="16" t="n">
        <v>0</v>
      </c>
      <c r="I175" s="16" t="n">
        <v>0</v>
      </c>
      <c r="J175" s="16" t="n">
        <v>0</v>
      </c>
      <c r="K175" s="16" t="n">
        <v>0</v>
      </c>
    </row>
    <row r="176">
      <c r="A176" s="15" t="inlineStr">
        <is>
          <t>19 Jun</t>
        </is>
      </c>
      <c r="B176" s="15" t="inlineStr">
        <is>
          <t>37934</t>
        </is>
      </c>
      <c r="C176" s="16" t="n">
        <v>0</v>
      </c>
      <c r="D176" s="49" t="n">
        <v>48.67</v>
      </c>
      <c r="E176" s="18" t="n">
        <v>3906</v>
      </c>
      <c r="F176" s="18" t="n">
        <v>3906</v>
      </c>
      <c r="G176" s="19">
        <f>IF(F176=0,0,E176/F176*100)</f>
        <v/>
      </c>
      <c r="H176" s="16" t="n">
        <v>0</v>
      </c>
      <c r="I176" s="16" t="n">
        <v>0</v>
      </c>
      <c r="J176" s="16" t="n">
        <v>0</v>
      </c>
      <c r="K176" s="16" t="n">
        <v>0</v>
      </c>
    </row>
    <row r="177">
      <c r="A177" s="15" t="inlineStr">
        <is>
          <t>19 Jun</t>
        </is>
      </c>
      <c r="B177" s="15" t="inlineStr">
        <is>
          <t>37316</t>
        </is>
      </c>
      <c r="C177" s="16" t="n">
        <v>0</v>
      </c>
      <c r="D177" s="49" t="n">
        <v>54.39</v>
      </c>
      <c r="E177" s="18" t="n">
        <v>1995</v>
      </c>
      <c r="F177" s="18" t="n">
        <v>3366</v>
      </c>
      <c r="G177" s="19">
        <f>IF(F177=0,0,E177/F177*100)</f>
        <v/>
      </c>
      <c r="H177" s="16" t="n">
        <v>0</v>
      </c>
      <c r="I177" s="16" t="n">
        <v>0</v>
      </c>
      <c r="J177" s="16" t="n">
        <v>0</v>
      </c>
      <c r="K177" s="16" t="n">
        <v>2</v>
      </c>
    </row>
    <row r="178">
      <c r="A178" s="15" t="inlineStr">
        <is>
          <t>19 Jun</t>
        </is>
      </c>
      <c r="B178" s="15" t="inlineStr">
        <is>
          <t>37566</t>
        </is>
      </c>
      <c r="C178" s="16" t="n">
        <v>0</v>
      </c>
      <c r="D178" s="49" t="n">
        <v>52.25</v>
      </c>
      <c r="E178" s="18" t="n">
        <v>1639</v>
      </c>
      <c r="F178" s="18" t="n">
        <v>3241</v>
      </c>
      <c r="G178" s="19">
        <f>IF(F178=0,0,E178/F178*100)</f>
        <v/>
      </c>
      <c r="H178" s="16" t="n">
        <v>0</v>
      </c>
      <c r="I178" s="16" t="n">
        <v>0</v>
      </c>
      <c r="J178" s="16" t="n">
        <v>0</v>
      </c>
      <c r="K178" s="16" t="n">
        <v>1</v>
      </c>
    </row>
    <row r="179">
      <c r="A179" s="15" t="inlineStr">
        <is>
          <t>19 Jun</t>
        </is>
      </c>
      <c r="B179" s="15" t="inlineStr">
        <is>
          <t>37684</t>
        </is>
      </c>
      <c r="C179" s="16" t="n">
        <v>0</v>
      </c>
      <c r="D179" s="49" t="n">
        <v>53.38</v>
      </c>
      <c r="E179" s="18" t="n">
        <v>1949</v>
      </c>
      <c r="F179" s="18" t="n">
        <v>3217</v>
      </c>
      <c r="G179" s="19">
        <f>IF(F179=0,0,E179/F179*100)</f>
        <v/>
      </c>
      <c r="H179" s="16" t="n">
        <v>0</v>
      </c>
      <c r="I179" s="16" t="n">
        <v>0</v>
      </c>
      <c r="J179" s="16" t="n">
        <v>0</v>
      </c>
      <c r="K179" s="16" t="n">
        <v>2</v>
      </c>
    </row>
    <row r="180">
      <c r="A180" s="15" t="inlineStr">
        <is>
          <t>19 Jun</t>
        </is>
      </c>
      <c r="B180" s="15" t="inlineStr">
        <is>
          <t>37337</t>
        </is>
      </c>
      <c r="C180" s="16" t="n">
        <v>0</v>
      </c>
      <c r="D180" s="49" t="n">
        <v>26.01</v>
      </c>
      <c r="E180" s="18" t="n">
        <v>1430</v>
      </c>
      <c r="F180" s="18" t="n">
        <v>2413</v>
      </c>
      <c r="G180" s="19">
        <f>IF(F180=0,0,E180/F180*100)</f>
        <v/>
      </c>
      <c r="H180" s="16" t="n">
        <v>0</v>
      </c>
      <c r="I180" s="16" t="n">
        <v>0</v>
      </c>
      <c r="J180" s="16" t="n">
        <v>0</v>
      </c>
      <c r="K180" s="16" t="n">
        <v>1</v>
      </c>
    </row>
    <row r="181">
      <c r="A181" s="15" t="inlineStr">
        <is>
          <t>19 Jun</t>
        </is>
      </c>
      <c r="B181" s="15" t="inlineStr">
        <is>
          <t>37780</t>
        </is>
      </c>
      <c r="C181" s="16" t="n">
        <v>0</v>
      </c>
      <c r="D181" s="49" t="n">
        <v>51.14</v>
      </c>
      <c r="E181" s="18" t="n">
        <v>979</v>
      </c>
      <c r="F181" s="18" t="n">
        <v>1912</v>
      </c>
      <c r="G181" s="19">
        <f>IF(F181=0,0,E181/F181*100)</f>
        <v/>
      </c>
      <c r="H181" s="16" t="n">
        <v>0</v>
      </c>
      <c r="I181" s="16" t="n">
        <v>0</v>
      </c>
      <c r="J181" s="16" t="n">
        <v>0</v>
      </c>
      <c r="K181" s="16" t="n">
        <v>2</v>
      </c>
    </row>
    <row r="182">
      <c r="A182" s="15" t="inlineStr">
        <is>
          <t>19 Jun</t>
        </is>
      </c>
      <c r="B182" s="15" t="inlineStr">
        <is>
          <t>39028</t>
        </is>
      </c>
      <c r="C182" s="16" t="n">
        <v>0</v>
      </c>
      <c r="D182" s="49" t="n">
        <v>41.37</v>
      </c>
      <c r="E182" s="18" t="n">
        <v>979</v>
      </c>
      <c r="F182" s="18" t="n">
        <v>1872</v>
      </c>
      <c r="G182" s="19">
        <f>IF(F182=0,0,E182/F182*100)</f>
        <v/>
      </c>
      <c r="H182" s="16" t="n">
        <v>0</v>
      </c>
      <c r="I182" s="16" t="n">
        <v>0</v>
      </c>
      <c r="J182" s="16" t="n">
        <v>0</v>
      </c>
      <c r="K182" s="16" t="n">
        <v>1</v>
      </c>
    </row>
    <row r="183">
      <c r="A183" s="15" t="inlineStr">
        <is>
          <t>19 Jun</t>
        </is>
      </c>
      <c r="B183" s="15" t="inlineStr">
        <is>
          <t>37602</t>
        </is>
      </c>
      <c r="C183" s="16" t="n">
        <v>0</v>
      </c>
      <c r="D183" s="49" t="n">
        <v>52.18</v>
      </c>
      <c r="E183" s="18" t="n">
        <v>1104</v>
      </c>
      <c r="F183" s="18" t="n">
        <v>1822</v>
      </c>
      <c r="G183" s="19">
        <f>IF(F183=0,0,E183/F183*100)</f>
        <v/>
      </c>
      <c r="H183" s="16" t="n">
        <v>0</v>
      </c>
      <c r="I183" s="16" t="n">
        <v>0</v>
      </c>
      <c r="J183" s="16" t="n">
        <v>0</v>
      </c>
      <c r="K183" s="16" t="n">
        <v>1</v>
      </c>
    </row>
    <row r="184">
      <c r="A184" s="15" t="inlineStr">
        <is>
          <t>19 Jun</t>
        </is>
      </c>
      <c r="B184" s="15" t="inlineStr">
        <is>
          <t>37793</t>
        </is>
      </c>
      <c r="C184" s="16" t="n">
        <v>0</v>
      </c>
      <c r="D184" s="49" t="n">
        <v>36.93</v>
      </c>
      <c r="E184" s="18" t="n">
        <v>987</v>
      </c>
      <c r="F184" s="18" t="n">
        <v>1764</v>
      </c>
      <c r="G184" s="19">
        <f>IF(F184=0,0,E184/F184*100)</f>
        <v/>
      </c>
      <c r="H184" s="16" t="n">
        <v>0</v>
      </c>
      <c r="I184" s="16" t="n">
        <v>0</v>
      </c>
      <c r="J184" s="16" t="n">
        <v>0</v>
      </c>
      <c r="K184" s="16" t="n">
        <v>1</v>
      </c>
    </row>
    <row r="185">
      <c r="A185" s="15" t="inlineStr">
        <is>
          <t>19 Jun</t>
        </is>
      </c>
      <c r="B185" s="15" t="inlineStr">
        <is>
          <t>37813</t>
        </is>
      </c>
      <c r="C185" s="16" t="n">
        <v>0</v>
      </c>
      <c r="D185" s="49" t="n">
        <v>53.73</v>
      </c>
      <c r="E185" s="18" t="n">
        <v>978</v>
      </c>
      <c r="F185" s="18" t="n">
        <v>1696</v>
      </c>
      <c r="G185" s="19">
        <f>IF(F185=0,0,E185/F185*100)</f>
        <v/>
      </c>
      <c r="H185" s="16" t="n">
        <v>0</v>
      </c>
      <c r="I185" s="16" t="n">
        <v>0</v>
      </c>
      <c r="J185" s="16" t="n">
        <v>0</v>
      </c>
      <c r="K185" s="16" t="n">
        <v>1</v>
      </c>
    </row>
    <row r="186">
      <c r="A186" s="15" t="inlineStr">
        <is>
          <t>19 Jun</t>
        </is>
      </c>
      <c r="B186" s="15" t="inlineStr">
        <is>
          <t>39331</t>
        </is>
      </c>
      <c r="C186" s="16" t="n">
        <v>0</v>
      </c>
      <c r="D186" s="49" t="n">
        <v>53.7</v>
      </c>
      <c r="E186" s="18" t="n">
        <v>957</v>
      </c>
      <c r="F186" s="18" t="n">
        <v>1686</v>
      </c>
      <c r="G186" s="19">
        <f>IF(F186=0,0,E186/F186*100)</f>
        <v/>
      </c>
      <c r="H186" s="16" t="n">
        <v>0</v>
      </c>
      <c r="I186" s="16" t="n">
        <v>0</v>
      </c>
      <c r="J186" s="16" t="n">
        <v>0</v>
      </c>
      <c r="K186" s="16" t="n">
        <v>1</v>
      </c>
    </row>
    <row r="187">
      <c r="A187" s="15" t="inlineStr">
        <is>
          <t>19 Jun</t>
        </is>
      </c>
      <c r="B187" s="15" t="inlineStr">
        <is>
          <t>38989</t>
        </is>
      </c>
      <c r="C187" s="16" t="n">
        <v>0</v>
      </c>
      <c r="D187" s="49" t="n">
        <v>36.85</v>
      </c>
      <c r="E187" s="18" t="n">
        <v>812</v>
      </c>
      <c r="F187" s="18" t="n">
        <v>1647</v>
      </c>
      <c r="G187" s="19">
        <f>IF(F187=0,0,E187/F187*100)</f>
        <v/>
      </c>
      <c r="H187" s="16" t="n">
        <v>0</v>
      </c>
      <c r="I187" s="16" t="n">
        <v>0</v>
      </c>
      <c r="J187" s="16" t="n">
        <v>0</v>
      </c>
      <c r="K187" s="16" t="n">
        <v>1</v>
      </c>
    </row>
    <row r="188">
      <c r="A188" s="15" t="inlineStr">
        <is>
          <t>19 Jun</t>
        </is>
      </c>
      <c r="B188" s="15" t="inlineStr">
        <is>
          <t>37812</t>
        </is>
      </c>
      <c r="C188" s="16" t="n">
        <v>0</v>
      </c>
      <c r="D188" s="49" t="n">
        <v>36.71</v>
      </c>
      <c r="E188" s="18" t="n">
        <v>1007</v>
      </c>
      <c r="F188" s="18" t="n">
        <v>1528</v>
      </c>
      <c r="G188" s="19">
        <f>IF(F188=0,0,E188/F188*100)</f>
        <v/>
      </c>
      <c r="H188" s="16" t="n">
        <v>0</v>
      </c>
      <c r="I188" s="16" t="n">
        <v>0</v>
      </c>
      <c r="J188" s="16" t="n">
        <v>0</v>
      </c>
      <c r="K188" s="16" t="n">
        <v>0</v>
      </c>
    </row>
    <row r="189">
      <c r="A189" s="15" t="inlineStr">
        <is>
          <t>19 Jun</t>
        </is>
      </c>
      <c r="B189" s="15" t="inlineStr">
        <is>
          <t>30814</t>
        </is>
      </c>
      <c r="C189" s="16" t="n">
        <v>0</v>
      </c>
      <c r="D189" s="49" t="n">
        <v>36.91</v>
      </c>
      <c r="E189" s="18" t="n">
        <v>827</v>
      </c>
      <c r="F189" s="18" t="n">
        <v>1376</v>
      </c>
      <c r="G189" s="19">
        <f>IF(F189=0,0,E189/F189*100)</f>
        <v/>
      </c>
      <c r="H189" s="16" t="n">
        <v>0</v>
      </c>
      <c r="I189" s="16" t="n">
        <v>0</v>
      </c>
      <c r="J189" s="16" t="n">
        <v>0</v>
      </c>
      <c r="K189" s="16" t="n">
        <v>1</v>
      </c>
    </row>
    <row r="190">
      <c r="A190" s="15" t="inlineStr">
        <is>
          <t>19 Jun</t>
        </is>
      </c>
      <c r="B190" s="15" t="inlineStr">
        <is>
          <t>30460</t>
        </is>
      </c>
      <c r="C190" s="16" t="n">
        <v>0</v>
      </c>
      <c r="D190" s="49" t="n">
        <v>36.65</v>
      </c>
      <c r="E190" s="18" t="n">
        <v>674</v>
      </c>
      <c r="F190" s="18" t="n">
        <v>1231</v>
      </c>
      <c r="G190" s="19">
        <f>IF(F190=0,0,E190/F190*100)</f>
        <v/>
      </c>
      <c r="H190" s="16" t="n">
        <v>1</v>
      </c>
      <c r="I190" s="16" t="n">
        <v>0</v>
      </c>
      <c r="J190" s="16" t="n">
        <v>1</v>
      </c>
      <c r="K190" s="16" t="n">
        <v>1</v>
      </c>
    </row>
    <row r="191">
      <c r="A191" s="15" t="inlineStr">
        <is>
          <t>19 Jun</t>
        </is>
      </c>
      <c r="B191" s="15" t="inlineStr">
        <is>
          <t>30767</t>
        </is>
      </c>
      <c r="C191" s="16" t="n">
        <v>0</v>
      </c>
      <c r="D191" s="49" t="n">
        <v>1.99</v>
      </c>
      <c r="E191" s="18" t="n">
        <v>118</v>
      </c>
      <c r="F191" s="18" t="n">
        <v>1144</v>
      </c>
      <c r="G191" s="19">
        <f>IF(F191=0,0,E191/F191*100)</f>
        <v/>
      </c>
      <c r="H191" s="16" t="n">
        <v>0</v>
      </c>
      <c r="I191" s="16" t="n">
        <v>0</v>
      </c>
      <c r="J191" s="16" t="n">
        <v>0</v>
      </c>
      <c r="K191" s="16" t="n">
        <v>0</v>
      </c>
    </row>
    <row r="192">
      <c r="A192" s="15" t="inlineStr">
        <is>
          <t>19 Jun</t>
        </is>
      </c>
      <c r="B192" s="15" t="inlineStr">
        <is>
          <t>45011</t>
        </is>
      </c>
      <c r="C192" s="16" t="n">
        <v>0</v>
      </c>
      <c r="D192" s="49" t="n">
        <v>15.97</v>
      </c>
      <c r="E192" s="18" t="n">
        <v>733</v>
      </c>
      <c r="F192" s="18" t="n">
        <v>824</v>
      </c>
      <c r="G192" s="19">
        <f>IF(F192=0,0,E192/F192*100)</f>
        <v/>
      </c>
      <c r="H192" s="16" t="n">
        <v>0</v>
      </c>
      <c r="I192" s="16" t="n">
        <v>0</v>
      </c>
      <c r="J192" s="16" t="n">
        <v>0</v>
      </c>
      <c r="K192" s="16" t="n">
        <v>1</v>
      </c>
    </row>
    <row r="193">
      <c r="A193" s="15" t="inlineStr">
        <is>
          <t>19 Jun</t>
        </is>
      </c>
      <c r="B193" s="15" t="inlineStr">
        <is>
          <t>39200</t>
        </is>
      </c>
      <c r="C193" s="16" t="n">
        <v>0</v>
      </c>
      <c r="D193" s="49" t="n">
        <v>6.3</v>
      </c>
      <c r="E193" s="18" t="n">
        <v>0</v>
      </c>
      <c r="F193" s="18" t="n">
        <v>58</v>
      </c>
      <c r="G193" s="19">
        <f>IF(F193=0,0,E193/F193*100)</f>
        <v/>
      </c>
      <c r="H193" s="16" t="n">
        <v>0</v>
      </c>
      <c r="I193" s="16" t="n">
        <v>0</v>
      </c>
      <c r="J193" s="16" t="n">
        <v>0</v>
      </c>
      <c r="K193" s="16" t="n">
        <v>0</v>
      </c>
    </row>
    <row r="194">
      <c r="A194" s="20" t="inlineStr">
        <is>
          <t>19 Jun</t>
        </is>
      </c>
      <c r="B194" s="20" t="inlineStr">
        <is>
          <t>Day Total</t>
        </is>
      </c>
      <c r="C194" s="21">
        <f>SUM(C145:C193)</f>
        <v/>
      </c>
      <c r="D194" s="50">
        <f>SUM(D145:D193)</f>
        <v/>
      </c>
      <c r="E194" s="23">
        <f>SUM(E145:E193)</f>
        <v/>
      </c>
      <c r="F194" s="23">
        <f>SUMIF(E145:E193,"&gt;0",F145:F193)</f>
        <v/>
      </c>
      <c r="G194" s="24">
        <f>IF(F194=0,0,E194/F194*100)</f>
        <v/>
      </c>
      <c r="H194" s="21">
        <f>SUM(H145:H193)</f>
        <v/>
      </c>
      <c r="I194" s="21">
        <f>SUM(I145:I193)</f>
        <v/>
      </c>
      <c r="J194" s="21">
        <f>SUM(J145:J193)</f>
        <v/>
      </c>
      <c r="K194" s="21">
        <f>SUM(K145:K193)</f>
        <v/>
      </c>
    </row>
    <row r="195">
      <c r="A195" s="15" t="inlineStr">
        <is>
          <t>20 Jun</t>
        </is>
      </c>
      <c r="B195" s="15" t="inlineStr">
        <is>
          <t>39214</t>
        </is>
      </c>
      <c r="C195" s="16" t="n">
        <v>2</v>
      </c>
      <c r="D195" s="49" t="n">
        <v>93.90000000000001</v>
      </c>
      <c r="E195" s="18" t="n">
        <v>7024</v>
      </c>
      <c r="F195" s="18" t="n">
        <v>8407</v>
      </c>
      <c r="G195" s="19">
        <f>IF(F195=0,0,E195/F195*100)</f>
        <v/>
      </c>
      <c r="H195" s="16" t="n">
        <v>1</v>
      </c>
      <c r="I195" s="16" t="n">
        <v>1</v>
      </c>
      <c r="J195" s="16" t="n">
        <v>0</v>
      </c>
      <c r="K195" s="16" t="n">
        <v>4</v>
      </c>
    </row>
    <row r="196">
      <c r="A196" s="15" t="inlineStr">
        <is>
          <t>20 Jun</t>
        </is>
      </c>
      <c r="B196" s="15" t="inlineStr">
        <is>
          <t>37350</t>
        </is>
      </c>
      <c r="C196" s="16" t="n">
        <v>2</v>
      </c>
      <c r="D196" s="49" t="n">
        <v>93.91</v>
      </c>
      <c r="E196" s="18" t="n">
        <v>6782</v>
      </c>
      <c r="F196" s="18" t="n">
        <v>8401</v>
      </c>
      <c r="G196" s="19">
        <f>IF(F196=0,0,E196/F196*100)</f>
        <v/>
      </c>
      <c r="H196" s="16" t="n">
        <v>0</v>
      </c>
      <c r="I196" s="16" t="n">
        <v>0</v>
      </c>
      <c r="J196" s="16" t="n">
        <v>0</v>
      </c>
      <c r="K196" s="16" t="n">
        <v>5</v>
      </c>
    </row>
    <row r="197">
      <c r="A197" s="15" t="inlineStr">
        <is>
          <t>20 Jun</t>
        </is>
      </c>
      <c r="B197" s="15" t="inlineStr">
        <is>
          <t>39258</t>
        </is>
      </c>
      <c r="C197" s="16" t="n">
        <v>1</v>
      </c>
      <c r="D197" s="49" t="n">
        <v>90.88</v>
      </c>
      <c r="E197" s="18" t="n">
        <v>9818</v>
      </c>
      <c r="F197" s="18" t="n">
        <v>10373</v>
      </c>
      <c r="G197" s="19">
        <f>IF(F197=0,0,E197/F197*100)</f>
        <v/>
      </c>
      <c r="H197" s="16" t="n">
        <v>0</v>
      </c>
      <c r="I197" s="16" t="n">
        <v>0</v>
      </c>
      <c r="J197" s="16" t="n">
        <v>0</v>
      </c>
      <c r="K197" s="16" t="n">
        <v>3</v>
      </c>
    </row>
    <row r="198">
      <c r="A198" s="15" t="inlineStr">
        <is>
          <t>20 Jun</t>
        </is>
      </c>
      <c r="B198" s="15" t="inlineStr">
        <is>
          <t>30533</t>
        </is>
      </c>
      <c r="C198" s="16" t="n">
        <v>1</v>
      </c>
      <c r="D198" s="49" t="n">
        <v>93.31999999999999</v>
      </c>
      <c r="E198" s="18" t="n">
        <v>8636</v>
      </c>
      <c r="F198" s="18" t="n">
        <v>8848</v>
      </c>
      <c r="G198" s="19">
        <f>IF(F198=0,0,E198/F198*100)</f>
        <v/>
      </c>
      <c r="H198" s="16" t="n">
        <v>0</v>
      </c>
      <c r="I198" s="16" t="n">
        <v>0</v>
      </c>
      <c r="J198" s="16" t="n">
        <v>0</v>
      </c>
      <c r="K198" s="16" t="n">
        <v>3</v>
      </c>
    </row>
    <row r="199">
      <c r="A199" s="15" t="inlineStr">
        <is>
          <t>20 Jun</t>
        </is>
      </c>
      <c r="B199" s="15" t="inlineStr">
        <is>
          <t>30480</t>
        </is>
      </c>
      <c r="C199" s="16" t="n">
        <v>1</v>
      </c>
      <c r="D199" s="49" t="n">
        <v>93.88</v>
      </c>
      <c r="E199" s="18" t="n">
        <v>5378</v>
      </c>
      <c r="F199" s="18" t="n">
        <v>6395</v>
      </c>
      <c r="G199" s="19">
        <f>IF(F199=0,0,E199/F199*100)</f>
        <v/>
      </c>
      <c r="H199" s="16" t="n">
        <v>0</v>
      </c>
      <c r="I199" s="16" t="n">
        <v>0</v>
      </c>
      <c r="J199" s="16" t="n">
        <v>0</v>
      </c>
      <c r="K199" s="16" t="n">
        <v>3</v>
      </c>
    </row>
    <row r="200">
      <c r="A200" s="15" t="inlineStr">
        <is>
          <t>20 Jun</t>
        </is>
      </c>
      <c r="B200" s="15" t="inlineStr">
        <is>
          <t>39311</t>
        </is>
      </c>
      <c r="C200" s="16" t="n">
        <v>1</v>
      </c>
      <c r="D200" s="49" t="n">
        <v>93.90000000000001</v>
      </c>
      <c r="E200" s="18" t="n">
        <v>5062</v>
      </c>
      <c r="F200" s="18" t="n">
        <v>6007</v>
      </c>
      <c r="G200" s="19">
        <f>IF(F200=0,0,E200/F200*100)</f>
        <v/>
      </c>
      <c r="H200" s="16" t="n">
        <v>0</v>
      </c>
      <c r="I200" s="16" t="n">
        <v>0</v>
      </c>
      <c r="J200" s="16" t="n">
        <v>0</v>
      </c>
      <c r="K200" s="16" t="n">
        <v>3</v>
      </c>
    </row>
    <row r="201">
      <c r="A201" s="15" t="inlineStr">
        <is>
          <t>20 Jun</t>
        </is>
      </c>
      <c r="B201" s="15" t="inlineStr">
        <is>
          <t>30531</t>
        </is>
      </c>
      <c r="C201" s="16" t="n">
        <v>1</v>
      </c>
      <c r="D201" s="49" t="n">
        <v>93.91</v>
      </c>
      <c r="E201" s="18" t="n">
        <v>4576</v>
      </c>
      <c r="F201" s="18" t="n">
        <v>5700</v>
      </c>
      <c r="G201" s="19">
        <f>IF(F201=0,0,E201/F201*100)</f>
        <v/>
      </c>
      <c r="H201" s="16" t="n">
        <v>0</v>
      </c>
      <c r="I201" s="16" t="n">
        <v>0</v>
      </c>
      <c r="J201" s="16" t="n">
        <v>0</v>
      </c>
      <c r="K201" s="16" t="n">
        <v>3</v>
      </c>
    </row>
    <row r="202">
      <c r="A202" s="15" t="inlineStr">
        <is>
          <t>20 Jun</t>
        </is>
      </c>
      <c r="B202" s="15" t="inlineStr">
        <is>
          <t>37471</t>
        </is>
      </c>
      <c r="C202" s="16" t="n">
        <v>1</v>
      </c>
      <c r="D202" s="49" t="n">
        <v>93.88</v>
      </c>
      <c r="E202" s="18" t="n">
        <v>4762</v>
      </c>
      <c r="F202" s="18" t="n">
        <v>5596</v>
      </c>
      <c r="G202" s="19">
        <f>IF(F202=0,0,E202/F202*100)</f>
        <v/>
      </c>
      <c r="H202" s="16" t="n">
        <v>0</v>
      </c>
      <c r="I202" s="16" t="n">
        <v>0</v>
      </c>
      <c r="J202" s="16" t="n">
        <v>0</v>
      </c>
      <c r="K202" s="16" t="n">
        <v>3</v>
      </c>
    </row>
    <row r="203">
      <c r="A203" s="15" t="inlineStr">
        <is>
          <t>20 Jun</t>
        </is>
      </c>
      <c r="B203" s="15" t="inlineStr">
        <is>
          <t>37956</t>
        </is>
      </c>
      <c r="C203" s="16" t="n">
        <v>1</v>
      </c>
      <c r="D203" s="49" t="n">
        <v>93.90000000000001</v>
      </c>
      <c r="E203" s="18" t="n">
        <v>4771</v>
      </c>
      <c r="F203" s="18" t="n">
        <v>5590</v>
      </c>
      <c r="G203" s="19">
        <f>IF(F203=0,0,E203/F203*100)</f>
        <v/>
      </c>
      <c r="H203" s="16" t="n">
        <v>0</v>
      </c>
      <c r="I203" s="16" t="n">
        <v>0</v>
      </c>
      <c r="J203" s="16" t="n">
        <v>0</v>
      </c>
      <c r="K203" s="16" t="n">
        <v>5</v>
      </c>
    </row>
    <row r="204">
      <c r="A204" s="15" t="inlineStr">
        <is>
          <t>20 Jun</t>
        </is>
      </c>
      <c r="B204" s="15" t="inlineStr">
        <is>
          <t>37206</t>
        </is>
      </c>
      <c r="C204" s="16" t="n">
        <v>1</v>
      </c>
      <c r="D204" s="49" t="n">
        <v>93.91</v>
      </c>
      <c r="E204" s="18" t="n">
        <v>3694</v>
      </c>
      <c r="F204" s="18" t="n">
        <v>5556</v>
      </c>
      <c r="G204" s="19">
        <f>IF(F204=0,0,E204/F204*100)</f>
        <v/>
      </c>
      <c r="H204" s="16" t="n">
        <v>0</v>
      </c>
      <c r="I204" s="16" t="n">
        <v>0</v>
      </c>
      <c r="J204" s="16" t="n">
        <v>0</v>
      </c>
      <c r="K204" s="16" t="n">
        <v>3</v>
      </c>
    </row>
    <row r="205">
      <c r="A205" s="15" t="inlineStr">
        <is>
          <t>20 Jun</t>
        </is>
      </c>
      <c r="B205" s="15" t="inlineStr">
        <is>
          <t>39066</t>
        </is>
      </c>
      <c r="C205" s="16" t="n">
        <v>1</v>
      </c>
      <c r="D205" s="49" t="n">
        <v>93.90000000000001</v>
      </c>
      <c r="E205" s="18" t="n">
        <v>4339</v>
      </c>
      <c r="F205" s="18" t="n">
        <v>5304</v>
      </c>
      <c r="G205" s="19">
        <f>IF(F205=0,0,E205/F205*100)</f>
        <v/>
      </c>
      <c r="H205" s="16" t="n">
        <v>0</v>
      </c>
      <c r="I205" s="16" t="n">
        <v>0</v>
      </c>
      <c r="J205" s="16" t="n">
        <v>0</v>
      </c>
      <c r="K205" s="16" t="n">
        <v>2</v>
      </c>
    </row>
    <row r="206">
      <c r="A206" s="15" t="inlineStr">
        <is>
          <t>20 Jun</t>
        </is>
      </c>
      <c r="B206" s="15" t="inlineStr">
        <is>
          <t>30606</t>
        </is>
      </c>
      <c r="C206" s="16" t="n">
        <v>1</v>
      </c>
      <c r="D206" s="49" t="n">
        <v>93.91</v>
      </c>
      <c r="E206" s="18" t="n">
        <v>4170</v>
      </c>
      <c r="F206" s="18" t="n">
        <v>5290</v>
      </c>
      <c r="G206" s="19">
        <f>IF(F206=0,0,E206/F206*100)</f>
        <v/>
      </c>
      <c r="H206" s="16" t="n">
        <v>0</v>
      </c>
      <c r="I206" s="16" t="n">
        <v>0</v>
      </c>
      <c r="J206" s="16" t="n">
        <v>0</v>
      </c>
      <c r="K206" s="16" t="n">
        <v>4</v>
      </c>
    </row>
    <row r="207">
      <c r="A207" s="15" t="inlineStr">
        <is>
          <t>20 Jun</t>
        </is>
      </c>
      <c r="B207" s="15" t="inlineStr">
        <is>
          <t>37792</t>
        </is>
      </c>
      <c r="C207" s="16" t="n">
        <v>1</v>
      </c>
      <c r="D207" s="49" t="n">
        <v>93.31999999999999</v>
      </c>
      <c r="E207" s="18" t="n">
        <v>5188</v>
      </c>
      <c r="F207" s="18" t="n">
        <v>5247</v>
      </c>
      <c r="G207" s="19">
        <f>IF(F207=0,0,E207/F207*100)</f>
        <v/>
      </c>
      <c r="H207" s="16" t="n">
        <v>0</v>
      </c>
      <c r="I207" s="16" t="n">
        <v>0</v>
      </c>
      <c r="J207" s="16" t="n">
        <v>0</v>
      </c>
      <c r="K207" s="16" t="n">
        <v>2</v>
      </c>
    </row>
    <row r="208">
      <c r="A208" s="15" t="inlineStr">
        <is>
          <t>20 Jun</t>
        </is>
      </c>
      <c r="B208" s="15" t="inlineStr">
        <is>
          <t>30733</t>
        </is>
      </c>
      <c r="C208" s="16" t="n">
        <v>1</v>
      </c>
      <c r="D208" s="49" t="n">
        <v>93.91</v>
      </c>
      <c r="E208" s="18" t="n">
        <v>4008</v>
      </c>
      <c r="F208" s="18" t="n">
        <v>5152</v>
      </c>
      <c r="G208" s="19">
        <f>IF(F208=0,0,E208/F208*100)</f>
        <v/>
      </c>
      <c r="H208" s="16" t="n">
        <v>1</v>
      </c>
      <c r="I208" s="16" t="n">
        <v>1</v>
      </c>
      <c r="J208" s="16" t="n">
        <v>0</v>
      </c>
      <c r="K208" s="16" t="n">
        <v>5</v>
      </c>
    </row>
    <row r="209">
      <c r="A209" s="15" t="inlineStr">
        <is>
          <t>20 Jun</t>
        </is>
      </c>
      <c r="B209" s="15" t="inlineStr">
        <is>
          <t>30829</t>
        </is>
      </c>
      <c r="C209" s="16" t="n">
        <v>1</v>
      </c>
      <c r="D209" s="49" t="n">
        <v>93.88</v>
      </c>
      <c r="E209" s="18" t="n">
        <v>3922</v>
      </c>
      <c r="F209" s="18" t="n">
        <v>5057</v>
      </c>
      <c r="G209" s="19">
        <f>IF(F209=0,0,E209/F209*100)</f>
        <v/>
      </c>
      <c r="H209" s="16" t="n">
        <v>0</v>
      </c>
      <c r="I209" s="16" t="n">
        <v>0</v>
      </c>
      <c r="J209" s="16" t="n">
        <v>0</v>
      </c>
      <c r="K209" s="16" t="n">
        <v>10</v>
      </c>
    </row>
    <row r="210">
      <c r="A210" s="15" t="inlineStr">
        <is>
          <t>20 Jun</t>
        </is>
      </c>
      <c r="B210" s="15" t="inlineStr">
        <is>
          <t>37248</t>
        </is>
      </c>
      <c r="C210" s="16" t="n">
        <v>1</v>
      </c>
      <c r="D210" s="49" t="n">
        <v>93.31999999999999</v>
      </c>
      <c r="E210" s="18" t="n">
        <v>4910</v>
      </c>
      <c r="F210" s="18" t="n">
        <v>5003</v>
      </c>
      <c r="G210" s="19">
        <f>IF(F210=0,0,E210/F210*100)</f>
        <v/>
      </c>
      <c r="H210" s="16" t="n">
        <v>1</v>
      </c>
      <c r="I210" s="16" t="n">
        <v>1</v>
      </c>
      <c r="J210" s="16" t="n">
        <v>0</v>
      </c>
      <c r="K210" s="16" t="n">
        <v>1</v>
      </c>
    </row>
    <row r="211">
      <c r="A211" s="15" t="inlineStr">
        <is>
          <t>20 Jun</t>
        </is>
      </c>
      <c r="B211" s="15" t="inlineStr">
        <is>
          <t>37887</t>
        </is>
      </c>
      <c r="C211" s="16" t="n">
        <v>1</v>
      </c>
      <c r="D211" s="49" t="n">
        <v>93.90000000000001</v>
      </c>
      <c r="E211" s="18" t="n">
        <v>4238</v>
      </c>
      <c r="F211" s="18" t="n">
        <v>4917</v>
      </c>
      <c r="G211" s="19">
        <f>IF(F211=0,0,E211/F211*100)</f>
        <v/>
      </c>
      <c r="H211" s="16" t="n">
        <v>0</v>
      </c>
      <c r="I211" s="16" t="n">
        <v>0</v>
      </c>
      <c r="J211" s="16" t="n">
        <v>0</v>
      </c>
      <c r="K211" s="16" t="n">
        <v>2</v>
      </c>
    </row>
    <row r="212">
      <c r="A212" s="15" t="inlineStr">
        <is>
          <t>20 Jun</t>
        </is>
      </c>
      <c r="B212" s="15" t="inlineStr">
        <is>
          <t>37337</t>
        </is>
      </c>
      <c r="C212" s="16" t="n">
        <v>1</v>
      </c>
      <c r="D212" s="49" t="n">
        <v>93.90000000000001</v>
      </c>
      <c r="E212" s="18" t="n">
        <v>4234</v>
      </c>
      <c r="F212" s="18" t="n">
        <v>4884</v>
      </c>
      <c r="G212" s="19">
        <f>IF(F212=0,0,E212/F212*100)</f>
        <v/>
      </c>
      <c r="H212" s="16" t="n">
        <v>0</v>
      </c>
      <c r="I212" s="16" t="n">
        <v>0</v>
      </c>
      <c r="J212" s="16" t="n">
        <v>0</v>
      </c>
      <c r="K212" s="16" t="n">
        <v>2</v>
      </c>
    </row>
    <row r="213">
      <c r="A213" s="15" t="inlineStr">
        <is>
          <t>20 Jun</t>
        </is>
      </c>
      <c r="B213" s="15" t="inlineStr">
        <is>
          <t>39514</t>
        </is>
      </c>
      <c r="C213" s="16" t="n">
        <v>1</v>
      </c>
      <c r="D213" s="49" t="n">
        <v>93.91</v>
      </c>
      <c r="E213" s="18" t="n">
        <v>3676</v>
      </c>
      <c r="F213" s="18" t="n">
        <v>4438</v>
      </c>
      <c r="G213" s="19">
        <f>IF(F213=0,0,E213/F213*100)</f>
        <v/>
      </c>
      <c r="H213" s="16" t="n">
        <v>0</v>
      </c>
      <c r="I213" s="16" t="n">
        <v>0</v>
      </c>
      <c r="J213" s="16" t="n">
        <v>0</v>
      </c>
      <c r="K213" s="16" t="n">
        <v>3</v>
      </c>
    </row>
    <row r="214">
      <c r="A214" s="15" t="inlineStr">
        <is>
          <t>20 Jun</t>
        </is>
      </c>
      <c r="B214" s="15" t="inlineStr">
        <is>
          <t>39238</t>
        </is>
      </c>
      <c r="C214" s="16" t="n">
        <v>1</v>
      </c>
      <c r="D214" s="49" t="n">
        <v>93.90000000000001</v>
      </c>
      <c r="E214" s="18" t="n">
        <v>4219</v>
      </c>
      <c r="F214" s="18" t="n">
        <v>4395</v>
      </c>
      <c r="G214" s="19">
        <f>IF(F214=0,0,E214/F214*100)</f>
        <v/>
      </c>
      <c r="H214" s="16" t="n">
        <v>0</v>
      </c>
      <c r="I214" s="16" t="n">
        <v>0</v>
      </c>
      <c r="J214" s="16" t="n">
        <v>0</v>
      </c>
      <c r="K214" s="16" t="n">
        <v>1</v>
      </c>
    </row>
    <row r="215">
      <c r="A215" s="15" t="inlineStr">
        <is>
          <t>20 Jun</t>
        </is>
      </c>
      <c r="B215" s="15" t="inlineStr">
        <is>
          <t>37339</t>
        </is>
      </c>
      <c r="C215" s="16" t="n">
        <v>1</v>
      </c>
      <c r="D215" s="49" t="n">
        <v>93.91</v>
      </c>
      <c r="E215" s="18" t="n">
        <v>3338</v>
      </c>
      <c r="F215" s="18" t="n">
        <v>4069</v>
      </c>
      <c r="G215" s="19">
        <f>IF(F215=0,0,E215/F215*100)</f>
        <v/>
      </c>
      <c r="H215" s="16" t="n">
        <v>0</v>
      </c>
      <c r="I215" s="16" t="n">
        <v>0</v>
      </c>
      <c r="J215" s="16" t="n">
        <v>0</v>
      </c>
      <c r="K215" s="16" t="n">
        <v>4</v>
      </c>
    </row>
    <row r="216">
      <c r="A216" s="15" t="inlineStr">
        <is>
          <t>20 Jun</t>
        </is>
      </c>
      <c r="B216" s="15" t="inlineStr">
        <is>
          <t>37277</t>
        </is>
      </c>
      <c r="C216" s="16" t="n">
        <v>0</v>
      </c>
      <c r="D216" s="49" t="n">
        <v>36.98</v>
      </c>
      <c r="E216" s="18" t="n">
        <v>2823</v>
      </c>
      <c r="F216" s="18" t="n">
        <v>5720</v>
      </c>
      <c r="G216" s="19">
        <f>IF(F216=0,0,E216/F216*100)</f>
        <v/>
      </c>
      <c r="H216" s="16" t="n">
        <v>0</v>
      </c>
      <c r="I216" s="16" t="n">
        <v>0</v>
      </c>
      <c r="J216" s="16" t="n">
        <v>0</v>
      </c>
      <c r="K216" s="16" t="n">
        <v>2</v>
      </c>
    </row>
    <row r="217">
      <c r="A217" s="15" t="inlineStr">
        <is>
          <t>20 Jun</t>
        </is>
      </c>
      <c r="B217" s="15" t="inlineStr">
        <is>
          <t>37279</t>
        </is>
      </c>
      <c r="C217" s="16" t="n">
        <v>0</v>
      </c>
      <c r="D217" s="49" t="n">
        <v>78.15000000000001</v>
      </c>
      <c r="E217" s="18" t="n">
        <v>3636</v>
      </c>
      <c r="F217" s="18" t="n">
        <v>4241</v>
      </c>
      <c r="G217" s="19">
        <f>IF(F217=0,0,E217/F217*100)</f>
        <v/>
      </c>
      <c r="H217" s="16" t="n">
        <v>0</v>
      </c>
      <c r="I217" s="16" t="n">
        <v>0</v>
      </c>
      <c r="J217" s="16" t="n">
        <v>0</v>
      </c>
      <c r="K217" s="16" t="n">
        <v>7</v>
      </c>
    </row>
    <row r="218">
      <c r="A218" s="15" t="inlineStr">
        <is>
          <t>20 Jun</t>
        </is>
      </c>
      <c r="B218" s="15" t="inlineStr">
        <is>
          <t>37582</t>
        </is>
      </c>
      <c r="C218" s="16" t="n">
        <v>0</v>
      </c>
      <c r="D218" s="49" t="n">
        <v>53.35</v>
      </c>
      <c r="E218" s="18" t="n">
        <v>2160</v>
      </c>
      <c r="F218" s="18" t="n">
        <v>3874</v>
      </c>
      <c r="G218" s="19">
        <f>IF(F218=0,0,E218/F218*100)</f>
        <v/>
      </c>
      <c r="H218" s="16" t="n">
        <v>0</v>
      </c>
      <c r="I218" s="16" t="n">
        <v>0</v>
      </c>
      <c r="J218" s="16" t="n">
        <v>0</v>
      </c>
      <c r="K218" s="16" t="n">
        <v>2</v>
      </c>
    </row>
    <row r="219">
      <c r="A219" s="15" t="inlineStr">
        <is>
          <t>20 Jun</t>
        </is>
      </c>
      <c r="B219" s="15" t="inlineStr">
        <is>
          <t>37515</t>
        </is>
      </c>
      <c r="C219" s="16" t="n">
        <v>0</v>
      </c>
      <c r="D219" s="49" t="n">
        <v>40.95</v>
      </c>
      <c r="E219" s="18" t="n">
        <v>846</v>
      </c>
      <c r="F219" s="18" t="n">
        <v>2911</v>
      </c>
      <c r="G219" s="19">
        <f>IF(F219=0,0,E219/F219*100)</f>
        <v/>
      </c>
      <c r="H219" s="16" t="n">
        <v>0</v>
      </c>
      <c r="I219" s="16" t="n">
        <v>0</v>
      </c>
      <c r="J219" s="16" t="n">
        <v>0</v>
      </c>
      <c r="K219" s="16" t="n">
        <v>1</v>
      </c>
    </row>
    <row r="220">
      <c r="A220" s="15" t="inlineStr">
        <is>
          <t>20 Jun</t>
        </is>
      </c>
      <c r="B220" s="15" t="inlineStr">
        <is>
          <t>30823</t>
        </is>
      </c>
      <c r="C220" s="16" t="n">
        <v>0</v>
      </c>
      <c r="D220" s="49" t="n">
        <v>57.97</v>
      </c>
      <c r="E220" s="18" t="n">
        <v>2753</v>
      </c>
      <c r="F220" s="18" t="n">
        <v>2821</v>
      </c>
      <c r="G220" s="19">
        <f>IF(F220=0,0,E220/F220*100)</f>
        <v/>
      </c>
      <c r="H220" s="16" t="n">
        <v>0</v>
      </c>
      <c r="I220" s="16" t="n">
        <v>0</v>
      </c>
      <c r="J220" s="16" t="n">
        <v>0</v>
      </c>
      <c r="K220" s="16" t="n">
        <v>2</v>
      </c>
    </row>
    <row r="221">
      <c r="A221" s="15" t="inlineStr">
        <is>
          <t>20 Jun</t>
        </is>
      </c>
      <c r="B221" s="15" t="inlineStr">
        <is>
          <t>39147</t>
        </is>
      </c>
      <c r="C221" s="16" t="n">
        <v>0</v>
      </c>
      <c r="D221" s="49" t="n">
        <v>36.23</v>
      </c>
      <c r="E221" s="18" t="n">
        <v>873</v>
      </c>
      <c r="F221" s="18" t="n">
        <v>2039</v>
      </c>
      <c r="G221" s="19">
        <f>IF(F221=0,0,E221/F221*100)</f>
        <v/>
      </c>
      <c r="H221" s="16" t="n">
        <v>0</v>
      </c>
      <c r="I221" s="16" t="n">
        <v>0</v>
      </c>
      <c r="J221" s="16" t="n">
        <v>0</v>
      </c>
      <c r="K221" s="16" t="n">
        <v>1</v>
      </c>
    </row>
    <row r="222">
      <c r="A222" s="15" t="inlineStr">
        <is>
          <t>20 Jun</t>
        </is>
      </c>
      <c r="B222" s="15" t="inlineStr">
        <is>
          <t>37086</t>
        </is>
      </c>
      <c r="C222" s="16" t="n">
        <v>0</v>
      </c>
      <c r="D222" s="49" t="n">
        <v>38.59</v>
      </c>
      <c r="E222" s="18" t="n">
        <v>1837</v>
      </c>
      <c r="F222" s="18" t="n">
        <v>1937</v>
      </c>
      <c r="G222" s="19">
        <f>IF(F222=0,0,E222/F222*100)</f>
        <v/>
      </c>
      <c r="H222" s="16" t="n">
        <v>0</v>
      </c>
      <c r="I222" s="16" t="n">
        <v>0</v>
      </c>
      <c r="J222" s="16" t="n">
        <v>0</v>
      </c>
      <c r="K222" s="16" t="n">
        <v>2</v>
      </c>
    </row>
    <row r="223">
      <c r="A223" s="15" t="inlineStr">
        <is>
          <t>20 Jun</t>
        </is>
      </c>
      <c r="B223" s="15" t="inlineStr">
        <is>
          <t>37548</t>
        </is>
      </c>
      <c r="C223" s="16" t="n">
        <v>0</v>
      </c>
      <c r="D223" s="49" t="n">
        <v>53.35</v>
      </c>
      <c r="E223" s="18" t="n">
        <v>1160</v>
      </c>
      <c r="F223" s="18" t="n">
        <v>1917</v>
      </c>
      <c r="G223" s="19">
        <f>IF(F223=0,0,E223/F223*100)</f>
        <v/>
      </c>
      <c r="H223" s="16" t="n">
        <v>0</v>
      </c>
      <c r="I223" s="16" t="n">
        <v>0</v>
      </c>
      <c r="J223" s="16" t="n">
        <v>0</v>
      </c>
      <c r="K223" s="16" t="n">
        <v>1</v>
      </c>
    </row>
    <row r="224">
      <c r="A224" s="15" t="inlineStr">
        <is>
          <t>20 Jun</t>
        </is>
      </c>
      <c r="B224" s="15" t="inlineStr">
        <is>
          <t>37884</t>
        </is>
      </c>
      <c r="C224" s="16" t="n">
        <v>0</v>
      </c>
      <c r="D224" s="49" t="n">
        <v>52.81</v>
      </c>
      <c r="E224" s="18" t="n">
        <v>990</v>
      </c>
      <c r="F224" s="18" t="n">
        <v>1832</v>
      </c>
      <c r="G224" s="19">
        <f>IF(F224=0,0,E224/F224*100)</f>
        <v/>
      </c>
      <c r="H224" s="16" t="n">
        <v>0</v>
      </c>
      <c r="I224" s="16" t="n">
        <v>0</v>
      </c>
      <c r="J224" s="16" t="n">
        <v>0</v>
      </c>
      <c r="K224" s="16" t="n">
        <v>1</v>
      </c>
    </row>
    <row r="225">
      <c r="A225" s="15" t="inlineStr">
        <is>
          <t>20 Jun</t>
        </is>
      </c>
      <c r="B225" s="15" t="inlineStr">
        <is>
          <t>37602</t>
        </is>
      </c>
      <c r="C225" s="16" t="n">
        <v>0</v>
      </c>
      <c r="D225" s="49" t="n">
        <v>31.72</v>
      </c>
      <c r="E225" s="18" t="n">
        <v>978</v>
      </c>
      <c r="F225" s="18" t="n">
        <v>1770</v>
      </c>
      <c r="G225" s="19">
        <f>IF(F225=0,0,E225/F225*100)</f>
        <v/>
      </c>
      <c r="H225" s="16" t="n">
        <v>0</v>
      </c>
      <c r="I225" s="16" t="n">
        <v>0</v>
      </c>
      <c r="J225" s="16" t="n">
        <v>0</v>
      </c>
      <c r="K225" s="16" t="n">
        <v>1</v>
      </c>
    </row>
    <row r="226">
      <c r="A226" s="15" t="inlineStr">
        <is>
          <t>20 Jun</t>
        </is>
      </c>
      <c r="B226" s="15" t="inlineStr">
        <is>
          <t>30415</t>
        </is>
      </c>
      <c r="C226" s="16" t="n">
        <v>0</v>
      </c>
      <c r="D226" s="49" t="n">
        <v>36.77</v>
      </c>
      <c r="E226" s="18" t="n">
        <v>936</v>
      </c>
      <c r="F226" s="18" t="n">
        <v>1744</v>
      </c>
      <c r="G226" s="19">
        <f>IF(F226=0,0,E226/F226*100)</f>
        <v/>
      </c>
      <c r="H226" s="16" t="n">
        <v>0</v>
      </c>
      <c r="I226" s="16" t="n">
        <v>0</v>
      </c>
      <c r="J226" s="16" t="n">
        <v>0</v>
      </c>
      <c r="K226" s="16" t="n">
        <v>1</v>
      </c>
    </row>
    <row r="227">
      <c r="A227" s="15" t="inlineStr">
        <is>
          <t>20 Jun</t>
        </is>
      </c>
      <c r="B227" s="15" t="inlineStr">
        <is>
          <t>39014</t>
        </is>
      </c>
      <c r="C227" s="16" t="n">
        <v>0</v>
      </c>
      <c r="D227" s="49" t="n">
        <v>53.81</v>
      </c>
      <c r="E227" s="18" t="n">
        <v>941</v>
      </c>
      <c r="F227" s="18" t="n">
        <v>1692</v>
      </c>
      <c r="G227" s="19">
        <f>IF(F227=0,0,E227/F227*100)</f>
        <v/>
      </c>
      <c r="H227" s="16" t="n">
        <v>0</v>
      </c>
      <c r="I227" s="16" t="n">
        <v>0</v>
      </c>
      <c r="J227" s="16" t="n">
        <v>0</v>
      </c>
      <c r="K227" s="16" t="n">
        <v>1</v>
      </c>
    </row>
    <row r="228">
      <c r="A228" s="15" t="inlineStr">
        <is>
          <t>20 Jun</t>
        </is>
      </c>
      <c r="B228" s="15" t="inlineStr">
        <is>
          <t>37111</t>
        </is>
      </c>
      <c r="C228" s="16" t="n">
        <v>0</v>
      </c>
      <c r="D228" s="49" t="n">
        <v>1.98</v>
      </c>
      <c r="E228" s="18" t="n">
        <v>56</v>
      </c>
      <c r="F228" s="18" t="n">
        <v>1066</v>
      </c>
      <c r="G228" s="19">
        <f>IF(F228=0,0,E228/F228*100)</f>
        <v/>
      </c>
      <c r="H228" s="16" t="n">
        <v>0</v>
      </c>
      <c r="I228" s="16" t="n">
        <v>0</v>
      </c>
      <c r="J228" s="16" t="n">
        <v>0</v>
      </c>
      <c r="K228" s="16" t="n">
        <v>0</v>
      </c>
    </row>
    <row r="229">
      <c r="A229" s="15" t="inlineStr">
        <is>
          <t>20 Jun</t>
        </is>
      </c>
      <c r="B229" s="15" t="inlineStr">
        <is>
          <t>30753</t>
        </is>
      </c>
      <c r="C229" s="16" t="n">
        <v>0</v>
      </c>
      <c r="D229" s="49" t="n">
        <v>52.49</v>
      </c>
      <c r="E229" s="18" t="n">
        <v>573</v>
      </c>
      <c r="F229" s="18" t="n">
        <v>898</v>
      </c>
      <c r="G229" s="19">
        <f>IF(F229=0,0,E229/F229*100)</f>
        <v/>
      </c>
      <c r="H229" s="16" t="n">
        <v>0</v>
      </c>
      <c r="I229" s="16" t="n">
        <v>0</v>
      </c>
      <c r="J229" s="16" t="n">
        <v>0</v>
      </c>
      <c r="K229" s="16" t="n">
        <v>1</v>
      </c>
    </row>
    <row r="230">
      <c r="A230" s="15" t="inlineStr">
        <is>
          <t>20 Jun</t>
        </is>
      </c>
      <c r="B230" s="15" t="inlineStr">
        <is>
          <t>37947</t>
        </is>
      </c>
      <c r="C230" s="16" t="n">
        <v>0</v>
      </c>
      <c r="D230" s="49" t="n">
        <v>41.82</v>
      </c>
      <c r="E230" s="18" t="n">
        <v>701</v>
      </c>
      <c r="F230" s="18" t="n">
        <v>790</v>
      </c>
      <c r="G230" s="19">
        <f>IF(F230=0,0,E230/F230*100)</f>
        <v/>
      </c>
      <c r="H230" s="16" t="n">
        <v>1</v>
      </c>
      <c r="I230" s="16" t="n">
        <v>0</v>
      </c>
      <c r="J230" s="16" t="n">
        <v>1</v>
      </c>
      <c r="K230" s="16" t="n">
        <v>3</v>
      </c>
    </row>
    <row r="231">
      <c r="A231" s="15" t="inlineStr">
        <is>
          <t>20 Jun</t>
        </is>
      </c>
      <c r="B231" s="15" t="inlineStr">
        <is>
          <t>37670</t>
        </is>
      </c>
      <c r="C231" s="16" t="n">
        <v>0</v>
      </c>
      <c r="D231" s="49" t="n">
        <v>5.97</v>
      </c>
      <c r="E231" s="18" t="n">
        <v>569</v>
      </c>
      <c r="F231" s="18" t="n">
        <v>780</v>
      </c>
      <c r="G231" s="19">
        <f>IF(F231=0,0,E231/F231*100)</f>
        <v/>
      </c>
      <c r="H231" s="16" t="n">
        <v>2</v>
      </c>
      <c r="I231" s="16" t="n">
        <v>0</v>
      </c>
      <c r="J231" s="16" t="n">
        <v>2</v>
      </c>
      <c r="K231" s="16" t="n">
        <v>2</v>
      </c>
    </row>
    <row r="232">
      <c r="A232" s="15" t="inlineStr">
        <is>
          <t>20 Jun</t>
        </is>
      </c>
      <c r="B232" s="15" t="inlineStr">
        <is>
          <t>39488</t>
        </is>
      </c>
      <c r="C232" s="16" t="n">
        <v>0</v>
      </c>
      <c r="D232" s="49" t="n">
        <v>30.02</v>
      </c>
      <c r="E232" s="18" t="n">
        <v>426</v>
      </c>
      <c r="F232" s="18" t="n">
        <v>426</v>
      </c>
      <c r="G232" s="19">
        <f>IF(F232=0,0,E232/F232*100)</f>
        <v/>
      </c>
      <c r="H232" s="16" t="n">
        <v>0</v>
      </c>
      <c r="I232" s="16" t="n">
        <v>0</v>
      </c>
      <c r="J232" s="16" t="n">
        <v>0</v>
      </c>
      <c r="K232" s="16" t="n">
        <v>0</v>
      </c>
    </row>
    <row r="233">
      <c r="A233" s="15" t="inlineStr">
        <is>
          <t>20 Jun</t>
        </is>
      </c>
      <c r="B233" s="15" t="inlineStr">
        <is>
          <t>30176</t>
        </is>
      </c>
      <c r="C233" s="16" t="n">
        <v>0</v>
      </c>
      <c r="D233" s="49" t="n">
        <v>33.28</v>
      </c>
      <c r="E233" s="18" t="n">
        <v>0</v>
      </c>
      <c r="F233" s="18" t="n">
        <v>135</v>
      </c>
      <c r="G233" s="19">
        <f>IF(F233=0,0,E233/F233*100)</f>
        <v/>
      </c>
      <c r="H233" s="16" t="n">
        <v>0</v>
      </c>
      <c r="I233" s="16" t="n">
        <v>0</v>
      </c>
      <c r="J233" s="16" t="n">
        <v>0</v>
      </c>
      <c r="K233" s="16" t="n">
        <v>0</v>
      </c>
    </row>
    <row r="234">
      <c r="A234" s="20" t="inlineStr">
        <is>
          <t>20 Jun</t>
        </is>
      </c>
      <c r="B234" s="20" t="inlineStr">
        <is>
          <t>Day Total</t>
        </is>
      </c>
      <c r="C234" s="21">
        <f>SUM(C195:C233)</f>
        <v/>
      </c>
      <c r="D234" s="50">
        <f>SUM(D195:D233)</f>
        <v/>
      </c>
      <c r="E234" s="23">
        <f>SUM(E195:E233)</f>
        <v/>
      </c>
      <c r="F234" s="23">
        <f>SUMIF(E195:E233,"&gt;0",F195:F233)</f>
        <v/>
      </c>
      <c r="G234" s="24">
        <f>IF(F234=0,0,E234/F234*100)</f>
        <v/>
      </c>
      <c r="H234" s="21">
        <f>SUM(H195:H233)</f>
        <v/>
      </c>
      <c r="I234" s="21">
        <f>SUM(I195:I233)</f>
        <v/>
      </c>
      <c r="J234" s="21">
        <f>SUM(J195:J233)</f>
        <v/>
      </c>
      <c r="K234" s="21">
        <f>SUM(K195:K233)</f>
        <v/>
      </c>
    </row>
    <row r="235">
      <c r="A235" s="15" t="inlineStr">
        <is>
          <t>21 Jun</t>
        </is>
      </c>
      <c r="B235" s="15" t="inlineStr">
        <is>
          <t>37503</t>
        </is>
      </c>
      <c r="C235" s="16" t="n">
        <v>2</v>
      </c>
      <c r="D235" s="49" t="n">
        <v>93.90000000000001</v>
      </c>
      <c r="E235" s="18" t="n">
        <v>8128</v>
      </c>
      <c r="F235" s="18" t="n">
        <v>9667</v>
      </c>
      <c r="G235" s="19">
        <f>IF(F235=0,0,E235/F235*100)</f>
        <v/>
      </c>
      <c r="H235" s="16" t="n">
        <v>0</v>
      </c>
      <c r="I235" s="16" t="n">
        <v>0</v>
      </c>
      <c r="J235" s="16" t="n">
        <v>0</v>
      </c>
      <c r="K235" s="16" t="n">
        <v>5</v>
      </c>
    </row>
    <row r="236">
      <c r="A236" s="15" t="inlineStr">
        <is>
          <t>21 Jun</t>
        </is>
      </c>
      <c r="B236" s="15" t="inlineStr">
        <is>
          <t>37793</t>
        </is>
      </c>
      <c r="C236" s="16" t="n">
        <v>1</v>
      </c>
      <c r="D236" s="49" t="n">
        <v>93.87</v>
      </c>
      <c r="E236" s="18" t="n">
        <v>8230</v>
      </c>
      <c r="F236" s="18" t="n">
        <v>9139</v>
      </c>
      <c r="G236" s="19">
        <f>IF(F236=0,0,E236/F236*100)</f>
        <v/>
      </c>
      <c r="H236" s="16" t="n">
        <v>0</v>
      </c>
      <c r="I236" s="16" t="n">
        <v>0</v>
      </c>
      <c r="J236" s="16" t="n">
        <v>0</v>
      </c>
      <c r="K236" s="16" t="n">
        <v>6</v>
      </c>
    </row>
    <row r="237">
      <c r="A237" s="15" t="inlineStr">
        <is>
          <t>21 Jun</t>
        </is>
      </c>
      <c r="B237" s="15" t="inlineStr">
        <is>
          <t>37275</t>
        </is>
      </c>
      <c r="C237" s="16" t="n">
        <v>1</v>
      </c>
      <c r="D237" s="49" t="n">
        <v>93.31999999999999</v>
      </c>
      <c r="E237" s="18" t="n">
        <v>7765</v>
      </c>
      <c r="F237" s="18" t="n">
        <v>8083</v>
      </c>
      <c r="G237" s="19">
        <f>IF(F237=0,0,E237/F237*100)</f>
        <v/>
      </c>
      <c r="H237" s="16" t="n">
        <v>0</v>
      </c>
      <c r="I237" s="16" t="n">
        <v>0</v>
      </c>
      <c r="J237" s="16" t="n">
        <v>0</v>
      </c>
      <c r="K237" s="16" t="n">
        <v>5</v>
      </c>
    </row>
    <row r="238">
      <c r="A238" s="15" t="inlineStr">
        <is>
          <t>21 Jun</t>
        </is>
      </c>
      <c r="B238" s="15" t="inlineStr">
        <is>
          <t>37818</t>
        </is>
      </c>
      <c r="C238" s="16" t="n">
        <v>1</v>
      </c>
      <c r="D238" s="49" t="n">
        <v>93.31999999999999</v>
      </c>
      <c r="E238" s="18" t="n">
        <v>7296</v>
      </c>
      <c r="F238" s="18" t="n">
        <v>7569</v>
      </c>
      <c r="G238" s="19">
        <f>IF(F238=0,0,E238/F238*100)</f>
        <v/>
      </c>
      <c r="H238" s="16" t="n">
        <v>0</v>
      </c>
      <c r="I238" s="16" t="n">
        <v>0</v>
      </c>
      <c r="J238" s="16" t="n">
        <v>0</v>
      </c>
      <c r="K238" s="16" t="n">
        <v>4</v>
      </c>
    </row>
    <row r="239">
      <c r="A239" s="15" t="inlineStr">
        <is>
          <t>21 Jun</t>
        </is>
      </c>
      <c r="B239" s="15" t="inlineStr">
        <is>
          <t>39311</t>
        </is>
      </c>
      <c r="C239" s="16" t="n">
        <v>1</v>
      </c>
      <c r="D239" s="49" t="n">
        <v>91.7</v>
      </c>
      <c r="E239" s="18" t="n">
        <v>6892</v>
      </c>
      <c r="F239" s="18" t="n">
        <v>7222</v>
      </c>
      <c r="G239" s="19">
        <f>IF(F239=0,0,E239/F239*100)</f>
        <v/>
      </c>
      <c r="H239" s="16" t="n">
        <v>0</v>
      </c>
      <c r="I239" s="16" t="n">
        <v>0</v>
      </c>
      <c r="J239" s="16" t="n">
        <v>0</v>
      </c>
      <c r="K239" s="16" t="n">
        <v>2</v>
      </c>
    </row>
    <row r="240">
      <c r="A240" s="15" t="inlineStr">
        <is>
          <t>21 Jun</t>
        </is>
      </c>
      <c r="B240" s="15" t="inlineStr">
        <is>
          <t>39287</t>
        </is>
      </c>
      <c r="C240" s="16" t="n">
        <v>1</v>
      </c>
      <c r="D240" s="49" t="n">
        <v>93.91</v>
      </c>
      <c r="E240" s="18" t="n">
        <v>6594</v>
      </c>
      <c r="F240" s="18" t="n">
        <v>7017</v>
      </c>
      <c r="G240" s="19">
        <f>IF(F240=0,0,E240/F240*100)</f>
        <v/>
      </c>
      <c r="H240" s="16" t="n">
        <v>0</v>
      </c>
      <c r="I240" s="16" t="n">
        <v>0</v>
      </c>
      <c r="J240" s="16" t="n">
        <v>0</v>
      </c>
      <c r="K240" s="16" t="n">
        <v>3</v>
      </c>
    </row>
    <row r="241">
      <c r="A241" s="15" t="inlineStr">
        <is>
          <t>21 Jun</t>
        </is>
      </c>
      <c r="B241" s="15" t="inlineStr">
        <is>
          <t>30065</t>
        </is>
      </c>
      <c r="C241" s="16" t="n">
        <v>1</v>
      </c>
      <c r="D241" s="49" t="n">
        <v>90.88</v>
      </c>
      <c r="E241" s="18" t="n">
        <v>6546</v>
      </c>
      <c r="F241" s="18" t="n">
        <v>6897</v>
      </c>
      <c r="G241" s="19">
        <f>IF(F241=0,0,E241/F241*100)</f>
        <v/>
      </c>
      <c r="H241" s="16" t="n">
        <v>0</v>
      </c>
      <c r="I241" s="16" t="n">
        <v>0</v>
      </c>
      <c r="J241" s="16" t="n">
        <v>0</v>
      </c>
      <c r="K241" s="16" t="n">
        <v>1</v>
      </c>
    </row>
    <row r="242">
      <c r="A242" s="15" t="inlineStr">
        <is>
          <t>21 Jun</t>
        </is>
      </c>
      <c r="B242" s="15" t="inlineStr">
        <is>
          <t>30814</t>
        </is>
      </c>
      <c r="C242" s="16" t="n">
        <v>1</v>
      </c>
      <c r="D242" s="49" t="n">
        <v>93.91</v>
      </c>
      <c r="E242" s="18" t="n">
        <v>5552</v>
      </c>
      <c r="F242" s="18" t="n">
        <v>6726</v>
      </c>
      <c r="G242" s="19">
        <f>IF(F242=0,0,E242/F242*100)</f>
        <v/>
      </c>
      <c r="H242" s="16" t="n">
        <v>0</v>
      </c>
      <c r="I242" s="16" t="n">
        <v>0</v>
      </c>
      <c r="J242" s="16" t="n">
        <v>0</v>
      </c>
      <c r="K242" s="16" t="n">
        <v>3</v>
      </c>
    </row>
    <row r="243">
      <c r="A243" s="15" t="inlineStr">
        <is>
          <t>21 Jun</t>
        </is>
      </c>
      <c r="B243" s="15" t="inlineStr">
        <is>
          <t>30476</t>
        </is>
      </c>
      <c r="C243" s="16" t="n">
        <v>1</v>
      </c>
      <c r="D243" s="49" t="n">
        <v>93.89</v>
      </c>
      <c r="E243" s="18" t="n">
        <v>4544</v>
      </c>
      <c r="F243" s="18" t="n">
        <v>6629</v>
      </c>
      <c r="G243" s="19">
        <f>IF(F243=0,0,E243/F243*100)</f>
        <v/>
      </c>
      <c r="H243" s="16" t="n">
        <v>0</v>
      </c>
      <c r="I243" s="16" t="n">
        <v>0</v>
      </c>
      <c r="J243" s="16" t="n">
        <v>0</v>
      </c>
      <c r="K243" s="16" t="n">
        <v>3</v>
      </c>
    </row>
    <row r="244">
      <c r="A244" s="15" t="inlineStr">
        <is>
          <t>21 Jun</t>
        </is>
      </c>
      <c r="B244" s="15" t="inlineStr">
        <is>
          <t>33715</t>
        </is>
      </c>
      <c r="C244" s="16" t="n">
        <v>1</v>
      </c>
      <c r="D244" s="49" t="n">
        <v>93.86</v>
      </c>
      <c r="E244" s="18" t="n">
        <v>5244</v>
      </c>
      <c r="F244" s="18" t="n">
        <v>5891</v>
      </c>
      <c r="G244" s="19">
        <f>IF(F244=0,0,E244/F244*100)</f>
        <v/>
      </c>
      <c r="H244" s="16" t="n">
        <v>0</v>
      </c>
      <c r="I244" s="16" t="n">
        <v>0</v>
      </c>
      <c r="J244" s="16" t="n">
        <v>0</v>
      </c>
      <c r="K244" s="16" t="n">
        <v>3</v>
      </c>
    </row>
    <row r="245">
      <c r="A245" s="15" t="inlineStr">
        <is>
          <t>21 Jun</t>
        </is>
      </c>
      <c r="B245" s="15" t="inlineStr">
        <is>
          <t>30791</t>
        </is>
      </c>
      <c r="C245" s="16" t="n">
        <v>1</v>
      </c>
      <c r="D245" s="49" t="n">
        <v>93.91</v>
      </c>
      <c r="E245" s="18" t="n">
        <v>3984</v>
      </c>
      <c r="F245" s="18" t="n">
        <v>5516</v>
      </c>
      <c r="G245" s="19">
        <f>IF(F245=0,0,E245/F245*100)</f>
        <v/>
      </c>
      <c r="H245" s="16" t="n">
        <v>0</v>
      </c>
      <c r="I245" s="16" t="n">
        <v>0</v>
      </c>
      <c r="J245" s="16" t="n">
        <v>0</v>
      </c>
      <c r="K245" s="16" t="n">
        <v>3</v>
      </c>
    </row>
    <row r="246">
      <c r="A246" s="15" t="inlineStr">
        <is>
          <t>21 Jun</t>
        </is>
      </c>
      <c r="B246" s="15" t="inlineStr">
        <is>
          <t>37074</t>
        </is>
      </c>
      <c r="C246" s="16" t="n">
        <v>1</v>
      </c>
      <c r="D246" s="49" t="n">
        <v>93.31</v>
      </c>
      <c r="E246" s="18" t="n">
        <v>5376</v>
      </c>
      <c r="F246" s="18" t="n">
        <v>5502</v>
      </c>
      <c r="G246" s="19">
        <f>IF(F246=0,0,E246/F246*100)</f>
        <v/>
      </c>
      <c r="H246" s="16" t="n">
        <v>0</v>
      </c>
      <c r="I246" s="16" t="n">
        <v>0</v>
      </c>
      <c r="J246" s="16" t="n">
        <v>0</v>
      </c>
      <c r="K246" s="16" t="n">
        <v>1</v>
      </c>
    </row>
    <row r="247">
      <c r="A247" s="15" t="inlineStr">
        <is>
          <t>21 Jun</t>
        </is>
      </c>
      <c r="B247" s="15" t="inlineStr">
        <is>
          <t>37279</t>
        </is>
      </c>
      <c r="C247" s="16" t="n">
        <v>1</v>
      </c>
      <c r="D247" s="49" t="n">
        <v>93.90000000000001</v>
      </c>
      <c r="E247" s="18" t="n">
        <v>5071</v>
      </c>
      <c r="F247" s="18" t="n">
        <v>5444</v>
      </c>
      <c r="G247" s="19">
        <f>IF(F247=0,0,E247/F247*100)</f>
        <v/>
      </c>
      <c r="H247" s="16" t="n">
        <v>0</v>
      </c>
      <c r="I247" s="16" t="n">
        <v>0</v>
      </c>
      <c r="J247" s="16" t="n">
        <v>0</v>
      </c>
      <c r="K247" s="16" t="n">
        <v>2</v>
      </c>
    </row>
    <row r="248">
      <c r="A248" s="15" t="inlineStr">
        <is>
          <t>21 Jun</t>
        </is>
      </c>
      <c r="B248" s="15" t="inlineStr">
        <is>
          <t>30314</t>
        </is>
      </c>
      <c r="C248" s="16" t="n">
        <v>1</v>
      </c>
      <c r="D248" s="49" t="n">
        <v>93.88</v>
      </c>
      <c r="E248" s="18" t="n">
        <v>4495</v>
      </c>
      <c r="F248" s="18" t="n">
        <v>5339</v>
      </c>
      <c r="G248" s="19">
        <f>IF(F248=0,0,E248/F248*100)</f>
        <v/>
      </c>
      <c r="H248" s="16" t="n">
        <v>0</v>
      </c>
      <c r="I248" s="16" t="n">
        <v>0</v>
      </c>
      <c r="J248" s="16" t="n">
        <v>0</v>
      </c>
      <c r="K248" s="16" t="n">
        <v>2</v>
      </c>
    </row>
    <row r="249">
      <c r="A249" s="15" t="inlineStr">
        <is>
          <t>21 Jun</t>
        </is>
      </c>
      <c r="B249" s="15" t="inlineStr">
        <is>
          <t>39030</t>
        </is>
      </c>
      <c r="C249" s="16" t="n">
        <v>1</v>
      </c>
      <c r="D249" s="49" t="n">
        <v>93.91</v>
      </c>
      <c r="E249" s="18" t="n">
        <v>4071</v>
      </c>
      <c r="F249" s="18" t="n">
        <v>5233</v>
      </c>
      <c r="G249" s="19">
        <f>IF(F249=0,0,E249/F249*100)</f>
        <v/>
      </c>
      <c r="H249" s="16" t="n">
        <v>0</v>
      </c>
      <c r="I249" s="16" t="n">
        <v>0</v>
      </c>
      <c r="J249" s="16" t="n">
        <v>0</v>
      </c>
      <c r="K249" s="16" t="n">
        <v>3</v>
      </c>
    </row>
    <row r="250">
      <c r="A250" s="15" t="inlineStr">
        <is>
          <t>21 Jun</t>
        </is>
      </c>
      <c r="B250" s="15" t="inlineStr">
        <is>
          <t>39248</t>
        </is>
      </c>
      <c r="C250" s="16" t="n">
        <v>1</v>
      </c>
      <c r="D250" s="49" t="n">
        <v>93.91</v>
      </c>
      <c r="E250" s="18" t="n">
        <v>4079</v>
      </c>
      <c r="F250" s="18" t="n">
        <v>5154</v>
      </c>
      <c r="G250" s="19">
        <f>IF(F250=0,0,E250/F250*100)</f>
        <v/>
      </c>
      <c r="H250" s="16" t="n">
        <v>0</v>
      </c>
      <c r="I250" s="16" t="n">
        <v>0</v>
      </c>
      <c r="J250" s="16" t="n">
        <v>0</v>
      </c>
      <c r="K250" s="16" t="n">
        <v>3</v>
      </c>
    </row>
    <row r="251">
      <c r="A251" s="15" t="inlineStr">
        <is>
          <t>21 Jun</t>
        </is>
      </c>
      <c r="B251" s="15" t="inlineStr">
        <is>
          <t>37287</t>
        </is>
      </c>
      <c r="C251" s="16" t="n">
        <v>1</v>
      </c>
      <c r="D251" s="49" t="n">
        <v>93.89</v>
      </c>
      <c r="E251" s="18" t="n">
        <v>3865</v>
      </c>
      <c r="F251" s="18" t="n">
        <v>5078</v>
      </c>
      <c r="G251" s="19">
        <f>IF(F251=0,0,E251/F251*100)</f>
        <v/>
      </c>
      <c r="H251" s="16" t="n">
        <v>0</v>
      </c>
      <c r="I251" s="16" t="n">
        <v>0</v>
      </c>
      <c r="J251" s="16" t="n">
        <v>0</v>
      </c>
      <c r="K251" s="16" t="n">
        <v>3</v>
      </c>
    </row>
    <row r="252">
      <c r="A252" s="15" t="inlineStr">
        <is>
          <t>21 Jun</t>
        </is>
      </c>
      <c r="B252" s="15" t="inlineStr">
        <is>
          <t>30606</t>
        </is>
      </c>
      <c r="C252" s="16" t="n">
        <v>1</v>
      </c>
      <c r="D252" s="49" t="n">
        <v>93.88</v>
      </c>
      <c r="E252" s="18" t="n">
        <v>4388</v>
      </c>
      <c r="F252" s="18" t="n">
        <v>5039</v>
      </c>
      <c r="G252" s="19">
        <f>IF(F252=0,0,E252/F252*100)</f>
        <v/>
      </c>
      <c r="H252" s="16" t="n">
        <v>0</v>
      </c>
      <c r="I252" s="16" t="n">
        <v>0</v>
      </c>
      <c r="J252" s="16" t="n">
        <v>0</v>
      </c>
      <c r="K252" s="16" t="n">
        <v>4</v>
      </c>
    </row>
    <row r="253">
      <c r="A253" s="15" t="inlineStr">
        <is>
          <t>21 Jun</t>
        </is>
      </c>
      <c r="B253" s="15" t="inlineStr">
        <is>
          <t>30531</t>
        </is>
      </c>
      <c r="C253" s="16" t="n">
        <v>1</v>
      </c>
      <c r="D253" s="49" t="n">
        <v>93.90000000000001</v>
      </c>
      <c r="E253" s="18" t="n">
        <v>4244</v>
      </c>
      <c r="F253" s="18" t="n">
        <v>4817</v>
      </c>
      <c r="G253" s="19">
        <f>IF(F253=0,0,E253/F253*100)</f>
        <v/>
      </c>
      <c r="H253" s="16" t="n">
        <v>0</v>
      </c>
      <c r="I253" s="16" t="n">
        <v>0</v>
      </c>
      <c r="J253" s="16" t="n">
        <v>0</v>
      </c>
      <c r="K253" s="16" t="n">
        <v>3</v>
      </c>
    </row>
    <row r="254">
      <c r="A254" s="15" t="inlineStr">
        <is>
          <t>21 Jun</t>
        </is>
      </c>
      <c r="B254" s="15" t="inlineStr">
        <is>
          <t>37569</t>
        </is>
      </c>
      <c r="C254" s="16" t="n">
        <v>1</v>
      </c>
      <c r="D254" s="49" t="n">
        <v>93.91</v>
      </c>
      <c r="E254" s="18" t="n">
        <v>4061</v>
      </c>
      <c r="F254" s="18" t="n">
        <v>4636</v>
      </c>
      <c r="G254" s="19">
        <f>IF(F254=0,0,E254/F254*100)</f>
        <v/>
      </c>
      <c r="H254" s="16" t="n">
        <v>0</v>
      </c>
      <c r="I254" s="16" t="n">
        <v>0</v>
      </c>
      <c r="J254" s="16" t="n">
        <v>0</v>
      </c>
      <c r="K254" s="16" t="n">
        <v>3</v>
      </c>
    </row>
    <row r="255">
      <c r="A255" s="15" t="inlineStr">
        <is>
          <t>21 Jun</t>
        </is>
      </c>
      <c r="B255" s="15" t="inlineStr">
        <is>
          <t>43881</t>
        </is>
      </c>
      <c r="C255" s="16" t="n">
        <v>0</v>
      </c>
      <c r="D255" s="49" t="n">
        <v>88.15000000000001</v>
      </c>
      <c r="E255" s="18" t="n">
        <v>5184</v>
      </c>
      <c r="F255" s="18" t="n">
        <v>5656</v>
      </c>
      <c r="G255" s="19">
        <f>IF(F255=0,0,E255/F255*100)</f>
        <v/>
      </c>
      <c r="H255" s="16" t="n">
        <v>0</v>
      </c>
      <c r="I255" s="16" t="n">
        <v>0</v>
      </c>
      <c r="J255" s="16" t="n">
        <v>0</v>
      </c>
      <c r="K255" s="16" t="n">
        <v>4</v>
      </c>
    </row>
    <row r="256">
      <c r="A256" s="15" t="inlineStr">
        <is>
          <t>21 Jun</t>
        </is>
      </c>
      <c r="B256" s="15" t="inlineStr">
        <is>
          <t>37277</t>
        </is>
      </c>
      <c r="C256" s="16" t="n">
        <v>0</v>
      </c>
      <c r="D256" s="49" t="n">
        <v>36.68</v>
      </c>
      <c r="E256" s="18" t="n">
        <v>2300</v>
      </c>
      <c r="F256" s="18" t="n">
        <v>5296</v>
      </c>
      <c r="G256" s="19">
        <f>IF(F256=0,0,E256/F256*100)</f>
        <v/>
      </c>
      <c r="H256" s="16" t="n">
        <v>0</v>
      </c>
      <c r="I256" s="16" t="n">
        <v>0</v>
      </c>
      <c r="J256" s="16" t="n">
        <v>0</v>
      </c>
      <c r="K256" s="16" t="n">
        <v>2</v>
      </c>
    </row>
    <row r="257">
      <c r="A257" s="15" t="inlineStr">
        <is>
          <t>21 Jun</t>
        </is>
      </c>
      <c r="B257" s="15" t="inlineStr">
        <is>
          <t>37086</t>
        </is>
      </c>
      <c r="C257" s="16" t="n">
        <v>0</v>
      </c>
      <c r="D257" s="49" t="n">
        <v>54.73</v>
      </c>
      <c r="E257" s="18" t="n">
        <v>5183</v>
      </c>
      <c r="F257" s="18" t="n">
        <v>5222</v>
      </c>
      <c r="G257" s="19">
        <f>IF(F257=0,0,E257/F257*100)</f>
        <v/>
      </c>
      <c r="H257" s="16" t="n">
        <v>0</v>
      </c>
      <c r="I257" s="16" t="n">
        <v>0</v>
      </c>
      <c r="J257" s="16" t="n">
        <v>0</v>
      </c>
      <c r="K257" s="16" t="n">
        <v>0</v>
      </c>
    </row>
    <row r="258">
      <c r="A258" s="15" t="inlineStr">
        <is>
          <t>21 Jun</t>
        </is>
      </c>
      <c r="B258" s="15" t="inlineStr">
        <is>
          <t>37817</t>
        </is>
      </c>
      <c r="C258" s="16" t="n">
        <v>0</v>
      </c>
      <c r="D258" s="49" t="n">
        <v>63.48</v>
      </c>
      <c r="E258" s="18" t="n">
        <v>4352</v>
      </c>
      <c r="F258" s="18" t="n">
        <v>4523</v>
      </c>
      <c r="G258" s="19">
        <f>IF(F258=0,0,E258/F258*100)</f>
        <v/>
      </c>
      <c r="H258" s="16" t="n">
        <v>0</v>
      </c>
      <c r="I258" s="16" t="n">
        <v>0</v>
      </c>
      <c r="J258" s="16" t="n">
        <v>0</v>
      </c>
      <c r="K258" s="16" t="n">
        <v>1</v>
      </c>
    </row>
    <row r="259">
      <c r="A259" s="15" t="inlineStr">
        <is>
          <t>21 Jun</t>
        </is>
      </c>
      <c r="B259" s="15" t="inlineStr">
        <is>
          <t>39258</t>
        </is>
      </c>
      <c r="C259" s="16" t="n">
        <v>0</v>
      </c>
      <c r="D259" s="49" t="n">
        <v>48.66</v>
      </c>
      <c r="E259" s="18" t="n">
        <v>4171</v>
      </c>
      <c r="F259" s="18" t="n">
        <v>4172</v>
      </c>
      <c r="G259" s="19">
        <f>IF(F259=0,0,E259/F259*100)</f>
        <v/>
      </c>
      <c r="H259" s="16" t="n">
        <v>0</v>
      </c>
      <c r="I259" s="16" t="n">
        <v>0</v>
      </c>
      <c r="J259" s="16" t="n">
        <v>0</v>
      </c>
      <c r="K259" s="16" t="n">
        <v>0</v>
      </c>
    </row>
    <row r="260">
      <c r="A260" s="15" t="inlineStr">
        <is>
          <t>21 Jun</t>
        </is>
      </c>
      <c r="B260" s="15" t="inlineStr">
        <is>
          <t>43541</t>
        </is>
      </c>
      <c r="C260" s="16" t="n">
        <v>0</v>
      </c>
      <c r="D260" s="49" t="n">
        <v>51.92</v>
      </c>
      <c r="E260" s="18" t="n">
        <v>1531</v>
      </c>
      <c r="F260" s="18" t="n">
        <v>3815</v>
      </c>
      <c r="G260" s="19">
        <f>IF(F260=0,0,E260/F260*100)</f>
        <v/>
      </c>
      <c r="H260" s="16" t="n">
        <v>0</v>
      </c>
      <c r="I260" s="16" t="n">
        <v>0</v>
      </c>
      <c r="J260" s="16" t="n">
        <v>0</v>
      </c>
      <c r="K260" s="16" t="n">
        <v>1</v>
      </c>
    </row>
    <row r="261">
      <c r="A261" s="15" t="inlineStr">
        <is>
          <t>21 Jun</t>
        </is>
      </c>
      <c r="B261" s="15" t="inlineStr">
        <is>
          <t>37684</t>
        </is>
      </c>
      <c r="C261" s="16" t="n">
        <v>0</v>
      </c>
      <c r="D261" s="49" t="n">
        <v>52.14</v>
      </c>
      <c r="E261" s="18" t="n">
        <v>2058</v>
      </c>
      <c r="F261" s="18" t="n">
        <v>3594</v>
      </c>
      <c r="G261" s="19">
        <f>IF(F261=0,0,E261/F261*100)</f>
        <v/>
      </c>
      <c r="H261" s="16" t="n">
        <v>0</v>
      </c>
      <c r="I261" s="16" t="n">
        <v>0</v>
      </c>
      <c r="J261" s="16" t="n">
        <v>0</v>
      </c>
      <c r="K261" s="16" t="n">
        <v>2</v>
      </c>
    </row>
    <row r="262">
      <c r="A262" s="15" t="inlineStr">
        <is>
          <t>21 Jun</t>
        </is>
      </c>
      <c r="B262" s="15" t="inlineStr">
        <is>
          <t>37505</t>
        </is>
      </c>
      <c r="C262" s="16" t="n">
        <v>0</v>
      </c>
      <c r="D262" s="49" t="n">
        <v>43.2</v>
      </c>
      <c r="E262" s="18" t="n">
        <v>2802</v>
      </c>
      <c r="F262" s="18" t="n">
        <v>2885</v>
      </c>
      <c r="G262" s="19">
        <f>IF(F262=0,0,E262/F262*100)</f>
        <v/>
      </c>
      <c r="H262" s="16" t="n">
        <v>0</v>
      </c>
      <c r="I262" s="16" t="n">
        <v>0</v>
      </c>
      <c r="J262" s="16" t="n">
        <v>0</v>
      </c>
      <c r="K262" s="16" t="n">
        <v>2</v>
      </c>
    </row>
    <row r="263">
      <c r="A263" s="15" t="inlineStr">
        <is>
          <t>21 Jun</t>
        </is>
      </c>
      <c r="B263" s="15" t="inlineStr">
        <is>
          <t>30823</t>
        </is>
      </c>
      <c r="C263" s="16" t="n">
        <v>0</v>
      </c>
      <c r="D263" s="49" t="n">
        <v>35.93</v>
      </c>
      <c r="E263" s="18" t="n">
        <v>1747</v>
      </c>
      <c r="F263" s="18" t="n">
        <v>2458</v>
      </c>
      <c r="G263" s="19">
        <f>IF(F263=0,0,E263/F263*100)</f>
        <v/>
      </c>
      <c r="H263" s="16" t="n">
        <v>0</v>
      </c>
      <c r="I263" s="16" t="n">
        <v>0</v>
      </c>
      <c r="J263" s="16" t="n">
        <v>0</v>
      </c>
      <c r="K263" s="16" t="n">
        <v>1</v>
      </c>
    </row>
    <row r="264">
      <c r="A264" s="15" t="inlineStr">
        <is>
          <t>21 Jun</t>
        </is>
      </c>
      <c r="B264" s="15" t="inlineStr">
        <is>
          <t>37316</t>
        </is>
      </c>
      <c r="C264" s="16" t="n">
        <v>0</v>
      </c>
      <c r="D264" s="49" t="n">
        <v>77.94</v>
      </c>
      <c r="E264" s="18" t="n">
        <v>1145</v>
      </c>
      <c r="F264" s="18" t="n">
        <v>2166</v>
      </c>
      <c r="G264" s="19">
        <f>IF(F264=0,0,E264/F264*100)</f>
        <v/>
      </c>
      <c r="H264" s="16" t="n">
        <v>0</v>
      </c>
      <c r="I264" s="16" t="n">
        <v>0</v>
      </c>
      <c r="J264" s="16" t="n">
        <v>0</v>
      </c>
      <c r="K264" s="16" t="n">
        <v>1</v>
      </c>
    </row>
    <row r="265">
      <c r="A265" s="15" t="inlineStr">
        <is>
          <t>21 Jun</t>
        </is>
      </c>
      <c r="B265" s="15" t="inlineStr">
        <is>
          <t>37780</t>
        </is>
      </c>
      <c r="C265" s="16" t="n">
        <v>0</v>
      </c>
      <c r="D265" s="49" t="n">
        <v>40.45</v>
      </c>
      <c r="E265" s="18" t="n">
        <v>1099</v>
      </c>
      <c r="F265" s="18" t="n">
        <v>2122</v>
      </c>
      <c r="G265" s="19">
        <f>IF(F265=0,0,E265/F265*100)</f>
        <v/>
      </c>
      <c r="H265" s="16" t="n">
        <v>0</v>
      </c>
      <c r="I265" s="16" t="n">
        <v>0</v>
      </c>
      <c r="J265" s="16" t="n">
        <v>0</v>
      </c>
      <c r="K265" s="16" t="n">
        <v>1</v>
      </c>
    </row>
    <row r="266">
      <c r="A266" s="15" t="inlineStr">
        <is>
          <t>21 Jun</t>
        </is>
      </c>
      <c r="B266" s="15" t="inlineStr">
        <is>
          <t>39260</t>
        </is>
      </c>
      <c r="C266" s="16" t="n">
        <v>0</v>
      </c>
      <c r="D266" s="49" t="n">
        <v>38.14</v>
      </c>
      <c r="E266" s="18" t="n">
        <v>1357</v>
      </c>
      <c r="F266" s="18" t="n">
        <v>2000</v>
      </c>
      <c r="G266" s="19">
        <f>IF(F266=0,0,E266/F266*100)</f>
        <v/>
      </c>
      <c r="H266" s="16" t="n">
        <v>0</v>
      </c>
      <c r="I266" s="16" t="n">
        <v>0</v>
      </c>
      <c r="J266" s="16" t="n">
        <v>0</v>
      </c>
      <c r="K266" s="16" t="n">
        <v>1</v>
      </c>
    </row>
    <row r="267">
      <c r="A267" s="15" t="inlineStr">
        <is>
          <t>21 Jun</t>
        </is>
      </c>
      <c r="B267" s="15" t="inlineStr">
        <is>
          <t>45034</t>
        </is>
      </c>
      <c r="C267" s="16" t="n">
        <v>0</v>
      </c>
      <c r="D267" s="49" t="n">
        <v>36.9</v>
      </c>
      <c r="E267" s="18" t="n">
        <v>1089</v>
      </c>
      <c r="F267" s="18" t="n">
        <v>1943</v>
      </c>
      <c r="G267" s="19">
        <f>IF(F267=0,0,E267/F267*100)</f>
        <v/>
      </c>
      <c r="H267" s="16" t="n">
        <v>0</v>
      </c>
      <c r="I267" s="16" t="n">
        <v>0</v>
      </c>
      <c r="J267" s="16" t="n">
        <v>0</v>
      </c>
      <c r="K267" s="16" t="n">
        <v>1</v>
      </c>
    </row>
    <row r="268">
      <c r="A268" s="15" t="inlineStr">
        <is>
          <t>21 Jun</t>
        </is>
      </c>
      <c r="B268" s="15" t="inlineStr">
        <is>
          <t>37515</t>
        </is>
      </c>
      <c r="C268" s="16" t="n">
        <v>0</v>
      </c>
      <c r="D268" s="49" t="n">
        <v>39.49</v>
      </c>
      <c r="E268" s="18" t="n">
        <v>820</v>
      </c>
      <c r="F268" s="18" t="n">
        <v>1878</v>
      </c>
      <c r="G268" s="19">
        <f>IF(F268=0,0,E268/F268*100)</f>
        <v/>
      </c>
      <c r="H268" s="16" t="n">
        <v>0</v>
      </c>
      <c r="I268" s="16" t="n">
        <v>0</v>
      </c>
      <c r="J268" s="16" t="n">
        <v>0</v>
      </c>
      <c r="K268" s="16" t="n">
        <v>1</v>
      </c>
    </row>
    <row r="269">
      <c r="A269" s="15" t="inlineStr">
        <is>
          <t>21 Jun</t>
        </is>
      </c>
      <c r="B269" s="15" t="inlineStr">
        <is>
          <t>30460</t>
        </is>
      </c>
      <c r="C269" s="16" t="n">
        <v>0</v>
      </c>
      <c r="D269" s="49" t="n">
        <v>34.22</v>
      </c>
      <c r="E269" s="18" t="n">
        <v>887</v>
      </c>
      <c r="F269" s="18" t="n">
        <v>1736</v>
      </c>
      <c r="G269" s="19">
        <f>IF(F269=0,0,E269/F269*100)</f>
        <v/>
      </c>
      <c r="H269" s="16" t="n">
        <v>0</v>
      </c>
      <c r="I269" s="16" t="n">
        <v>0</v>
      </c>
      <c r="J269" s="16" t="n">
        <v>0</v>
      </c>
      <c r="K269" s="16" t="n">
        <v>1</v>
      </c>
    </row>
    <row r="270">
      <c r="A270" s="15" t="inlineStr">
        <is>
          <t>21 Jun</t>
        </is>
      </c>
      <c r="B270" s="15" t="inlineStr">
        <is>
          <t>39331</t>
        </is>
      </c>
      <c r="C270" s="16" t="n">
        <v>0</v>
      </c>
      <c r="D270" s="49" t="n">
        <v>36.93</v>
      </c>
      <c r="E270" s="18" t="n">
        <v>1121</v>
      </c>
      <c r="F270" s="18" t="n">
        <v>1716</v>
      </c>
      <c r="G270" s="19">
        <f>IF(F270=0,0,E270/F270*100)</f>
        <v/>
      </c>
      <c r="H270" s="16" t="n">
        <v>0</v>
      </c>
      <c r="I270" s="16" t="n">
        <v>0</v>
      </c>
      <c r="J270" s="16" t="n">
        <v>0</v>
      </c>
      <c r="K270" s="16" t="n">
        <v>1</v>
      </c>
    </row>
    <row r="271">
      <c r="A271" s="15" t="inlineStr">
        <is>
          <t>21 Jun</t>
        </is>
      </c>
      <c r="B271" s="15" t="inlineStr">
        <is>
          <t>39163</t>
        </is>
      </c>
      <c r="C271" s="16" t="n">
        <v>0</v>
      </c>
      <c r="D271" s="49" t="n">
        <v>40.17</v>
      </c>
      <c r="E271" s="18" t="n">
        <v>805</v>
      </c>
      <c r="F271" s="18" t="n">
        <v>1631</v>
      </c>
      <c r="G271" s="19">
        <f>IF(F271=0,0,E271/F271*100)</f>
        <v/>
      </c>
      <c r="H271" s="16" t="n">
        <v>0</v>
      </c>
      <c r="I271" s="16" t="n">
        <v>0</v>
      </c>
      <c r="J271" s="16" t="n">
        <v>0</v>
      </c>
      <c r="K271" s="16" t="n">
        <v>1</v>
      </c>
    </row>
    <row r="272">
      <c r="A272" s="15" t="inlineStr">
        <is>
          <t>21 Jun</t>
        </is>
      </c>
      <c r="B272" s="15" t="inlineStr">
        <is>
          <t>30473</t>
        </is>
      </c>
      <c r="C272" s="16" t="n">
        <v>0</v>
      </c>
      <c r="D272" s="49" t="n">
        <v>36.76</v>
      </c>
      <c r="E272" s="18" t="n">
        <v>636</v>
      </c>
      <c r="F272" s="18" t="n">
        <v>1565</v>
      </c>
      <c r="G272" s="19">
        <f>IF(F272=0,0,E272/F272*100)</f>
        <v/>
      </c>
      <c r="H272" s="16" t="n">
        <v>0</v>
      </c>
      <c r="I272" s="16" t="n">
        <v>0</v>
      </c>
      <c r="J272" s="16" t="n">
        <v>0</v>
      </c>
      <c r="K272" s="16" t="n">
        <v>1</v>
      </c>
    </row>
    <row r="273">
      <c r="A273" s="15" t="inlineStr">
        <is>
          <t>21 Jun</t>
        </is>
      </c>
      <c r="B273" s="15" t="inlineStr">
        <is>
          <t>30062</t>
        </is>
      </c>
      <c r="C273" s="16" t="n">
        <v>0</v>
      </c>
      <c r="D273" s="49" t="n">
        <v>36.86</v>
      </c>
      <c r="E273" s="18" t="n">
        <v>872</v>
      </c>
      <c r="F273" s="18" t="n">
        <v>1457</v>
      </c>
      <c r="G273" s="19">
        <f>IF(F273=0,0,E273/F273*100)</f>
        <v/>
      </c>
      <c r="H273" s="16" t="n">
        <v>0</v>
      </c>
      <c r="I273" s="16" t="n">
        <v>0</v>
      </c>
      <c r="J273" s="16" t="n">
        <v>0</v>
      </c>
      <c r="K273" s="16" t="n">
        <v>1</v>
      </c>
    </row>
    <row r="274">
      <c r="A274" s="15" t="inlineStr">
        <is>
          <t>21 Jun</t>
        </is>
      </c>
      <c r="B274" s="15" t="inlineStr">
        <is>
          <t>37322</t>
        </is>
      </c>
      <c r="C274" s="16" t="n">
        <v>0</v>
      </c>
      <c r="D274" s="49" t="n">
        <v>27.59</v>
      </c>
      <c r="E274" s="18" t="n">
        <v>413</v>
      </c>
      <c r="F274" s="18" t="n">
        <v>844</v>
      </c>
      <c r="G274" s="19">
        <f>IF(F274=0,0,E274/F274*100)</f>
        <v/>
      </c>
      <c r="H274" s="16" t="n">
        <v>0</v>
      </c>
      <c r="I274" s="16" t="n">
        <v>0</v>
      </c>
      <c r="J274" s="16" t="n">
        <v>0</v>
      </c>
      <c r="K274" s="16" t="n">
        <v>1</v>
      </c>
    </row>
    <row r="275">
      <c r="A275" s="15" t="inlineStr">
        <is>
          <t>21 Jun</t>
        </is>
      </c>
      <c r="B275" s="15" t="inlineStr">
        <is>
          <t>39467</t>
        </is>
      </c>
      <c r="C275" s="16" t="n">
        <v>0</v>
      </c>
      <c r="D275" s="49" t="n">
        <v>1.99</v>
      </c>
      <c r="E275" s="18" t="n">
        <v>0</v>
      </c>
      <c r="F275" s="18" t="n">
        <v>804</v>
      </c>
      <c r="G275" s="19">
        <f>IF(F275=0,0,E275/F275*100)</f>
        <v/>
      </c>
      <c r="H275" s="16" t="n">
        <v>0</v>
      </c>
      <c r="I275" s="16" t="n">
        <v>0</v>
      </c>
      <c r="J275" s="16" t="n">
        <v>0</v>
      </c>
      <c r="K275" s="16" t="n">
        <v>0</v>
      </c>
    </row>
    <row r="276">
      <c r="A276" s="15" t="inlineStr">
        <is>
          <t>21 Jun</t>
        </is>
      </c>
      <c r="B276" s="15" t="inlineStr">
        <is>
          <t>37792</t>
        </is>
      </c>
      <c r="C276" s="16" t="n">
        <v>0</v>
      </c>
      <c r="D276" s="49" t="n">
        <v>29.88</v>
      </c>
      <c r="E276" s="18" t="n">
        <v>479</v>
      </c>
      <c r="F276" s="18" t="n">
        <v>479</v>
      </c>
      <c r="G276" s="19">
        <f>IF(F276=0,0,E276/F276*100)</f>
        <v/>
      </c>
      <c r="H276" s="16" t="n">
        <v>0</v>
      </c>
      <c r="I276" s="16" t="n">
        <v>0</v>
      </c>
      <c r="J276" s="16" t="n">
        <v>0</v>
      </c>
      <c r="K276" s="16" t="n">
        <v>0</v>
      </c>
    </row>
    <row r="277">
      <c r="A277" s="15" t="inlineStr">
        <is>
          <t>21 Jun</t>
        </is>
      </c>
      <c r="B277" s="15" t="inlineStr">
        <is>
          <t>30176</t>
        </is>
      </c>
      <c r="C277" s="16" t="n">
        <v>0</v>
      </c>
      <c r="D277" s="49" t="n">
        <v>59.67</v>
      </c>
      <c r="E277" s="18" t="n">
        <v>0</v>
      </c>
      <c r="F277" s="18" t="n">
        <v>28</v>
      </c>
      <c r="G277" s="19">
        <f>IF(F277=0,0,E277/F277*100)</f>
        <v/>
      </c>
      <c r="H277" s="16" t="n">
        <v>0</v>
      </c>
      <c r="I277" s="16" t="n">
        <v>0</v>
      </c>
      <c r="J277" s="16" t="n">
        <v>0</v>
      </c>
      <c r="K277" s="16" t="n">
        <v>0</v>
      </c>
    </row>
    <row r="278">
      <c r="A278" s="20" t="inlineStr">
        <is>
          <t>21 Jun</t>
        </is>
      </c>
      <c r="B278" s="20" t="inlineStr">
        <is>
          <t>Day Total</t>
        </is>
      </c>
      <c r="C278" s="21">
        <f>SUM(C235:C277)</f>
        <v/>
      </c>
      <c r="D278" s="50">
        <f>SUM(D235:D277)</f>
        <v/>
      </c>
      <c r="E278" s="23">
        <f>SUM(E235:E277)</f>
        <v/>
      </c>
      <c r="F278" s="23">
        <f>SUMIF(E235:E277,"&gt;0",F235:F277)</f>
        <v/>
      </c>
      <c r="G278" s="24">
        <f>IF(F278=0,0,E278/F278*100)</f>
        <v/>
      </c>
      <c r="H278" s="21">
        <f>SUM(H235:H277)</f>
        <v/>
      </c>
      <c r="I278" s="21">
        <f>SUM(I235:I277)</f>
        <v/>
      </c>
      <c r="J278" s="21">
        <f>SUM(J235:J277)</f>
        <v/>
      </c>
      <c r="K278" s="21">
        <f>SUM(K235:K277)</f>
        <v/>
      </c>
    </row>
    <row r="279">
      <c r="A279" s="25" t="inlineStr">
        <is>
          <t>GRAND TOTAL</t>
        </is>
      </c>
      <c r="B279" s="25" t="n"/>
      <c r="C279" s="26">
        <f>C38+C74+C113+C144+C194+C234+C278</f>
        <v/>
      </c>
      <c r="D279" s="51">
        <f>D38+D74+D113+D144+D194+D234+D278</f>
        <v/>
      </c>
      <c r="E279" s="28">
        <f>E38+E74+E113+E144+E194+E234+E278</f>
        <v/>
      </c>
      <c r="F279" s="28">
        <f>F38+F74+F113+F144+F194+F234+F278</f>
        <v/>
      </c>
      <c r="G279" s="29">
        <f>IF(F279=0,0,E279/F279*100)</f>
        <v/>
      </c>
      <c r="H279" s="26">
        <f>H38+H74+H113+H144+H194+H234+H278</f>
        <v/>
      </c>
      <c r="I279" s="26">
        <f>I38+I74+I113+I144+I194+I234+I278</f>
        <v/>
      </c>
      <c r="J279" s="26">
        <f>J38+J74+J113+J144+J194+J234+J278</f>
        <v/>
      </c>
      <c r="K279" s="26">
        <f>K38+K74+K113+K144+K194+K234+K278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56" customWidth="1" min="13" max="13"/>
    <col width="26" customWidth="1" min="14" max="14"/>
    <col width="13" customWidth="1" min="15" max="15"/>
    <col width="46" customWidth="1" min="16" max="16"/>
  </cols>
  <sheetData>
    <row r="1">
      <c r="A1" s="13" t="inlineStr">
        <is>
          <t>EB Detail — every Emergency-Brake event, with speed / MA / Emergency diagnostics + undesirable classification</t>
        </is>
      </c>
    </row>
    <row r="3">
      <c r="A3" s="30" t="inlineStr">
        <is>
          <t>Total EB = 20   ·   Valid trips = 13   ·   Non-valid trips = 7   ·   Undesirable = 19</t>
        </is>
      </c>
    </row>
    <row r="5" ht="34" customHeight="1">
      <c r="A5" s="14" t="inlineStr">
        <is>
          <t>Date</t>
        </is>
      </c>
      <c r="B5" s="14" t="inlineStr">
        <is>
          <t>Loco ID</t>
        </is>
      </c>
      <c r="C5" s="14" t="inlineStr">
        <is>
          <t>Trip Type</t>
        </is>
      </c>
      <c r="D5" s="14" t="inlineStr">
        <is>
          <t>Onset</t>
        </is>
      </c>
      <c r="E5" s="14" t="inlineStr">
        <is>
          <t>End</t>
        </is>
      </c>
      <c r="F5" s="14" t="inlineStr">
        <is>
          <t>Duration (s)</t>
        </is>
      </c>
      <c r="G5" s="14" t="inlineStr">
        <is>
          <t>EB Packets</t>
        </is>
      </c>
      <c r="H5" s="14" t="inlineStr">
        <is>
          <t>Max Speed</t>
        </is>
      </c>
      <c r="I5" s="14" t="inlineStr">
        <is>
          <t>Mode @onset</t>
        </is>
      </c>
      <c r="J5" s="14" t="inlineStr">
        <is>
          <t>Location (km)</t>
        </is>
      </c>
      <c r="K5" s="14" t="inlineStr">
        <is>
          <t>Dir</t>
        </is>
      </c>
      <c r="L5" s="14" t="inlineStr">
        <is>
          <t>Station</t>
        </is>
      </c>
      <c r="M5" s="14" t="inlineStr">
        <is>
          <t>Speed at EB (PG check)</t>
        </is>
      </c>
      <c r="N5" s="14" t="inlineStr">
        <is>
          <t>MA wrt Sig</t>
        </is>
      </c>
      <c r="O5" s="14" t="inlineStr">
        <is>
          <t>Emergency (LReg)</t>
        </is>
      </c>
      <c r="P5" s="14" t="inlineStr">
        <is>
          <t>Suspected Reason (undesirable)</t>
        </is>
      </c>
    </row>
    <row r="6">
      <c r="A6" s="16" t="inlineStr">
        <is>
          <t>15 Jun</t>
        </is>
      </c>
      <c r="B6" s="16" t="inlineStr">
        <is>
          <t>37577</t>
        </is>
      </c>
      <c r="C6" s="16" t="inlineStr">
        <is>
          <t>Valid</t>
        </is>
      </c>
      <c r="D6" s="16" t="inlineStr">
        <is>
          <t>04:30:56</t>
        </is>
      </c>
      <c r="E6" s="16" t="inlineStr">
        <is>
          <t>04:32:30</t>
        </is>
      </c>
      <c r="F6" s="16" t="n">
        <v>94</v>
      </c>
      <c r="G6" s="16" t="n">
        <v>48</v>
      </c>
      <c r="H6" s="16" t="n">
        <v>107</v>
      </c>
      <c r="I6" s="16" t="inlineStr">
        <is>
          <t>TRIP</t>
        </is>
      </c>
      <c r="J6" s="31" t="n">
        <v>470.41</v>
      </c>
      <c r="K6" s="16" t="inlineStr">
        <is>
          <t>N</t>
        </is>
      </c>
      <c r="L6" s="16" t="inlineStr">
        <is>
          <t>LC-294</t>
        </is>
      </c>
      <c r="M6" s="32" t="inlineStr">
        <is>
          <t>107 km/h</t>
        </is>
      </c>
      <c r="N6" s="32" t="inlineStr">
        <is>
          <t>n/a</t>
        </is>
      </c>
      <c r="O6" s="16" t="inlineStr">
        <is>
          <t>-</t>
        </is>
      </c>
      <c r="P6" s="33" t="inlineStr">
        <is>
          <t>Trip mode</t>
        </is>
      </c>
    </row>
    <row r="7">
      <c r="A7" s="16" t="inlineStr">
        <is>
          <t>15 Jun</t>
        </is>
      </c>
      <c r="B7" s="16" t="inlineStr">
        <is>
          <t>37577</t>
        </is>
      </c>
      <c r="C7" s="16" t="inlineStr">
        <is>
          <t>Valid</t>
        </is>
      </c>
      <c r="D7" s="16" t="inlineStr">
        <is>
          <t>04:34:46</t>
        </is>
      </c>
      <c r="E7" s="16" t="inlineStr">
        <is>
          <t>04:34:48</t>
        </is>
      </c>
      <c r="F7" s="16" t="n">
        <v>2</v>
      </c>
      <c r="G7" s="16" t="n">
        <v>2</v>
      </c>
      <c r="H7" s="16" t="n">
        <v>0</v>
      </c>
      <c r="I7" s="16" t="inlineStr">
        <is>
          <t>POSTTRIP</t>
        </is>
      </c>
      <c r="J7" s="31" t="n">
        <v>471.1</v>
      </c>
      <c r="K7" s="16" t="inlineStr">
        <is>
          <t>N</t>
        </is>
      </c>
      <c r="L7" s="16" t="inlineStr">
        <is>
          <t>LC-294</t>
        </is>
      </c>
      <c r="M7" s="32" t="inlineStr">
        <is>
          <t>0 km/h</t>
        </is>
      </c>
      <c r="N7" s="32" t="inlineStr">
        <is>
          <t>0</t>
        </is>
      </c>
      <c r="O7" s="16" t="inlineStr">
        <is>
          <t>-</t>
        </is>
      </c>
      <c r="P7" s="33" t="inlineStr">
        <is>
          <t>EB at 0-1 km/h</t>
        </is>
      </c>
    </row>
    <row r="8">
      <c r="A8" s="16" t="inlineStr">
        <is>
          <t>15 Jun</t>
        </is>
      </c>
      <c r="B8" s="16" t="inlineStr">
        <is>
          <t>37577</t>
        </is>
      </c>
      <c r="C8" s="16" t="inlineStr">
        <is>
          <t>Valid</t>
        </is>
      </c>
      <c r="D8" s="16" t="inlineStr">
        <is>
          <t>04:36:32</t>
        </is>
      </c>
      <c r="E8" s="16" t="inlineStr">
        <is>
          <t>04:36:32</t>
        </is>
      </c>
      <c r="F8" s="16" t="n">
        <v>0</v>
      </c>
      <c r="G8" s="16" t="n">
        <v>1</v>
      </c>
      <c r="H8" s="16" t="n">
        <v>0</v>
      </c>
      <c r="I8" s="16" t="inlineStr">
        <is>
          <t>POSTTRIP</t>
        </is>
      </c>
      <c r="J8" s="31" t="n">
        <v>471.1</v>
      </c>
      <c r="K8" s="16" t="inlineStr">
        <is>
          <t>N</t>
        </is>
      </c>
      <c r="L8" s="16" t="inlineStr">
        <is>
          <t>LC-294</t>
        </is>
      </c>
      <c r="M8" s="32" t="inlineStr">
        <is>
          <t>0 km/h</t>
        </is>
      </c>
      <c r="N8" s="32" t="inlineStr">
        <is>
          <t>0</t>
        </is>
      </c>
      <c r="O8" s="16" t="inlineStr">
        <is>
          <t>-</t>
        </is>
      </c>
      <c r="P8" s="33" t="inlineStr">
        <is>
          <t>EB at 0-1 km/h</t>
        </is>
      </c>
    </row>
    <row r="9">
      <c r="A9" s="16" t="inlineStr">
        <is>
          <t>15 Jun</t>
        </is>
      </c>
      <c r="B9" s="16" t="inlineStr">
        <is>
          <t>37577</t>
        </is>
      </c>
      <c r="C9" s="16" t="inlineStr">
        <is>
          <t>Valid</t>
        </is>
      </c>
      <c r="D9" s="16" t="inlineStr">
        <is>
          <t>04:36:36</t>
        </is>
      </c>
      <c r="E9" s="16" t="inlineStr">
        <is>
          <t>04:36:36</t>
        </is>
      </c>
      <c r="F9" s="16" t="n">
        <v>0</v>
      </c>
      <c r="G9" s="16" t="n">
        <v>1</v>
      </c>
      <c r="H9" s="16" t="n">
        <v>0</v>
      </c>
      <c r="I9" s="16" t="inlineStr">
        <is>
          <t>POSTTRIP</t>
        </is>
      </c>
      <c r="J9" s="31" t="n">
        <v>471.1</v>
      </c>
      <c r="K9" s="16" t="inlineStr">
        <is>
          <t>N</t>
        </is>
      </c>
      <c r="L9" s="16" t="inlineStr">
        <is>
          <t>LC-294</t>
        </is>
      </c>
      <c r="M9" s="32" t="inlineStr">
        <is>
          <t>0 km/h</t>
        </is>
      </c>
      <c r="N9" s="32" t="inlineStr">
        <is>
          <t>0</t>
        </is>
      </c>
      <c r="O9" s="16" t="inlineStr">
        <is>
          <t>-</t>
        </is>
      </c>
      <c r="P9" s="33" t="inlineStr">
        <is>
          <t>EB at 0-1 km/h</t>
        </is>
      </c>
    </row>
    <row r="10">
      <c r="A10" s="16" t="inlineStr">
        <is>
          <t>16 Jun</t>
        </is>
      </c>
      <c r="B10" s="16" t="inlineStr">
        <is>
          <t>42010</t>
        </is>
      </c>
      <c r="C10" s="16" t="inlineStr">
        <is>
          <t>Valid</t>
        </is>
      </c>
      <c r="D10" s="16" t="inlineStr">
        <is>
          <t>09:20:34</t>
        </is>
      </c>
      <c r="E10" s="16" t="inlineStr">
        <is>
          <t>09:20:52</t>
        </is>
      </c>
      <c r="F10" s="16" t="n">
        <v>18</v>
      </c>
      <c r="G10" s="16" t="n">
        <v>10</v>
      </c>
      <c r="H10" s="16" t="n">
        <v>54</v>
      </c>
      <c r="I10" s="16" t="inlineStr">
        <is>
          <t>SR</t>
        </is>
      </c>
      <c r="J10" s="31" t="n">
        <v>458.48</v>
      </c>
      <c r="K10" s="16" t="inlineStr">
        <is>
          <t>U</t>
        </is>
      </c>
      <c r="L10" s="16" t="inlineStr">
        <is>
          <t>GOTHAJ</t>
        </is>
      </c>
      <c r="M10" s="32" t="inlineStr">
        <is>
          <t>54 km/h</t>
        </is>
      </c>
      <c r="N10" s="32" t="inlineStr">
        <is>
          <t>5820</t>
        </is>
      </c>
      <c r="O10" s="16" t="inlineStr">
        <is>
          <t>-</t>
        </is>
      </c>
      <c r="P10" s="33" t="inlineStr">
        <is>
          <t>FS-&gt;SR degradation + EB</t>
        </is>
      </c>
    </row>
    <row r="11">
      <c r="A11" s="16" t="inlineStr">
        <is>
          <t>16 Jun</t>
        </is>
      </c>
      <c r="B11" s="16" t="inlineStr">
        <is>
          <t>37277</t>
        </is>
      </c>
      <c r="C11" s="16" t="inlineStr">
        <is>
          <t>Valid</t>
        </is>
      </c>
      <c r="D11" s="16" t="inlineStr">
        <is>
          <t>20:02:54</t>
        </is>
      </c>
      <c r="E11" s="16" t="inlineStr">
        <is>
          <t>20:03:56</t>
        </is>
      </c>
      <c r="F11" s="16" t="n">
        <v>62</v>
      </c>
      <c r="G11" s="16" t="n">
        <v>32</v>
      </c>
      <c r="H11" s="16" t="n">
        <v>10</v>
      </c>
      <c r="I11" s="16" t="inlineStr">
        <is>
          <t>Failure</t>
        </is>
      </c>
      <c r="J11" s="31" t="n">
        <v>494.31</v>
      </c>
      <c r="K11" s="16" t="inlineStr">
        <is>
          <t>R</t>
        </is>
      </c>
      <c r="L11" s="16" t="inlineStr">
        <is>
          <t>AHMEDABAD Jn</t>
        </is>
      </c>
      <c r="M11" s="32" t="inlineStr">
        <is>
          <t>10 km/h</t>
        </is>
      </c>
      <c r="N11" s="32" t="inlineStr">
        <is>
          <t>2524</t>
        </is>
      </c>
      <c r="O11" s="16" t="inlineStr">
        <is>
          <t>-</t>
        </is>
      </c>
      <c r="P11" s="33" t="inlineStr">
        <is>
          <t>Failure mode</t>
        </is>
      </c>
    </row>
    <row r="12">
      <c r="A12" s="34" t="inlineStr">
        <is>
          <t>17 Jun</t>
        </is>
      </c>
      <c r="B12" s="34" t="inlineStr">
        <is>
          <t>39287</t>
        </is>
      </c>
      <c r="C12" s="34" t="inlineStr">
        <is>
          <t>Non-Valid</t>
        </is>
      </c>
      <c r="D12" s="34" t="inlineStr">
        <is>
          <t>01:39:32</t>
        </is>
      </c>
      <c r="E12" s="34" t="inlineStr">
        <is>
          <t>01:40:12</t>
        </is>
      </c>
      <c r="F12" s="34" t="n">
        <v>40</v>
      </c>
      <c r="G12" s="34" t="n">
        <v>21</v>
      </c>
      <c r="H12" s="34" t="n">
        <v>0</v>
      </c>
      <c r="I12" s="34" t="inlineStr">
        <is>
          <t>TRIP</t>
        </is>
      </c>
      <c r="J12" s="35" t="n">
        <v>433.7</v>
      </c>
      <c r="K12" s="34" t="inlineStr">
        <is>
          <t>R</t>
        </is>
      </c>
      <c r="L12" s="34" t="inlineStr">
        <is>
          <t>ANAND Jn</t>
        </is>
      </c>
      <c r="M12" s="36" t="inlineStr">
        <is>
          <t>0 km/h</t>
        </is>
      </c>
      <c r="N12" s="36" t="inlineStr">
        <is>
          <t>0</t>
        </is>
      </c>
      <c r="O12" s="34" t="inlineStr">
        <is>
          <t>-</t>
        </is>
      </c>
      <c r="P12" s="33" t="inlineStr">
        <is>
          <t>EB at 0-1 km/h; Trip mode</t>
        </is>
      </c>
    </row>
    <row r="13">
      <c r="A13" s="34" t="inlineStr">
        <is>
          <t>17 Jun</t>
        </is>
      </c>
      <c r="B13" s="34" t="inlineStr">
        <is>
          <t>39287</t>
        </is>
      </c>
      <c r="C13" s="34" t="inlineStr">
        <is>
          <t>Non-Valid</t>
        </is>
      </c>
      <c r="D13" s="34" t="inlineStr">
        <is>
          <t>01:41:32</t>
        </is>
      </c>
      <c r="E13" s="34" t="inlineStr">
        <is>
          <t>01:41:32</t>
        </is>
      </c>
      <c r="F13" s="34" t="n">
        <v>0</v>
      </c>
      <c r="G13" s="34" t="n">
        <v>1</v>
      </c>
      <c r="H13" s="34" t="n">
        <v>0</v>
      </c>
      <c r="I13" s="34" t="inlineStr">
        <is>
          <t>POSTTRIP</t>
        </is>
      </c>
      <c r="J13" s="35" t="n">
        <v>433.7</v>
      </c>
      <c r="K13" s="34" t="inlineStr">
        <is>
          <t>R</t>
        </is>
      </c>
      <c r="L13" s="34" t="inlineStr">
        <is>
          <t>ANAND Jn</t>
        </is>
      </c>
      <c r="M13" s="36" t="inlineStr">
        <is>
          <t>0 km/h</t>
        </is>
      </c>
      <c r="N13" s="36" t="inlineStr">
        <is>
          <t>0</t>
        </is>
      </c>
      <c r="O13" s="34" t="inlineStr">
        <is>
          <t>-</t>
        </is>
      </c>
      <c r="P13" s="33" t="inlineStr">
        <is>
          <t>EB at 0-1 km/h</t>
        </is>
      </c>
    </row>
    <row r="14" ht="34" customHeight="1">
      <c r="A14" s="34" t="inlineStr">
        <is>
          <t>17 Jun</t>
        </is>
      </c>
      <c r="B14" s="34" t="inlineStr">
        <is>
          <t>30829</t>
        </is>
      </c>
      <c r="C14" s="34" t="inlineStr">
        <is>
          <t>Non-Valid</t>
        </is>
      </c>
      <c r="D14" s="34" t="inlineStr">
        <is>
          <t>03:54:24</t>
        </is>
      </c>
      <c r="E14" s="34" t="inlineStr">
        <is>
          <t>03:56:14</t>
        </is>
      </c>
      <c r="F14" s="34" t="n">
        <v>110</v>
      </c>
      <c r="G14" s="34" t="n">
        <v>47</v>
      </c>
      <c r="H14" s="34" t="n">
        <v>86</v>
      </c>
      <c r="I14" s="34" t="inlineStr">
        <is>
          <t>TRIP</t>
        </is>
      </c>
      <c r="J14" s="35" t="n">
        <v>447.98</v>
      </c>
      <c r="K14" s="34" t="inlineStr">
        <is>
          <t>R</t>
        </is>
      </c>
      <c r="L14" s="34" t="inlineStr">
        <is>
          <t>NADIAD</t>
        </is>
      </c>
      <c r="M14" s="36" t="inlineStr">
        <is>
          <t>86 km/h</t>
        </is>
      </c>
      <c r="N14" s="36" t="inlineStr">
        <is>
          <t>0
MA dropped from 1051 to 0.</t>
        </is>
      </c>
      <c r="O14" s="34" t="inlineStr">
        <is>
          <t>-</t>
        </is>
      </c>
      <c r="P14" s="33" t="inlineStr">
        <is>
          <t>Sudden MA drop; Emergency: SOS; Trip mode</t>
        </is>
      </c>
    </row>
    <row r="15" ht="34" customHeight="1">
      <c r="A15" s="16" t="inlineStr">
        <is>
          <t>18 Jun</t>
        </is>
      </c>
      <c r="B15" s="16" t="inlineStr">
        <is>
          <t>37934</t>
        </is>
      </c>
      <c r="C15" s="16" t="inlineStr">
        <is>
          <t>Valid</t>
        </is>
      </c>
      <c r="D15" s="16" t="inlineStr">
        <is>
          <t>21:02:40</t>
        </is>
      </c>
      <c r="E15" s="16" t="inlineStr">
        <is>
          <t>21:02:56</t>
        </is>
      </c>
      <c r="F15" s="16" t="n">
        <v>16</v>
      </c>
      <c r="G15" s="16" t="n">
        <v>9</v>
      </c>
      <c r="H15" s="16" t="n">
        <v>8</v>
      </c>
      <c r="I15" s="16" t="inlineStr">
        <is>
          <t>TRIP</t>
        </is>
      </c>
      <c r="J15" s="31" t="n">
        <v>494.54</v>
      </c>
      <c r="K15" s="16" t="inlineStr">
        <is>
          <t>N</t>
        </is>
      </c>
      <c r="L15" s="16" t="inlineStr">
        <is>
          <t>AHMEDABAD Jn</t>
        </is>
      </c>
      <c r="M15" s="32" t="inlineStr">
        <is>
          <t>8 km/h</t>
        </is>
      </c>
      <c r="N15" s="32" t="inlineStr">
        <is>
          <t>0
MA dropped from 1075 to 0.</t>
        </is>
      </c>
      <c r="O15" s="16" t="inlineStr">
        <is>
          <t>-</t>
        </is>
      </c>
      <c r="P15" s="33" t="inlineStr">
        <is>
          <t>Sudden MA drop; Trip mode</t>
        </is>
      </c>
    </row>
    <row r="16">
      <c r="A16" s="16" t="inlineStr">
        <is>
          <t>18 Jun</t>
        </is>
      </c>
      <c r="B16" s="16" t="inlineStr">
        <is>
          <t>30460</t>
        </is>
      </c>
      <c r="C16" s="16" t="inlineStr">
        <is>
          <t>Valid</t>
        </is>
      </c>
      <c r="D16" s="16" t="inlineStr">
        <is>
          <t>22:23:38</t>
        </is>
      </c>
      <c r="E16" s="16" t="inlineStr">
        <is>
          <t>22:23:58</t>
        </is>
      </c>
      <c r="F16" s="16" t="n">
        <v>20</v>
      </c>
      <c r="G16" s="16" t="n">
        <v>10</v>
      </c>
      <c r="H16" s="16" t="n">
        <v>55</v>
      </c>
      <c r="I16" s="16" t="inlineStr">
        <is>
          <t>TRIP</t>
        </is>
      </c>
      <c r="J16" s="31" t="n">
        <v>401.31</v>
      </c>
      <c r="K16" s="16" t="inlineStr">
        <is>
          <t>R</t>
        </is>
      </c>
      <c r="L16" s="16" t="inlineStr">
        <is>
          <t>BAJWA</t>
        </is>
      </c>
      <c r="M16" s="32" t="inlineStr">
        <is>
          <t>55 km/h</t>
        </is>
      </c>
      <c r="N16" s="32" t="inlineStr">
        <is>
          <t>1153</t>
        </is>
      </c>
      <c r="O16" s="16" t="inlineStr">
        <is>
          <t>-</t>
        </is>
      </c>
      <c r="P16" s="33" t="inlineStr">
        <is>
          <t>Trip mode</t>
        </is>
      </c>
    </row>
    <row r="17">
      <c r="A17" s="16" t="inlineStr">
        <is>
          <t>19 Jun</t>
        </is>
      </c>
      <c r="B17" s="16" t="inlineStr">
        <is>
          <t>37670</t>
        </is>
      </c>
      <c r="C17" s="16" t="inlineStr">
        <is>
          <t>Valid</t>
        </is>
      </c>
      <c r="D17" s="16" t="inlineStr">
        <is>
          <t>12:38:48</t>
        </is>
      </c>
      <c r="E17" s="16" t="inlineStr">
        <is>
          <t>12:38:58</t>
        </is>
      </c>
      <c r="F17" s="16" t="n">
        <v>10</v>
      </c>
      <c r="G17" s="16" t="n">
        <v>6</v>
      </c>
      <c r="H17" s="16" t="n">
        <v>28</v>
      </c>
      <c r="I17" s="16" t="inlineStr">
        <is>
          <t>SR</t>
        </is>
      </c>
      <c r="J17" s="31" t="n">
        <v>407.89</v>
      </c>
      <c r="K17" s="16" t="inlineStr">
        <is>
          <t>U</t>
        </is>
      </c>
      <c r="L17" s="16" t="inlineStr">
        <is>
          <t>RANOLI</t>
        </is>
      </c>
      <c r="M17" s="32" t="inlineStr">
        <is>
          <t>28 km/h</t>
        </is>
      </c>
      <c r="N17" s="32" t="inlineStr">
        <is>
          <t>5395</t>
        </is>
      </c>
      <c r="O17" s="16" t="inlineStr">
        <is>
          <t>-</t>
        </is>
      </c>
      <c r="P17" s="33" t="inlineStr">
        <is>
          <t>FS-&gt;SR degradation + EB</t>
        </is>
      </c>
    </row>
    <row r="18" ht="34" customHeight="1">
      <c r="A18" s="16" t="inlineStr">
        <is>
          <t>19 Jun</t>
        </is>
      </c>
      <c r="B18" s="16" t="inlineStr">
        <is>
          <t>37163</t>
        </is>
      </c>
      <c r="C18" s="16" t="inlineStr">
        <is>
          <t>Valid</t>
        </is>
      </c>
      <c r="D18" s="16" t="inlineStr">
        <is>
          <t>14:02:32</t>
        </is>
      </c>
      <c r="E18" s="16" t="inlineStr">
        <is>
          <t>14:03:24</t>
        </is>
      </c>
      <c r="F18" s="16" t="n">
        <v>52</v>
      </c>
      <c r="G18" s="16" t="n">
        <v>27</v>
      </c>
      <c r="H18" s="16" t="n">
        <v>35</v>
      </c>
      <c r="I18" s="16" t="inlineStr">
        <is>
          <t>SR</t>
        </is>
      </c>
      <c r="J18" s="31" t="n">
        <v>497.71</v>
      </c>
      <c r="K18" s="16" t="inlineStr">
        <is>
          <t>U</t>
        </is>
      </c>
      <c r="L18" s="16" t="inlineStr">
        <is>
          <t>AHMEDABAD Jn</t>
        </is>
      </c>
      <c r="M18" s="32" t="inlineStr">
        <is>
          <t>34 km/h</t>
        </is>
      </c>
      <c r="N18" s="32" t="inlineStr">
        <is>
          <t>1910</t>
        </is>
      </c>
      <c r="O18" s="16" t="inlineStr">
        <is>
          <t>-</t>
        </is>
      </c>
      <c r="P18" s="33" t="inlineStr">
        <is>
          <t>Emergency: Stopped in Block; FS-&gt;SR degradation + EB</t>
        </is>
      </c>
    </row>
    <row r="19">
      <c r="A19" s="34" t="inlineStr">
        <is>
          <t>19 Jun</t>
        </is>
      </c>
      <c r="B19" s="34" t="inlineStr">
        <is>
          <t>30460</t>
        </is>
      </c>
      <c r="C19" s="34" t="inlineStr">
        <is>
          <t>Non-Valid</t>
        </is>
      </c>
      <c r="D19" s="34" t="inlineStr">
        <is>
          <t>22:54:32</t>
        </is>
      </c>
      <c r="E19" s="34" t="inlineStr">
        <is>
          <t>22:54:32</t>
        </is>
      </c>
      <c r="F19" s="34" t="n">
        <v>0</v>
      </c>
      <c r="G19" s="34" t="n">
        <v>1</v>
      </c>
      <c r="H19" s="34" t="n">
        <v>81</v>
      </c>
      <c r="I19" s="34" t="inlineStr">
        <is>
          <t>FS</t>
        </is>
      </c>
      <c r="J19" s="35" t="n">
        <v>412.92</v>
      </c>
      <c r="K19" s="34" t="inlineStr">
        <is>
          <t>N</t>
        </is>
      </c>
      <c r="L19" s="34" t="inlineStr">
        <is>
          <t>LC-246</t>
        </is>
      </c>
      <c r="M19" s="36" t="inlineStr">
        <is>
          <t>81 km/h</t>
        </is>
      </c>
      <c r="N19" s="36" t="inlineStr">
        <is>
          <t>n/a</t>
        </is>
      </c>
      <c r="O19" s="34" t="inlineStr">
        <is>
          <t>RearEnd</t>
        </is>
      </c>
      <c r="P19" s="33" t="inlineStr">
        <is>
          <t>Emergency: RearEnd</t>
        </is>
      </c>
    </row>
    <row r="20">
      <c r="A20" s="34" t="inlineStr">
        <is>
          <t>20 Jun</t>
        </is>
      </c>
      <c r="B20" s="34" t="inlineStr">
        <is>
          <t>37947</t>
        </is>
      </c>
      <c r="C20" s="34" t="inlineStr">
        <is>
          <t>Non-Valid</t>
        </is>
      </c>
      <c r="D20" s="34" t="inlineStr">
        <is>
          <t>02:02:12</t>
        </is>
      </c>
      <c r="E20" s="34" t="inlineStr">
        <is>
          <t>02:04:04</t>
        </is>
      </c>
      <c r="F20" s="34" t="n">
        <v>112</v>
      </c>
      <c r="G20" s="34" t="n">
        <v>28</v>
      </c>
      <c r="H20" s="34" t="n">
        <v>125</v>
      </c>
      <c r="I20" s="34" t="inlineStr">
        <is>
          <t>TRIP</t>
        </is>
      </c>
      <c r="J20" s="35" t="n">
        <v>453.37</v>
      </c>
      <c r="K20" s="34" t="inlineStr">
        <is>
          <t>R</t>
        </is>
      </c>
      <c r="L20" s="34" t="inlineStr">
        <is>
          <t>NADIAD</t>
        </is>
      </c>
      <c r="M20" s="36" t="inlineStr">
        <is>
          <t>125 km/h</t>
        </is>
      </c>
      <c r="N20" s="36" t="inlineStr">
        <is>
          <t>n/a</t>
        </is>
      </c>
      <c r="O20" s="34" t="inlineStr">
        <is>
          <t>-</t>
        </is>
      </c>
      <c r="P20" s="33" t="inlineStr">
        <is>
          <t>Emergency: SOS; Trip mode</t>
        </is>
      </c>
    </row>
    <row r="21">
      <c r="A21" s="16" t="inlineStr">
        <is>
          <t>20 Jun</t>
        </is>
      </c>
      <c r="B21" s="16" t="inlineStr">
        <is>
          <t>30733</t>
        </is>
      </c>
      <c r="C21" s="16" t="inlineStr">
        <is>
          <t>Valid</t>
        </is>
      </c>
      <c r="D21" s="16" t="inlineStr">
        <is>
          <t>05:27:50</t>
        </is>
      </c>
      <c r="E21" s="16" t="inlineStr">
        <is>
          <t>05:28:00</t>
        </is>
      </c>
      <c r="F21" s="16" t="n">
        <v>10</v>
      </c>
      <c r="G21" s="16" t="n">
        <v>6</v>
      </c>
      <c r="H21" s="16" t="n">
        <v>23</v>
      </c>
      <c r="I21" s="16" t="inlineStr">
        <is>
          <t>SR</t>
        </is>
      </c>
      <c r="J21" s="31" t="n">
        <v>430.98</v>
      </c>
      <c r="K21" s="16" t="inlineStr">
        <is>
          <t>U</t>
        </is>
      </c>
      <c r="L21" s="16" t="inlineStr">
        <is>
          <t>ANAND Jn</t>
        </is>
      </c>
      <c r="M21" s="32" t="inlineStr">
        <is>
          <t>23 km/h</t>
        </is>
      </c>
      <c r="N21" s="32" t="inlineStr">
        <is>
          <t>4205</t>
        </is>
      </c>
      <c r="O21" s="16" t="inlineStr">
        <is>
          <t>-</t>
        </is>
      </c>
      <c r="P21" s="33" t="inlineStr">
        <is>
          <t>FS-&gt;SR degradation + EB</t>
        </is>
      </c>
    </row>
    <row r="22">
      <c r="A22" s="34" t="inlineStr">
        <is>
          <t>20 Jun</t>
        </is>
      </c>
      <c r="B22" s="34" t="inlineStr">
        <is>
          <t>37670</t>
        </is>
      </c>
      <c r="C22" s="34" t="inlineStr">
        <is>
          <t>Non-Valid</t>
        </is>
      </c>
      <c r="D22" s="34" t="inlineStr">
        <is>
          <t>09:54:44</t>
        </is>
      </c>
      <c r="E22" s="34" t="inlineStr">
        <is>
          <t>09:54:50</t>
        </is>
      </c>
      <c r="F22" s="34" t="n">
        <v>6</v>
      </c>
      <c r="G22" s="34" t="n">
        <v>4</v>
      </c>
      <c r="H22" s="34" t="n">
        <v>6</v>
      </c>
      <c r="I22" s="34" t="inlineStr">
        <is>
          <t>SR</t>
        </is>
      </c>
      <c r="J22" s="35" t="n">
        <v>494.73</v>
      </c>
      <c r="K22" s="34" t="inlineStr">
        <is>
          <t>U</t>
        </is>
      </c>
      <c r="L22" s="34" t="inlineStr">
        <is>
          <t>AHMEDABAD Jn</t>
        </is>
      </c>
      <c r="M22" s="36" t="inlineStr">
        <is>
          <t>6 km/h</t>
        </is>
      </c>
      <c r="N22" s="36" t="inlineStr">
        <is>
          <t>2882</t>
        </is>
      </c>
      <c r="O22" s="34" t="inlineStr">
        <is>
          <t>-</t>
        </is>
      </c>
      <c r="P22" s="33" t="inlineStr">
        <is>
          <t>FS-&gt;SR degradation + EB</t>
        </is>
      </c>
    </row>
    <row r="23">
      <c r="A23" s="34" t="inlineStr">
        <is>
          <t>20 Jun</t>
        </is>
      </c>
      <c r="B23" s="34" t="inlineStr">
        <is>
          <t>37670</t>
        </is>
      </c>
      <c r="C23" s="34" t="inlineStr">
        <is>
          <t>Non-Valid</t>
        </is>
      </c>
      <c r="D23" s="34" t="inlineStr">
        <is>
          <t>10:07:50</t>
        </is>
      </c>
      <c r="E23" s="34" t="inlineStr">
        <is>
          <t>10:08:34</t>
        </is>
      </c>
      <c r="F23" s="34" t="n">
        <v>44</v>
      </c>
      <c r="G23" s="34" t="n">
        <v>23</v>
      </c>
      <c r="H23" s="34" t="n">
        <v>113</v>
      </c>
      <c r="I23" s="34" t="inlineStr">
        <is>
          <t>SR</t>
        </is>
      </c>
      <c r="J23" s="35" t="n">
        <v>488.35</v>
      </c>
      <c r="K23" s="34" t="inlineStr">
        <is>
          <t>U</t>
        </is>
      </c>
      <c r="L23" s="34" t="inlineStr">
        <is>
          <t>VATVA</t>
        </is>
      </c>
      <c r="M23" s="36" t="inlineStr">
        <is>
          <t>113 km/h</t>
        </is>
      </c>
      <c r="N23" s="36" t="inlineStr">
        <is>
          <t>5645</t>
        </is>
      </c>
      <c r="O23" s="34" t="inlineStr">
        <is>
          <t>-</t>
        </is>
      </c>
      <c r="P23" s="33" t="inlineStr">
        <is>
          <t>FS-&gt;SR degradation + EB</t>
        </is>
      </c>
    </row>
    <row r="24" ht="34" customHeight="1">
      <c r="A24" s="16" t="inlineStr">
        <is>
          <t>20 Jun</t>
        </is>
      </c>
      <c r="B24" s="16" t="inlineStr">
        <is>
          <t>39214</t>
        </is>
      </c>
      <c r="C24" s="16" t="inlineStr">
        <is>
          <t>Valid</t>
        </is>
      </c>
      <c r="D24" s="16" t="inlineStr">
        <is>
          <t>15:31:56</t>
        </is>
      </c>
      <c r="E24" s="16" t="inlineStr">
        <is>
          <t>15:32:00</t>
        </is>
      </c>
      <c r="F24" s="16" t="n">
        <v>4</v>
      </c>
      <c r="G24" s="16" t="n">
        <v>3</v>
      </c>
      <c r="H24" s="16" t="n">
        <v>14</v>
      </c>
      <c r="I24" s="16" t="inlineStr">
        <is>
          <t>SR</t>
        </is>
      </c>
      <c r="J24" s="31" t="n">
        <v>479.62</v>
      </c>
      <c r="K24" s="16" t="inlineStr">
        <is>
          <t>U</t>
        </is>
      </c>
      <c r="L24" s="16" t="inlineStr">
        <is>
          <t>BAREJADI NANDEJ</t>
        </is>
      </c>
      <c r="M24" s="32" t="inlineStr">
        <is>
          <t>14 km/h</t>
        </is>
      </c>
      <c r="N24" s="32" t="inlineStr">
        <is>
          <t>4741</t>
        </is>
      </c>
      <c r="O24" s="16" t="inlineStr">
        <is>
          <t>-</t>
        </is>
      </c>
      <c r="P24" s="33" t="inlineStr">
        <is>
          <t>FS-&gt;SR degradation + EB</t>
        </is>
      </c>
    </row>
    <row r="25">
      <c r="A25" s="16" t="inlineStr">
        <is>
          <t>20 Jun</t>
        </is>
      </c>
      <c r="B25" s="16" t="inlineStr">
        <is>
          <t>37248</t>
        </is>
      </c>
      <c r="C25" s="16" t="inlineStr">
        <is>
          <t>Valid</t>
        </is>
      </c>
      <c r="D25" s="16" t="inlineStr">
        <is>
          <t>18:54:54</t>
        </is>
      </c>
      <c r="E25" s="16" t="inlineStr">
        <is>
          <t>18:54:58</t>
        </is>
      </c>
      <c r="F25" s="16" t="n">
        <v>4</v>
      </c>
      <c r="G25" s="16" t="n">
        <v>3</v>
      </c>
      <c r="H25" s="16" t="n">
        <v>55</v>
      </c>
      <c r="I25" s="16" t="inlineStr">
        <is>
          <t>FS</t>
        </is>
      </c>
      <c r="J25" s="31" t="n">
        <v>488.72</v>
      </c>
      <c r="K25" s="16" t="inlineStr">
        <is>
          <t>R</t>
        </is>
      </c>
      <c r="L25" s="16" t="inlineStr">
        <is>
          <t>VATVA</t>
        </is>
      </c>
      <c r="M25" s="32" t="inlineStr">
        <is>
          <t>55 km/h</t>
        </is>
      </c>
      <c r="N25" s="32" t="inlineStr">
        <is>
          <t>1637</t>
        </is>
      </c>
      <c r="O25" s="16" t="inlineStr">
        <is>
          <t>-</t>
        </is>
      </c>
      <c r="P25" s="32" t="inlineStr">
        <is>
          <t>-</t>
        </is>
      </c>
    </row>
  </sheetData>
  <mergeCells count="2"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9" customWidth="1" min="10" max="10"/>
    <col width="10" customWidth="1" min="11" max="11"/>
    <col width="15" customWidth="1" min="12" max="12"/>
    <col width="60" customWidth="1" min="13" max="13"/>
  </cols>
  <sheetData>
    <row r="1">
      <c r="A1" s="13" t="inlineStr">
        <is>
          <t>KM Verification  -  KM = (In-section Max Abs  -  In-section Min Abs) / 1000</t>
        </is>
      </c>
    </row>
    <row r="2">
      <c r="A2" s="37" t="inlineStr">
        <is>
          <t>Section window: abs 400398 - 494312  (24000_ADI to 24051_BRC).  Only positions inside this window count; 8388607 'unknown' is excluded.  'In Report'=No means no in-section travel (dropped).</t>
        </is>
      </c>
    </row>
    <row r="4" ht="34" customHeight="1">
      <c r="A4" s="14" t="inlineStr">
        <is>
          <t>Date</t>
        </is>
      </c>
      <c r="B4" s="14" t="inlineStr">
        <is>
          <t>Loco ID</t>
        </is>
      </c>
      <c r="C4" s="14" t="inlineStr">
        <is>
          <t>Total pkts</t>
        </is>
      </c>
      <c r="D4" s="14" t="inlineStr">
        <is>
          <t>Valid-abs pkts</t>
        </is>
      </c>
      <c r="E4" s="14" t="inlineStr">
        <is>
          <t>In-section pkts</t>
        </is>
      </c>
      <c r="F4" s="14" t="inlineStr">
        <is>
          <t>Raw Min Abs</t>
        </is>
      </c>
      <c r="G4" s="14" t="inlineStr">
        <is>
          <t>Raw Max Abs</t>
        </is>
      </c>
      <c r="H4" s="14" t="inlineStr">
        <is>
          <t>In-sec Min Abs</t>
        </is>
      </c>
      <c r="I4" s="14" t="inlineStr">
        <is>
          <t>In-sec Max Abs</t>
        </is>
      </c>
      <c r="J4" s="14" t="inlineStr">
        <is>
          <t>KM = (Max-Min)/1000</t>
        </is>
      </c>
      <c r="K4" s="14" t="inlineStr">
        <is>
          <t>In Report?</t>
        </is>
      </c>
      <c r="L4" s="14" t="inlineStr">
        <is>
          <t>Stations Passed (of 23)</t>
        </is>
      </c>
      <c r="M4" s="14" t="inlineStr">
        <is>
          <t>Stations Not Passed (if &lt; full trip)</t>
        </is>
      </c>
    </row>
    <row r="5">
      <c r="A5" s="16" t="inlineStr">
        <is>
          <t>15 Jun</t>
        </is>
      </c>
      <c r="B5" s="16" t="inlineStr">
        <is>
          <t>30791</t>
        </is>
      </c>
      <c r="C5" s="16" t="n">
        <v>6816</v>
      </c>
      <c r="D5" s="16" t="n">
        <v>6816</v>
      </c>
      <c r="E5" s="16" t="n">
        <v>5691</v>
      </c>
      <c r="F5" s="38" t="n">
        <v>370107</v>
      </c>
      <c r="G5" s="38" t="n">
        <v>494969</v>
      </c>
      <c r="H5" s="38" t="n">
        <v>400402</v>
      </c>
      <c r="I5" s="38" t="n">
        <v>494310</v>
      </c>
      <c r="J5" s="19">
        <f>(I5-H5)/1000</f>
        <v/>
      </c>
      <c r="K5" s="16" t="inlineStr">
        <is>
          <t>Yes</t>
        </is>
      </c>
      <c r="L5" s="16" t="n">
        <v>23</v>
      </c>
      <c r="M5" s="39" t="inlineStr">
        <is>
          <t>- (full trip)</t>
        </is>
      </c>
    </row>
    <row r="6">
      <c r="A6" s="16" t="inlineStr">
        <is>
          <t>15 Jun</t>
        </is>
      </c>
      <c r="B6" s="16" t="inlineStr">
        <is>
          <t>37453</t>
        </is>
      </c>
      <c r="C6" s="16" t="n">
        <v>4834</v>
      </c>
      <c r="D6" s="16" t="n">
        <v>4834</v>
      </c>
      <c r="E6" s="16" t="n">
        <v>3795</v>
      </c>
      <c r="F6" s="38" t="n">
        <v>369889</v>
      </c>
      <c r="G6" s="38" t="n">
        <v>494980</v>
      </c>
      <c r="H6" s="38" t="n">
        <v>400406</v>
      </c>
      <c r="I6" s="38" t="n">
        <v>494312</v>
      </c>
      <c r="J6" s="19">
        <f>(I6-H6)/1000</f>
        <v/>
      </c>
      <c r="K6" s="16" t="inlineStr">
        <is>
          <t>Yes</t>
        </is>
      </c>
      <c r="L6" s="16" t="n">
        <v>23</v>
      </c>
      <c r="M6" s="39" t="inlineStr">
        <is>
          <t>- (full trip)</t>
        </is>
      </c>
    </row>
    <row r="7">
      <c r="A7" s="16" t="inlineStr">
        <is>
          <t>15 Jun</t>
        </is>
      </c>
      <c r="B7" s="16" t="inlineStr">
        <is>
          <t>39236</t>
        </is>
      </c>
      <c r="C7" s="16" t="n">
        <v>5967</v>
      </c>
      <c r="D7" s="16" t="n">
        <v>5967</v>
      </c>
      <c r="E7" s="16" t="n">
        <v>5418</v>
      </c>
      <c r="F7" s="38" t="n">
        <v>398295</v>
      </c>
      <c r="G7" s="38" t="n">
        <v>495787</v>
      </c>
      <c r="H7" s="38" t="n">
        <v>400403</v>
      </c>
      <c r="I7" s="38" t="n">
        <v>494312</v>
      </c>
      <c r="J7" s="19">
        <f>(I7-H7)/1000</f>
        <v/>
      </c>
      <c r="K7" s="16" t="inlineStr">
        <is>
          <t>Yes</t>
        </is>
      </c>
      <c r="L7" s="16" t="n">
        <v>23</v>
      </c>
      <c r="M7" s="39" t="inlineStr">
        <is>
          <t>- (full trip)</t>
        </is>
      </c>
    </row>
    <row r="8">
      <c r="A8" s="16" t="inlineStr">
        <is>
          <t>15 Jun</t>
        </is>
      </c>
      <c r="B8" s="16" t="inlineStr">
        <is>
          <t>30472</t>
        </is>
      </c>
      <c r="C8" s="16" t="n">
        <v>4422</v>
      </c>
      <c r="D8" s="16" t="n">
        <v>4422</v>
      </c>
      <c r="E8" s="16" t="n">
        <v>3635</v>
      </c>
      <c r="F8" s="38" t="n">
        <v>381183</v>
      </c>
      <c r="G8" s="38" t="n">
        <v>494931</v>
      </c>
      <c r="H8" s="38" t="n">
        <v>400409</v>
      </c>
      <c r="I8" s="38" t="n">
        <v>494312</v>
      </c>
      <c r="J8" s="19">
        <f>(I8-H8)/1000</f>
        <v/>
      </c>
      <c r="K8" s="16" t="inlineStr">
        <is>
          <t>Yes</t>
        </is>
      </c>
      <c r="L8" s="16" t="n">
        <v>23</v>
      </c>
      <c r="M8" s="39" t="inlineStr">
        <is>
          <t>- (full trip)</t>
        </is>
      </c>
    </row>
    <row r="9">
      <c r="A9" s="16" t="inlineStr">
        <is>
          <t>15 Jun</t>
        </is>
      </c>
      <c r="B9" s="16" t="inlineStr">
        <is>
          <t>37830</t>
        </is>
      </c>
      <c r="C9" s="16" t="n">
        <v>3725</v>
      </c>
      <c r="D9" s="16" t="n">
        <v>3725</v>
      </c>
      <c r="E9" s="16" t="n">
        <v>3267</v>
      </c>
      <c r="F9" s="38" t="n">
        <v>395500</v>
      </c>
      <c r="G9" s="38" t="n">
        <v>494976</v>
      </c>
      <c r="H9" s="38" t="n">
        <v>400408</v>
      </c>
      <c r="I9" s="38" t="n">
        <v>494312</v>
      </c>
      <c r="J9" s="19">
        <f>(I9-H9)/1000</f>
        <v/>
      </c>
      <c r="K9" s="16" t="inlineStr">
        <is>
          <t>Yes</t>
        </is>
      </c>
      <c r="L9" s="16" t="n">
        <v>23</v>
      </c>
      <c r="M9" s="39" t="inlineStr">
        <is>
          <t>- (full trip)</t>
        </is>
      </c>
    </row>
    <row r="10">
      <c r="A10" s="16" t="inlineStr">
        <is>
          <t>15 Jun</t>
        </is>
      </c>
      <c r="B10" s="16" t="inlineStr">
        <is>
          <t>30330</t>
        </is>
      </c>
      <c r="C10" s="16" t="n">
        <v>4044</v>
      </c>
      <c r="D10" s="16" t="n">
        <v>4029</v>
      </c>
      <c r="E10" s="16" t="n">
        <v>3306</v>
      </c>
      <c r="F10" s="38" t="n">
        <v>375137</v>
      </c>
      <c r="G10" s="38" t="n">
        <v>495017</v>
      </c>
      <c r="H10" s="38" t="n">
        <v>400420</v>
      </c>
      <c r="I10" s="38" t="n">
        <v>494312</v>
      </c>
      <c r="J10" s="19">
        <f>(I10-H10)/1000</f>
        <v/>
      </c>
      <c r="K10" s="16" t="inlineStr">
        <is>
          <t>Yes</t>
        </is>
      </c>
      <c r="L10" s="16" t="n">
        <v>23</v>
      </c>
      <c r="M10" s="39" t="inlineStr">
        <is>
          <t>- (full trip)</t>
        </is>
      </c>
    </row>
    <row r="11">
      <c r="A11" s="16" t="inlineStr">
        <is>
          <t>15 Jun</t>
        </is>
      </c>
      <c r="B11" s="16" t="inlineStr">
        <is>
          <t>30823</t>
        </is>
      </c>
      <c r="C11" s="16" t="n">
        <v>4692</v>
      </c>
      <c r="D11" s="16" t="n">
        <v>4692</v>
      </c>
      <c r="E11" s="16" t="n">
        <v>3627</v>
      </c>
      <c r="F11" s="38" t="n">
        <v>363219</v>
      </c>
      <c r="G11" s="38" t="n">
        <v>495780</v>
      </c>
      <c r="H11" s="38" t="n">
        <v>400421</v>
      </c>
      <c r="I11" s="38" t="n">
        <v>494309</v>
      </c>
      <c r="J11" s="19">
        <f>(I11-H11)/1000</f>
        <v/>
      </c>
      <c r="K11" s="16" t="inlineStr">
        <is>
          <t>Yes</t>
        </is>
      </c>
      <c r="L11" s="16" t="n">
        <v>23</v>
      </c>
      <c r="M11" s="39" t="inlineStr">
        <is>
          <t>- (full trip)</t>
        </is>
      </c>
    </row>
    <row r="12">
      <c r="A12" s="16" t="inlineStr">
        <is>
          <t>15 Jun</t>
        </is>
      </c>
      <c r="B12" s="16" t="inlineStr">
        <is>
          <t>37884</t>
        </is>
      </c>
      <c r="C12" s="16" t="n">
        <v>5507</v>
      </c>
      <c r="D12" s="16" t="n">
        <v>5507</v>
      </c>
      <c r="E12" s="16" t="n">
        <v>4477</v>
      </c>
      <c r="F12" s="38" t="n">
        <v>370020</v>
      </c>
      <c r="G12" s="38" t="n">
        <v>495808</v>
      </c>
      <c r="H12" s="38" t="n">
        <v>400424</v>
      </c>
      <c r="I12" s="38" t="n">
        <v>494312</v>
      </c>
      <c r="J12" s="19">
        <f>(I12-H12)/1000</f>
        <v/>
      </c>
      <c r="K12" s="16" t="inlineStr">
        <is>
          <t>Yes</t>
        </is>
      </c>
      <c r="L12" s="16" t="n">
        <v>23</v>
      </c>
      <c r="M12" s="39" t="inlineStr">
        <is>
          <t>- (full trip)</t>
        </is>
      </c>
    </row>
    <row r="13">
      <c r="A13" s="16" t="inlineStr">
        <is>
          <t>15 Jun</t>
        </is>
      </c>
      <c r="B13" s="16" t="inlineStr">
        <is>
          <t>39131</t>
        </is>
      </c>
      <c r="C13" s="16" t="n">
        <v>5772</v>
      </c>
      <c r="D13" s="16" t="n">
        <v>5772</v>
      </c>
      <c r="E13" s="16" t="n">
        <v>4227</v>
      </c>
      <c r="F13" s="38" t="n">
        <v>368159</v>
      </c>
      <c r="G13" s="38" t="n">
        <v>495811</v>
      </c>
      <c r="H13" s="38" t="n">
        <v>400425</v>
      </c>
      <c r="I13" s="38" t="n">
        <v>494312</v>
      </c>
      <c r="J13" s="19">
        <f>(I13-H13)/1000</f>
        <v/>
      </c>
      <c r="K13" s="16" t="inlineStr">
        <is>
          <t>Yes</t>
        </is>
      </c>
      <c r="L13" s="16" t="n">
        <v>23</v>
      </c>
      <c r="M13" s="39" t="inlineStr">
        <is>
          <t>- (full trip)</t>
        </is>
      </c>
    </row>
    <row r="14">
      <c r="A14" s="16" t="inlineStr">
        <is>
          <t>15 Jun</t>
        </is>
      </c>
      <c r="B14" s="16" t="inlineStr">
        <is>
          <t>37277</t>
        </is>
      </c>
      <c r="C14" s="16" t="n">
        <v>5377</v>
      </c>
      <c r="D14" s="16" t="n">
        <v>5377</v>
      </c>
      <c r="E14" s="16" t="n">
        <v>4215</v>
      </c>
      <c r="F14" s="38" t="n">
        <v>370509</v>
      </c>
      <c r="G14" s="38" t="n">
        <v>495804</v>
      </c>
      <c r="H14" s="38" t="n">
        <v>400435</v>
      </c>
      <c r="I14" s="38" t="n">
        <v>494311</v>
      </c>
      <c r="J14" s="19">
        <f>(I14-H14)/1000</f>
        <v/>
      </c>
      <c r="K14" s="16" t="inlineStr">
        <is>
          <t>Yes</t>
        </is>
      </c>
      <c r="L14" s="16" t="n">
        <v>23</v>
      </c>
      <c r="M14" s="39" t="inlineStr">
        <is>
          <t>- (full trip)</t>
        </is>
      </c>
    </row>
    <row r="15">
      <c r="A15" s="16" t="inlineStr">
        <is>
          <t>15 Jun</t>
        </is>
      </c>
      <c r="B15" s="16" t="inlineStr">
        <is>
          <t>37566</t>
        </is>
      </c>
      <c r="C15" s="16" t="n">
        <v>4931</v>
      </c>
      <c r="D15" s="16" t="n">
        <v>4931</v>
      </c>
      <c r="E15" s="16" t="n">
        <v>3937</v>
      </c>
      <c r="F15" s="38" t="n">
        <v>360712</v>
      </c>
      <c r="G15" s="38" t="n">
        <v>495784</v>
      </c>
      <c r="H15" s="38" t="n">
        <v>400436</v>
      </c>
      <c r="I15" s="38" t="n">
        <v>494308</v>
      </c>
      <c r="J15" s="19">
        <f>(I15-H15)/1000</f>
        <v/>
      </c>
      <c r="K15" s="16" t="inlineStr">
        <is>
          <t>Yes</t>
        </is>
      </c>
      <c r="L15" s="16" t="n">
        <v>23</v>
      </c>
      <c r="M15" s="39" t="inlineStr">
        <is>
          <t>- (full trip)</t>
        </is>
      </c>
    </row>
    <row r="16">
      <c r="A16" s="16" t="inlineStr">
        <is>
          <t>15 Jun</t>
        </is>
      </c>
      <c r="B16" s="16" t="inlineStr">
        <is>
          <t>37577</t>
        </is>
      </c>
      <c r="C16" s="16" t="n">
        <v>5858</v>
      </c>
      <c r="D16" s="16" t="n">
        <v>5858</v>
      </c>
      <c r="E16" s="16" t="n">
        <v>4607</v>
      </c>
      <c r="F16" s="38" t="n">
        <v>369513</v>
      </c>
      <c r="G16" s="38" t="n">
        <v>495805</v>
      </c>
      <c r="H16" s="38" t="n">
        <v>400443</v>
      </c>
      <c r="I16" s="38" t="n">
        <v>494308</v>
      </c>
      <c r="J16" s="19">
        <f>(I16-H16)/1000</f>
        <v/>
      </c>
      <c r="K16" s="16" t="inlineStr">
        <is>
          <t>Yes</t>
        </is>
      </c>
      <c r="L16" s="16" t="n">
        <v>23</v>
      </c>
      <c r="M16" s="39" t="inlineStr">
        <is>
          <t>- (full trip)</t>
        </is>
      </c>
    </row>
    <row r="17">
      <c r="A17" s="16" t="inlineStr">
        <is>
          <t>15 Jun</t>
        </is>
      </c>
      <c r="B17" s="16" t="inlineStr">
        <is>
          <t>30533</t>
        </is>
      </c>
      <c r="C17" s="16" t="n">
        <v>9378</v>
      </c>
      <c r="D17" s="16" t="n">
        <v>9378</v>
      </c>
      <c r="E17" s="16" t="n">
        <v>8743</v>
      </c>
      <c r="F17" s="38" t="n">
        <v>400995</v>
      </c>
      <c r="G17" s="38" t="n">
        <v>495704</v>
      </c>
      <c r="H17" s="38" t="n">
        <v>400995</v>
      </c>
      <c r="I17" s="38" t="n">
        <v>494311</v>
      </c>
      <c r="J17" s="19">
        <f>(I17-H17)/1000</f>
        <v/>
      </c>
      <c r="K17" s="16" t="inlineStr">
        <is>
          <t>Yes</t>
        </is>
      </c>
      <c r="L17" s="16" t="n">
        <v>23</v>
      </c>
      <c r="M17" s="39" t="inlineStr">
        <is>
          <t>- (full trip)</t>
        </is>
      </c>
    </row>
    <row r="18">
      <c r="A18" s="16" t="inlineStr">
        <is>
          <t>15 Jun</t>
        </is>
      </c>
      <c r="B18" s="16" t="inlineStr">
        <is>
          <t>37955</t>
        </is>
      </c>
      <c r="C18" s="16" t="n">
        <v>6421</v>
      </c>
      <c r="D18" s="16" t="n">
        <v>6421</v>
      </c>
      <c r="E18" s="16" t="n">
        <v>6223</v>
      </c>
      <c r="F18" s="38" t="n">
        <v>400992</v>
      </c>
      <c r="G18" s="38" t="n">
        <v>494895</v>
      </c>
      <c r="H18" s="38" t="n">
        <v>400992</v>
      </c>
      <c r="I18" s="38" t="n">
        <v>494311</v>
      </c>
      <c r="J18" s="19">
        <f>(I18-H18)/1000</f>
        <v/>
      </c>
      <c r="K18" s="16" t="inlineStr">
        <is>
          <t>Yes</t>
        </is>
      </c>
      <c r="L18" s="16" t="n">
        <v>23</v>
      </c>
      <c r="M18" s="39" t="inlineStr">
        <is>
          <t>- (full trip)</t>
        </is>
      </c>
    </row>
    <row r="19">
      <c r="A19" s="16" t="inlineStr">
        <is>
          <t>15 Jun</t>
        </is>
      </c>
      <c r="B19" s="16" t="inlineStr">
        <is>
          <t>37478</t>
        </is>
      </c>
      <c r="C19" s="16" t="n">
        <v>4427</v>
      </c>
      <c r="D19" s="16" t="n">
        <v>4427</v>
      </c>
      <c r="E19" s="16" t="n">
        <v>4186</v>
      </c>
      <c r="F19" s="38" t="n">
        <v>402612</v>
      </c>
      <c r="G19" s="38" t="n">
        <v>494990</v>
      </c>
      <c r="H19" s="38" t="n">
        <v>402612</v>
      </c>
      <c r="I19" s="38" t="n">
        <v>494312</v>
      </c>
      <c r="J19" s="19">
        <f>(I19-H19)/1000</f>
        <v/>
      </c>
      <c r="K19" s="16" t="inlineStr">
        <is>
          <t>Yes</t>
        </is>
      </c>
      <c r="L19" s="16" t="n">
        <v>23</v>
      </c>
      <c r="M19" s="39" t="inlineStr">
        <is>
          <t>- (full trip)</t>
        </is>
      </c>
    </row>
    <row r="20">
      <c r="A20" s="16" t="inlineStr">
        <is>
          <t>15 Jun</t>
        </is>
      </c>
      <c r="B20" s="16" t="inlineStr">
        <is>
          <t>37339</t>
        </is>
      </c>
      <c r="C20" s="16" t="n">
        <v>6118</v>
      </c>
      <c r="D20" s="16" t="n">
        <v>5981</v>
      </c>
      <c r="E20" s="16" t="n">
        <v>4898</v>
      </c>
      <c r="F20" s="38" t="n">
        <v>370437</v>
      </c>
      <c r="G20" s="38" t="n">
        <v>490975</v>
      </c>
      <c r="H20" s="38" t="n">
        <v>400417</v>
      </c>
      <c r="I20" s="38" t="n">
        <v>490975</v>
      </c>
      <c r="J20" s="19">
        <f>(I20-H20)/1000</f>
        <v/>
      </c>
      <c r="K20" s="16" t="inlineStr">
        <is>
          <t>Yes</t>
        </is>
      </c>
      <c r="L20" s="16" t="n">
        <v>22</v>
      </c>
      <c r="M20" s="39" t="inlineStr">
        <is>
          <t>- (full trip)</t>
        </is>
      </c>
    </row>
    <row r="21">
      <c r="A21" s="16" t="inlineStr">
        <is>
          <t>15 Jun</t>
        </is>
      </c>
      <c r="B21" s="16" t="inlineStr">
        <is>
          <t>30470</t>
        </is>
      </c>
      <c r="C21" s="16" t="n">
        <v>3999</v>
      </c>
      <c r="D21" s="16" t="n">
        <v>3999</v>
      </c>
      <c r="E21" s="16" t="n">
        <v>3999</v>
      </c>
      <c r="F21" s="38" t="n">
        <v>411498</v>
      </c>
      <c r="G21" s="38" t="n">
        <v>494281</v>
      </c>
      <c r="H21" s="38" t="n">
        <v>411498</v>
      </c>
      <c r="I21" s="38" t="n">
        <v>494281</v>
      </c>
      <c r="J21" s="19">
        <f>(I21-H21)/1000</f>
        <v/>
      </c>
      <c r="K21" s="16" t="inlineStr">
        <is>
          <t>Yes</t>
        </is>
      </c>
      <c r="L21" s="16" t="n">
        <v>21</v>
      </c>
      <c r="M21" s="39" t="inlineStr">
        <is>
          <t>BAJWA, RANOLI</t>
        </is>
      </c>
    </row>
    <row r="22">
      <c r="A22" s="16" t="inlineStr">
        <is>
          <t>15 Jun</t>
        </is>
      </c>
      <c r="B22" s="16" t="inlineStr">
        <is>
          <t>37684</t>
        </is>
      </c>
      <c r="C22" s="16" t="n">
        <v>3971</v>
      </c>
      <c r="D22" s="16" t="n">
        <v>3971</v>
      </c>
      <c r="E22" s="16" t="n">
        <v>3753</v>
      </c>
      <c r="F22" s="38" t="n">
        <v>420114</v>
      </c>
      <c r="G22" s="38" t="n">
        <v>495791</v>
      </c>
      <c r="H22" s="38" t="n">
        <v>420114</v>
      </c>
      <c r="I22" s="38" t="n">
        <v>494312</v>
      </c>
      <c r="J22" s="19">
        <f>(I22-H22)/1000</f>
        <v/>
      </c>
      <c r="K22" s="16" t="inlineStr">
        <is>
          <t>Yes</t>
        </is>
      </c>
      <c r="L22" s="16" t="n">
        <v>19</v>
      </c>
      <c r="M22" s="39" t="inlineStr">
        <is>
          <t>BAJWA, RANOLI, LC-246, VASAD</t>
        </is>
      </c>
    </row>
    <row r="23" ht="49" customHeight="1">
      <c r="A23" s="16" t="inlineStr">
        <is>
          <t>15 Jun</t>
        </is>
      </c>
      <c r="B23" s="16" t="inlineStr">
        <is>
          <t>37956</t>
        </is>
      </c>
      <c r="C23" s="16" t="n">
        <v>2824</v>
      </c>
      <c r="D23" s="16" t="n">
        <v>2824</v>
      </c>
      <c r="E23" s="16" t="n">
        <v>2003</v>
      </c>
      <c r="F23" s="38" t="n">
        <v>369967</v>
      </c>
      <c r="G23" s="38" t="n">
        <v>448983</v>
      </c>
      <c r="H23" s="38" t="n">
        <v>400424</v>
      </c>
      <c r="I23" s="38" t="n">
        <v>448983</v>
      </c>
      <c r="J23" s="19">
        <f>(I23-H23)/1000</f>
        <v/>
      </c>
      <c r="K23" s="16" t="inlineStr">
        <is>
          <t>Yes</t>
        </is>
      </c>
      <c r="L23" s="16" t="n">
        <v>12</v>
      </c>
      <c r="M23" s="39" t="inlineStr">
        <is>
          <t>LC-278, GOTHAJ, LC-286, MAHEMDABAD AND KHEDA ROAD, LC-294, KANIJ, BAREJADI NANDEJ, GERATPUR, VATVA, KANKARIYA CABIN, AHMEDABAD Jn</t>
        </is>
      </c>
    </row>
    <row r="24" ht="34" customHeight="1">
      <c r="A24" s="16" t="inlineStr">
        <is>
          <t>15 Jun</t>
        </is>
      </c>
      <c r="B24" s="16" t="inlineStr">
        <is>
          <t>37920</t>
        </is>
      </c>
      <c r="C24" s="16" t="n">
        <v>1664</v>
      </c>
      <c r="D24" s="16" t="n">
        <v>1664</v>
      </c>
      <c r="E24" s="16" t="n">
        <v>1557</v>
      </c>
      <c r="F24" s="38" t="n">
        <v>449647</v>
      </c>
      <c r="G24" s="38" t="n">
        <v>494894</v>
      </c>
      <c r="H24" s="38" t="n">
        <v>449647</v>
      </c>
      <c r="I24" s="38" t="n">
        <v>494312</v>
      </c>
      <c r="J24" s="19">
        <f>(I24-H24)/1000</f>
        <v/>
      </c>
      <c r="K24" s="16" t="inlineStr">
        <is>
          <t>Yes</t>
        </is>
      </c>
      <c r="L24" s="16" t="n">
        <v>12</v>
      </c>
      <c r="M24" s="39" t="inlineStr">
        <is>
          <t>BAJWA, RANOLI, LC-246, VASAD, ADAS ROAD, VADOD, LC-258, ANAND Jn, LC-264, KANJARI BORIYAVI, UTARSANDA</t>
        </is>
      </c>
    </row>
    <row r="25" ht="49" customHeight="1">
      <c r="A25" s="16" t="inlineStr">
        <is>
          <t>15 Jun</t>
        </is>
      </c>
      <c r="B25" s="16" t="inlineStr">
        <is>
          <t>39308</t>
        </is>
      </c>
      <c r="C25" s="16" t="n">
        <v>4822</v>
      </c>
      <c r="D25" s="16" t="n">
        <v>4822</v>
      </c>
      <c r="E25" s="16" t="n">
        <v>2904</v>
      </c>
      <c r="F25" s="38" t="n">
        <v>361837</v>
      </c>
      <c r="G25" s="38" t="n">
        <v>442014</v>
      </c>
      <c r="H25" s="38" t="n">
        <v>400434</v>
      </c>
      <c r="I25" s="38" t="n">
        <v>442014</v>
      </c>
      <c r="J25" s="19">
        <f>(I25-H25)/1000</f>
        <v/>
      </c>
      <c r="K25" s="16" t="inlineStr">
        <is>
          <t>Yes</t>
        </is>
      </c>
      <c r="L25" s="16" t="n">
        <v>11</v>
      </c>
      <c r="M25" s="39" t="inlineStr">
        <is>
          <t>NADIAD, LC-278, GOTHAJ, LC-286, MAHEMDABAD AND KHEDA ROAD, LC-294, KANIJ, BAREJADI NANDEJ, GERATPUR, VATVA, KANKARIYA CABIN, AHMEDABAD Jn</t>
        </is>
      </c>
    </row>
    <row r="26" ht="49" customHeight="1">
      <c r="A26" s="16" t="inlineStr">
        <is>
          <t>15 Jun</t>
        </is>
      </c>
      <c r="B26" s="16" t="inlineStr">
        <is>
          <t>30507</t>
        </is>
      </c>
      <c r="C26" s="16" t="n">
        <v>1177</v>
      </c>
      <c r="D26" s="16" t="n">
        <v>1177</v>
      </c>
      <c r="E26" s="16" t="n">
        <v>949</v>
      </c>
      <c r="F26" s="38" t="n">
        <v>396506</v>
      </c>
      <c r="G26" s="38" t="n">
        <v>440877</v>
      </c>
      <c r="H26" s="38" t="n">
        <v>400517</v>
      </c>
      <c r="I26" s="38" t="n">
        <v>440877</v>
      </c>
      <c r="J26" s="19">
        <f>(I26-H26)/1000</f>
        <v/>
      </c>
      <c r="K26" s="16" t="inlineStr">
        <is>
          <t>Yes</t>
        </is>
      </c>
      <c r="L26" s="16" t="n">
        <v>10</v>
      </c>
      <c r="M26" s="39" t="inlineStr">
        <is>
          <t>UTARSANDA, NADIAD, LC-278, GOTHAJ, LC-286, MAHEMDABAD AND KHEDA ROAD, LC-294, KANIJ, BAREJADI NANDEJ, GERATPUR, VATVA, KANKARIYA CABIN, AHMEDABAD Jn</t>
        </is>
      </c>
    </row>
    <row r="27" ht="49" customHeight="1">
      <c r="A27" s="16" t="inlineStr">
        <is>
          <t>15 Jun</t>
        </is>
      </c>
      <c r="B27" s="16" t="inlineStr">
        <is>
          <t>39029</t>
        </is>
      </c>
      <c r="C27" s="16" t="n">
        <v>1702</v>
      </c>
      <c r="D27" s="16" t="n">
        <v>1702</v>
      </c>
      <c r="E27" s="16" t="n">
        <v>792</v>
      </c>
      <c r="F27" s="38" t="n">
        <v>369908</v>
      </c>
      <c r="G27" s="38" t="n">
        <v>440040</v>
      </c>
      <c r="H27" s="38" t="n">
        <v>400493</v>
      </c>
      <c r="I27" s="38" t="n">
        <v>440040</v>
      </c>
      <c r="J27" s="19">
        <f>(I27-H27)/1000</f>
        <v/>
      </c>
      <c r="K27" s="16" t="inlineStr">
        <is>
          <t>Yes</t>
        </is>
      </c>
      <c r="L27" s="16" t="n">
        <v>10</v>
      </c>
      <c r="M27" s="39" t="inlineStr">
        <is>
          <t>UTARSANDA, NADIAD, LC-278, GOTHAJ, LC-286, MAHEMDABAD AND KHEDA ROAD, LC-294, KANIJ, BAREJADI NANDEJ, GERATPUR, VATVA, KANKARIYA CABIN, AHMEDABAD Jn</t>
        </is>
      </c>
    </row>
    <row r="28" ht="49" customHeight="1">
      <c r="A28" s="16" t="inlineStr">
        <is>
          <t>15 Jun</t>
        </is>
      </c>
      <c r="B28" s="16" t="inlineStr">
        <is>
          <t>37471</t>
        </is>
      </c>
      <c r="C28" s="16" t="n">
        <v>1695</v>
      </c>
      <c r="D28" s="16" t="n">
        <v>1695</v>
      </c>
      <c r="E28" s="16" t="n">
        <v>783</v>
      </c>
      <c r="F28" s="38" t="n">
        <v>370259</v>
      </c>
      <c r="G28" s="38" t="n">
        <v>439706</v>
      </c>
      <c r="H28" s="38" t="n">
        <v>400509</v>
      </c>
      <c r="I28" s="38" t="n">
        <v>439706</v>
      </c>
      <c r="J28" s="19">
        <f>(I28-H28)/1000</f>
        <v/>
      </c>
      <c r="K28" s="16" t="inlineStr">
        <is>
          <t>Yes</t>
        </is>
      </c>
      <c r="L28" s="16" t="n">
        <v>10</v>
      </c>
      <c r="M28" s="39" t="inlineStr">
        <is>
          <t>UTARSANDA, NADIAD, LC-278, GOTHAJ, LC-286, MAHEMDABAD AND KHEDA ROAD, LC-294, KANIJ, BAREJADI NANDEJ, GERATPUR, VATVA, KANKARIYA CABIN, AHMEDABAD Jn</t>
        </is>
      </c>
    </row>
    <row r="29" ht="49" customHeight="1">
      <c r="A29" s="16" t="inlineStr">
        <is>
          <t>15 Jun</t>
        </is>
      </c>
      <c r="B29" s="16" t="inlineStr">
        <is>
          <t>30415</t>
        </is>
      </c>
      <c r="C29" s="16" t="n">
        <v>1665</v>
      </c>
      <c r="D29" s="16" t="n">
        <v>1665</v>
      </c>
      <c r="E29" s="16" t="n">
        <v>695</v>
      </c>
      <c r="F29" s="38" t="n">
        <v>370046</v>
      </c>
      <c r="G29" s="38" t="n">
        <v>438752</v>
      </c>
      <c r="H29" s="38" t="n">
        <v>400404</v>
      </c>
      <c r="I29" s="38" t="n">
        <v>438752</v>
      </c>
      <c r="J29" s="19">
        <f>(I29-H29)/1000</f>
        <v/>
      </c>
      <c r="K29" s="16" t="inlineStr">
        <is>
          <t>Yes</t>
        </is>
      </c>
      <c r="L29" s="16" t="n">
        <v>10</v>
      </c>
      <c r="M29" s="39" t="inlineStr">
        <is>
          <t>UTARSANDA, NADIAD, LC-278, GOTHAJ, LC-286, MAHEMDABAD AND KHEDA ROAD, LC-294, KANIJ, BAREJADI NANDEJ, GERATPUR, VATVA, KANKARIYA CABIN, AHMEDABAD Jn</t>
        </is>
      </c>
    </row>
    <row r="30" ht="49" customHeight="1">
      <c r="A30" s="16" t="inlineStr">
        <is>
          <t>15 Jun</t>
        </is>
      </c>
      <c r="B30" s="16" t="inlineStr">
        <is>
          <t>37515</t>
        </is>
      </c>
      <c r="C30" s="16" t="n">
        <v>1821</v>
      </c>
      <c r="D30" s="16" t="n">
        <v>1821</v>
      </c>
      <c r="E30" s="16" t="n">
        <v>945</v>
      </c>
      <c r="F30" s="38" t="n">
        <v>361509</v>
      </c>
      <c r="G30" s="38" t="n">
        <v>438249</v>
      </c>
      <c r="H30" s="38" t="n">
        <v>400401</v>
      </c>
      <c r="I30" s="38" t="n">
        <v>438249</v>
      </c>
      <c r="J30" s="19">
        <f>(I30-H30)/1000</f>
        <v/>
      </c>
      <c r="K30" s="16" t="inlineStr">
        <is>
          <t>Yes</t>
        </is>
      </c>
      <c r="L30" s="16" t="n">
        <v>10</v>
      </c>
      <c r="M30" s="39" t="inlineStr">
        <is>
          <t>UTARSANDA, NADIAD, LC-278, GOTHAJ, LC-286, MAHEMDABAD AND KHEDA ROAD, LC-294, KANIJ, BAREJADI NANDEJ, GERATPUR, VATVA, KANKARIYA CABIN, AHMEDABAD Jn</t>
        </is>
      </c>
    </row>
    <row r="31" ht="49" customHeight="1">
      <c r="A31" s="16" t="inlineStr">
        <is>
          <t>15 Jun</t>
        </is>
      </c>
      <c r="B31" s="16" t="inlineStr">
        <is>
          <t>39014</t>
        </is>
      </c>
      <c r="C31" s="16" t="n">
        <v>2653</v>
      </c>
      <c r="D31" s="16" t="n">
        <v>2653</v>
      </c>
      <c r="E31" s="16" t="n">
        <v>1309</v>
      </c>
      <c r="F31" s="38" t="n">
        <v>370230</v>
      </c>
      <c r="G31" s="38" t="n">
        <v>437331</v>
      </c>
      <c r="H31" s="38" t="n">
        <v>400509</v>
      </c>
      <c r="I31" s="38" t="n">
        <v>437331</v>
      </c>
      <c r="J31" s="19">
        <f>(I31-H31)/1000</f>
        <v/>
      </c>
      <c r="K31" s="16" t="inlineStr">
        <is>
          <t>Yes</t>
        </is>
      </c>
      <c r="L31" s="16" t="n">
        <v>10</v>
      </c>
      <c r="M31" s="39" t="inlineStr">
        <is>
          <t>UTARSANDA, NADIAD, LC-278, GOTHAJ, LC-286, MAHEMDABAD AND KHEDA ROAD, LC-294, KANIJ, BAREJADI NANDEJ, GERATPUR, VATVA, KANKARIYA CABIN, AHMEDABAD Jn</t>
        </is>
      </c>
    </row>
    <row r="32" ht="49" customHeight="1">
      <c r="A32" s="16" t="inlineStr">
        <is>
          <t>15 Jun</t>
        </is>
      </c>
      <c r="B32" s="16" t="inlineStr">
        <is>
          <t>30635</t>
        </is>
      </c>
      <c r="C32" s="16" t="n">
        <v>2041</v>
      </c>
      <c r="D32" s="16" t="n">
        <v>2041</v>
      </c>
      <c r="E32" s="16" t="n">
        <v>924</v>
      </c>
      <c r="F32" s="38" t="n">
        <v>367851</v>
      </c>
      <c r="G32" s="38" t="n">
        <v>437219</v>
      </c>
      <c r="H32" s="38" t="n">
        <v>400509</v>
      </c>
      <c r="I32" s="38" t="n">
        <v>437219</v>
      </c>
      <c r="J32" s="19">
        <f>(I32-H32)/1000</f>
        <v/>
      </c>
      <c r="K32" s="16" t="inlineStr">
        <is>
          <t>Yes</t>
        </is>
      </c>
      <c r="L32" s="16" t="n">
        <v>10</v>
      </c>
      <c r="M32" s="39" t="inlineStr">
        <is>
          <t>UTARSANDA, NADIAD, LC-278, GOTHAJ, LC-286, MAHEMDABAD AND KHEDA ROAD, LC-294, KANIJ, BAREJADI NANDEJ, GERATPUR, VATVA, KANKARIYA CABIN, AHMEDABAD Jn</t>
        </is>
      </c>
    </row>
    <row r="33" ht="49" customHeight="1">
      <c r="A33" s="16" t="inlineStr">
        <is>
          <t>15 Jun</t>
        </is>
      </c>
      <c r="B33" s="16" t="inlineStr">
        <is>
          <t>37091</t>
        </is>
      </c>
      <c r="C33" s="16" t="n">
        <v>1000</v>
      </c>
      <c r="D33" s="16" t="n">
        <v>991</v>
      </c>
      <c r="E33" s="16" t="n">
        <v>641</v>
      </c>
      <c r="F33" s="38" t="n">
        <v>396123</v>
      </c>
      <c r="G33" s="38" t="n">
        <v>437118</v>
      </c>
      <c r="H33" s="38" t="n">
        <v>400412</v>
      </c>
      <c r="I33" s="38" t="n">
        <v>437118</v>
      </c>
      <c r="J33" s="19">
        <f>(I33-H33)/1000</f>
        <v/>
      </c>
      <c r="K33" s="16" t="inlineStr">
        <is>
          <t>Yes</t>
        </is>
      </c>
      <c r="L33" s="16" t="n">
        <v>10</v>
      </c>
      <c r="M33" s="39" t="inlineStr">
        <is>
          <t>UTARSANDA, NADIAD, LC-278, GOTHAJ, LC-286, MAHEMDABAD AND KHEDA ROAD, LC-294, KANIJ, BAREJADI NANDEJ, GERATPUR, VATVA, KANKARIYA CABIN, AHMEDABAD Jn</t>
        </is>
      </c>
    </row>
    <row r="34" ht="49" customHeight="1">
      <c r="A34" s="16" t="inlineStr">
        <is>
          <t>15 Jun</t>
        </is>
      </c>
      <c r="B34" s="16" t="inlineStr">
        <is>
          <t>39030</t>
        </is>
      </c>
      <c r="C34" s="16" t="n">
        <v>1576</v>
      </c>
      <c r="D34" s="16" t="n">
        <v>1576</v>
      </c>
      <c r="E34" s="16" t="n">
        <v>716</v>
      </c>
      <c r="F34" s="38" t="n">
        <v>361857</v>
      </c>
      <c r="G34" s="38" t="n">
        <v>436885</v>
      </c>
      <c r="H34" s="38" t="n">
        <v>400432</v>
      </c>
      <c r="I34" s="38" t="n">
        <v>436885</v>
      </c>
      <c r="J34" s="19">
        <f>(I34-H34)/1000</f>
        <v/>
      </c>
      <c r="K34" s="16" t="inlineStr">
        <is>
          <t>Yes</t>
        </is>
      </c>
      <c r="L34" s="16" t="n">
        <v>10</v>
      </c>
      <c r="M34" s="39" t="inlineStr">
        <is>
          <t>UTARSANDA, NADIAD, LC-278, GOTHAJ, LC-286, MAHEMDABAD AND KHEDA ROAD, LC-294, KANIJ, BAREJADI NANDEJ, GERATPUR, VATVA, KANKARIYA CABIN, AHMEDABAD Jn</t>
        </is>
      </c>
    </row>
    <row r="35" ht="49" customHeight="1">
      <c r="A35" s="16" t="inlineStr">
        <is>
          <t>15 Jun</t>
        </is>
      </c>
      <c r="B35" s="16" t="inlineStr">
        <is>
          <t>39260</t>
        </is>
      </c>
      <c r="C35" s="16" t="n">
        <v>1060</v>
      </c>
      <c r="D35" s="16" t="n">
        <v>1060</v>
      </c>
      <c r="E35" s="16" t="n">
        <v>743</v>
      </c>
      <c r="F35" s="38" t="n">
        <v>396093</v>
      </c>
      <c r="G35" s="38" t="n">
        <v>436748</v>
      </c>
      <c r="H35" s="38" t="n">
        <v>400401</v>
      </c>
      <c r="I35" s="38" t="n">
        <v>436748</v>
      </c>
      <c r="J35" s="19">
        <f>(I35-H35)/1000</f>
        <v/>
      </c>
      <c r="K35" s="16" t="inlineStr">
        <is>
          <t>Yes</t>
        </is>
      </c>
      <c r="L35" s="16" t="n">
        <v>9</v>
      </c>
      <c r="M35" s="39" t="inlineStr">
        <is>
          <t>KANJARI BORIYAVI, UTARSANDA, NADIAD, LC-278, GOTHAJ, LC-286, MAHEMDABAD AND KHEDA ROAD, LC-294, KANIJ, BAREJADI NANDEJ, GERATPUR, VATVA, KANKARIYA CABIN, AHMEDABAD Jn</t>
        </is>
      </c>
    </row>
    <row r="36" ht="49" customHeight="1">
      <c r="A36" s="16" t="inlineStr">
        <is>
          <t>15 Jun</t>
        </is>
      </c>
      <c r="B36" s="16" t="inlineStr">
        <is>
          <t>37286</t>
        </is>
      </c>
      <c r="C36" s="16" t="n">
        <v>1901</v>
      </c>
      <c r="D36" s="16" t="n">
        <v>1901</v>
      </c>
      <c r="E36" s="16" t="n">
        <v>907</v>
      </c>
      <c r="F36" s="38" t="n">
        <v>375208</v>
      </c>
      <c r="G36" s="38" t="n">
        <v>434132</v>
      </c>
      <c r="H36" s="38" t="n">
        <v>400401</v>
      </c>
      <c r="I36" s="38" t="n">
        <v>434132</v>
      </c>
      <c r="J36" s="19">
        <f>(I36-H36)/1000</f>
        <v/>
      </c>
      <c r="K36" s="16" t="inlineStr">
        <is>
          <t>Yes</t>
        </is>
      </c>
      <c r="L36" s="16" t="n">
        <v>9</v>
      </c>
      <c r="M36" s="39" t="inlineStr">
        <is>
          <t>KANJARI BORIYAVI, UTARSANDA, NADIAD, LC-278, GOTHAJ, LC-286, MAHEMDABAD AND KHEDA ROAD, LC-294, KANIJ, BAREJADI NANDEJ, GERATPUR, VATVA, KANKARIYA CABIN, AHMEDABAD Jn</t>
        </is>
      </c>
    </row>
    <row r="37" ht="64" customHeight="1">
      <c r="A37" s="16" t="inlineStr">
        <is>
          <t>15 Jun</t>
        </is>
      </c>
      <c r="B37" s="16" t="inlineStr">
        <is>
          <t>51347</t>
        </is>
      </c>
      <c r="C37" s="16" t="n">
        <v>50</v>
      </c>
      <c r="D37" s="16" t="n">
        <v>50</v>
      </c>
      <c r="E37" s="16" t="n">
        <v>50</v>
      </c>
      <c r="F37" s="38" t="n">
        <v>451931</v>
      </c>
      <c r="G37" s="38" t="n">
        <v>453012</v>
      </c>
      <c r="H37" s="38" t="n">
        <v>451931</v>
      </c>
      <c r="I37" s="38" t="n">
        <v>453012</v>
      </c>
      <c r="J37" s="19">
        <f>(I37-H37)/1000</f>
        <v/>
      </c>
      <c r="K37" s="16" t="inlineStr">
        <is>
          <t>Yes</t>
        </is>
      </c>
      <c r="L37" s="16" t="n">
        <v>1</v>
      </c>
      <c r="M37" s="39" t="inlineStr">
        <is>
          <t>BAJWA, RANOLI, LC-246, VASAD, ADAS ROAD, VADOD, LC-258, ANAND Jn, LC-264, KANJARI BORIYAVI, UTARSANDA, LC-278, GOTHAJ, LC-286, MAHEMDABAD AND KHEDA ROAD, LC-294, KANIJ, BAREJADI NANDEJ, GERATPUR, VATVA, KANKARIYA CABIN, AHMEDABAD Jn</t>
        </is>
      </c>
    </row>
    <row r="38" ht="64" customHeight="1">
      <c r="A38" s="16" t="inlineStr">
        <is>
          <t>15 Jun</t>
        </is>
      </c>
      <c r="B38" s="16" t="inlineStr">
        <is>
          <t>39235</t>
        </is>
      </c>
      <c r="C38" s="16" t="n">
        <v>471</v>
      </c>
      <c r="D38" s="16" t="n">
        <v>471</v>
      </c>
      <c r="E38" s="16" t="n">
        <v>220</v>
      </c>
      <c r="F38" s="38" t="n">
        <v>493488</v>
      </c>
      <c r="G38" s="38" t="n">
        <v>495008</v>
      </c>
      <c r="H38" s="38" t="n">
        <v>493488</v>
      </c>
      <c r="I38" s="38" t="n">
        <v>494312</v>
      </c>
      <c r="J38" s="19">
        <f>(I38-H38)/1000</f>
        <v/>
      </c>
      <c r="K38" s="16" t="inlineStr">
        <is>
          <t>Yes</t>
        </is>
      </c>
      <c r="L38" s="16" t="n">
        <v>2</v>
      </c>
      <c r="M38" s="39" t="inlineStr">
        <is>
          <t>BAJWA, RANOLI, LC-246, VASAD, ADAS ROAD, VADOD, LC-258, ANAND Jn, LC-264, KANJARI BORIYAVI, UTARSANDA, NADIAD, LC-278, GOTHAJ, LC-286, MAHEMDABAD AND KHEDA ROAD, LC-294, KANIJ, BAREJADI NANDEJ, GERATPUR, VATVA</t>
        </is>
      </c>
    </row>
    <row r="39" ht="64" customHeight="1">
      <c r="A39" s="34" t="inlineStr">
        <is>
          <t>15 Jun</t>
        </is>
      </c>
      <c r="B39" s="34" t="inlineStr">
        <is>
          <t>120850</t>
        </is>
      </c>
      <c r="C39" s="34" t="n">
        <v>1087</v>
      </c>
      <c r="D39" s="34" t="n">
        <v>1049</v>
      </c>
      <c r="E39" s="34" t="n">
        <v>0</v>
      </c>
      <c r="F39" s="40" t="n">
        <v>510423</v>
      </c>
      <c r="G39" s="40" t="n">
        <v>515339</v>
      </c>
      <c r="H39" s="40" t="inlineStr">
        <is>
          <t>-</t>
        </is>
      </c>
      <c r="I39" s="40" t="inlineStr">
        <is>
          <t>-</t>
        </is>
      </c>
      <c r="J39" s="41" t="n">
        <v>0</v>
      </c>
      <c r="K39" s="34" t="inlineStr">
        <is>
          <t>No</t>
        </is>
      </c>
      <c r="L39" s="34" t="n">
        <v>0</v>
      </c>
      <c r="M3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0" ht="64" customHeight="1">
      <c r="A40" s="34" t="inlineStr">
        <is>
          <t>15 Jun</t>
        </is>
      </c>
      <c r="B40" s="34" t="inlineStr">
        <is>
          <t>33715</t>
        </is>
      </c>
      <c r="C40" s="34" t="n">
        <v>5</v>
      </c>
      <c r="D40" s="34" t="n">
        <v>0</v>
      </c>
      <c r="E40" s="34" t="n">
        <v>0</v>
      </c>
      <c r="F40" s="40" t="inlineStr">
        <is>
          <t>-</t>
        </is>
      </c>
      <c r="G40" s="40" t="inlineStr">
        <is>
          <t>-</t>
        </is>
      </c>
      <c r="H40" s="40" t="inlineStr">
        <is>
          <t>-</t>
        </is>
      </c>
      <c r="I40" s="40" t="inlineStr">
        <is>
          <t>-</t>
        </is>
      </c>
      <c r="J40" s="41" t="n">
        <v>0</v>
      </c>
      <c r="K40" s="34" t="inlineStr">
        <is>
          <t>No</t>
        </is>
      </c>
      <c r="L40" s="34" t="n">
        <v>0</v>
      </c>
      <c r="M4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1" ht="64" customHeight="1">
      <c r="A41" s="34" t="inlineStr">
        <is>
          <t>15 Jun</t>
        </is>
      </c>
      <c r="B41" s="34" t="inlineStr">
        <is>
          <t>37087</t>
        </is>
      </c>
      <c r="C41" s="34" t="n">
        <v>6</v>
      </c>
      <c r="D41" s="34" t="n">
        <v>0</v>
      </c>
      <c r="E41" s="34" t="n">
        <v>0</v>
      </c>
      <c r="F41" s="40" t="inlineStr">
        <is>
          <t>-</t>
        </is>
      </c>
      <c r="G41" s="40" t="inlineStr">
        <is>
          <t>-</t>
        </is>
      </c>
      <c r="H41" s="40" t="inlineStr">
        <is>
          <t>-</t>
        </is>
      </c>
      <c r="I41" s="40" t="inlineStr">
        <is>
          <t>-</t>
        </is>
      </c>
      <c r="J41" s="41" t="n">
        <v>0</v>
      </c>
      <c r="K41" s="34" t="inlineStr">
        <is>
          <t>No</t>
        </is>
      </c>
      <c r="L41" s="34" t="n">
        <v>0</v>
      </c>
      <c r="M4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2" ht="64" customHeight="1">
      <c r="A42" s="34" t="inlineStr">
        <is>
          <t>15 Jun</t>
        </is>
      </c>
      <c r="B42" s="34" t="inlineStr">
        <is>
          <t>37491</t>
        </is>
      </c>
      <c r="C42" s="34" t="n">
        <v>18</v>
      </c>
      <c r="D42" s="34" t="n">
        <v>0</v>
      </c>
      <c r="E42" s="34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1" t="n">
        <v>0</v>
      </c>
      <c r="K42" s="34" t="inlineStr">
        <is>
          <t>No</t>
        </is>
      </c>
      <c r="L42" s="34" t="n">
        <v>0</v>
      </c>
      <c r="M4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3" ht="64" customHeight="1">
      <c r="A43" s="34" t="inlineStr">
        <is>
          <t>15 Jun</t>
        </is>
      </c>
      <c r="B43" s="34" t="inlineStr">
        <is>
          <t>37855</t>
        </is>
      </c>
      <c r="C43" s="34" t="n">
        <v>24</v>
      </c>
      <c r="D43" s="34" t="n">
        <v>0</v>
      </c>
      <c r="E43" s="34" t="n">
        <v>0</v>
      </c>
      <c r="F43" s="40" t="inlineStr">
        <is>
          <t>-</t>
        </is>
      </c>
      <c r="G43" s="40" t="inlineStr">
        <is>
          <t>-</t>
        </is>
      </c>
      <c r="H43" s="40" t="inlineStr">
        <is>
          <t>-</t>
        </is>
      </c>
      <c r="I43" s="40" t="inlineStr">
        <is>
          <t>-</t>
        </is>
      </c>
      <c r="J43" s="41" t="n">
        <v>0</v>
      </c>
      <c r="K43" s="34" t="inlineStr">
        <is>
          <t>No</t>
        </is>
      </c>
      <c r="L43" s="34" t="n">
        <v>0</v>
      </c>
      <c r="M4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4" ht="64" customHeight="1">
      <c r="A44" s="34" t="inlineStr">
        <is>
          <t>15 Jun</t>
        </is>
      </c>
      <c r="B44" s="34" t="inlineStr">
        <is>
          <t>39254</t>
        </is>
      </c>
      <c r="C44" s="34" t="n">
        <v>19</v>
      </c>
      <c r="D44" s="34" t="n">
        <v>0</v>
      </c>
      <c r="E44" s="34" t="n">
        <v>0</v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1" t="n">
        <v>0</v>
      </c>
      <c r="K44" s="34" t="inlineStr">
        <is>
          <t>No</t>
        </is>
      </c>
      <c r="L44" s="34" t="n">
        <v>0</v>
      </c>
      <c r="M4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5" ht="64" customHeight="1">
      <c r="A45" s="34" t="inlineStr">
        <is>
          <t>15 Jun</t>
        </is>
      </c>
      <c r="B45" s="34" t="inlineStr">
        <is>
          <t>39258</t>
        </is>
      </c>
      <c r="C45" s="34" t="n">
        <v>17</v>
      </c>
      <c r="D45" s="34" t="n">
        <v>0</v>
      </c>
      <c r="E45" s="34" t="n">
        <v>0</v>
      </c>
      <c r="F45" s="40" t="inlineStr">
        <is>
          <t>-</t>
        </is>
      </c>
      <c r="G45" s="40" t="inlineStr">
        <is>
          <t>-</t>
        </is>
      </c>
      <c r="H45" s="40" t="inlineStr">
        <is>
          <t>-</t>
        </is>
      </c>
      <c r="I45" s="40" t="inlineStr">
        <is>
          <t>-</t>
        </is>
      </c>
      <c r="J45" s="41" t="n">
        <v>0</v>
      </c>
      <c r="K45" s="34" t="inlineStr">
        <is>
          <t>No</t>
        </is>
      </c>
      <c r="L45" s="34" t="n">
        <v>0</v>
      </c>
      <c r="M4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6" ht="64" customHeight="1">
      <c r="A46" s="34" t="inlineStr">
        <is>
          <t>15 Jun</t>
        </is>
      </c>
      <c r="B46" s="34" t="inlineStr">
        <is>
          <t>39287</t>
        </is>
      </c>
      <c r="C46" s="34" t="n">
        <v>462</v>
      </c>
      <c r="D46" s="34" t="n">
        <v>462</v>
      </c>
      <c r="E46" s="34" t="n">
        <v>0</v>
      </c>
      <c r="F46" s="40" t="n">
        <v>360560</v>
      </c>
      <c r="G46" s="40" t="n">
        <v>395920</v>
      </c>
      <c r="H46" s="40" t="inlineStr">
        <is>
          <t>-</t>
        </is>
      </c>
      <c r="I46" s="40" t="inlineStr">
        <is>
          <t>-</t>
        </is>
      </c>
      <c r="J46" s="41" t="n">
        <v>0</v>
      </c>
      <c r="K46" s="34" t="inlineStr">
        <is>
          <t>No</t>
        </is>
      </c>
      <c r="L46" s="34" t="n">
        <v>0</v>
      </c>
      <c r="M4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7" ht="64" customHeight="1">
      <c r="A47" s="34" t="inlineStr">
        <is>
          <t>15 Jun</t>
        </is>
      </c>
      <c r="B47" s="34" t="inlineStr">
        <is>
          <t>41430</t>
        </is>
      </c>
      <c r="C47" s="34" t="n">
        <v>225</v>
      </c>
      <c r="D47" s="34" t="n">
        <v>205</v>
      </c>
      <c r="E47" s="34" t="n">
        <v>0</v>
      </c>
      <c r="F47" s="40" t="n">
        <v>2500003</v>
      </c>
      <c r="G47" s="40" t="n">
        <v>2500595</v>
      </c>
      <c r="H47" s="40" t="inlineStr">
        <is>
          <t>-</t>
        </is>
      </c>
      <c r="I47" s="40" t="inlineStr">
        <is>
          <t>-</t>
        </is>
      </c>
      <c r="J47" s="41" t="n">
        <v>0</v>
      </c>
      <c r="K47" s="34" t="inlineStr">
        <is>
          <t>No</t>
        </is>
      </c>
      <c r="L47" s="34" t="n">
        <v>0</v>
      </c>
      <c r="M4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8">
      <c r="A48" s="16" t="inlineStr">
        <is>
          <t>16 Jun</t>
        </is>
      </c>
      <c r="B48" s="16" t="inlineStr">
        <is>
          <t>30470</t>
        </is>
      </c>
      <c r="C48" s="16" t="n">
        <v>4794</v>
      </c>
      <c r="D48" s="16" t="n">
        <v>4794</v>
      </c>
      <c r="E48" s="16" t="n">
        <v>4009</v>
      </c>
      <c r="F48" s="38" t="n">
        <v>375037</v>
      </c>
      <c r="G48" s="38" t="n">
        <v>494965</v>
      </c>
      <c r="H48" s="38" t="n">
        <v>400399</v>
      </c>
      <c r="I48" s="38" t="n">
        <v>494312</v>
      </c>
      <c r="J48" s="19">
        <f>(I48-H48)/1000</f>
        <v/>
      </c>
      <c r="K48" s="16" t="inlineStr">
        <is>
          <t>Yes</t>
        </is>
      </c>
      <c r="L48" s="16" t="n">
        <v>23</v>
      </c>
      <c r="M48" s="39" t="inlineStr">
        <is>
          <t>- (full trip)</t>
        </is>
      </c>
    </row>
    <row r="49">
      <c r="A49" s="16" t="inlineStr">
        <is>
          <t>16 Jun</t>
        </is>
      </c>
      <c r="B49" s="16" t="inlineStr">
        <is>
          <t>37507</t>
        </is>
      </c>
      <c r="C49" s="16" t="n">
        <v>11576</v>
      </c>
      <c r="D49" s="16" t="n">
        <v>11576</v>
      </c>
      <c r="E49" s="16" t="n">
        <v>9730</v>
      </c>
      <c r="F49" s="38" t="n">
        <v>370443</v>
      </c>
      <c r="G49" s="38" t="n">
        <v>495784</v>
      </c>
      <c r="H49" s="38" t="n">
        <v>400403</v>
      </c>
      <c r="I49" s="38" t="n">
        <v>494310</v>
      </c>
      <c r="J49" s="19">
        <f>(I49-H49)/1000</f>
        <v/>
      </c>
      <c r="K49" s="16" t="inlineStr">
        <is>
          <t>Yes</t>
        </is>
      </c>
      <c r="L49" s="16" t="n">
        <v>23</v>
      </c>
      <c r="M49" s="39" t="inlineStr">
        <is>
          <t>- (full trip)</t>
        </is>
      </c>
    </row>
    <row r="50">
      <c r="A50" s="16" t="inlineStr">
        <is>
          <t>16 Jun</t>
        </is>
      </c>
      <c r="B50" s="16" t="inlineStr">
        <is>
          <t>39236</t>
        </is>
      </c>
      <c r="C50" s="16" t="n">
        <v>14624</v>
      </c>
      <c r="D50" s="16" t="n">
        <v>11059</v>
      </c>
      <c r="E50" s="16" t="n">
        <v>9179</v>
      </c>
      <c r="F50" s="38" t="n">
        <v>398188</v>
      </c>
      <c r="G50" s="38" t="n">
        <v>495771</v>
      </c>
      <c r="H50" s="38" t="n">
        <v>400399</v>
      </c>
      <c r="I50" s="38" t="n">
        <v>494311</v>
      </c>
      <c r="J50" s="19">
        <f>(I50-H50)/1000</f>
        <v/>
      </c>
      <c r="K50" s="16" t="inlineStr">
        <is>
          <t>Yes</t>
        </is>
      </c>
      <c r="L50" s="16" t="n">
        <v>23</v>
      </c>
      <c r="M50" s="39" t="inlineStr">
        <is>
          <t>- (full trip)</t>
        </is>
      </c>
    </row>
    <row r="51">
      <c r="A51" s="16" t="inlineStr">
        <is>
          <t>16 Jun</t>
        </is>
      </c>
      <c r="B51" s="16" t="inlineStr">
        <is>
          <t>30821</t>
        </is>
      </c>
      <c r="C51" s="16" t="n">
        <v>4714</v>
      </c>
      <c r="D51" s="16" t="n">
        <v>4714</v>
      </c>
      <c r="E51" s="16" t="n">
        <v>3668</v>
      </c>
      <c r="F51" s="38" t="n">
        <v>370255</v>
      </c>
      <c r="G51" s="38" t="n">
        <v>494966</v>
      </c>
      <c r="H51" s="38" t="n">
        <v>400410</v>
      </c>
      <c r="I51" s="38" t="n">
        <v>494312</v>
      </c>
      <c r="J51" s="19">
        <f>(I51-H51)/1000</f>
        <v/>
      </c>
      <c r="K51" s="16" t="inlineStr">
        <is>
          <t>Yes</t>
        </is>
      </c>
      <c r="L51" s="16" t="n">
        <v>23</v>
      </c>
      <c r="M51" s="39" t="inlineStr">
        <is>
          <t>- (full trip)</t>
        </is>
      </c>
    </row>
    <row r="52">
      <c r="A52" s="16" t="inlineStr">
        <is>
          <t>16 Jun</t>
        </is>
      </c>
      <c r="B52" s="16" t="inlineStr">
        <is>
          <t>39047</t>
        </is>
      </c>
      <c r="C52" s="16" t="n">
        <v>10010</v>
      </c>
      <c r="D52" s="16" t="n">
        <v>9985</v>
      </c>
      <c r="E52" s="16" t="n">
        <v>8085</v>
      </c>
      <c r="F52" s="38" t="n">
        <v>370073</v>
      </c>
      <c r="G52" s="38" t="n">
        <v>495698</v>
      </c>
      <c r="H52" s="38" t="n">
        <v>400412</v>
      </c>
      <c r="I52" s="38" t="n">
        <v>494312</v>
      </c>
      <c r="J52" s="19">
        <f>(I52-H52)/1000</f>
        <v/>
      </c>
      <c r="K52" s="16" t="inlineStr">
        <is>
          <t>Yes</t>
        </is>
      </c>
      <c r="L52" s="16" t="n">
        <v>23</v>
      </c>
      <c r="M52" s="39" t="inlineStr">
        <is>
          <t>- (full trip)</t>
        </is>
      </c>
    </row>
    <row r="53">
      <c r="A53" s="16" t="inlineStr">
        <is>
          <t>16 Jun</t>
        </is>
      </c>
      <c r="B53" s="16" t="inlineStr">
        <is>
          <t>39287</t>
        </is>
      </c>
      <c r="C53" s="16" t="n">
        <v>5022</v>
      </c>
      <c r="D53" s="16" t="n">
        <v>5022</v>
      </c>
      <c r="E53" s="16" t="n">
        <v>4271</v>
      </c>
      <c r="F53" s="38" t="n">
        <v>360724</v>
      </c>
      <c r="G53" s="38" t="n">
        <v>495466</v>
      </c>
      <c r="H53" s="38" t="n">
        <v>400406</v>
      </c>
      <c r="I53" s="38" t="n">
        <v>494310</v>
      </c>
      <c r="J53" s="19">
        <f>(I53-H53)/1000</f>
        <v/>
      </c>
      <c r="K53" s="16" t="inlineStr">
        <is>
          <t>Yes</t>
        </is>
      </c>
      <c r="L53" s="16" t="n">
        <v>23</v>
      </c>
      <c r="M53" s="39" t="inlineStr">
        <is>
          <t>- (full trip)</t>
        </is>
      </c>
    </row>
    <row r="54">
      <c r="A54" s="16" t="inlineStr">
        <is>
          <t>16 Jun</t>
        </is>
      </c>
      <c r="B54" s="16" t="inlineStr">
        <is>
          <t>30480</t>
        </is>
      </c>
      <c r="C54" s="16" t="n">
        <v>5612</v>
      </c>
      <c r="D54" s="16" t="n">
        <v>5612</v>
      </c>
      <c r="E54" s="16" t="n">
        <v>4660</v>
      </c>
      <c r="F54" s="38" t="n">
        <v>370366</v>
      </c>
      <c r="G54" s="38" t="n">
        <v>494968</v>
      </c>
      <c r="H54" s="38" t="n">
        <v>400419</v>
      </c>
      <c r="I54" s="38" t="n">
        <v>494312</v>
      </c>
      <c r="J54" s="19">
        <f>(I54-H54)/1000</f>
        <v/>
      </c>
      <c r="K54" s="16" t="inlineStr">
        <is>
          <t>Yes</t>
        </is>
      </c>
      <c r="L54" s="16" t="n">
        <v>23</v>
      </c>
      <c r="M54" s="39" t="inlineStr">
        <is>
          <t>- (full trip)</t>
        </is>
      </c>
    </row>
    <row r="55">
      <c r="A55" s="16" t="inlineStr">
        <is>
          <t>16 Jun</t>
        </is>
      </c>
      <c r="B55" s="16" t="inlineStr">
        <is>
          <t>30791</t>
        </is>
      </c>
      <c r="C55" s="16" t="n">
        <v>8954</v>
      </c>
      <c r="D55" s="16" t="n">
        <v>8948</v>
      </c>
      <c r="E55" s="16" t="n">
        <v>7591</v>
      </c>
      <c r="F55" s="38" t="n">
        <v>375235</v>
      </c>
      <c r="G55" s="38" t="n">
        <v>495786</v>
      </c>
      <c r="H55" s="38" t="n">
        <v>400425</v>
      </c>
      <c r="I55" s="38" t="n">
        <v>494311</v>
      </c>
      <c r="J55" s="19">
        <f>(I55-H55)/1000</f>
        <v/>
      </c>
      <c r="K55" s="16" t="inlineStr">
        <is>
          <t>Yes</t>
        </is>
      </c>
      <c r="L55" s="16" t="n">
        <v>23</v>
      </c>
      <c r="M55" s="39" t="inlineStr">
        <is>
          <t>- (full trip)</t>
        </is>
      </c>
    </row>
    <row r="56">
      <c r="A56" s="16" t="inlineStr">
        <is>
          <t>16 Jun</t>
        </is>
      </c>
      <c r="B56" s="16" t="inlineStr">
        <is>
          <t>37350</t>
        </is>
      </c>
      <c r="C56" s="16" t="n">
        <v>5045</v>
      </c>
      <c r="D56" s="16" t="n">
        <v>5045</v>
      </c>
      <c r="E56" s="16" t="n">
        <v>3900</v>
      </c>
      <c r="F56" s="38" t="n">
        <v>374397</v>
      </c>
      <c r="G56" s="38" t="n">
        <v>495722</v>
      </c>
      <c r="H56" s="38" t="n">
        <v>400416</v>
      </c>
      <c r="I56" s="38" t="n">
        <v>494308</v>
      </c>
      <c r="J56" s="19">
        <f>(I56-H56)/1000</f>
        <v/>
      </c>
      <c r="K56" s="16" t="inlineStr">
        <is>
          <t>Yes</t>
        </is>
      </c>
      <c r="L56" s="16" t="n">
        <v>23</v>
      </c>
      <c r="M56" s="39" t="inlineStr">
        <is>
          <t>- (full trip)</t>
        </is>
      </c>
    </row>
    <row r="57">
      <c r="A57" s="16" t="inlineStr">
        <is>
          <t>16 Jun</t>
        </is>
      </c>
      <c r="B57" s="16" t="inlineStr">
        <is>
          <t>37396</t>
        </is>
      </c>
      <c r="C57" s="16" t="n">
        <v>5804</v>
      </c>
      <c r="D57" s="16" t="n">
        <v>5801</v>
      </c>
      <c r="E57" s="16" t="n">
        <v>4846</v>
      </c>
      <c r="F57" s="38" t="n">
        <v>370277</v>
      </c>
      <c r="G57" s="38" t="n">
        <v>495780</v>
      </c>
      <c r="H57" s="38" t="n">
        <v>400417</v>
      </c>
      <c r="I57" s="38" t="n">
        <v>494302</v>
      </c>
      <c r="J57" s="19">
        <f>(I57-H57)/1000</f>
        <v/>
      </c>
      <c r="K57" s="16" t="inlineStr">
        <is>
          <t>Yes</t>
        </is>
      </c>
      <c r="L57" s="16" t="n">
        <v>23</v>
      </c>
      <c r="M57" s="39" t="inlineStr">
        <is>
          <t>- (full trip)</t>
        </is>
      </c>
    </row>
    <row r="58">
      <c r="A58" s="16" t="inlineStr">
        <is>
          <t>16 Jun</t>
        </is>
      </c>
      <c r="B58" s="16" t="inlineStr">
        <is>
          <t>37684</t>
        </is>
      </c>
      <c r="C58" s="16" t="n">
        <v>5136</v>
      </c>
      <c r="D58" s="16" t="n">
        <v>5136</v>
      </c>
      <c r="E58" s="16" t="n">
        <v>3589</v>
      </c>
      <c r="F58" s="38" t="n">
        <v>371393</v>
      </c>
      <c r="G58" s="38" t="n">
        <v>494980</v>
      </c>
      <c r="H58" s="38" t="n">
        <v>400415</v>
      </c>
      <c r="I58" s="38" t="n">
        <v>494310</v>
      </c>
      <c r="J58" s="19">
        <f>(I58-H58)/1000</f>
        <v/>
      </c>
      <c r="K58" s="16" t="inlineStr">
        <is>
          <t>Yes</t>
        </is>
      </c>
      <c r="L58" s="16" t="n">
        <v>23</v>
      </c>
      <c r="M58" s="39" t="inlineStr">
        <is>
          <t>- (full trip)</t>
        </is>
      </c>
    </row>
    <row r="59">
      <c r="A59" s="16" t="inlineStr">
        <is>
          <t>16 Jun</t>
        </is>
      </c>
      <c r="B59" s="16" t="inlineStr">
        <is>
          <t>39028</t>
        </is>
      </c>
      <c r="C59" s="16" t="n">
        <v>6175</v>
      </c>
      <c r="D59" s="16" t="n">
        <v>6175</v>
      </c>
      <c r="E59" s="16" t="n">
        <v>5049</v>
      </c>
      <c r="F59" s="38" t="n">
        <v>370210</v>
      </c>
      <c r="G59" s="38" t="n">
        <v>494981</v>
      </c>
      <c r="H59" s="38" t="n">
        <v>400419</v>
      </c>
      <c r="I59" s="38" t="n">
        <v>494312</v>
      </c>
      <c r="J59" s="19">
        <f>(I59-H59)/1000</f>
        <v/>
      </c>
      <c r="K59" s="16" t="inlineStr">
        <is>
          <t>Yes</t>
        </is>
      </c>
      <c r="L59" s="16" t="n">
        <v>23</v>
      </c>
      <c r="M59" s="39" t="inlineStr">
        <is>
          <t>- (full trip)</t>
        </is>
      </c>
    </row>
    <row r="60">
      <c r="A60" s="16" t="inlineStr">
        <is>
          <t>16 Jun</t>
        </is>
      </c>
      <c r="B60" s="16" t="inlineStr">
        <is>
          <t>39514</t>
        </is>
      </c>
      <c r="C60" s="16" t="n">
        <v>5155</v>
      </c>
      <c r="D60" s="16" t="n">
        <v>5155</v>
      </c>
      <c r="E60" s="16" t="n">
        <v>4226</v>
      </c>
      <c r="F60" s="38" t="n">
        <v>370144</v>
      </c>
      <c r="G60" s="38" t="n">
        <v>494896</v>
      </c>
      <c r="H60" s="38" t="n">
        <v>400418</v>
      </c>
      <c r="I60" s="38" t="n">
        <v>494312</v>
      </c>
      <c r="J60" s="19">
        <f>(I60-H60)/1000</f>
        <v/>
      </c>
      <c r="K60" s="16" t="inlineStr">
        <is>
          <t>Yes</t>
        </is>
      </c>
      <c r="L60" s="16" t="n">
        <v>23</v>
      </c>
      <c r="M60" s="39" t="inlineStr">
        <is>
          <t>- (full trip)</t>
        </is>
      </c>
    </row>
    <row r="61">
      <c r="A61" s="16" t="inlineStr">
        <is>
          <t>16 Jun</t>
        </is>
      </c>
      <c r="B61" s="16" t="inlineStr">
        <is>
          <t>42746</t>
        </is>
      </c>
      <c r="C61" s="16" t="n">
        <v>4314</v>
      </c>
      <c r="D61" s="16" t="n">
        <v>4313</v>
      </c>
      <c r="E61" s="16" t="n">
        <v>3366</v>
      </c>
      <c r="F61" s="38" t="n">
        <v>370007</v>
      </c>
      <c r="G61" s="38" t="n">
        <v>495803</v>
      </c>
      <c r="H61" s="38" t="n">
        <v>400410</v>
      </c>
      <c r="I61" s="38" t="n">
        <v>494302</v>
      </c>
      <c r="J61" s="19">
        <f>(I61-H61)/1000</f>
        <v/>
      </c>
      <c r="K61" s="16" t="inlineStr">
        <is>
          <t>Yes</t>
        </is>
      </c>
      <c r="L61" s="16" t="n">
        <v>23</v>
      </c>
      <c r="M61" s="39" t="inlineStr">
        <is>
          <t>- (full trip)</t>
        </is>
      </c>
    </row>
    <row r="62">
      <c r="A62" s="16" t="inlineStr">
        <is>
          <t>16 Jun</t>
        </is>
      </c>
      <c r="B62" s="16" t="inlineStr">
        <is>
          <t>37277</t>
        </is>
      </c>
      <c r="C62" s="16" t="n">
        <v>4958</v>
      </c>
      <c r="D62" s="16" t="n">
        <v>4958</v>
      </c>
      <c r="E62" s="16" t="n">
        <v>3643</v>
      </c>
      <c r="F62" s="38" t="n">
        <v>370065</v>
      </c>
      <c r="G62" s="38" t="n">
        <v>495809</v>
      </c>
      <c r="H62" s="38" t="n">
        <v>400432</v>
      </c>
      <c r="I62" s="38" t="n">
        <v>494308</v>
      </c>
      <c r="J62" s="19">
        <f>(I62-H62)/1000</f>
        <v/>
      </c>
      <c r="K62" s="16" t="inlineStr">
        <is>
          <t>Yes</t>
        </is>
      </c>
      <c r="L62" s="16" t="n">
        <v>23</v>
      </c>
      <c r="M62" s="39" t="inlineStr">
        <is>
          <t>- (full trip)</t>
        </is>
      </c>
    </row>
    <row r="63">
      <c r="A63" s="16" t="inlineStr">
        <is>
          <t>16 Jun</t>
        </is>
      </c>
      <c r="B63" s="16" t="inlineStr">
        <is>
          <t>30314</t>
        </is>
      </c>
      <c r="C63" s="16" t="n">
        <v>4706</v>
      </c>
      <c r="D63" s="16" t="n">
        <v>4706</v>
      </c>
      <c r="E63" s="16" t="n">
        <v>3893</v>
      </c>
      <c r="F63" s="38" t="n">
        <v>370241</v>
      </c>
      <c r="G63" s="38" t="n">
        <v>495730</v>
      </c>
      <c r="H63" s="38" t="n">
        <v>400433</v>
      </c>
      <c r="I63" s="38" t="n">
        <v>494303</v>
      </c>
      <c r="J63" s="19">
        <f>(I63-H63)/1000</f>
        <v/>
      </c>
      <c r="K63" s="16" t="inlineStr">
        <is>
          <t>Yes</t>
        </is>
      </c>
      <c r="L63" s="16" t="n">
        <v>23</v>
      </c>
      <c r="M63" s="39" t="inlineStr">
        <is>
          <t>- (full trip)</t>
        </is>
      </c>
    </row>
    <row r="64">
      <c r="A64" s="16" t="inlineStr">
        <is>
          <t>16 Jun</t>
        </is>
      </c>
      <c r="B64" s="16" t="inlineStr">
        <is>
          <t>30473</t>
        </is>
      </c>
      <c r="C64" s="16" t="n">
        <v>3897</v>
      </c>
      <c r="D64" s="16" t="n">
        <v>3897</v>
      </c>
      <c r="E64" s="16" t="n">
        <v>3328</v>
      </c>
      <c r="F64" s="38" t="n">
        <v>363323</v>
      </c>
      <c r="G64" s="38" t="n">
        <v>495470</v>
      </c>
      <c r="H64" s="38" t="n">
        <v>400446</v>
      </c>
      <c r="I64" s="38" t="n">
        <v>494307</v>
      </c>
      <c r="J64" s="19">
        <f>(I64-H64)/1000</f>
        <v/>
      </c>
      <c r="K64" s="16" t="inlineStr">
        <is>
          <t>Yes</t>
        </is>
      </c>
      <c r="L64" s="16" t="n">
        <v>23</v>
      </c>
      <c r="M64" s="39" t="inlineStr">
        <is>
          <t>- (full trip)</t>
        </is>
      </c>
    </row>
    <row r="65">
      <c r="A65" s="16" t="inlineStr">
        <is>
          <t>16 Jun</t>
        </is>
      </c>
      <c r="B65" s="16" t="inlineStr">
        <is>
          <t>42010</t>
        </is>
      </c>
      <c r="C65" s="16" t="n">
        <v>6095</v>
      </c>
      <c r="D65" s="16" t="n">
        <v>6006</v>
      </c>
      <c r="E65" s="16" t="n">
        <v>4880</v>
      </c>
      <c r="F65" s="38" t="n">
        <v>369962</v>
      </c>
      <c r="G65" s="38" t="n">
        <v>495710</v>
      </c>
      <c r="H65" s="38" t="n">
        <v>400452</v>
      </c>
      <c r="I65" s="38" t="n">
        <v>494310</v>
      </c>
      <c r="J65" s="19">
        <f>(I65-H65)/1000</f>
        <v/>
      </c>
      <c r="K65" s="16" t="inlineStr">
        <is>
          <t>Yes</t>
        </is>
      </c>
      <c r="L65" s="16" t="n">
        <v>23</v>
      </c>
      <c r="M65" s="39" t="inlineStr">
        <is>
          <t>- (full trip)</t>
        </is>
      </c>
    </row>
    <row r="66">
      <c r="A66" s="16" t="inlineStr">
        <is>
          <t>16 Jun</t>
        </is>
      </c>
      <c r="B66" s="16" t="inlineStr">
        <is>
          <t>37560</t>
        </is>
      </c>
      <c r="C66" s="16" t="n">
        <v>3700</v>
      </c>
      <c r="D66" s="16" t="n">
        <v>3698</v>
      </c>
      <c r="E66" s="16" t="n">
        <v>3302</v>
      </c>
      <c r="F66" s="38" t="n">
        <v>374310</v>
      </c>
      <c r="G66" s="38" t="n">
        <v>494296</v>
      </c>
      <c r="H66" s="38" t="n">
        <v>400444</v>
      </c>
      <c r="I66" s="38" t="n">
        <v>494296</v>
      </c>
      <c r="J66" s="19">
        <f>(I66-H66)/1000</f>
        <v/>
      </c>
      <c r="K66" s="16" t="inlineStr">
        <is>
          <t>Yes</t>
        </is>
      </c>
      <c r="L66" s="16" t="n">
        <v>23</v>
      </c>
      <c r="M66" s="39" t="inlineStr">
        <is>
          <t>- (full trip)</t>
        </is>
      </c>
    </row>
    <row r="67">
      <c r="A67" s="16" t="inlineStr">
        <is>
          <t>16 Jun</t>
        </is>
      </c>
      <c r="B67" s="16" t="inlineStr">
        <is>
          <t>37050</t>
        </is>
      </c>
      <c r="C67" s="16" t="n">
        <v>5658</v>
      </c>
      <c r="D67" s="16" t="n">
        <v>5632</v>
      </c>
      <c r="E67" s="16" t="n">
        <v>5421</v>
      </c>
      <c r="F67" s="38" t="n">
        <v>400995</v>
      </c>
      <c r="G67" s="38" t="n">
        <v>494899</v>
      </c>
      <c r="H67" s="38" t="n">
        <v>400995</v>
      </c>
      <c r="I67" s="38" t="n">
        <v>494312</v>
      </c>
      <c r="J67" s="19">
        <f>(I67-H67)/1000</f>
        <v/>
      </c>
      <c r="K67" s="16" t="inlineStr">
        <is>
          <t>Yes</t>
        </is>
      </c>
      <c r="L67" s="16" t="n">
        <v>23</v>
      </c>
      <c r="M67" s="39" t="inlineStr">
        <is>
          <t>- (full trip)</t>
        </is>
      </c>
    </row>
    <row r="68">
      <c r="A68" s="16" t="inlineStr">
        <is>
          <t>16 Jun</t>
        </is>
      </c>
      <c r="B68" s="16" t="inlineStr">
        <is>
          <t>39035</t>
        </is>
      </c>
      <c r="C68" s="16" t="n">
        <v>4753</v>
      </c>
      <c r="D68" s="16" t="n">
        <v>4718</v>
      </c>
      <c r="E68" s="16" t="n">
        <v>4463</v>
      </c>
      <c r="F68" s="38" t="n">
        <v>400991</v>
      </c>
      <c r="G68" s="38" t="n">
        <v>495615</v>
      </c>
      <c r="H68" s="38" t="n">
        <v>400991</v>
      </c>
      <c r="I68" s="38" t="n">
        <v>494304</v>
      </c>
      <c r="J68" s="19">
        <f>(I68-H68)/1000</f>
        <v/>
      </c>
      <c r="K68" s="16" t="inlineStr">
        <is>
          <t>Yes</t>
        </is>
      </c>
      <c r="L68" s="16" t="n">
        <v>23</v>
      </c>
      <c r="M68" s="39" t="inlineStr">
        <is>
          <t>- (full trip)</t>
        </is>
      </c>
    </row>
    <row r="69">
      <c r="A69" s="16" t="inlineStr">
        <is>
          <t>16 Jun</t>
        </is>
      </c>
      <c r="B69" s="16" t="inlineStr">
        <is>
          <t>39235</t>
        </is>
      </c>
      <c r="C69" s="16" t="n">
        <v>9428</v>
      </c>
      <c r="D69" s="16" t="n">
        <v>9428</v>
      </c>
      <c r="E69" s="16" t="n">
        <v>7554</v>
      </c>
      <c r="F69" s="38" t="n">
        <v>375064</v>
      </c>
      <c r="G69" s="38" t="n">
        <v>493463</v>
      </c>
      <c r="H69" s="38" t="n">
        <v>400399</v>
      </c>
      <c r="I69" s="38" t="n">
        <v>493463</v>
      </c>
      <c r="J69" s="19">
        <f>(I69-H69)/1000</f>
        <v/>
      </c>
      <c r="K69" s="16" t="inlineStr">
        <is>
          <t>Yes</t>
        </is>
      </c>
      <c r="L69" s="16" t="n">
        <v>22</v>
      </c>
      <c r="M69" s="39" t="inlineStr">
        <is>
          <t>- (full trip)</t>
        </is>
      </c>
    </row>
    <row r="70">
      <c r="A70" s="16" t="inlineStr">
        <is>
          <t>16 Jun</t>
        </is>
      </c>
      <c r="B70" s="16" t="inlineStr">
        <is>
          <t>30182</t>
        </is>
      </c>
      <c r="C70" s="16" t="n">
        <v>5069</v>
      </c>
      <c r="D70" s="16" t="n">
        <v>5069</v>
      </c>
      <c r="E70" s="16" t="n">
        <v>4013</v>
      </c>
      <c r="F70" s="38" t="n">
        <v>371408</v>
      </c>
      <c r="G70" s="38" t="n">
        <v>492887</v>
      </c>
      <c r="H70" s="38" t="n">
        <v>400398</v>
      </c>
      <c r="I70" s="38" t="n">
        <v>492887</v>
      </c>
      <c r="J70" s="19">
        <f>(I70-H70)/1000</f>
        <v/>
      </c>
      <c r="K70" s="16" t="inlineStr">
        <is>
          <t>Yes</t>
        </is>
      </c>
      <c r="L70" s="16" t="n">
        <v>22</v>
      </c>
      <c r="M70" s="39" t="inlineStr">
        <is>
          <t>- (full trip)</t>
        </is>
      </c>
    </row>
    <row r="71">
      <c r="A71" s="16" t="inlineStr">
        <is>
          <t>16 Jun</t>
        </is>
      </c>
      <c r="B71" s="16" t="inlineStr">
        <is>
          <t>37566</t>
        </is>
      </c>
      <c r="C71" s="16" t="n">
        <v>3773</v>
      </c>
      <c r="D71" s="16" t="n">
        <v>3773</v>
      </c>
      <c r="E71" s="16" t="n">
        <v>3511</v>
      </c>
      <c r="F71" s="38" t="n">
        <v>409034</v>
      </c>
      <c r="G71" s="38" t="n">
        <v>494980</v>
      </c>
      <c r="H71" s="38" t="n">
        <v>409034</v>
      </c>
      <c r="I71" s="38" t="n">
        <v>494311</v>
      </c>
      <c r="J71" s="19">
        <f>(I71-H71)/1000</f>
        <v/>
      </c>
      <c r="K71" s="16" t="inlineStr">
        <is>
          <t>Yes</t>
        </is>
      </c>
      <c r="L71" s="16" t="n">
        <v>22</v>
      </c>
      <c r="M71" s="39" t="inlineStr">
        <is>
          <t>BAJWA</t>
        </is>
      </c>
    </row>
    <row r="72" ht="34" customHeight="1">
      <c r="A72" s="16" t="inlineStr">
        <is>
          <t>16 Jun</t>
        </is>
      </c>
      <c r="B72" s="16" t="inlineStr">
        <is>
          <t>30533</t>
        </is>
      </c>
      <c r="C72" s="16" t="n">
        <v>3895</v>
      </c>
      <c r="D72" s="16" t="n">
        <v>3895</v>
      </c>
      <c r="E72" s="16" t="n">
        <v>3895</v>
      </c>
      <c r="F72" s="38" t="n">
        <v>400991</v>
      </c>
      <c r="G72" s="38" t="n">
        <v>460395</v>
      </c>
      <c r="H72" s="38" t="n">
        <v>400991</v>
      </c>
      <c r="I72" s="38" t="n">
        <v>460395</v>
      </c>
      <c r="J72" s="19">
        <f>(I72-H72)/1000</f>
        <v/>
      </c>
      <c r="K72" s="16" t="inlineStr">
        <is>
          <t>Yes</t>
        </is>
      </c>
      <c r="L72" s="16" t="n">
        <v>14</v>
      </c>
      <c r="M72" s="39" t="inlineStr">
        <is>
          <t>LC-286, MAHEMDABAD AND KHEDA ROAD, LC-294, KANIJ, BAREJADI NANDEJ, GERATPUR, VATVA, KANKARIYA CABIN, AHMEDABAD Jn</t>
        </is>
      </c>
    </row>
    <row r="73" ht="34" customHeight="1">
      <c r="A73" s="16" t="inlineStr">
        <is>
          <t>16 Jun</t>
        </is>
      </c>
      <c r="B73" s="16" t="inlineStr">
        <is>
          <t>37087</t>
        </is>
      </c>
      <c r="C73" s="16" t="n">
        <v>3280</v>
      </c>
      <c r="D73" s="16" t="n">
        <v>3280</v>
      </c>
      <c r="E73" s="16" t="n">
        <v>3059</v>
      </c>
      <c r="F73" s="38" t="n">
        <v>439312</v>
      </c>
      <c r="G73" s="38" t="n">
        <v>495056</v>
      </c>
      <c r="H73" s="38" t="n">
        <v>439312</v>
      </c>
      <c r="I73" s="38" t="n">
        <v>494308</v>
      </c>
      <c r="J73" s="19">
        <f>(I73-H73)/1000</f>
        <v/>
      </c>
      <c r="K73" s="16" t="inlineStr">
        <is>
          <t>Yes</t>
        </is>
      </c>
      <c r="L73" s="16" t="n">
        <v>14</v>
      </c>
      <c r="M73" s="39" t="inlineStr">
        <is>
          <t>BAJWA, RANOLI, LC-246, VASAD, ADAS ROAD, VADOD, LC-258, ANAND Jn, LC-264</t>
        </is>
      </c>
    </row>
    <row r="74" ht="49" customHeight="1">
      <c r="A74" s="16" t="inlineStr">
        <is>
          <t>16 Jun</t>
        </is>
      </c>
      <c r="B74" s="16" t="inlineStr">
        <is>
          <t>39331</t>
        </is>
      </c>
      <c r="C74" s="16" t="n">
        <v>2606</v>
      </c>
      <c r="D74" s="16" t="n">
        <v>2606</v>
      </c>
      <c r="E74" s="16" t="n">
        <v>1048</v>
      </c>
      <c r="F74" s="38" t="n">
        <v>361463</v>
      </c>
      <c r="G74" s="38" t="n">
        <v>452313</v>
      </c>
      <c r="H74" s="38" t="n">
        <v>400493</v>
      </c>
      <c r="I74" s="38" t="n">
        <v>452313</v>
      </c>
      <c r="J74" s="19">
        <f>(I74-H74)/1000</f>
        <v/>
      </c>
      <c r="K74" s="16" t="inlineStr">
        <is>
          <t>Yes</t>
        </is>
      </c>
      <c r="L74" s="16" t="n">
        <v>12</v>
      </c>
      <c r="M74" s="39" t="inlineStr">
        <is>
          <t>LC-278, GOTHAJ, LC-286, MAHEMDABAD AND KHEDA ROAD, LC-294, KANIJ, BAREJADI NANDEJ, GERATPUR, VATVA, KANKARIYA CABIN, AHMEDABAD Jn</t>
        </is>
      </c>
    </row>
    <row r="75" ht="49" customHeight="1">
      <c r="A75" s="16" t="inlineStr">
        <is>
          <t>16 Jun</t>
        </is>
      </c>
      <c r="B75" s="16" t="inlineStr">
        <is>
          <t>37793</t>
        </is>
      </c>
      <c r="C75" s="16" t="n">
        <v>2136</v>
      </c>
      <c r="D75" s="16" t="n">
        <v>2136</v>
      </c>
      <c r="E75" s="16" t="n">
        <v>1298</v>
      </c>
      <c r="F75" s="38" t="n">
        <v>367667</v>
      </c>
      <c r="G75" s="38" t="n">
        <v>440884</v>
      </c>
      <c r="H75" s="38" t="n">
        <v>400495</v>
      </c>
      <c r="I75" s="38" t="n">
        <v>440884</v>
      </c>
      <c r="J75" s="19">
        <f>(I75-H75)/1000</f>
        <v/>
      </c>
      <c r="K75" s="16" t="inlineStr">
        <is>
          <t>Yes</t>
        </is>
      </c>
      <c r="L75" s="16" t="n">
        <v>10</v>
      </c>
      <c r="M75" s="39" t="inlineStr">
        <is>
          <t>UTARSANDA, NADIAD, LC-278, GOTHAJ, LC-286, MAHEMDABAD AND KHEDA ROAD, LC-294, KANIJ, BAREJADI NANDEJ, GERATPUR, VATVA, KANKARIYA CABIN, AHMEDABAD Jn</t>
        </is>
      </c>
    </row>
    <row r="76" ht="49" customHeight="1">
      <c r="A76" s="16" t="inlineStr">
        <is>
          <t>16 Jun</t>
        </is>
      </c>
      <c r="B76" s="16" t="inlineStr">
        <is>
          <t>37548</t>
        </is>
      </c>
      <c r="C76" s="16" t="n">
        <v>1051</v>
      </c>
      <c r="D76" s="16" t="n">
        <v>1051</v>
      </c>
      <c r="E76" s="16" t="n">
        <v>802</v>
      </c>
      <c r="F76" s="38" t="n">
        <v>396123</v>
      </c>
      <c r="G76" s="38" t="n">
        <v>437270</v>
      </c>
      <c r="H76" s="38" t="n">
        <v>400451</v>
      </c>
      <c r="I76" s="38" t="n">
        <v>437270</v>
      </c>
      <c r="J76" s="19">
        <f>(I76-H76)/1000</f>
        <v/>
      </c>
      <c r="K76" s="16" t="inlineStr">
        <is>
          <t>Yes</t>
        </is>
      </c>
      <c r="L76" s="16" t="n">
        <v>10</v>
      </c>
      <c r="M76" s="39" t="inlineStr">
        <is>
          <t>UTARSANDA, NADIAD, LC-278, GOTHAJ, LC-286, MAHEMDABAD AND KHEDA ROAD, LC-294, KANIJ, BAREJADI NANDEJ, GERATPUR, VATVA, KANKARIYA CABIN, AHMEDABAD Jn</t>
        </is>
      </c>
    </row>
    <row r="77" ht="49" customHeight="1">
      <c r="A77" s="16" t="inlineStr">
        <is>
          <t>16 Jun</t>
        </is>
      </c>
      <c r="B77" s="16" t="inlineStr">
        <is>
          <t>30814</t>
        </is>
      </c>
      <c r="C77" s="16" t="n">
        <v>1151</v>
      </c>
      <c r="D77" s="16" t="n">
        <v>1151</v>
      </c>
      <c r="E77" s="16" t="n">
        <v>857</v>
      </c>
      <c r="F77" s="38" t="n">
        <v>395414</v>
      </c>
      <c r="G77" s="38" t="n">
        <v>437191</v>
      </c>
      <c r="H77" s="38" t="n">
        <v>400504</v>
      </c>
      <c r="I77" s="38" t="n">
        <v>437191</v>
      </c>
      <c r="J77" s="19">
        <f>(I77-H77)/1000</f>
        <v/>
      </c>
      <c r="K77" s="16" t="inlineStr">
        <is>
          <t>Yes</t>
        </is>
      </c>
      <c r="L77" s="16" t="n">
        <v>10</v>
      </c>
      <c r="M77" s="39" t="inlineStr">
        <is>
          <t>UTARSANDA, NADIAD, LC-278, GOTHAJ, LC-286, MAHEMDABAD AND KHEDA ROAD, LC-294, KANIJ, BAREJADI NANDEJ, GERATPUR, VATVA, KANKARIYA CABIN, AHMEDABAD Jn</t>
        </is>
      </c>
    </row>
    <row r="78" ht="49" customHeight="1">
      <c r="A78" s="16" t="inlineStr">
        <is>
          <t>16 Jun</t>
        </is>
      </c>
      <c r="B78" s="16" t="inlineStr">
        <is>
          <t>37582</t>
        </is>
      </c>
      <c r="C78" s="16" t="n">
        <v>3259</v>
      </c>
      <c r="D78" s="16" t="n">
        <v>3259</v>
      </c>
      <c r="E78" s="16" t="n">
        <v>1652</v>
      </c>
      <c r="F78" s="38" t="n">
        <v>370099</v>
      </c>
      <c r="G78" s="38" t="n">
        <v>436841</v>
      </c>
      <c r="H78" s="38" t="n">
        <v>400412</v>
      </c>
      <c r="I78" s="38" t="n">
        <v>436841</v>
      </c>
      <c r="J78" s="19">
        <f>(I78-H78)/1000</f>
        <v/>
      </c>
      <c r="K78" s="16" t="inlineStr">
        <is>
          <t>Yes</t>
        </is>
      </c>
      <c r="L78" s="16" t="n">
        <v>10</v>
      </c>
      <c r="M78" s="39" t="inlineStr">
        <is>
          <t>UTARSANDA, NADIAD, LC-278, GOTHAJ, LC-286, MAHEMDABAD AND KHEDA ROAD, LC-294, KANIJ, BAREJADI NANDEJ, GERATPUR, VATVA, KANKARIYA CABIN, AHMEDABAD Jn</t>
        </is>
      </c>
    </row>
    <row r="79" ht="49" customHeight="1">
      <c r="A79" s="16" t="inlineStr">
        <is>
          <t>16 Jun</t>
        </is>
      </c>
      <c r="B79" s="16" t="inlineStr">
        <is>
          <t>30415</t>
        </is>
      </c>
      <c r="C79" s="16" t="n">
        <v>951</v>
      </c>
      <c r="D79" s="16" t="n">
        <v>951</v>
      </c>
      <c r="E79" s="16" t="n">
        <v>951</v>
      </c>
      <c r="F79" s="38" t="n">
        <v>400995</v>
      </c>
      <c r="G79" s="38" t="n">
        <v>436089</v>
      </c>
      <c r="H79" s="38" t="n">
        <v>400995</v>
      </c>
      <c r="I79" s="38" t="n">
        <v>436089</v>
      </c>
      <c r="J79" s="19">
        <f>(I79-H79)/1000</f>
        <v/>
      </c>
      <c r="K79" s="16" t="inlineStr">
        <is>
          <t>Yes</t>
        </is>
      </c>
      <c r="L79" s="16" t="n">
        <v>9</v>
      </c>
      <c r="M79" s="39" t="inlineStr">
        <is>
          <t>KANJARI BORIYAVI, UTARSANDA, NADIAD, LC-278, GOTHAJ, LC-286, MAHEMDABAD AND KHEDA ROAD, LC-294, KANIJ, BAREJADI NANDEJ, GERATPUR, VATVA, KANKARIYA CABIN, AHMEDABAD Jn</t>
        </is>
      </c>
    </row>
    <row r="80" ht="64" customHeight="1">
      <c r="A80" s="16" t="inlineStr">
        <is>
          <t>16 Jun</t>
        </is>
      </c>
      <c r="B80" s="16" t="inlineStr">
        <is>
          <t>37887</t>
        </is>
      </c>
      <c r="C80" s="16" t="n">
        <v>1508</v>
      </c>
      <c r="D80" s="16" t="n">
        <v>1508</v>
      </c>
      <c r="E80" s="16" t="n">
        <v>640</v>
      </c>
      <c r="F80" s="38" t="n">
        <v>370040</v>
      </c>
      <c r="G80" s="38" t="n">
        <v>410961</v>
      </c>
      <c r="H80" s="38" t="n">
        <v>400399</v>
      </c>
      <c r="I80" s="38" t="n">
        <v>410961</v>
      </c>
      <c r="J80" s="19">
        <f>(I80-H80)/1000</f>
        <v/>
      </c>
      <c r="K80" s="16" t="inlineStr">
        <is>
          <t>Yes</t>
        </is>
      </c>
      <c r="L80" s="16" t="n">
        <v>3</v>
      </c>
      <c r="M80" s="39" t="inlineStr">
        <is>
          <t>VASAD, ADAS ROAD, VADOD, LC-258, ANAND Jn, LC-264, KANJARI BORIYAVI, UTARSANDA, NADIAD, LC-278, GOTHAJ, LC-286, MAHEMDABAD AND KHEDA ROAD, LC-294, KANIJ, BAREJADI NANDEJ, GERATPUR, VATVA, KANKARIYA CABIN, AHMEDABAD Jn</t>
        </is>
      </c>
    </row>
    <row r="81" ht="64" customHeight="1">
      <c r="A81" s="16" t="inlineStr">
        <is>
          <t>16 Jun</t>
        </is>
      </c>
      <c r="B81" s="16" t="inlineStr">
        <is>
          <t>30083</t>
        </is>
      </c>
      <c r="C81" s="16" t="n">
        <v>8</v>
      </c>
      <c r="D81" s="16" t="n">
        <v>8</v>
      </c>
      <c r="E81" s="16" t="n">
        <v>7</v>
      </c>
      <c r="F81" s="38" t="n">
        <v>488715</v>
      </c>
      <c r="G81" s="38" t="n">
        <v>494626</v>
      </c>
      <c r="H81" s="38" t="n">
        <v>488715</v>
      </c>
      <c r="I81" s="38" t="n">
        <v>494262</v>
      </c>
      <c r="J81" s="19">
        <f>(I81-H81)/1000</f>
        <v/>
      </c>
      <c r="K81" s="16" t="inlineStr">
        <is>
          <t>Yes</t>
        </is>
      </c>
      <c r="L81" s="16" t="n">
        <v>3</v>
      </c>
      <c r="M81" s="39" t="inlineStr">
        <is>
          <t>BAJWA, RANOLI, LC-246, VASAD, ADAS ROAD, VADOD, LC-258, ANAND Jn, LC-264, KANJARI BORIYAVI, UTARSANDA, NADIAD, LC-278, GOTHAJ, LC-286, MAHEMDABAD AND KHEDA ROAD, LC-294, KANIJ, BAREJADI NANDEJ, GERATPUR</t>
        </is>
      </c>
    </row>
    <row r="82" ht="64" customHeight="1">
      <c r="A82" s="16" t="inlineStr">
        <is>
          <t>16 Jun</t>
        </is>
      </c>
      <c r="B82" s="16" t="inlineStr">
        <is>
          <t>37746</t>
        </is>
      </c>
      <c r="C82" s="16" t="n">
        <v>1095</v>
      </c>
      <c r="D82" s="16" t="n">
        <v>1068</v>
      </c>
      <c r="E82" s="16" t="n">
        <v>281</v>
      </c>
      <c r="F82" s="38" t="n">
        <v>380713</v>
      </c>
      <c r="G82" s="38" t="n">
        <v>402392</v>
      </c>
      <c r="H82" s="38" t="n">
        <v>400412</v>
      </c>
      <c r="I82" s="38" t="n">
        <v>402392</v>
      </c>
      <c r="J82" s="19">
        <f>(I82-H82)/1000</f>
        <v/>
      </c>
      <c r="K82" s="16" t="inlineStr">
        <is>
          <t>Yes</t>
        </is>
      </c>
      <c r="L82" s="16" t="n">
        <v>1</v>
      </c>
      <c r="M82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3" ht="64" customHeight="1">
      <c r="A83" s="34" t="inlineStr">
        <is>
          <t>16 Jun</t>
        </is>
      </c>
      <c r="B83" s="34" t="inlineStr">
        <is>
          <t>120850</t>
        </is>
      </c>
      <c r="C83" s="34" t="n">
        <v>3237</v>
      </c>
      <c r="D83" s="34" t="n">
        <v>3170</v>
      </c>
      <c r="E83" s="34" t="n">
        <v>0</v>
      </c>
      <c r="F83" s="40" t="n">
        <v>510425</v>
      </c>
      <c r="G83" s="40" t="n">
        <v>520095</v>
      </c>
      <c r="H83" s="40" t="inlineStr">
        <is>
          <t>-</t>
        </is>
      </c>
      <c r="I83" s="40" t="inlineStr">
        <is>
          <t>-</t>
        </is>
      </c>
      <c r="J83" s="41" t="n">
        <v>0</v>
      </c>
      <c r="K83" s="34" t="inlineStr">
        <is>
          <t>No</t>
        </is>
      </c>
      <c r="L83" s="34" t="n">
        <v>0</v>
      </c>
      <c r="M8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4" ht="64" customHeight="1">
      <c r="A84" s="34" t="inlineStr">
        <is>
          <t>16 Jun</t>
        </is>
      </c>
      <c r="B84" s="34" t="inlineStr">
        <is>
          <t>30062</t>
        </is>
      </c>
      <c r="C84" s="34" t="n">
        <v>9</v>
      </c>
      <c r="D84" s="34" t="n">
        <v>0</v>
      </c>
      <c r="E84" s="34" t="n">
        <v>0</v>
      </c>
      <c r="F84" s="40" t="inlineStr">
        <is>
          <t>-</t>
        </is>
      </c>
      <c r="G84" s="40" t="inlineStr">
        <is>
          <t>-</t>
        </is>
      </c>
      <c r="H84" s="40" t="inlineStr">
        <is>
          <t>-</t>
        </is>
      </c>
      <c r="I84" s="40" t="inlineStr">
        <is>
          <t>-</t>
        </is>
      </c>
      <c r="J84" s="41" t="n">
        <v>0</v>
      </c>
      <c r="K84" s="34" t="inlineStr">
        <is>
          <t>No</t>
        </is>
      </c>
      <c r="L84" s="34" t="n">
        <v>0</v>
      </c>
      <c r="M8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5" ht="64" customHeight="1">
      <c r="A85" s="34" t="inlineStr">
        <is>
          <t>16 Jun</t>
        </is>
      </c>
      <c r="B85" s="34" t="inlineStr">
        <is>
          <t>30090</t>
        </is>
      </c>
      <c r="C85" s="34" t="n">
        <v>72</v>
      </c>
      <c r="D85" s="34" t="n">
        <v>0</v>
      </c>
      <c r="E85" s="34" t="n">
        <v>0</v>
      </c>
      <c r="F85" s="40" t="inlineStr">
        <is>
          <t>-</t>
        </is>
      </c>
      <c r="G85" s="40" t="inlineStr">
        <is>
          <t>-</t>
        </is>
      </c>
      <c r="H85" s="40" t="inlineStr">
        <is>
          <t>-</t>
        </is>
      </c>
      <c r="I85" s="40" t="inlineStr">
        <is>
          <t>-</t>
        </is>
      </c>
      <c r="J85" s="41" t="n">
        <v>0</v>
      </c>
      <c r="K85" s="34" t="inlineStr">
        <is>
          <t>No</t>
        </is>
      </c>
      <c r="L85" s="34" t="n">
        <v>0</v>
      </c>
      <c r="M8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6" ht="64" customHeight="1">
      <c r="A86" s="34" t="inlineStr">
        <is>
          <t>16 Jun</t>
        </is>
      </c>
      <c r="B86" s="34" t="inlineStr">
        <is>
          <t>30747</t>
        </is>
      </c>
      <c r="C86" s="34" t="n">
        <v>1</v>
      </c>
      <c r="D86" s="34" t="n">
        <v>0</v>
      </c>
      <c r="E86" s="34" t="n">
        <v>0</v>
      </c>
      <c r="F86" s="40" t="inlineStr">
        <is>
          <t>-</t>
        </is>
      </c>
      <c r="G86" s="40" t="inlineStr">
        <is>
          <t>-</t>
        </is>
      </c>
      <c r="H86" s="40" t="inlineStr">
        <is>
          <t>-</t>
        </is>
      </c>
      <c r="I86" s="40" t="inlineStr">
        <is>
          <t>-</t>
        </is>
      </c>
      <c r="J86" s="41" t="n">
        <v>0</v>
      </c>
      <c r="K86" s="34" t="inlineStr">
        <is>
          <t>No</t>
        </is>
      </c>
      <c r="L86" s="34" t="n">
        <v>0</v>
      </c>
      <c r="M8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7" ht="64" customHeight="1">
      <c r="A87" s="34" t="inlineStr">
        <is>
          <t>16 Jun</t>
        </is>
      </c>
      <c r="B87" s="34" t="inlineStr">
        <is>
          <t>37019</t>
        </is>
      </c>
      <c r="C87" s="34" t="n">
        <v>6</v>
      </c>
      <c r="D87" s="34" t="n">
        <v>0</v>
      </c>
      <c r="E87" s="34" t="n">
        <v>0</v>
      </c>
      <c r="F87" s="40" t="inlineStr">
        <is>
          <t>-</t>
        </is>
      </c>
      <c r="G87" s="40" t="inlineStr">
        <is>
          <t>-</t>
        </is>
      </c>
      <c r="H87" s="40" t="inlineStr">
        <is>
          <t>-</t>
        </is>
      </c>
      <c r="I87" s="40" t="inlineStr">
        <is>
          <t>-</t>
        </is>
      </c>
      <c r="J87" s="41" t="n">
        <v>0</v>
      </c>
      <c r="K87" s="34" t="inlineStr">
        <is>
          <t>No</t>
        </is>
      </c>
      <c r="L87" s="34" t="n">
        <v>0</v>
      </c>
      <c r="M8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8" ht="64" customHeight="1">
      <c r="A88" s="34" t="inlineStr">
        <is>
          <t>16 Jun</t>
        </is>
      </c>
      <c r="B88" s="34" t="inlineStr">
        <is>
          <t>37291</t>
        </is>
      </c>
      <c r="C88" s="34" t="n">
        <v>4</v>
      </c>
      <c r="D88" s="34" t="n">
        <v>0</v>
      </c>
      <c r="E88" s="34" t="n">
        <v>0</v>
      </c>
      <c r="F88" s="40" t="inlineStr">
        <is>
          <t>-</t>
        </is>
      </c>
      <c r="G88" s="40" t="inlineStr">
        <is>
          <t>-</t>
        </is>
      </c>
      <c r="H88" s="40" t="inlineStr">
        <is>
          <t>-</t>
        </is>
      </c>
      <c r="I88" s="40" t="inlineStr">
        <is>
          <t>-</t>
        </is>
      </c>
      <c r="J88" s="41" t="n">
        <v>0</v>
      </c>
      <c r="K88" s="34" t="inlineStr">
        <is>
          <t>No</t>
        </is>
      </c>
      <c r="L88" s="34" t="n">
        <v>0</v>
      </c>
      <c r="M8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9" ht="64" customHeight="1">
      <c r="A89" s="34" t="inlineStr">
        <is>
          <t>16 Jun</t>
        </is>
      </c>
      <c r="B89" s="34" t="inlineStr">
        <is>
          <t>37337</t>
        </is>
      </c>
      <c r="C89" s="34" t="n">
        <v>288</v>
      </c>
      <c r="D89" s="34" t="n">
        <v>288</v>
      </c>
      <c r="E89" s="34" t="n">
        <v>0</v>
      </c>
      <c r="F89" s="40" t="n">
        <v>370391</v>
      </c>
      <c r="G89" s="40" t="n">
        <v>395200</v>
      </c>
      <c r="H89" s="40" t="inlineStr">
        <is>
          <t>-</t>
        </is>
      </c>
      <c r="I89" s="40" t="inlineStr">
        <is>
          <t>-</t>
        </is>
      </c>
      <c r="J89" s="41" t="n">
        <v>0</v>
      </c>
      <c r="K89" s="34" t="inlineStr">
        <is>
          <t>No</t>
        </is>
      </c>
      <c r="L89" s="34" t="n">
        <v>0</v>
      </c>
      <c r="M8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90" ht="64" customHeight="1">
      <c r="A90" s="34" t="inlineStr">
        <is>
          <t>16 Jun</t>
        </is>
      </c>
      <c r="B90" s="34" t="inlineStr">
        <is>
          <t>37478</t>
        </is>
      </c>
      <c r="C90" s="34" t="n">
        <v>6</v>
      </c>
      <c r="D90" s="34" t="n">
        <v>0</v>
      </c>
      <c r="E90" s="34" t="n">
        <v>0</v>
      </c>
      <c r="F90" s="40" t="inlineStr">
        <is>
          <t>-</t>
        </is>
      </c>
      <c r="G90" s="40" t="inlineStr">
        <is>
          <t>-</t>
        </is>
      </c>
      <c r="H90" s="40" t="inlineStr">
        <is>
          <t>-</t>
        </is>
      </c>
      <c r="I90" s="40" t="inlineStr">
        <is>
          <t>-</t>
        </is>
      </c>
      <c r="J90" s="41" t="n">
        <v>0</v>
      </c>
      <c r="K90" s="34" t="inlineStr">
        <is>
          <t>No</t>
        </is>
      </c>
      <c r="L90" s="34" t="n">
        <v>0</v>
      </c>
      <c r="M9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91" ht="64" customHeight="1">
      <c r="A91" s="34" t="inlineStr">
        <is>
          <t>16 Jun</t>
        </is>
      </c>
      <c r="B91" s="34" t="inlineStr">
        <is>
          <t>37569</t>
        </is>
      </c>
      <c r="C91" s="34" t="n">
        <v>13</v>
      </c>
      <c r="D91" s="34" t="n">
        <v>0</v>
      </c>
      <c r="E91" s="34" t="n">
        <v>0</v>
      </c>
      <c r="F91" s="40" t="inlineStr">
        <is>
          <t>-</t>
        </is>
      </c>
      <c r="G91" s="40" t="inlineStr">
        <is>
          <t>-</t>
        </is>
      </c>
      <c r="H91" s="40" t="inlineStr">
        <is>
          <t>-</t>
        </is>
      </c>
      <c r="I91" s="40" t="inlineStr">
        <is>
          <t>-</t>
        </is>
      </c>
      <c r="J91" s="41" t="n">
        <v>0</v>
      </c>
      <c r="K91" s="34" t="inlineStr">
        <is>
          <t>No</t>
        </is>
      </c>
      <c r="L91" s="34" t="n">
        <v>0</v>
      </c>
      <c r="M9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92" ht="64" customHeight="1">
      <c r="A92" s="34" t="inlineStr">
        <is>
          <t>16 Jun</t>
        </is>
      </c>
      <c r="B92" s="34" t="inlineStr">
        <is>
          <t>37813</t>
        </is>
      </c>
      <c r="C92" s="34" t="n">
        <v>425</v>
      </c>
      <c r="D92" s="34" t="n">
        <v>425</v>
      </c>
      <c r="E92" s="34" t="n">
        <v>0</v>
      </c>
      <c r="F92" s="40" t="n">
        <v>370020</v>
      </c>
      <c r="G92" s="40" t="n">
        <v>395930</v>
      </c>
      <c r="H92" s="40" t="inlineStr">
        <is>
          <t>-</t>
        </is>
      </c>
      <c r="I92" s="40" t="inlineStr">
        <is>
          <t>-</t>
        </is>
      </c>
      <c r="J92" s="41" t="n">
        <v>0</v>
      </c>
      <c r="K92" s="34" t="inlineStr">
        <is>
          <t>No</t>
        </is>
      </c>
      <c r="L92" s="34" t="n">
        <v>0</v>
      </c>
      <c r="M9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93" ht="64" customHeight="1">
      <c r="A93" s="34" t="inlineStr">
        <is>
          <t>16 Jun</t>
        </is>
      </c>
      <c r="B93" s="34" t="inlineStr">
        <is>
          <t>39308</t>
        </is>
      </c>
      <c r="C93" s="34" t="n">
        <v>51</v>
      </c>
      <c r="D93" s="34" t="n">
        <v>51</v>
      </c>
      <c r="E93" s="34" t="n">
        <v>0</v>
      </c>
      <c r="F93" s="40" t="n">
        <v>361620</v>
      </c>
      <c r="G93" s="40" t="n">
        <v>382879</v>
      </c>
      <c r="H93" s="40" t="inlineStr">
        <is>
          <t>-</t>
        </is>
      </c>
      <c r="I93" s="40" t="inlineStr">
        <is>
          <t>-</t>
        </is>
      </c>
      <c r="J93" s="41" t="n">
        <v>0</v>
      </c>
      <c r="K93" s="34" t="inlineStr">
        <is>
          <t>No</t>
        </is>
      </c>
      <c r="L93" s="34" t="n">
        <v>0</v>
      </c>
      <c r="M9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94" ht="64" customHeight="1">
      <c r="A94" s="34" t="inlineStr">
        <is>
          <t>16 Jun</t>
        </is>
      </c>
      <c r="B94" s="34" t="inlineStr">
        <is>
          <t>41908</t>
        </is>
      </c>
      <c r="C94" s="34" t="n">
        <v>16</v>
      </c>
      <c r="D94" s="34" t="n">
        <v>0</v>
      </c>
      <c r="E94" s="34" t="n">
        <v>0</v>
      </c>
      <c r="F94" s="40" t="inlineStr">
        <is>
          <t>-</t>
        </is>
      </c>
      <c r="G94" s="40" t="inlineStr">
        <is>
          <t>-</t>
        </is>
      </c>
      <c r="H94" s="40" t="inlineStr">
        <is>
          <t>-</t>
        </is>
      </c>
      <c r="I94" s="40" t="inlineStr">
        <is>
          <t>-</t>
        </is>
      </c>
      <c r="J94" s="41" t="n">
        <v>0</v>
      </c>
      <c r="K94" s="34" t="inlineStr">
        <is>
          <t>No</t>
        </is>
      </c>
      <c r="L94" s="34" t="n">
        <v>0</v>
      </c>
      <c r="M9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95" ht="64" customHeight="1">
      <c r="A95" s="34" t="inlineStr">
        <is>
          <t>16 Jun</t>
        </is>
      </c>
      <c r="B95" s="34" t="inlineStr">
        <is>
          <t>43881</t>
        </is>
      </c>
      <c r="C95" s="34" t="n">
        <v>6</v>
      </c>
      <c r="D95" s="34" t="n">
        <v>0</v>
      </c>
      <c r="E95" s="34" t="n">
        <v>0</v>
      </c>
      <c r="F95" s="40" t="inlineStr">
        <is>
          <t>-</t>
        </is>
      </c>
      <c r="G95" s="40" t="inlineStr">
        <is>
          <t>-</t>
        </is>
      </c>
      <c r="H95" s="40" t="inlineStr">
        <is>
          <t>-</t>
        </is>
      </c>
      <c r="I95" s="40" t="inlineStr">
        <is>
          <t>-</t>
        </is>
      </c>
      <c r="J95" s="41" t="n">
        <v>0</v>
      </c>
      <c r="K95" s="34" t="inlineStr">
        <is>
          <t>No</t>
        </is>
      </c>
      <c r="L95" s="34" t="n">
        <v>0</v>
      </c>
      <c r="M9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96">
      <c r="A96" s="16" t="inlineStr">
        <is>
          <t>17 Jun</t>
        </is>
      </c>
      <c r="B96" s="16" t="inlineStr">
        <is>
          <t>37884</t>
        </is>
      </c>
      <c r="C96" s="16" t="n">
        <v>6425</v>
      </c>
      <c r="D96" s="16" t="n">
        <v>6425</v>
      </c>
      <c r="E96" s="16" t="n">
        <v>5326</v>
      </c>
      <c r="F96" s="38" t="n">
        <v>375189</v>
      </c>
      <c r="G96" s="38" t="n">
        <v>494966</v>
      </c>
      <c r="H96" s="38" t="n">
        <v>400401</v>
      </c>
      <c r="I96" s="38" t="n">
        <v>494311</v>
      </c>
      <c r="J96" s="19">
        <f>(I96-H96)/1000</f>
        <v/>
      </c>
      <c r="K96" s="16" t="inlineStr">
        <is>
          <t>Yes</t>
        </is>
      </c>
      <c r="L96" s="16" t="n">
        <v>23</v>
      </c>
      <c r="M96" s="39" t="inlineStr">
        <is>
          <t>- (full trip)</t>
        </is>
      </c>
    </row>
    <row r="97">
      <c r="A97" s="16" t="inlineStr">
        <is>
          <t>17 Jun</t>
        </is>
      </c>
      <c r="B97" s="16" t="inlineStr">
        <is>
          <t>39260</t>
        </is>
      </c>
      <c r="C97" s="16" t="n">
        <v>7027</v>
      </c>
      <c r="D97" s="16" t="n">
        <v>7027</v>
      </c>
      <c r="E97" s="16" t="n">
        <v>4870</v>
      </c>
      <c r="F97" s="38" t="n">
        <v>368399</v>
      </c>
      <c r="G97" s="38" t="n">
        <v>495807</v>
      </c>
      <c r="H97" s="38" t="n">
        <v>400399</v>
      </c>
      <c r="I97" s="38" t="n">
        <v>494309</v>
      </c>
      <c r="J97" s="19">
        <f>(I97-H97)/1000</f>
        <v/>
      </c>
      <c r="K97" s="16" t="inlineStr">
        <is>
          <t>Yes</t>
        </is>
      </c>
      <c r="L97" s="16" t="n">
        <v>23</v>
      </c>
      <c r="M97" s="39" t="inlineStr">
        <is>
          <t>- (full trip)</t>
        </is>
      </c>
    </row>
    <row r="98">
      <c r="A98" s="16" t="inlineStr">
        <is>
          <t>17 Jun</t>
        </is>
      </c>
      <c r="B98" s="16" t="inlineStr">
        <is>
          <t>30470</t>
        </is>
      </c>
      <c r="C98" s="16" t="n">
        <v>4763</v>
      </c>
      <c r="D98" s="16" t="n">
        <v>4763</v>
      </c>
      <c r="E98" s="16" t="n">
        <v>4026</v>
      </c>
      <c r="F98" s="38" t="n">
        <v>370442</v>
      </c>
      <c r="G98" s="38" t="n">
        <v>495803</v>
      </c>
      <c r="H98" s="38" t="n">
        <v>400411</v>
      </c>
      <c r="I98" s="38" t="n">
        <v>494312</v>
      </c>
      <c r="J98" s="19">
        <f>(I98-H98)/1000</f>
        <v/>
      </c>
      <c r="K98" s="16" t="inlineStr">
        <is>
          <t>Yes</t>
        </is>
      </c>
      <c r="L98" s="16" t="n">
        <v>23</v>
      </c>
      <c r="M98" s="39" t="inlineStr">
        <is>
          <t>- (full trip)</t>
        </is>
      </c>
    </row>
    <row r="99">
      <c r="A99" s="16" t="inlineStr">
        <is>
          <t>17 Jun</t>
        </is>
      </c>
      <c r="B99" s="16" t="inlineStr">
        <is>
          <t>30664</t>
        </is>
      </c>
      <c r="C99" s="16" t="n">
        <v>2061</v>
      </c>
      <c r="D99" s="16" t="n">
        <v>2055</v>
      </c>
      <c r="E99" s="16" t="n">
        <v>1696</v>
      </c>
      <c r="F99" s="38" t="n">
        <v>170920</v>
      </c>
      <c r="G99" s="38" t="n">
        <v>495736</v>
      </c>
      <c r="H99" s="38" t="n">
        <v>400399</v>
      </c>
      <c r="I99" s="38" t="n">
        <v>494301</v>
      </c>
      <c r="J99" s="19">
        <f>(I99-H99)/1000</f>
        <v/>
      </c>
      <c r="K99" s="16" t="inlineStr">
        <is>
          <t>Yes</t>
        </is>
      </c>
      <c r="L99" s="16" t="n">
        <v>23</v>
      </c>
      <c r="M99" s="39" t="inlineStr">
        <is>
          <t>- (full trip)</t>
        </is>
      </c>
    </row>
    <row r="100">
      <c r="A100" s="16" t="inlineStr">
        <is>
          <t>17 Jun</t>
        </is>
      </c>
      <c r="B100" s="16" t="inlineStr">
        <is>
          <t>37087</t>
        </is>
      </c>
      <c r="C100" s="16" t="n">
        <v>8062</v>
      </c>
      <c r="D100" s="16" t="n">
        <v>8062</v>
      </c>
      <c r="E100" s="16" t="n">
        <v>6433</v>
      </c>
      <c r="F100" s="38" t="n">
        <v>367661</v>
      </c>
      <c r="G100" s="38" t="n">
        <v>495597</v>
      </c>
      <c r="H100" s="38" t="n">
        <v>400407</v>
      </c>
      <c r="I100" s="38" t="n">
        <v>494311</v>
      </c>
      <c r="J100" s="19">
        <f>(I100-H100)/1000</f>
        <v/>
      </c>
      <c r="K100" s="16" t="inlineStr">
        <is>
          <t>Yes</t>
        </is>
      </c>
      <c r="L100" s="16" t="n">
        <v>23</v>
      </c>
      <c r="M100" s="39" t="inlineStr">
        <is>
          <t>- (full trip)</t>
        </is>
      </c>
    </row>
    <row r="101">
      <c r="A101" s="16" t="inlineStr">
        <is>
          <t>17 Jun</t>
        </is>
      </c>
      <c r="B101" s="16" t="inlineStr">
        <is>
          <t>37277</t>
        </is>
      </c>
      <c r="C101" s="16" t="n">
        <v>10219</v>
      </c>
      <c r="D101" s="16" t="n">
        <v>10219</v>
      </c>
      <c r="E101" s="16" t="n">
        <v>8403</v>
      </c>
      <c r="F101" s="38" t="n">
        <v>368129</v>
      </c>
      <c r="G101" s="38" t="n">
        <v>495807</v>
      </c>
      <c r="H101" s="38" t="n">
        <v>400410</v>
      </c>
      <c r="I101" s="38" t="n">
        <v>494312</v>
      </c>
      <c r="J101" s="19">
        <f>(I101-H101)/1000</f>
        <v/>
      </c>
      <c r="K101" s="16" t="inlineStr">
        <is>
          <t>Yes</t>
        </is>
      </c>
      <c r="L101" s="16" t="n">
        <v>23</v>
      </c>
      <c r="M101" s="39" t="inlineStr">
        <is>
          <t>- (full trip)</t>
        </is>
      </c>
    </row>
    <row r="102">
      <c r="A102" s="16" t="inlineStr">
        <is>
          <t>17 Jun</t>
        </is>
      </c>
      <c r="B102" s="16" t="inlineStr">
        <is>
          <t>37350</t>
        </is>
      </c>
      <c r="C102" s="16" t="n">
        <v>8682</v>
      </c>
      <c r="D102" s="16" t="n">
        <v>8682</v>
      </c>
      <c r="E102" s="16" t="n">
        <v>7145</v>
      </c>
      <c r="F102" s="38" t="n">
        <v>374751</v>
      </c>
      <c r="G102" s="38" t="n">
        <v>495822</v>
      </c>
      <c r="H102" s="38" t="n">
        <v>400412</v>
      </c>
      <c r="I102" s="38" t="n">
        <v>494312</v>
      </c>
      <c r="J102" s="19">
        <f>(I102-H102)/1000</f>
        <v/>
      </c>
      <c r="K102" s="16" t="inlineStr">
        <is>
          <t>Yes</t>
        </is>
      </c>
      <c r="L102" s="16" t="n">
        <v>23</v>
      </c>
      <c r="M102" s="39" t="inlineStr">
        <is>
          <t>- (full trip)</t>
        </is>
      </c>
    </row>
    <row r="103">
      <c r="A103" s="16" t="inlineStr">
        <is>
          <t>17 Jun</t>
        </is>
      </c>
      <c r="B103" s="16" t="inlineStr">
        <is>
          <t>39066</t>
        </is>
      </c>
      <c r="C103" s="16" t="n">
        <v>6029</v>
      </c>
      <c r="D103" s="16" t="n">
        <v>6029</v>
      </c>
      <c r="E103" s="16" t="n">
        <v>4877</v>
      </c>
      <c r="F103" s="38" t="n">
        <v>374194</v>
      </c>
      <c r="G103" s="38" t="n">
        <v>494981</v>
      </c>
      <c r="H103" s="38" t="n">
        <v>400408</v>
      </c>
      <c r="I103" s="38" t="n">
        <v>494312</v>
      </c>
      <c r="J103" s="19">
        <f>(I103-H103)/1000</f>
        <v/>
      </c>
      <c r="K103" s="16" t="inlineStr">
        <is>
          <t>Yes</t>
        </is>
      </c>
      <c r="L103" s="16" t="n">
        <v>23</v>
      </c>
      <c r="M103" s="39" t="inlineStr">
        <is>
          <t>- (full trip)</t>
        </is>
      </c>
    </row>
    <row r="104">
      <c r="A104" s="16" t="inlineStr">
        <is>
          <t>17 Jun</t>
        </is>
      </c>
      <c r="B104" s="16" t="inlineStr">
        <is>
          <t>39131</t>
        </is>
      </c>
      <c r="C104" s="16" t="n">
        <v>5580</v>
      </c>
      <c r="D104" s="16" t="n">
        <v>5580</v>
      </c>
      <c r="E104" s="16" t="n">
        <v>4289</v>
      </c>
      <c r="F104" s="38" t="n">
        <v>370437</v>
      </c>
      <c r="G104" s="38" t="n">
        <v>495009</v>
      </c>
      <c r="H104" s="38" t="n">
        <v>400408</v>
      </c>
      <c r="I104" s="38" t="n">
        <v>494312</v>
      </c>
      <c r="J104" s="19">
        <f>(I104-H104)/1000</f>
        <v/>
      </c>
      <c r="K104" s="16" t="inlineStr">
        <is>
          <t>Yes</t>
        </is>
      </c>
      <c r="L104" s="16" t="n">
        <v>23</v>
      </c>
      <c r="M104" s="39" t="inlineStr">
        <is>
          <t>- (full trip)</t>
        </is>
      </c>
    </row>
    <row r="105">
      <c r="A105" s="16" t="inlineStr">
        <is>
          <t>17 Jun</t>
        </is>
      </c>
      <c r="B105" s="16" t="inlineStr">
        <is>
          <t>39236</t>
        </is>
      </c>
      <c r="C105" s="16" t="n">
        <v>5029</v>
      </c>
      <c r="D105" s="16" t="n">
        <v>5029</v>
      </c>
      <c r="E105" s="16" t="n">
        <v>4106</v>
      </c>
      <c r="F105" s="38" t="n">
        <v>370047</v>
      </c>
      <c r="G105" s="38" t="n">
        <v>494947</v>
      </c>
      <c r="H105" s="38" t="n">
        <v>400409</v>
      </c>
      <c r="I105" s="38" t="n">
        <v>494311</v>
      </c>
      <c r="J105" s="19">
        <f>(I105-H105)/1000</f>
        <v/>
      </c>
      <c r="K105" s="16" t="inlineStr">
        <is>
          <t>Yes</t>
        </is>
      </c>
      <c r="L105" s="16" t="n">
        <v>23</v>
      </c>
      <c r="M105" s="39" t="inlineStr">
        <is>
          <t>- (full trip)</t>
        </is>
      </c>
    </row>
    <row r="106">
      <c r="A106" s="16" t="inlineStr">
        <is>
          <t>17 Jun</t>
        </is>
      </c>
      <c r="B106" s="16" t="inlineStr">
        <is>
          <t>30314</t>
        </is>
      </c>
      <c r="C106" s="16" t="n">
        <v>4486</v>
      </c>
      <c r="D106" s="16" t="n">
        <v>4486</v>
      </c>
      <c r="E106" s="16" t="n">
        <v>3654</v>
      </c>
      <c r="F106" s="38" t="n">
        <v>380727</v>
      </c>
      <c r="G106" s="38" t="n">
        <v>494968</v>
      </c>
      <c r="H106" s="38" t="n">
        <v>400420</v>
      </c>
      <c r="I106" s="38" t="n">
        <v>494312</v>
      </c>
      <c r="J106" s="19">
        <f>(I106-H106)/1000</f>
        <v/>
      </c>
      <c r="K106" s="16" t="inlineStr">
        <is>
          <t>Yes</t>
        </is>
      </c>
      <c r="L106" s="16" t="n">
        <v>23</v>
      </c>
      <c r="M106" s="39" t="inlineStr">
        <is>
          <t>- (full trip)</t>
        </is>
      </c>
    </row>
    <row r="107">
      <c r="A107" s="16" t="inlineStr">
        <is>
          <t>17 Jun</t>
        </is>
      </c>
      <c r="B107" s="16" t="inlineStr">
        <is>
          <t>39412</t>
        </is>
      </c>
      <c r="C107" s="16" t="n">
        <v>5448</v>
      </c>
      <c r="D107" s="16" t="n">
        <v>5420</v>
      </c>
      <c r="E107" s="16" t="n">
        <v>4182</v>
      </c>
      <c r="F107" s="38" t="n">
        <v>375638</v>
      </c>
      <c r="G107" s="38" t="n">
        <v>494973</v>
      </c>
      <c r="H107" s="38" t="n">
        <v>400416</v>
      </c>
      <c r="I107" s="38" t="n">
        <v>494311</v>
      </c>
      <c r="J107" s="19">
        <f>(I107-H107)/1000</f>
        <v/>
      </c>
      <c r="K107" s="16" t="inlineStr">
        <is>
          <t>Yes</t>
        </is>
      </c>
      <c r="L107" s="16" t="n">
        <v>23</v>
      </c>
      <c r="M107" s="39" t="inlineStr">
        <is>
          <t>- (full trip)</t>
        </is>
      </c>
    </row>
    <row r="108">
      <c r="A108" s="16" t="inlineStr">
        <is>
          <t>17 Jun</t>
        </is>
      </c>
      <c r="B108" s="16" t="inlineStr">
        <is>
          <t>30473</t>
        </is>
      </c>
      <c r="C108" s="16" t="n">
        <v>11106</v>
      </c>
      <c r="D108" s="16" t="n">
        <v>11106</v>
      </c>
      <c r="E108" s="16" t="n">
        <v>9139</v>
      </c>
      <c r="F108" s="38" t="n">
        <v>369634</v>
      </c>
      <c r="G108" s="38" t="n">
        <v>495809</v>
      </c>
      <c r="H108" s="38" t="n">
        <v>400426</v>
      </c>
      <c r="I108" s="38" t="n">
        <v>494310</v>
      </c>
      <c r="J108" s="19">
        <f>(I108-H108)/1000</f>
        <v/>
      </c>
      <c r="K108" s="16" t="inlineStr">
        <is>
          <t>Yes</t>
        </is>
      </c>
      <c r="L108" s="16" t="n">
        <v>23</v>
      </c>
      <c r="M108" s="39" t="inlineStr">
        <is>
          <t>- (full trip)</t>
        </is>
      </c>
    </row>
    <row r="109">
      <c r="A109" s="16" t="inlineStr">
        <is>
          <t>17 Jun</t>
        </is>
      </c>
      <c r="B109" s="16" t="inlineStr">
        <is>
          <t>30520</t>
        </is>
      </c>
      <c r="C109" s="16" t="n">
        <v>4824</v>
      </c>
      <c r="D109" s="16" t="n">
        <v>4799</v>
      </c>
      <c r="E109" s="16" t="n">
        <v>3706</v>
      </c>
      <c r="F109" s="38" t="n">
        <v>375712</v>
      </c>
      <c r="G109" s="38" t="n">
        <v>494902</v>
      </c>
      <c r="H109" s="38" t="n">
        <v>400434</v>
      </c>
      <c r="I109" s="38" t="n">
        <v>494311</v>
      </c>
      <c r="J109" s="19">
        <f>(I109-H109)/1000</f>
        <v/>
      </c>
      <c r="K109" s="16" t="inlineStr">
        <is>
          <t>Yes</t>
        </is>
      </c>
      <c r="L109" s="16" t="n">
        <v>23</v>
      </c>
      <c r="M109" s="39" t="inlineStr">
        <is>
          <t>- (full trip)</t>
        </is>
      </c>
    </row>
    <row r="110">
      <c r="A110" s="16" t="inlineStr">
        <is>
          <t>17 Jun</t>
        </is>
      </c>
      <c r="B110" s="16" t="inlineStr">
        <is>
          <t>37217</t>
        </is>
      </c>
      <c r="C110" s="16" t="n">
        <v>4314</v>
      </c>
      <c r="D110" s="16" t="n">
        <v>4314</v>
      </c>
      <c r="E110" s="16" t="n">
        <v>3361</v>
      </c>
      <c r="F110" s="38" t="n">
        <v>370205</v>
      </c>
      <c r="G110" s="38" t="n">
        <v>494981</v>
      </c>
      <c r="H110" s="38" t="n">
        <v>400436</v>
      </c>
      <c r="I110" s="38" t="n">
        <v>494312</v>
      </c>
      <c r="J110" s="19">
        <f>(I110-H110)/1000</f>
        <v/>
      </c>
      <c r="K110" s="16" t="inlineStr">
        <is>
          <t>Yes</t>
        </is>
      </c>
      <c r="L110" s="16" t="n">
        <v>23</v>
      </c>
      <c r="M110" s="39" t="inlineStr">
        <is>
          <t>- (full trip)</t>
        </is>
      </c>
    </row>
    <row r="111">
      <c r="A111" s="16" t="inlineStr">
        <is>
          <t>17 Jun</t>
        </is>
      </c>
      <c r="B111" s="16" t="inlineStr">
        <is>
          <t>37337</t>
        </is>
      </c>
      <c r="C111" s="16" t="n">
        <v>8820</v>
      </c>
      <c r="D111" s="16" t="n">
        <v>8820</v>
      </c>
      <c r="E111" s="16" t="n">
        <v>7125</v>
      </c>
      <c r="F111" s="38" t="n">
        <v>370068</v>
      </c>
      <c r="G111" s="38" t="n">
        <v>495798</v>
      </c>
      <c r="H111" s="38" t="n">
        <v>400428</v>
      </c>
      <c r="I111" s="38" t="n">
        <v>494310</v>
      </c>
      <c r="J111" s="19">
        <f>(I111-H111)/1000</f>
        <v/>
      </c>
      <c r="K111" s="16" t="inlineStr">
        <is>
          <t>Yes</t>
        </is>
      </c>
      <c r="L111" s="16" t="n">
        <v>23</v>
      </c>
      <c r="M111" s="39" t="inlineStr">
        <is>
          <t>- (full trip)</t>
        </is>
      </c>
    </row>
    <row r="112">
      <c r="A112" s="16" t="inlineStr">
        <is>
          <t>17 Jun</t>
        </is>
      </c>
      <c r="B112" s="16" t="inlineStr">
        <is>
          <t>30480</t>
        </is>
      </c>
      <c r="C112" s="16" t="n">
        <v>5069</v>
      </c>
      <c r="D112" s="16" t="n">
        <v>5069</v>
      </c>
      <c r="E112" s="16" t="n">
        <v>4074</v>
      </c>
      <c r="F112" s="38" t="n">
        <v>370103</v>
      </c>
      <c r="G112" s="38" t="n">
        <v>495807</v>
      </c>
      <c r="H112" s="38" t="n">
        <v>400476</v>
      </c>
      <c r="I112" s="38" t="n">
        <v>494309</v>
      </c>
      <c r="J112" s="19">
        <f>(I112-H112)/1000</f>
        <v/>
      </c>
      <c r="K112" s="16" t="inlineStr">
        <is>
          <t>Yes</t>
        </is>
      </c>
      <c r="L112" s="16" t="n">
        <v>23</v>
      </c>
      <c r="M112" s="39" t="inlineStr">
        <is>
          <t>- (full trip)</t>
        </is>
      </c>
    </row>
    <row r="113">
      <c r="A113" s="16" t="inlineStr">
        <is>
          <t>17 Jun</t>
        </is>
      </c>
      <c r="B113" s="16" t="inlineStr">
        <is>
          <t>37818</t>
        </is>
      </c>
      <c r="C113" s="16" t="n">
        <v>11840</v>
      </c>
      <c r="D113" s="16" t="n">
        <v>11816</v>
      </c>
      <c r="E113" s="16" t="n">
        <v>11238</v>
      </c>
      <c r="F113" s="38" t="n">
        <v>400992</v>
      </c>
      <c r="G113" s="38" t="n">
        <v>495710</v>
      </c>
      <c r="H113" s="38" t="n">
        <v>400992</v>
      </c>
      <c r="I113" s="38" t="n">
        <v>494311</v>
      </c>
      <c r="J113" s="19">
        <f>(I113-H113)/1000</f>
        <v/>
      </c>
      <c r="K113" s="16" t="inlineStr">
        <is>
          <t>Yes</t>
        </is>
      </c>
      <c r="L113" s="16" t="n">
        <v>23</v>
      </c>
      <c r="M113" s="39" t="inlineStr">
        <is>
          <t>- (full trip)</t>
        </is>
      </c>
    </row>
    <row r="114">
      <c r="A114" s="16" t="inlineStr">
        <is>
          <t>17 Jun</t>
        </is>
      </c>
      <c r="B114" s="16" t="inlineStr">
        <is>
          <t>37086</t>
        </is>
      </c>
      <c r="C114" s="16" t="n">
        <v>8016</v>
      </c>
      <c r="D114" s="16" t="n">
        <v>8016</v>
      </c>
      <c r="E114" s="16" t="n">
        <v>7681</v>
      </c>
      <c r="F114" s="38" t="n">
        <v>400995</v>
      </c>
      <c r="G114" s="38" t="n">
        <v>495785</v>
      </c>
      <c r="H114" s="38" t="n">
        <v>400995</v>
      </c>
      <c r="I114" s="38" t="n">
        <v>494308</v>
      </c>
      <c r="J114" s="19">
        <f>(I114-H114)/1000</f>
        <v/>
      </c>
      <c r="K114" s="16" t="inlineStr">
        <is>
          <t>Yes</t>
        </is>
      </c>
      <c r="L114" s="16" t="n">
        <v>23</v>
      </c>
      <c r="M114" s="39" t="inlineStr">
        <is>
          <t>- (full trip)</t>
        </is>
      </c>
    </row>
    <row r="115">
      <c r="A115" s="16" t="inlineStr">
        <is>
          <t>17 Jun</t>
        </is>
      </c>
      <c r="B115" s="16" t="inlineStr">
        <is>
          <t>37560</t>
        </is>
      </c>
      <c r="C115" s="16" t="n">
        <v>5875</v>
      </c>
      <c r="D115" s="16" t="n">
        <v>5848</v>
      </c>
      <c r="E115" s="16" t="n">
        <v>5623</v>
      </c>
      <c r="F115" s="38" t="n">
        <v>400996</v>
      </c>
      <c r="G115" s="38" t="n">
        <v>494901</v>
      </c>
      <c r="H115" s="38" t="n">
        <v>400996</v>
      </c>
      <c r="I115" s="38" t="n">
        <v>494310</v>
      </c>
      <c r="J115" s="19">
        <f>(I115-H115)/1000</f>
        <v/>
      </c>
      <c r="K115" s="16" t="inlineStr">
        <is>
          <t>Yes</t>
        </is>
      </c>
      <c r="L115" s="16" t="n">
        <v>23</v>
      </c>
      <c r="M115" s="39" t="inlineStr">
        <is>
          <t>- (full trip)</t>
        </is>
      </c>
    </row>
    <row r="116">
      <c r="A116" s="16" t="inlineStr">
        <is>
          <t>17 Jun</t>
        </is>
      </c>
      <c r="B116" s="16" t="inlineStr">
        <is>
          <t>37887</t>
        </is>
      </c>
      <c r="C116" s="16" t="n">
        <v>3802</v>
      </c>
      <c r="D116" s="16" t="n">
        <v>3802</v>
      </c>
      <c r="E116" s="16" t="n">
        <v>3537</v>
      </c>
      <c r="F116" s="38" t="n">
        <v>410961</v>
      </c>
      <c r="G116" s="38" t="n">
        <v>495814</v>
      </c>
      <c r="H116" s="38" t="n">
        <v>410961</v>
      </c>
      <c r="I116" s="38" t="n">
        <v>494310</v>
      </c>
      <c r="J116" s="19">
        <f>(I116-H116)/1000</f>
        <v/>
      </c>
      <c r="K116" s="16" t="inlineStr">
        <is>
          <t>Yes</t>
        </is>
      </c>
      <c r="L116" s="16" t="n">
        <v>21</v>
      </c>
      <c r="M116" s="39" t="inlineStr">
        <is>
          <t>BAJWA, RANOLI</t>
        </is>
      </c>
    </row>
    <row r="117">
      <c r="A117" s="16" t="inlineStr">
        <is>
          <t>17 Jun</t>
        </is>
      </c>
      <c r="B117" s="16" t="inlineStr">
        <is>
          <t>39287</t>
        </is>
      </c>
      <c r="C117" s="16" t="n">
        <v>3154</v>
      </c>
      <c r="D117" s="16" t="n">
        <v>3154</v>
      </c>
      <c r="E117" s="16" t="n">
        <v>2951</v>
      </c>
      <c r="F117" s="38" t="n">
        <v>433704</v>
      </c>
      <c r="G117" s="38" t="n">
        <v>494894</v>
      </c>
      <c r="H117" s="38" t="n">
        <v>433704</v>
      </c>
      <c r="I117" s="38" t="n">
        <v>494312</v>
      </c>
      <c r="J117" s="19">
        <f>(I117-H117)/1000</f>
        <v/>
      </c>
      <c r="K117" s="16" t="inlineStr">
        <is>
          <t>Yes</t>
        </is>
      </c>
      <c r="L117" s="16" t="n">
        <v>16</v>
      </c>
      <c r="M117" s="39" t="inlineStr">
        <is>
          <t>BAJWA, RANOLI, LC-246, VASAD, ADAS ROAD, VADOD, LC-258</t>
        </is>
      </c>
    </row>
    <row r="118" ht="34" customHeight="1">
      <c r="A118" s="16" t="inlineStr">
        <is>
          <t>17 Jun</t>
        </is>
      </c>
      <c r="B118" s="16" t="inlineStr">
        <is>
          <t>30829</t>
        </is>
      </c>
      <c r="C118" s="16" t="n">
        <v>1820</v>
      </c>
      <c r="D118" s="16" t="n">
        <v>1770</v>
      </c>
      <c r="E118" s="16" t="n">
        <v>1514</v>
      </c>
      <c r="F118" s="38" t="n">
        <v>447393</v>
      </c>
      <c r="G118" s="38" t="n">
        <v>494980</v>
      </c>
      <c r="H118" s="38" t="n">
        <v>447393</v>
      </c>
      <c r="I118" s="38" t="n">
        <v>494310</v>
      </c>
      <c r="J118" s="19">
        <f>(I118-H118)/1000</f>
        <v/>
      </c>
      <c r="K118" s="16" t="inlineStr">
        <is>
          <t>Yes</t>
        </is>
      </c>
      <c r="L118" s="16" t="n">
        <v>13</v>
      </c>
      <c r="M118" s="39" t="inlineStr">
        <is>
          <t>BAJWA, RANOLI, LC-246, VASAD, ADAS ROAD, VADOD, LC-258, ANAND Jn, LC-264, KANJARI BORIYAVI</t>
        </is>
      </c>
    </row>
    <row r="119" ht="49" customHeight="1">
      <c r="A119" s="16" t="inlineStr">
        <is>
          <t>17 Jun</t>
        </is>
      </c>
      <c r="B119" s="16" t="inlineStr">
        <is>
          <t>39311</t>
        </is>
      </c>
      <c r="C119" s="16" t="n">
        <v>1704</v>
      </c>
      <c r="D119" s="16" t="n">
        <v>1704</v>
      </c>
      <c r="E119" s="16" t="n">
        <v>906</v>
      </c>
      <c r="F119" s="38" t="n">
        <v>370143</v>
      </c>
      <c r="G119" s="38" t="n">
        <v>441473</v>
      </c>
      <c r="H119" s="38" t="n">
        <v>400458</v>
      </c>
      <c r="I119" s="38" t="n">
        <v>441473</v>
      </c>
      <c r="J119" s="19">
        <f>(I119-H119)/1000</f>
        <v/>
      </c>
      <c r="K119" s="16" t="inlineStr">
        <is>
          <t>Yes</t>
        </is>
      </c>
      <c r="L119" s="16" t="n">
        <v>11</v>
      </c>
      <c r="M119" s="39" t="inlineStr">
        <is>
          <t>NADIAD, LC-278, GOTHAJ, LC-286, MAHEMDABAD AND KHEDA ROAD, LC-294, KANIJ, BAREJADI NANDEJ, GERATPUR, VATVA, KANKARIYA CABIN, AHMEDABAD Jn</t>
        </is>
      </c>
    </row>
    <row r="120" ht="49" customHeight="1">
      <c r="A120" s="16" t="inlineStr">
        <is>
          <t>17 Jun</t>
        </is>
      </c>
      <c r="B120" s="16" t="inlineStr">
        <is>
          <t>37684</t>
        </is>
      </c>
      <c r="C120" s="16" t="n">
        <v>1695</v>
      </c>
      <c r="D120" s="16" t="n">
        <v>1695</v>
      </c>
      <c r="E120" s="16" t="n">
        <v>934</v>
      </c>
      <c r="F120" s="38" t="n">
        <v>370047</v>
      </c>
      <c r="G120" s="38" t="n">
        <v>439883</v>
      </c>
      <c r="H120" s="38" t="n">
        <v>400412</v>
      </c>
      <c r="I120" s="38" t="n">
        <v>439883</v>
      </c>
      <c r="J120" s="19">
        <f>(I120-H120)/1000</f>
        <v/>
      </c>
      <c r="K120" s="16" t="inlineStr">
        <is>
          <t>Yes</t>
        </is>
      </c>
      <c r="L120" s="16" t="n">
        <v>10</v>
      </c>
      <c r="M120" s="39" t="inlineStr">
        <is>
          <t>UTARSANDA, NADIAD, LC-278, GOTHAJ, LC-286, MAHEMDABAD AND KHEDA ROAD, LC-294, KANIJ, BAREJADI NANDEJ, GERATPUR, VATVA, KANKARIYA CABIN, AHMEDABAD Jn</t>
        </is>
      </c>
    </row>
    <row r="121" ht="49" customHeight="1">
      <c r="A121" s="16" t="inlineStr">
        <is>
          <t>17 Jun</t>
        </is>
      </c>
      <c r="B121" s="16" t="inlineStr">
        <is>
          <t>37813</t>
        </is>
      </c>
      <c r="C121" s="16" t="n">
        <v>1718</v>
      </c>
      <c r="D121" s="16" t="n">
        <v>1718</v>
      </c>
      <c r="E121" s="16" t="n">
        <v>928</v>
      </c>
      <c r="F121" s="38" t="n">
        <v>361584</v>
      </c>
      <c r="G121" s="38" t="n">
        <v>438898</v>
      </c>
      <c r="H121" s="38" t="n">
        <v>400436</v>
      </c>
      <c r="I121" s="38" t="n">
        <v>438898</v>
      </c>
      <c r="J121" s="19">
        <f>(I121-H121)/1000</f>
        <v/>
      </c>
      <c r="K121" s="16" t="inlineStr">
        <is>
          <t>Yes</t>
        </is>
      </c>
      <c r="L121" s="16" t="n">
        <v>10</v>
      </c>
      <c r="M121" s="39" t="inlineStr">
        <is>
          <t>UTARSANDA, NADIAD, LC-278, GOTHAJ, LC-286, MAHEMDABAD AND KHEDA ROAD, LC-294, KANIJ, BAREJADI NANDEJ, GERATPUR, VATVA, KANKARIYA CABIN, AHMEDABAD Jn</t>
        </is>
      </c>
    </row>
    <row r="122" ht="49" customHeight="1">
      <c r="A122" s="16" t="inlineStr">
        <is>
          <t>17 Jun</t>
        </is>
      </c>
      <c r="B122" s="16" t="inlineStr">
        <is>
          <t>39466</t>
        </is>
      </c>
      <c r="C122" s="16" t="n">
        <v>1916</v>
      </c>
      <c r="D122" s="16" t="n">
        <v>1916</v>
      </c>
      <c r="E122" s="16" t="n">
        <v>905</v>
      </c>
      <c r="F122" s="38" t="n">
        <v>367749</v>
      </c>
      <c r="G122" s="38" t="n">
        <v>438322</v>
      </c>
      <c r="H122" s="38" t="n">
        <v>400415</v>
      </c>
      <c r="I122" s="38" t="n">
        <v>438322</v>
      </c>
      <c r="J122" s="19">
        <f>(I122-H122)/1000</f>
        <v/>
      </c>
      <c r="K122" s="16" t="inlineStr">
        <is>
          <t>Yes</t>
        </is>
      </c>
      <c r="L122" s="16" t="n">
        <v>10</v>
      </c>
      <c r="M122" s="39" t="inlineStr">
        <is>
          <t>UTARSANDA, NADIAD, LC-278, GOTHAJ, LC-286, MAHEMDABAD AND KHEDA ROAD, LC-294, KANIJ, BAREJADI NANDEJ, GERATPUR, VATVA, KANKARIYA CABIN, AHMEDABAD Jn</t>
        </is>
      </c>
    </row>
    <row r="123" ht="49" customHeight="1">
      <c r="A123" s="16" t="inlineStr">
        <is>
          <t>17 Jun</t>
        </is>
      </c>
      <c r="B123" s="16" t="inlineStr">
        <is>
          <t>37515</t>
        </is>
      </c>
      <c r="C123" s="16" t="n">
        <v>3846</v>
      </c>
      <c r="D123" s="16" t="n">
        <v>3846</v>
      </c>
      <c r="E123" s="16" t="n">
        <v>1094</v>
      </c>
      <c r="F123" s="38" t="n">
        <v>370099</v>
      </c>
      <c r="G123" s="38" t="n">
        <v>437403</v>
      </c>
      <c r="H123" s="38" t="n">
        <v>400399</v>
      </c>
      <c r="I123" s="38" t="n">
        <v>437403</v>
      </c>
      <c r="J123" s="19">
        <f>(I123-H123)/1000</f>
        <v/>
      </c>
      <c r="K123" s="16" t="inlineStr">
        <is>
          <t>Yes</t>
        </is>
      </c>
      <c r="L123" s="16" t="n">
        <v>10</v>
      </c>
      <c r="M123" s="39" t="inlineStr">
        <is>
          <t>UTARSANDA, NADIAD, LC-278, GOTHAJ, LC-286, MAHEMDABAD AND KHEDA ROAD, LC-294, KANIJ, BAREJADI NANDEJ, GERATPUR, VATVA, KANKARIYA CABIN, AHMEDABAD Jn</t>
        </is>
      </c>
    </row>
    <row r="124" ht="49" customHeight="1">
      <c r="A124" s="16" t="inlineStr">
        <is>
          <t>17 Jun</t>
        </is>
      </c>
      <c r="B124" s="16" t="inlineStr">
        <is>
          <t>37566</t>
        </is>
      </c>
      <c r="C124" s="16" t="n">
        <v>2480</v>
      </c>
      <c r="D124" s="16" t="n">
        <v>2480</v>
      </c>
      <c r="E124" s="16" t="n">
        <v>1068</v>
      </c>
      <c r="F124" s="38" t="n">
        <v>361465</v>
      </c>
      <c r="G124" s="38" t="n">
        <v>437362</v>
      </c>
      <c r="H124" s="38" t="n">
        <v>400407</v>
      </c>
      <c r="I124" s="38" t="n">
        <v>437362</v>
      </c>
      <c r="J124" s="19">
        <f>(I124-H124)/1000</f>
        <v/>
      </c>
      <c r="K124" s="16" t="inlineStr">
        <is>
          <t>Yes</t>
        </is>
      </c>
      <c r="L124" s="16" t="n">
        <v>10</v>
      </c>
      <c r="M124" s="39" t="inlineStr">
        <is>
          <t>UTARSANDA, NADIAD, LC-278, GOTHAJ, LC-286, MAHEMDABAD AND KHEDA ROAD, LC-294, KANIJ, BAREJADI NANDEJ, GERATPUR, VATVA, KANKARIYA CABIN, AHMEDABAD Jn</t>
        </is>
      </c>
    </row>
    <row r="125" ht="49" customHeight="1">
      <c r="A125" s="16" t="inlineStr">
        <is>
          <t>17 Jun</t>
        </is>
      </c>
      <c r="B125" s="16" t="inlineStr">
        <is>
          <t>30791</t>
        </is>
      </c>
      <c r="C125" s="16" t="n">
        <v>1457</v>
      </c>
      <c r="D125" s="16" t="n">
        <v>1457</v>
      </c>
      <c r="E125" s="16" t="n">
        <v>824</v>
      </c>
      <c r="F125" s="38" t="n">
        <v>375165</v>
      </c>
      <c r="G125" s="38" t="n">
        <v>437329</v>
      </c>
      <c r="H125" s="38" t="n">
        <v>400421</v>
      </c>
      <c r="I125" s="38" t="n">
        <v>437329</v>
      </c>
      <c r="J125" s="19">
        <f>(I125-H125)/1000</f>
        <v/>
      </c>
      <c r="K125" s="16" t="inlineStr">
        <is>
          <t>Yes</t>
        </is>
      </c>
      <c r="L125" s="16" t="n">
        <v>10</v>
      </c>
      <c r="M125" s="39" t="inlineStr">
        <is>
          <t>UTARSANDA, NADIAD, LC-278, GOTHAJ, LC-286, MAHEMDABAD AND KHEDA ROAD, LC-294, KANIJ, BAREJADI NANDEJ, GERATPUR, VATVA, KANKARIYA CABIN, AHMEDABAD Jn</t>
        </is>
      </c>
    </row>
    <row r="126" ht="49" customHeight="1">
      <c r="A126" s="16" t="inlineStr">
        <is>
          <t>17 Jun</t>
        </is>
      </c>
      <c r="B126" s="16" t="inlineStr">
        <is>
          <t>39331</t>
        </is>
      </c>
      <c r="C126" s="16" t="n">
        <v>1086</v>
      </c>
      <c r="D126" s="16" t="n">
        <v>1086</v>
      </c>
      <c r="E126" s="16" t="n">
        <v>752</v>
      </c>
      <c r="F126" s="38" t="n">
        <v>396046</v>
      </c>
      <c r="G126" s="38" t="n">
        <v>437278</v>
      </c>
      <c r="H126" s="38" t="n">
        <v>400407</v>
      </c>
      <c r="I126" s="38" t="n">
        <v>437278</v>
      </c>
      <c r="J126" s="19">
        <f>(I126-H126)/1000</f>
        <v/>
      </c>
      <c r="K126" s="16" t="inlineStr">
        <is>
          <t>Yes</t>
        </is>
      </c>
      <c r="L126" s="16" t="n">
        <v>10</v>
      </c>
      <c r="M126" s="39" t="inlineStr">
        <is>
          <t>UTARSANDA, NADIAD, LC-278, GOTHAJ, LC-286, MAHEMDABAD AND KHEDA ROAD, LC-294, KANIJ, BAREJADI NANDEJ, GERATPUR, VATVA, KANKARIYA CABIN, AHMEDABAD Jn</t>
        </is>
      </c>
    </row>
    <row r="127" ht="49" customHeight="1">
      <c r="A127" s="16" t="inlineStr">
        <is>
          <t>17 Jun</t>
        </is>
      </c>
      <c r="B127" s="16" t="inlineStr">
        <is>
          <t>37956</t>
        </is>
      </c>
      <c r="C127" s="16" t="n">
        <v>2899</v>
      </c>
      <c r="D127" s="16" t="n">
        <v>2899</v>
      </c>
      <c r="E127" s="16" t="n">
        <v>1519</v>
      </c>
      <c r="F127" s="38" t="n">
        <v>360696</v>
      </c>
      <c r="G127" s="38" t="n">
        <v>437302</v>
      </c>
      <c r="H127" s="38" t="n">
        <v>400477</v>
      </c>
      <c r="I127" s="38" t="n">
        <v>437302</v>
      </c>
      <c r="J127" s="19">
        <f>(I127-H127)/1000</f>
        <v/>
      </c>
      <c r="K127" s="16" t="inlineStr">
        <is>
          <t>Yes</t>
        </is>
      </c>
      <c r="L127" s="16" t="n">
        <v>10</v>
      </c>
      <c r="M127" s="39" t="inlineStr">
        <is>
          <t>UTARSANDA, NADIAD, LC-278, GOTHAJ, LC-286, MAHEMDABAD AND KHEDA ROAD, LC-294, KANIJ, BAREJADI NANDEJ, GERATPUR, VATVA, KANKARIYA CABIN, AHMEDABAD Jn</t>
        </is>
      </c>
    </row>
    <row r="128" ht="49" customHeight="1">
      <c r="A128" s="16" t="inlineStr">
        <is>
          <t>17 Jun</t>
        </is>
      </c>
      <c r="B128" s="16" t="inlineStr">
        <is>
          <t>30746</t>
        </is>
      </c>
      <c r="C128" s="16" t="n">
        <v>2189</v>
      </c>
      <c r="D128" s="16" t="n">
        <v>2189</v>
      </c>
      <c r="E128" s="16" t="n">
        <v>814</v>
      </c>
      <c r="F128" s="38" t="n">
        <v>380694</v>
      </c>
      <c r="G128" s="38" t="n">
        <v>437331</v>
      </c>
      <c r="H128" s="38" t="n">
        <v>400550</v>
      </c>
      <c r="I128" s="38" t="n">
        <v>437331</v>
      </c>
      <c r="J128" s="19">
        <f>(I128-H128)/1000</f>
        <v/>
      </c>
      <c r="K128" s="16" t="inlineStr">
        <is>
          <t>Yes</t>
        </is>
      </c>
      <c r="L128" s="16" t="n">
        <v>10</v>
      </c>
      <c r="M128" s="39" t="inlineStr">
        <is>
          <t>UTARSANDA, NADIAD, LC-278, GOTHAJ, LC-286, MAHEMDABAD AND KHEDA ROAD, LC-294, KANIJ, BAREJADI NANDEJ, GERATPUR, VATVA, KANKARIYA CABIN, AHMEDABAD Jn</t>
        </is>
      </c>
    </row>
    <row r="129" ht="49" customHeight="1">
      <c r="A129" s="16" t="inlineStr">
        <is>
          <t>17 Jun</t>
        </is>
      </c>
      <c r="B129" s="16" t="inlineStr">
        <is>
          <t>39308</t>
        </is>
      </c>
      <c r="C129" s="16" t="n">
        <v>1837</v>
      </c>
      <c r="D129" s="16" t="n">
        <v>1837</v>
      </c>
      <c r="E129" s="16" t="n">
        <v>970</v>
      </c>
      <c r="F129" s="38" t="n">
        <v>383180</v>
      </c>
      <c r="G129" s="38" t="n">
        <v>437156</v>
      </c>
      <c r="H129" s="38" t="n">
        <v>400400</v>
      </c>
      <c r="I129" s="38" t="n">
        <v>437156</v>
      </c>
      <c r="J129" s="19">
        <f>(I129-H129)/1000</f>
        <v/>
      </c>
      <c r="K129" s="16" t="inlineStr">
        <is>
          <t>Yes</t>
        </is>
      </c>
      <c r="L129" s="16" t="n">
        <v>10</v>
      </c>
      <c r="M129" s="39" t="inlineStr">
        <is>
          <t>UTARSANDA, NADIAD, LC-278, GOTHAJ, LC-286, MAHEMDABAD AND KHEDA ROAD, LC-294, KANIJ, BAREJADI NANDEJ, GERATPUR, VATVA, KANKARIYA CABIN, AHMEDABAD Jn</t>
        </is>
      </c>
    </row>
    <row r="130" ht="49" customHeight="1">
      <c r="A130" s="16" t="inlineStr">
        <is>
          <t>17 Jun</t>
        </is>
      </c>
      <c r="B130" s="16" t="inlineStr">
        <is>
          <t>39014</t>
        </is>
      </c>
      <c r="C130" s="16" t="n">
        <v>1395</v>
      </c>
      <c r="D130" s="16" t="n">
        <v>1395</v>
      </c>
      <c r="E130" s="16" t="n">
        <v>751</v>
      </c>
      <c r="F130" s="38" t="n">
        <v>370086</v>
      </c>
      <c r="G130" s="38" t="n">
        <v>437139</v>
      </c>
      <c r="H130" s="38" t="n">
        <v>400424</v>
      </c>
      <c r="I130" s="38" t="n">
        <v>437139</v>
      </c>
      <c r="J130" s="19">
        <f>(I130-H130)/1000</f>
        <v/>
      </c>
      <c r="K130" s="16" t="inlineStr">
        <is>
          <t>Yes</t>
        </is>
      </c>
      <c r="L130" s="16" t="n">
        <v>10</v>
      </c>
      <c r="M130" s="39" t="inlineStr">
        <is>
          <t>UTARSANDA, NADIAD, LC-278, GOTHAJ, LC-286, MAHEMDABAD AND KHEDA ROAD, LC-294, KANIJ, BAREJADI NANDEJ, GERATPUR, VATVA, KANKARIYA CABIN, AHMEDABAD Jn</t>
        </is>
      </c>
    </row>
    <row r="131" ht="49" customHeight="1">
      <c r="A131" s="16" t="inlineStr">
        <is>
          <t>17 Jun</t>
        </is>
      </c>
      <c r="B131" s="16" t="inlineStr">
        <is>
          <t>37793</t>
        </is>
      </c>
      <c r="C131" s="16" t="n">
        <v>1501</v>
      </c>
      <c r="D131" s="16" t="n">
        <v>1501</v>
      </c>
      <c r="E131" s="16" t="n">
        <v>789</v>
      </c>
      <c r="F131" s="38" t="n">
        <v>369603</v>
      </c>
      <c r="G131" s="38" t="n">
        <v>437140</v>
      </c>
      <c r="H131" s="38" t="n">
        <v>400437</v>
      </c>
      <c r="I131" s="38" t="n">
        <v>437140</v>
      </c>
      <c r="J131" s="19">
        <f>(I131-H131)/1000</f>
        <v/>
      </c>
      <c r="K131" s="16" t="inlineStr">
        <is>
          <t>Yes</t>
        </is>
      </c>
      <c r="L131" s="16" t="n">
        <v>10</v>
      </c>
      <c r="M131" s="39" t="inlineStr">
        <is>
          <t>UTARSANDA, NADIAD, LC-278, GOTHAJ, LC-286, MAHEMDABAD AND KHEDA ROAD, LC-294, KANIJ, BAREJADI NANDEJ, GERATPUR, VATVA, KANKARIYA CABIN, AHMEDABAD Jn</t>
        </is>
      </c>
    </row>
    <row r="132" ht="64" customHeight="1">
      <c r="A132" s="16" t="inlineStr">
        <is>
          <t>17 Jun</t>
        </is>
      </c>
      <c r="B132" s="16" t="inlineStr">
        <is>
          <t>30415</t>
        </is>
      </c>
      <c r="C132" s="16" t="n">
        <v>737</v>
      </c>
      <c r="D132" s="16" t="n">
        <v>737</v>
      </c>
      <c r="E132" s="16" t="n">
        <v>20</v>
      </c>
      <c r="F132" s="38" t="n">
        <v>380713</v>
      </c>
      <c r="G132" s="38" t="n">
        <v>400976</v>
      </c>
      <c r="H132" s="38" t="n">
        <v>400501</v>
      </c>
      <c r="I132" s="38" t="n">
        <v>400976</v>
      </c>
      <c r="J132" s="19">
        <f>(I132-H132)/1000</f>
        <v/>
      </c>
      <c r="K132" s="16" t="inlineStr">
        <is>
          <t>Yes</t>
        </is>
      </c>
      <c r="L132" s="16" t="n">
        <v>1</v>
      </c>
      <c r="M132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33" ht="64" customHeight="1">
      <c r="A133" s="16" t="inlineStr">
        <is>
          <t>17 Jun</t>
        </is>
      </c>
      <c r="B133" s="16" t="inlineStr">
        <is>
          <t>41878</t>
        </is>
      </c>
      <c r="C133" s="16" t="n">
        <v>800</v>
      </c>
      <c r="D133" s="16" t="n">
        <v>675</v>
      </c>
      <c r="E133" s="16" t="n">
        <v>144</v>
      </c>
      <c r="F133" s="38" t="n">
        <v>486047</v>
      </c>
      <c r="G133" s="38" t="n">
        <v>2500602</v>
      </c>
      <c r="H133" s="38" t="n">
        <v>486047</v>
      </c>
      <c r="I133" s="38" t="n">
        <v>486462</v>
      </c>
      <c r="J133" s="19">
        <f>(I133-H133)/1000</f>
        <v/>
      </c>
      <c r="K133" s="16" t="inlineStr">
        <is>
          <t>Yes</t>
        </is>
      </c>
      <c r="L133" s="16" t="n">
        <v>1</v>
      </c>
      <c r="M133" s="39" t="inlineStr">
        <is>
          <t>BAJWA, RANOLI, LC-246, VASAD, ADAS ROAD, VADOD, LC-258, ANAND Jn, LC-264, KANJARI BORIYAVI, UTARSANDA, NADIAD, LC-278, GOTHAJ, LC-286, MAHEMDABAD AND KHEDA ROAD, LC-294, KANIJ, BAREJADI NANDEJ, GERATPUR, KANKARIYA CABIN, AHMEDABAD Jn</t>
        </is>
      </c>
    </row>
    <row r="134" ht="64" customHeight="1">
      <c r="A134" s="34" t="inlineStr">
        <is>
          <t>17 Jun</t>
        </is>
      </c>
      <c r="B134" s="34" t="inlineStr">
        <is>
          <t>120850</t>
        </is>
      </c>
      <c r="C134" s="34" t="n">
        <v>7317</v>
      </c>
      <c r="D134" s="34" t="n">
        <v>7277</v>
      </c>
      <c r="E134" s="34" t="n">
        <v>0</v>
      </c>
      <c r="F134" s="40" t="n">
        <v>510423</v>
      </c>
      <c r="G134" s="40" t="n">
        <v>520101</v>
      </c>
      <c r="H134" s="40" t="inlineStr">
        <is>
          <t>-</t>
        </is>
      </c>
      <c r="I134" s="40" t="inlineStr">
        <is>
          <t>-</t>
        </is>
      </c>
      <c r="J134" s="41" t="n">
        <v>0</v>
      </c>
      <c r="K134" s="34" t="inlineStr">
        <is>
          <t>No</t>
        </is>
      </c>
      <c r="L134" s="34" t="n">
        <v>0</v>
      </c>
      <c r="M13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35" ht="64" customHeight="1">
      <c r="A135" s="34" t="inlineStr">
        <is>
          <t>17 Jun</t>
        </is>
      </c>
      <c r="B135" s="34" t="inlineStr">
        <is>
          <t>30065</t>
        </is>
      </c>
      <c r="C135" s="34" t="n">
        <v>12</v>
      </c>
      <c r="D135" s="34" t="n">
        <v>0</v>
      </c>
      <c r="E135" s="34" t="n">
        <v>0</v>
      </c>
      <c r="F135" s="40" t="inlineStr">
        <is>
          <t>-</t>
        </is>
      </c>
      <c r="G135" s="40" t="inlineStr">
        <is>
          <t>-</t>
        </is>
      </c>
      <c r="H135" s="40" t="inlineStr">
        <is>
          <t>-</t>
        </is>
      </c>
      <c r="I135" s="40" t="inlineStr">
        <is>
          <t>-</t>
        </is>
      </c>
      <c r="J135" s="41" t="n">
        <v>0</v>
      </c>
      <c r="K135" s="34" t="inlineStr">
        <is>
          <t>No</t>
        </is>
      </c>
      <c r="L135" s="34" t="n">
        <v>0</v>
      </c>
      <c r="M13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36" ht="64" customHeight="1">
      <c r="A136" s="34" t="inlineStr">
        <is>
          <t>17 Jun</t>
        </is>
      </c>
      <c r="B136" s="34" t="inlineStr">
        <is>
          <t>30080</t>
        </is>
      </c>
      <c r="C136" s="34" t="n">
        <v>12</v>
      </c>
      <c r="D136" s="34" t="n">
        <v>0</v>
      </c>
      <c r="E136" s="34" t="n">
        <v>0</v>
      </c>
      <c r="F136" s="40" t="inlineStr">
        <is>
          <t>-</t>
        </is>
      </c>
      <c r="G136" s="40" t="inlineStr">
        <is>
          <t>-</t>
        </is>
      </c>
      <c r="H136" s="40" t="inlineStr">
        <is>
          <t>-</t>
        </is>
      </c>
      <c r="I136" s="40" t="inlineStr">
        <is>
          <t>-</t>
        </is>
      </c>
      <c r="J136" s="41" t="n">
        <v>0</v>
      </c>
      <c r="K136" s="34" t="inlineStr">
        <is>
          <t>No</t>
        </is>
      </c>
      <c r="L136" s="34" t="n">
        <v>0</v>
      </c>
      <c r="M13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37" ht="64" customHeight="1">
      <c r="A137" s="34" t="inlineStr">
        <is>
          <t>17 Jun</t>
        </is>
      </c>
      <c r="B137" s="34" t="inlineStr">
        <is>
          <t>30153</t>
        </is>
      </c>
      <c r="C137" s="34" t="n">
        <v>63</v>
      </c>
      <c r="D137" s="34" t="n">
        <v>0</v>
      </c>
      <c r="E137" s="34" t="n">
        <v>0</v>
      </c>
      <c r="F137" s="40" t="inlineStr">
        <is>
          <t>-</t>
        </is>
      </c>
      <c r="G137" s="40" t="inlineStr">
        <is>
          <t>-</t>
        </is>
      </c>
      <c r="H137" s="40" t="inlineStr">
        <is>
          <t>-</t>
        </is>
      </c>
      <c r="I137" s="40" t="inlineStr">
        <is>
          <t>-</t>
        </is>
      </c>
      <c r="J137" s="41" t="n">
        <v>0</v>
      </c>
      <c r="K137" s="34" t="inlineStr">
        <is>
          <t>No</t>
        </is>
      </c>
      <c r="L137" s="34" t="n">
        <v>0</v>
      </c>
      <c r="M13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38" ht="64" customHeight="1">
      <c r="A138" s="34" t="inlineStr">
        <is>
          <t>17 Jun</t>
        </is>
      </c>
      <c r="B138" s="34" t="inlineStr">
        <is>
          <t>30177</t>
        </is>
      </c>
      <c r="C138" s="34" t="n">
        <v>1</v>
      </c>
      <c r="D138" s="34" t="n">
        <v>0</v>
      </c>
      <c r="E138" s="34" t="n">
        <v>0</v>
      </c>
      <c r="F138" s="40" t="inlineStr">
        <is>
          <t>-</t>
        </is>
      </c>
      <c r="G138" s="40" t="inlineStr">
        <is>
          <t>-</t>
        </is>
      </c>
      <c r="H138" s="40" t="inlineStr">
        <is>
          <t>-</t>
        </is>
      </c>
      <c r="I138" s="40" t="inlineStr">
        <is>
          <t>-</t>
        </is>
      </c>
      <c r="J138" s="41" t="n">
        <v>0</v>
      </c>
      <c r="K138" s="34" t="inlineStr">
        <is>
          <t>No</t>
        </is>
      </c>
      <c r="L138" s="34" t="n">
        <v>0</v>
      </c>
      <c r="M13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39" ht="64" customHeight="1">
      <c r="A139" s="34" t="inlineStr">
        <is>
          <t>17 Jun</t>
        </is>
      </c>
      <c r="B139" s="34" t="inlineStr">
        <is>
          <t>30767</t>
        </is>
      </c>
      <c r="C139" s="34" t="n">
        <v>382</v>
      </c>
      <c r="D139" s="34" t="n">
        <v>382</v>
      </c>
      <c r="E139" s="34" t="n">
        <v>0</v>
      </c>
      <c r="F139" s="40" t="n">
        <v>370037</v>
      </c>
      <c r="G139" s="40" t="n">
        <v>395931</v>
      </c>
      <c r="H139" s="40" t="inlineStr">
        <is>
          <t>-</t>
        </is>
      </c>
      <c r="I139" s="40" t="inlineStr">
        <is>
          <t>-</t>
        </is>
      </c>
      <c r="J139" s="41" t="n">
        <v>0</v>
      </c>
      <c r="K139" s="34" t="inlineStr">
        <is>
          <t>No</t>
        </is>
      </c>
      <c r="L139" s="34" t="n">
        <v>0</v>
      </c>
      <c r="M13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40" ht="64" customHeight="1">
      <c r="A140" s="34" t="inlineStr">
        <is>
          <t>17 Jun</t>
        </is>
      </c>
      <c r="B140" s="34" t="inlineStr">
        <is>
          <t>31384</t>
        </is>
      </c>
      <c r="C140" s="34" t="n">
        <v>948</v>
      </c>
      <c r="D140" s="34" t="n">
        <v>809</v>
      </c>
      <c r="E140" s="34" t="n">
        <v>0</v>
      </c>
      <c r="F140" s="40" t="n">
        <v>2500010</v>
      </c>
      <c r="G140" s="40" t="n">
        <v>2500602</v>
      </c>
      <c r="H140" s="40" t="inlineStr">
        <is>
          <t>-</t>
        </is>
      </c>
      <c r="I140" s="40" t="inlineStr">
        <is>
          <t>-</t>
        </is>
      </c>
      <c r="J140" s="41" t="n">
        <v>0</v>
      </c>
      <c r="K140" s="34" t="inlineStr">
        <is>
          <t>No</t>
        </is>
      </c>
      <c r="L140" s="34" t="n">
        <v>0</v>
      </c>
      <c r="M14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41" ht="64" customHeight="1">
      <c r="A141" s="34" t="inlineStr">
        <is>
          <t>17 Jun</t>
        </is>
      </c>
      <c r="B141" s="34" t="inlineStr">
        <is>
          <t>37207</t>
        </is>
      </c>
      <c r="C141" s="34" t="n">
        <v>12</v>
      </c>
      <c r="D141" s="34" t="n">
        <v>0</v>
      </c>
      <c r="E141" s="34" t="n">
        <v>0</v>
      </c>
      <c r="F141" s="40" t="inlineStr">
        <is>
          <t>-</t>
        </is>
      </c>
      <c r="G141" s="40" t="inlineStr">
        <is>
          <t>-</t>
        </is>
      </c>
      <c r="H141" s="40" t="inlineStr">
        <is>
          <t>-</t>
        </is>
      </c>
      <c r="I141" s="40" t="inlineStr">
        <is>
          <t>-</t>
        </is>
      </c>
      <c r="J141" s="41" t="n">
        <v>0</v>
      </c>
      <c r="K141" s="34" t="inlineStr">
        <is>
          <t>No</t>
        </is>
      </c>
      <c r="L141" s="34" t="n">
        <v>0</v>
      </c>
      <c r="M14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42" ht="64" customHeight="1">
      <c r="A142" s="34" t="inlineStr">
        <is>
          <t>17 Jun</t>
        </is>
      </c>
      <c r="B142" s="34" t="inlineStr">
        <is>
          <t>37316</t>
        </is>
      </c>
      <c r="C142" s="34" t="n">
        <v>663</v>
      </c>
      <c r="D142" s="34" t="n">
        <v>663</v>
      </c>
      <c r="E142" s="34" t="n">
        <v>0</v>
      </c>
      <c r="F142" s="40" t="n">
        <v>361279</v>
      </c>
      <c r="G142" s="40" t="n">
        <v>395919</v>
      </c>
      <c r="H142" s="40" t="inlineStr">
        <is>
          <t>-</t>
        </is>
      </c>
      <c r="I142" s="40" t="inlineStr">
        <is>
          <t>-</t>
        </is>
      </c>
      <c r="J142" s="41" t="n">
        <v>0</v>
      </c>
      <c r="K142" s="34" t="inlineStr">
        <is>
          <t>No</t>
        </is>
      </c>
      <c r="L142" s="34" t="n">
        <v>0</v>
      </c>
      <c r="M14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43" ht="64" customHeight="1">
      <c r="A143" s="34" t="inlineStr">
        <is>
          <t>17 Jun</t>
        </is>
      </c>
      <c r="B143" s="34" t="inlineStr">
        <is>
          <t>37830</t>
        </is>
      </c>
      <c r="C143" s="34" t="n">
        <v>5</v>
      </c>
      <c r="D143" s="34" t="n">
        <v>0</v>
      </c>
      <c r="E143" s="34" t="n">
        <v>0</v>
      </c>
      <c r="F143" s="40" t="inlineStr">
        <is>
          <t>-</t>
        </is>
      </c>
      <c r="G143" s="40" t="inlineStr">
        <is>
          <t>-</t>
        </is>
      </c>
      <c r="H143" s="40" t="inlineStr">
        <is>
          <t>-</t>
        </is>
      </c>
      <c r="I143" s="40" t="inlineStr">
        <is>
          <t>-</t>
        </is>
      </c>
      <c r="J143" s="41" t="n">
        <v>0</v>
      </c>
      <c r="K143" s="34" t="inlineStr">
        <is>
          <t>No</t>
        </is>
      </c>
      <c r="L143" s="34" t="n">
        <v>0</v>
      </c>
      <c r="M14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44" ht="64" customHeight="1">
      <c r="A144" s="34" t="inlineStr">
        <is>
          <t>17 Jun</t>
        </is>
      </c>
      <c r="B144" s="34" t="inlineStr">
        <is>
          <t>39047</t>
        </is>
      </c>
      <c r="C144" s="34" t="n">
        <v>93</v>
      </c>
      <c r="D144" s="34" t="n">
        <v>93</v>
      </c>
      <c r="E144" s="34" t="n">
        <v>0</v>
      </c>
      <c r="F144" s="40" t="n">
        <v>380553</v>
      </c>
      <c r="G144" s="40" t="n">
        <v>395195</v>
      </c>
      <c r="H144" s="40" t="inlineStr">
        <is>
          <t>-</t>
        </is>
      </c>
      <c r="I144" s="40" t="inlineStr">
        <is>
          <t>-</t>
        </is>
      </c>
      <c r="J144" s="41" t="n">
        <v>0</v>
      </c>
      <c r="K144" s="34" t="inlineStr">
        <is>
          <t>No</t>
        </is>
      </c>
      <c r="L144" s="34" t="n">
        <v>0</v>
      </c>
      <c r="M14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45" ht="64" customHeight="1">
      <c r="A145" s="34" t="inlineStr">
        <is>
          <t>17 Jun</t>
        </is>
      </c>
      <c r="B145" s="34" t="inlineStr">
        <is>
          <t>39089</t>
        </is>
      </c>
      <c r="C145" s="34" t="n">
        <v>162</v>
      </c>
      <c r="D145" s="34" t="n">
        <v>0</v>
      </c>
      <c r="E145" s="34" t="n">
        <v>0</v>
      </c>
      <c r="F145" s="40" t="inlineStr">
        <is>
          <t>-</t>
        </is>
      </c>
      <c r="G145" s="40" t="inlineStr">
        <is>
          <t>-</t>
        </is>
      </c>
      <c r="H145" s="40" t="inlineStr">
        <is>
          <t>-</t>
        </is>
      </c>
      <c r="I145" s="40" t="inlineStr">
        <is>
          <t>-</t>
        </is>
      </c>
      <c r="J145" s="41" t="n">
        <v>0</v>
      </c>
      <c r="K145" s="34" t="inlineStr">
        <is>
          <t>No</t>
        </is>
      </c>
      <c r="L145" s="34" t="n">
        <v>0</v>
      </c>
      <c r="M14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46" ht="64" customHeight="1">
      <c r="A146" s="34" t="inlineStr">
        <is>
          <t>17 Jun</t>
        </is>
      </c>
      <c r="B146" s="34" t="inlineStr">
        <is>
          <t>39115</t>
        </is>
      </c>
      <c r="C146" s="34" t="n">
        <v>1</v>
      </c>
      <c r="D146" s="34" t="n">
        <v>0</v>
      </c>
      <c r="E146" s="34" t="n">
        <v>0</v>
      </c>
      <c r="F146" s="40" t="inlineStr">
        <is>
          <t>-</t>
        </is>
      </c>
      <c r="G146" s="40" t="inlineStr">
        <is>
          <t>-</t>
        </is>
      </c>
      <c r="H146" s="40" t="inlineStr">
        <is>
          <t>-</t>
        </is>
      </c>
      <c r="I146" s="40" t="inlineStr">
        <is>
          <t>-</t>
        </is>
      </c>
      <c r="J146" s="41" t="n">
        <v>0</v>
      </c>
      <c r="K146" s="34" t="inlineStr">
        <is>
          <t>No</t>
        </is>
      </c>
      <c r="L146" s="34" t="n">
        <v>0</v>
      </c>
      <c r="M14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47" ht="64" customHeight="1">
      <c r="A147" s="34" t="inlineStr">
        <is>
          <t>17 Jun</t>
        </is>
      </c>
      <c r="B147" s="34" t="inlineStr">
        <is>
          <t>39126</t>
        </is>
      </c>
      <c r="C147" s="34" t="n">
        <v>6</v>
      </c>
      <c r="D147" s="34" t="n">
        <v>0</v>
      </c>
      <c r="E147" s="34" t="n">
        <v>0</v>
      </c>
      <c r="F147" s="40" t="inlineStr">
        <is>
          <t>-</t>
        </is>
      </c>
      <c r="G147" s="40" t="inlineStr">
        <is>
          <t>-</t>
        </is>
      </c>
      <c r="H147" s="40" t="inlineStr">
        <is>
          <t>-</t>
        </is>
      </c>
      <c r="I147" s="40" t="inlineStr">
        <is>
          <t>-</t>
        </is>
      </c>
      <c r="J147" s="41" t="n">
        <v>0</v>
      </c>
      <c r="K147" s="34" t="inlineStr">
        <is>
          <t>No</t>
        </is>
      </c>
      <c r="L147" s="34" t="n">
        <v>0</v>
      </c>
      <c r="M14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48" ht="64" customHeight="1">
      <c r="A148" s="34" t="inlineStr">
        <is>
          <t>17 Jun</t>
        </is>
      </c>
      <c r="B148" s="34" t="inlineStr">
        <is>
          <t>39258</t>
        </is>
      </c>
      <c r="C148" s="34" t="n">
        <v>528</v>
      </c>
      <c r="D148" s="34" t="n">
        <v>528</v>
      </c>
      <c r="E148" s="34" t="n">
        <v>0</v>
      </c>
      <c r="F148" s="40" t="n">
        <v>368114</v>
      </c>
      <c r="G148" s="40" t="n">
        <v>395851</v>
      </c>
      <c r="H148" s="40" t="inlineStr">
        <is>
          <t>-</t>
        </is>
      </c>
      <c r="I148" s="40" t="inlineStr">
        <is>
          <t>-</t>
        </is>
      </c>
      <c r="J148" s="41" t="n">
        <v>0</v>
      </c>
      <c r="K148" s="34" t="inlineStr">
        <is>
          <t>No</t>
        </is>
      </c>
      <c r="L148" s="34" t="n">
        <v>0</v>
      </c>
      <c r="M14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49" ht="64" customHeight="1">
      <c r="A149" s="34" t="inlineStr">
        <is>
          <t>17 Jun</t>
        </is>
      </c>
      <c r="B149" s="34" t="inlineStr">
        <is>
          <t>39493</t>
        </is>
      </c>
      <c r="C149" s="34" t="n">
        <v>3</v>
      </c>
      <c r="D149" s="34" t="n">
        <v>2</v>
      </c>
      <c r="E149" s="34" t="n">
        <v>0</v>
      </c>
      <c r="F149" s="40" t="n">
        <v>494768</v>
      </c>
      <c r="G149" s="40" t="n">
        <v>494776</v>
      </c>
      <c r="H149" s="40" t="inlineStr">
        <is>
          <t>-</t>
        </is>
      </c>
      <c r="I149" s="40" t="inlineStr">
        <is>
          <t>-</t>
        </is>
      </c>
      <c r="J149" s="41" t="n">
        <v>0</v>
      </c>
      <c r="K149" s="34" t="inlineStr">
        <is>
          <t>No</t>
        </is>
      </c>
      <c r="L149" s="34" t="n">
        <v>0</v>
      </c>
      <c r="M14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50" ht="64" customHeight="1">
      <c r="A150" s="34" t="inlineStr">
        <is>
          <t>17 Jun</t>
        </is>
      </c>
      <c r="B150" s="34" t="inlineStr">
        <is>
          <t>41430</t>
        </is>
      </c>
      <c r="C150" s="34" t="n">
        <v>17</v>
      </c>
      <c r="D150" s="34" t="n">
        <v>0</v>
      </c>
      <c r="E150" s="34" t="n">
        <v>0</v>
      </c>
      <c r="F150" s="40" t="inlineStr">
        <is>
          <t>-</t>
        </is>
      </c>
      <c r="G150" s="40" t="inlineStr">
        <is>
          <t>-</t>
        </is>
      </c>
      <c r="H150" s="40" t="inlineStr">
        <is>
          <t>-</t>
        </is>
      </c>
      <c r="I150" s="40" t="inlineStr">
        <is>
          <t>-</t>
        </is>
      </c>
      <c r="J150" s="41" t="n">
        <v>0</v>
      </c>
      <c r="K150" s="34" t="inlineStr">
        <is>
          <t>No</t>
        </is>
      </c>
      <c r="L150" s="34" t="n">
        <v>0</v>
      </c>
      <c r="M15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51" ht="64" customHeight="1">
      <c r="A151" s="34" t="inlineStr">
        <is>
          <t>17 Jun</t>
        </is>
      </c>
      <c r="B151" s="34" t="inlineStr">
        <is>
          <t>42229</t>
        </is>
      </c>
      <c r="C151" s="34" t="n">
        <v>6</v>
      </c>
      <c r="D151" s="34" t="n">
        <v>0</v>
      </c>
      <c r="E151" s="34" t="n">
        <v>0</v>
      </c>
      <c r="F151" s="40" t="inlineStr">
        <is>
          <t>-</t>
        </is>
      </c>
      <c r="G151" s="40" t="inlineStr">
        <is>
          <t>-</t>
        </is>
      </c>
      <c r="H151" s="40" t="inlineStr">
        <is>
          <t>-</t>
        </is>
      </c>
      <c r="I151" s="40" t="inlineStr">
        <is>
          <t>-</t>
        </is>
      </c>
      <c r="J151" s="41" t="n">
        <v>0</v>
      </c>
      <c r="K151" s="34" t="inlineStr">
        <is>
          <t>No</t>
        </is>
      </c>
      <c r="L151" s="34" t="n">
        <v>0</v>
      </c>
      <c r="M15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52" ht="64" customHeight="1">
      <c r="A152" s="34" t="inlineStr">
        <is>
          <t>17 Jun</t>
        </is>
      </c>
      <c r="B152" s="34" t="inlineStr">
        <is>
          <t>43881</t>
        </is>
      </c>
      <c r="C152" s="34" t="n">
        <v>14</v>
      </c>
      <c r="D152" s="34" t="n">
        <v>0</v>
      </c>
      <c r="E152" s="34" t="n">
        <v>0</v>
      </c>
      <c r="F152" s="40" t="inlineStr">
        <is>
          <t>-</t>
        </is>
      </c>
      <c r="G152" s="40" t="inlineStr">
        <is>
          <t>-</t>
        </is>
      </c>
      <c r="H152" s="40" t="inlineStr">
        <is>
          <t>-</t>
        </is>
      </c>
      <c r="I152" s="40" t="inlineStr">
        <is>
          <t>-</t>
        </is>
      </c>
      <c r="J152" s="41" t="n">
        <v>0</v>
      </c>
      <c r="K152" s="34" t="inlineStr">
        <is>
          <t>No</t>
        </is>
      </c>
      <c r="L152" s="34" t="n">
        <v>0</v>
      </c>
      <c r="M15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53" ht="64" customHeight="1">
      <c r="A153" s="34" t="inlineStr">
        <is>
          <t>17 Jun</t>
        </is>
      </c>
      <c r="B153" s="34" t="inlineStr">
        <is>
          <t>51347</t>
        </is>
      </c>
      <c r="C153" s="34" t="n">
        <v>5</v>
      </c>
      <c r="D153" s="34" t="n">
        <v>0</v>
      </c>
      <c r="E153" s="34" t="n">
        <v>0</v>
      </c>
      <c r="F153" s="40" t="inlineStr">
        <is>
          <t>-</t>
        </is>
      </c>
      <c r="G153" s="40" t="inlineStr">
        <is>
          <t>-</t>
        </is>
      </c>
      <c r="H153" s="40" t="inlineStr">
        <is>
          <t>-</t>
        </is>
      </c>
      <c r="I153" s="40" t="inlineStr">
        <is>
          <t>-</t>
        </is>
      </c>
      <c r="J153" s="41" t="n">
        <v>0</v>
      </c>
      <c r="K153" s="34" t="inlineStr">
        <is>
          <t>No</t>
        </is>
      </c>
      <c r="L153" s="34" t="n">
        <v>0</v>
      </c>
      <c r="M15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54">
      <c r="A154" s="16" t="inlineStr">
        <is>
          <t>18 Jun</t>
        </is>
      </c>
      <c r="B154" s="16" t="inlineStr">
        <is>
          <t>30460</t>
        </is>
      </c>
      <c r="C154" s="16" t="n">
        <v>9606</v>
      </c>
      <c r="D154" s="16" t="n">
        <v>9583</v>
      </c>
      <c r="E154" s="16" t="n">
        <v>8284</v>
      </c>
      <c r="F154" s="38" t="n">
        <v>375623</v>
      </c>
      <c r="G154" s="38" t="n">
        <v>495630</v>
      </c>
      <c r="H154" s="38" t="n">
        <v>400399</v>
      </c>
      <c r="I154" s="38" t="n">
        <v>494311</v>
      </c>
      <c r="J154" s="19">
        <f>(I154-H154)/1000</f>
        <v/>
      </c>
      <c r="K154" s="16" t="inlineStr">
        <is>
          <t>Yes</t>
        </is>
      </c>
      <c r="L154" s="16" t="n">
        <v>23</v>
      </c>
      <c r="M154" s="39" t="inlineStr">
        <is>
          <t>- (full trip)</t>
        </is>
      </c>
    </row>
    <row r="155">
      <c r="A155" s="16" t="inlineStr">
        <is>
          <t>18 Jun</t>
        </is>
      </c>
      <c r="B155" s="16" t="inlineStr">
        <is>
          <t>30531</t>
        </is>
      </c>
      <c r="C155" s="16" t="n">
        <v>10398</v>
      </c>
      <c r="D155" s="16" t="n">
        <v>10398</v>
      </c>
      <c r="E155" s="16" t="n">
        <v>8485</v>
      </c>
      <c r="F155" s="38" t="n">
        <v>369924</v>
      </c>
      <c r="G155" s="38" t="n">
        <v>495806</v>
      </c>
      <c r="H155" s="38" t="n">
        <v>400406</v>
      </c>
      <c r="I155" s="38" t="n">
        <v>494311</v>
      </c>
      <c r="J155" s="19">
        <f>(I155-H155)/1000</f>
        <v/>
      </c>
      <c r="K155" s="16" t="inlineStr">
        <is>
          <t>Yes</t>
        </is>
      </c>
      <c r="L155" s="16" t="n">
        <v>23</v>
      </c>
      <c r="M155" s="39" t="inlineStr">
        <is>
          <t>- (full trip)</t>
        </is>
      </c>
    </row>
    <row r="156">
      <c r="A156" s="16" t="inlineStr">
        <is>
          <t>18 Jun</t>
        </is>
      </c>
      <c r="B156" s="16" t="inlineStr">
        <is>
          <t>37339</t>
        </is>
      </c>
      <c r="C156" s="16" t="n">
        <v>6296</v>
      </c>
      <c r="D156" s="16" t="n">
        <v>6296</v>
      </c>
      <c r="E156" s="16" t="n">
        <v>5199</v>
      </c>
      <c r="F156" s="38" t="n">
        <v>360597</v>
      </c>
      <c r="G156" s="38" t="n">
        <v>495725</v>
      </c>
      <c r="H156" s="38" t="n">
        <v>400400</v>
      </c>
      <c r="I156" s="38" t="n">
        <v>494312</v>
      </c>
      <c r="J156" s="19">
        <f>(I156-H156)/1000</f>
        <v/>
      </c>
      <c r="K156" s="16" t="inlineStr">
        <is>
          <t>Yes</t>
        </is>
      </c>
      <c r="L156" s="16" t="n">
        <v>23</v>
      </c>
      <c r="M156" s="39" t="inlineStr">
        <is>
          <t>- (full trip)</t>
        </is>
      </c>
    </row>
    <row r="157">
      <c r="A157" s="16" t="inlineStr">
        <is>
          <t>18 Jun</t>
        </is>
      </c>
      <c r="B157" s="16" t="inlineStr">
        <is>
          <t>37453</t>
        </is>
      </c>
      <c r="C157" s="16" t="n">
        <v>5061</v>
      </c>
      <c r="D157" s="16" t="n">
        <v>5061</v>
      </c>
      <c r="E157" s="16" t="n">
        <v>3795</v>
      </c>
      <c r="F157" s="38" t="n">
        <v>360708</v>
      </c>
      <c r="G157" s="38" t="n">
        <v>494983</v>
      </c>
      <c r="H157" s="38" t="n">
        <v>400412</v>
      </c>
      <c r="I157" s="38" t="n">
        <v>494312</v>
      </c>
      <c r="J157" s="19">
        <f>(I157-H157)/1000</f>
        <v/>
      </c>
      <c r="K157" s="16" t="inlineStr">
        <is>
          <t>Yes</t>
        </is>
      </c>
      <c r="L157" s="16" t="n">
        <v>23</v>
      </c>
      <c r="M157" s="39" t="inlineStr">
        <is>
          <t>- (full trip)</t>
        </is>
      </c>
    </row>
    <row r="158">
      <c r="A158" s="16" t="inlineStr">
        <is>
          <t>18 Jun</t>
        </is>
      </c>
      <c r="B158" s="16" t="inlineStr">
        <is>
          <t>37577</t>
        </is>
      </c>
      <c r="C158" s="16" t="n">
        <v>6162</v>
      </c>
      <c r="D158" s="16" t="n">
        <v>6162</v>
      </c>
      <c r="E158" s="16" t="n">
        <v>5040</v>
      </c>
      <c r="F158" s="38" t="n">
        <v>359336</v>
      </c>
      <c r="G158" s="38" t="n">
        <v>495753</v>
      </c>
      <c r="H158" s="38" t="n">
        <v>400409</v>
      </c>
      <c r="I158" s="38" t="n">
        <v>494309</v>
      </c>
      <c r="J158" s="19">
        <f>(I158-H158)/1000</f>
        <v/>
      </c>
      <c r="K158" s="16" t="inlineStr">
        <is>
          <t>Yes</t>
        </is>
      </c>
      <c r="L158" s="16" t="n">
        <v>23</v>
      </c>
      <c r="M158" s="39" t="inlineStr">
        <is>
          <t>- (full trip)</t>
        </is>
      </c>
    </row>
    <row r="159">
      <c r="A159" s="16" t="inlineStr">
        <is>
          <t>18 Jun</t>
        </is>
      </c>
      <c r="B159" s="16" t="inlineStr">
        <is>
          <t>39235</t>
        </is>
      </c>
      <c r="C159" s="16" t="n">
        <v>4546</v>
      </c>
      <c r="D159" s="16" t="n">
        <v>4529</v>
      </c>
      <c r="E159" s="16" t="n">
        <v>3518</v>
      </c>
      <c r="F159" s="38" t="n">
        <v>367981</v>
      </c>
      <c r="G159" s="38" t="n">
        <v>494968</v>
      </c>
      <c r="H159" s="38" t="n">
        <v>400409</v>
      </c>
      <c r="I159" s="38" t="n">
        <v>494310</v>
      </c>
      <c r="J159" s="19">
        <f>(I159-H159)/1000</f>
        <v/>
      </c>
      <c r="K159" s="16" t="inlineStr">
        <is>
          <t>Yes</t>
        </is>
      </c>
      <c r="L159" s="16" t="n">
        <v>23</v>
      </c>
      <c r="M159" s="39" t="inlineStr">
        <is>
          <t>- (full trip)</t>
        </is>
      </c>
    </row>
    <row r="160">
      <c r="A160" s="16" t="inlineStr">
        <is>
          <t>18 Jun</t>
        </is>
      </c>
      <c r="B160" s="16" t="inlineStr">
        <is>
          <t>39259</t>
        </is>
      </c>
      <c r="C160" s="16" t="n">
        <v>4671</v>
      </c>
      <c r="D160" s="16" t="n">
        <v>4671</v>
      </c>
      <c r="E160" s="16" t="n">
        <v>3618</v>
      </c>
      <c r="F160" s="38" t="n">
        <v>370062</v>
      </c>
      <c r="G160" s="38" t="n">
        <v>494944</v>
      </c>
      <c r="H160" s="38" t="n">
        <v>400407</v>
      </c>
      <c r="I160" s="38" t="n">
        <v>494310</v>
      </c>
      <c r="J160" s="19">
        <f>(I160-H160)/1000</f>
        <v/>
      </c>
      <c r="K160" s="16" t="inlineStr">
        <is>
          <t>Yes</t>
        </is>
      </c>
      <c r="L160" s="16" t="n">
        <v>23</v>
      </c>
      <c r="M160" s="39" t="inlineStr">
        <is>
          <t>- (full trip)</t>
        </is>
      </c>
    </row>
    <row r="161">
      <c r="A161" s="16" t="inlineStr">
        <is>
          <t>18 Jun</t>
        </is>
      </c>
      <c r="B161" s="16" t="inlineStr">
        <is>
          <t>39311</t>
        </is>
      </c>
      <c r="C161" s="16" t="n">
        <v>9777</v>
      </c>
      <c r="D161" s="16" t="n">
        <v>9777</v>
      </c>
      <c r="E161" s="16" t="n">
        <v>8053</v>
      </c>
      <c r="F161" s="38" t="n">
        <v>370125</v>
      </c>
      <c r="G161" s="38" t="n">
        <v>495707</v>
      </c>
      <c r="H161" s="38" t="n">
        <v>400409</v>
      </c>
      <c r="I161" s="38" t="n">
        <v>494311</v>
      </c>
      <c r="J161" s="19">
        <f>(I161-H161)/1000</f>
        <v/>
      </c>
      <c r="K161" s="16" t="inlineStr">
        <is>
          <t>Yes</t>
        </is>
      </c>
      <c r="L161" s="16" t="n">
        <v>23</v>
      </c>
      <c r="M161" s="39" t="inlineStr">
        <is>
          <t>- (full trip)</t>
        </is>
      </c>
    </row>
    <row r="162">
      <c r="A162" s="16" t="inlineStr">
        <is>
          <t>18 Jun</t>
        </is>
      </c>
      <c r="B162" s="16" t="inlineStr">
        <is>
          <t>30153</t>
        </is>
      </c>
      <c r="C162" s="16" t="n">
        <v>5012</v>
      </c>
      <c r="D162" s="16" t="n">
        <v>5012</v>
      </c>
      <c r="E162" s="16" t="n">
        <v>4100</v>
      </c>
      <c r="F162" s="38" t="n">
        <v>370167</v>
      </c>
      <c r="G162" s="38" t="n">
        <v>494965</v>
      </c>
      <c r="H162" s="38" t="n">
        <v>400421</v>
      </c>
      <c r="I162" s="38" t="n">
        <v>494312</v>
      </c>
      <c r="J162" s="19">
        <f>(I162-H162)/1000</f>
        <v/>
      </c>
      <c r="K162" s="16" t="inlineStr">
        <is>
          <t>Yes</t>
        </is>
      </c>
      <c r="L162" s="16" t="n">
        <v>23</v>
      </c>
      <c r="M162" s="39" t="inlineStr">
        <is>
          <t>- (full trip)</t>
        </is>
      </c>
    </row>
    <row r="163">
      <c r="A163" s="16" t="inlineStr">
        <is>
          <t>18 Jun</t>
        </is>
      </c>
      <c r="B163" s="16" t="inlineStr">
        <is>
          <t>30173</t>
        </is>
      </c>
      <c r="C163" s="16" t="n">
        <v>5286</v>
      </c>
      <c r="D163" s="16" t="n">
        <v>5286</v>
      </c>
      <c r="E163" s="16" t="n">
        <v>4479</v>
      </c>
      <c r="F163" s="38" t="n">
        <v>370088</v>
      </c>
      <c r="G163" s="38" t="n">
        <v>495956</v>
      </c>
      <c r="H163" s="38" t="n">
        <v>400412</v>
      </c>
      <c r="I163" s="38" t="n">
        <v>494307</v>
      </c>
      <c r="J163" s="19">
        <f>(I163-H163)/1000</f>
        <v/>
      </c>
      <c r="K163" s="16" t="inlineStr">
        <is>
          <t>Yes</t>
        </is>
      </c>
      <c r="L163" s="16" t="n">
        <v>23</v>
      </c>
      <c r="M163" s="39" t="inlineStr">
        <is>
          <t>- (full trip)</t>
        </is>
      </c>
    </row>
    <row r="164">
      <c r="A164" s="16" t="inlineStr">
        <is>
          <t>18 Jun</t>
        </is>
      </c>
      <c r="B164" s="16" t="inlineStr">
        <is>
          <t>30606</t>
        </is>
      </c>
      <c r="C164" s="16" t="n">
        <v>5274</v>
      </c>
      <c r="D164" s="16" t="n">
        <v>5274</v>
      </c>
      <c r="E164" s="16" t="n">
        <v>4242</v>
      </c>
      <c r="F164" s="38" t="n">
        <v>369908</v>
      </c>
      <c r="G164" s="38" t="n">
        <v>495807</v>
      </c>
      <c r="H164" s="38" t="n">
        <v>400414</v>
      </c>
      <c r="I164" s="38" t="n">
        <v>494308</v>
      </c>
      <c r="J164" s="19">
        <f>(I164-H164)/1000</f>
        <v/>
      </c>
      <c r="K164" s="16" t="inlineStr">
        <is>
          <t>Yes</t>
        </is>
      </c>
      <c r="L164" s="16" t="n">
        <v>23</v>
      </c>
      <c r="M164" s="39" t="inlineStr">
        <is>
          <t>- (full trip)</t>
        </is>
      </c>
    </row>
    <row r="165">
      <c r="A165" s="16" t="inlineStr">
        <is>
          <t>18 Jun</t>
        </is>
      </c>
      <c r="B165" s="16" t="inlineStr">
        <is>
          <t>37505</t>
        </is>
      </c>
      <c r="C165" s="16" t="n">
        <v>3791</v>
      </c>
      <c r="D165" s="16" t="n">
        <v>3791</v>
      </c>
      <c r="E165" s="16" t="n">
        <v>3190</v>
      </c>
      <c r="F165" s="38" t="n">
        <v>363290</v>
      </c>
      <c r="G165" s="38" t="n">
        <v>495471</v>
      </c>
      <c r="H165" s="38" t="n">
        <v>400426</v>
      </c>
      <c r="I165" s="38" t="n">
        <v>494312</v>
      </c>
      <c r="J165" s="19">
        <f>(I165-H165)/1000</f>
        <v/>
      </c>
      <c r="K165" s="16" t="inlineStr">
        <is>
          <t>Yes</t>
        </is>
      </c>
      <c r="L165" s="16" t="n">
        <v>23</v>
      </c>
      <c r="M165" s="39" t="inlineStr">
        <is>
          <t>- (full trip)</t>
        </is>
      </c>
    </row>
    <row r="166">
      <c r="A166" s="16" t="inlineStr">
        <is>
          <t>18 Jun</t>
        </is>
      </c>
      <c r="B166" s="16" t="inlineStr">
        <is>
          <t>39066</t>
        </is>
      </c>
      <c r="C166" s="16" t="n">
        <v>4915</v>
      </c>
      <c r="D166" s="16" t="n">
        <v>4915</v>
      </c>
      <c r="E166" s="16" t="n">
        <v>3972</v>
      </c>
      <c r="F166" s="38" t="n">
        <v>361302</v>
      </c>
      <c r="G166" s="38" t="n">
        <v>495772</v>
      </c>
      <c r="H166" s="38" t="n">
        <v>400433</v>
      </c>
      <c r="I166" s="38" t="n">
        <v>494312</v>
      </c>
      <c r="J166" s="19">
        <f>(I166-H166)/1000</f>
        <v/>
      </c>
      <c r="K166" s="16" t="inlineStr">
        <is>
          <t>Yes</t>
        </is>
      </c>
      <c r="L166" s="16" t="n">
        <v>23</v>
      </c>
      <c r="M166" s="39" t="inlineStr">
        <is>
          <t>- (full trip)</t>
        </is>
      </c>
    </row>
    <row r="167">
      <c r="A167" s="16" t="inlineStr">
        <is>
          <t>18 Jun</t>
        </is>
      </c>
      <c r="B167" s="16" t="inlineStr">
        <is>
          <t>39131</t>
        </is>
      </c>
      <c r="C167" s="16" t="n">
        <v>4936</v>
      </c>
      <c r="D167" s="16" t="n">
        <v>4936</v>
      </c>
      <c r="E167" s="16" t="n">
        <v>4351</v>
      </c>
      <c r="F167" s="38" t="n">
        <v>396352</v>
      </c>
      <c r="G167" s="38" t="n">
        <v>495812</v>
      </c>
      <c r="H167" s="38" t="n">
        <v>400423</v>
      </c>
      <c r="I167" s="38" t="n">
        <v>494306</v>
      </c>
      <c r="J167" s="19">
        <f>(I167-H167)/1000</f>
        <v/>
      </c>
      <c r="K167" s="16" t="inlineStr">
        <is>
          <t>Yes</t>
        </is>
      </c>
      <c r="L167" s="16" t="n">
        <v>23</v>
      </c>
      <c r="M167" s="39" t="inlineStr">
        <is>
          <t>- (full trip)</t>
        </is>
      </c>
    </row>
    <row r="168">
      <c r="A168" s="16" t="inlineStr">
        <is>
          <t>18 Jun</t>
        </is>
      </c>
      <c r="B168" s="16" t="inlineStr">
        <is>
          <t>30823</t>
        </is>
      </c>
      <c r="C168" s="16" t="n">
        <v>7402</v>
      </c>
      <c r="D168" s="16" t="n">
        <v>7402</v>
      </c>
      <c r="E168" s="16" t="n">
        <v>6009</v>
      </c>
      <c r="F168" s="38" t="n">
        <v>355373</v>
      </c>
      <c r="G168" s="38" t="n">
        <v>495811</v>
      </c>
      <c r="H168" s="38" t="n">
        <v>400437</v>
      </c>
      <c r="I168" s="38" t="n">
        <v>494310</v>
      </c>
      <c r="J168" s="19">
        <f>(I168-H168)/1000</f>
        <v/>
      </c>
      <c r="K168" s="16" t="inlineStr">
        <is>
          <t>Yes</t>
        </is>
      </c>
      <c r="L168" s="16" t="n">
        <v>23</v>
      </c>
      <c r="M168" s="39" t="inlineStr">
        <is>
          <t>- (full trip)</t>
        </is>
      </c>
    </row>
    <row r="169">
      <c r="A169" s="16" t="inlineStr">
        <is>
          <t>18 Jun</t>
        </is>
      </c>
      <c r="B169" s="16" t="inlineStr">
        <is>
          <t>37934</t>
        </is>
      </c>
      <c r="C169" s="16" t="n">
        <v>9148</v>
      </c>
      <c r="D169" s="16" t="n">
        <v>9148</v>
      </c>
      <c r="E169" s="16" t="n">
        <v>8665</v>
      </c>
      <c r="F169" s="38" t="n">
        <v>403425</v>
      </c>
      <c r="G169" s="38" t="n">
        <v>495008</v>
      </c>
      <c r="H169" s="38" t="n">
        <v>403425</v>
      </c>
      <c r="I169" s="38" t="n">
        <v>494311</v>
      </c>
      <c r="J169" s="19">
        <f>(I169-H169)/1000</f>
        <v/>
      </c>
      <c r="K169" s="16" t="inlineStr">
        <is>
          <t>Yes</t>
        </is>
      </c>
      <c r="L169" s="16" t="n">
        <v>23</v>
      </c>
      <c r="M169" s="39" t="inlineStr">
        <is>
          <t>- (full trip)</t>
        </is>
      </c>
    </row>
    <row r="170">
      <c r="A170" s="16" t="inlineStr">
        <is>
          <t>18 Jun</t>
        </is>
      </c>
      <c r="B170" s="16" t="inlineStr">
        <is>
          <t>37582</t>
        </is>
      </c>
      <c r="C170" s="16" t="n">
        <v>1690</v>
      </c>
      <c r="D170" s="16" t="n">
        <v>1690</v>
      </c>
      <c r="E170" s="16" t="n">
        <v>887</v>
      </c>
      <c r="F170" s="38" t="n">
        <v>361487</v>
      </c>
      <c r="G170" s="38" t="n">
        <v>478273</v>
      </c>
      <c r="H170" s="38" t="n">
        <v>400401</v>
      </c>
      <c r="I170" s="38" t="n">
        <v>478273</v>
      </c>
      <c r="J170" s="19">
        <f>(I170-H170)/1000</f>
        <v/>
      </c>
      <c r="K170" s="16" t="inlineStr">
        <is>
          <t>Yes</t>
        </is>
      </c>
      <c r="L170" s="16" t="n">
        <v>19</v>
      </c>
      <c r="M170" s="39" t="inlineStr">
        <is>
          <t>GERATPUR, VATVA, KANKARIYA CABIN, AHMEDABAD Jn</t>
        </is>
      </c>
    </row>
    <row r="171">
      <c r="A171" s="16" t="inlineStr">
        <is>
          <t>18 Jun</t>
        </is>
      </c>
      <c r="B171" s="16" t="inlineStr">
        <is>
          <t>37337</t>
        </is>
      </c>
      <c r="C171" s="16" t="n">
        <v>4966</v>
      </c>
      <c r="D171" s="16" t="n">
        <v>3971</v>
      </c>
      <c r="E171" s="16" t="n">
        <v>3654</v>
      </c>
      <c r="F171" s="38" t="n">
        <v>426470</v>
      </c>
      <c r="G171" s="38" t="n">
        <v>495062</v>
      </c>
      <c r="H171" s="38" t="n">
        <v>426470</v>
      </c>
      <c r="I171" s="38" t="n">
        <v>494312</v>
      </c>
      <c r="J171" s="19">
        <f>(I171-H171)/1000</f>
        <v/>
      </c>
      <c r="K171" s="16" t="inlineStr">
        <is>
          <t>Yes</t>
        </is>
      </c>
      <c r="L171" s="16" t="n">
        <v>18</v>
      </c>
      <c r="M171" s="39" t="inlineStr">
        <is>
          <t>BAJWA, RANOLI, LC-246, VASAD, ADAS ROAD</t>
        </is>
      </c>
    </row>
    <row r="172" ht="34" customHeight="1">
      <c r="A172" s="16" t="inlineStr">
        <is>
          <t>18 Jun</t>
        </is>
      </c>
      <c r="B172" s="16" t="inlineStr">
        <is>
          <t>39514</t>
        </is>
      </c>
      <c r="C172" s="16" t="n">
        <v>1835</v>
      </c>
      <c r="D172" s="16" t="n">
        <v>1835</v>
      </c>
      <c r="E172" s="16" t="n">
        <v>936</v>
      </c>
      <c r="F172" s="38" t="n">
        <v>381281</v>
      </c>
      <c r="G172" s="38" t="n">
        <v>466876</v>
      </c>
      <c r="H172" s="38" t="n">
        <v>400514</v>
      </c>
      <c r="I172" s="38" t="n">
        <v>466876</v>
      </c>
      <c r="J172" s="19">
        <f>(I172-H172)/1000</f>
        <v/>
      </c>
      <c r="K172" s="16" t="inlineStr">
        <is>
          <t>Yes</t>
        </is>
      </c>
      <c r="L172" s="16" t="n">
        <v>16</v>
      </c>
      <c r="M172" s="39" t="inlineStr">
        <is>
          <t>LC-294, KANIJ, BAREJADI NANDEJ, GERATPUR, VATVA, KANKARIYA CABIN, AHMEDABAD Jn</t>
        </is>
      </c>
    </row>
    <row r="173">
      <c r="A173" s="16" t="inlineStr">
        <is>
          <t>18 Jun</t>
        </is>
      </c>
      <c r="B173" s="16" t="inlineStr">
        <is>
          <t>37956</t>
        </is>
      </c>
      <c r="C173" s="16" t="n">
        <v>2112</v>
      </c>
      <c r="D173" s="16" t="n">
        <v>2112</v>
      </c>
      <c r="E173" s="16" t="n">
        <v>1965</v>
      </c>
      <c r="F173" s="38" t="n">
        <v>430406</v>
      </c>
      <c r="G173" s="38" t="n">
        <v>495810</v>
      </c>
      <c r="H173" s="38" t="n">
        <v>430406</v>
      </c>
      <c r="I173" s="38" t="n">
        <v>494311</v>
      </c>
      <c r="J173" s="19">
        <f>(I173-H173)/1000</f>
        <v/>
      </c>
      <c r="K173" s="16" t="inlineStr">
        <is>
          <t>Yes</t>
        </is>
      </c>
      <c r="L173" s="16" t="n">
        <v>16</v>
      </c>
      <c r="M173" s="39" t="inlineStr">
        <is>
          <t>BAJWA, RANOLI, LC-246, VASAD, ADAS ROAD, VADOD, LC-258</t>
        </is>
      </c>
    </row>
    <row r="174" ht="49" customHeight="1">
      <c r="A174" s="16" t="inlineStr">
        <is>
          <t>18 Jun</t>
        </is>
      </c>
      <c r="B174" s="16" t="inlineStr">
        <is>
          <t>30635</t>
        </is>
      </c>
      <c r="C174" s="16" t="n">
        <v>2013</v>
      </c>
      <c r="D174" s="16" t="n">
        <v>2013</v>
      </c>
      <c r="E174" s="16" t="n">
        <v>931</v>
      </c>
      <c r="F174" s="38" t="n">
        <v>360462</v>
      </c>
      <c r="G174" s="38" t="n">
        <v>453122</v>
      </c>
      <c r="H174" s="38" t="n">
        <v>400401</v>
      </c>
      <c r="I174" s="38" t="n">
        <v>453122</v>
      </c>
      <c r="J174" s="19">
        <f>(I174-H174)/1000</f>
        <v/>
      </c>
      <c r="K174" s="16" t="inlineStr">
        <is>
          <t>Yes</t>
        </is>
      </c>
      <c r="L174" s="16" t="n">
        <v>12</v>
      </c>
      <c r="M174" s="39" t="inlineStr">
        <is>
          <t>LC-278, GOTHAJ, LC-286, MAHEMDABAD AND KHEDA ROAD, LC-294, KANIJ, BAREJADI NANDEJ, GERATPUR, VATVA, KANKARIYA CABIN, AHMEDABAD Jn</t>
        </is>
      </c>
    </row>
    <row r="175" ht="49" customHeight="1">
      <c r="A175" s="16" t="inlineStr">
        <is>
          <t>18 Jun</t>
        </is>
      </c>
      <c r="B175" s="16" t="inlineStr">
        <is>
          <t>44406</t>
        </is>
      </c>
      <c r="C175" s="16" t="n">
        <v>148</v>
      </c>
      <c r="D175" s="16" t="n">
        <v>148</v>
      </c>
      <c r="E175" s="16" t="n">
        <v>46</v>
      </c>
      <c r="F175" s="38" t="n">
        <v>397089</v>
      </c>
      <c r="G175" s="38" t="n">
        <v>452983</v>
      </c>
      <c r="H175" s="38" t="n">
        <v>400515</v>
      </c>
      <c r="I175" s="38" t="n">
        <v>452983</v>
      </c>
      <c r="J175" s="19">
        <f>(I175-H175)/1000</f>
        <v/>
      </c>
      <c r="K175" s="16" t="inlineStr">
        <is>
          <t>Yes</t>
        </is>
      </c>
      <c r="L175" s="16" t="n">
        <v>12</v>
      </c>
      <c r="M175" s="39" t="inlineStr">
        <is>
          <t>LC-278, GOTHAJ, LC-286, MAHEMDABAD AND KHEDA ROAD, LC-294, KANIJ, BAREJADI NANDEJ, GERATPUR, VATVA, KANKARIYA CABIN, AHMEDABAD Jn</t>
        </is>
      </c>
    </row>
    <row r="176" ht="49" customHeight="1">
      <c r="A176" s="16" t="inlineStr">
        <is>
          <t>18 Jun</t>
        </is>
      </c>
      <c r="B176" s="16" t="inlineStr">
        <is>
          <t>39030</t>
        </is>
      </c>
      <c r="C176" s="16" t="n">
        <v>1935</v>
      </c>
      <c r="D176" s="16" t="n">
        <v>1935</v>
      </c>
      <c r="E176" s="16" t="n">
        <v>1172</v>
      </c>
      <c r="F176" s="38" t="n">
        <v>387737</v>
      </c>
      <c r="G176" s="38" t="n">
        <v>443737</v>
      </c>
      <c r="H176" s="38" t="n">
        <v>400405</v>
      </c>
      <c r="I176" s="38" t="n">
        <v>443737</v>
      </c>
      <c r="J176" s="19">
        <f>(I176-H176)/1000</f>
        <v/>
      </c>
      <c r="K176" s="16" t="inlineStr">
        <is>
          <t>Yes</t>
        </is>
      </c>
      <c r="L176" s="16" t="n">
        <v>11</v>
      </c>
      <c r="M176" s="39" t="inlineStr">
        <is>
          <t>NADIAD, LC-278, GOTHAJ, LC-286, MAHEMDABAD AND KHEDA ROAD, LC-294, KANIJ, BAREJADI NANDEJ, GERATPUR, VATVA, KANKARIYA CABIN, AHMEDABAD Jn</t>
        </is>
      </c>
    </row>
    <row r="177" ht="34" customHeight="1">
      <c r="A177" s="16" t="inlineStr">
        <is>
          <t>18 Jun</t>
        </is>
      </c>
      <c r="B177" s="16" t="inlineStr">
        <is>
          <t>37275</t>
        </is>
      </c>
      <c r="C177" s="16" t="n">
        <v>2062</v>
      </c>
      <c r="D177" s="16" t="n">
        <v>2039</v>
      </c>
      <c r="E177" s="16" t="n">
        <v>1812</v>
      </c>
      <c r="F177" s="38" t="n">
        <v>452593</v>
      </c>
      <c r="G177" s="38" t="n">
        <v>494974</v>
      </c>
      <c r="H177" s="38" t="n">
        <v>452593</v>
      </c>
      <c r="I177" s="38" t="n">
        <v>494310</v>
      </c>
      <c r="J177" s="19">
        <f>(I177-H177)/1000</f>
        <v/>
      </c>
      <c r="K177" s="16" t="inlineStr">
        <is>
          <t>Yes</t>
        </is>
      </c>
      <c r="L177" s="16" t="n">
        <v>12</v>
      </c>
      <c r="M177" s="39" t="inlineStr">
        <is>
          <t>BAJWA, RANOLI, LC-246, VASAD, ADAS ROAD, VADOD, LC-258, ANAND Jn, LC-264, KANJARI BORIYAVI, UTARSANDA</t>
        </is>
      </c>
    </row>
    <row r="178" ht="49" customHeight="1">
      <c r="A178" s="16" t="inlineStr">
        <is>
          <t>18 Jun</t>
        </is>
      </c>
      <c r="B178" s="16" t="inlineStr">
        <is>
          <t>37548</t>
        </is>
      </c>
      <c r="C178" s="16" t="n">
        <v>1639</v>
      </c>
      <c r="D178" s="16" t="n">
        <v>1639</v>
      </c>
      <c r="E178" s="16" t="n">
        <v>899</v>
      </c>
      <c r="F178" s="38" t="n">
        <v>360789</v>
      </c>
      <c r="G178" s="38" t="n">
        <v>438893</v>
      </c>
      <c r="H178" s="38" t="n">
        <v>400400</v>
      </c>
      <c r="I178" s="38" t="n">
        <v>438893</v>
      </c>
      <c r="J178" s="19">
        <f>(I178-H178)/1000</f>
        <v/>
      </c>
      <c r="K178" s="16" t="inlineStr">
        <is>
          <t>Yes</t>
        </is>
      </c>
      <c r="L178" s="16" t="n">
        <v>10</v>
      </c>
      <c r="M178" s="39" t="inlineStr">
        <is>
          <t>UTARSANDA, NADIAD, LC-278, GOTHAJ, LC-286, MAHEMDABAD AND KHEDA ROAD, LC-294, KANIJ, BAREJADI NANDEJ, GERATPUR, VATVA, KANKARIYA CABIN, AHMEDABAD Jn</t>
        </is>
      </c>
    </row>
    <row r="179" ht="49" customHeight="1">
      <c r="A179" s="16" t="inlineStr">
        <is>
          <t>18 Jun</t>
        </is>
      </c>
      <c r="B179" s="16" t="inlineStr">
        <is>
          <t>37853</t>
        </is>
      </c>
      <c r="C179" s="16" t="n">
        <v>2286</v>
      </c>
      <c r="D179" s="16" t="n">
        <v>2286</v>
      </c>
      <c r="E179" s="16" t="n">
        <v>813</v>
      </c>
      <c r="F179" s="38" t="n">
        <v>358981</v>
      </c>
      <c r="G179" s="38" t="n">
        <v>437445</v>
      </c>
      <c r="H179" s="38" t="n">
        <v>400404</v>
      </c>
      <c r="I179" s="38" t="n">
        <v>437445</v>
      </c>
      <c r="J179" s="19">
        <f>(I179-H179)/1000</f>
        <v/>
      </c>
      <c r="K179" s="16" t="inlineStr">
        <is>
          <t>Yes</t>
        </is>
      </c>
      <c r="L179" s="16" t="n">
        <v>10</v>
      </c>
      <c r="M179" s="39" t="inlineStr">
        <is>
          <t>UTARSANDA, NADIAD, LC-278, GOTHAJ, LC-286, MAHEMDABAD AND KHEDA ROAD, LC-294, KANIJ, BAREJADI NANDEJ, GERATPUR, VATVA, KANKARIYA CABIN, AHMEDABAD Jn</t>
        </is>
      </c>
    </row>
    <row r="180" ht="49" customHeight="1">
      <c r="A180" s="16" t="inlineStr">
        <is>
          <t>18 Jun</t>
        </is>
      </c>
      <c r="B180" s="16" t="inlineStr">
        <is>
          <t>30753</t>
        </is>
      </c>
      <c r="C180" s="16" t="n">
        <v>1742</v>
      </c>
      <c r="D180" s="16" t="n">
        <v>1742</v>
      </c>
      <c r="E180" s="16" t="n">
        <v>928</v>
      </c>
      <c r="F180" s="38" t="n">
        <v>361257</v>
      </c>
      <c r="G180" s="38" t="n">
        <v>437142</v>
      </c>
      <c r="H180" s="38" t="n">
        <v>400406</v>
      </c>
      <c r="I180" s="38" t="n">
        <v>437142</v>
      </c>
      <c r="J180" s="19">
        <f>(I180-H180)/1000</f>
        <v/>
      </c>
      <c r="K180" s="16" t="inlineStr">
        <is>
          <t>Yes</t>
        </is>
      </c>
      <c r="L180" s="16" t="n">
        <v>10</v>
      </c>
      <c r="M180" s="39" t="inlineStr">
        <is>
          <t>UTARSANDA, NADIAD, LC-278, GOTHAJ, LC-286, MAHEMDABAD AND KHEDA ROAD, LC-294, KANIJ, BAREJADI NANDEJ, GERATPUR, VATVA, KANKARIYA CABIN, AHMEDABAD Jn</t>
        </is>
      </c>
    </row>
    <row r="181" ht="64" customHeight="1">
      <c r="A181" s="16" t="inlineStr">
        <is>
          <t>18 Jun</t>
        </is>
      </c>
      <c r="B181" s="16" t="inlineStr">
        <is>
          <t>30757</t>
        </is>
      </c>
      <c r="C181" s="16" t="n">
        <v>1471</v>
      </c>
      <c r="D181" s="16" t="n">
        <v>1471</v>
      </c>
      <c r="E181" s="16" t="n">
        <v>649</v>
      </c>
      <c r="F181" s="38" t="n">
        <v>358857</v>
      </c>
      <c r="G181" s="38" t="n">
        <v>402382</v>
      </c>
      <c r="H181" s="38" t="n">
        <v>400401</v>
      </c>
      <c r="I181" s="38" t="n">
        <v>402382</v>
      </c>
      <c r="J181" s="19">
        <f>(I181-H181)/1000</f>
        <v/>
      </c>
      <c r="K181" s="16" t="inlineStr">
        <is>
          <t>Yes</t>
        </is>
      </c>
      <c r="L181" s="16" t="n">
        <v>1</v>
      </c>
      <c r="M181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82" ht="64" customHeight="1">
      <c r="A182" s="16" t="inlineStr">
        <is>
          <t>18 Jun</t>
        </is>
      </c>
      <c r="B182" s="16" t="inlineStr">
        <is>
          <t>37286</t>
        </is>
      </c>
      <c r="C182" s="16" t="n">
        <v>4</v>
      </c>
      <c r="D182" s="16" t="n">
        <v>4</v>
      </c>
      <c r="E182" s="16" t="n">
        <v>4</v>
      </c>
      <c r="F182" s="38" t="n">
        <v>478169</v>
      </c>
      <c r="G182" s="38" t="n">
        <v>478362</v>
      </c>
      <c r="H182" s="38" t="n">
        <v>478169</v>
      </c>
      <c r="I182" s="38" t="n">
        <v>478362</v>
      </c>
      <c r="J182" s="19">
        <f>(I182-H182)/1000</f>
        <v/>
      </c>
      <c r="K182" s="16" t="inlineStr">
        <is>
          <t>Yes</t>
        </is>
      </c>
      <c r="L182" s="16" t="n">
        <v>1</v>
      </c>
      <c r="M182" s="39" t="inlineStr">
        <is>
          <t>BAJWA, RANOLI, LC-246, VASAD, ADAS ROAD, VADOD, LC-258, ANAND Jn, LC-264, KANJARI BORIYAVI, UTARSANDA, NADIAD, LC-278, GOTHAJ, LC-286, MAHEMDABAD AND KHEDA ROAD, LC-294, KANIJ, GERATPUR, VATVA, KANKARIYA CABIN, AHMEDABAD Jn</t>
        </is>
      </c>
    </row>
    <row r="183" ht="64" customHeight="1">
      <c r="A183" s="16" t="inlineStr">
        <is>
          <t>18 Jun</t>
        </is>
      </c>
      <c r="B183" s="16" t="inlineStr">
        <is>
          <t>55555</t>
        </is>
      </c>
      <c r="C183" s="16" t="n">
        <v>9</v>
      </c>
      <c r="D183" s="16" t="n">
        <v>9</v>
      </c>
      <c r="E183" s="16" t="n">
        <v>9</v>
      </c>
      <c r="F183" s="38" t="n">
        <v>442356</v>
      </c>
      <c r="G183" s="38" t="n">
        <v>442388</v>
      </c>
      <c r="H183" s="38" t="n">
        <v>442356</v>
      </c>
      <c r="I183" s="38" t="n">
        <v>442388</v>
      </c>
      <c r="J183" s="19">
        <f>(I183-H183)/1000</f>
        <v/>
      </c>
      <c r="K183" s="16" t="inlineStr">
        <is>
          <t>Yes</t>
        </is>
      </c>
      <c r="L183" s="16" t="n">
        <v>1</v>
      </c>
      <c r="M183" s="39" t="inlineStr">
        <is>
          <t>BAJWA, RANOLI, LC-246, VASAD, ADAS ROAD, VADOD, LC-258, ANAND Jn, LC-264, KANJARI BORIYAVI, NADIAD, LC-278, GOTHAJ, LC-286, MAHEMDABAD AND KHEDA ROAD, LC-294, KANIJ, BAREJADI NANDEJ, GERATPUR, VATVA, KANKARIYA CABIN, AHMEDABAD Jn</t>
        </is>
      </c>
    </row>
    <row r="184" ht="64" customHeight="1">
      <c r="A184" s="34" t="inlineStr">
        <is>
          <t>18 Jun</t>
        </is>
      </c>
      <c r="B184" s="34" t="inlineStr">
        <is>
          <t>120850</t>
        </is>
      </c>
      <c r="C184" s="34" t="n">
        <v>6175</v>
      </c>
      <c r="D184" s="34" t="n">
        <v>6064</v>
      </c>
      <c r="E184" s="34" t="n">
        <v>0</v>
      </c>
      <c r="F184" s="40" t="n">
        <v>510424</v>
      </c>
      <c r="G184" s="40" t="n">
        <v>773554</v>
      </c>
      <c r="H184" s="40" t="inlineStr">
        <is>
          <t>-</t>
        </is>
      </c>
      <c r="I184" s="40" t="inlineStr">
        <is>
          <t>-</t>
        </is>
      </c>
      <c r="J184" s="41" t="n">
        <v>0</v>
      </c>
      <c r="K184" s="34" t="inlineStr">
        <is>
          <t>No</t>
        </is>
      </c>
      <c r="L184" s="34" t="n">
        <v>0</v>
      </c>
      <c r="M18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85" ht="64" customHeight="1">
      <c r="A185" s="34" t="inlineStr">
        <is>
          <t>18 Jun</t>
        </is>
      </c>
      <c r="B185" s="34" t="inlineStr">
        <is>
          <t>30787</t>
        </is>
      </c>
      <c r="C185" s="34" t="n">
        <v>1</v>
      </c>
      <c r="D185" s="34" t="n">
        <v>0</v>
      </c>
      <c r="E185" s="34" t="n">
        <v>0</v>
      </c>
      <c r="F185" s="40" t="inlineStr">
        <is>
          <t>-</t>
        </is>
      </c>
      <c r="G185" s="40" t="inlineStr">
        <is>
          <t>-</t>
        </is>
      </c>
      <c r="H185" s="40" t="inlineStr">
        <is>
          <t>-</t>
        </is>
      </c>
      <c r="I185" s="40" t="inlineStr">
        <is>
          <t>-</t>
        </is>
      </c>
      <c r="J185" s="41" t="n">
        <v>0</v>
      </c>
      <c r="K185" s="34" t="inlineStr">
        <is>
          <t>No</t>
        </is>
      </c>
      <c r="L185" s="34" t="n">
        <v>0</v>
      </c>
      <c r="M18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86" ht="64" customHeight="1">
      <c r="A186" s="34" t="inlineStr">
        <is>
          <t>18 Jun</t>
        </is>
      </c>
      <c r="B186" s="34" t="inlineStr">
        <is>
          <t>37471</t>
        </is>
      </c>
      <c r="C186" s="34" t="n">
        <v>696</v>
      </c>
      <c r="D186" s="34" t="n">
        <v>680</v>
      </c>
      <c r="E186" s="34" t="n">
        <v>0</v>
      </c>
      <c r="F186" s="40" t="n">
        <v>369727</v>
      </c>
      <c r="G186" s="40" t="n">
        <v>399094</v>
      </c>
      <c r="H186" s="40" t="inlineStr">
        <is>
          <t>-</t>
        </is>
      </c>
      <c r="I186" s="40" t="inlineStr">
        <is>
          <t>-</t>
        </is>
      </c>
      <c r="J186" s="41" t="n">
        <v>0</v>
      </c>
      <c r="K186" s="34" t="inlineStr">
        <is>
          <t>No</t>
        </is>
      </c>
      <c r="L186" s="34" t="n">
        <v>0</v>
      </c>
      <c r="M18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87" ht="64" customHeight="1">
      <c r="A187" s="34" t="inlineStr">
        <is>
          <t>18 Jun</t>
        </is>
      </c>
      <c r="B187" s="34" t="inlineStr">
        <is>
          <t>37478</t>
        </is>
      </c>
      <c r="C187" s="34" t="n">
        <v>305</v>
      </c>
      <c r="D187" s="34" t="n">
        <v>305</v>
      </c>
      <c r="E187" s="34" t="n">
        <v>0</v>
      </c>
      <c r="F187" s="40" t="n">
        <v>369995</v>
      </c>
      <c r="G187" s="40" t="n">
        <v>395223</v>
      </c>
      <c r="H187" s="40" t="inlineStr">
        <is>
          <t>-</t>
        </is>
      </c>
      <c r="I187" s="40" t="inlineStr">
        <is>
          <t>-</t>
        </is>
      </c>
      <c r="J187" s="41" t="n">
        <v>0</v>
      </c>
      <c r="K187" s="34" t="inlineStr">
        <is>
          <t>No</t>
        </is>
      </c>
      <c r="L187" s="34" t="n">
        <v>0</v>
      </c>
      <c r="M18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88" ht="64" customHeight="1">
      <c r="A188" s="34" t="inlineStr">
        <is>
          <t>18 Jun</t>
        </is>
      </c>
      <c r="B188" s="34" t="inlineStr">
        <is>
          <t>37515</t>
        </is>
      </c>
      <c r="C188" s="34" t="n">
        <v>505</v>
      </c>
      <c r="D188" s="34" t="n">
        <v>505</v>
      </c>
      <c r="E188" s="34" t="n">
        <v>0</v>
      </c>
      <c r="F188" s="40" t="n">
        <v>361459</v>
      </c>
      <c r="G188" s="40" t="n">
        <v>395878</v>
      </c>
      <c r="H188" s="40" t="inlineStr">
        <is>
          <t>-</t>
        </is>
      </c>
      <c r="I188" s="40" t="inlineStr">
        <is>
          <t>-</t>
        </is>
      </c>
      <c r="J188" s="41" t="n">
        <v>0</v>
      </c>
      <c r="K188" s="34" t="inlineStr">
        <is>
          <t>No</t>
        </is>
      </c>
      <c r="L188" s="34" t="n">
        <v>0</v>
      </c>
      <c r="M18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89" ht="64" customHeight="1">
      <c r="A189" s="34" t="inlineStr">
        <is>
          <t>18 Jun</t>
        </is>
      </c>
      <c r="B189" s="34" t="inlineStr">
        <is>
          <t>37780</t>
        </is>
      </c>
      <c r="C189" s="34" t="n">
        <v>46</v>
      </c>
      <c r="D189" s="34" t="n">
        <v>46</v>
      </c>
      <c r="E189" s="34" t="n">
        <v>0</v>
      </c>
      <c r="F189" s="40" t="n">
        <v>359946</v>
      </c>
      <c r="G189" s="40" t="n">
        <v>372337</v>
      </c>
      <c r="H189" s="40" t="inlineStr">
        <is>
          <t>-</t>
        </is>
      </c>
      <c r="I189" s="40" t="inlineStr">
        <is>
          <t>-</t>
        </is>
      </c>
      <c r="J189" s="41" t="n">
        <v>0</v>
      </c>
      <c r="K189" s="34" t="inlineStr">
        <is>
          <t>No</t>
        </is>
      </c>
      <c r="L189" s="34" t="n">
        <v>0</v>
      </c>
      <c r="M18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90" ht="64" customHeight="1">
      <c r="A190" s="34" t="inlineStr">
        <is>
          <t>18 Jun</t>
        </is>
      </c>
      <c r="B190" s="34" t="inlineStr">
        <is>
          <t>39236</t>
        </is>
      </c>
      <c r="C190" s="34" t="n">
        <v>347</v>
      </c>
      <c r="D190" s="34" t="n">
        <v>347</v>
      </c>
      <c r="E190" s="34" t="n">
        <v>0</v>
      </c>
      <c r="F190" s="40" t="n">
        <v>369620</v>
      </c>
      <c r="G190" s="40" t="n">
        <v>395907</v>
      </c>
      <c r="H190" s="40" t="inlineStr">
        <is>
          <t>-</t>
        </is>
      </c>
      <c r="I190" s="40" t="inlineStr">
        <is>
          <t>-</t>
        </is>
      </c>
      <c r="J190" s="41" t="n">
        <v>0</v>
      </c>
      <c r="K190" s="34" t="inlineStr">
        <is>
          <t>No</t>
        </is>
      </c>
      <c r="L190" s="34" t="n">
        <v>0</v>
      </c>
      <c r="M19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91" ht="64" customHeight="1">
      <c r="A191" s="34" t="inlineStr">
        <is>
          <t>18 Jun</t>
        </is>
      </c>
      <c r="B191" s="34" t="inlineStr">
        <is>
          <t>39258</t>
        </is>
      </c>
      <c r="C191" s="34" t="n">
        <v>483</v>
      </c>
      <c r="D191" s="34" t="n">
        <v>483</v>
      </c>
      <c r="E191" s="34" t="n">
        <v>0</v>
      </c>
      <c r="F191" s="40" t="n">
        <v>361818</v>
      </c>
      <c r="G191" s="40" t="n">
        <v>395845</v>
      </c>
      <c r="H191" s="40" t="inlineStr">
        <is>
          <t>-</t>
        </is>
      </c>
      <c r="I191" s="40" t="inlineStr">
        <is>
          <t>-</t>
        </is>
      </c>
      <c r="J191" s="41" t="n">
        <v>0</v>
      </c>
      <c r="K191" s="34" t="inlineStr">
        <is>
          <t>No</t>
        </is>
      </c>
      <c r="L191" s="34" t="n">
        <v>0</v>
      </c>
      <c r="M19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92" ht="64" customHeight="1">
      <c r="A192" s="34" t="inlineStr">
        <is>
          <t>18 Jun</t>
        </is>
      </c>
      <c r="B192" s="34" t="inlineStr">
        <is>
          <t>42456</t>
        </is>
      </c>
      <c r="C192" s="34" t="n">
        <v>6</v>
      </c>
      <c r="D192" s="34" t="n">
        <v>0</v>
      </c>
      <c r="E192" s="34" t="n">
        <v>0</v>
      </c>
      <c r="F192" s="40" t="inlineStr">
        <is>
          <t>-</t>
        </is>
      </c>
      <c r="G192" s="40" t="inlineStr">
        <is>
          <t>-</t>
        </is>
      </c>
      <c r="H192" s="40" t="inlineStr">
        <is>
          <t>-</t>
        </is>
      </c>
      <c r="I192" s="40" t="inlineStr">
        <is>
          <t>-</t>
        </is>
      </c>
      <c r="J192" s="41" t="n">
        <v>0</v>
      </c>
      <c r="K192" s="34" t="inlineStr">
        <is>
          <t>No</t>
        </is>
      </c>
      <c r="L192" s="34" t="n">
        <v>0</v>
      </c>
      <c r="M19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93" ht="64" customHeight="1">
      <c r="A193" s="34" t="inlineStr">
        <is>
          <t>18 Jun</t>
        </is>
      </c>
      <c r="B193" s="34" t="inlineStr">
        <is>
          <t>43571</t>
        </is>
      </c>
      <c r="C193" s="34" t="n">
        <v>383</v>
      </c>
      <c r="D193" s="34" t="n">
        <v>316</v>
      </c>
      <c r="E193" s="34" t="n">
        <v>0</v>
      </c>
      <c r="F193" s="40" t="n">
        <v>2499987</v>
      </c>
      <c r="G193" s="40" t="n">
        <v>2500608</v>
      </c>
      <c r="H193" s="40" t="inlineStr">
        <is>
          <t>-</t>
        </is>
      </c>
      <c r="I193" s="40" t="inlineStr">
        <is>
          <t>-</t>
        </is>
      </c>
      <c r="J193" s="41" t="n">
        <v>0</v>
      </c>
      <c r="K193" s="34" t="inlineStr">
        <is>
          <t>No</t>
        </is>
      </c>
      <c r="L193" s="34" t="n">
        <v>0</v>
      </c>
      <c r="M19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94" ht="64" customHeight="1">
      <c r="A194" s="34" t="inlineStr">
        <is>
          <t>18 Jun</t>
        </is>
      </c>
      <c r="B194" s="34" t="inlineStr">
        <is>
          <t>45035</t>
        </is>
      </c>
      <c r="C194" s="34" t="n">
        <v>4</v>
      </c>
      <c r="D194" s="34" t="n">
        <v>0</v>
      </c>
      <c r="E194" s="34" t="n">
        <v>0</v>
      </c>
      <c r="F194" s="40" t="inlineStr">
        <is>
          <t>-</t>
        </is>
      </c>
      <c r="G194" s="40" t="inlineStr">
        <is>
          <t>-</t>
        </is>
      </c>
      <c r="H194" s="40" t="inlineStr">
        <is>
          <t>-</t>
        </is>
      </c>
      <c r="I194" s="40" t="inlineStr">
        <is>
          <t>-</t>
        </is>
      </c>
      <c r="J194" s="41" t="n">
        <v>0</v>
      </c>
      <c r="K194" s="34" t="inlineStr">
        <is>
          <t>No</t>
        </is>
      </c>
      <c r="L194" s="34" t="n">
        <v>0</v>
      </c>
      <c r="M19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95" ht="64" customHeight="1">
      <c r="A195" s="34" t="inlineStr">
        <is>
          <t>18 Jun</t>
        </is>
      </c>
      <c r="B195" s="34" t="inlineStr">
        <is>
          <t>51347</t>
        </is>
      </c>
      <c r="C195" s="34" t="n">
        <v>6</v>
      </c>
      <c r="D195" s="34" t="n">
        <v>0</v>
      </c>
      <c r="E195" s="34" t="n">
        <v>0</v>
      </c>
      <c r="F195" s="40" t="inlineStr">
        <is>
          <t>-</t>
        </is>
      </c>
      <c r="G195" s="40" t="inlineStr">
        <is>
          <t>-</t>
        </is>
      </c>
      <c r="H195" s="40" t="inlineStr">
        <is>
          <t>-</t>
        </is>
      </c>
      <c r="I195" s="40" t="inlineStr">
        <is>
          <t>-</t>
        </is>
      </c>
      <c r="J195" s="41" t="n">
        <v>0</v>
      </c>
      <c r="K195" s="34" t="inlineStr">
        <is>
          <t>No</t>
        </is>
      </c>
      <c r="L195" s="34" t="n">
        <v>0</v>
      </c>
      <c r="M19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96">
      <c r="A196" s="16" t="inlineStr">
        <is>
          <t>19 Jun</t>
        </is>
      </c>
      <c r="B196" s="16" t="inlineStr">
        <is>
          <t>30480</t>
        </is>
      </c>
      <c r="C196" s="16" t="n">
        <v>4503</v>
      </c>
      <c r="D196" s="16" t="n">
        <v>4503</v>
      </c>
      <c r="E196" s="16" t="n">
        <v>3672</v>
      </c>
      <c r="F196" s="38" t="n">
        <v>370458</v>
      </c>
      <c r="G196" s="38" t="n">
        <v>494965</v>
      </c>
      <c r="H196" s="38" t="n">
        <v>400400</v>
      </c>
      <c r="I196" s="38" t="n">
        <v>494311</v>
      </c>
      <c r="J196" s="19">
        <f>(I196-H196)/1000</f>
        <v/>
      </c>
      <c r="K196" s="16" t="inlineStr">
        <is>
          <t>Yes</t>
        </is>
      </c>
      <c r="L196" s="16" t="n">
        <v>23</v>
      </c>
      <c r="M196" s="39" t="inlineStr">
        <is>
          <t>- (full trip)</t>
        </is>
      </c>
    </row>
    <row r="197">
      <c r="A197" s="16" t="inlineStr">
        <is>
          <t>19 Jun</t>
        </is>
      </c>
      <c r="B197" s="16" t="inlineStr">
        <is>
          <t>30791</t>
        </is>
      </c>
      <c r="C197" s="16" t="n">
        <v>7814</v>
      </c>
      <c r="D197" s="16" t="n">
        <v>7814</v>
      </c>
      <c r="E197" s="16" t="n">
        <v>6138</v>
      </c>
      <c r="F197" s="38" t="n">
        <v>367618</v>
      </c>
      <c r="G197" s="38" t="n">
        <v>495815</v>
      </c>
      <c r="H197" s="38" t="n">
        <v>400400</v>
      </c>
      <c r="I197" s="38" t="n">
        <v>494310</v>
      </c>
      <c r="J197" s="19">
        <f>(I197-H197)/1000</f>
        <v/>
      </c>
      <c r="K197" s="16" t="inlineStr">
        <is>
          <t>Yes</t>
        </is>
      </c>
      <c r="L197" s="16" t="n">
        <v>23</v>
      </c>
      <c r="M197" s="39" t="inlineStr">
        <is>
          <t>- (full trip)</t>
        </is>
      </c>
    </row>
    <row r="198">
      <c r="A198" s="16" t="inlineStr">
        <is>
          <t>19 Jun</t>
        </is>
      </c>
      <c r="B198" s="16" t="inlineStr">
        <is>
          <t>37350</t>
        </is>
      </c>
      <c r="C198" s="16" t="n">
        <v>4552</v>
      </c>
      <c r="D198" s="16" t="n">
        <v>4552</v>
      </c>
      <c r="E198" s="16" t="n">
        <v>3684</v>
      </c>
      <c r="F198" s="38" t="n">
        <v>380740</v>
      </c>
      <c r="G198" s="38" t="n">
        <v>494982</v>
      </c>
      <c r="H198" s="38" t="n">
        <v>400404</v>
      </c>
      <c r="I198" s="38" t="n">
        <v>494311</v>
      </c>
      <c r="J198" s="19">
        <f>(I198-H198)/1000</f>
        <v/>
      </c>
      <c r="K198" s="16" t="inlineStr">
        <is>
          <t>Yes</t>
        </is>
      </c>
      <c r="L198" s="16" t="n">
        <v>23</v>
      </c>
      <c r="M198" s="39" t="inlineStr">
        <is>
          <t>- (full trip)</t>
        </is>
      </c>
    </row>
    <row r="199">
      <c r="A199" s="16" t="inlineStr">
        <is>
          <t>19 Jun</t>
        </is>
      </c>
      <c r="B199" s="16" t="inlineStr">
        <is>
          <t>39066</t>
        </is>
      </c>
      <c r="C199" s="16" t="n">
        <v>5183</v>
      </c>
      <c r="D199" s="16" t="n">
        <v>5183</v>
      </c>
      <c r="E199" s="16" t="n">
        <v>4686</v>
      </c>
      <c r="F199" s="38" t="n">
        <v>397598</v>
      </c>
      <c r="G199" s="38" t="n">
        <v>494895</v>
      </c>
      <c r="H199" s="38" t="n">
        <v>400398</v>
      </c>
      <c r="I199" s="38" t="n">
        <v>494312</v>
      </c>
      <c r="J199" s="19">
        <f>(I199-H199)/1000</f>
        <v/>
      </c>
      <c r="K199" s="16" t="inlineStr">
        <is>
          <t>Yes</t>
        </is>
      </c>
      <c r="L199" s="16" t="n">
        <v>23</v>
      </c>
      <c r="M199" s="39" t="inlineStr">
        <is>
          <t>- (full trip)</t>
        </is>
      </c>
    </row>
    <row r="200">
      <c r="A200" s="16" t="inlineStr">
        <is>
          <t>19 Jun</t>
        </is>
      </c>
      <c r="B200" s="16" t="inlineStr">
        <is>
          <t>39214</t>
        </is>
      </c>
      <c r="C200" s="16" t="n">
        <v>7715</v>
      </c>
      <c r="D200" s="16" t="n">
        <v>7696</v>
      </c>
      <c r="E200" s="16" t="n">
        <v>6182</v>
      </c>
      <c r="F200" s="38" t="n">
        <v>379713</v>
      </c>
      <c r="G200" s="38" t="n">
        <v>494974</v>
      </c>
      <c r="H200" s="38" t="n">
        <v>400404</v>
      </c>
      <c r="I200" s="38" t="n">
        <v>494311</v>
      </c>
      <c r="J200" s="19">
        <f>(I200-H200)/1000</f>
        <v/>
      </c>
      <c r="K200" s="16" t="inlineStr">
        <is>
          <t>Yes</t>
        </is>
      </c>
      <c r="L200" s="16" t="n">
        <v>23</v>
      </c>
      <c r="M200" s="39" t="inlineStr">
        <is>
          <t>- (full trip)</t>
        </is>
      </c>
    </row>
    <row r="201">
      <c r="A201" s="16" t="inlineStr">
        <is>
          <t>19 Jun</t>
        </is>
      </c>
      <c r="B201" s="16" t="inlineStr">
        <is>
          <t>39412</t>
        </is>
      </c>
      <c r="C201" s="16" t="n">
        <v>5189</v>
      </c>
      <c r="D201" s="16" t="n">
        <v>5175</v>
      </c>
      <c r="E201" s="16" t="n">
        <v>4067</v>
      </c>
      <c r="F201" s="38" t="n">
        <v>379260</v>
      </c>
      <c r="G201" s="38" t="n">
        <v>495016</v>
      </c>
      <c r="H201" s="38" t="n">
        <v>400399</v>
      </c>
      <c r="I201" s="38" t="n">
        <v>494312</v>
      </c>
      <c r="J201" s="19">
        <f>(I201-H201)/1000</f>
        <v/>
      </c>
      <c r="K201" s="16" t="inlineStr">
        <is>
          <t>Yes</t>
        </is>
      </c>
      <c r="L201" s="16" t="n">
        <v>23</v>
      </c>
      <c r="M201" s="39" t="inlineStr">
        <is>
          <t>- (full trip)</t>
        </is>
      </c>
    </row>
    <row r="202">
      <c r="A202" s="16" t="inlineStr">
        <is>
          <t>19 Jun</t>
        </is>
      </c>
      <c r="B202" s="16" t="inlineStr">
        <is>
          <t>37020</t>
        </is>
      </c>
      <c r="C202" s="16" t="n">
        <v>4076</v>
      </c>
      <c r="D202" s="16" t="n">
        <v>4076</v>
      </c>
      <c r="E202" s="16" t="n">
        <v>3574</v>
      </c>
      <c r="F202" s="38" t="n">
        <v>396621</v>
      </c>
      <c r="G202" s="38" t="n">
        <v>494948</v>
      </c>
      <c r="H202" s="38" t="n">
        <v>400416</v>
      </c>
      <c r="I202" s="38" t="n">
        <v>494312</v>
      </c>
      <c r="J202" s="19">
        <f>(I202-H202)/1000</f>
        <v/>
      </c>
      <c r="K202" s="16" t="inlineStr">
        <is>
          <t>Yes</t>
        </is>
      </c>
      <c r="L202" s="16" t="n">
        <v>23</v>
      </c>
      <c r="M202" s="39" t="inlineStr">
        <is>
          <t>- (full trip)</t>
        </is>
      </c>
    </row>
    <row r="203">
      <c r="A203" s="16" t="inlineStr">
        <is>
          <t>19 Jun</t>
        </is>
      </c>
      <c r="B203" s="16" t="inlineStr">
        <is>
          <t>37339</t>
        </is>
      </c>
      <c r="C203" s="16" t="n">
        <v>4145</v>
      </c>
      <c r="D203" s="16" t="n">
        <v>4145</v>
      </c>
      <c r="E203" s="16" t="n">
        <v>3556</v>
      </c>
      <c r="F203" s="38" t="n">
        <v>395476</v>
      </c>
      <c r="G203" s="38" t="n">
        <v>494979</v>
      </c>
      <c r="H203" s="38" t="n">
        <v>400409</v>
      </c>
      <c r="I203" s="38" t="n">
        <v>494310</v>
      </c>
      <c r="J203" s="19">
        <f>(I203-H203)/1000</f>
        <v/>
      </c>
      <c r="K203" s="16" t="inlineStr">
        <is>
          <t>Yes</t>
        </is>
      </c>
      <c r="L203" s="16" t="n">
        <v>23</v>
      </c>
      <c r="M203" s="39" t="inlineStr">
        <is>
          <t>- (full trip)</t>
        </is>
      </c>
    </row>
    <row r="204">
      <c r="A204" s="16" t="inlineStr">
        <is>
          <t>19 Jun</t>
        </is>
      </c>
      <c r="B204" s="16" t="inlineStr">
        <is>
          <t>37505</t>
        </is>
      </c>
      <c r="C204" s="16" t="n">
        <v>10217</v>
      </c>
      <c r="D204" s="16" t="n">
        <v>10217</v>
      </c>
      <c r="E204" s="16" t="n">
        <v>8317</v>
      </c>
      <c r="F204" s="38" t="n">
        <v>359091</v>
      </c>
      <c r="G204" s="38" t="n">
        <v>495800</v>
      </c>
      <c r="H204" s="38" t="n">
        <v>400411</v>
      </c>
      <c r="I204" s="38" t="n">
        <v>494312</v>
      </c>
      <c r="J204" s="19">
        <f>(I204-H204)/1000</f>
        <v/>
      </c>
      <c r="K204" s="16" t="inlineStr">
        <is>
          <t>Yes</t>
        </is>
      </c>
      <c r="L204" s="16" t="n">
        <v>23</v>
      </c>
      <c r="M204" s="39" t="inlineStr">
        <is>
          <t>- (full trip)</t>
        </is>
      </c>
    </row>
    <row r="205">
      <c r="A205" s="16" t="inlineStr">
        <is>
          <t>19 Jun</t>
        </is>
      </c>
      <c r="B205" s="16" t="inlineStr">
        <is>
          <t>37956</t>
        </is>
      </c>
      <c r="C205" s="16" t="n">
        <v>6518</v>
      </c>
      <c r="D205" s="16" t="n">
        <v>6518</v>
      </c>
      <c r="E205" s="16" t="n">
        <v>5389</v>
      </c>
      <c r="F205" s="38" t="n">
        <v>368183</v>
      </c>
      <c r="G205" s="38" t="n">
        <v>494965</v>
      </c>
      <c r="H205" s="38" t="n">
        <v>400416</v>
      </c>
      <c r="I205" s="38" t="n">
        <v>494312</v>
      </c>
      <c r="J205" s="19">
        <f>(I205-H205)/1000</f>
        <v/>
      </c>
      <c r="K205" s="16" t="inlineStr">
        <is>
          <t>Yes</t>
        </is>
      </c>
      <c r="L205" s="16" t="n">
        <v>23</v>
      </c>
      <c r="M205" s="39" t="inlineStr">
        <is>
          <t>- (full trip)</t>
        </is>
      </c>
    </row>
    <row r="206">
      <c r="A206" s="16" t="inlineStr">
        <is>
          <t>19 Jun</t>
        </is>
      </c>
      <c r="B206" s="16" t="inlineStr">
        <is>
          <t>39260</t>
        </is>
      </c>
      <c r="C206" s="16" t="n">
        <v>4949</v>
      </c>
      <c r="D206" s="16" t="n">
        <v>4949</v>
      </c>
      <c r="E206" s="16" t="n">
        <v>4030</v>
      </c>
      <c r="F206" s="38" t="n">
        <v>359404</v>
      </c>
      <c r="G206" s="38" t="n">
        <v>494969</v>
      </c>
      <c r="H206" s="38" t="n">
        <v>400408</v>
      </c>
      <c r="I206" s="38" t="n">
        <v>494312</v>
      </c>
      <c r="J206" s="19">
        <f>(I206-H206)/1000</f>
        <v/>
      </c>
      <c r="K206" s="16" t="inlineStr">
        <is>
          <t>Yes</t>
        </is>
      </c>
      <c r="L206" s="16" t="n">
        <v>23</v>
      </c>
      <c r="M206" s="39" t="inlineStr">
        <is>
          <t>- (full trip)</t>
        </is>
      </c>
    </row>
    <row r="207">
      <c r="A207" s="16" t="inlineStr">
        <is>
          <t>19 Jun</t>
        </is>
      </c>
      <c r="B207" s="16" t="inlineStr">
        <is>
          <t>45027</t>
        </is>
      </c>
      <c r="C207" s="16" t="n">
        <v>4343</v>
      </c>
      <c r="D207" s="16" t="n">
        <v>4322</v>
      </c>
      <c r="E207" s="16" t="n">
        <v>3788</v>
      </c>
      <c r="F207" s="38" t="n">
        <v>396013</v>
      </c>
      <c r="G207" s="38" t="n">
        <v>495609</v>
      </c>
      <c r="H207" s="38" t="n">
        <v>400400</v>
      </c>
      <c r="I207" s="38" t="n">
        <v>494301</v>
      </c>
      <c r="J207" s="19">
        <f>(I207-H207)/1000</f>
        <v/>
      </c>
      <c r="K207" s="16" t="inlineStr">
        <is>
          <t>Yes</t>
        </is>
      </c>
      <c r="L207" s="16" t="n">
        <v>23</v>
      </c>
      <c r="M207" s="39" t="inlineStr">
        <is>
          <t>- (full trip)</t>
        </is>
      </c>
    </row>
    <row r="208">
      <c r="A208" s="16" t="inlineStr">
        <is>
          <t>19 Jun</t>
        </is>
      </c>
      <c r="B208" s="16" t="inlineStr">
        <is>
          <t>30066</t>
        </is>
      </c>
      <c r="C208" s="16" t="n">
        <v>5954</v>
      </c>
      <c r="D208" s="16" t="n">
        <v>5954</v>
      </c>
      <c r="E208" s="16" t="n">
        <v>5090</v>
      </c>
      <c r="F208" s="38" t="n">
        <v>367781</v>
      </c>
      <c r="G208" s="38" t="n">
        <v>495009</v>
      </c>
      <c r="H208" s="38" t="n">
        <v>400416</v>
      </c>
      <c r="I208" s="38" t="n">
        <v>494311</v>
      </c>
      <c r="J208" s="19">
        <f>(I208-H208)/1000</f>
        <v/>
      </c>
      <c r="K208" s="16" t="inlineStr">
        <is>
          <t>Yes</t>
        </is>
      </c>
      <c r="L208" s="16" t="n">
        <v>23</v>
      </c>
      <c r="M208" s="39" t="inlineStr">
        <is>
          <t>- (full trip)</t>
        </is>
      </c>
    </row>
    <row r="209">
      <c r="A209" s="16" t="inlineStr">
        <is>
          <t>19 Jun</t>
        </is>
      </c>
      <c r="B209" s="16" t="inlineStr">
        <is>
          <t>37478</t>
        </is>
      </c>
      <c r="C209" s="16" t="n">
        <v>4857</v>
      </c>
      <c r="D209" s="16" t="n">
        <v>4857</v>
      </c>
      <c r="E209" s="16" t="n">
        <v>3884</v>
      </c>
      <c r="F209" s="38" t="n">
        <v>359896</v>
      </c>
      <c r="G209" s="38" t="n">
        <v>495819</v>
      </c>
      <c r="H209" s="38" t="n">
        <v>400414</v>
      </c>
      <c r="I209" s="38" t="n">
        <v>494307</v>
      </c>
      <c r="J209" s="19">
        <f>(I209-H209)/1000</f>
        <v/>
      </c>
      <c r="K209" s="16" t="inlineStr">
        <is>
          <t>Yes</t>
        </is>
      </c>
      <c r="L209" s="16" t="n">
        <v>23</v>
      </c>
      <c r="M209" s="39" t="inlineStr">
        <is>
          <t>- (full trip)</t>
        </is>
      </c>
    </row>
    <row r="210">
      <c r="A210" s="16" t="inlineStr">
        <is>
          <t>19 Jun</t>
        </is>
      </c>
      <c r="B210" s="16" t="inlineStr">
        <is>
          <t>39030</t>
        </is>
      </c>
      <c r="C210" s="16" t="n">
        <v>4926</v>
      </c>
      <c r="D210" s="16" t="n">
        <v>4926</v>
      </c>
      <c r="E210" s="16" t="n">
        <v>3953</v>
      </c>
      <c r="F210" s="38" t="n">
        <v>355533</v>
      </c>
      <c r="G210" s="38" t="n">
        <v>495805</v>
      </c>
      <c r="H210" s="38" t="n">
        <v>400414</v>
      </c>
      <c r="I210" s="38" t="n">
        <v>494307</v>
      </c>
      <c r="J210" s="19">
        <f>(I210-H210)/1000</f>
        <v/>
      </c>
      <c r="K210" s="16" t="inlineStr">
        <is>
          <t>Yes</t>
        </is>
      </c>
      <c r="L210" s="16" t="n">
        <v>23</v>
      </c>
      <c r="M210" s="39" t="inlineStr">
        <is>
          <t>- (full trip)</t>
        </is>
      </c>
    </row>
    <row r="211">
      <c r="A211" s="16" t="inlineStr">
        <is>
          <t>19 Jun</t>
        </is>
      </c>
      <c r="B211" s="16" t="inlineStr">
        <is>
          <t>39235</t>
        </is>
      </c>
      <c r="C211" s="16" t="n">
        <v>5565</v>
      </c>
      <c r="D211" s="16" t="n">
        <v>5565</v>
      </c>
      <c r="E211" s="16" t="n">
        <v>4625</v>
      </c>
      <c r="F211" s="38" t="n">
        <v>355042</v>
      </c>
      <c r="G211" s="38" t="n">
        <v>495707</v>
      </c>
      <c r="H211" s="38" t="n">
        <v>400424</v>
      </c>
      <c r="I211" s="38" t="n">
        <v>494311</v>
      </c>
      <c r="J211" s="19">
        <f>(I211-H211)/1000</f>
        <v/>
      </c>
      <c r="K211" s="16" t="inlineStr">
        <is>
          <t>Yes</t>
        </is>
      </c>
      <c r="L211" s="16" t="n">
        <v>23</v>
      </c>
      <c r="M211" s="39" t="inlineStr">
        <is>
          <t>- (full trip)</t>
        </is>
      </c>
    </row>
    <row r="212">
      <c r="A212" s="16" t="inlineStr">
        <is>
          <t>19 Jun</t>
        </is>
      </c>
      <c r="B212" s="16" t="inlineStr">
        <is>
          <t>39311</t>
        </is>
      </c>
      <c r="C212" s="16" t="n">
        <v>4797</v>
      </c>
      <c r="D212" s="16" t="n">
        <v>4797</v>
      </c>
      <c r="E212" s="16" t="n">
        <v>3991</v>
      </c>
      <c r="F212" s="38" t="n">
        <v>370451</v>
      </c>
      <c r="G212" s="38" t="n">
        <v>494968</v>
      </c>
      <c r="H212" s="38" t="n">
        <v>400435</v>
      </c>
      <c r="I212" s="38" t="n">
        <v>494311</v>
      </c>
      <c r="J212" s="19">
        <f>(I212-H212)/1000</f>
        <v/>
      </c>
      <c r="K212" s="16" t="inlineStr">
        <is>
          <t>Yes</t>
        </is>
      </c>
      <c r="L212" s="16" t="n">
        <v>23</v>
      </c>
      <c r="M212" s="39" t="inlineStr">
        <is>
          <t>- (full trip)</t>
        </is>
      </c>
    </row>
    <row r="213">
      <c r="A213" s="16" t="inlineStr">
        <is>
          <t>19 Jun</t>
        </is>
      </c>
      <c r="B213" s="16" t="inlineStr">
        <is>
          <t>30472</t>
        </is>
      </c>
      <c r="C213" s="16" t="n">
        <v>5328</v>
      </c>
      <c r="D213" s="16" t="n">
        <v>5328</v>
      </c>
      <c r="E213" s="16" t="n">
        <v>4379</v>
      </c>
      <c r="F213" s="38" t="n">
        <v>363440</v>
      </c>
      <c r="G213" s="38" t="n">
        <v>495793</v>
      </c>
      <c r="H213" s="38" t="n">
        <v>400439</v>
      </c>
      <c r="I213" s="38" t="n">
        <v>494310</v>
      </c>
      <c r="J213" s="19">
        <f>(I213-H213)/1000</f>
        <v/>
      </c>
      <c r="K213" s="16" t="inlineStr">
        <is>
          <t>Yes</t>
        </is>
      </c>
      <c r="L213" s="16" t="n">
        <v>23</v>
      </c>
      <c r="M213" s="39" t="inlineStr">
        <is>
          <t>- (full trip)</t>
        </is>
      </c>
    </row>
    <row r="214">
      <c r="A214" s="16" t="inlineStr">
        <is>
          <t>19 Jun</t>
        </is>
      </c>
      <c r="B214" s="16" t="inlineStr">
        <is>
          <t>30511</t>
        </is>
      </c>
      <c r="C214" s="16" t="n">
        <v>4479</v>
      </c>
      <c r="D214" s="16" t="n">
        <v>4479</v>
      </c>
      <c r="E214" s="16" t="n">
        <v>3333</v>
      </c>
      <c r="F214" s="38" t="n">
        <v>360789</v>
      </c>
      <c r="G214" s="38" t="n">
        <v>494978</v>
      </c>
      <c r="H214" s="38" t="n">
        <v>400441</v>
      </c>
      <c r="I214" s="38" t="n">
        <v>494311</v>
      </c>
      <c r="J214" s="19">
        <f>(I214-H214)/1000</f>
        <v/>
      </c>
      <c r="K214" s="16" t="inlineStr">
        <is>
          <t>Yes</t>
        </is>
      </c>
      <c r="L214" s="16" t="n">
        <v>23</v>
      </c>
      <c r="M214" s="39" t="inlineStr">
        <is>
          <t>- (full trip)</t>
        </is>
      </c>
    </row>
    <row r="215">
      <c r="A215" s="16" t="inlineStr">
        <is>
          <t>19 Jun</t>
        </is>
      </c>
      <c r="B215" s="16" t="inlineStr">
        <is>
          <t>30637</t>
        </is>
      </c>
      <c r="C215" s="16" t="n">
        <v>6034</v>
      </c>
      <c r="D215" s="16" t="n">
        <v>6034</v>
      </c>
      <c r="E215" s="16" t="n">
        <v>4532</v>
      </c>
      <c r="F215" s="38" t="n">
        <v>356131</v>
      </c>
      <c r="G215" s="38" t="n">
        <v>494981</v>
      </c>
      <c r="H215" s="38" t="n">
        <v>400441</v>
      </c>
      <c r="I215" s="38" t="n">
        <v>494310</v>
      </c>
      <c r="J215" s="19">
        <f>(I215-H215)/1000</f>
        <v/>
      </c>
      <c r="K215" s="16" t="inlineStr">
        <is>
          <t>Yes</t>
        </is>
      </c>
      <c r="L215" s="16" t="n">
        <v>23</v>
      </c>
      <c r="M215" s="39" t="inlineStr">
        <is>
          <t>- (full trip)</t>
        </is>
      </c>
    </row>
    <row r="216">
      <c r="A216" s="16" t="inlineStr">
        <is>
          <t>19 Jun</t>
        </is>
      </c>
      <c r="B216" s="16" t="inlineStr">
        <is>
          <t>39514</t>
        </is>
      </c>
      <c r="C216" s="16" t="n">
        <v>5960</v>
      </c>
      <c r="D216" s="16" t="n">
        <v>5960</v>
      </c>
      <c r="E216" s="16" t="n">
        <v>5069</v>
      </c>
      <c r="F216" s="38" t="n">
        <v>355792</v>
      </c>
      <c r="G216" s="38" t="n">
        <v>495781</v>
      </c>
      <c r="H216" s="38" t="n">
        <v>400438</v>
      </c>
      <c r="I216" s="38" t="n">
        <v>494312</v>
      </c>
      <c r="J216" s="19">
        <f>(I216-H216)/1000</f>
        <v/>
      </c>
      <c r="K216" s="16" t="inlineStr">
        <is>
          <t>Yes</t>
        </is>
      </c>
      <c r="L216" s="16" t="n">
        <v>23</v>
      </c>
      <c r="M216" s="39" t="inlineStr">
        <is>
          <t>- (full trip)</t>
        </is>
      </c>
    </row>
    <row r="217">
      <c r="A217" s="16" t="inlineStr">
        <is>
          <t>19 Jun</t>
        </is>
      </c>
      <c r="B217" s="16" t="inlineStr">
        <is>
          <t>43777</t>
        </is>
      </c>
      <c r="C217" s="16" t="n">
        <v>5224</v>
      </c>
      <c r="D217" s="16" t="n">
        <v>5224</v>
      </c>
      <c r="E217" s="16" t="n">
        <v>4267</v>
      </c>
      <c r="F217" s="38" t="n">
        <v>368158</v>
      </c>
      <c r="G217" s="38" t="n">
        <v>495781</v>
      </c>
      <c r="H217" s="38" t="n">
        <v>400441</v>
      </c>
      <c r="I217" s="38" t="n">
        <v>494312</v>
      </c>
      <c r="J217" s="19">
        <f>(I217-H217)/1000</f>
        <v/>
      </c>
      <c r="K217" s="16" t="inlineStr">
        <is>
          <t>Yes</t>
        </is>
      </c>
      <c r="L217" s="16" t="n">
        <v>23</v>
      </c>
      <c r="M217" s="39" t="inlineStr">
        <is>
          <t>- (full trip)</t>
        </is>
      </c>
    </row>
    <row r="218">
      <c r="A218" s="16" t="inlineStr">
        <is>
          <t>19 Jun</t>
        </is>
      </c>
      <c r="B218" s="16" t="inlineStr">
        <is>
          <t>37670</t>
        </is>
      </c>
      <c r="C218" s="16" t="n">
        <v>5554</v>
      </c>
      <c r="D218" s="16" t="n">
        <v>5446</v>
      </c>
      <c r="E218" s="16" t="n">
        <v>4244</v>
      </c>
      <c r="F218" s="38" t="n">
        <v>360638</v>
      </c>
      <c r="G218" s="38" t="n">
        <v>495717</v>
      </c>
      <c r="H218" s="38" t="n">
        <v>400444</v>
      </c>
      <c r="I218" s="38" t="n">
        <v>494309</v>
      </c>
      <c r="J218" s="19">
        <f>(I218-H218)/1000</f>
        <v/>
      </c>
      <c r="K218" s="16" t="inlineStr">
        <is>
          <t>Yes</t>
        </is>
      </c>
      <c r="L218" s="16" t="n">
        <v>23</v>
      </c>
      <c r="M218" s="39" t="inlineStr">
        <is>
          <t>- (full trip)</t>
        </is>
      </c>
    </row>
    <row r="219">
      <c r="A219" s="16" t="inlineStr">
        <is>
          <t>19 Jun</t>
        </is>
      </c>
      <c r="B219" s="16" t="inlineStr">
        <is>
          <t>37248</t>
        </is>
      </c>
      <c r="C219" s="16" t="n">
        <v>5960</v>
      </c>
      <c r="D219" s="16" t="n">
        <v>5957</v>
      </c>
      <c r="E219" s="16" t="n">
        <v>5736</v>
      </c>
      <c r="F219" s="38" t="n">
        <v>400991</v>
      </c>
      <c r="G219" s="38" t="n">
        <v>495804</v>
      </c>
      <c r="H219" s="38" t="n">
        <v>400991</v>
      </c>
      <c r="I219" s="38" t="n">
        <v>494311</v>
      </c>
      <c r="J219" s="19">
        <f>(I219-H219)/1000</f>
        <v/>
      </c>
      <c r="K219" s="16" t="inlineStr">
        <is>
          <t>Yes</t>
        </is>
      </c>
      <c r="L219" s="16" t="n">
        <v>23</v>
      </c>
      <c r="M219" s="39" t="inlineStr">
        <is>
          <t>- (full trip)</t>
        </is>
      </c>
    </row>
    <row r="220">
      <c r="A220" s="16" t="inlineStr">
        <is>
          <t>19 Jun</t>
        </is>
      </c>
      <c r="B220" s="16" t="inlineStr">
        <is>
          <t>39488</t>
        </is>
      </c>
      <c r="C220" s="16" t="n">
        <v>5365</v>
      </c>
      <c r="D220" s="16" t="n">
        <v>5347</v>
      </c>
      <c r="E220" s="16" t="n">
        <v>5065</v>
      </c>
      <c r="F220" s="38" t="n">
        <v>400988</v>
      </c>
      <c r="G220" s="38" t="n">
        <v>494981</v>
      </c>
      <c r="H220" s="38" t="n">
        <v>400988</v>
      </c>
      <c r="I220" s="38" t="n">
        <v>494310</v>
      </c>
      <c r="J220" s="19">
        <f>(I220-H220)/1000</f>
        <v/>
      </c>
      <c r="K220" s="16" t="inlineStr">
        <is>
          <t>Yes</t>
        </is>
      </c>
      <c r="L220" s="16" t="n">
        <v>23</v>
      </c>
      <c r="M220" s="39" t="inlineStr">
        <is>
          <t>- (full trip)</t>
        </is>
      </c>
    </row>
    <row r="221">
      <c r="A221" s="16" t="inlineStr">
        <is>
          <t>19 Jun</t>
        </is>
      </c>
      <c r="B221" s="16" t="inlineStr">
        <is>
          <t>37163</t>
        </is>
      </c>
      <c r="C221" s="16" t="n">
        <v>8283</v>
      </c>
      <c r="D221" s="16" t="n">
        <v>8225</v>
      </c>
      <c r="E221" s="16" t="n">
        <v>7145</v>
      </c>
      <c r="F221" s="38" t="n">
        <v>400996</v>
      </c>
      <c r="G221" s="38" t="n">
        <v>497716</v>
      </c>
      <c r="H221" s="38" t="n">
        <v>400996</v>
      </c>
      <c r="I221" s="38" t="n">
        <v>494311</v>
      </c>
      <c r="J221" s="19">
        <f>(I221-H221)/1000</f>
        <v/>
      </c>
      <c r="K221" s="16" t="inlineStr">
        <is>
          <t>Yes</t>
        </is>
      </c>
      <c r="L221" s="16" t="n">
        <v>23</v>
      </c>
      <c r="M221" s="39" t="inlineStr">
        <is>
          <t>- (full trip)</t>
        </is>
      </c>
    </row>
    <row r="222">
      <c r="A222" s="16" t="inlineStr">
        <is>
          <t>19 Jun</t>
        </is>
      </c>
      <c r="B222" s="16" t="inlineStr">
        <is>
          <t>37385</t>
        </is>
      </c>
      <c r="C222" s="16" t="n">
        <v>8323</v>
      </c>
      <c r="D222" s="16" t="n">
        <v>8323</v>
      </c>
      <c r="E222" s="16" t="n">
        <v>8090</v>
      </c>
      <c r="F222" s="38" t="n">
        <v>400997</v>
      </c>
      <c r="G222" s="38" t="n">
        <v>495810</v>
      </c>
      <c r="H222" s="38" t="n">
        <v>400997</v>
      </c>
      <c r="I222" s="38" t="n">
        <v>494305</v>
      </c>
      <c r="J222" s="19">
        <f>(I222-H222)/1000</f>
        <v/>
      </c>
      <c r="K222" s="16" t="inlineStr">
        <is>
          <t>Yes</t>
        </is>
      </c>
      <c r="L222" s="16" t="n">
        <v>23</v>
      </c>
      <c r="M222" s="39" t="inlineStr">
        <is>
          <t>- (full trip)</t>
        </is>
      </c>
    </row>
    <row r="223">
      <c r="A223" s="16" t="inlineStr">
        <is>
          <t>19 Jun</t>
        </is>
      </c>
      <c r="B223" s="16" t="inlineStr">
        <is>
          <t>30062</t>
        </is>
      </c>
      <c r="C223" s="16" t="n">
        <v>7287</v>
      </c>
      <c r="D223" s="16" t="n">
        <v>7280</v>
      </c>
      <c r="E223" s="16" t="n">
        <v>6962</v>
      </c>
      <c r="F223" s="38" t="n">
        <v>403424</v>
      </c>
      <c r="G223" s="38" t="n">
        <v>494436</v>
      </c>
      <c r="H223" s="38" t="n">
        <v>403424</v>
      </c>
      <c r="I223" s="38" t="n">
        <v>494312</v>
      </c>
      <c r="J223" s="19">
        <f>(I223-H223)/1000</f>
        <v/>
      </c>
      <c r="K223" s="16" t="inlineStr">
        <is>
          <t>Yes</t>
        </is>
      </c>
      <c r="L223" s="16" t="n">
        <v>23</v>
      </c>
      <c r="M223" s="39" t="inlineStr">
        <is>
          <t>- (full trip)</t>
        </is>
      </c>
    </row>
    <row r="224">
      <c r="A224" s="16" t="inlineStr">
        <is>
          <t>19 Jun</t>
        </is>
      </c>
      <c r="B224" s="16" t="inlineStr">
        <is>
          <t>37279</t>
        </is>
      </c>
      <c r="C224" s="16" t="n">
        <v>4287</v>
      </c>
      <c r="D224" s="16" t="n">
        <v>4287</v>
      </c>
      <c r="E224" s="16" t="n">
        <v>4072</v>
      </c>
      <c r="F224" s="38" t="n">
        <v>403426</v>
      </c>
      <c r="G224" s="38" t="n">
        <v>495782</v>
      </c>
      <c r="H224" s="38" t="n">
        <v>403426</v>
      </c>
      <c r="I224" s="38" t="n">
        <v>494312</v>
      </c>
      <c r="J224" s="19">
        <f>(I224-H224)/1000</f>
        <v/>
      </c>
      <c r="K224" s="16" t="inlineStr">
        <is>
          <t>Yes</t>
        </is>
      </c>
      <c r="L224" s="16" t="n">
        <v>23</v>
      </c>
      <c r="M224" s="39" t="inlineStr">
        <is>
          <t>- (full trip)</t>
        </is>
      </c>
    </row>
    <row r="225" ht="34" customHeight="1">
      <c r="A225" s="16" t="inlineStr">
        <is>
          <t>19 Jun</t>
        </is>
      </c>
      <c r="B225" s="16" t="inlineStr">
        <is>
          <t>30533</t>
        </is>
      </c>
      <c r="C225" s="16" t="n">
        <v>4689</v>
      </c>
      <c r="D225" s="16" t="n">
        <v>4689</v>
      </c>
      <c r="E225" s="16" t="n">
        <v>4689</v>
      </c>
      <c r="F225" s="38" t="n">
        <v>400991</v>
      </c>
      <c r="G225" s="38" t="n">
        <v>473966</v>
      </c>
      <c r="H225" s="38" t="n">
        <v>400991</v>
      </c>
      <c r="I225" s="38" t="n">
        <v>473966</v>
      </c>
      <c r="J225" s="19">
        <f>(I225-H225)/1000</f>
        <v/>
      </c>
      <c r="K225" s="16" t="inlineStr">
        <is>
          <t>Yes</t>
        </is>
      </c>
      <c r="L225" s="16" t="n">
        <v>18</v>
      </c>
      <c r="M225" s="39" t="inlineStr">
        <is>
          <t>BAREJADI NANDEJ, GERATPUR, VATVA, KANKARIYA CABIN, AHMEDABAD Jn</t>
        </is>
      </c>
    </row>
    <row r="226" ht="49" customHeight="1">
      <c r="A226" s="16" t="inlineStr">
        <is>
          <t>19 Jun</t>
        </is>
      </c>
      <c r="B226" s="16" t="inlineStr">
        <is>
          <t>37316</t>
        </is>
      </c>
      <c r="C226" s="16" t="n">
        <v>3366</v>
      </c>
      <c r="D226" s="16" t="n">
        <v>3366</v>
      </c>
      <c r="E226" s="16" t="n">
        <v>1909</v>
      </c>
      <c r="F226" s="38" t="n">
        <v>363435</v>
      </c>
      <c r="G226" s="38" t="n">
        <v>454790</v>
      </c>
      <c r="H226" s="38" t="n">
        <v>400404</v>
      </c>
      <c r="I226" s="38" t="n">
        <v>454790</v>
      </c>
      <c r="J226" s="19">
        <f>(I226-H226)/1000</f>
        <v/>
      </c>
      <c r="K226" s="16" t="inlineStr">
        <is>
          <t>Yes</t>
        </is>
      </c>
      <c r="L226" s="16" t="n">
        <v>13</v>
      </c>
      <c r="M226" s="39" t="inlineStr">
        <is>
          <t>GOTHAJ, LC-286, MAHEMDABAD AND KHEDA ROAD, LC-294, KANIJ, BAREJADI NANDEJ, GERATPUR, VATVA, KANKARIYA CABIN, AHMEDABAD Jn</t>
        </is>
      </c>
    </row>
    <row r="227" ht="49" customHeight="1">
      <c r="A227" s="16" t="inlineStr">
        <is>
          <t>19 Jun</t>
        </is>
      </c>
      <c r="B227" s="16" t="inlineStr">
        <is>
          <t>37813</t>
        </is>
      </c>
      <c r="C227" s="16" t="n">
        <v>1696</v>
      </c>
      <c r="D227" s="16" t="n">
        <v>1696</v>
      </c>
      <c r="E227" s="16" t="n">
        <v>973</v>
      </c>
      <c r="F227" s="38" t="n">
        <v>361521</v>
      </c>
      <c r="G227" s="38" t="n">
        <v>454172</v>
      </c>
      <c r="H227" s="38" t="n">
        <v>400439</v>
      </c>
      <c r="I227" s="38" t="n">
        <v>454172</v>
      </c>
      <c r="J227" s="19">
        <f>(I227-H227)/1000</f>
        <v/>
      </c>
      <c r="K227" s="16" t="inlineStr">
        <is>
          <t>Yes</t>
        </is>
      </c>
      <c r="L227" s="16" t="n">
        <v>13</v>
      </c>
      <c r="M227" s="39" t="inlineStr">
        <is>
          <t>GOTHAJ, LC-286, MAHEMDABAD AND KHEDA ROAD, LC-294, KANIJ, BAREJADI NANDEJ, GERATPUR, VATVA, KANKARIYA CABIN, AHMEDABAD Jn</t>
        </is>
      </c>
    </row>
    <row r="228" ht="49" customHeight="1">
      <c r="A228" s="16" t="inlineStr">
        <is>
          <t>19 Jun</t>
        </is>
      </c>
      <c r="B228" s="16" t="inlineStr">
        <is>
          <t>39331</t>
        </is>
      </c>
      <c r="C228" s="16" t="n">
        <v>1686</v>
      </c>
      <c r="D228" s="16" t="n">
        <v>1686</v>
      </c>
      <c r="E228" s="16" t="n">
        <v>910</v>
      </c>
      <c r="F228" s="38" t="n">
        <v>369561</v>
      </c>
      <c r="G228" s="38" t="n">
        <v>454174</v>
      </c>
      <c r="H228" s="38" t="n">
        <v>400471</v>
      </c>
      <c r="I228" s="38" t="n">
        <v>454174</v>
      </c>
      <c r="J228" s="19">
        <f>(I228-H228)/1000</f>
        <v/>
      </c>
      <c r="K228" s="16" t="inlineStr">
        <is>
          <t>Yes</t>
        </is>
      </c>
      <c r="L228" s="16" t="n">
        <v>13</v>
      </c>
      <c r="M228" s="39" t="inlineStr">
        <is>
          <t>GOTHAJ, LC-286, MAHEMDABAD AND KHEDA ROAD, LC-294, KANIJ, BAREJADI NANDEJ, GERATPUR, VATVA, KANKARIYA CABIN, AHMEDABAD Jn</t>
        </is>
      </c>
    </row>
    <row r="229" ht="49" customHeight="1">
      <c r="A229" s="16" t="inlineStr">
        <is>
          <t>19 Jun</t>
        </is>
      </c>
      <c r="B229" s="16" t="inlineStr">
        <is>
          <t>37684</t>
        </is>
      </c>
      <c r="C229" s="16" t="n">
        <v>3217</v>
      </c>
      <c r="D229" s="16" t="n">
        <v>3217</v>
      </c>
      <c r="E229" s="16" t="n">
        <v>1727</v>
      </c>
      <c r="F229" s="38" t="n">
        <v>360655</v>
      </c>
      <c r="G229" s="38" t="n">
        <v>453789</v>
      </c>
      <c r="H229" s="38" t="n">
        <v>400405</v>
      </c>
      <c r="I229" s="38" t="n">
        <v>453789</v>
      </c>
      <c r="J229" s="19">
        <f>(I229-H229)/1000</f>
        <v/>
      </c>
      <c r="K229" s="16" t="inlineStr">
        <is>
          <t>Yes</t>
        </is>
      </c>
      <c r="L229" s="16" t="n">
        <v>13</v>
      </c>
      <c r="M229" s="39" t="inlineStr">
        <is>
          <t>GOTHAJ, LC-286, MAHEMDABAD AND KHEDA ROAD, LC-294, KANIJ, BAREJADI NANDEJ, GERATPUR, VATVA, KANKARIYA CABIN, AHMEDABAD Jn</t>
        </is>
      </c>
    </row>
    <row r="230" ht="49" customHeight="1">
      <c r="A230" s="16" t="inlineStr">
        <is>
          <t>19 Jun</t>
        </is>
      </c>
      <c r="B230" s="16" t="inlineStr">
        <is>
          <t>37566</t>
        </is>
      </c>
      <c r="C230" s="16" t="n">
        <v>3241</v>
      </c>
      <c r="D230" s="16" t="n">
        <v>3241</v>
      </c>
      <c r="E230" s="16" t="n">
        <v>1670</v>
      </c>
      <c r="F230" s="38" t="n">
        <v>369805</v>
      </c>
      <c r="G230" s="38" t="n">
        <v>452723</v>
      </c>
      <c r="H230" s="38" t="n">
        <v>400472</v>
      </c>
      <c r="I230" s="38" t="n">
        <v>452723</v>
      </c>
      <c r="J230" s="19">
        <f>(I230-H230)/1000</f>
        <v/>
      </c>
      <c r="K230" s="16" t="inlineStr">
        <is>
          <t>Yes</t>
        </is>
      </c>
      <c r="L230" s="16" t="n">
        <v>12</v>
      </c>
      <c r="M230" s="39" t="inlineStr">
        <is>
          <t>LC-278, GOTHAJ, LC-286, MAHEMDABAD AND KHEDA ROAD, LC-294, KANIJ, BAREJADI NANDEJ, GERATPUR, VATVA, KANKARIYA CABIN, AHMEDABAD Jn</t>
        </is>
      </c>
    </row>
    <row r="231" ht="49" customHeight="1">
      <c r="A231" s="16" t="inlineStr">
        <is>
          <t>19 Jun</t>
        </is>
      </c>
      <c r="B231" s="16" t="inlineStr">
        <is>
          <t>37602</t>
        </is>
      </c>
      <c r="C231" s="16" t="n">
        <v>1822</v>
      </c>
      <c r="D231" s="16" t="n">
        <v>1822</v>
      </c>
      <c r="E231" s="16" t="n">
        <v>894</v>
      </c>
      <c r="F231" s="38" t="n">
        <v>355317</v>
      </c>
      <c r="G231" s="38" t="n">
        <v>452604</v>
      </c>
      <c r="H231" s="38" t="n">
        <v>400422</v>
      </c>
      <c r="I231" s="38" t="n">
        <v>452604</v>
      </c>
      <c r="J231" s="19">
        <f>(I231-H231)/1000</f>
        <v/>
      </c>
      <c r="K231" s="16" t="inlineStr">
        <is>
          <t>Yes</t>
        </is>
      </c>
      <c r="L231" s="16" t="n">
        <v>12</v>
      </c>
      <c r="M231" s="39" t="inlineStr">
        <is>
          <t>LC-278, GOTHAJ, LC-286, MAHEMDABAD AND KHEDA ROAD, LC-294, KANIJ, BAREJADI NANDEJ, GERATPUR, VATVA, KANKARIYA CABIN, AHMEDABAD Jn</t>
        </is>
      </c>
    </row>
    <row r="232" ht="49" customHeight="1">
      <c r="A232" s="16" t="inlineStr">
        <is>
          <t>19 Jun</t>
        </is>
      </c>
      <c r="B232" s="16" t="inlineStr">
        <is>
          <t>37275</t>
        </is>
      </c>
      <c r="C232" s="16" t="n">
        <v>4305</v>
      </c>
      <c r="D232" s="16" t="n">
        <v>4305</v>
      </c>
      <c r="E232" s="16" t="n">
        <v>4305</v>
      </c>
      <c r="F232" s="38" t="n">
        <v>400993</v>
      </c>
      <c r="G232" s="38" t="n">
        <v>452585</v>
      </c>
      <c r="H232" s="38" t="n">
        <v>400993</v>
      </c>
      <c r="I232" s="38" t="n">
        <v>452585</v>
      </c>
      <c r="J232" s="19">
        <f>(I232-H232)/1000</f>
        <v/>
      </c>
      <c r="K232" s="16" t="inlineStr">
        <is>
          <t>Yes</t>
        </is>
      </c>
      <c r="L232" s="16" t="n">
        <v>12</v>
      </c>
      <c r="M232" s="39" t="inlineStr">
        <is>
          <t>LC-278, GOTHAJ, LC-286, MAHEMDABAD AND KHEDA ROAD, LC-294, KANIJ, BAREJADI NANDEJ, GERATPUR, VATVA, KANKARIYA CABIN, AHMEDABAD Jn</t>
        </is>
      </c>
    </row>
    <row r="233" ht="49" customHeight="1">
      <c r="A233" s="16" t="inlineStr">
        <is>
          <t>19 Jun</t>
        </is>
      </c>
      <c r="B233" s="16" t="inlineStr">
        <is>
          <t>37780</t>
        </is>
      </c>
      <c r="C233" s="16" t="n">
        <v>1912</v>
      </c>
      <c r="D233" s="16" t="n">
        <v>1912</v>
      </c>
      <c r="E233" s="16" t="n">
        <v>870</v>
      </c>
      <c r="F233" s="38" t="n">
        <v>374164</v>
      </c>
      <c r="G233" s="38" t="n">
        <v>451543</v>
      </c>
      <c r="H233" s="38" t="n">
        <v>400402</v>
      </c>
      <c r="I233" s="38" t="n">
        <v>451543</v>
      </c>
      <c r="J233" s="19">
        <f>(I233-H233)/1000</f>
        <v/>
      </c>
      <c r="K233" s="16" t="inlineStr">
        <is>
          <t>Yes</t>
        </is>
      </c>
      <c r="L233" s="16" t="n">
        <v>12</v>
      </c>
      <c r="M233" s="39" t="inlineStr">
        <is>
          <t>LC-278, GOTHAJ, LC-286, MAHEMDABAD AND KHEDA ROAD, LC-294, KANIJ, BAREJADI NANDEJ, GERATPUR, VATVA, KANKARIYA CABIN, AHMEDABAD Jn</t>
        </is>
      </c>
    </row>
    <row r="234" ht="49" customHeight="1">
      <c r="A234" s="16" t="inlineStr">
        <is>
          <t>19 Jun</t>
        </is>
      </c>
      <c r="B234" s="16" t="inlineStr">
        <is>
          <t>37934</t>
        </is>
      </c>
      <c r="C234" s="16" t="n">
        <v>3906</v>
      </c>
      <c r="D234" s="16" t="n">
        <v>3906</v>
      </c>
      <c r="E234" s="16" t="n">
        <v>3906</v>
      </c>
      <c r="F234" s="38" t="n">
        <v>400993</v>
      </c>
      <c r="G234" s="38" t="n">
        <v>449664</v>
      </c>
      <c r="H234" s="38" t="n">
        <v>400993</v>
      </c>
      <c r="I234" s="38" t="n">
        <v>449664</v>
      </c>
      <c r="J234" s="19">
        <f>(I234-H234)/1000</f>
        <v/>
      </c>
      <c r="K234" s="16" t="inlineStr">
        <is>
          <t>Yes</t>
        </is>
      </c>
      <c r="L234" s="16" t="n">
        <v>12</v>
      </c>
      <c r="M234" s="39" t="inlineStr">
        <is>
          <t>LC-278, GOTHAJ, LC-286, MAHEMDABAD AND KHEDA ROAD, LC-294, KANIJ, BAREJADI NANDEJ, GERATPUR, VATVA, KANKARIYA CABIN, AHMEDABAD Jn</t>
        </is>
      </c>
    </row>
    <row r="235" ht="49" customHeight="1">
      <c r="A235" s="16" t="inlineStr">
        <is>
          <t>19 Jun</t>
        </is>
      </c>
      <c r="B235" s="16" t="inlineStr">
        <is>
          <t>39028</t>
        </is>
      </c>
      <c r="C235" s="16" t="n">
        <v>1872</v>
      </c>
      <c r="D235" s="16" t="n">
        <v>1872</v>
      </c>
      <c r="E235" s="16" t="n">
        <v>896</v>
      </c>
      <c r="F235" s="38" t="n">
        <v>370061</v>
      </c>
      <c r="G235" s="38" t="n">
        <v>441775</v>
      </c>
      <c r="H235" s="38" t="n">
        <v>400402</v>
      </c>
      <c r="I235" s="38" t="n">
        <v>441775</v>
      </c>
      <c r="J235" s="19">
        <f>(I235-H235)/1000</f>
        <v/>
      </c>
      <c r="K235" s="16" t="inlineStr">
        <is>
          <t>Yes</t>
        </is>
      </c>
      <c r="L235" s="16" t="n">
        <v>11</v>
      </c>
      <c r="M235" s="39" t="inlineStr">
        <is>
          <t>NADIAD, LC-278, GOTHAJ, LC-286, MAHEMDABAD AND KHEDA ROAD, LC-294, KANIJ, BAREJADI NANDEJ, GERATPUR, VATVA, KANKARIYA CABIN, AHMEDABAD Jn</t>
        </is>
      </c>
    </row>
    <row r="236" ht="49" customHeight="1">
      <c r="A236" s="16" t="inlineStr">
        <is>
          <t>19 Jun</t>
        </is>
      </c>
      <c r="B236" s="16" t="inlineStr">
        <is>
          <t>37793</t>
        </is>
      </c>
      <c r="C236" s="16" t="n">
        <v>1764</v>
      </c>
      <c r="D236" s="16" t="n">
        <v>1764</v>
      </c>
      <c r="E236" s="16" t="n">
        <v>817</v>
      </c>
      <c r="F236" s="38" t="n">
        <v>359503</v>
      </c>
      <c r="G236" s="38" t="n">
        <v>437341</v>
      </c>
      <c r="H236" s="38" t="n">
        <v>400408</v>
      </c>
      <c r="I236" s="38" t="n">
        <v>437341</v>
      </c>
      <c r="J236" s="19">
        <f>(I236-H236)/1000</f>
        <v/>
      </c>
      <c r="K236" s="16" t="inlineStr">
        <is>
          <t>Yes</t>
        </is>
      </c>
      <c r="L236" s="16" t="n">
        <v>10</v>
      </c>
      <c r="M236" s="39" t="inlineStr">
        <is>
          <t>UTARSANDA, NADIAD, LC-278, GOTHAJ, LC-286, MAHEMDABAD AND KHEDA ROAD, LC-294, KANIJ, BAREJADI NANDEJ, GERATPUR, VATVA, KANKARIYA CABIN, AHMEDABAD Jn</t>
        </is>
      </c>
    </row>
    <row r="237" ht="49" customHeight="1">
      <c r="A237" s="16" t="inlineStr">
        <is>
          <t>19 Jun</t>
        </is>
      </c>
      <c r="B237" s="16" t="inlineStr">
        <is>
          <t>30814</t>
        </is>
      </c>
      <c r="C237" s="16" t="n">
        <v>1376</v>
      </c>
      <c r="D237" s="16" t="n">
        <v>1376</v>
      </c>
      <c r="E237" s="16" t="n">
        <v>732</v>
      </c>
      <c r="F237" s="38" t="n">
        <v>369737</v>
      </c>
      <c r="G237" s="38" t="n">
        <v>437350</v>
      </c>
      <c r="H237" s="38" t="n">
        <v>400438</v>
      </c>
      <c r="I237" s="38" t="n">
        <v>437350</v>
      </c>
      <c r="J237" s="19">
        <f>(I237-H237)/1000</f>
        <v/>
      </c>
      <c r="K237" s="16" t="inlineStr">
        <is>
          <t>Yes</t>
        </is>
      </c>
      <c r="L237" s="16" t="n">
        <v>10</v>
      </c>
      <c r="M237" s="39" t="inlineStr">
        <is>
          <t>UTARSANDA, NADIAD, LC-278, GOTHAJ, LC-286, MAHEMDABAD AND KHEDA ROAD, LC-294, KANIJ, BAREJADI NANDEJ, GERATPUR, VATVA, KANKARIYA CABIN, AHMEDABAD Jn</t>
        </is>
      </c>
    </row>
    <row r="238" ht="49" customHeight="1">
      <c r="A238" s="16" t="inlineStr">
        <is>
          <t>19 Jun</t>
        </is>
      </c>
      <c r="B238" s="16" t="inlineStr">
        <is>
          <t>38989</t>
        </is>
      </c>
      <c r="C238" s="16" t="n">
        <v>1647</v>
      </c>
      <c r="D238" s="16" t="n">
        <v>1647</v>
      </c>
      <c r="E238" s="16" t="n">
        <v>781</v>
      </c>
      <c r="F238" s="38" t="n">
        <v>357016</v>
      </c>
      <c r="G238" s="38" t="n">
        <v>437252</v>
      </c>
      <c r="H238" s="38" t="n">
        <v>400402</v>
      </c>
      <c r="I238" s="38" t="n">
        <v>437252</v>
      </c>
      <c r="J238" s="19">
        <f>(I238-H238)/1000</f>
        <v/>
      </c>
      <c r="K238" s="16" t="inlineStr">
        <is>
          <t>Yes</t>
        </is>
      </c>
      <c r="L238" s="16" t="n">
        <v>10</v>
      </c>
      <c r="M238" s="39" t="inlineStr">
        <is>
          <t>UTARSANDA, NADIAD, LC-278, GOTHAJ, LC-286, MAHEMDABAD AND KHEDA ROAD, LC-294, KANIJ, BAREJADI NANDEJ, GERATPUR, VATVA, KANKARIYA CABIN, AHMEDABAD Jn</t>
        </is>
      </c>
    </row>
    <row r="239" ht="49" customHeight="1">
      <c r="A239" s="16" t="inlineStr">
        <is>
          <t>19 Jun</t>
        </is>
      </c>
      <c r="B239" s="16" t="inlineStr">
        <is>
          <t>37812</t>
        </is>
      </c>
      <c r="C239" s="16" t="n">
        <v>1528</v>
      </c>
      <c r="D239" s="16" t="n">
        <v>1528</v>
      </c>
      <c r="E239" s="16" t="n">
        <v>1084</v>
      </c>
      <c r="F239" s="38" t="n">
        <v>396352</v>
      </c>
      <c r="G239" s="38" t="n">
        <v>437112</v>
      </c>
      <c r="H239" s="38" t="n">
        <v>400403</v>
      </c>
      <c r="I239" s="38" t="n">
        <v>437112</v>
      </c>
      <c r="J239" s="19">
        <f>(I239-H239)/1000</f>
        <v/>
      </c>
      <c r="K239" s="16" t="inlineStr">
        <is>
          <t>Yes</t>
        </is>
      </c>
      <c r="L239" s="16" t="n">
        <v>10</v>
      </c>
      <c r="M239" s="39" t="inlineStr">
        <is>
          <t>UTARSANDA, NADIAD, LC-278, GOTHAJ, LC-286, MAHEMDABAD AND KHEDA ROAD, LC-294, KANIJ, BAREJADI NANDEJ, GERATPUR, VATVA, KANKARIYA CABIN, AHMEDABAD Jn</t>
        </is>
      </c>
    </row>
    <row r="240" ht="49" customHeight="1">
      <c r="A240" s="16" t="inlineStr">
        <is>
          <t>19 Jun</t>
        </is>
      </c>
      <c r="B240" s="16" t="inlineStr">
        <is>
          <t>30460</t>
        </is>
      </c>
      <c r="C240" s="16" t="n">
        <v>1231</v>
      </c>
      <c r="D240" s="16" t="n">
        <v>1231</v>
      </c>
      <c r="E240" s="16" t="n">
        <v>696</v>
      </c>
      <c r="F240" s="38" t="n">
        <v>370452</v>
      </c>
      <c r="G240" s="38" t="n">
        <v>437044</v>
      </c>
      <c r="H240" s="38" t="n">
        <v>400399</v>
      </c>
      <c r="I240" s="38" t="n">
        <v>437044</v>
      </c>
      <c r="J240" s="19">
        <f>(I240-H240)/1000</f>
        <v/>
      </c>
      <c r="K240" s="16" t="inlineStr">
        <is>
          <t>Yes</t>
        </is>
      </c>
      <c r="L240" s="16" t="n">
        <v>10</v>
      </c>
      <c r="M240" s="39" t="inlineStr">
        <is>
          <t>UTARSANDA, NADIAD, LC-278, GOTHAJ, LC-286, MAHEMDABAD AND KHEDA ROAD, LC-294, KANIJ, BAREJADI NANDEJ, GERATPUR, VATVA, KANKARIYA CABIN, AHMEDABAD Jn</t>
        </is>
      </c>
    </row>
    <row r="241" ht="64" customHeight="1">
      <c r="A241" s="16" t="inlineStr">
        <is>
          <t>19 Jun</t>
        </is>
      </c>
      <c r="B241" s="16" t="inlineStr">
        <is>
          <t>37337</t>
        </is>
      </c>
      <c r="C241" s="16" t="n">
        <v>2413</v>
      </c>
      <c r="D241" s="16" t="n">
        <v>2413</v>
      </c>
      <c r="E241" s="16" t="n">
        <v>1145</v>
      </c>
      <c r="F241" s="38" t="n">
        <v>358787</v>
      </c>
      <c r="G241" s="38" t="n">
        <v>426430</v>
      </c>
      <c r="H241" s="38" t="n">
        <v>400418</v>
      </c>
      <c r="I241" s="38" t="n">
        <v>426430</v>
      </c>
      <c r="J241" s="19">
        <f>(I241-H241)/1000</f>
        <v/>
      </c>
      <c r="K241" s="16" t="inlineStr">
        <is>
          <t>Yes</t>
        </is>
      </c>
      <c r="L241" s="16" t="n">
        <v>6</v>
      </c>
      <c r="M241" s="39" t="inlineStr">
        <is>
          <t>LC-258, ANAND Jn, LC-264, KANJARI BORIYAVI, UTARSANDA, NADIAD, LC-278, GOTHAJ, LC-286, MAHEMDABAD AND KHEDA ROAD, LC-294, KANIJ, BAREJADI NANDEJ, GERATPUR, VATVA, KANKARIYA CABIN, AHMEDABAD Jn</t>
        </is>
      </c>
    </row>
    <row r="242" ht="49" customHeight="1">
      <c r="A242" s="16" t="inlineStr">
        <is>
          <t>19 Jun</t>
        </is>
      </c>
      <c r="B242" s="16" t="inlineStr">
        <is>
          <t>45011</t>
        </is>
      </c>
      <c r="C242" s="16" t="n">
        <v>824</v>
      </c>
      <c r="D242" s="16" t="n">
        <v>810</v>
      </c>
      <c r="E242" s="16" t="n">
        <v>621</v>
      </c>
      <c r="F242" s="38" t="n">
        <v>478334</v>
      </c>
      <c r="G242" s="38" t="n">
        <v>495093</v>
      </c>
      <c r="H242" s="38" t="n">
        <v>478334</v>
      </c>
      <c r="I242" s="38" t="n">
        <v>494308</v>
      </c>
      <c r="J242" s="19">
        <f>(I242-H242)/1000</f>
        <v/>
      </c>
      <c r="K242" s="16" t="inlineStr">
        <is>
          <t>Yes</t>
        </is>
      </c>
      <c r="L242" s="16" t="n">
        <v>5</v>
      </c>
      <c r="M242" s="39" t="inlineStr">
        <is>
          <t>BAJWA, RANOLI, LC-246, VASAD, ADAS ROAD, VADOD, LC-258, ANAND Jn, LC-264, KANJARI BORIYAVI, UTARSANDA, NADIAD, LC-278, GOTHAJ, LC-286, MAHEMDABAD AND KHEDA ROAD, LC-294, KANIJ</t>
        </is>
      </c>
    </row>
    <row r="243" ht="64" customHeight="1">
      <c r="A243" s="16" t="inlineStr">
        <is>
          <t>19 Jun</t>
        </is>
      </c>
      <c r="B243" s="16" t="inlineStr">
        <is>
          <t>39200</t>
        </is>
      </c>
      <c r="C243" s="16" t="n">
        <v>58</v>
      </c>
      <c r="D243" s="16" t="n">
        <v>58</v>
      </c>
      <c r="E243" s="16" t="n">
        <v>33</v>
      </c>
      <c r="F243" s="38" t="n">
        <v>399112</v>
      </c>
      <c r="G243" s="38" t="n">
        <v>406705</v>
      </c>
      <c r="H243" s="38" t="n">
        <v>400405</v>
      </c>
      <c r="I243" s="38" t="n">
        <v>406705</v>
      </c>
      <c r="J243" s="19">
        <f>(I243-H243)/1000</f>
        <v/>
      </c>
      <c r="K243" s="16" t="inlineStr">
        <is>
          <t>Yes</t>
        </is>
      </c>
      <c r="L243" s="16" t="n">
        <v>2</v>
      </c>
      <c r="M243" s="39" t="inlineStr">
        <is>
          <t>LC-246, VASAD, ADAS ROAD, VADOD, LC-258, ANAND Jn, LC-264, KANJARI BORIYAVI, UTARSANDA, NADIAD, LC-278, GOTHAJ, LC-286, MAHEMDABAD AND KHEDA ROAD, LC-294, KANIJ, BAREJADI NANDEJ, GERATPUR, VATVA, KANKARIYA CABIN, AHMEDABAD Jn</t>
        </is>
      </c>
    </row>
    <row r="244" ht="64" customHeight="1">
      <c r="A244" s="16" t="inlineStr">
        <is>
          <t>19 Jun</t>
        </is>
      </c>
      <c r="B244" s="16" t="inlineStr">
        <is>
          <t>30767</t>
        </is>
      </c>
      <c r="C244" s="16" t="n">
        <v>1144</v>
      </c>
      <c r="D244" s="16" t="n">
        <v>1144</v>
      </c>
      <c r="E244" s="16" t="n">
        <v>342</v>
      </c>
      <c r="F244" s="38" t="n">
        <v>367932</v>
      </c>
      <c r="G244" s="38" t="n">
        <v>402385</v>
      </c>
      <c r="H244" s="38" t="n">
        <v>400400</v>
      </c>
      <c r="I244" s="38" t="n">
        <v>402385</v>
      </c>
      <c r="J244" s="19">
        <f>(I244-H244)/1000</f>
        <v/>
      </c>
      <c r="K244" s="16" t="inlineStr">
        <is>
          <t>Yes</t>
        </is>
      </c>
      <c r="L244" s="16" t="n">
        <v>1</v>
      </c>
      <c r="M244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45" ht="64" customHeight="1">
      <c r="A245" s="34" t="inlineStr">
        <is>
          <t>19 Jun</t>
        </is>
      </c>
      <c r="B245" s="34" t="inlineStr">
        <is>
          <t>120850</t>
        </is>
      </c>
      <c r="C245" s="34" t="n">
        <v>1474</v>
      </c>
      <c r="D245" s="34" t="n">
        <v>1429</v>
      </c>
      <c r="E245" s="34" t="n">
        <v>0</v>
      </c>
      <c r="F245" s="40" t="n">
        <v>769031</v>
      </c>
      <c r="G245" s="40" t="n">
        <v>773216</v>
      </c>
      <c r="H245" s="40" t="inlineStr">
        <is>
          <t>-</t>
        </is>
      </c>
      <c r="I245" s="40" t="inlineStr">
        <is>
          <t>-</t>
        </is>
      </c>
      <c r="J245" s="41" t="n">
        <v>0</v>
      </c>
      <c r="K245" s="34" t="inlineStr">
        <is>
          <t>No</t>
        </is>
      </c>
      <c r="L245" s="34" t="n">
        <v>0</v>
      </c>
      <c r="M24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46" ht="64" customHeight="1">
      <c r="A246" s="34" t="inlineStr">
        <is>
          <t>19 Jun</t>
        </is>
      </c>
      <c r="B246" s="34" t="inlineStr">
        <is>
          <t>30065</t>
        </is>
      </c>
      <c r="C246" s="34" t="n">
        <v>4</v>
      </c>
      <c r="D246" s="34" t="n">
        <v>0</v>
      </c>
      <c r="E246" s="34" t="n">
        <v>0</v>
      </c>
      <c r="F246" s="40" t="inlineStr">
        <is>
          <t>-</t>
        </is>
      </c>
      <c r="G246" s="40" t="inlineStr">
        <is>
          <t>-</t>
        </is>
      </c>
      <c r="H246" s="40" t="inlineStr">
        <is>
          <t>-</t>
        </is>
      </c>
      <c r="I246" s="40" t="inlineStr">
        <is>
          <t>-</t>
        </is>
      </c>
      <c r="J246" s="41" t="n">
        <v>0</v>
      </c>
      <c r="K246" s="34" t="inlineStr">
        <is>
          <t>No</t>
        </is>
      </c>
      <c r="L246" s="34" t="n">
        <v>0</v>
      </c>
      <c r="M24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47" ht="64" customHeight="1">
      <c r="A247" s="34" t="inlineStr">
        <is>
          <t>19 Jun</t>
        </is>
      </c>
      <c r="B247" s="34" t="inlineStr">
        <is>
          <t>30068</t>
        </is>
      </c>
      <c r="C247" s="34" t="n">
        <v>4</v>
      </c>
      <c r="D247" s="34" t="n">
        <v>0</v>
      </c>
      <c r="E247" s="34" t="n">
        <v>0</v>
      </c>
      <c r="F247" s="40" t="inlineStr">
        <is>
          <t>-</t>
        </is>
      </c>
      <c r="G247" s="40" t="inlineStr">
        <is>
          <t>-</t>
        </is>
      </c>
      <c r="H247" s="40" t="inlineStr">
        <is>
          <t>-</t>
        </is>
      </c>
      <c r="I247" s="40" t="inlineStr">
        <is>
          <t>-</t>
        </is>
      </c>
      <c r="J247" s="41" t="n">
        <v>0</v>
      </c>
      <c r="K247" s="34" t="inlineStr">
        <is>
          <t>No</t>
        </is>
      </c>
      <c r="L247" s="34" t="n">
        <v>0</v>
      </c>
      <c r="M24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48" ht="64" customHeight="1">
      <c r="A248" s="34" t="inlineStr">
        <is>
          <t>19 Jun</t>
        </is>
      </c>
      <c r="B248" s="34" t="inlineStr">
        <is>
          <t>30507</t>
        </is>
      </c>
      <c r="C248" s="34" t="n">
        <v>340</v>
      </c>
      <c r="D248" s="34" t="n">
        <v>340</v>
      </c>
      <c r="E248" s="34" t="n">
        <v>0</v>
      </c>
      <c r="F248" s="40" t="n">
        <v>367874</v>
      </c>
      <c r="G248" s="40" t="n">
        <v>395222</v>
      </c>
      <c r="H248" s="40" t="inlineStr">
        <is>
          <t>-</t>
        </is>
      </c>
      <c r="I248" s="40" t="inlineStr">
        <is>
          <t>-</t>
        </is>
      </c>
      <c r="J248" s="41" t="n">
        <v>0</v>
      </c>
      <c r="K248" s="34" t="inlineStr">
        <is>
          <t>No</t>
        </is>
      </c>
      <c r="L248" s="34" t="n">
        <v>0</v>
      </c>
      <c r="M24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49" ht="64" customHeight="1">
      <c r="A249" s="34" t="inlineStr">
        <is>
          <t>19 Jun</t>
        </is>
      </c>
      <c r="B249" s="34" t="inlineStr">
        <is>
          <t>30581</t>
        </is>
      </c>
      <c r="C249" s="34" t="n">
        <v>16</v>
      </c>
      <c r="D249" s="34" t="n">
        <v>0</v>
      </c>
      <c r="E249" s="34" t="n">
        <v>0</v>
      </c>
      <c r="F249" s="40" t="inlineStr">
        <is>
          <t>-</t>
        </is>
      </c>
      <c r="G249" s="40" t="inlineStr">
        <is>
          <t>-</t>
        </is>
      </c>
      <c r="H249" s="40" t="inlineStr">
        <is>
          <t>-</t>
        </is>
      </c>
      <c r="I249" s="40" t="inlineStr">
        <is>
          <t>-</t>
        </is>
      </c>
      <c r="J249" s="41" t="n">
        <v>0</v>
      </c>
      <c r="K249" s="34" t="inlineStr">
        <is>
          <t>No</t>
        </is>
      </c>
      <c r="L249" s="34" t="n">
        <v>0</v>
      </c>
      <c r="M24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0" ht="64" customHeight="1">
      <c r="A250" s="34" t="inlineStr">
        <is>
          <t>19 Jun</t>
        </is>
      </c>
      <c r="B250" s="34" t="inlineStr">
        <is>
          <t>32649</t>
        </is>
      </c>
      <c r="C250" s="34" t="n">
        <v>30</v>
      </c>
      <c r="D250" s="34" t="n">
        <v>0</v>
      </c>
      <c r="E250" s="34" t="n">
        <v>0</v>
      </c>
      <c r="F250" s="40" t="inlineStr">
        <is>
          <t>-</t>
        </is>
      </c>
      <c r="G250" s="40" t="inlineStr">
        <is>
          <t>-</t>
        </is>
      </c>
      <c r="H250" s="40" t="inlineStr">
        <is>
          <t>-</t>
        </is>
      </c>
      <c r="I250" s="40" t="inlineStr">
        <is>
          <t>-</t>
        </is>
      </c>
      <c r="J250" s="41" t="n">
        <v>0</v>
      </c>
      <c r="K250" s="34" t="inlineStr">
        <is>
          <t>No</t>
        </is>
      </c>
      <c r="L250" s="34" t="n">
        <v>0</v>
      </c>
      <c r="M25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1" ht="64" customHeight="1">
      <c r="A251" s="34" t="inlineStr">
        <is>
          <t>19 Jun</t>
        </is>
      </c>
      <c r="B251" s="34" t="inlineStr">
        <is>
          <t>33730</t>
        </is>
      </c>
      <c r="C251" s="34" t="n">
        <v>27</v>
      </c>
      <c r="D251" s="34" t="n">
        <v>0</v>
      </c>
      <c r="E251" s="34" t="n">
        <v>0</v>
      </c>
      <c r="F251" s="40" t="inlineStr">
        <is>
          <t>-</t>
        </is>
      </c>
      <c r="G251" s="40" t="inlineStr">
        <is>
          <t>-</t>
        </is>
      </c>
      <c r="H251" s="40" t="inlineStr">
        <is>
          <t>-</t>
        </is>
      </c>
      <c r="I251" s="40" t="inlineStr">
        <is>
          <t>-</t>
        </is>
      </c>
      <c r="J251" s="41" t="n">
        <v>0</v>
      </c>
      <c r="K251" s="34" t="inlineStr">
        <is>
          <t>No</t>
        </is>
      </c>
      <c r="L251" s="34" t="n">
        <v>0</v>
      </c>
      <c r="M25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2" ht="64" customHeight="1">
      <c r="A252" s="34" t="inlineStr">
        <is>
          <t>19 Jun</t>
        </is>
      </c>
      <c r="B252" s="34" t="inlineStr">
        <is>
          <t>37111</t>
        </is>
      </c>
      <c r="C252" s="34" t="n">
        <v>18</v>
      </c>
      <c r="D252" s="34" t="n">
        <v>0</v>
      </c>
      <c r="E252" s="34" t="n">
        <v>0</v>
      </c>
      <c r="F252" s="40" t="inlineStr">
        <is>
          <t>-</t>
        </is>
      </c>
      <c r="G252" s="40" t="inlineStr">
        <is>
          <t>-</t>
        </is>
      </c>
      <c r="H252" s="40" t="inlineStr">
        <is>
          <t>-</t>
        </is>
      </c>
      <c r="I252" s="40" t="inlineStr">
        <is>
          <t>-</t>
        </is>
      </c>
      <c r="J252" s="41" t="n">
        <v>0</v>
      </c>
      <c r="K252" s="34" t="inlineStr">
        <is>
          <t>No</t>
        </is>
      </c>
      <c r="L252" s="34" t="n">
        <v>0</v>
      </c>
      <c r="M25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3" ht="64" customHeight="1">
      <c r="A253" s="34" t="inlineStr">
        <is>
          <t>19 Jun</t>
        </is>
      </c>
      <c r="B253" s="34" t="inlineStr">
        <is>
          <t>37781</t>
        </is>
      </c>
      <c r="C253" s="34" t="n">
        <v>2</v>
      </c>
      <c r="D253" s="34" t="n">
        <v>2</v>
      </c>
      <c r="E253" s="34" t="n">
        <v>0</v>
      </c>
      <c r="F253" s="40" t="n">
        <v>394150</v>
      </c>
      <c r="G253" s="40" t="n">
        <v>394812</v>
      </c>
      <c r="H253" s="40" t="inlineStr">
        <is>
          <t>-</t>
        </is>
      </c>
      <c r="I253" s="40" t="inlineStr">
        <is>
          <t>-</t>
        </is>
      </c>
      <c r="J253" s="41" t="n">
        <v>0</v>
      </c>
      <c r="K253" s="34" t="inlineStr">
        <is>
          <t>No</t>
        </is>
      </c>
      <c r="L253" s="34" t="n">
        <v>0</v>
      </c>
      <c r="M25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4" ht="64" customHeight="1">
      <c r="A254" s="34" t="inlineStr">
        <is>
          <t>19 Jun</t>
        </is>
      </c>
      <c r="B254" s="34" t="inlineStr">
        <is>
          <t>37830</t>
        </is>
      </c>
      <c r="C254" s="34" t="n">
        <v>137</v>
      </c>
      <c r="D254" s="34" t="n">
        <v>137</v>
      </c>
      <c r="E254" s="34" t="n">
        <v>0</v>
      </c>
      <c r="F254" s="40" t="n">
        <v>380799</v>
      </c>
      <c r="G254" s="40" t="n">
        <v>395219</v>
      </c>
      <c r="H254" s="40" t="inlineStr">
        <is>
          <t>-</t>
        </is>
      </c>
      <c r="I254" s="40" t="inlineStr">
        <is>
          <t>-</t>
        </is>
      </c>
      <c r="J254" s="41" t="n">
        <v>0</v>
      </c>
      <c r="K254" s="34" t="inlineStr">
        <is>
          <t>No</t>
        </is>
      </c>
      <c r="L254" s="34" t="n">
        <v>0</v>
      </c>
      <c r="M25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5" ht="64" customHeight="1">
      <c r="A255" s="34" t="inlineStr">
        <is>
          <t>19 Jun</t>
        </is>
      </c>
      <c r="B255" s="34" t="inlineStr">
        <is>
          <t>39089</t>
        </is>
      </c>
      <c r="C255" s="34" t="n">
        <v>464</v>
      </c>
      <c r="D255" s="34" t="n">
        <v>464</v>
      </c>
      <c r="E255" s="34" t="n">
        <v>0</v>
      </c>
      <c r="F255" s="40" t="n">
        <v>370167</v>
      </c>
      <c r="G255" s="40" t="n">
        <v>395869</v>
      </c>
      <c r="H255" s="40" t="inlineStr">
        <is>
          <t>-</t>
        </is>
      </c>
      <c r="I255" s="40" t="inlineStr">
        <is>
          <t>-</t>
        </is>
      </c>
      <c r="J255" s="41" t="n">
        <v>0</v>
      </c>
      <c r="K255" s="34" t="inlineStr">
        <is>
          <t>No</t>
        </is>
      </c>
      <c r="L255" s="34" t="n">
        <v>0</v>
      </c>
      <c r="M25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6" ht="64" customHeight="1">
      <c r="A256" s="34" t="inlineStr">
        <is>
          <t>19 Jun</t>
        </is>
      </c>
      <c r="B256" s="34" t="inlineStr">
        <is>
          <t>39238</t>
        </is>
      </c>
      <c r="C256" s="34" t="n">
        <v>526</v>
      </c>
      <c r="D256" s="34" t="n">
        <v>526</v>
      </c>
      <c r="E256" s="34" t="n">
        <v>0</v>
      </c>
      <c r="F256" s="40" t="n">
        <v>361813</v>
      </c>
      <c r="G256" s="40" t="n">
        <v>396921</v>
      </c>
      <c r="H256" s="40" t="inlineStr">
        <is>
          <t>-</t>
        </is>
      </c>
      <c r="I256" s="40" t="inlineStr">
        <is>
          <t>-</t>
        </is>
      </c>
      <c r="J256" s="41" t="n">
        <v>0</v>
      </c>
      <c r="K256" s="34" t="inlineStr">
        <is>
          <t>No</t>
        </is>
      </c>
      <c r="L256" s="34" t="n">
        <v>0</v>
      </c>
      <c r="M25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7" ht="64" customHeight="1">
      <c r="A257" s="34" t="inlineStr">
        <is>
          <t>19 Jun</t>
        </is>
      </c>
      <c r="B257" s="34" t="inlineStr">
        <is>
          <t>39465</t>
        </is>
      </c>
      <c r="C257" s="34" t="n">
        <v>205</v>
      </c>
      <c r="D257" s="34" t="n">
        <v>205</v>
      </c>
      <c r="E257" s="34" t="n">
        <v>0</v>
      </c>
      <c r="F257" s="40" t="n">
        <v>367830</v>
      </c>
      <c r="G257" s="40" t="n">
        <v>395273</v>
      </c>
      <c r="H257" s="40" t="inlineStr">
        <is>
          <t>-</t>
        </is>
      </c>
      <c r="I257" s="40" t="inlineStr">
        <is>
          <t>-</t>
        </is>
      </c>
      <c r="J257" s="41" t="n">
        <v>0</v>
      </c>
      <c r="K257" s="34" t="inlineStr">
        <is>
          <t>No</t>
        </is>
      </c>
      <c r="L257" s="34" t="n">
        <v>0</v>
      </c>
      <c r="M25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8" ht="64" customHeight="1">
      <c r="A258" s="34" t="inlineStr">
        <is>
          <t>19 Jun</t>
        </is>
      </c>
      <c r="B258" s="34" t="inlineStr">
        <is>
          <t>39467</t>
        </is>
      </c>
      <c r="C258" s="34" t="n">
        <v>1</v>
      </c>
      <c r="D258" s="34" t="n">
        <v>0</v>
      </c>
      <c r="E258" s="34" t="n">
        <v>0</v>
      </c>
      <c r="F258" s="40" t="inlineStr">
        <is>
          <t>-</t>
        </is>
      </c>
      <c r="G258" s="40" t="inlineStr">
        <is>
          <t>-</t>
        </is>
      </c>
      <c r="H258" s="40" t="inlineStr">
        <is>
          <t>-</t>
        </is>
      </c>
      <c r="I258" s="40" t="inlineStr">
        <is>
          <t>-</t>
        </is>
      </c>
      <c r="J258" s="41" t="n">
        <v>0</v>
      </c>
      <c r="K258" s="34" t="inlineStr">
        <is>
          <t>No</t>
        </is>
      </c>
      <c r="L258" s="34" t="n">
        <v>0</v>
      </c>
      <c r="M25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9" ht="64" customHeight="1">
      <c r="A259" s="34" t="inlineStr">
        <is>
          <t>19 Jun</t>
        </is>
      </c>
      <c r="B259" s="34" t="inlineStr">
        <is>
          <t>41820</t>
        </is>
      </c>
      <c r="C259" s="34" t="n">
        <v>4</v>
      </c>
      <c r="D259" s="34" t="n">
        <v>0</v>
      </c>
      <c r="E259" s="34" t="n">
        <v>0</v>
      </c>
      <c r="F259" s="40" t="inlineStr">
        <is>
          <t>-</t>
        </is>
      </c>
      <c r="G259" s="40" t="inlineStr">
        <is>
          <t>-</t>
        </is>
      </c>
      <c r="H259" s="40" t="inlineStr">
        <is>
          <t>-</t>
        </is>
      </c>
      <c r="I259" s="40" t="inlineStr">
        <is>
          <t>-</t>
        </is>
      </c>
      <c r="J259" s="41" t="n">
        <v>0</v>
      </c>
      <c r="K259" s="34" t="inlineStr">
        <is>
          <t>No</t>
        </is>
      </c>
      <c r="L259" s="34" t="n">
        <v>0</v>
      </c>
      <c r="M25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0" ht="64" customHeight="1">
      <c r="A260" s="34" t="inlineStr">
        <is>
          <t>19 Jun</t>
        </is>
      </c>
      <c r="B260" s="34" t="inlineStr">
        <is>
          <t>42229</t>
        </is>
      </c>
      <c r="C260" s="34" t="n">
        <v>401</v>
      </c>
      <c r="D260" s="34" t="n">
        <v>294</v>
      </c>
      <c r="E260" s="34" t="n">
        <v>0</v>
      </c>
      <c r="F260" s="40" t="n">
        <v>2500176</v>
      </c>
      <c r="G260" s="40" t="n">
        <v>2500419</v>
      </c>
      <c r="H260" s="40" t="inlineStr">
        <is>
          <t>-</t>
        </is>
      </c>
      <c r="I260" s="40" t="inlineStr">
        <is>
          <t>-</t>
        </is>
      </c>
      <c r="J260" s="41" t="n">
        <v>0</v>
      </c>
      <c r="K260" s="34" t="inlineStr">
        <is>
          <t>No</t>
        </is>
      </c>
      <c r="L260" s="34" t="n">
        <v>0</v>
      </c>
      <c r="M26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1" ht="64" customHeight="1">
      <c r="A261" s="34" t="inlineStr">
        <is>
          <t>19 Jun</t>
        </is>
      </c>
      <c r="B261" s="34" t="inlineStr">
        <is>
          <t>43772</t>
        </is>
      </c>
      <c r="C261" s="34" t="n">
        <v>3</v>
      </c>
      <c r="D261" s="34" t="n">
        <v>0</v>
      </c>
      <c r="E261" s="34" t="n">
        <v>0</v>
      </c>
      <c r="F261" s="40" t="inlineStr">
        <is>
          <t>-</t>
        </is>
      </c>
      <c r="G261" s="40" t="inlineStr">
        <is>
          <t>-</t>
        </is>
      </c>
      <c r="H261" s="40" t="inlineStr">
        <is>
          <t>-</t>
        </is>
      </c>
      <c r="I261" s="40" t="inlineStr">
        <is>
          <t>-</t>
        </is>
      </c>
      <c r="J261" s="41" t="n">
        <v>0</v>
      </c>
      <c r="K261" s="34" t="inlineStr">
        <is>
          <t>No</t>
        </is>
      </c>
      <c r="L261" s="34" t="n">
        <v>0</v>
      </c>
      <c r="M26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2" ht="64" customHeight="1">
      <c r="A262" s="34" t="inlineStr">
        <is>
          <t>19 Jun</t>
        </is>
      </c>
      <c r="B262" s="34" t="inlineStr">
        <is>
          <t>43958</t>
        </is>
      </c>
      <c r="C262" s="34" t="n">
        <v>6</v>
      </c>
      <c r="D262" s="34" t="n">
        <v>0</v>
      </c>
      <c r="E262" s="34" t="n">
        <v>0</v>
      </c>
      <c r="F262" s="40" t="inlineStr">
        <is>
          <t>-</t>
        </is>
      </c>
      <c r="G262" s="40" t="inlineStr">
        <is>
          <t>-</t>
        </is>
      </c>
      <c r="H262" s="40" t="inlineStr">
        <is>
          <t>-</t>
        </is>
      </c>
      <c r="I262" s="40" t="inlineStr">
        <is>
          <t>-</t>
        </is>
      </c>
      <c r="J262" s="41" t="n">
        <v>0</v>
      </c>
      <c r="K262" s="34" t="inlineStr">
        <is>
          <t>No</t>
        </is>
      </c>
      <c r="L262" s="34" t="n">
        <v>0</v>
      </c>
      <c r="M26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3" ht="64" customHeight="1">
      <c r="A263" s="34" t="inlineStr">
        <is>
          <t>19 Jun</t>
        </is>
      </c>
      <c r="B263" s="34" t="inlineStr">
        <is>
          <t>44406</t>
        </is>
      </c>
      <c r="C263" s="34" t="n">
        <v>34</v>
      </c>
      <c r="D263" s="34" t="n">
        <v>34</v>
      </c>
      <c r="E263" s="34" t="n">
        <v>0</v>
      </c>
      <c r="F263" s="40" t="n">
        <v>371564</v>
      </c>
      <c r="G263" s="40" t="n">
        <v>396943</v>
      </c>
      <c r="H263" s="40" t="inlineStr">
        <is>
          <t>-</t>
        </is>
      </c>
      <c r="I263" s="40" t="inlineStr">
        <is>
          <t>-</t>
        </is>
      </c>
      <c r="J263" s="41" t="n">
        <v>0</v>
      </c>
      <c r="K263" s="34" t="inlineStr">
        <is>
          <t>No</t>
        </is>
      </c>
      <c r="L263" s="34" t="n">
        <v>0</v>
      </c>
      <c r="M26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4" ht="64" customHeight="1">
      <c r="A264" s="34" t="inlineStr">
        <is>
          <t>19 Jun</t>
        </is>
      </c>
      <c r="B264" s="34" t="inlineStr">
        <is>
          <t>45035</t>
        </is>
      </c>
      <c r="C264" s="34" t="n">
        <v>12</v>
      </c>
      <c r="D264" s="34" t="n">
        <v>0</v>
      </c>
      <c r="E264" s="34" t="n">
        <v>0</v>
      </c>
      <c r="F264" s="40" t="inlineStr">
        <is>
          <t>-</t>
        </is>
      </c>
      <c r="G264" s="40" t="inlineStr">
        <is>
          <t>-</t>
        </is>
      </c>
      <c r="H264" s="40" t="inlineStr">
        <is>
          <t>-</t>
        </is>
      </c>
      <c r="I264" s="40" t="inlineStr">
        <is>
          <t>-</t>
        </is>
      </c>
      <c r="J264" s="41" t="n">
        <v>0</v>
      </c>
      <c r="K264" s="34" t="inlineStr">
        <is>
          <t>No</t>
        </is>
      </c>
      <c r="L264" s="34" t="n">
        <v>0</v>
      </c>
      <c r="M26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5">
      <c r="A265" s="16" t="inlineStr">
        <is>
          <t>20 Jun</t>
        </is>
      </c>
      <c r="B265" s="16" t="inlineStr">
        <is>
          <t>30531</t>
        </is>
      </c>
      <c r="C265" s="16" t="n">
        <v>5700</v>
      </c>
      <c r="D265" s="16" t="n">
        <v>5700</v>
      </c>
      <c r="E265" s="16" t="n">
        <v>4706</v>
      </c>
      <c r="F265" s="38" t="n">
        <v>369867</v>
      </c>
      <c r="G265" s="38" t="n">
        <v>494979</v>
      </c>
      <c r="H265" s="38" t="n">
        <v>400402</v>
      </c>
      <c r="I265" s="38" t="n">
        <v>494311</v>
      </c>
      <c r="J265" s="19">
        <f>(I265-H265)/1000</f>
        <v/>
      </c>
      <c r="K265" s="16" t="inlineStr">
        <is>
          <t>Yes</t>
        </is>
      </c>
      <c r="L265" s="16" t="n">
        <v>23</v>
      </c>
      <c r="M265" s="39" t="inlineStr">
        <is>
          <t>- (full trip)</t>
        </is>
      </c>
    </row>
    <row r="266">
      <c r="A266" s="16" t="inlineStr">
        <is>
          <t>20 Jun</t>
        </is>
      </c>
      <c r="B266" s="16" t="inlineStr">
        <is>
          <t>30606</t>
        </is>
      </c>
      <c r="C266" s="16" t="n">
        <v>5290</v>
      </c>
      <c r="D266" s="16" t="n">
        <v>5290</v>
      </c>
      <c r="E266" s="16" t="n">
        <v>4064</v>
      </c>
      <c r="F266" s="38" t="n">
        <v>367829</v>
      </c>
      <c r="G266" s="38" t="n">
        <v>494969</v>
      </c>
      <c r="H266" s="38" t="n">
        <v>400399</v>
      </c>
      <c r="I266" s="38" t="n">
        <v>494312</v>
      </c>
      <c r="J266" s="19">
        <f>(I266-H266)/1000</f>
        <v/>
      </c>
      <c r="K266" s="16" t="inlineStr">
        <is>
          <t>Yes</t>
        </is>
      </c>
      <c r="L266" s="16" t="n">
        <v>23</v>
      </c>
      <c r="M266" s="39" t="inlineStr">
        <is>
          <t>- (full trip)</t>
        </is>
      </c>
    </row>
    <row r="267">
      <c r="A267" s="16" t="inlineStr">
        <is>
          <t>20 Jun</t>
        </is>
      </c>
      <c r="B267" s="16" t="inlineStr">
        <is>
          <t>30733</t>
        </is>
      </c>
      <c r="C267" s="16" t="n">
        <v>5152</v>
      </c>
      <c r="D267" s="16" t="n">
        <v>5066</v>
      </c>
      <c r="E267" s="16" t="n">
        <v>3884</v>
      </c>
      <c r="F267" s="38" t="n">
        <v>362946</v>
      </c>
      <c r="G267" s="38" t="n">
        <v>494969</v>
      </c>
      <c r="H267" s="38" t="n">
        <v>400400</v>
      </c>
      <c r="I267" s="38" t="n">
        <v>494311</v>
      </c>
      <c r="J267" s="19">
        <f>(I267-H267)/1000</f>
        <v/>
      </c>
      <c r="K267" s="16" t="inlineStr">
        <is>
          <t>Yes</t>
        </is>
      </c>
      <c r="L267" s="16" t="n">
        <v>23</v>
      </c>
      <c r="M267" s="39" t="inlineStr">
        <is>
          <t>- (full trip)</t>
        </is>
      </c>
    </row>
    <row r="268">
      <c r="A268" s="16" t="inlineStr">
        <is>
          <t>20 Jun</t>
        </is>
      </c>
      <c r="B268" s="16" t="inlineStr">
        <is>
          <t>37206</t>
        </is>
      </c>
      <c r="C268" s="16" t="n">
        <v>5556</v>
      </c>
      <c r="D268" s="16" t="n">
        <v>5556</v>
      </c>
      <c r="E268" s="16" t="n">
        <v>3646</v>
      </c>
      <c r="F268" s="38" t="n">
        <v>370048</v>
      </c>
      <c r="G268" s="38" t="n">
        <v>494982</v>
      </c>
      <c r="H268" s="38" t="n">
        <v>400405</v>
      </c>
      <c r="I268" s="38" t="n">
        <v>494312</v>
      </c>
      <c r="J268" s="19">
        <f>(I268-H268)/1000</f>
        <v/>
      </c>
      <c r="K268" s="16" t="inlineStr">
        <is>
          <t>Yes</t>
        </is>
      </c>
      <c r="L268" s="16" t="n">
        <v>23</v>
      </c>
      <c r="M268" s="39" t="inlineStr">
        <is>
          <t>- (full trip)</t>
        </is>
      </c>
    </row>
    <row r="269">
      <c r="A269" s="16" t="inlineStr">
        <is>
          <t>20 Jun</t>
        </is>
      </c>
      <c r="B269" s="16" t="inlineStr">
        <is>
          <t>37339</t>
        </is>
      </c>
      <c r="C269" s="16" t="n">
        <v>4069</v>
      </c>
      <c r="D269" s="16" t="n">
        <v>4069</v>
      </c>
      <c r="E269" s="16" t="n">
        <v>3406</v>
      </c>
      <c r="F269" s="38" t="n">
        <v>395475</v>
      </c>
      <c r="G269" s="38" t="n">
        <v>494978</v>
      </c>
      <c r="H269" s="38" t="n">
        <v>400401</v>
      </c>
      <c r="I269" s="38" t="n">
        <v>494311</v>
      </c>
      <c r="J269" s="19">
        <f>(I269-H269)/1000</f>
        <v/>
      </c>
      <c r="K269" s="16" t="inlineStr">
        <is>
          <t>Yes</t>
        </is>
      </c>
      <c r="L269" s="16" t="n">
        <v>23</v>
      </c>
      <c r="M269" s="39" t="inlineStr">
        <is>
          <t>- (full trip)</t>
        </is>
      </c>
    </row>
    <row r="270">
      <c r="A270" s="16" t="inlineStr">
        <is>
          <t>20 Jun</t>
        </is>
      </c>
      <c r="B270" s="16" t="inlineStr">
        <is>
          <t>37350</t>
        </is>
      </c>
      <c r="C270" s="16" t="n">
        <v>8401</v>
      </c>
      <c r="D270" s="16" t="n">
        <v>8401</v>
      </c>
      <c r="E270" s="16" t="n">
        <v>6477</v>
      </c>
      <c r="F270" s="38" t="n">
        <v>370323</v>
      </c>
      <c r="G270" s="38" t="n">
        <v>495783</v>
      </c>
      <c r="H270" s="38" t="n">
        <v>400407</v>
      </c>
      <c r="I270" s="38" t="n">
        <v>494312</v>
      </c>
      <c r="J270" s="19">
        <f>(I270-H270)/1000</f>
        <v/>
      </c>
      <c r="K270" s="16" t="inlineStr">
        <is>
          <t>Yes</t>
        </is>
      </c>
      <c r="L270" s="16" t="n">
        <v>23</v>
      </c>
      <c r="M270" s="39" t="inlineStr">
        <is>
          <t>- (full trip)</t>
        </is>
      </c>
    </row>
    <row r="271">
      <c r="A271" s="16" t="inlineStr">
        <is>
          <t>20 Jun</t>
        </is>
      </c>
      <c r="B271" s="16" t="inlineStr">
        <is>
          <t>39514</t>
        </is>
      </c>
      <c r="C271" s="16" t="n">
        <v>4438</v>
      </c>
      <c r="D271" s="16" t="n">
        <v>4438</v>
      </c>
      <c r="E271" s="16" t="n">
        <v>3677</v>
      </c>
      <c r="F271" s="38" t="n">
        <v>395426</v>
      </c>
      <c r="G271" s="38" t="n">
        <v>494893</v>
      </c>
      <c r="H271" s="38" t="n">
        <v>400401</v>
      </c>
      <c r="I271" s="38" t="n">
        <v>494311</v>
      </c>
      <c r="J271" s="19">
        <f>(I271-H271)/1000</f>
        <v/>
      </c>
      <c r="K271" s="16" t="inlineStr">
        <is>
          <t>Yes</t>
        </is>
      </c>
      <c r="L271" s="16" t="n">
        <v>23</v>
      </c>
      <c r="M271" s="39" t="inlineStr">
        <is>
          <t>- (full trip)</t>
        </is>
      </c>
    </row>
    <row r="272">
      <c r="A272" s="16" t="inlineStr">
        <is>
          <t>20 Jun</t>
        </is>
      </c>
      <c r="B272" s="16" t="inlineStr">
        <is>
          <t>37337</t>
        </is>
      </c>
      <c r="C272" s="16" t="n">
        <v>4884</v>
      </c>
      <c r="D272" s="16" t="n">
        <v>4884</v>
      </c>
      <c r="E272" s="16" t="n">
        <v>3962</v>
      </c>
      <c r="F272" s="38" t="n">
        <v>370099</v>
      </c>
      <c r="G272" s="38" t="n">
        <v>495812</v>
      </c>
      <c r="H272" s="38" t="n">
        <v>400411</v>
      </c>
      <c r="I272" s="38" t="n">
        <v>494311</v>
      </c>
      <c r="J272" s="19">
        <f>(I272-H272)/1000</f>
        <v/>
      </c>
      <c r="K272" s="16" t="inlineStr">
        <is>
          <t>Yes</t>
        </is>
      </c>
      <c r="L272" s="16" t="n">
        <v>23</v>
      </c>
      <c r="M272" s="39" t="inlineStr">
        <is>
          <t>- (full trip)</t>
        </is>
      </c>
    </row>
    <row r="273">
      <c r="A273" s="16" t="inlineStr">
        <is>
          <t>20 Jun</t>
        </is>
      </c>
      <c r="B273" s="16" t="inlineStr">
        <is>
          <t>37887</t>
        </is>
      </c>
      <c r="C273" s="16" t="n">
        <v>4917</v>
      </c>
      <c r="D273" s="16" t="n">
        <v>4917</v>
      </c>
      <c r="E273" s="16" t="n">
        <v>3940</v>
      </c>
      <c r="F273" s="38" t="n">
        <v>370303</v>
      </c>
      <c r="G273" s="38" t="n">
        <v>495787</v>
      </c>
      <c r="H273" s="38" t="n">
        <v>400411</v>
      </c>
      <c r="I273" s="38" t="n">
        <v>494312</v>
      </c>
      <c r="J273" s="19">
        <f>(I273-H273)/1000</f>
        <v/>
      </c>
      <c r="K273" s="16" t="inlineStr">
        <is>
          <t>Yes</t>
        </is>
      </c>
      <c r="L273" s="16" t="n">
        <v>23</v>
      </c>
      <c r="M273" s="39" t="inlineStr">
        <is>
          <t>- (full trip)</t>
        </is>
      </c>
    </row>
    <row r="274">
      <c r="A274" s="16" t="inlineStr">
        <is>
          <t>20 Jun</t>
        </is>
      </c>
      <c r="B274" s="16" t="inlineStr">
        <is>
          <t>37956</t>
        </is>
      </c>
      <c r="C274" s="16" t="n">
        <v>5590</v>
      </c>
      <c r="D274" s="16" t="n">
        <v>5590</v>
      </c>
      <c r="E274" s="16" t="n">
        <v>4465</v>
      </c>
      <c r="F274" s="38" t="n">
        <v>360275</v>
      </c>
      <c r="G274" s="38" t="n">
        <v>495787</v>
      </c>
      <c r="H274" s="38" t="n">
        <v>400408</v>
      </c>
      <c r="I274" s="38" t="n">
        <v>494309</v>
      </c>
      <c r="J274" s="19">
        <f>(I274-H274)/1000</f>
        <v/>
      </c>
      <c r="K274" s="16" t="inlineStr">
        <is>
          <t>Yes</t>
        </is>
      </c>
      <c r="L274" s="16" t="n">
        <v>23</v>
      </c>
      <c r="M274" s="39" t="inlineStr">
        <is>
          <t>- (full trip)</t>
        </is>
      </c>
    </row>
    <row r="275">
      <c r="A275" s="16" t="inlineStr">
        <is>
          <t>20 Jun</t>
        </is>
      </c>
      <c r="B275" s="16" t="inlineStr">
        <is>
          <t>39066</t>
        </is>
      </c>
      <c r="C275" s="16" t="n">
        <v>5304</v>
      </c>
      <c r="D275" s="16" t="n">
        <v>5304</v>
      </c>
      <c r="E275" s="16" t="n">
        <v>3943</v>
      </c>
      <c r="F275" s="38" t="n">
        <v>361561</v>
      </c>
      <c r="G275" s="38" t="n">
        <v>495776</v>
      </c>
      <c r="H275" s="38" t="n">
        <v>400415</v>
      </c>
      <c r="I275" s="38" t="n">
        <v>494312</v>
      </c>
      <c r="J275" s="19">
        <f>(I275-H275)/1000</f>
        <v/>
      </c>
      <c r="K275" s="16" t="inlineStr">
        <is>
          <t>Yes</t>
        </is>
      </c>
      <c r="L275" s="16" t="n">
        <v>23</v>
      </c>
      <c r="M275" s="39" t="inlineStr">
        <is>
          <t>- (full trip)</t>
        </is>
      </c>
    </row>
    <row r="276">
      <c r="A276" s="16" t="inlineStr">
        <is>
          <t>20 Jun</t>
        </is>
      </c>
      <c r="B276" s="16" t="inlineStr">
        <is>
          <t>39214</t>
        </is>
      </c>
      <c r="C276" s="16" t="n">
        <v>8407</v>
      </c>
      <c r="D276" s="16" t="n">
        <v>8254</v>
      </c>
      <c r="E276" s="16" t="n">
        <v>6977</v>
      </c>
      <c r="F276" s="38" t="n">
        <v>371414</v>
      </c>
      <c r="G276" s="38" t="n">
        <v>495798</v>
      </c>
      <c r="H276" s="38" t="n">
        <v>400413</v>
      </c>
      <c r="I276" s="38" t="n">
        <v>494312</v>
      </c>
      <c r="J276" s="19">
        <f>(I276-H276)/1000</f>
        <v/>
      </c>
      <c r="K276" s="16" t="inlineStr">
        <is>
          <t>Yes</t>
        </is>
      </c>
      <c r="L276" s="16" t="n">
        <v>23</v>
      </c>
      <c r="M276" s="39" t="inlineStr">
        <is>
          <t>- (full trip)</t>
        </is>
      </c>
    </row>
    <row r="277">
      <c r="A277" s="16" t="inlineStr">
        <is>
          <t>20 Jun</t>
        </is>
      </c>
      <c r="B277" s="16" t="inlineStr">
        <is>
          <t>39238</t>
        </is>
      </c>
      <c r="C277" s="16" t="n">
        <v>4395</v>
      </c>
      <c r="D277" s="16" t="n">
        <v>4395</v>
      </c>
      <c r="E277" s="16" t="n">
        <v>4073</v>
      </c>
      <c r="F277" s="38" t="n">
        <v>396943</v>
      </c>
      <c r="G277" s="38" t="n">
        <v>495811</v>
      </c>
      <c r="H277" s="38" t="n">
        <v>400408</v>
      </c>
      <c r="I277" s="38" t="n">
        <v>494311</v>
      </c>
      <c r="J277" s="19">
        <f>(I277-H277)/1000</f>
        <v/>
      </c>
      <c r="K277" s="16" t="inlineStr">
        <is>
          <t>Yes</t>
        </is>
      </c>
      <c r="L277" s="16" t="n">
        <v>23</v>
      </c>
      <c r="M277" s="39" t="inlineStr">
        <is>
          <t>- (full trip)</t>
        </is>
      </c>
    </row>
    <row r="278">
      <c r="A278" s="16" t="inlineStr">
        <is>
          <t>20 Jun</t>
        </is>
      </c>
      <c r="B278" s="16" t="inlineStr">
        <is>
          <t>39311</t>
        </is>
      </c>
      <c r="C278" s="16" t="n">
        <v>6007</v>
      </c>
      <c r="D278" s="16" t="n">
        <v>6007</v>
      </c>
      <c r="E278" s="16" t="n">
        <v>4813</v>
      </c>
      <c r="F278" s="38" t="n">
        <v>369695</v>
      </c>
      <c r="G278" s="38" t="n">
        <v>495698</v>
      </c>
      <c r="H278" s="38" t="n">
        <v>400405</v>
      </c>
      <c r="I278" s="38" t="n">
        <v>494309</v>
      </c>
      <c r="J278" s="19">
        <f>(I278-H278)/1000</f>
        <v/>
      </c>
      <c r="K278" s="16" t="inlineStr">
        <is>
          <t>Yes</t>
        </is>
      </c>
      <c r="L278" s="16" t="n">
        <v>23</v>
      </c>
      <c r="M278" s="39" t="inlineStr">
        <is>
          <t>- (full trip)</t>
        </is>
      </c>
    </row>
    <row r="279">
      <c r="A279" s="16" t="inlineStr">
        <is>
          <t>20 Jun</t>
        </is>
      </c>
      <c r="B279" s="16" t="inlineStr">
        <is>
          <t>30480</t>
        </is>
      </c>
      <c r="C279" s="16" t="n">
        <v>6395</v>
      </c>
      <c r="D279" s="16" t="n">
        <v>6395</v>
      </c>
      <c r="E279" s="16" t="n">
        <v>5127</v>
      </c>
      <c r="F279" s="38" t="n">
        <v>369757</v>
      </c>
      <c r="G279" s="38" t="n">
        <v>495801</v>
      </c>
      <c r="H279" s="38" t="n">
        <v>400429</v>
      </c>
      <c r="I279" s="38" t="n">
        <v>494312</v>
      </c>
      <c r="J279" s="19">
        <f>(I279-H279)/1000</f>
        <v/>
      </c>
      <c r="K279" s="16" t="inlineStr">
        <is>
          <t>Yes</t>
        </is>
      </c>
      <c r="L279" s="16" t="n">
        <v>23</v>
      </c>
      <c r="M279" s="39" t="inlineStr">
        <is>
          <t>- (full trip)</t>
        </is>
      </c>
    </row>
    <row r="280">
      <c r="A280" s="16" t="inlineStr">
        <is>
          <t>20 Jun</t>
        </is>
      </c>
      <c r="B280" s="16" t="inlineStr">
        <is>
          <t>30829</t>
        </is>
      </c>
      <c r="C280" s="16" t="n">
        <v>5057</v>
      </c>
      <c r="D280" s="16" t="n">
        <v>4957</v>
      </c>
      <c r="E280" s="16" t="n">
        <v>3740</v>
      </c>
      <c r="F280" s="38" t="n">
        <v>379104</v>
      </c>
      <c r="G280" s="38" t="n">
        <v>495800</v>
      </c>
      <c r="H280" s="38" t="n">
        <v>400416</v>
      </c>
      <c r="I280" s="38" t="n">
        <v>494300</v>
      </c>
      <c r="J280" s="19">
        <f>(I280-H280)/1000</f>
        <v/>
      </c>
      <c r="K280" s="16" t="inlineStr">
        <is>
          <t>Yes</t>
        </is>
      </c>
      <c r="L280" s="16" t="n">
        <v>23</v>
      </c>
      <c r="M280" s="39" t="inlineStr">
        <is>
          <t>- (full trip)</t>
        </is>
      </c>
    </row>
    <row r="281">
      <c r="A281" s="16" t="inlineStr">
        <is>
          <t>20 Jun</t>
        </is>
      </c>
      <c r="B281" s="16" t="inlineStr">
        <is>
          <t>37471</t>
        </is>
      </c>
      <c r="C281" s="16" t="n">
        <v>5596</v>
      </c>
      <c r="D281" s="16" t="n">
        <v>5596</v>
      </c>
      <c r="E281" s="16" t="n">
        <v>4535</v>
      </c>
      <c r="F281" s="38" t="n">
        <v>367617</v>
      </c>
      <c r="G281" s="38" t="n">
        <v>494978</v>
      </c>
      <c r="H281" s="38" t="n">
        <v>400434</v>
      </c>
      <c r="I281" s="38" t="n">
        <v>494311</v>
      </c>
      <c r="J281" s="19">
        <f>(I281-H281)/1000</f>
        <v/>
      </c>
      <c r="K281" s="16" t="inlineStr">
        <is>
          <t>Yes</t>
        </is>
      </c>
      <c r="L281" s="16" t="n">
        <v>23</v>
      </c>
      <c r="M281" s="39" t="inlineStr">
        <is>
          <t>- (full trip)</t>
        </is>
      </c>
    </row>
    <row r="282">
      <c r="A282" s="16" t="inlineStr">
        <is>
          <t>20 Jun</t>
        </is>
      </c>
      <c r="B282" s="16" t="inlineStr">
        <is>
          <t>30533</t>
        </is>
      </c>
      <c r="C282" s="16" t="n">
        <v>8848</v>
      </c>
      <c r="D282" s="16" t="n">
        <v>8848</v>
      </c>
      <c r="E282" s="16" t="n">
        <v>8240</v>
      </c>
      <c r="F282" s="38" t="n">
        <v>400994</v>
      </c>
      <c r="G282" s="38" t="n">
        <v>495730</v>
      </c>
      <c r="H282" s="38" t="n">
        <v>400994</v>
      </c>
      <c r="I282" s="38" t="n">
        <v>494312</v>
      </c>
      <c r="J282" s="19">
        <f>(I282-H282)/1000</f>
        <v/>
      </c>
      <c r="K282" s="16" t="inlineStr">
        <is>
          <t>Yes</t>
        </is>
      </c>
      <c r="L282" s="16" t="n">
        <v>23</v>
      </c>
      <c r="M282" s="39" t="inlineStr">
        <is>
          <t>- (full trip)</t>
        </is>
      </c>
    </row>
    <row r="283">
      <c r="A283" s="16" t="inlineStr">
        <is>
          <t>20 Jun</t>
        </is>
      </c>
      <c r="B283" s="16" t="inlineStr">
        <is>
          <t>37248</t>
        </is>
      </c>
      <c r="C283" s="16" t="n">
        <v>5003</v>
      </c>
      <c r="D283" s="16" t="n">
        <v>4972</v>
      </c>
      <c r="E283" s="16" t="n">
        <v>4773</v>
      </c>
      <c r="F283" s="38" t="n">
        <v>400994</v>
      </c>
      <c r="G283" s="38" t="n">
        <v>494902</v>
      </c>
      <c r="H283" s="38" t="n">
        <v>400994</v>
      </c>
      <c r="I283" s="38" t="n">
        <v>494312</v>
      </c>
      <c r="J283" s="19">
        <f>(I283-H283)/1000</f>
        <v/>
      </c>
      <c r="K283" s="16" t="inlineStr">
        <is>
          <t>Yes</t>
        </is>
      </c>
      <c r="L283" s="16" t="n">
        <v>23</v>
      </c>
      <c r="M283" s="39" t="inlineStr">
        <is>
          <t>- (full trip)</t>
        </is>
      </c>
    </row>
    <row r="284">
      <c r="A284" s="16" t="inlineStr">
        <is>
          <t>20 Jun</t>
        </is>
      </c>
      <c r="B284" s="16" t="inlineStr">
        <is>
          <t>37792</t>
        </is>
      </c>
      <c r="C284" s="16" t="n">
        <v>5247</v>
      </c>
      <c r="D284" s="16" t="n">
        <v>5247</v>
      </c>
      <c r="E284" s="16" t="n">
        <v>5003</v>
      </c>
      <c r="F284" s="38" t="n">
        <v>400994</v>
      </c>
      <c r="G284" s="38" t="n">
        <v>494981</v>
      </c>
      <c r="H284" s="38" t="n">
        <v>400994</v>
      </c>
      <c r="I284" s="38" t="n">
        <v>494311</v>
      </c>
      <c r="J284" s="19">
        <f>(I284-H284)/1000</f>
        <v/>
      </c>
      <c r="K284" s="16" t="inlineStr">
        <is>
          <t>Yes</t>
        </is>
      </c>
      <c r="L284" s="16" t="n">
        <v>23</v>
      </c>
      <c r="M284" s="39" t="inlineStr">
        <is>
          <t>- (full trip)</t>
        </is>
      </c>
    </row>
    <row r="285">
      <c r="A285" s="16" t="inlineStr">
        <is>
          <t>20 Jun</t>
        </is>
      </c>
      <c r="B285" s="16" t="inlineStr">
        <is>
          <t>39258</t>
        </is>
      </c>
      <c r="C285" s="16" t="n">
        <v>10373</v>
      </c>
      <c r="D285" s="16" t="n">
        <v>10373</v>
      </c>
      <c r="E285" s="16" t="n">
        <v>10034</v>
      </c>
      <c r="F285" s="38" t="n">
        <v>403429</v>
      </c>
      <c r="G285" s="38" t="n">
        <v>495012</v>
      </c>
      <c r="H285" s="38" t="n">
        <v>403429</v>
      </c>
      <c r="I285" s="38" t="n">
        <v>494311</v>
      </c>
      <c r="J285" s="19">
        <f>(I285-H285)/1000</f>
        <v/>
      </c>
      <c r="K285" s="16" t="inlineStr">
        <is>
          <t>Yes</t>
        </is>
      </c>
      <c r="L285" s="16" t="n">
        <v>23</v>
      </c>
      <c r="M285" s="39" t="inlineStr">
        <is>
          <t>- (full trip)</t>
        </is>
      </c>
    </row>
    <row r="286">
      <c r="A286" s="16" t="inlineStr">
        <is>
          <t>20 Jun</t>
        </is>
      </c>
      <c r="B286" s="16" t="inlineStr">
        <is>
          <t>37279</t>
        </is>
      </c>
      <c r="C286" s="16" t="n">
        <v>4241</v>
      </c>
      <c r="D286" s="16" t="n">
        <v>4241</v>
      </c>
      <c r="E286" s="16" t="n">
        <v>3796</v>
      </c>
      <c r="F286" s="38" t="n">
        <v>398466</v>
      </c>
      <c r="G286" s="38" t="n">
        <v>504289</v>
      </c>
      <c r="H286" s="38" t="n">
        <v>400401</v>
      </c>
      <c r="I286" s="38" t="n">
        <v>478553</v>
      </c>
      <c r="J286" s="19">
        <f>(I286-H286)/1000</f>
        <v/>
      </c>
      <c r="K286" s="16" t="inlineStr">
        <is>
          <t>Yes</t>
        </is>
      </c>
      <c r="L286" s="16" t="n">
        <v>19</v>
      </c>
      <c r="M286" s="39" t="inlineStr">
        <is>
          <t>GERATPUR, VATVA, KANKARIYA CABIN, AHMEDABAD Jn</t>
        </is>
      </c>
    </row>
    <row r="287" ht="34" customHeight="1">
      <c r="A287" s="16" t="inlineStr">
        <is>
          <t>20 Jun</t>
        </is>
      </c>
      <c r="B287" s="16" t="inlineStr">
        <is>
          <t>30823</t>
        </is>
      </c>
      <c r="C287" s="16" t="n">
        <v>2821</v>
      </c>
      <c r="D287" s="16" t="n">
        <v>2821</v>
      </c>
      <c r="E287" s="16" t="n">
        <v>2558</v>
      </c>
      <c r="F287" s="38" t="n">
        <v>436341</v>
      </c>
      <c r="G287" s="38" t="n">
        <v>494981</v>
      </c>
      <c r="H287" s="38" t="n">
        <v>436341</v>
      </c>
      <c r="I287" s="38" t="n">
        <v>494312</v>
      </c>
      <c r="J287" s="19">
        <f>(I287-H287)/1000</f>
        <v/>
      </c>
      <c r="K287" s="16" t="inlineStr">
        <is>
          <t>Yes</t>
        </is>
      </c>
      <c r="L287" s="16" t="n">
        <v>15</v>
      </c>
      <c r="M287" s="39" t="inlineStr">
        <is>
          <t>BAJWA, RANOLI, LC-246, VASAD, ADAS ROAD, VADOD, LC-258, ANAND Jn</t>
        </is>
      </c>
    </row>
    <row r="288" ht="49" customHeight="1">
      <c r="A288" s="16" t="inlineStr">
        <is>
          <t>20 Jun</t>
        </is>
      </c>
      <c r="B288" s="16" t="inlineStr">
        <is>
          <t>39014</t>
        </is>
      </c>
      <c r="C288" s="16" t="n">
        <v>1692</v>
      </c>
      <c r="D288" s="16" t="n">
        <v>1692</v>
      </c>
      <c r="E288" s="16" t="n">
        <v>903</v>
      </c>
      <c r="F288" s="38" t="n">
        <v>374973</v>
      </c>
      <c r="G288" s="38" t="n">
        <v>454364</v>
      </c>
      <c r="H288" s="38" t="n">
        <v>400551</v>
      </c>
      <c r="I288" s="38" t="n">
        <v>454364</v>
      </c>
      <c r="J288" s="19">
        <f>(I288-H288)/1000</f>
        <v/>
      </c>
      <c r="K288" s="16" t="inlineStr">
        <is>
          <t>Yes</t>
        </is>
      </c>
      <c r="L288" s="16" t="n">
        <v>13</v>
      </c>
      <c r="M288" s="39" t="inlineStr">
        <is>
          <t>GOTHAJ, LC-286, MAHEMDABAD AND KHEDA ROAD, LC-294, KANIJ, BAREJADI NANDEJ, GERATPUR, VATVA, KANKARIYA CABIN, AHMEDABAD Jn</t>
        </is>
      </c>
    </row>
    <row r="289" ht="49" customHeight="1">
      <c r="A289" s="16" t="inlineStr">
        <is>
          <t>20 Jun</t>
        </is>
      </c>
      <c r="B289" s="16" t="inlineStr">
        <is>
          <t>37548</t>
        </is>
      </c>
      <c r="C289" s="16" t="n">
        <v>1917</v>
      </c>
      <c r="D289" s="16" t="n">
        <v>1917</v>
      </c>
      <c r="E289" s="16" t="n">
        <v>1065</v>
      </c>
      <c r="F289" s="38" t="n">
        <v>361576</v>
      </c>
      <c r="G289" s="38" t="n">
        <v>453778</v>
      </c>
      <c r="H289" s="38" t="n">
        <v>400428</v>
      </c>
      <c r="I289" s="38" t="n">
        <v>453778</v>
      </c>
      <c r="J289" s="19">
        <f>(I289-H289)/1000</f>
        <v/>
      </c>
      <c r="K289" s="16" t="inlineStr">
        <is>
          <t>Yes</t>
        </is>
      </c>
      <c r="L289" s="16" t="n">
        <v>13</v>
      </c>
      <c r="M289" s="39" t="inlineStr">
        <is>
          <t>GOTHAJ, LC-286, MAHEMDABAD AND KHEDA ROAD, LC-294, KANIJ, BAREJADI NANDEJ, GERATPUR, VATVA, KANKARIYA CABIN, AHMEDABAD Jn</t>
        </is>
      </c>
    </row>
    <row r="290" ht="49" customHeight="1">
      <c r="A290" s="16" t="inlineStr">
        <is>
          <t>20 Jun</t>
        </is>
      </c>
      <c r="B290" s="16" t="inlineStr">
        <is>
          <t>37582</t>
        </is>
      </c>
      <c r="C290" s="16" t="n">
        <v>3874</v>
      </c>
      <c r="D290" s="16" t="n">
        <v>3874</v>
      </c>
      <c r="E290" s="16" t="n">
        <v>1988</v>
      </c>
      <c r="F290" s="38" t="n">
        <v>362903</v>
      </c>
      <c r="G290" s="38" t="n">
        <v>453756</v>
      </c>
      <c r="H290" s="38" t="n">
        <v>400401</v>
      </c>
      <c r="I290" s="38" t="n">
        <v>453756</v>
      </c>
      <c r="J290" s="19">
        <f>(I290-H290)/1000</f>
        <v/>
      </c>
      <c r="K290" s="16" t="inlineStr">
        <is>
          <t>Yes</t>
        </is>
      </c>
      <c r="L290" s="16" t="n">
        <v>13</v>
      </c>
      <c r="M290" s="39" t="inlineStr">
        <is>
          <t>GOTHAJ, LC-286, MAHEMDABAD AND KHEDA ROAD, LC-294, KANIJ, BAREJADI NANDEJ, GERATPUR, VATVA, KANKARIYA CABIN, AHMEDABAD Jn</t>
        </is>
      </c>
    </row>
    <row r="291" ht="49" customHeight="1">
      <c r="A291" s="16" t="inlineStr">
        <is>
          <t>20 Jun</t>
        </is>
      </c>
      <c r="B291" s="16" t="inlineStr">
        <is>
          <t>37884</t>
        </is>
      </c>
      <c r="C291" s="16" t="n">
        <v>1832</v>
      </c>
      <c r="D291" s="16" t="n">
        <v>1832</v>
      </c>
      <c r="E291" s="16" t="n">
        <v>858</v>
      </c>
      <c r="F291" s="38" t="n">
        <v>363413</v>
      </c>
      <c r="G291" s="38" t="n">
        <v>453207</v>
      </c>
      <c r="H291" s="38" t="n">
        <v>400399</v>
      </c>
      <c r="I291" s="38" t="n">
        <v>453207</v>
      </c>
      <c r="J291" s="19">
        <f>(I291-H291)/1000</f>
        <v/>
      </c>
      <c r="K291" s="16" t="inlineStr">
        <is>
          <t>Yes</t>
        </is>
      </c>
      <c r="L291" s="16" t="n">
        <v>12</v>
      </c>
      <c r="M291" s="39" t="inlineStr">
        <is>
          <t>LC-278, GOTHAJ, LC-286, MAHEMDABAD AND KHEDA ROAD, LC-294, KANIJ, BAREJADI NANDEJ, GERATPUR, VATVA, KANKARIYA CABIN, AHMEDABAD Jn</t>
        </is>
      </c>
    </row>
    <row r="292" ht="49" customHeight="1">
      <c r="A292" s="16" t="inlineStr">
        <is>
          <t>20 Jun</t>
        </is>
      </c>
      <c r="B292" s="16" t="inlineStr">
        <is>
          <t>30753</t>
        </is>
      </c>
      <c r="C292" s="16" t="n">
        <v>898</v>
      </c>
      <c r="D292" s="16" t="n">
        <v>898</v>
      </c>
      <c r="E292" s="16" t="n">
        <v>578</v>
      </c>
      <c r="F292" s="38" t="n">
        <v>380776</v>
      </c>
      <c r="G292" s="38" t="n">
        <v>453389</v>
      </c>
      <c r="H292" s="38" t="n">
        <v>400896</v>
      </c>
      <c r="I292" s="38" t="n">
        <v>453389</v>
      </c>
      <c r="J292" s="19">
        <f>(I292-H292)/1000</f>
        <v/>
      </c>
      <c r="K292" s="16" t="inlineStr">
        <is>
          <t>Yes</t>
        </is>
      </c>
      <c r="L292" s="16" t="n">
        <v>12</v>
      </c>
      <c r="M292" s="39" t="inlineStr">
        <is>
          <t>LC-278, GOTHAJ, LC-286, MAHEMDABAD AND KHEDA ROAD, LC-294, KANIJ, BAREJADI NANDEJ, GERATPUR, VATVA, KANKARIYA CABIN, AHMEDABAD Jn</t>
        </is>
      </c>
    </row>
    <row r="293" ht="34" customHeight="1">
      <c r="A293" s="16" t="inlineStr">
        <is>
          <t>20 Jun</t>
        </is>
      </c>
      <c r="B293" s="16" t="inlineStr">
        <is>
          <t>37947</t>
        </is>
      </c>
      <c r="C293" s="16" t="n">
        <v>790</v>
      </c>
      <c r="D293" s="16" t="n">
        <v>790</v>
      </c>
      <c r="E293" s="16" t="n">
        <v>653</v>
      </c>
      <c r="F293" s="38" t="n">
        <v>452488</v>
      </c>
      <c r="G293" s="38" t="n">
        <v>495001</v>
      </c>
      <c r="H293" s="38" t="n">
        <v>452488</v>
      </c>
      <c r="I293" s="38" t="n">
        <v>494312</v>
      </c>
      <c r="J293" s="19">
        <f>(I293-H293)/1000</f>
        <v/>
      </c>
      <c r="K293" s="16" t="inlineStr">
        <is>
          <t>Yes</t>
        </is>
      </c>
      <c r="L293" s="16" t="n">
        <v>12</v>
      </c>
      <c r="M293" s="39" t="inlineStr">
        <is>
          <t>BAJWA, RANOLI, LC-246, VASAD, ADAS ROAD, VADOD, LC-258, ANAND Jn, LC-264, KANJARI BORIYAVI, UTARSANDA</t>
        </is>
      </c>
    </row>
    <row r="294" ht="49" customHeight="1">
      <c r="A294" s="16" t="inlineStr">
        <is>
          <t>20 Jun</t>
        </is>
      </c>
      <c r="B294" s="16" t="inlineStr">
        <is>
          <t>37515</t>
        </is>
      </c>
      <c r="C294" s="16" t="n">
        <v>2911</v>
      </c>
      <c r="D294" s="16" t="n">
        <v>2911</v>
      </c>
      <c r="E294" s="16" t="n">
        <v>895</v>
      </c>
      <c r="F294" s="38" t="n">
        <v>374990</v>
      </c>
      <c r="G294" s="38" t="n">
        <v>441359</v>
      </c>
      <c r="H294" s="38" t="n">
        <v>400410</v>
      </c>
      <c r="I294" s="38" t="n">
        <v>441359</v>
      </c>
      <c r="J294" s="19">
        <f>(I294-H294)/1000</f>
        <v/>
      </c>
      <c r="K294" s="16" t="inlineStr">
        <is>
          <t>Yes</t>
        </is>
      </c>
      <c r="L294" s="16" t="n">
        <v>11</v>
      </c>
      <c r="M294" s="39" t="inlineStr">
        <is>
          <t>NADIAD, LC-278, GOTHAJ, LC-286, MAHEMDABAD AND KHEDA ROAD, LC-294, KANIJ, BAREJADI NANDEJ, GERATPUR, VATVA, KANKARIYA CABIN, AHMEDABAD Jn</t>
        </is>
      </c>
    </row>
    <row r="295" ht="34" customHeight="1">
      <c r="A295" s="16" t="inlineStr">
        <is>
          <t>20 Jun</t>
        </is>
      </c>
      <c r="B295" s="16" t="inlineStr">
        <is>
          <t>37086</t>
        </is>
      </c>
      <c r="C295" s="16" t="n">
        <v>1937</v>
      </c>
      <c r="D295" s="16" t="n">
        <v>1937</v>
      </c>
      <c r="E295" s="16" t="n">
        <v>1711</v>
      </c>
      <c r="F295" s="38" t="n">
        <v>455726</v>
      </c>
      <c r="G295" s="38" t="n">
        <v>494968</v>
      </c>
      <c r="H295" s="38" t="n">
        <v>455726</v>
      </c>
      <c r="I295" s="38" t="n">
        <v>494312</v>
      </c>
      <c r="J295" s="19">
        <f>(I295-H295)/1000</f>
        <v/>
      </c>
      <c r="K295" s="16" t="inlineStr">
        <is>
          <t>Yes</t>
        </is>
      </c>
      <c r="L295" s="16" t="n">
        <v>11</v>
      </c>
      <c r="M295" s="39" t="inlineStr">
        <is>
          <t>BAJWA, RANOLI, LC-246, VASAD, ADAS ROAD, VADOD, LC-258, ANAND Jn, LC-264, KANJARI BORIYAVI, UTARSANDA, NADIAD</t>
        </is>
      </c>
    </row>
    <row r="296" ht="49" customHeight="1">
      <c r="A296" s="16" t="inlineStr">
        <is>
          <t>20 Jun</t>
        </is>
      </c>
      <c r="B296" s="16" t="inlineStr">
        <is>
          <t>37277</t>
        </is>
      </c>
      <c r="C296" s="16" t="n">
        <v>5720</v>
      </c>
      <c r="D296" s="16" t="n">
        <v>5720</v>
      </c>
      <c r="E296" s="16" t="n">
        <v>2582</v>
      </c>
      <c r="F296" s="38" t="n">
        <v>369931</v>
      </c>
      <c r="G296" s="38" t="n">
        <v>437382</v>
      </c>
      <c r="H296" s="38" t="n">
        <v>400398</v>
      </c>
      <c r="I296" s="38" t="n">
        <v>437382</v>
      </c>
      <c r="J296" s="19">
        <f>(I296-H296)/1000</f>
        <v/>
      </c>
      <c r="K296" s="16" t="inlineStr">
        <is>
          <t>Yes</t>
        </is>
      </c>
      <c r="L296" s="16" t="n">
        <v>10</v>
      </c>
      <c r="M296" s="39" t="inlineStr">
        <is>
          <t>UTARSANDA, NADIAD, LC-278, GOTHAJ, LC-286, MAHEMDABAD AND KHEDA ROAD, LC-294, KANIJ, BAREJADI NANDEJ, GERATPUR, VATVA, KANKARIYA CABIN, AHMEDABAD Jn</t>
        </is>
      </c>
    </row>
    <row r="297" ht="49" customHeight="1">
      <c r="A297" s="16" t="inlineStr">
        <is>
          <t>20 Jun</t>
        </is>
      </c>
      <c r="B297" s="16" t="inlineStr">
        <is>
          <t>30415</t>
        </is>
      </c>
      <c r="C297" s="16" t="n">
        <v>1744</v>
      </c>
      <c r="D297" s="16" t="n">
        <v>1744</v>
      </c>
      <c r="E297" s="16" t="n">
        <v>751</v>
      </c>
      <c r="F297" s="38" t="n">
        <v>370506</v>
      </c>
      <c r="G297" s="38" t="n">
        <v>437179</v>
      </c>
      <c r="H297" s="38" t="n">
        <v>400413</v>
      </c>
      <c r="I297" s="38" t="n">
        <v>437179</v>
      </c>
      <c r="J297" s="19">
        <f>(I297-H297)/1000</f>
        <v/>
      </c>
      <c r="K297" s="16" t="inlineStr">
        <is>
          <t>Yes</t>
        </is>
      </c>
      <c r="L297" s="16" t="n">
        <v>10</v>
      </c>
      <c r="M297" s="39" t="inlineStr">
        <is>
          <t>UTARSANDA, NADIAD, LC-278, GOTHAJ, LC-286, MAHEMDABAD AND KHEDA ROAD, LC-294, KANIJ, BAREJADI NANDEJ, GERATPUR, VATVA, KANKARIYA CABIN, AHMEDABAD Jn</t>
        </is>
      </c>
    </row>
    <row r="298" ht="49" customHeight="1">
      <c r="A298" s="16" t="inlineStr">
        <is>
          <t>20 Jun</t>
        </is>
      </c>
      <c r="B298" s="16" t="inlineStr">
        <is>
          <t>39147</t>
        </is>
      </c>
      <c r="C298" s="16" t="n">
        <v>2039</v>
      </c>
      <c r="D298" s="16" t="n">
        <v>2039</v>
      </c>
      <c r="E298" s="16" t="n">
        <v>1102</v>
      </c>
      <c r="F298" s="38" t="n">
        <v>370226</v>
      </c>
      <c r="G298" s="38" t="n">
        <v>436741</v>
      </c>
      <c r="H298" s="38" t="n">
        <v>400509</v>
      </c>
      <c r="I298" s="38" t="n">
        <v>436741</v>
      </c>
      <c r="J298" s="19">
        <f>(I298-H298)/1000</f>
        <v/>
      </c>
      <c r="K298" s="16" t="inlineStr">
        <is>
          <t>Yes</t>
        </is>
      </c>
      <c r="L298" s="16" t="n">
        <v>9</v>
      </c>
      <c r="M298" s="39" t="inlineStr">
        <is>
          <t>KANJARI BORIYAVI, UTARSANDA, NADIAD, LC-278, GOTHAJ, LC-286, MAHEMDABAD AND KHEDA ROAD, LC-294, KANIJ, BAREJADI NANDEJ, GERATPUR, VATVA, KANKARIYA CABIN, AHMEDABAD Jn</t>
        </is>
      </c>
    </row>
    <row r="299" ht="49" customHeight="1">
      <c r="A299" s="16" t="inlineStr">
        <is>
          <t>20 Jun</t>
        </is>
      </c>
      <c r="B299" s="16" t="inlineStr">
        <is>
          <t>30176</t>
        </is>
      </c>
      <c r="C299" s="16" t="n">
        <v>135</v>
      </c>
      <c r="D299" s="16" t="n">
        <v>28</v>
      </c>
      <c r="E299" s="16" t="n">
        <v>10</v>
      </c>
      <c r="F299" s="38" t="n">
        <v>395376</v>
      </c>
      <c r="G299" s="38" t="n">
        <v>436701</v>
      </c>
      <c r="H299" s="38" t="n">
        <v>403418</v>
      </c>
      <c r="I299" s="38" t="n">
        <v>436701</v>
      </c>
      <c r="J299" s="19">
        <f>(I299-H299)/1000</f>
        <v/>
      </c>
      <c r="K299" s="16" t="inlineStr">
        <is>
          <t>Yes</t>
        </is>
      </c>
      <c r="L299" s="16" t="n">
        <v>9</v>
      </c>
      <c r="M299" s="39" t="inlineStr">
        <is>
          <t>KANJARI BORIYAVI, UTARSANDA, NADIAD, LC-278, GOTHAJ, LC-286, MAHEMDABAD AND KHEDA ROAD, LC-294, KANIJ, BAREJADI NANDEJ, GERATPUR, VATVA, KANKARIYA CABIN, AHMEDABAD Jn</t>
        </is>
      </c>
    </row>
    <row r="300" ht="49" customHeight="1">
      <c r="A300" s="16" t="inlineStr">
        <is>
          <t>20 Jun</t>
        </is>
      </c>
      <c r="B300" s="16" t="inlineStr">
        <is>
          <t>37602</t>
        </is>
      </c>
      <c r="C300" s="16" t="n">
        <v>1770</v>
      </c>
      <c r="D300" s="16" t="n">
        <v>1770</v>
      </c>
      <c r="E300" s="16" t="n">
        <v>913</v>
      </c>
      <c r="F300" s="38" t="n">
        <v>370138</v>
      </c>
      <c r="G300" s="38" t="n">
        <v>432223</v>
      </c>
      <c r="H300" s="38" t="n">
        <v>400503</v>
      </c>
      <c r="I300" s="38" t="n">
        <v>432223</v>
      </c>
      <c r="J300" s="19">
        <f>(I300-H300)/1000</f>
        <v/>
      </c>
      <c r="K300" s="16" t="inlineStr">
        <is>
          <t>Yes</t>
        </is>
      </c>
      <c r="L300" s="16" t="n">
        <v>8</v>
      </c>
      <c r="M300" s="39" t="inlineStr">
        <is>
          <t>LC-264, KANJARI BORIYAVI, UTARSANDA, NADIAD, LC-278, GOTHAJ, LC-286, MAHEMDABAD AND KHEDA ROAD, LC-294, KANIJ, BAREJADI NANDEJ, GERATPUR, VATVA, KANKARIYA CABIN, AHMEDABAD Jn</t>
        </is>
      </c>
    </row>
    <row r="301" ht="49" customHeight="1">
      <c r="A301" s="16" t="inlineStr">
        <is>
          <t>20 Jun</t>
        </is>
      </c>
      <c r="B301" s="16" t="inlineStr">
        <is>
          <t>39488</t>
        </is>
      </c>
      <c r="C301" s="16" t="n">
        <v>426</v>
      </c>
      <c r="D301" s="16" t="n">
        <v>426</v>
      </c>
      <c r="E301" s="16" t="n">
        <v>426</v>
      </c>
      <c r="F301" s="38" t="n">
        <v>409892</v>
      </c>
      <c r="G301" s="38" t="n">
        <v>439917</v>
      </c>
      <c r="H301" s="38" t="n">
        <v>409892</v>
      </c>
      <c r="I301" s="38" t="n">
        <v>439917</v>
      </c>
      <c r="J301" s="19">
        <f>(I301-H301)/1000</f>
        <v/>
      </c>
      <c r="K301" s="16" t="inlineStr">
        <is>
          <t>Yes</t>
        </is>
      </c>
      <c r="L301" s="16" t="n">
        <v>9</v>
      </c>
      <c r="M301" s="39" t="inlineStr">
        <is>
          <t>BAJWA, UTARSANDA, NADIAD, LC-278, GOTHAJ, LC-286, MAHEMDABAD AND KHEDA ROAD, LC-294, KANIJ, BAREJADI NANDEJ, GERATPUR, VATVA, KANKARIYA CABIN, AHMEDABAD Jn</t>
        </is>
      </c>
    </row>
    <row r="302" ht="64" customHeight="1">
      <c r="A302" s="16" t="inlineStr">
        <is>
          <t>20 Jun</t>
        </is>
      </c>
      <c r="B302" s="16" t="inlineStr">
        <is>
          <t>37670</t>
        </is>
      </c>
      <c r="C302" s="16" t="n">
        <v>780</v>
      </c>
      <c r="D302" s="16" t="n">
        <v>599</v>
      </c>
      <c r="E302" s="16" t="n">
        <v>457</v>
      </c>
      <c r="F302" s="38" t="n">
        <v>488346</v>
      </c>
      <c r="G302" s="38" t="n">
        <v>494966</v>
      </c>
      <c r="H302" s="38" t="n">
        <v>488346</v>
      </c>
      <c r="I302" s="38" t="n">
        <v>494312</v>
      </c>
      <c r="J302" s="19">
        <f>(I302-H302)/1000</f>
        <v/>
      </c>
      <c r="K302" s="16" t="inlineStr">
        <is>
          <t>Yes</t>
        </is>
      </c>
      <c r="L302" s="16" t="n">
        <v>3</v>
      </c>
      <c r="M302" s="39" t="inlineStr">
        <is>
          <t>BAJWA, RANOLI, LC-246, VASAD, ADAS ROAD, VADOD, LC-258, ANAND Jn, LC-264, KANJARI BORIYAVI, UTARSANDA, NADIAD, LC-278, GOTHAJ, LC-286, MAHEMDABAD AND KHEDA ROAD, LC-294, KANIJ, BAREJADI NANDEJ, GERATPUR</t>
        </is>
      </c>
    </row>
    <row r="303" ht="64" customHeight="1">
      <c r="A303" s="16" t="inlineStr">
        <is>
          <t>20 Jun</t>
        </is>
      </c>
      <c r="B303" s="16" t="inlineStr">
        <is>
          <t>37111</t>
        </is>
      </c>
      <c r="C303" s="16" t="n">
        <v>1066</v>
      </c>
      <c r="D303" s="16" t="n">
        <v>1066</v>
      </c>
      <c r="E303" s="16" t="n">
        <v>318</v>
      </c>
      <c r="F303" s="38" t="n">
        <v>370062</v>
      </c>
      <c r="G303" s="38" t="n">
        <v>402384</v>
      </c>
      <c r="H303" s="38" t="n">
        <v>400406</v>
      </c>
      <c r="I303" s="38" t="n">
        <v>402384</v>
      </c>
      <c r="J303" s="19">
        <f>(I303-H303)/1000</f>
        <v/>
      </c>
      <c r="K303" s="16" t="inlineStr">
        <is>
          <t>Yes</t>
        </is>
      </c>
      <c r="L303" s="16" t="n">
        <v>1</v>
      </c>
      <c r="M303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04" ht="64" customHeight="1">
      <c r="A304" s="34" t="inlineStr">
        <is>
          <t>20 Jun</t>
        </is>
      </c>
      <c r="B304" s="34" t="inlineStr">
        <is>
          <t>120850</t>
        </is>
      </c>
      <c r="C304" s="34" t="n">
        <v>5766</v>
      </c>
      <c r="D304" s="34" t="n">
        <v>5707</v>
      </c>
      <c r="E304" s="34" t="n">
        <v>0</v>
      </c>
      <c r="F304" s="40" t="n">
        <v>521471</v>
      </c>
      <c r="G304" s="40" t="n">
        <v>773212</v>
      </c>
      <c r="H304" s="40" t="inlineStr">
        <is>
          <t>-</t>
        </is>
      </c>
      <c r="I304" s="40" t="inlineStr">
        <is>
          <t>-</t>
        </is>
      </c>
      <c r="J304" s="41" t="n">
        <v>0</v>
      </c>
      <c r="K304" s="34" t="inlineStr">
        <is>
          <t>No</t>
        </is>
      </c>
      <c r="L304" s="34" t="n">
        <v>0</v>
      </c>
      <c r="M30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05" ht="64" customHeight="1">
      <c r="A305" s="34" t="inlineStr">
        <is>
          <t>20 Jun</t>
        </is>
      </c>
      <c r="B305" s="34" t="inlineStr">
        <is>
          <t>30068</t>
        </is>
      </c>
      <c r="C305" s="34" t="n">
        <v>16</v>
      </c>
      <c r="D305" s="34" t="n">
        <v>0</v>
      </c>
      <c r="E305" s="34" t="n">
        <v>0</v>
      </c>
      <c r="F305" s="40" t="inlineStr">
        <is>
          <t>-</t>
        </is>
      </c>
      <c r="G305" s="40" t="inlineStr">
        <is>
          <t>-</t>
        </is>
      </c>
      <c r="H305" s="40" t="inlineStr">
        <is>
          <t>-</t>
        </is>
      </c>
      <c r="I305" s="40" t="inlineStr">
        <is>
          <t>-</t>
        </is>
      </c>
      <c r="J305" s="41" t="n">
        <v>0</v>
      </c>
      <c r="K305" s="34" t="inlineStr">
        <is>
          <t>No</t>
        </is>
      </c>
      <c r="L305" s="34" t="n">
        <v>0</v>
      </c>
      <c r="M30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06" ht="64" customHeight="1">
      <c r="A306" s="34" t="inlineStr">
        <is>
          <t>20 Jun</t>
        </is>
      </c>
      <c r="B306" s="34" t="inlineStr">
        <is>
          <t>30177</t>
        </is>
      </c>
      <c r="C306" s="34" t="n">
        <v>448</v>
      </c>
      <c r="D306" s="34" t="n">
        <v>448</v>
      </c>
      <c r="E306" s="34" t="n">
        <v>0</v>
      </c>
      <c r="F306" s="40" t="n">
        <v>398470</v>
      </c>
      <c r="G306" s="40" t="n">
        <v>399268</v>
      </c>
      <c r="H306" s="40" t="inlineStr">
        <is>
          <t>-</t>
        </is>
      </c>
      <c r="I306" s="40" t="inlineStr">
        <is>
          <t>-</t>
        </is>
      </c>
      <c r="J306" s="41" t="n">
        <v>0</v>
      </c>
      <c r="K306" s="34" t="inlineStr">
        <is>
          <t>No</t>
        </is>
      </c>
      <c r="L306" s="34" t="n">
        <v>0</v>
      </c>
      <c r="M30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07" ht="64" customHeight="1">
      <c r="A307" s="34" t="inlineStr">
        <is>
          <t>20 Jun</t>
        </is>
      </c>
      <c r="B307" s="34" t="inlineStr">
        <is>
          <t>30330</t>
        </is>
      </c>
      <c r="C307" s="34" t="n">
        <v>112</v>
      </c>
      <c r="D307" s="34" t="n">
        <v>103</v>
      </c>
      <c r="E307" s="34" t="n">
        <v>0</v>
      </c>
      <c r="F307" s="40" t="n">
        <v>381766</v>
      </c>
      <c r="G307" s="40" t="n">
        <v>395292</v>
      </c>
      <c r="H307" s="40" t="inlineStr">
        <is>
          <t>-</t>
        </is>
      </c>
      <c r="I307" s="40" t="inlineStr">
        <is>
          <t>-</t>
        </is>
      </c>
      <c r="J307" s="41" t="n">
        <v>0</v>
      </c>
      <c r="K307" s="34" t="inlineStr">
        <is>
          <t>No</t>
        </is>
      </c>
      <c r="L307" s="34" t="n">
        <v>0</v>
      </c>
      <c r="M30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08" ht="64" customHeight="1">
      <c r="A308" s="34" t="inlineStr">
        <is>
          <t>20 Jun</t>
        </is>
      </c>
      <c r="B308" s="34" t="inlineStr">
        <is>
          <t>30473</t>
        </is>
      </c>
      <c r="C308" s="34" t="n">
        <v>27</v>
      </c>
      <c r="D308" s="34" t="n">
        <v>27</v>
      </c>
      <c r="E308" s="34" t="n">
        <v>0</v>
      </c>
      <c r="F308" s="40" t="n">
        <v>370189</v>
      </c>
      <c r="G308" s="40" t="n">
        <v>381571</v>
      </c>
      <c r="H308" s="40" t="inlineStr">
        <is>
          <t>-</t>
        </is>
      </c>
      <c r="I308" s="40" t="inlineStr">
        <is>
          <t>-</t>
        </is>
      </c>
      <c r="J308" s="41" t="n">
        <v>0</v>
      </c>
      <c r="K308" s="34" t="inlineStr">
        <is>
          <t>No</t>
        </is>
      </c>
      <c r="L308" s="34" t="n">
        <v>0</v>
      </c>
      <c r="M30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09" ht="64" customHeight="1">
      <c r="A309" s="34" t="inlineStr">
        <is>
          <t>20 Jun</t>
        </is>
      </c>
      <c r="B309" s="34" t="inlineStr">
        <is>
          <t>30767</t>
        </is>
      </c>
      <c r="C309" s="34" t="n">
        <v>245</v>
      </c>
      <c r="D309" s="34" t="n">
        <v>245</v>
      </c>
      <c r="E309" s="34" t="n">
        <v>0</v>
      </c>
      <c r="F309" s="40" t="n">
        <v>370442</v>
      </c>
      <c r="G309" s="40" t="n">
        <v>395928</v>
      </c>
      <c r="H309" s="40" t="inlineStr">
        <is>
          <t>-</t>
        </is>
      </c>
      <c r="I309" s="40" t="inlineStr">
        <is>
          <t>-</t>
        </is>
      </c>
      <c r="J309" s="41" t="n">
        <v>0</v>
      </c>
      <c r="K309" s="34" t="inlineStr">
        <is>
          <t>No</t>
        </is>
      </c>
      <c r="L309" s="34" t="n">
        <v>0</v>
      </c>
      <c r="M30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10" ht="64" customHeight="1">
      <c r="A310" s="34" t="inlineStr">
        <is>
          <t>20 Jun</t>
        </is>
      </c>
      <c r="B310" s="34" t="inlineStr">
        <is>
          <t>31384</t>
        </is>
      </c>
      <c r="C310" s="34" t="n">
        <v>9</v>
      </c>
      <c r="D310" s="34" t="n">
        <v>0</v>
      </c>
      <c r="E310" s="34" t="n">
        <v>0</v>
      </c>
      <c r="F310" s="40" t="inlineStr">
        <is>
          <t>-</t>
        </is>
      </c>
      <c r="G310" s="40" t="inlineStr">
        <is>
          <t>-</t>
        </is>
      </c>
      <c r="H310" s="40" t="inlineStr">
        <is>
          <t>-</t>
        </is>
      </c>
      <c r="I310" s="40" t="inlineStr">
        <is>
          <t>-</t>
        </is>
      </c>
      <c r="J310" s="41" t="n">
        <v>0</v>
      </c>
      <c r="K310" s="34" t="inlineStr">
        <is>
          <t>No</t>
        </is>
      </c>
      <c r="L310" s="34" t="n">
        <v>0</v>
      </c>
      <c r="M31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11" ht="64" customHeight="1">
      <c r="A311" s="34" t="inlineStr">
        <is>
          <t>20 Jun</t>
        </is>
      </c>
      <c r="B311" s="34" t="inlineStr">
        <is>
          <t>37321</t>
        </is>
      </c>
      <c r="C311" s="34" t="n">
        <v>216</v>
      </c>
      <c r="D311" s="34" t="n">
        <v>216</v>
      </c>
      <c r="E311" s="34" t="n">
        <v>0</v>
      </c>
      <c r="F311" s="40" t="n">
        <v>360114</v>
      </c>
      <c r="G311" s="40" t="n">
        <v>395280</v>
      </c>
      <c r="H311" s="40" t="inlineStr">
        <is>
          <t>-</t>
        </is>
      </c>
      <c r="I311" s="40" t="inlineStr">
        <is>
          <t>-</t>
        </is>
      </c>
      <c r="J311" s="41" t="n">
        <v>0</v>
      </c>
      <c r="K311" s="34" t="inlineStr">
        <is>
          <t>No</t>
        </is>
      </c>
      <c r="L311" s="34" t="n">
        <v>0</v>
      </c>
      <c r="M31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12" ht="64" customHeight="1">
      <c r="A312" s="34" t="inlineStr">
        <is>
          <t>20 Jun</t>
        </is>
      </c>
      <c r="B312" s="34" t="inlineStr">
        <is>
          <t>37397</t>
        </is>
      </c>
      <c r="C312" s="34" t="n">
        <v>213</v>
      </c>
      <c r="D312" s="34" t="n">
        <v>213</v>
      </c>
      <c r="E312" s="34" t="n">
        <v>0</v>
      </c>
      <c r="F312" s="40" t="n">
        <v>368138</v>
      </c>
      <c r="G312" s="40" t="n">
        <v>395286</v>
      </c>
      <c r="H312" s="40" t="inlineStr">
        <is>
          <t>-</t>
        </is>
      </c>
      <c r="I312" s="40" t="inlineStr">
        <is>
          <t>-</t>
        </is>
      </c>
      <c r="J312" s="41" t="n">
        <v>0</v>
      </c>
      <c r="K312" s="34" t="inlineStr">
        <is>
          <t>No</t>
        </is>
      </c>
      <c r="L312" s="34" t="n">
        <v>0</v>
      </c>
      <c r="M31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13" ht="64" customHeight="1">
      <c r="A313" s="34" t="inlineStr">
        <is>
          <t>20 Jun</t>
        </is>
      </c>
      <c r="B313" s="34" t="inlineStr">
        <is>
          <t>37493</t>
        </is>
      </c>
      <c r="C313" s="34" t="n">
        <v>2</v>
      </c>
      <c r="D313" s="34" t="n">
        <v>0</v>
      </c>
      <c r="E313" s="34" t="n">
        <v>0</v>
      </c>
      <c r="F313" s="40" t="inlineStr">
        <is>
          <t>-</t>
        </is>
      </c>
      <c r="G313" s="40" t="inlineStr">
        <is>
          <t>-</t>
        </is>
      </c>
      <c r="H313" s="40" t="inlineStr">
        <is>
          <t>-</t>
        </is>
      </c>
      <c r="I313" s="40" t="inlineStr">
        <is>
          <t>-</t>
        </is>
      </c>
      <c r="J313" s="41" t="n">
        <v>0</v>
      </c>
      <c r="K313" s="34" t="inlineStr">
        <is>
          <t>No</t>
        </is>
      </c>
      <c r="L313" s="34" t="n">
        <v>0</v>
      </c>
      <c r="M31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14" ht="64" customHeight="1">
      <c r="A314" s="34" t="inlineStr">
        <is>
          <t>20 Jun</t>
        </is>
      </c>
      <c r="B314" s="34" t="inlineStr">
        <is>
          <t>37813</t>
        </is>
      </c>
      <c r="C314" s="34" t="n">
        <v>560</v>
      </c>
      <c r="D314" s="34" t="n">
        <v>560</v>
      </c>
      <c r="E314" s="34" t="n">
        <v>0</v>
      </c>
      <c r="F314" s="40" t="n">
        <v>360667</v>
      </c>
      <c r="G314" s="40" t="n">
        <v>395941</v>
      </c>
      <c r="H314" s="40" t="inlineStr">
        <is>
          <t>-</t>
        </is>
      </c>
      <c r="I314" s="40" t="inlineStr">
        <is>
          <t>-</t>
        </is>
      </c>
      <c r="J314" s="41" t="n">
        <v>0</v>
      </c>
      <c r="K314" s="34" t="inlineStr">
        <is>
          <t>No</t>
        </is>
      </c>
      <c r="L314" s="34" t="n">
        <v>0</v>
      </c>
      <c r="M31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15" ht="64" customHeight="1">
      <c r="A315" s="34" t="inlineStr">
        <is>
          <t>20 Jun</t>
        </is>
      </c>
      <c r="B315" s="34" t="inlineStr">
        <is>
          <t>39089</t>
        </is>
      </c>
      <c r="C315" s="34" t="n">
        <v>133</v>
      </c>
      <c r="D315" s="34" t="n">
        <v>133</v>
      </c>
      <c r="E315" s="34" t="n">
        <v>0</v>
      </c>
      <c r="F315" s="40" t="n">
        <v>369922</v>
      </c>
      <c r="G315" s="40" t="n">
        <v>395155</v>
      </c>
      <c r="H315" s="40" t="inlineStr">
        <is>
          <t>-</t>
        </is>
      </c>
      <c r="I315" s="40" t="inlineStr">
        <is>
          <t>-</t>
        </is>
      </c>
      <c r="J315" s="41" t="n">
        <v>0</v>
      </c>
      <c r="K315" s="34" t="inlineStr">
        <is>
          <t>No</t>
        </is>
      </c>
      <c r="L315" s="34" t="n">
        <v>0</v>
      </c>
      <c r="M31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16" ht="64" customHeight="1">
      <c r="A316" s="34" t="inlineStr">
        <is>
          <t>20 Jun</t>
        </is>
      </c>
      <c r="B316" s="34" t="inlineStr">
        <is>
          <t>41820</t>
        </is>
      </c>
      <c r="C316" s="34" t="n">
        <v>4</v>
      </c>
      <c r="D316" s="34" t="n">
        <v>0</v>
      </c>
      <c r="E316" s="34" t="n">
        <v>0</v>
      </c>
      <c r="F316" s="40" t="inlineStr">
        <is>
          <t>-</t>
        </is>
      </c>
      <c r="G316" s="40" t="inlineStr">
        <is>
          <t>-</t>
        </is>
      </c>
      <c r="H316" s="40" t="inlineStr">
        <is>
          <t>-</t>
        </is>
      </c>
      <c r="I316" s="40" t="inlineStr">
        <is>
          <t>-</t>
        </is>
      </c>
      <c r="J316" s="41" t="n">
        <v>0</v>
      </c>
      <c r="K316" s="34" t="inlineStr">
        <is>
          <t>No</t>
        </is>
      </c>
      <c r="L316" s="34" t="n">
        <v>0</v>
      </c>
      <c r="M31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17" ht="64" customHeight="1">
      <c r="A317" s="34" t="inlineStr">
        <is>
          <t>20 Jun</t>
        </is>
      </c>
      <c r="B317" s="34" t="inlineStr">
        <is>
          <t>41870</t>
        </is>
      </c>
      <c r="C317" s="34" t="n">
        <v>18</v>
      </c>
      <c r="D317" s="34" t="n">
        <v>0</v>
      </c>
      <c r="E317" s="34" t="n">
        <v>0</v>
      </c>
      <c r="F317" s="40" t="inlineStr">
        <is>
          <t>-</t>
        </is>
      </c>
      <c r="G317" s="40" t="inlineStr">
        <is>
          <t>-</t>
        </is>
      </c>
      <c r="H317" s="40" t="inlineStr">
        <is>
          <t>-</t>
        </is>
      </c>
      <c r="I317" s="40" t="inlineStr">
        <is>
          <t>-</t>
        </is>
      </c>
      <c r="J317" s="41" t="n">
        <v>0</v>
      </c>
      <c r="K317" s="34" t="inlineStr">
        <is>
          <t>No</t>
        </is>
      </c>
      <c r="L317" s="34" t="n">
        <v>0</v>
      </c>
      <c r="M31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18" ht="64" customHeight="1">
      <c r="A318" s="34" t="inlineStr">
        <is>
          <t>20 Jun</t>
        </is>
      </c>
      <c r="B318" s="34" t="inlineStr">
        <is>
          <t>43922</t>
        </is>
      </c>
      <c r="C318" s="34" t="n">
        <v>300</v>
      </c>
      <c r="D318" s="34" t="n">
        <v>192</v>
      </c>
      <c r="E318" s="34" t="n">
        <v>0</v>
      </c>
      <c r="F318" s="40" t="n">
        <v>2500007</v>
      </c>
      <c r="G318" s="40" t="n">
        <v>2500610</v>
      </c>
      <c r="H318" s="40" t="inlineStr">
        <is>
          <t>-</t>
        </is>
      </c>
      <c r="I318" s="40" t="inlineStr">
        <is>
          <t>-</t>
        </is>
      </c>
      <c r="J318" s="41" t="n">
        <v>0</v>
      </c>
      <c r="K318" s="34" t="inlineStr">
        <is>
          <t>No</t>
        </is>
      </c>
      <c r="L318" s="34" t="n">
        <v>0</v>
      </c>
      <c r="M31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19" ht="64" customHeight="1">
      <c r="A319" s="34" t="inlineStr">
        <is>
          <t>20 Jun</t>
        </is>
      </c>
      <c r="B319" s="34" t="inlineStr">
        <is>
          <t>51347</t>
        </is>
      </c>
      <c r="C319" s="34" t="n">
        <v>11</v>
      </c>
      <c r="D319" s="34" t="n">
        <v>0</v>
      </c>
      <c r="E319" s="34" t="n">
        <v>0</v>
      </c>
      <c r="F319" s="40" t="inlineStr">
        <is>
          <t>-</t>
        </is>
      </c>
      <c r="G319" s="40" t="inlineStr">
        <is>
          <t>-</t>
        </is>
      </c>
      <c r="H319" s="40" t="inlineStr">
        <is>
          <t>-</t>
        </is>
      </c>
      <c r="I319" s="40" t="inlineStr">
        <is>
          <t>-</t>
        </is>
      </c>
      <c r="J319" s="41" t="n">
        <v>0</v>
      </c>
      <c r="K319" s="34" t="inlineStr">
        <is>
          <t>No</t>
        </is>
      </c>
      <c r="L319" s="34" t="n">
        <v>0</v>
      </c>
      <c r="M31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20">
      <c r="A320" s="16" t="inlineStr">
        <is>
          <t>21 Jun</t>
        </is>
      </c>
      <c r="B320" s="16" t="inlineStr">
        <is>
          <t>30791</t>
        </is>
      </c>
      <c r="C320" s="16" t="n">
        <v>5516</v>
      </c>
      <c r="D320" s="16" t="n">
        <v>5516</v>
      </c>
      <c r="E320" s="16" t="n">
        <v>4053</v>
      </c>
      <c r="F320" s="38" t="n">
        <v>370180</v>
      </c>
      <c r="G320" s="38" t="n">
        <v>494966</v>
      </c>
      <c r="H320" s="38" t="n">
        <v>400398</v>
      </c>
      <c r="I320" s="38" t="n">
        <v>494310</v>
      </c>
      <c r="J320" s="19">
        <f>(I320-H320)/1000</f>
        <v/>
      </c>
      <c r="K320" s="16" t="inlineStr">
        <is>
          <t>Yes</t>
        </is>
      </c>
      <c r="L320" s="16" t="n">
        <v>23</v>
      </c>
      <c r="M320" s="39" t="inlineStr">
        <is>
          <t>- (full trip)</t>
        </is>
      </c>
    </row>
    <row r="321">
      <c r="A321" s="16" t="inlineStr">
        <is>
          <t>21 Jun</t>
        </is>
      </c>
      <c r="B321" s="16" t="inlineStr">
        <is>
          <t>30814</t>
        </is>
      </c>
      <c r="C321" s="16" t="n">
        <v>6726</v>
      </c>
      <c r="D321" s="16" t="n">
        <v>6726</v>
      </c>
      <c r="E321" s="16" t="n">
        <v>5112</v>
      </c>
      <c r="F321" s="38" t="n">
        <v>360651</v>
      </c>
      <c r="G321" s="38" t="n">
        <v>495793</v>
      </c>
      <c r="H321" s="38" t="n">
        <v>400405</v>
      </c>
      <c r="I321" s="38" t="n">
        <v>494312</v>
      </c>
      <c r="J321" s="19">
        <f>(I321-H321)/1000</f>
        <v/>
      </c>
      <c r="K321" s="16" t="inlineStr">
        <is>
          <t>Yes</t>
        </is>
      </c>
      <c r="L321" s="16" t="n">
        <v>23</v>
      </c>
      <c r="M321" s="39" t="inlineStr">
        <is>
          <t>- (full trip)</t>
        </is>
      </c>
    </row>
    <row r="322">
      <c r="A322" s="16" t="inlineStr">
        <is>
          <t>21 Jun</t>
        </is>
      </c>
      <c r="B322" s="16" t="inlineStr">
        <is>
          <t>37569</t>
        </is>
      </c>
      <c r="C322" s="16" t="n">
        <v>4636</v>
      </c>
      <c r="D322" s="16" t="n">
        <v>4636</v>
      </c>
      <c r="E322" s="16" t="n">
        <v>3971</v>
      </c>
      <c r="F322" s="38" t="n">
        <v>380745</v>
      </c>
      <c r="G322" s="38" t="n">
        <v>494966</v>
      </c>
      <c r="H322" s="38" t="n">
        <v>400398</v>
      </c>
      <c r="I322" s="38" t="n">
        <v>494310</v>
      </c>
      <c r="J322" s="19">
        <f>(I322-H322)/1000</f>
        <v/>
      </c>
      <c r="K322" s="16" t="inlineStr">
        <is>
          <t>Yes</t>
        </is>
      </c>
      <c r="L322" s="16" t="n">
        <v>23</v>
      </c>
      <c r="M322" s="39" t="inlineStr">
        <is>
          <t>- (full trip)</t>
        </is>
      </c>
    </row>
    <row r="323">
      <c r="A323" s="16" t="inlineStr">
        <is>
          <t>21 Jun</t>
        </is>
      </c>
      <c r="B323" s="16" t="inlineStr">
        <is>
          <t>39030</t>
        </is>
      </c>
      <c r="C323" s="16" t="n">
        <v>5233</v>
      </c>
      <c r="D323" s="16" t="n">
        <v>5233</v>
      </c>
      <c r="E323" s="16" t="n">
        <v>4038</v>
      </c>
      <c r="F323" s="38" t="n">
        <v>376785</v>
      </c>
      <c r="G323" s="38" t="n">
        <v>494981</v>
      </c>
      <c r="H323" s="38" t="n">
        <v>400403</v>
      </c>
      <c r="I323" s="38" t="n">
        <v>494312</v>
      </c>
      <c r="J323" s="19">
        <f>(I323-H323)/1000</f>
        <v/>
      </c>
      <c r="K323" s="16" t="inlineStr">
        <is>
          <t>Yes</t>
        </is>
      </c>
      <c r="L323" s="16" t="n">
        <v>23</v>
      </c>
      <c r="M323" s="39" t="inlineStr">
        <is>
          <t>- (full trip)</t>
        </is>
      </c>
    </row>
    <row r="324">
      <c r="A324" s="16" t="inlineStr">
        <is>
          <t>21 Jun</t>
        </is>
      </c>
      <c r="B324" s="16" t="inlineStr">
        <is>
          <t>39248</t>
        </is>
      </c>
      <c r="C324" s="16" t="n">
        <v>5154</v>
      </c>
      <c r="D324" s="16" t="n">
        <v>5154</v>
      </c>
      <c r="E324" s="16" t="n">
        <v>3908</v>
      </c>
      <c r="F324" s="38" t="n">
        <v>371166</v>
      </c>
      <c r="G324" s="38" t="n">
        <v>495009</v>
      </c>
      <c r="H324" s="38" t="n">
        <v>400401</v>
      </c>
      <c r="I324" s="38" t="n">
        <v>494311</v>
      </c>
      <c r="J324" s="19">
        <f>(I324-H324)/1000</f>
        <v/>
      </c>
      <c r="K324" s="16" t="inlineStr">
        <is>
          <t>Yes</t>
        </is>
      </c>
      <c r="L324" s="16" t="n">
        <v>23</v>
      </c>
      <c r="M324" s="39" t="inlineStr">
        <is>
          <t>- (full trip)</t>
        </is>
      </c>
    </row>
    <row r="325">
      <c r="A325" s="16" t="inlineStr">
        <is>
          <t>21 Jun</t>
        </is>
      </c>
      <c r="B325" s="16" t="inlineStr">
        <is>
          <t>39287</t>
        </is>
      </c>
      <c r="C325" s="16" t="n">
        <v>7017</v>
      </c>
      <c r="D325" s="16" t="n">
        <v>6999</v>
      </c>
      <c r="E325" s="16" t="n">
        <v>6234</v>
      </c>
      <c r="F325" s="38" t="n">
        <v>396003</v>
      </c>
      <c r="G325" s="38" t="n">
        <v>495605</v>
      </c>
      <c r="H325" s="38" t="n">
        <v>400401</v>
      </c>
      <c r="I325" s="38" t="n">
        <v>494310</v>
      </c>
      <c r="J325" s="19">
        <f>(I325-H325)/1000</f>
        <v/>
      </c>
      <c r="K325" s="16" t="inlineStr">
        <is>
          <t>Yes</t>
        </is>
      </c>
      <c r="L325" s="16" t="n">
        <v>23</v>
      </c>
      <c r="M325" s="39" t="inlineStr">
        <is>
          <t>- (full trip)</t>
        </is>
      </c>
    </row>
    <row r="326">
      <c r="A326" s="16" t="inlineStr">
        <is>
          <t>21 Jun</t>
        </is>
      </c>
      <c r="B326" s="16" t="inlineStr">
        <is>
          <t>30531</t>
        </is>
      </c>
      <c r="C326" s="16" t="n">
        <v>4817</v>
      </c>
      <c r="D326" s="16" t="n">
        <v>4817</v>
      </c>
      <c r="E326" s="16" t="n">
        <v>3978</v>
      </c>
      <c r="F326" s="38" t="n">
        <v>369958</v>
      </c>
      <c r="G326" s="38" t="n">
        <v>495777</v>
      </c>
      <c r="H326" s="38" t="n">
        <v>400415</v>
      </c>
      <c r="I326" s="38" t="n">
        <v>494311</v>
      </c>
      <c r="J326" s="19">
        <f>(I326-H326)/1000</f>
        <v/>
      </c>
      <c r="K326" s="16" t="inlineStr">
        <is>
          <t>Yes</t>
        </is>
      </c>
      <c r="L326" s="16" t="n">
        <v>23</v>
      </c>
      <c r="M326" s="39" t="inlineStr">
        <is>
          <t>- (full trip)</t>
        </is>
      </c>
    </row>
    <row r="327">
      <c r="A327" s="16" t="inlineStr">
        <is>
          <t>21 Jun</t>
        </is>
      </c>
      <c r="B327" s="16" t="inlineStr">
        <is>
          <t>37279</t>
        </is>
      </c>
      <c r="C327" s="16" t="n">
        <v>5444</v>
      </c>
      <c r="D327" s="16" t="n">
        <v>5444</v>
      </c>
      <c r="E327" s="16" t="n">
        <v>4975</v>
      </c>
      <c r="F327" s="38" t="n">
        <v>398303</v>
      </c>
      <c r="G327" s="38" t="n">
        <v>495779</v>
      </c>
      <c r="H327" s="38" t="n">
        <v>400402</v>
      </c>
      <c r="I327" s="38" t="n">
        <v>494305</v>
      </c>
      <c r="J327" s="19">
        <f>(I327-H327)/1000</f>
        <v/>
      </c>
      <c r="K327" s="16" t="inlineStr">
        <is>
          <t>Yes</t>
        </is>
      </c>
      <c r="L327" s="16" t="n">
        <v>23</v>
      </c>
      <c r="M327" s="39" t="inlineStr">
        <is>
          <t>- (full trip)</t>
        </is>
      </c>
    </row>
    <row r="328">
      <c r="A328" s="16" t="inlineStr">
        <is>
          <t>21 Jun</t>
        </is>
      </c>
      <c r="B328" s="16" t="inlineStr">
        <is>
          <t>37503</t>
        </is>
      </c>
      <c r="C328" s="16" t="n">
        <v>9667</v>
      </c>
      <c r="D328" s="16" t="n">
        <v>9667</v>
      </c>
      <c r="E328" s="16" t="n">
        <v>7633</v>
      </c>
      <c r="F328" s="38" t="n">
        <v>361617</v>
      </c>
      <c r="G328" s="38" t="n">
        <v>495806</v>
      </c>
      <c r="H328" s="38" t="n">
        <v>400415</v>
      </c>
      <c r="I328" s="38" t="n">
        <v>494312</v>
      </c>
      <c r="J328" s="19">
        <f>(I328-H328)/1000</f>
        <v/>
      </c>
      <c r="K328" s="16" t="inlineStr">
        <is>
          <t>Yes</t>
        </is>
      </c>
      <c r="L328" s="16" t="n">
        <v>23</v>
      </c>
      <c r="M328" s="39" t="inlineStr">
        <is>
          <t>- (full trip)</t>
        </is>
      </c>
    </row>
    <row r="329">
      <c r="A329" s="16" t="inlineStr">
        <is>
          <t>21 Jun</t>
        </is>
      </c>
      <c r="B329" s="16" t="inlineStr">
        <is>
          <t>30476</t>
        </is>
      </c>
      <c r="C329" s="16" t="n">
        <v>6629</v>
      </c>
      <c r="D329" s="16" t="n">
        <v>5855</v>
      </c>
      <c r="E329" s="16" t="n">
        <v>4472</v>
      </c>
      <c r="F329" s="38" t="n">
        <v>370027</v>
      </c>
      <c r="G329" s="38" t="n">
        <v>500172</v>
      </c>
      <c r="H329" s="38" t="n">
        <v>400416</v>
      </c>
      <c r="I329" s="38" t="n">
        <v>494311</v>
      </c>
      <c r="J329" s="19">
        <f>(I329-H329)/1000</f>
        <v/>
      </c>
      <c r="K329" s="16" t="inlineStr">
        <is>
          <t>Yes</t>
        </is>
      </c>
      <c r="L329" s="16" t="n">
        <v>23</v>
      </c>
      <c r="M329" s="39" t="inlineStr">
        <is>
          <t>- (full trip)</t>
        </is>
      </c>
    </row>
    <row r="330">
      <c r="A330" s="16" t="inlineStr">
        <is>
          <t>21 Jun</t>
        </is>
      </c>
      <c r="B330" s="16" t="inlineStr">
        <is>
          <t>37287</t>
        </is>
      </c>
      <c r="C330" s="16" t="n">
        <v>5078</v>
      </c>
      <c r="D330" s="16" t="n">
        <v>5078</v>
      </c>
      <c r="E330" s="16" t="n">
        <v>3682</v>
      </c>
      <c r="F330" s="38" t="n">
        <v>367864</v>
      </c>
      <c r="G330" s="38" t="n">
        <v>494963</v>
      </c>
      <c r="H330" s="38" t="n">
        <v>400422</v>
      </c>
      <c r="I330" s="38" t="n">
        <v>494310</v>
      </c>
      <c r="J330" s="19">
        <f>(I330-H330)/1000</f>
        <v/>
      </c>
      <c r="K330" s="16" t="inlineStr">
        <is>
          <t>Yes</t>
        </is>
      </c>
      <c r="L330" s="16" t="n">
        <v>23</v>
      </c>
      <c r="M330" s="39" t="inlineStr">
        <is>
          <t>- (full trip)</t>
        </is>
      </c>
    </row>
    <row r="331">
      <c r="A331" s="16" t="inlineStr">
        <is>
          <t>21 Jun</t>
        </is>
      </c>
      <c r="B331" s="16" t="inlineStr">
        <is>
          <t>30314</t>
        </is>
      </c>
      <c r="C331" s="16" t="n">
        <v>5339</v>
      </c>
      <c r="D331" s="16" t="n">
        <v>5339</v>
      </c>
      <c r="E331" s="16" t="n">
        <v>4448</v>
      </c>
      <c r="F331" s="38" t="n">
        <v>370259</v>
      </c>
      <c r="G331" s="38" t="n">
        <v>495731</v>
      </c>
      <c r="H331" s="38" t="n">
        <v>400433</v>
      </c>
      <c r="I331" s="38" t="n">
        <v>494310</v>
      </c>
      <c r="J331" s="19">
        <f>(I331-H331)/1000</f>
        <v/>
      </c>
      <c r="K331" s="16" t="inlineStr">
        <is>
          <t>Yes</t>
        </is>
      </c>
      <c r="L331" s="16" t="n">
        <v>23</v>
      </c>
      <c r="M331" s="39" t="inlineStr">
        <is>
          <t>- (full trip)</t>
        </is>
      </c>
    </row>
    <row r="332">
      <c r="A332" s="16" t="inlineStr">
        <is>
          <t>21 Jun</t>
        </is>
      </c>
      <c r="B332" s="16" t="inlineStr">
        <is>
          <t>30606</t>
        </is>
      </c>
      <c r="C332" s="16" t="n">
        <v>5039</v>
      </c>
      <c r="D332" s="16" t="n">
        <v>5039</v>
      </c>
      <c r="E332" s="16" t="n">
        <v>4192</v>
      </c>
      <c r="F332" s="38" t="n">
        <v>370260</v>
      </c>
      <c r="G332" s="38" t="n">
        <v>495808</v>
      </c>
      <c r="H332" s="38" t="n">
        <v>400434</v>
      </c>
      <c r="I332" s="38" t="n">
        <v>494310</v>
      </c>
      <c r="J332" s="19">
        <f>(I332-H332)/1000</f>
        <v/>
      </c>
      <c r="K332" s="16" t="inlineStr">
        <is>
          <t>Yes</t>
        </is>
      </c>
      <c r="L332" s="16" t="n">
        <v>23</v>
      </c>
      <c r="M332" s="39" t="inlineStr">
        <is>
          <t>- (full trip)</t>
        </is>
      </c>
    </row>
    <row r="333">
      <c r="A333" s="16" t="inlineStr">
        <is>
          <t>21 Jun</t>
        </is>
      </c>
      <c r="B333" s="16" t="inlineStr">
        <is>
          <t>37793</t>
        </is>
      </c>
      <c r="C333" s="16" t="n">
        <v>9139</v>
      </c>
      <c r="D333" s="16" t="n">
        <v>9087</v>
      </c>
      <c r="E333" s="16" t="n">
        <v>7568</v>
      </c>
      <c r="F333" s="38" t="n">
        <v>360732</v>
      </c>
      <c r="G333" s="38" t="n">
        <v>495631</v>
      </c>
      <c r="H333" s="38" t="n">
        <v>400440</v>
      </c>
      <c r="I333" s="38" t="n">
        <v>494312</v>
      </c>
      <c r="J333" s="19">
        <f>(I333-H333)/1000</f>
        <v/>
      </c>
      <c r="K333" s="16" t="inlineStr">
        <is>
          <t>Yes</t>
        </is>
      </c>
      <c r="L333" s="16" t="n">
        <v>23</v>
      </c>
      <c r="M333" s="39" t="inlineStr">
        <is>
          <t>- (full trip)</t>
        </is>
      </c>
    </row>
    <row r="334">
      <c r="A334" s="16" t="inlineStr">
        <is>
          <t>21 Jun</t>
        </is>
      </c>
      <c r="B334" s="16" t="inlineStr">
        <is>
          <t>33715</t>
        </is>
      </c>
      <c r="C334" s="16" t="n">
        <v>5891</v>
      </c>
      <c r="D334" s="16" t="n">
        <v>5891</v>
      </c>
      <c r="E334" s="16" t="n">
        <v>5075</v>
      </c>
      <c r="F334" s="38" t="n">
        <v>369693</v>
      </c>
      <c r="G334" s="38" t="n">
        <v>495717</v>
      </c>
      <c r="H334" s="38" t="n">
        <v>400445</v>
      </c>
      <c r="I334" s="38" t="n">
        <v>494310</v>
      </c>
      <c r="J334" s="19">
        <f>(I334-H334)/1000</f>
        <v/>
      </c>
      <c r="K334" s="16" t="inlineStr">
        <is>
          <t>Yes</t>
        </is>
      </c>
      <c r="L334" s="16" t="n">
        <v>23</v>
      </c>
      <c r="M334" s="39" t="inlineStr">
        <is>
          <t>- (full trip)</t>
        </is>
      </c>
    </row>
    <row r="335">
      <c r="A335" s="16" t="inlineStr">
        <is>
          <t>21 Jun</t>
        </is>
      </c>
      <c r="B335" s="16" t="inlineStr">
        <is>
          <t>37275</t>
        </is>
      </c>
      <c r="C335" s="16" t="n">
        <v>8083</v>
      </c>
      <c r="D335" s="16" t="n">
        <v>8079</v>
      </c>
      <c r="E335" s="16" t="n">
        <v>7843</v>
      </c>
      <c r="F335" s="38" t="n">
        <v>400991</v>
      </c>
      <c r="G335" s="38" t="n">
        <v>495805</v>
      </c>
      <c r="H335" s="38" t="n">
        <v>400991</v>
      </c>
      <c r="I335" s="38" t="n">
        <v>494310</v>
      </c>
      <c r="J335" s="19">
        <f>(I335-H335)/1000</f>
        <v/>
      </c>
      <c r="K335" s="16" t="inlineStr">
        <is>
          <t>Yes</t>
        </is>
      </c>
      <c r="L335" s="16" t="n">
        <v>23</v>
      </c>
      <c r="M335" s="39" t="inlineStr">
        <is>
          <t>- (full trip)</t>
        </is>
      </c>
    </row>
    <row r="336">
      <c r="A336" s="16" t="inlineStr">
        <is>
          <t>21 Jun</t>
        </is>
      </c>
      <c r="B336" s="16" t="inlineStr">
        <is>
          <t>37818</t>
        </is>
      </c>
      <c r="C336" s="16" t="n">
        <v>7569</v>
      </c>
      <c r="D336" s="16" t="n">
        <v>7569</v>
      </c>
      <c r="E336" s="16" t="n">
        <v>7235</v>
      </c>
      <c r="F336" s="38" t="n">
        <v>400996</v>
      </c>
      <c r="G336" s="38" t="n">
        <v>495732</v>
      </c>
      <c r="H336" s="38" t="n">
        <v>400996</v>
      </c>
      <c r="I336" s="38" t="n">
        <v>494312</v>
      </c>
      <c r="J336" s="19">
        <f>(I336-H336)/1000</f>
        <v/>
      </c>
      <c r="K336" s="16" t="inlineStr">
        <is>
          <t>Yes</t>
        </is>
      </c>
      <c r="L336" s="16" t="n">
        <v>23</v>
      </c>
      <c r="M336" s="39" t="inlineStr">
        <is>
          <t>- (full trip)</t>
        </is>
      </c>
    </row>
    <row r="337">
      <c r="A337" s="16" t="inlineStr">
        <is>
          <t>21 Jun</t>
        </is>
      </c>
      <c r="B337" s="16" t="inlineStr">
        <is>
          <t>37074</t>
        </is>
      </c>
      <c r="C337" s="16" t="n">
        <v>5502</v>
      </c>
      <c r="D337" s="16" t="n">
        <v>5469</v>
      </c>
      <c r="E337" s="16" t="n">
        <v>5261</v>
      </c>
      <c r="F337" s="38" t="n">
        <v>400999</v>
      </c>
      <c r="G337" s="38" t="n">
        <v>494901</v>
      </c>
      <c r="H337" s="38" t="n">
        <v>400999</v>
      </c>
      <c r="I337" s="38" t="n">
        <v>494311</v>
      </c>
      <c r="J337" s="19">
        <f>(I337-H337)/1000</f>
        <v/>
      </c>
      <c r="K337" s="16" t="inlineStr">
        <is>
          <t>Yes</t>
        </is>
      </c>
      <c r="L337" s="16" t="n">
        <v>23</v>
      </c>
      <c r="M337" s="39" t="inlineStr">
        <is>
          <t>- (full trip)</t>
        </is>
      </c>
    </row>
    <row r="338">
      <c r="A338" s="16" t="inlineStr">
        <is>
          <t>21 Jun</t>
        </is>
      </c>
      <c r="B338" s="16" t="inlineStr">
        <is>
          <t>39311</t>
        </is>
      </c>
      <c r="C338" s="16" t="n">
        <v>7222</v>
      </c>
      <c r="D338" s="16" t="n">
        <v>7222</v>
      </c>
      <c r="E338" s="16" t="n">
        <v>6965</v>
      </c>
      <c r="F338" s="38" t="n">
        <v>402607</v>
      </c>
      <c r="G338" s="38" t="n">
        <v>494968</v>
      </c>
      <c r="H338" s="38" t="n">
        <v>402607</v>
      </c>
      <c r="I338" s="38" t="n">
        <v>494312</v>
      </c>
      <c r="J338" s="19">
        <f>(I338-H338)/1000</f>
        <v/>
      </c>
      <c r="K338" s="16" t="inlineStr">
        <is>
          <t>Yes</t>
        </is>
      </c>
      <c r="L338" s="16" t="n">
        <v>23</v>
      </c>
      <c r="M338" s="39" t="inlineStr">
        <is>
          <t>- (full trip)</t>
        </is>
      </c>
    </row>
    <row r="339">
      <c r="A339" s="16" t="inlineStr">
        <is>
          <t>21 Jun</t>
        </is>
      </c>
      <c r="B339" s="16" t="inlineStr">
        <is>
          <t>30065</t>
        </is>
      </c>
      <c r="C339" s="16" t="n">
        <v>6897</v>
      </c>
      <c r="D339" s="16" t="n">
        <v>6897</v>
      </c>
      <c r="E339" s="16" t="n">
        <v>6897</v>
      </c>
      <c r="F339" s="38" t="n">
        <v>403422</v>
      </c>
      <c r="G339" s="38" t="n">
        <v>494301</v>
      </c>
      <c r="H339" s="38" t="n">
        <v>403422</v>
      </c>
      <c r="I339" s="38" t="n">
        <v>494301</v>
      </c>
      <c r="J339" s="19">
        <f>(I339-H339)/1000</f>
        <v/>
      </c>
      <c r="K339" s="16" t="inlineStr">
        <is>
          <t>Yes</t>
        </is>
      </c>
      <c r="L339" s="16" t="n">
        <v>23</v>
      </c>
      <c r="M339" s="39" t="inlineStr">
        <is>
          <t>- (full trip)</t>
        </is>
      </c>
    </row>
    <row r="340">
      <c r="A340" s="16" t="inlineStr">
        <is>
          <t>21 Jun</t>
        </is>
      </c>
      <c r="B340" s="16" t="inlineStr">
        <is>
          <t>43881</t>
        </is>
      </c>
      <c r="C340" s="16" t="n">
        <v>5656</v>
      </c>
      <c r="D340" s="16" t="n">
        <v>5654</v>
      </c>
      <c r="E340" s="16" t="n">
        <v>5654</v>
      </c>
      <c r="F340" s="38" t="n">
        <v>400428</v>
      </c>
      <c r="G340" s="38" t="n">
        <v>488581</v>
      </c>
      <c r="H340" s="38" t="n">
        <v>400428</v>
      </c>
      <c r="I340" s="38" t="n">
        <v>488581</v>
      </c>
      <c r="J340" s="19">
        <f>(I340-H340)/1000</f>
        <v/>
      </c>
      <c r="K340" s="16" t="inlineStr">
        <is>
          <t>Yes</t>
        </is>
      </c>
      <c r="L340" s="16" t="n">
        <v>21</v>
      </c>
      <c r="M340" s="39" t="inlineStr">
        <is>
          <t>KANKARIYA CABIN, AHMEDABAD Jn</t>
        </is>
      </c>
    </row>
    <row r="341">
      <c r="A341" s="16" t="inlineStr">
        <is>
          <t>21 Jun</t>
        </is>
      </c>
      <c r="B341" s="16" t="inlineStr">
        <is>
          <t>37316</t>
        </is>
      </c>
      <c r="C341" s="16" t="n">
        <v>2166</v>
      </c>
      <c r="D341" s="16" t="n">
        <v>2166</v>
      </c>
      <c r="E341" s="16" t="n">
        <v>1013</v>
      </c>
      <c r="F341" s="38" t="n">
        <v>367767</v>
      </c>
      <c r="G341" s="38" t="n">
        <v>478397</v>
      </c>
      <c r="H341" s="38" t="n">
        <v>400460</v>
      </c>
      <c r="I341" s="38" t="n">
        <v>478397</v>
      </c>
      <c r="J341" s="19">
        <f>(I341-H341)/1000</f>
        <v/>
      </c>
      <c r="K341" s="16" t="inlineStr">
        <is>
          <t>Yes</t>
        </is>
      </c>
      <c r="L341" s="16" t="n">
        <v>19</v>
      </c>
      <c r="M341" s="39" t="inlineStr">
        <is>
          <t>GERATPUR, VATVA, KANKARIYA CABIN, AHMEDABAD Jn</t>
        </is>
      </c>
    </row>
    <row r="342" ht="34" customHeight="1">
      <c r="A342" s="16" t="inlineStr">
        <is>
          <t>21 Jun</t>
        </is>
      </c>
      <c r="B342" s="16" t="inlineStr">
        <is>
          <t>37817</t>
        </is>
      </c>
      <c r="C342" s="16" t="n">
        <v>4523</v>
      </c>
      <c r="D342" s="16" t="n">
        <v>4523</v>
      </c>
      <c r="E342" s="16" t="n">
        <v>4523</v>
      </c>
      <c r="F342" s="38" t="n">
        <v>400991</v>
      </c>
      <c r="G342" s="38" t="n">
        <v>464476</v>
      </c>
      <c r="H342" s="38" t="n">
        <v>400991</v>
      </c>
      <c r="I342" s="38" t="n">
        <v>464476</v>
      </c>
      <c r="J342" s="19">
        <f>(I342-H342)/1000</f>
        <v/>
      </c>
      <c r="K342" s="16" t="inlineStr">
        <is>
          <t>Yes</t>
        </is>
      </c>
      <c r="L342" s="16" t="n">
        <v>15</v>
      </c>
      <c r="M342" s="39" t="inlineStr">
        <is>
          <t>MAHEMDABAD AND KHEDA ROAD, LC-294, KANIJ, BAREJADI NANDEJ, GERATPUR, VATVA, KANKARIYA CABIN, AHMEDABAD Jn</t>
        </is>
      </c>
    </row>
    <row r="343" ht="34" customHeight="1">
      <c r="A343" s="16" t="inlineStr">
        <is>
          <t>21 Jun</t>
        </is>
      </c>
      <c r="B343" s="16" t="inlineStr">
        <is>
          <t>30176</t>
        </is>
      </c>
      <c r="C343" s="16" t="n">
        <v>28</v>
      </c>
      <c r="D343" s="16" t="n">
        <v>28</v>
      </c>
      <c r="E343" s="16" t="n">
        <v>23</v>
      </c>
      <c r="F343" s="38" t="n">
        <v>396418</v>
      </c>
      <c r="G343" s="38" t="n">
        <v>460579</v>
      </c>
      <c r="H343" s="38" t="n">
        <v>400907</v>
      </c>
      <c r="I343" s="38" t="n">
        <v>460579</v>
      </c>
      <c r="J343" s="19">
        <f>(I343-H343)/1000</f>
        <v/>
      </c>
      <c r="K343" s="16" t="inlineStr">
        <is>
          <t>Yes</t>
        </is>
      </c>
      <c r="L343" s="16" t="n">
        <v>14</v>
      </c>
      <c r="M343" s="39" t="inlineStr">
        <is>
          <t>LC-286, MAHEMDABAD AND KHEDA ROAD, LC-294, KANIJ, BAREJADI NANDEJ, GERATPUR, VATVA, KANKARIYA CABIN, AHMEDABAD Jn</t>
        </is>
      </c>
    </row>
    <row r="344" ht="49" customHeight="1">
      <c r="A344" s="16" t="inlineStr">
        <is>
          <t>21 Jun</t>
        </is>
      </c>
      <c r="B344" s="16" t="inlineStr">
        <is>
          <t>37086</t>
        </is>
      </c>
      <c r="C344" s="16" t="n">
        <v>5222</v>
      </c>
      <c r="D344" s="16" t="n">
        <v>5222</v>
      </c>
      <c r="E344" s="16" t="n">
        <v>5222</v>
      </c>
      <c r="F344" s="38" t="n">
        <v>400992</v>
      </c>
      <c r="G344" s="38" t="n">
        <v>455726</v>
      </c>
      <c r="H344" s="38" t="n">
        <v>400992</v>
      </c>
      <c r="I344" s="38" t="n">
        <v>455726</v>
      </c>
      <c r="J344" s="19">
        <f>(I344-H344)/1000</f>
        <v/>
      </c>
      <c r="K344" s="16" t="inlineStr">
        <is>
          <t>Yes</t>
        </is>
      </c>
      <c r="L344" s="16" t="n">
        <v>13</v>
      </c>
      <c r="M344" s="39" t="inlineStr">
        <is>
          <t>GOTHAJ, LC-286, MAHEMDABAD AND KHEDA ROAD, LC-294, KANIJ, BAREJADI NANDEJ, GERATPUR, VATVA, KANKARIYA CABIN, AHMEDABAD Jn</t>
        </is>
      </c>
    </row>
    <row r="345" ht="49" customHeight="1">
      <c r="A345" s="16" t="inlineStr">
        <is>
          <t>21 Jun</t>
        </is>
      </c>
      <c r="B345" s="16" t="inlineStr">
        <is>
          <t>37684</t>
        </is>
      </c>
      <c r="C345" s="16" t="n">
        <v>3594</v>
      </c>
      <c r="D345" s="16" t="n">
        <v>3594</v>
      </c>
      <c r="E345" s="16" t="n">
        <v>1843</v>
      </c>
      <c r="F345" s="38" t="n">
        <v>361575</v>
      </c>
      <c r="G345" s="38" t="n">
        <v>452565</v>
      </c>
      <c r="H345" s="38" t="n">
        <v>400428</v>
      </c>
      <c r="I345" s="38" t="n">
        <v>452565</v>
      </c>
      <c r="J345" s="19">
        <f>(I345-H345)/1000</f>
        <v/>
      </c>
      <c r="K345" s="16" t="inlineStr">
        <is>
          <t>Yes</t>
        </is>
      </c>
      <c r="L345" s="16" t="n">
        <v>12</v>
      </c>
      <c r="M345" s="39" t="inlineStr">
        <is>
          <t>LC-278, GOTHAJ, LC-286, MAHEMDABAD AND KHEDA ROAD, LC-294, KANIJ, BAREJADI NANDEJ, GERATPUR, VATVA, KANKARIYA CABIN, AHMEDABAD Jn</t>
        </is>
      </c>
    </row>
    <row r="346" ht="49" customHeight="1">
      <c r="A346" s="16" t="inlineStr">
        <is>
          <t>21 Jun</t>
        </is>
      </c>
      <c r="B346" s="16" t="inlineStr">
        <is>
          <t>43541</t>
        </is>
      </c>
      <c r="C346" s="16" t="n">
        <v>3815</v>
      </c>
      <c r="D346" s="16" t="n">
        <v>3815</v>
      </c>
      <c r="E346" s="16" t="n">
        <v>1559</v>
      </c>
      <c r="F346" s="38" t="n">
        <v>369803</v>
      </c>
      <c r="G346" s="38" t="n">
        <v>452326</v>
      </c>
      <c r="H346" s="38" t="n">
        <v>400405</v>
      </c>
      <c r="I346" s="38" t="n">
        <v>452326</v>
      </c>
      <c r="J346" s="19">
        <f>(I346-H346)/1000</f>
        <v/>
      </c>
      <c r="K346" s="16" t="inlineStr">
        <is>
          <t>Yes</t>
        </is>
      </c>
      <c r="L346" s="16" t="n">
        <v>12</v>
      </c>
      <c r="M346" s="39" t="inlineStr">
        <is>
          <t>LC-278, GOTHAJ, LC-286, MAHEMDABAD AND KHEDA ROAD, LC-294, KANIJ, BAREJADI NANDEJ, GERATPUR, VATVA, KANKARIYA CABIN, AHMEDABAD Jn</t>
        </is>
      </c>
    </row>
    <row r="347" ht="49" customHeight="1">
      <c r="A347" s="16" t="inlineStr">
        <is>
          <t>21 Jun</t>
        </is>
      </c>
      <c r="B347" s="16" t="inlineStr">
        <is>
          <t>39258</t>
        </is>
      </c>
      <c r="C347" s="16" t="n">
        <v>4172</v>
      </c>
      <c r="D347" s="16" t="n">
        <v>4172</v>
      </c>
      <c r="E347" s="16" t="n">
        <v>4172</v>
      </c>
      <c r="F347" s="38" t="n">
        <v>400990</v>
      </c>
      <c r="G347" s="38" t="n">
        <v>449655</v>
      </c>
      <c r="H347" s="38" t="n">
        <v>400990</v>
      </c>
      <c r="I347" s="38" t="n">
        <v>449655</v>
      </c>
      <c r="J347" s="19">
        <f>(I347-H347)/1000</f>
        <v/>
      </c>
      <c r="K347" s="16" t="inlineStr">
        <is>
          <t>Yes</t>
        </is>
      </c>
      <c r="L347" s="16" t="n">
        <v>12</v>
      </c>
      <c r="M347" s="39" t="inlineStr">
        <is>
          <t>LC-278, GOTHAJ, LC-286, MAHEMDABAD AND KHEDA ROAD, LC-294, KANIJ, BAREJADI NANDEJ, GERATPUR, VATVA, KANKARIYA CABIN, AHMEDABAD Jn</t>
        </is>
      </c>
    </row>
    <row r="348" ht="34" customHeight="1">
      <c r="A348" s="16" t="inlineStr">
        <is>
          <t>21 Jun</t>
        </is>
      </c>
      <c r="B348" s="16" t="inlineStr">
        <is>
          <t>37505</t>
        </is>
      </c>
      <c r="C348" s="16" t="n">
        <v>2885</v>
      </c>
      <c r="D348" s="16" t="n">
        <v>2885</v>
      </c>
      <c r="E348" s="16" t="n">
        <v>2625</v>
      </c>
      <c r="F348" s="38" t="n">
        <v>451110</v>
      </c>
      <c r="G348" s="38" t="n">
        <v>494981</v>
      </c>
      <c r="H348" s="38" t="n">
        <v>451110</v>
      </c>
      <c r="I348" s="38" t="n">
        <v>494311</v>
      </c>
      <c r="J348" s="19">
        <f>(I348-H348)/1000</f>
        <v/>
      </c>
      <c r="K348" s="16" t="inlineStr">
        <is>
          <t>Yes</t>
        </is>
      </c>
      <c r="L348" s="16" t="n">
        <v>12</v>
      </c>
      <c r="M348" s="39" t="inlineStr">
        <is>
          <t>BAJWA, RANOLI, LC-246, VASAD, ADAS ROAD, VADOD, LC-258, ANAND Jn, LC-264, KANJARI BORIYAVI, UTARSANDA</t>
        </is>
      </c>
    </row>
    <row r="349" ht="49" customHeight="1">
      <c r="A349" s="16" t="inlineStr">
        <is>
          <t>21 Jun</t>
        </is>
      </c>
      <c r="B349" s="16" t="inlineStr">
        <is>
          <t>37780</t>
        </is>
      </c>
      <c r="C349" s="16" t="n">
        <v>2122</v>
      </c>
      <c r="D349" s="16" t="n">
        <v>2122</v>
      </c>
      <c r="E349" s="16" t="n">
        <v>1029</v>
      </c>
      <c r="F349" s="38" t="n">
        <v>361818</v>
      </c>
      <c r="G349" s="38" t="n">
        <v>440884</v>
      </c>
      <c r="H349" s="38" t="n">
        <v>400433</v>
      </c>
      <c r="I349" s="38" t="n">
        <v>440884</v>
      </c>
      <c r="J349" s="19">
        <f>(I349-H349)/1000</f>
        <v/>
      </c>
      <c r="K349" s="16" t="inlineStr">
        <is>
          <t>Yes</t>
        </is>
      </c>
      <c r="L349" s="16" t="n">
        <v>10</v>
      </c>
      <c r="M349" s="39" t="inlineStr">
        <is>
          <t>UTARSANDA, NADIAD, LC-278, GOTHAJ, LC-286, MAHEMDABAD AND KHEDA ROAD, LC-294, KANIJ, BAREJADI NANDEJ, GERATPUR, VATVA, KANKARIYA CABIN, AHMEDABAD Jn</t>
        </is>
      </c>
    </row>
    <row r="350" ht="49" customHeight="1">
      <c r="A350" s="16" t="inlineStr">
        <is>
          <t>21 Jun</t>
        </is>
      </c>
      <c r="B350" s="16" t="inlineStr">
        <is>
          <t>39163</t>
        </is>
      </c>
      <c r="C350" s="16" t="n">
        <v>1631</v>
      </c>
      <c r="D350" s="16" t="n">
        <v>1631</v>
      </c>
      <c r="E350" s="16" t="n">
        <v>784</v>
      </c>
      <c r="F350" s="38" t="n">
        <v>367919</v>
      </c>
      <c r="G350" s="38" t="n">
        <v>440675</v>
      </c>
      <c r="H350" s="38" t="n">
        <v>400506</v>
      </c>
      <c r="I350" s="38" t="n">
        <v>440675</v>
      </c>
      <c r="J350" s="19">
        <f>(I350-H350)/1000</f>
        <v/>
      </c>
      <c r="K350" s="16" t="inlineStr">
        <is>
          <t>Yes</t>
        </is>
      </c>
      <c r="L350" s="16" t="n">
        <v>10</v>
      </c>
      <c r="M350" s="39" t="inlineStr">
        <is>
          <t>UTARSANDA, NADIAD, LC-278, GOTHAJ, LC-286, MAHEMDABAD AND KHEDA ROAD, LC-294, KANIJ, BAREJADI NANDEJ, GERATPUR, VATVA, KANKARIYA CABIN, AHMEDABAD Jn</t>
        </is>
      </c>
    </row>
    <row r="351" ht="49" customHeight="1">
      <c r="A351" s="16" t="inlineStr">
        <is>
          <t>21 Jun</t>
        </is>
      </c>
      <c r="B351" s="16" t="inlineStr">
        <is>
          <t>37515</t>
        </is>
      </c>
      <c r="C351" s="16" t="n">
        <v>1878</v>
      </c>
      <c r="D351" s="16" t="n">
        <v>1878</v>
      </c>
      <c r="E351" s="16" t="n">
        <v>730</v>
      </c>
      <c r="F351" s="38" t="n">
        <v>368386</v>
      </c>
      <c r="G351" s="38" t="n">
        <v>439900</v>
      </c>
      <c r="H351" s="38" t="n">
        <v>400405</v>
      </c>
      <c r="I351" s="38" t="n">
        <v>439900</v>
      </c>
      <c r="J351" s="19">
        <f>(I351-H351)/1000</f>
        <v/>
      </c>
      <c r="K351" s="16" t="inlineStr">
        <is>
          <t>Yes</t>
        </is>
      </c>
      <c r="L351" s="16" t="n">
        <v>10</v>
      </c>
      <c r="M351" s="39" t="inlineStr">
        <is>
          <t>UTARSANDA, NADIAD, LC-278, GOTHAJ, LC-286, MAHEMDABAD AND KHEDA ROAD, LC-294, KANIJ, BAREJADI NANDEJ, GERATPUR, VATVA, KANKARIYA CABIN, AHMEDABAD Jn</t>
        </is>
      </c>
    </row>
    <row r="352" ht="49" customHeight="1">
      <c r="A352" s="16" t="inlineStr">
        <is>
          <t>21 Jun</t>
        </is>
      </c>
      <c r="B352" s="16" t="inlineStr">
        <is>
          <t>39260</t>
        </is>
      </c>
      <c r="C352" s="16" t="n">
        <v>2000</v>
      </c>
      <c r="D352" s="16" t="n">
        <v>2000</v>
      </c>
      <c r="E352" s="16" t="n">
        <v>1222</v>
      </c>
      <c r="F352" s="38" t="n">
        <v>360551</v>
      </c>
      <c r="G352" s="38" t="n">
        <v>438545</v>
      </c>
      <c r="H352" s="38" t="n">
        <v>400409</v>
      </c>
      <c r="I352" s="38" t="n">
        <v>438545</v>
      </c>
      <c r="J352" s="19">
        <f>(I352-H352)/1000</f>
        <v/>
      </c>
      <c r="K352" s="16" t="inlineStr">
        <is>
          <t>Yes</t>
        </is>
      </c>
      <c r="L352" s="16" t="n">
        <v>10</v>
      </c>
      <c r="M352" s="39" t="inlineStr">
        <is>
          <t>UTARSANDA, NADIAD, LC-278, GOTHAJ, LC-286, MAHEMDABAD AND KHEDA ROAD, LC-294, KANIJ, BAREJADI NANDEJ, GERATPUR, VATVA, KANKARIYA CABIN, AHMEDABAD Jn</t>
        </is>
      </c>
    </row>
    <row r="353" ht="49" customHeight="1">
      <c r="A353" s="16" t="inlineStr">
        <is>
          <t>21 Jun</t>
        </is>
      </c>
      <c r="B353" s="16" t="inlineStr">
        <is>
          <t>39331</t>
        </is>
      </c>
      <c r="C353" s="16" t="n">
        <v>1716</v>
      </c>
      <c r="D353" s="16" t="n">
        <v>1716</v>
      </c>
      <c r="E353" s="16" t="n">
        <v>869</v>
      </c>
      <c r="F353" s="38" t="n">
        <v>302724</v>
      </c>
      <c r="G353" s="38" t="n">
        <v>437369</v>
      </c>
      <c r="H353" s="38" t="n">
        <v>400439</v>
      </c>
      <c r="I353" s="38" t="n">
        <v>437369</v>
      </c>
      <c r="J353" s="19">
        <f>(I353-H353)/1000</f>
        <v/>
      </c>
      <c r="K353" s="16" t="inlineStr">
        <is>
          <t>Yes</t>
        </is>
      </c>
      <c r="L353" s="16" t="n">
        <v>10</v>
      </c>
      <c r="M353" s="39" t="inlineStr">
        <is>
          <t>UTARSANDA, NADIAD, LC-278, GOTHAJ, LC-286, MAHEMDABAD AND KHEDA ROAD, LC-294, KANIJ, BAREJADI NANDEJ, GERATPUR, VATVA, KANKARIYA CABIN, AHMEDABAD Jn</t>
        </is>
      </c>
    </row>
    <row r="354" ht="49" customHeight="1">
      <c r="A354" s="16" t="inlineStr">
        <is>
          <t>21 Jun</t>
        </is>
      </c>
      <c r="B354" s="16" t="inlineStr">
        <is>
          <t>45034</t>
        </is>
      </c>
      <c r="C354" s="16" t="n">
        <v>1943</v>
      </c>
      <c r="D354" s="16" t="n">
        <v>1943</v>
      </c>
      <c r="E354" s="16" t="n">
        <v>1148</v>
      </c>
      <c r="F354" s="38" t="n">
        <v>381902</v>
      </c>
      <c r="G354" s="38" t="n">
        <v>437296</v>
      </c>
      <c r="H354" s="38" t="n">
        <v>400399</v>
      </c>
      <c r="I354" s="38" t="n">
        <v>437296</v>
      </c>
      <c r="J354" s="19">
        <f>(I354-H354)/1000</f>
        <v/>
      </c>
      <c r="K354" s="16" t="inlineStr">
        <is>
          <t>Yes</t>
        </is>
      </c>
      <c r="L354" s="16" t="n">
        <v>10</v>
      </c>
      <c r="M354" s="39" t="inlineStr">
        <is>
          <t>UTARSANDA, NADIAD, LC-278, GOTHAJ, LC-286, MAHEMDABAD AND KHEDA ROAD, LC-294, KANIJ, BAREJADI NANDEJ, GERATPUR, VATVA, KANKARIYA CABIN, AHMEDABAD Jn</t>
        </is>
      </c>
    </row>
    <row r="355" ht="49" customHeight="1">
      <c r="A355" s="16" t="inlineStr">
        <is>
          <t>21 Jun</t>
        </is>
      </c>
      <c r="B355" s="16" t="inlineStr">
        <is>
          <t>30062</t>
        </is>
      </c>
      <c r="C355" s="16" t="n">
        <v>1457</v>
      </c>
      <c r="D355" s="16" t="n">
        <v>1457</v>
      </c>
      <c r="E355" s="16" t="n">
        <v>829</v>
      </c>
      <c r="F355" s="38" t="n">
        <v>361631</v>
      </c>
      <c r="G355" s="38" t="n">
        <v>437266</v>
      </c>
      <c r="H355" s="38" t="n">
        <v>400404</v>
      </c>
      <c r="I355" s="38" t="n">
        <v>437266</v>
      </c>
      <c r="J355" s="19">
        <f>(I355-H355)/1000</f>
        <v/>
      </c>
      <c r="K355" s="16" t="inlineStr">
        <is>
          <t>Yes</t>
        </is>
      </c>
      <c r="L355" s="16" t="n">
        <v>10</v>
      </c>
      <c r="M355" s="39" t="inlineStr">
        <is>
          <t>UTARSANDA, NADIAD, LC-278, GOTHAJ, LC-286, MAHEMDABAD AND KHEDA ROAD, LC-294, KANIJ, BAREJADI NANDEJ, GERATPUR, VATVA, KANKARIYA CABIN, AHMEDABAD Jn</t>
        </is>
      </c>
    </row>
    <row r="356" ht="49" customHeight="1">
      <c r="A356" s="16" t="inlineStr">
        <is>
          <t>21 Jun</t>
        </is>
      </c>
      <c r="B356" s="16" t="inlineStr">
        <is>
          <t>30473</t>
        </is>
      </c>
      <c r="C356" s="16" t="n">
        <v>1565</v>
      </c>
      <c r="D356" s="16" t="n">
        <v>1565</v>
      </c>
      <c r="E356" s="16" t="n">
        <v>584</v>
      </c>
      <c r="F356" s="38" t="n">
        <v>381596</v>
      </c>
      <c r="G356" s="38" t="n">
        <v>437170</v>
      </c>
      <c r="H356" s="38" t="n">
        <v>400413</v>
      </c>
      <c r="I356" s="38" t="n">
        <v>437170</v>
      </c>
      <c r="J356" s="19">
        <f>(I356-H356)/1000</f>
        <v/>
      </c>
      <c r="K356" s="16" t="inlineStr">
        <is>
          <t>Yes</t>
        </is>
      </c>
      <c r="L356" s="16" t="n">
        <v>10</v>
      </c>
      <c r="M356" s="39" t="inlineStr">
        <is>
          <t>UTARSANDA, NADIAD, LC-278, GOTHAJ, LC-286, MAHEMDABAD AND KHEDA ROAD, LC-294, KANIJ, BAREJADI NANDEJ, GERATPUR, VATVA, KANKARIYA CABIN, AHMEDABAD Jn</t>
        </is>
      </c>
    </row>
    <row r="357" ht="49" customHeight="1">
      <c r="A357" s="16" t="inlineStr">
        <is>
          <t>21 Jun</t>
        </is>
      </c>
      <c r="B357" s="16" t="inlineStr">
        <is>
          <t>37277</t>
        </is>
      </c>
      <c r="C357" s="16" t="n">
        <v>5296</v>
      </c>
      <c r="D357" s="16" t="n">
        <v>5296</v>
      </c>
      <c r="E357" s="16" t="n">
        <v>2259</v>
      </c>
      <c r="F357" s="38" t="n">
        <v>363340</v>
      </c>
      <c r="G357" s="38" t="n">
        <v>437112</v>
      </c>
      <c r="H357" s="38" t="n">
        <v>400430</v>
      </c>
      <c r="I357" s="38" t="n">
        <v>437112</v>
      </c>
      <c r="J357" s="19">
        <f>(I357-H357)/1000</f>
        <v/>
      </c>
      <c r="K357" s="16" t="inlineStr">
        <is>
          <t>Yes</t>
        </is>
      </c>
      <c r="L357" s="16" t="n">
        <v>10</v>
      </c>
      <c r="M357" s="39" t="inlineStr">
        <is>
          <t>UTARSANDA, NADIAD, LC-278, GOTHAJ, LC-286, MAHEMDABAD AND KHEDA ROAD, LC-294, KANIJ, BAREJADI NANDEJ, GERATPUR, VATVA, KANKARIYA CABIN, AHMEDABAD Jn</t>
        </is>
      </c>
    </row>
    <row r="358" ht="49" customHeight="1">
      <c r="A358" s="16" t="inlineStr">
        <is>
          <t>21 Jun</t>
        </is>
      </c>
      <c r="B358" s="16" t="inlineStr">
        <is>
          <t>30823</t>
        </is>
      </c>
      <c r="C358" s="16" t="n">
        <v>2458</v>
      </c>
      <c r="D358" s="16" t="n">
        <v>2458</v>
      </c>
      <c r="E358" s="16" t="n">
        <v>1702</v>
      </c>
      <c r="F358" s="38" t="n">
        <v>363315</v>
      </c>
      <c r="G358" s="38" t="n">
        <v>436341</v>
      </c>
      <c r="H358" s="38" t="n">
        <v>400415</v>
      </c>
      <c r="I358" s="38" t="n">
        <v>436341</v>
      </c>
      <c r="J358" s="19">
        <f>(I358-H358)/1000</f>
        <v/>
      </c>
      <c r="K358" s="16" t="inlineStr">
        <is>
          <t>Yes</t>
        </is>
      </c>
      <c r="L358" s="16" t="n">
        <v>9</v>
      </c>
      <c r="M358" s="39" t="inlineStr">
        <is>
          <t>KANJARI BORIYAVI, UTARSANDA, NADIAD, LC-278, GOTHAJ, LC-286, MAHEMDABAD AND KHEDA ROAD, LC-294, KANIJ, BAREJADI NANDEJ, GERATPUR, VATVA, KANKARIYA CABIN, AHMEDABAD Jn</t>
        </is>
      </c>
    </row>
    <row r="359" ht="49" customHeight="1">
      <c r="A359" s="16" t="inlineStr">
        <is>
          <t>21 Jun</t>
        </is>
      </c>
      <c r="B359" s="16" t="inlineStr">
        <is>
          <t>30460</t>
        </is>
      </c>
      <c r="C359" s="16" t="n">
        <v>1736</v>
      </c>
      <c r="D359" s="16" t="n">
        <v>1736</v>
      </c>
      <c r="E359" s="16" t="n">
        <v>979</v>
      </c>
      <c r="F359" s="38" t="n">
        <v>380491</v>
      </c>
      <c r="G359" s="38" t="n">
        <v>434692</v>
      </c>
      <c r="H359" s="38" t="n">
        <v>400476</v>
      </c>
      <c r="I359" s="38" t="n">
        <v>434692</v>
      </c>
      <c r="J359" s="19">
        <f>(I359-H359)/1000</f>
        <v/>
      </c>
      <c r="K359" s="16" t="inlineStr">
        <is>
          <t>Yes</t>
        </is>
      </c>
      <c r="L359" s="16" t="n">
        <v>9</v>
      </c>
      <c r="M359" s="39" t="inlineStr">
        <is>
          <t>KANJARI BORIYAVI, UTARSANDA, NADIAD, LC-278, GOTHAJ, LC-286, MAHEMDABAD AND KHEDA ROAD, LC-294, KANIJ, BAREJADI NANDEJ, GERATPUR, VATVA, KANKARIYA CABIN, AHMEDABAD Jn</t>
        </is>
      </c>
    </row>
    <row r="360" ht="49" customHeight="1">
      <c r="A360" s="16" t="inlineStr">
        <is>
          <t>21 Jun</t>
        </is>
      </c>
      <c r="B360" s="16" t="inlineStr">
        <is>
          <t>37792</t>
        </is>
      </c>
      <c r="C360" s="16" t="n">
        <v>479</v>
      </c>
      <c r="D360" s="16" t="n">
        <v>479</v>
      </c>
      <c r="E360" s="16" t="n">
        <v>479</v>
      </c>
      <c r="F360" s="38" t="n">
        <v>409040</v>
      </c>
      <c r="G360" s="38" t="n">
        <v>438919</v>
      </c>
      <c r="H360" s="38" t="n">
        <v>409040</v>
      </c>
      <c r="I360" s="38" t="n">
        <v>438919</v>
      </c>
      <c r="J360" s="19">
        <f>(I360-H360)/1000</f>
        <v/>
      </c>
      <c r="K360" s="16" t="inlineStr">
        <is>
          <t>Yes</t>
        </is>
      </c>
      <c r="L360" s="16" t="n">
        <v>9</v>
      </c>
      <c r="M360" s="39" t="inlineStr">
        <is>
          <t>BAJWA, UTARSANDA, NADIAD, LC-278, GOTHAJ, LC-286, MAHEMDABAD AND KHEDA ROAD, LC-294, KANIJ, BAREJADI NANDEJ, GERATPUR, VATVA, KANKARIYA CABIN, AHMEDABAD Jn</t>
        </is>
      </c>
    </row>
    <row r="361" ht="64" customHeight="1">
      <c r="A361" s="16" t="inlineStr">
        <is>
          <t>21 Jun</t>
        </is>
      </c>
      <c r="B361" s="16" t="inlineStr">
        <is>
          <t>37322</t>
        </is>
      </c>
      <c r="C361" s="16" t="n">
        <v>844</v>
      </c>
      <c r="D361" s="16" t="n">
        <v>844</v>
      </c>
      <c r="E361" s="16" t="n">
        <v>443</v>
      </c>
      <c r="F361" s="38" t="n">
        <v>379879</v>
      </c>
      <c r="G361" s="38" t="n">
        <v>427997</v>
      </c>
      <c r="H361" s="38" t="n">
        <v>400402</v>
      </c>
      <c r="I361" s="38" t="n">
        <v>427997</v>
      </c>
      <c r="J361" s="19">
        <f>(I361-H361)/1000</f>
        <v/>
      </c>
      <c r="K361" s="16" t="inlineStr">
        <is>
          <t>Yes</t>
        </is>
      </c>
      <c r="L361" s="16" t="n">
        <v>7</v>
      </c>
      <c r="M361" s="39" t="inlineStr">
        <is>
          <t>ANAND Jn, LC-264, KANJARI BORIYAVI, UTARSANDA, NADIAD, LC-278, GOTHAJ, LC-286, MAHEMDABAD AND KHEDA ROAD, LC-294, KANIJ, BAREJADI NANDEJ, GERATPUR, VATVA, KANKARIYA CABIN, AHMEDABAD Jn</t>
        </is>
      </c>
    </row>
    <row r="362" ht="64" customHeight="1">
      <c r="A362" s="16" t="inlineStr">
        <is>
          <t>21 Jun</t>
        </is>
      </c>
      <c r="B362" s="16" t="inlineStr">
        <is>
          <t>39467</t>
        </is>
      </c>
      <c r="C362" s="16" t="n">
        <v>804</v>
      </c>
      <c r="D362" s="16" t="n">
        <v>777</v>
      </c>
      <c r="E362" s="16" t="n">
        <v>424</v>
      </c>
      <c r="F362" s="38" t="n">
        <v>395422</v>
      </c>
      <c r="G362" s="38" t="n">
        <v>402392</v>
      </c>
      <c r="H362" s="38" t="n">
        <v>400399</v>
      </c>
      <c r="I362" s="38" t="n">
        <v>402392</v>
      </c>
      <c r="J362" s="19">
        <f>(I362-H362)/1000</f>
        <v/>
      </c>
      <c r="K362" s="16" t="inlineStr">
        <is>
          <t>Yes</t>
        </is>
      </c>
      <c r="L362" s="16" t="n">
        <v>1</v>
      </c>
      <c r="M362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63" ht="64" customHeight="1">
      <c r="A363" s="34" t="inlineStr">
        <is>
          <t>21 Jun</t>
        </is>
      </c>
      <c r="B363" s="34" t="inlineStr">
        <is>
          <t>30358</t>
        </is>
      </c>
      <c r="C363" s="34" t="n">
        <v>6</v>
      </c>
      <c r="D363" s="34" t="n">
        <v>0</v>
      </c>
      <c r="E363" s="34" t="n">
        <v>0</v>
      </c>
      <c r="F363" s="40" t="inlineStr">
        <is>
          <t>-</t>
        </is>
      </c>
      <c r="G363" s="40" t="inlineStr">
        <is>
          <t>-</t>
        </is>
      </c>
      <c r="H363" s="40" t="inlineStr">
        <is>
          <t>-</t>
        </is>
      </c>
      <c r="I363" s="40" t="inlineStr">
        <is>
          <t>-</t>
        </is>
      </c>
      <c r="J363" s="41" t="n">
        <v>0</v>
      </c>
      <c r="K363" s="34" t="inlineStr">
        <is>
          <t>No</t>
        </is>
      </c>
      <c r="L363" s="34" t="n">
        <v>0</v>
      </c>
      <c r="M36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64" ht="64" customHeight="1">
      <c r="A364" s="34" t="inlineStr">
        <is>
          <t>21 Jun</t>
        </is>
      </c>
      <c r="B364" s="34" t="inlineStr">
        <is>
          <t>32649</t>
        </is>
      </c>
      <c r="C364" s="34" t="n">
        <v>493</v>
      </c>
      <c r="D364" s="34" t="n">
        <v>412</v>
      </c>
      <c r="E364" s="34" t="n">
        <v>0</v>
      </c>
      <c r="F364" s="40" t="n">
        <v>2499972</v>
      </c>
      <c r="G364" s="40" t="n">
        <v>2500647</v>
      </c>
      <c r="H364" s="40" t="inlineStr">
        <is>
          <t>-</t>
        </is>
      </c>
      <c r="I364" s="40" t="inlineStr">
        <is>
          <t>-</t>
        </is>
      </c>
      <c r="J364" s="41" t="n">
        <v>0</v>
      </c>
      <c r="K364" s="34" t="inlineStr">
        <is>
          <t>No</t>
        </is>
      </c>
      <c r="L364" s="34" t="n">
        <v>0</v>
      </c>
      <c r="M36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65" ht="64" customHeight="1">
      <c r="A365" s="34" t="inlineStr">
        <is>
          <t>21 Jun</t>
        </is>
      </c>
      <c r="B365" s="34" t="inlineStr">
        <is>
          <t>37111</t>
        </is>
      </c>
      <c r="C365" s="34" t="n">
        <v>291</v>
      </c>
      <c r="D365" s="34" t="n">
        <v>291</v>
      </c>
      <c r="E365" s="34" t="n">
        <v>0</v>
      </c>
      <c r="F365" s="40" t="n">
        <v>361572</v>
      </c>
      <c r="G365" s="40" t="n">
        <v>395917</v>
      </c>
      <c r="H365" s="40" t="inlineStr">
        <is>
          <t>-</t>
        </is>
      </c>
      <c r="I365" s="40" t="inlineStr">
        <is>
          <t>-</t>
        </is>
      </c>
      <c r="J365" s="41" t="n">
        <v>0</v>
      </c>
      <c r="K365" s="34" t="inlineStr">
        <is>
          <t>No</t>
        </is>
      </c>
      <c r="L365" s="34" t="n">
        <v>0</v>
      </c>
      <c r="M36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66" ht="64" customHeight="1">
      <c r="A366" s="34" t="inlineStr">
        <is>
          <t>21 Jun</t>
        </is>
      </c>
      <c r="B366" s="34" t="inlineStr">
        <is>
          <t>37350</t>
        </is>
      </c>
      <c r="C366" s="34" t="n">
        <v>10</v>
      </c>
      <c r="D366" s="34" t="n">
        <v>10</v>
      </c>
      <c r="E366" s="34" t="n">
        <v>0</v>
      </c>
      <c r="F366" s="40" t="n">
        <v>379696</v>
      </c>
      <c r="G366" s="40" t="n">
        <v>382968</v>
      </c>
      <c r="H366" s="40" t="inlineStr">
        <is>
          <t>-</t>
        </is>
      </c>
      <c r="I366" s="40" t="inlineStr">
        <is>
          <t>-</t>
        </is>
      </c>
      <c r="J366" s="41" t="n">
        <v>0</v>
      </c>
      <c r="K366" s="34" t="inlineStr">
        <is>
          <t>No</t>
        </is>
      </c>
      <c r="L366" s="34" t="n">
        <v>0</v>
      </c>
      <c r="M36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67" ht="64" customHeight="1">
      <c r="A367" s="34" t="inlineStr">
        <is>
          <t>21 Jun</t>
        </is>
      </c>
      <c r="B367" s="34" t="inlineStr">
        <is>
          <t>37602</t>
        </is>
      </c>
      <c r="C367" s="34" t="n">
        <v>395</v>
      </c>
      <c r="D367" s="34" t="n">
        <v>395</v>
      </c>
      <c r="E367" s="34" t="n">
        <v>0</v>
      </c>
      <c r="F367" s="40" t="n">
        <v>363410</v>
      </c>
      <c r="G367" s="40" t="n">
        <v>395922</v>
      </c>
      <c r="H367" s="40" t="inlineStr">
        <is>
          <t>-</t>
        </is>
      </c>
      <c r="I367" s="40" t="inlineStr">
        <is>
          <t>-</t>
        </is>
      </c>
      <c r="J367" s="41" t="n">
        <v>0</v>
      </c>
      <c r="K367" s="34" t="inlineStr">
        <is>
          <t>No</t>
        </is>
      </c>
      <c r="L367" s="34" t="n">
        <v>0</v>
      </c>
      <c r="M36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68" ht="64" customHeight="1">
      <c r="A368" s="34" t="inlineStr">
        <is>
          <t>21 Jun</t>
        </is>
      </c>
      <c r="B368" s="34" t="inlineStr">
        <is>
          <t>37781</t>
        </is>
      </c>
      <c r="C368" s="34" t="n">
        <v>284</v>
      </c>
      <c r="D368" s="34" t="n">
        <v>284</v>
      </c>
      <c r="E368" s="34" t="n">
        <v>0</v>
      </c>
      <c r="F368" s="40" t="n">
        <v>369607</v>
      </c>
      <c r="G368" s="40" t="n">
        <v>393993</v>
      </c>
      <c r="H368" s="40" t="inlineStr">
        <is>
          <t>-</t>
        </is>
      </c>
      <c r="I368" s="40" t="inlineStr">
        <is>
          <t>-</t>
        </is>
      </c>
      <c r="J368" s="41" t="n">
        <v>0</v>
      </c>
      <c r="K368" s="34" t="inlineStr">
        <is>
          <t>No</t>
        </is>
      </c>
      <c r="L368" s="34" t="n">
        <v>0</v>
      </c>
      <c r="M36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69" ht="64" customHeight="1">
      <c r="A369" s="34" t="inlineStr">
        <is>
          <t>21 Jun</t>
        </is>
      </c>
      <c r="B369" s="34" t="inlineStr">
        <is>
          <t>39014</t>
        </is>
      </c>
      <c r="C369" s="34" t="n">
        <v>874</v>
      </c>
      <c r="D369" s="34" t="n">
        <v>874</v>
      </c>
      <c r="E369" s="34" t="n">
        <v>0</v>
      </c>
      <c r="F369" s="40" t="n">
        <v>363508</v>
      </c>
      <c r="G369" s="40" t="n">
        <v>398110</v>
      </c>
      <c r="H369" s="40" t="inlineStr">
        <is>
          <t>-</t>
        </is>
      </c>
      <c r="I369" s="40" t="inlineStr">
        <is>
          <t>-</t>
        </is>
      </c>
      <c r="J369" s="41" t="n">
        <v>0</v>
      </c>
      <c r="K369" s="34" t="inlineStr">
        <is>
          <t>No</t>
        </is>
      </c>
      <c r="L369" s="34" t="n">
        <v>0</v>
      </c>
      <c r="M36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70" ht="64" customHeight="1">
      <c r="A370" s="34" t="inlineStr">
        <is>
          <t>21 Jun</t>
        </is>
      </c>
      <c r="B370" s="34" t="inlineStr">
        <is>
          <t>39089</t>
        </is>
      </c>
      <c r="C370" s="34" t="n">
        <v>320</v>
      </c>
      <c r="D370" s="34" t="n">
        <v>320</v>
      </c>
      <c r="E370" s="34" t="n">
        <v>0</v>
      </c>
      <c r="F370" s="40" t="n">
        <v>374169</v>
      </c>
      <c r="G370" s="40" t="n">
        <v>395849</v>
      </c>
      <c r="H370" s="40" t="inlineStr">
        <is>
          <t>-</t>
        </is>
      </c>
      <c r="I370" s="40" t="inlineStr">
        <is>
          <t>-</t>
        </is>
      </c>
      <c r="J370" s="41" t="n">
        <v>0</v>
      </c>
      <c r="K370" s="34" t="inlineStr">
        <is>
          <t>No</t>
        </is>
      </c>
      <c r="L370" s="34" t="n">
        <v>0</v>
      </c>
      <c r="M37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71" ht="64" customHeight="1">
      <c r="A371" s="34" t="inlineStr">
        <is>
          <t>21 Jun</t>
        </is>
      </c>
      <c r="B371" s="34" t="inlineStr">
        <is>
          <t>39514</t>
        </is>
      </c>
      <c r="C371" s="34" t="n">
        <v>306</v>
      </c>
      <c r="D371" s="34" t="n">
        <v>306</v>
      </c>
      <c r="E371" s="34" t="n">
        <v>0</v>
      </c>
      <c r="F371" s="40" t="n">
        <v>374182</v>
      </c>
      <c r="G371" s="40" t="n">
        <v>395426</v>
      </c>
      <c r="H371" s="40" t="inlineStr">
        <is>
          <t>-</t>
        </is>
      </c>
      <c r="I371" s="40" t="inlineStr">
        <is>
          <t>-</t>
        </is>
      </c>
      <c r="J371" s="41" t="n">
        <v>0</v>
      </c>
      <c r="K371" s="34" t="inlineStr">
        <is>
          <t>No</t>
        </is>
      </c>
      <c r="L371" s="34" t="n">
        <v>0</v>
      </c>
      <c r="M37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72" ht="64" customHeight="1">
      <c r="A372" s="34" t="inlineStr">
        <is>
          <t>21 Jun</t>
        </is>
      </c>
      <c r="B372" s="34" t="inlineStr">
        <is>
          <t>43660</t>
        </is>
      </c>
      <c r="C372" s="34" t="n">
        <v>243</v>
      </c>
      <c r="D372" s="34" t="n">
        <v>160</v>
      </c>
      <c r="E372" s="34" t="n">
        <v>0</v>
      </c>
      <c r="F372" s="40" t="n">
        <v>2499972</v>
      </c>
      <c r="G372" s="40" t="n">
        <v>2500602</v>
      </c>
      <c r="H372" s="40" t="inlineStr">
        <is>
          <t>-</t>
        </is>
      </c>
      <c r="I372" s="40" t="inlineStr">
        <is>
          <t>-</t>
        </is>
      </c>
      <c r="J372" s="41" t="n">
        <v>0</v>
      </c>
      <c r="K372" s="34" t="inlineStr">
        <is>
          <t>No</t>
        </is>
      </c>
      <c r="L372" s="34" t="n">
        <v>0</v>
      </c>
      <c r="M37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73" ht="64" customHeight="1">
      <c r="A373" s="34" t="inlineStr">
        <is>
          <t>21 Jun</t>
        </is>
      </c>
      <c r="B373" s="34" t="inlineStr">
        <is>
          <t>43922</t>
        </is>
      </c>
      <c r="C373" s="34" t="n">
        <v>17</v>
      </c>
      <c r="D373" s="34" t="n">
        <v>0</v>
      </c>
      <c r="E373" s="34" t="n">
        <v>0</v>
      </c>
      <c r="F373" s="40" t="inlineStr">
        <is>
          <t>-</t>
        </is>
      </c>
      <c r="G373" s="40" t="inlineStr">
        <is>
          <t>-</t>
        </is>
      </c>
      <c r="H373" s="40" t="inlineStr">
        <is>
          <t>-</t>
        </is>
      </c>
      <c r="I373" s="40" t="inlineStr">
        <is>
          <t>-</t>
        </is>
      </c>
      <c r="J373" s="41" t="n">
        <v>0</v>
      </c>
      <c r="K373" s="34" t="inlineStr">
        <is>
          <t>No</t>
        </is>
      </c>
      <c r="L373" s="34" t="n">
        <v>0</v>
      </c>
      <c r="M37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43" t="inlineStr">
        <is>
          <t>Methodology</t>
        </is>
      </c>
    </row>
    <row r="3" ht="34" customHeight="1">
      <c r="B3" s="44" t="inlineStr">
        <is>
          <t>Excluded</t>
        </is>
      </c>
      <c r="C3" s="45" t="inlineStr">
        <is>
          <t>Loco-days with 0 km in the section (abs never inside the section, i.e. no section travel) are dropped from the report, unless they completed a trip.</t>
        </is>
      </c>
    </row>
    <row r="4" ht="49" customHeight="1">
      <c r="B4" s="44" t="inlineStr">
        <is>
          <t>No of Trips</t>
        </is>
      </c>
      <c r="C4" s="45" t="inlineStr">
        <is>
          <t>A direction-run covering within 5 km of its line length (DN 93.91 / UP 93.91 km) = one FULL trip; out-and-back = 2. A loco with &gt;=1 full trip is 'valid' (its EBs count as Valid). KM Verification lists each loco-day's stations passed / not passed.</t>
        </is>
      </c>
    </row>
    <row r="5" ht="49" customHeight="1">
      <c r="B5" s="44" t="inlineStr">
        <is>
          <t>Total KMs Run on Kavach</t>
        </is>
      </c>
      <c r="C5" s="45" t="inlineStr">
        <is>
          <t>Section coverage per loco = how far it travelled across the section = (max - min) of its abs within the section limits (400398-494312). Capped at the section length; 0 if the loco never reported inside the section.</t>
        </is>
      </c>
    </row>
    <row r="6">
      <c r="B6" s="44" t="inlineStr">
        <is>
          <t>Availability (FS+OS)</t>
        </is>
      </c>
      <c r="C6" s="45" t="inlineStr">
        <is>
          <t>Packets in FS or OnSight ÷ all packets (all modes) × 100.</t>
        </is>
      </c>
    </row>
    <row r="7" ht="34" customHeight="1">
      <c r="B7" s="44" t="inlineStr">
        <is>
          <t>Total EB</t>
        </is>
      </c>
      <c r="C7" s="45" t="inlineStr">
        <is>
          <t>EB events in LReg brake status; one continuous hold = 1 (lost-packet gaps bridged, new event only at a real release). Split into Valid (trip locos) / Non-Valid.</t>
        </is>
      </c>
    </row>
    <row r="8" ht="34" customHeight="1">
      <c r="B8" s="44" t="inlineStr">
        <is>
          <t>Mode Degradation</t>
        </is>
      </c>
      <c r="C8" s="45" t="inlineStr">
        <is>
          <t>FS→Trip/LS/SR/Standby &amp; OS→SR/Standby (every transition). Excluded: start-of-mission/re-init SR, NonLeading→SR, FS→SR at 0 km/h, boundary-station re-init (917-reverse).</t>
        </is>
      </c>
    </row>
    <row r="9" ht="49" customHeight="1">
      <c r="B9" s="44" t="inlineStr">
        <is>
          <t>EB diagnostics</t>
        </is>
      </c>
      <c r="C9" s="45" t="inlineStr">
        <is>
          <t>Speed at EB + flag a PG issue only if it jumps &gt;=6 km/h vs the IMMEDIATELY preceding packet AND that packet is within 2 s of the EB (if the previous packet was lost, no PG flag); MA from SReg 'MA wrt Sig' + flag drop &gt;500; Emergency from LReg.</t>
        </is>
      </c>
    </row>
    <row r="10" ht="34" customHeight="1">
      <c r="B10" s="44" t="inlineStr">
        <is>
          <t>Ratios</t>
        </is>
      </c>
      <c r="C10" s="45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2026-06-23T08:28:24Z</dcterms:created>
  <dcterms:modified xmlns:dcterms="http://purl.org/dc/terms/" xmlns:xsi="http://www.w3.org/2001/XMLSchema-instance" xsi:type="dcterms:W3CDTF">2026-07-01T05:57:08Z</dcterms:modified>
</cp:coreProperties>
</file>
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Mode Degradation" sheetId="4" state="visible" r:id="rId4"/>
    <sheet xmlns:r="http://schemas.openxmlformats.org/officeDocument/2006/relationships" name="KM Verification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NCR — Kavach Unified KPI</t>
        </is>
      </c>
    </row>
    <row r="2">
      <c r="A2" s="2" t="inlineStr">
        <is>
          <t>Period: 30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30 Jun 2026</t>
        </is>
      </c>
      <c r="B5" s="4" t="inlineStr">
        <is>
          <t>NCR</t>
        </is>
      </c>
      <c r="C5" s="4" t="inlineStr">
        <is>
          <t>36001_LC563 → 36014_VRBD</t>
        </is>
      </c>
      <c r="D5" s="5">
        <f>'Daily Breakdown'!C40</f>
        <v/>
      </c>
      <c r="E5" s="6">
        <f>'Daily Breakdown'!D40</f>
        <v/>
      </c>
      <c r="F5" s="7">
        <f>'Daily Breakdown'!G40</f>
        <v/>
      </c>
      <c r="G5" s="5">
        <f>'Daily Breakdown'!H40</f>
        <v/>
      </c>
      <c r="H5" s="8">
        <f>'Daily Breakdown'!I40</f>
        <v/>
      </c>
      <c r="I5" s="8">
        <f>'Daily Breakdown'!J40</f>
        <v/>
      </c>
      <c r="J5" s="43">
        <f>IFERROR(G5/D5,0)</f>
        <v/>
      </c>
      <c r="K5" s="44">
        <f>IFERROR(G5/E5,0)</f>
        <v/>
      </c>
      <c r="L5" s="45">
        <f>IFERROR(G5/E5*100,0)</f>
        <v/>
      </c>
      <c r="M5" s="44">
        <f>IFERROR(G5/(D5*E5/1000),0)</f>
        <v/>
      </c>
      <c r="N5" s="5">
        <f>'Daily Breakdown'!K40</f>
        <v/>
      </c>
      <c r="O5" s="43">
        <f>IFERROR(N5/D5,0)</f>
        <v/>
      </c>
      <c r="P5" s="44">
        <f>IFERROR(N5/E5,0)</f>
        <v/>
      </c>
      <c r="Q5" s="44">
        <f>IFERROR(N5/(D5*E5/100),0)</f>
        <v/>
      </c>
      <c r="R5" s="45">
        <f>IFERROR(N5/E5*100,0)</f>
        <v/>
      </c>
      <c r="S5" s="8" t="n">
        <v>2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36" t="inlineStr">
        <is>
          <t>Availability base excludes locos with FS+OS pkts = 0 (they are still listed below; only the Total-pkts availability base drops them).</t>
        </is>
      </c>
    </row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30 Jun</t>
        </is>
      </c>
      <c r="B4" s="15" t="inlineStr">
        <is>
          <t>37954</t>
        </is>
      </c>
      <c r="C4" s="16" t="n">
        <v>2</v>
      </c>
      <c r="D4" s="46" t="n">
        <v>77.84999999999999</v>
      </c>
      <c r="E4" s="18" t="n">
        <v>9666</v>
      </c>
      <c r="F4" s="18" t="n">
        <v>9711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2</v>
      </c>
    </row>
    <row r="5">
      <c r="A5" s="15" t="inlineStr">
        <is>
          <t>30 Jun</t>
        </is>
      </c>
      <c r="B5" s="15" t="inlineStr">
        <is>
          <t>37163</t>
        </is>
      </c>
      <c r="C5" s="16" t="n">
        <v>2</v>
      </c>
      <c r="D5" s="46" t="n">
        <v>77.87</v>
      </c>
      <c r="E5" s="18" t="n">
        <v>8160</v>
      </c>
      <c r="F5" s="18" t="n">
        <v>8281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0</v>
      </c>
    </row>
    <row r="6">
      <c r="A6" s="15" t="inlineStr">
        <is>
          <t>30 Jun</t>
        </is>
      </c>
      <c r="B6" s="15" t="inlineStr">
        <is>
          <t>30376</t>
        </is>
      </c>
      <c r="C6" s="16" t="n">
        <v>2</v>
      </c>
      <c r="D6" s="46" t="n">
        <v>77.86</v>
      </c>
      <c r="E6" s="18" t="n">
        <v>5748</v>
      </c>
      <c r="F6" s="18" t="n">
        <v>7513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1</v>
      </c>
    </row>
    <row r="7">
      <c r="A7" s="15" t="inlineStr">
        <is>
          <t>30 Jun</t>
        </is>
      </c>
      <c r="B7" s="15" t="inlineStr">
        <is>
          <t>30206</t>
        </is>
      </c>
      <c r="C7" s="16" t="n">
        <v>2</v>
      </c>
      <c r="D7" s="46" t="n">
        <v>77.88</v>
      </c>
      <c r="E7" s="18" t="n">
        <v>7091</v>
      </c>
      <c r="F7" s="18" t="n">
        <v>7206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1</v>
      </c>
    </row>
    <row r="8">
      <c r="A8" s="15" t="inlineStr">
        <is>
          <t>30 Jun</t>
        </is>
      </c>
      <c r="B8" s="15" t="inlineStr">
        <is>
          <t>30716</t>
        </is>
      </c>
      <c r="C8" s="16" t="n">
        <v>2</v>
      </c>
      <c r="D8" s="46" t="n">
        <v>77.86</v>
      </c>
      <c r="E8" s="18" t="n">
        <v>6715</v>
      </c>
      <c r="F8" s="18" t="n">
        <v>7076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1</v>
      </c>
    </row>
    <row r="9">
      <c r="A9" s="15" t="inlineStr">
        <is>
          <t>30 Jun</t>
        </is>
      </c>
      <c r="B9" s="15" t="inlineStr">
        <is>
          <t>37465</t>
        </is>
      </c>
      <c r="C9" s="16" t="n">
        <v>2</v>
      </c>
      <c r="D9" s="46" t="n">
        <v>77.84999999999999</v>
      </c>
      <c r="E9" s="18" t="n">
        <v>6310</v>
      </c>
      <c r="F9" s="18" t="n">
        <v>6391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1</v>
      </c>
    </row>
    <row r="10">
      <c r="A10" s="15" t="inlineStr">
        <is>
          <t>30 Jun</t>
        </is>
      </c>
      <c r="B10" s="15" t="inlineStr">
        <is>
          <t>37219</t>
        </is>
      </c>
      <c r="C10" s="16" t="n">
        <v>2</v>
      </c>
      <c r="D10" s="46" t="n">
        <v>77.86</v>
      </c>
      <c r="E10" s="18" t="n">
        <v>5424</v>
      </c>
      <c r="F10" s="18" t="n">
        <v>6366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3</v>
      </c>
    </row>
    <row r="11">
      <c r="A11" s="15" t="inlineStr">
        <is>
          <t>30 Jun</t>
        </is>
      </c>
      <c r="B11" s="15" t="inlineStr">
        <is>
          <t>39252</t>
        </is>
      </c>
      <c r="C11" s="16" t="n">
        <v>2</v>
      </c>
      <c r="D11" s="46" t="n">
        <v>77.84999999999999</v>
      </c>
      <c r="E11" s="18" t="n">
        <v>6030</v>
      </c>
      <c r="F11" s="18" t="n">
        <v>6107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2</v>
      </c>
    </row>
    <row r="12">
      <c r="A12" s="15" t="inlineStr">
        <is>
          <t>30 Jun</t>
        </is>
      </c>
      <c r="B12" s="15" t="inlineStr">
        <is>
          <t>37569</t>
        </is>
      </c>
      <c r="C12" s="16" t="n">
        <v>2</v>
      </c>
      <c r="D12" s="46" t="n">
        <v>77.86</v>
      </c>
      <c r="E12" s="18" t="n">
        <v>5990</v>
      </c>
      <c r="F12" s="18" t="n">
        <v>6035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1</v>
      </c>
    </row>
    <row r="13">
      <c r="A13" s="15" t="inlineStr">
        <is>
          <t>30 Jun</t>
        </is>
      </c>
      <c r="B13" s="15" t="inlineStr">
        <is>
          <t>30395</t>
        </is>
      </c>
      <c r="C13" s="16" t="n">
        <v>2</v>
      </c>
      <c r="D13" s="46" t="n">
        <v>77.84</v>
      </c>
      <c r="E13" s="18" t="n">
        <v>3113</v>
      </c>
      <c r="F13" s="18" t="n">
        <v>3183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3</v>
      </c>
    </row>
    <row r="14">
      <c r="A14" s="15" t="inlineStr">
        <is>
          <t>30 Jun</t>
        </is>
      </c>
      <c r="B14" s="15" t="inlineStr">
        <is>
          <t>37515</t>
        </is>
      </c>
      <c r="C14" s="16" t="n">
        <v>1</v>
      </c>
      <c r="D14" s="46" t="n">
        <v>77.73</v>
      </c>
      <c r="E14" s="18" t="n">
        <v>5108</v>
      </c>
      <c r="F14" s="18" t="n">
        <v>5159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0</v>
      </c>
    </row>
    <row r="15">
      <c r="A15" s="15" t="inlineStr">
        <is>
          <t>30 Jun</t>
        </is>
      </c>
      <c r="B15" s="15" t="inlineStr">
        <is>
          <t>37346</t>
        </is>
      </c>
      <c r="C15" s="16" t="n">
        <v>1</v>
      </c>
      <c r="D15" s="46" t="n">
        <v>77.73</v>
      </c>
      <c r="E15" s="18" t="n">
        <v>3867</v>
      </c>
      <c r="F15" s="18" t="n">
        <v>3870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1</v>
      </c>
    </row>
    <row r="16">
      <c r="A16" s="15" t="inlineStr">
        <is>
          <t>30 Jun</t>
        </is>
      </c>
      <c r="B16" s="15" t="inlineStr">
        <is>
          <t>39336</t>
        </is>
      </c>
      <c r="C16" s="16" t="n">
        <v>1</v>
      </c>
      <c r="D16" s="46" t="n">
        <v>77.67</v>
      </c>
      <c r="E16" s="18" t="n">
        <v>3405</v>
      </c>
      <c r="F16" s="18" t="n">
        <v>3434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0</v>
      </c>
    </row>
    <row r="17">
      <c r="A17" s="15" t="inlineStr">
        <is>
          <t>30 Jun</t>
        </is>
      </c>
      <c r="B17" s="15" t="inlineStr">
        <is>
          <t>30646</t>
        </is>
      </c>
      <c r="C17" s="16" t="n">
        <v>1</v>
      </c>
      <c r="D17" s="46" t="n">
        <v>77.87</v>
      </c>
      <c r="E17" s="18" t="n">
        <v>2846</v>
      </c>
      <c r="F17" s="18" t="n">
        <v>3405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0</v>
      </c>
    </row>
    <row r="18">
      <c r="A18" s="15" t="inlineStr">
        <is>
          <t>30 Jun</t>
        </is>
      </c>
      <c r="B18" s="15" t="inlineStr">
        <is>
          <t>30624</t>
        </is>
      </c>
      <c r="C18" s="16" t="n">
        <v>1</v>
      </c>
      <c r="D18" s="46" t="n">
        <v>77.84</v>
      </c>
      <c r="E18" s="18" t="n">
        <v>2546</v>
      </c>
      <c r="F18" s="18" t="n">
        <v>3342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0</v>
      </c>
    </row>
    <row r="19">
      <c r="A19" s="15" t="inlineStr">
        <is>
          <t>30 Jun</t>
        </is>
      </c>
      <c r="B19" s="15" t="inlineStr">
        <is>
          <t>30478</t>
        </is>
      </c>
      <c r="C19" s="16" t="n">
        <v>1</v>
      </c>
      <c r="D19" s="46" t="n">
        <v>77.73</v>
      </c>
      <c r="E19" s="18" t="n">
        <v>3198</v>
      </c>
      <c r="F19" s="18" t="n">
        <v>3282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2</v>
      </c>
    </row>
    <row r="20">
      <c r="A20" s="15" t="inlineStr">
        <is>
          <t>30 Jun</t>
        </is>
      </c>
      <c r="B20" s="15" t="inlineStr">
        <is>
          <t>37320</t>
        </is>
      </c>
      <c r="C20" s="16" t="n">
        <v>1</v>
      </c>
      <c r="D20" s="46" t="n">
        <v>77.84999999999999</v>
      </c>
      <c r="E20" s="18" t="n">
        <v>2650</v>
      </c>
      <c r="F20" s="18" t="n">
        <v>3200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0</v>
      </c>
    </row>
    <row r="21">
      <c r="A21" s="15" t="inlineStr">
        <is>
          <t>30 Jun</t>
        </is>
      </c>
      <c r="B21" s="15" t="inlineStr">
        <is>
          <t>37206</t>
        </is>
      </c>
      <c r="C21" s="16" t="n">
        <v>1</v>
      </c>
      <c r="D21" s="46" t="n">
        <v>77.87</v>
      </c>
      <c r="E21" s="18" t="n">
        <v>3164</v>
      </c>
      <c r="F21" s="18" t="n">
        <v>3197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2</v>
      </c>
    </row>
    <row r="22">
      <c r="A22" s="15" t="inlineStr">
        <is>
          <t>30 Jun</t>
        </is>
      </c>
      <c r="B22" s="15" t="inlineStr">
        <is>
          <t>30002</t>
        </is>
      </c>
      <c r="C22" s="16" t="n">
        <v>1</v>
      </c>
      <c r="D22" s="46" t="n">
        <v>77.84999999999999</v>
      </c>
      <c r="E22" s="18" t="n">
        <v>3130</v>
      </c>
      <c r="F22" s="18" t="n">
        <v>3162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1</v>
      </c>
    </row>
    <row r="23">
      <c r="A23" s="15" t="inlineStr">
        <is>
          <t>30 Jun</t>
        </is>
      </c>
      <c r="B23" s="15" t="inlineStr">
        <is>
          <t>39053</t>
        </is>
      </c>
      <c r="C23" s="16" t="n">
        <v>1</v>
      </c>
      <c r="D23" s="46" t="n">
        <v>77.68000000000001</v>
      </c>
      <c r="E23" s="18" t="n">
        <v>3104</v>
      </c>
      <c r="F23" s="18" t="n">
        <v>3128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0</v>
      </c>
    </row>
    <row r="24">
      <c r="A24" s="15" t="inlineStr">
        <is>
          <t>30 Jun</t>
        </is>
      </c>
      <c r="B24" s="15" t="inlineStr">
        <is>
          <t>30516</t>
        </is>
      </c>
      <c r="C24" s="16" t="n">
        <v>1</v>
      </c>
      <c r="D24" s="46" t="n">
        <v>77.83</v>
      </c>
      <c r="E24" s="18" t="n">
        <v>3009</v>
      </c>
      <c r="F24" s="18" t="n">
        <v>3060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0</v>
      </c>
    </row>
    <row r="25">
      <c r="A25" s="15" t="inlineStr">
        <is>
          <t>30 Jun</t>
        </is>
      </c>
      <c r="B25" s="15" t="inlineStr">
        <is>
          <t>39031</t>
        </is>
      </c>
      <c r="C25" s="16" t="n">
        <v>1</v>
      </c>
      <c r="D25" s="46" t="n">
        <v>77.87</v>
      </c>
      <c r="E25" s="18" t="n">
        <v>2836</v>
      </c>
      <c r="F25" s="18" t="n">
        <v>2881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2</v>
      </c>
    </row>
    <row r="26">
      <c r="A26" s="15" t="inlineStr">
        <is>
          <t>30 Jun</t>
        </is>
      </c>
      <c r="B26" s="15" t="inlineStr">
        <is>
          <t>30426</t>
        </is>
      </c>
      <c r="C26" s="16" t="n">
        <v>1</v>
      </c>
      <c r="D26" s="46" t="n">
        <v>77.69</v>
      </c>
      <c r="E26" s="18" t="n">
        <v>2664</v>
      </c>
      <c r="F26" s="18" t="n">
        <v>2671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0</v>
      </c>
    </row>
    <row r="27">
      <c r="A27" s="15" t="inlineStr">
        <is>
          <t>30 Jun</t>
        </is>
      </c>
      <c r="B27" s="15" t="inlineStr">
        <is>
          <t>39247</t>
        </is>
      </c>
      <c r="C27" s="16" t="n">
        <v>1</v>
      </c>
      <c r="D27" s="46" t="n">
        <v>77.84999999999999</v>
      </c>
      <c r="E27" s="18" t="n">
        <v>2215</v>
      </c>
      <c r="F27" s="18" t="n">
        <v>2506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3</v>
      </c>
    </row>
    <row r="28">
      <c r="A28" s="15" t="inlineStr">
        <is>
          <t>30 Jun</t>
        </is>
      </c>
      <c r="B28" s="15" t="inlineStr">
        <is>
          <t>37499</t>
        </is>
      </c>
      <c r="C28" s="16" t="n">
        <v>1</v>
      </c>
      <c r="D28" s="46" t="n">
        <v>22.8</v>
      </c>
      <c r="E28" s="18" t="n">
        <v>2395</v>
      </c>
      <c r="F28" s="18" t="n">
        <v>2451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30 Jun</t>
        </is>
      </c>
      <c r="B29" s="15" t="inlineStr">
        <is>
          <t>30786</t>
        </is>
      </c>
      <c r="C29" s="16" t="n">
        <v>1</v>
      </c>
      <c r="D29" s="46" t="n">
        <v>77.86</v>
      </c>
      <c r="E29" s="18" t="n">
        <v>2431</v>
      </c>
      <c r="F29" s="18" t="n">
        <v>2448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3</v>
      </c>
    </row>
    <row r="30">
      <c r="A30" s="15" t="inlineStr">
        <is>
          <t>30 Jun</t>
        </is>
      </c>
      <c r="B30" s="15" t="inlineStr">
        <is>
          <t>30537</t>
        </is>
      </c>
      <c r="C30" s="16" t="n">
        <v>1</v>
      </c>
      <c r="D30" s="46" t="n">
        <v>77.87</v>
      </c>
      <c r="E30" s="18" t="n">
        <v>2257</v>
      </c>
      <c r="F30" s="18" t="n">
        <v>2301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4</v>
      </c>
    </row>
    <row r="31">
      <c r="A31" s="15" t="inlineStr">
        <is>
          <t>30 Jun</t>
        </is>
      </c>
      <c r="B31" s="15" t="inlineStr">
        <is>
          <t>30608</t>
        </is>
      </c>
      <c r="C31" s="16" t="n">
        <v>1</v>
      </c>
      <c r="D31" s="46" t="n">
        <v>76.93000000000001</v>
      </c>
      <c r="E31" s="18" t="n">
        <v>1875</v>
      </c>
      <c r="F31" s="18" t="n">
        <v>1954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8</v>
      </c>
    </row>
    <row r="32">
      <c r="A32" s="15" t="inlineStr">
        <is>
          <t>30 Jun</t>
        </is>
      </c>
      <c r="B32" s="15" t="inlineStr">
        <is>
          <t>30813</t>
        </is>
      </c>
      <c r="C32" s="16" t="n">
        <v>1</v>
      </c>
      <c r="D32" s="46" t="n">
        <v>24.06</v>
      </c>
      <c r="E32" s="18" t="n">
        <v>1700</v>
      </c>
      <c r="F32" s="18" t="n">
        <v>1707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30 Jun</t>
        </is>
      </c>
      <c r="B33" s="15" t="inlineStr">
        <is>
          <t>37880</t>
        </is>
      </c>
      <c r="C33" s="16" t="n">
        <v>1</v>
      </c>
      <c r="D33" s="46" t="n">
        <v>76.56999999999999</v>
      </c>
      <c r="E33" s="18" t="n">
        <v>0</v>
      </c>
      <c r="F33" s="18" t="n">
        <v>1575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30 Jun</t>
        </is>
      </c>
      <c r="B34" s="15" t="inlineStr">
        <is>
          <t>39258</t>
        </is>
      </c>
      <c r="C34" s="16" t="n">
        <v>1</v>
      </c>
      <c r="D34" s="46" t="n">
        <v>0</v>
      </c>
      <c r="E34" s="18" t="n">
        <v>1337</v>
      </c>
      <c r="F34" s="18" t="n">
        <v>1513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30 Jun</t>
        </is>
      </c>
      <c r="B35" s="15" t="inlineStr">
        <is>
          <t>37856</t>
        </is>
      </c>
      <c r="C35" s="16" t="n">
        <v>1</v>
      </c>
      <c r="D35" s="46" t="n">
        <v>11.9</v>
      </c>
      <c r="E35" s="18" t="n">
        <v>680</v>
      </c>
      <c r="F35" s="18" t="n">
        <v>1309</v>
      </c>
      <c r="G35" s="19">
        <f>IF(F35=0,0,E35/F35*100)</f>
        <v/>
      </c>
      <c r="H35" s="16" t="n">
        <v>2</v>
      </c>
      <c r="I35" s="16" t="n">
        <v>2</v>
      </c>
      <c r="J35" s="16" t="n">
        <v>0</v>
      </c>
      <c r="K35" s="16" t="n">
        <v>0</v>
      </c>
    </row>
    <row r="36">
      <c r="A36" s="15" t="inlineStr">
        <is>
          <t>30 Jun</t>
        </is>
      </c>
      <c r="B36" s="15" t="inlineStr">
        <is>
          <t>22652</t>
        </is>
      </c>
      <c r="C36" s="16" t="n">
        <v>0</v>
      </c>
      <c r="D36" s="46" t="n">
        <v>9.08</v>
      </c>
      <c r="E36" s="18" t="n">
        <v>0</v>
      </c>
      <c r="F36" s="18" t="n">
        <v>1727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0</v>
      </c>
    </row>
    <row r="37">
      <c r="A37" s="15" t="inlineStr">
        <is>
          <t>30 Jun</t>
        </is>
      </c>
      <c r="B37" s="15" t="inlineStr">
        <is>
          <t>30197</t>
        </is>
      </c>
      <c r="C37" s="16" t="n">
        <v>0</v>
      </c>
      <c r="D37" s="46" t="n">
        <v>12.85</v>
      </c>
      <c r="E37" s="18" t="n">
        <v>487</v>
      </c>
      <c r="F37" s="18" t="n">
        <v>547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7</v>
      </c>
    </row>
    <row r="38">
      <c r="A38" s="15" t="inlineStr">
        <is>
          <t>30 Jun</t>
        </is>
      </c>
      <c r="B38" s="15" t="inlineStr">
        <is>
          <t>37332</t>
        </is>
      </c>
      <c r="C38" s="16" t="n">
        <v>0</v>
      </c>
      <c r="D38" s="46" t="n">
        <v>17.83</v>
      </c>
      <c r="E38" s="18" t="n">
        <v>180</v>
      </c>
      <c r="F38" s="18" t="n">
        <v>182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20" t="inlineStr">
        <is>
          <t>30 Jun</t>
        </is>
      </c>
      <c r="B39" s="20" t="inlineStr">
        <is>
          <t>Day Total</t>
        </is>
      </c>
      <c r="C39" s="21">
        <f>SUM(C4:C38)</f>
        <v/>
      </c>
      <c r="D39" s="47">
        <f>SUM(D4:D38)</f>
        <v/>
      </c>
      <c r="E39" s="23">
        <f>SUM(E4:E38)</f>
        <v/>
      </c>
      <c r="F39" s="23">
        <f>SUMIF(E4:E38,"&gt;0",F4:F38)</f>
        <v/>
      </c>
      <c r="G39" s="24">
        <f>IF(F39=0,0,E39/F39*100)</f>
        <v/>
      </c>
      <c r="H39" s="21">
        <f>SUM(H4:H38)</f>
        <v/>
      </c>
      <c r="I39" s="21">
        <f>SUM(I4:I38)</f>
        <v/>
      </c>
      <c r="J39" s="21">
        <f>SUM(J4:J38)</f>
        <v/>
      </c>
      <c r="K39" s="21">
        <f>SUM(K4:K38)</f>
        <v/>
      </c>
    </row>
    <row r="40">
      <c r="A40" s="25" t="inlineStr">
        <is>
          <t>GRAND TOTAL</t>
        </is>
      </c>
      <c r="B40" s="25" t="n"/>
      <c r="C40" s="26">
        <f>C39</f>
        <v/>
      </c>
      <c r="D40" s="48">
        <f>D39</f>
        <v/>
      </c>
      <c r="E40" s="28">
        <f>E39</f>
        <v/>
      </c>
      <c r="F40" s="28">
        <f>F39</f>
        <v/>
      </c>
      <c r="G40" s="29">
        <f>IF(F40=0,0,E40/F40*100)</f>
        <v/>
      </c>
      <c r="H40" s="26">
        <f>H39</f>
        <v/>
      </c>
      <c r="I40" s="26">
        <f>I39</f>
        <v/>
      </c>
      <c r="J40" s="26">
        <f>J39</f>
        <v/>
      </c>
      <c r="K40" s="26">
        <f>K39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3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2   ·   Valid trips = 2   ·   Non-valid trips = 0   ·   Undesirable = 2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16" t="inlineStr">
        <is>
          <t>30 Jun</t>
        </is>
      </c>
      <c r="B6" s="16" t="inlineStr">
        <is>
          <t>37856</t>
        </is>
      </c>
      <c r="C6" s="16" t="inlineStr">
        <is>
          <t>Valid</t>
        </is>
      </c>
      <c r="D6" s="16" t="inlineStr">
        <is>
          <t>01:58:08</t>
        </is>
      </c>
      <c r="E6" s="16" t="inlineStr">
        <is>
          <t>01:58:16</t>
        </is>
      </c>
      <c r="F6" s="16" t="n">
        <v>8</v>
      </c>
      <c r="G6" s="16" t="n">
        <v>5</v>
      </c>
      <c r="H6" s="16" t="n">
        <v>108</v>
      </c>
      <c r="I6" s="16" t="inlineStr">
        <is>
          <t>StandBy</t>
        </is>
      </c>
      <c r="J6" s="31" t="n">
        <v>1412.23</v>
      </c>
      <c r="K6" s="16" t="inlineStr">
        <is>
          <t>N</t>
        </is>
      </c>
      <c r="L6" s="16" t="inlineStr">
        <is>
          <t>LC535</t>
        </is>
      </c>
      <c r="M6" s="32" t="inlineStr">
        <is>
          <t>108 km/h</t>
        </is>
      </c>
      <c r="N6" s="32" t="inlineStr">
        <is>
          <t>5076</t>
        </is>
      </c>
      <c r="O6" s="16" t="inlineStr">
        <is>
          <t>-</t>
        </is>
      </c>
      <c r="P6" s="33" t="inlineStr">
        <is>
          <t>StandBy Mode</t>
        </is>
      </c>
      <c r="Q6" s="16" t="inlineStr">
        <is>
          <t>HBL</t>
        </is>
      </c>
    </row>
    <row r="7">
      <c r="A7" s="16" t="inlineStr">
        <is>
          <t>30 Jun</t>
        </is>
      </c>
      <c r="B7" s="16" t="inlineStr">
        <is>
          <t>37856</t>
        </is>
      </c>
      <c r="C7" s="16" t="inlineStr">
        <is>
          <t>Valid</t>
        </is>
      </c>
      <c r="D7" s="16" t="inlineStr">
        <is>
          <t>01:59:32</t>
        </is>
      </c>
      <c r="E7" s="16" t="inlineStr">
        <is>
          <t>01:59:46</t>
        </is>
      </c>
      <c r="F7" s="16" t="n">
        <v>14</v>
      </c>
      <c r="G7" s="16" t="n">
        <v>8</v>
      </c>
      <c r="H7" s="16" t="n">
        <v>28</v>
      </c>
      <c r="I7" s="16" t="inlineStr">
        <is>
          <t>StandBy</t>
        </is>
      </c>
      <c r="J7" s="31" t="n">
        <v>1413.37</v>
      </c>
      <c r="K7" s="16" t="inlineStr">
        <is>
          <t>N</t>
        </is>
      </c>
      <c r="L7" s="16" t="inlineStr">
        <is>
          <t>LC535</t>
        </is>
      </c>
      <c r="M7" s="32" t="inlineStr">
        <is>
          <t>27 km/h</t>
        </is>
      </c>
      <c r="N7" s="32" t="inlineStr">
        <is>
          <t>5543</t>
        </is>
      </c>
      <c r="O7" s="16" t="inlineStr">
        <is>
          <t>-</t>
        </is>
      </c>
      <c r="P7" s="33" t="inlineStr">
        <is>
          <t>StandBy Mode</t>
        </is>
      </c>
      <c r="Q7" s="16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49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16" t="inlineStr">
        <is>
          <t>30 Jun</t>
        </is>
      </c>
      <c r="B6" s="16" t="inlineStr">
        <is>
          <t>30813</t>
        </is>
      </c>
      <c r="C6" s="16" t="inlineStr">
        <is>
          <t>FS</t>
        </is>
      </c>
      <c r="D6" s="16" t="inlineStr">
        <is>
          <t>SR</t>
        </is>
      </c>
      <c r="E6" s="16" t="inlineStr">
        <is>
          <t>00:52:58</t>
        </is>
      </c>
      <c r="F6" s="16" t="inlineStr">
        <is>
          <t>00:52:58</t>
        </is>
      </c>
      <c r="G6" s="16" t="n">
        <v>0</v>
      </c>
      <c r="H6" s="16" t="n">
        <v>1</v>
      </c>
      <c r="I6" s="31" t="n">
        <v>1425.79</v>
      </c>
      <c r="J6" s="16" t="inlineStr">
        <is>
          <t>Chhata</t>
        </is>
      </c>
      <c r="K6" s="16" t="inlineStr">
        <is>
          <t>R</t>
        </is>
      </c>
      <c r="L6" s="16" t="inlineStr">
        <is>
          <t>Valid</t>
        </is>
      </c>
    </row>
    <row r="7">
      <c r="A7" s="16" t="inlineStr">
        <is>
          <t>30 Jun</t>
        </is>
      </c>
      <c r="B7" s="16" t="inlineStr">
        <is>
          <t>37219</t>
        </is>
      </c>
      <c r="C7" s="16" t="inlineStr">
        <is>
          <t>OS</t>
        </is>
      </c>
      <c r="D7" s="16" t="inlineStr">
        <is>
          <t>SR</t>
        </is>
      </c>
      <c r="E7" s="16" t="inlineStr">
        <is>
          <t>03:36:20</t>
        </is>
      </c>
      <c r="F7" s="16" t="inlineStr">
        <is>
          <t>03:36:54</t>
        </is>
      </c>
      <c r="G7" s="16" t="n">
        <v>34</v>
      </c>
      <c r="H7" s="16" t="n">
        <v>6</v>
      </c>
      <c r="I7" s="31" t="n">
        <v>1402.11</v>
      </c>
      <c r="J7" s="16" t="inlineStr">
        <is>
          <t>Vrindavan Road</t>
        </is>
      </c>
      <c r="K7" s="16" t="inlineStr">
        <is>
          <t>N</t>
        </is>
      </c>
      <c r="L7" s="16" t="inlineStr">
        <is>
          <t>Valid</t>
        </is>
      </c>
    </row>
    <row r="8">
      <c r="A8" s="16" t="inlineStr">
        <is>
          <t>30 Jun</t>
        </is>
      </c>
      <c r="B8" s="16" t="inlineStr">
        <is>
          <t>37954</t>
        </is>
      </c>
      <c r="C8" s="16" t="inlineStr">
        <is>
          <t>FS</t>
        </is>
      </c>
      <c r="D8" s="16" t="inlineStr">
        <is>
          <t>SR</t>
        </is>
      </c>
      <c r="E8" s="16" t="inlineStr">
        <is>
          <t>05:21:24</t>
        </is>
      </c>
      <c r="F8" s="16" t="inlineStr">
        <is>
          <t>05:21:24</t>
        </is>
      </c>
      <c r="G8" s="16" t="n">
        <v>0</v>
      </c>
      <c r="H8" s="16" t="n">
        <v>1</v>
      </c>
      <c r="I8" s="31" t="n">
        <v>1406.61</v>
      </c>
      <c r="J8" s="16" t="inlineStr">
        <is>
          <t>Vrindavan Road</t>
        </is>
      </c>
      <c r="K8" s="16" t="inlineStr">
        <is>
          <t>N</t>
        </is>
      </c>
      <c r="L8" s="16" t="inlineStr">
        <is>
          <t>Valid</t>
        </is>
      </c>
    </row>
    <row r="9">
      <c r="A9" s="16" t="inlineStr">
        <is>
          <t>30 Jun</t>
        </is>
      </c>
      <c r="B9" s="16" t="inlineStr">
        <is>
          <t>39031</t>
        </is>
      </c>
      <c r="C9" s="16" t="inlineStr">
        <is>
          <t>FS</t>
        </is>
      </c>
      <c r="D9" s="16" t="inlineStr">
        <is>
          <t>SR</t>
        </is>
      </c>
      <c r="E9" s="16" t="inlineStr">
        <is>
          <t>06:45:02</t>
        </is>
      </c>
      <c r="F9" s="16" t="inlineStr">
        <is>
          <t>06:45:02</t>
        </is>
      </c>
      <c r="G9" s="16" t="n">
        <v>0</v>
      </c>
      <c r="H9" s="16" t="n">
        <v>1</v>
      </c>
      <c r="I9" s="31" t="n">
        <v>1401.89</v>
      </c>
      <c r="J9" s="16" t="inlineStr">
        <is>
          <t>Vrindavan Road</t>
        </is>
      </c>
      <c r="K9" s="16" t="inlineStr">
        <is>
          <t>R</t>
        </is>
      </c>
      <c r="L9" s="16" t="inlineStr">
        <is>
          <t>Valid</t>
        </is>
      </c>
    </row>
    <row r="10">
      <c r="A10" s="16" t="inlineStr">
        <is>
          <t>30 Jun</t>
        </is>
      </c>
      <c r="B10" s="16" t="inlineStr">
        <is>
          <t>39031</t>
        </is>
      </c>
      <c r="C10" s="16" t="inlineStr">
        <is>
          <t>FS</t>
        </is>
      </c>
      <c r="D10" s="16" t="inlineStr">
        <is>
          <t>SR</t>
        </is>
      </c>
      <c r="E10" s="16" t="inlineStr">
        <is>
          <t>06:45:04</t>
        </is>
      </c>
      <c r="F10" s="16" t="inlineStr">
        <is>
          <t>06:45:56</t>
        </is>
      </c>
      <c r="G10" s="16" t="n">
        <v>52</v>
      </c>
      <c r="H10" s="16" t="n">
        <v>43</v>
      </c>
      <c r="I10" s="31" t="n">
        <v>1401.88</v>
      </c>
      <c r="J10" s="16" t="inlineStr">
        <is>
          <t>Vrindavan Road</t>
        </is>
      </c>
      <c r="K10" s="16" t="inlineStr">
        <is>
          <t>R</t>
        </is>
      </c>
      <c r="L10" s="16" t="inlineStr">
        <is>
          <t>Valid</t>
        </is>
      </c>
    </row>
    <row r="11">
      <c r="A11" s="16" t="inlineStr">
        <is>
          <t>30 Jun</t>
        </is>
      </c>
      <c r="B11" s="16" t="inlineStr">
        <is>
          <t>37219</t>
        </is>
      </c>
      <c r="C11" s="16" t="inlineStr">
        <is>
          <t>FS</t>
        </is>
      </c>
      <c r="D11" s="16" t="inlineStr">
        <is>
          <t>LS</t>
        </is>
      </c>
      <c r="E11" s="16" t="inlineStr">
        <is>
          <t>08:02:46</t>
        </is>
      </c>
      <c r="F11" s="16" t="inlineStr">
        <is>
          <t>08:03:18</t>
        </is>
      </c>
      <c r="G11" s="16" t="n">
        <v>32</v>
      </c>
      <c r="H11" s="16" t="n">
        <v>17</v>
      </c>
      <c r="I11" s="31" t="n">
        <v>1435.27</v>
      </c>
      <c r="J11" s="16" t="inlineStr">
        <is>
          <t>LC545</t>
        </is>
      </c>
      <c r="K11" s="16" t="inlineStr">
        <is>
          <t>R</t>
        </is>
      </c>
      <c r="L11" s="16" t="inlineStr">
        <is>
          <t>Valid</t>
        </is>
      </c>
    </row>
    <row r="12">
      <c r="A12" s="16" t="inlineStr">
        <is>
          <t>30 Jun</t>
        </is>
      </c>
      <c r="B12" s="16" t="inlineStr">
        <is>
          <t>37219</t>
        </is>
      </c>
      <c r="C12" s="16" t="inlineStr">
        <is>
          <t>FS</t>
        </is>
      </c>
      <c r="D12" s="16" t="inlineStr">
        <is>
          <t>SR</t>
        </is>
      </c>
      <c r="E12" s="16" t="inlineStr">
        <is>
          <t>08:23:28</t>
        </is>
      </c>
      <c r="F12" s="16" t="inlineStr">
        <is>
          <t>08:24:16</t>
        </is>
      </c>
      <c r="G12" s="16" t="n">
        <v>48</v>
      </c>
      <c r="H12" s="16" t="n">
        <v>48</v>
      </c>
      <c r="I12" s="31" t="n">
        <v>1401.88</v>
      </c>
      <c r="J12" s="16" t="inlineStr">
        <is>
          <t>Vrindavan Road</t>
        </is>
      </c>
      <c r="K12" s="16" t="inlineStr">
        <is>
          <t>R</t>
        </is>
      </c>
      <c r="L12" s="16" t="inlineStr">
        <is>
          <t>Valid</t>
        </is>
      </c>
    </row>
    <row r="13">
      <c r="A13" s="16" t="inlineStr">
        <is>
          <t>30 Jun</t>
        </is>
      </c>
      <c r="B13" s="16" t="inlineStr">
        <is>
          <t>30002</t>
        </is>
      </c>
      <c r="C13" s="16" t="inlineStr">
        <is>
          <t>FS</t>
        </is>
      </c>
      <c r="D13" s="16" t="inlineStr">
        <is>
          <t>SR</t>
        </is>
      </c>
      <c r="E13" s="16" t="inlineStr">
        <is>
          <t>08:39:16</t>
        </is>
      </c>
      <c r="F13" s="16" t="inlineStr">
        <is>
          <t>08:40:02</t>
        </is>
      </c>
      <c r="G13" s="16" t="n">
        <v>46</v>
      </c>
      <c r="H13" s="16" t="n">
        <v>32</v>
      </c>
      <c r="I13" s="31" t="n">
        <v>1401.88</v>
      </c>
      <c r="J13" s="16" t="inlineStr">
        <is>
          <t>Vrindavan Road</t>
        </is>
      </c>
      <c r="K13" s="16" t="inlineStr">
        <is>
          <t>R</t>
        </is>
      </c>
      <c r="L13" s="16" t="inlineStr">
        <is>
          <t>Valid</t>
        </is>
      </c>
    </row>
    <row r="14">
      <c r="A14" s="16" t="inlineStr">
        <is>
          <t>30 Jun</t>
        </is>
      </c>
      <c r="B14" s="16" t="inlineStr">
        <is>
          <t>30395</t>
        </is>
      </c>
      <c r="C14" s="16" t="inlineStr">
        <is>
          <t>FS</t>
        </is>
      </c>
      <c r="D14" s="16" t="inlineStr">
        <is>
          <t>LS</t>
        </is>
      </c>
      <c r="E14" s="16" t="inlineStr">
        <is>
          <t>10:59:50</t>
        </is>
      </c>
      <c r="F14" s="16" t="inlineStr">
        <is>
          <t>10:59:54</t>
        </is>
      </c>
      <c r="G14" s="16" t="n">
        <v>4</v>
      </c>
      <c r="H14" s="16" t="n">
        <v>3</v>
      </c>
      <c r="I14" s="31" t="n">
        <v>1468.59</v>
      </c>
      <c r="J14" s="16" t="inlineStr">
        <is>
          <t>LC560</t>
        </is>
      </c>
      <c r="K14" s="16" t="inlineStr">
        <is>
          <t>N</t>
        </is>
      </c>
      <c r="L14" s="16" t="inlineStr">
        <is>
          <t>Valid</t>
        </is>
      </c>
    </row>
    <row r="15">
      <c r="A15" s="16" t="inlineStr">
        <is>
          <t>30 Jun</t>
        </is>
      </c>
      <c r="B15" s="16" t="inlineStr">
        <is>
          <t>30376</t>
        </is>
      </c>
      <c r="C15" s="16" t="inlineStr">
        <is>
          <t>FS</t>
        </is>
      </c>
      <c r="D15" s="16" t="inlineStr">
        <is>
          <t>SR</t>
        </is>
      </c>
      <c r="E15" s="16" t="inlineStr">
        <is>
          <t>14:08:26</t>
        </is>
      </c>
      <c r="F15" s="16" t="inlineStr">
        <is>
          <t>14:08:26</t>
        </is>
      </c>
      <c r="G15" s="16" t="n">
        <v>0</v>
      </c>
      <c r="H15" s="16" t="n">
        <v>1</v>
      </c>
      <c r="I15" s="31" t="n">
        <v>1401.89</v>
      </c>
      <c r="J15" s="16" t="inlineStr">
        <is>
          <t>Vrindavan Road</t>
        </is>
      </c>
      <c r="K15" s="16" t="inlineStr">
        <is>
          <t>R</t>
        </is>
      </c>
      <c r="L15" s="16" t="inlineStr">
        <is>
          <t>Valid</t>
        </is>
      </c>
    </row>
    <row r="16">
      <c r="A16" s="16" t="inlineStr">
        <is>
          <t>30 Jun</t>
        </is>
      </c>
      <c r="B16" s="16" t="inlineStr">
        <is>
          <t>37465</t>
        </is>
      </c>
      <c r="C16" s="16" t="inlineStr">
        <is>
          <t>FS</t>
        </is>
      </c>
      <c r="D16" s="16" t="inlineStr">
        <is>
          <t>SR</t>
        </is>
      </c>
      <c r="E16" s="16" t="inlineStr">
        <is>
          <t>14:42:00</t>
        </is>
      </c>
      <c r="F16" s="16" t="inlineStr">
        <is>
          <t>14:42:00</t>
        </is>
      </c>
      <c r="G16" s="16" t="n">
        <v>0</v>
      </c>
      <c r="H16" s="16" t="n">
        <v>1</v>
      </c>
      <c r="I16" s="31" t="n">
        <v>1401.89</v>
      </c>
      <c r="J16" s="16" t="inlineStr">
        <is>
          <t>Vrindavan Road</t>
        </is>
      </c>
      <c r="K16" s="16" t="inlineStr">
        <is>
          <t>R</t>
        </is>
      </c>
      <c r="L16" s="16" t="inlineStr">
        <is>
          <t>Valid</t>
        </is>
      </c>
    </row>
    <row r="17">
      <c r="A17" s="34" t="inlineStr">
        <is>
          <t>30 Jun</t>
        </is>
      </c>
      <c r="B17" s="34" t="inlineStr">
        <is>
          <t>30197</t>
        </is>
      </c>
      <c r="C17" s="34" t="inlineStr">
        <is>
          <t>OS</t>
        </is>
      </c>
      <c r="D17" s="34" t="inlineStr">
        <is>
          <t>SR</t>
        </is>
      </c>
      <c r="E17" s="34" t="inlineStr">
        <is>
          <t>14:52:42</t>
        </is>
      </c>
      <c r="F17" s="34" t="inlineStr">
        <is>
          <t>14:52:48</t>
        </is>
      </c>
      <c r="G17" s="34" t="n">
        <v>6</v>
      </c>
      <c r="H17" s="34" t="n">
        <v>4</v>
      </c>
      <c r="I17" s="35" t="n">
        <v>1420.86</v>
      </c>
      <c r="J17" s="34" t="inlineStr">
        <is>
          <t>LC540</t>
        </is>
      </c>
      <c r="K17" s="34" t="inlineStr">
        <is>
          <t>N</t>
        </is>
      </c>
      <c r="L17" s="34" t="inlineStr">
        <is>
          <t>Non-Valid</t>
        </is>
      </c>
    </row>
    <row r="18">
      <c r="A18" s="34" t="inlineStr">
        <is>
          <t>30 Jun</t>
        </is>
      </c>
      <c r="B18" s="34" t="inlineStr">
        <is>
          <t>30197</t>
        </is>
      </c>
      <c r="C18" s="34" t="inlineStr">
        <is>
          <t>OS</t>
        </is>
      </c>
      <c r="D18" s="34" t="inlineStr">
        <is>
          <t>SR</t>
        </is>
      </c>
      <c r="E18" s="34" t="inlineStr">
        <is>
          <t>14:53:34</t>
        </is>
      </c>
      <c r="F18" s="34" t="inlineStr">
        <is>
          <t>14:53:38</t>
        </is>
      </c>
      <c r="G18" s="34" t="n">
        <v>4</v>
      </c>
      <c r="H18" s="34" t="n">
        <v>3</v>
      </c>
      <c r="I18" s="35" t="n">
        <v>1420.88</v>
      </c>
      <c r="J18" s="34" t="inlineStr">
        <is>
          <t>LC540</t>
        </is>
      </c>
      <c r="K18" s="34" t="inlineStr">
        <is>
          <t>N</t>
        </is>
      </c>
      <c r="L18" s="34" t="inlineStr">
        <is>
          <t>Non-Valid</t>
        </is>
      </c>
    </row>
    <row r="19">
      <c r="A19" s="34" t="inlineStr">
        <is>
          <t>30 Jun</t>
        </is>
      </c>
      <c r="B19" s="34" t="inlineStr">
        <is>
          <t>30197</t>
        </is>
      </c>
      <c r="C19" s="34" t="inlineStr">
        <is>
          <t>OS</t>
        </is>
      </c>
      <c r="D19" s="34" t="inlineStr">
        <is>
          <t>SR</t>
        </is>
      </c>
      <c r="E19" s="34" t="inlineStr">
        <is>
          <t>15:14:40</t>
        </is>
      </c>
      <c r="F19" s="34" t="inlineStr">
        <is>
          <t>15:14:48</t>
        </is>
      </c>
      <c r="G19" s="34" t="n">
        <v>8</v>
      </c>
      <c r="H19" s="34" t="n">
        <v>6</v>
      </c>
      <c r="I19" s="35" t="n">
        <v>1420.41</v>
      </c>
      <c r="J19" s="34" t="inlineStr">
        <is>
          <t>LC540</t>
        </is>
      </c>
      <c r="K19" s="34" t="inlineStr">
        <is>
          <t>U</t>
        </is>
      </c>
      <c r="L19" s="34" t="inlineStr">
        <is>
          <t>Non-Valid</t>
        </is>
      </c>
    </row>
    <row r="20">
      <c r="A20" s="34" t="inlineStr">
        <is>
          <t>30 Jun</t>
        </is>
      </c>
      <c r="B20" s="34" t="inlineStr">
        <is>
          <t>30197</t>
        </is>
      </c>
      <c r="C20" s="34" t="inlineStr">
        <is>
          <t>OS</t>
        </is>
      </c>
      <c r="D20" s="34" t="inlineStr">
        <is>
          <t>SR</t>
        </is>
      </c>
      <c r="E20" s="34" t="inlineStr">
        <is>
          <t>15:15:12</t>
        </is>
      </c>
      <c r="F20" s="34" t="inlineStr">
        <is>
          <t>15:15:48</t>
        </is>
      </c>
      <c r="G20" s="34" t="n">
        <v>36</v>
      </c>
      <c r="H20" s="34" t="n">
        <v>18</v>
      </c>
      <c r="I20" s="35" t="n">
        <v>1420.65</v>
      </c>
      <c r="J20" s="34" t="inlineStr">
        <is>
          <t>LC540</t>
        </is>
      </c>
      <c r="K20" s="34" t="inlineStr">
        <is>
          <t>N</t>
        </is>
      </c>
      <c r="L20" s="34" t="inlineStr">
        <is>
          <t>Non-Valid</t>
        </is>
      </c>
    </row>
    <row r="21">
      <c r="A21" s="34" t="inlineStr">
        <is>
          <t>30 Jun</t>
        </is>
      </c>
      <c r="B21" s="34" t="inlineStr">
        <is>
          <t>30197</t>
        </is>
      </c>
      <c r="C21" s="34" t="inlineStr">
        <is>
          <t>OS</t>
        </is>
      </c>
      <c r="D21" s="34" t="inlineStr">
        <is>
          <t>SR</t>
        </is>
      </c>
      <c r="E21" s="34" t="inlineStr">
        <is>
          <t>15:19:40</t>
        </is>
      </c>
      <c r="F21" s="34" t="inlineStr">
        <is>
          <t>15:20:14</t>
        </is>
      </c>
      <c r="G21" s="34" t="n">
        <v>34</v>
      </c>
      <c r="H21" s="34" t="n">
        <v>19</v>
      </c>
      <c r="I21" s="35" t="n">
        <v>1422.1</v>
      </c>
      <c r="J21" s="34" t="inlineStr">
        <is>
          <t>LC540</t>
        </is>
      </c>
      <c r="K21" s="34" t="inlineStr">
        <is>
          <t>N</t>
        </is>
      </c>
      <c r="L21" s="34" t="inlineStr">
        <is>
          <t>Non-Valid</t>
        </is>
      </c>
    </row>
    <row r="22">
      <c r="A22" s="16" t="inlineStr">
        <is>
          <t>30 Jun</t>
        </is>
      </c>
      <c r="B22" s="16" t="inlineStr">
        <is>
          <t>30716</t>
        </is>
      </c>
      <c r="C22" s="16" t="inlineStr">
        <is>
          <t>FS</t>
        </is>
      </c>
      <c r="D22" s="16" t="inlineStr">
        <is>
          <t>SR</t>
        </is>
      </c>
      <c r="E22" s="16" t="inlineStr">
        <is>
          <t>15:56:58</t>
        </is>
      </c>
      <c r="F22" s="16" t="inlineStr">
        <is>
          <t>15:57:46</t>
        </is>
      </c>
      <c r="G22" s="16" t="n">
        <v>48</v>
      </c>
      <c r="H22" s="16" t="n">
        <v>49</v>
      </c>
      <c r="I22" s="31" t="n">
        <v>1401.89</v>
      </c>
      <c r="J22" s="16" t="inlineStr">
        <is>
          <t>Vrindavan Road</t>
        </is>
      </c>
      <c r="K22" s="16" t="inlineStr">
        <is>
          <t>R</t>
        </is>
      </c>
      <c r="L22" s="16" t="inlineStr">
        <is>
          <t>Valid</t>
        </is>
      </c>
    </row>
    <row r="23">
      <c r="A23" s="16" t="inlineStr">
        <is>
          <t>30 Jun</t>
        </is>
      </c>
      <c r="B23" s="16" t="inlineStr">
        <is>
          <t>39252</t>
        </is>
      </c>
      <c r="C23" s="16" t="inlineStr">
        <is>
          <t>FS</t>
        </is>
      </c>
      <c r="D23" s="16" t="inlineStr">
        <is>
          <t>SR</t>
        </is>
      </c>
      <c r="E23" s="16" t="inlineStr">
        <is>
          <t>16:22:24</t>
        </is>
      </c>
      <c r="F23" s="16" t="inlineStr">
        <is>
          <t>16:22:24</t>
        </is>
      </c>
      <c r="G23" s="16" t="n">
        <v>0</v>
      </c>
      <c r="H23" s="16" t="n">
        <v>1</v>
      </c>
      <c r="I23" s="31" t="n">
        <v>1401.89</v>
      </c>
      <c r="J23" s="16" t="inlineStr">
        <is>
          <t>Vrindavan Road</t>
        </is>
      </c>
      <c r="K23" s="16" t="inlineStr">
        <is>
          <t>R</t>
        </is>
      </c>
      <c r="L23" s="16" t="inlineStr">
        <is>
          <t>Valid</t>
        </is>
      </c>
    </row>
    <row r="24">
      <c r="A24" s="16" t="inlineStr">
        <is>
          <t>30 Jun</t>
        </is>
      </c>
      <c r="B24" s="16" t="inlineStr">
        <is>
          <t>39252</t>
        </is>
      </c>
      <c r="C24" s="16" t="inlineStr">
        <is>
          <t>FS</t>
        </is>
      </c>
      <c r="D24" s="16" t="inlineStr">
        <is>
          <t>SR</t>
        </is>
      </c>
      <c r="E24" s="16" t="inlineStr">
        <is>
          <t>16:22:26</t>
        </is>
      </c>
      <c r="F24" s="16" t="inlineStr">
        <is>
          <t>16:23:18</t>
        </is>
      </c>
      <c r="G24" s="16" t="n">
        <v>52</v>
      </c>
      <c r="H24" s="16" t="n">
        <v>48</v>
      </c>
      <c r="I24" s="31" t="n">
        <v>1401.88</v>
      </c>
      <c r="J24" s="16" t="inlineStr">
        <is>
          <t>Vrindavan Road</t>
        </is>
      </c>
      <c r="K24" s="16" t="inlineStr">
        <is>
          <t>R</t>
        </is>
      </c>
      <c r="L24" s="16" t="inlineStr">
        <is>
          <t>Valid</t>
        </is>
      </c>
    </row>
    <row r="25">
      <c r="A25" s="34" t="inlineStr">
        <is>
          <t>30 Jun</t>
        </is>
      </c>
      <c r="B25" s="34" t="inlineStr">
        <is>
          <t>30197</t>
        </is>
      </c>
      <c r="C25" s="34" t="inlineStr">
        <is>
          <t>OS</t>
        </is>
      </c>
      <c r="D25" s="34" t="inlineStr">
        <is>
          <t>SR</t>
        </is>
      </c>
      <c r="E25" s="34" t="inlineStr">
        <is>
          <t>16:33:50</t>
        </is>
      </c>
      <c r="F25" s="34" t="inlineStr">
        <is>
          <t>16:33:56</t>
        </is>
      </c>
      <c r="G25" s="34" t="n">
        <v>6</v>
      </c>
      <c r="H25" s="34" t="n">
        <v>4</v>
      </c>
      <c r="I25" s="35" t="n">
        <v>1409.56</v>
      </c>
      <c r="J25" s="34" t="inlineStr">
        <is>
          <t>Vrindavan Road</t>
        </is>
      </c>
      <c r="K25" s="34" t="inlineStr">
        <is>
          <t>U</t>
        </is>
      </c>
      <c r="L25" s="34" t="inlineStr">
        <is>
          <t>Non-Valid</t>
        </is>
      </c>
    </row>
    <row r="26">
      <c r="A26" s="34" t="inlineStr">
        <is>
          <t>30 Jun</t>
        </is>
      </c>
      <c r="B26" s="34" t="inlineStr">
        <is>
          <t>30197</t>
        </is>
      </c>
      <c r="C26" s="34" t="inlineStr">
        <is>
          <t>OS</t>
        </is>
      </c>
      <c r="D26" s="34" t="inlineStr">
        <is>
          <t>SR</t>
        </is>
      </c>
      <c r="E26" s="34" t="inlineStr">
        <is>
          <t>16:35:48</t>
        </is>
      </c>
      <c r="F26" s="34" t="inlineStr">
        <is>
          <t>16:35:48</t>
        </is>
      </c>
      <c r="G26" s="34" t="n">
        <v>0</v>
      </c>
      <c r="H26" s="34" t="n">
        <v>1</v>
      </c>
      <c r="I26" s="35" t="n">
        <v>1409.47</v>
      </c>
      <c r="J26" s="34" t="inlineStr">
        <is>
          <t>Vrindavan Road</t>
        </is>
      </c>
      <c r="K26" s="34" t="inlineStr">
        <is>
          <t>R</t>
        </is>
      </c>
      <c r="L26" s="34" t="inlineStr">
        <is>
          <t>Non-Valid</t>
        </is>
      </c>
    </row>
    <row r="27">
      <c r="A27" s="16" t="inlineStr">
        <is>
          <t>30 Jun</t>
        </is>
      </c>
      <c r="B27" s="16" t="inlineStr">
        <is>
          <t>39247</t>
        </is>
      </c>
      <c r="C27" s="16" t="inlineStr">
        <is>
          <t>FS</t>
        </is>
      </c>
      <c r="D27" s="16" t="inlineStr">
        <is>
          <t>LS</t>
        </is>
      </c>
      <c r="E27" s="16" t="inlineStr">
        <is>
          <t>17:06:08</t>
        </is>
      </c>
      <c r="F27" s="16" t="inlineStr">
        <is>
          <t>17:07:00</t>
        </is>
      </c>
      <c r="G27" s="16" t="n">
        <v>52</v>
      </c>
      <c r="H27" s="16" t="n">
        <v>40</v>
      </c>
      <c r="I27" s="31" t="n">
        <v>1447.53</v>
      </c>
      <c r="J27" s="16" t="inlineStr">
        <is>
          <t>LC551</t>
        </is>
      </c>
      <c r="K27" s="16" t="inlineStr">
        <is>
          <t>R</t>
        </is>
      </c>
      <c r="L27" s="16" t="inlineStr">
        <is>
          <t>Valid</t>
        </is>
      </c>
    </row>
    <row r="28">
      <c r="A28" s="16" t="inlineStr">
        <is>
          <t>30 Jun</t>
        </is>
      </c>
      <c r="B28" s="16" t="inlineStr">
        <is>
          <t>39247</t>
        </is>
      </c>
      <c r="C28" s="16" t="inlineStr">
        <is>
          <t>LS</t>
        </is>
      </c>
      <c r="D28" s="16" t="inlineStr">
        <is>
          <t>SR</t>
        </is>
      </c>
      <c r="E28" s="16" t="inlineStr">
        <is>
          <t>17:07:02</t>
        </is>
      </c>
      <c r="F28" s="16" t="inlineStr">
        <is>
          <t>17:10:34</t>
        </is>
      </c>
      <c r="G28" s="16" t="n">
        <v>212</v>
      </c>
      <c r="H28" s="16" t="n">
        <v>147</v>
      </c>
      <c r="I28" s="31" t="n">
        <v>1445.62</v>
      </c>
      <c r="J28" s="16" t="inlineStr">
        <is>
          <t>LC551</t>
        </is>
      </c>
      <c r="K28" s="16" t="inlineStr">
        <is>
          <t>R</t>
        </is>
      </c>
      <c r="L28" s="16" t="inlineStr">
        <is>
          <t>Valid</t>
        </is>
      </c>
    </row>
    <row r="29">
      <c r="A29" s="16" t="inlineStr">
        <is>
          <t>30 Jun</t>
        </is>
      </c>
      <c r="B29" s="16" t="inlineStr">
        <is>
          <t>37346</t>
        </is>
      </c>
      <c r="C29" s="16" t="inlineStr">
        <is>
          <t>FS</t>
        </is>
      </c>
      <c r="D29" s="16" t="inlineStr">
        <is>
          <t>SR</t>
        </is>
      </c>
      <c r="E29" s="16" t="inlineStr">
        <is>
          <t>17:21:16</t>
        </is>
      </c>
      <c r="F29" s="16" t="inlineStr">
        <is>
          <t>17:21:18</t>
        </is>
      </c>
      <c r="G29" s="16" t="n">
        <v>2</v>
      </c>
      <c r="H29" s="16" t="n">
        <v>3</v>
      </c>
      <c r="I29" s="31" t="n">
        <v>1401.7</v>
      </c>
      <c r="J29" s="16" t="inlineStr">
        <is>
          <t>Vrindavan Road</t>
        </is>
      </c>
      <c r="K29" s="16" t="inlineStr">
        <is>
          <t>N</t>
        </is>
      </c>
      <c r="L29" s="16" t="inlineStr">
        <is>
          <t>Valid</t>
        </is>
      </c>
    </row>
    <row r="30">
      <c r="A30" s="16" t="inlineStr">
        <is>
          <t>30 Jun</t>
        </is>
      </c>
      <c r="B30" s="16" t="inlineStr">
        <is>
          <t>39247</t>
        </is>
      </c>
      <c r="C30" s="16" t="inlineStr">
        <is>
          <t>FS</t>
        </is>
      </c>
      <c r="D30" s="16" t="inlineStr">
        <is>
          <t>SR</t>
        </is>
      </c>
      <c r="E30" s="16" t="inlineStr">
        <is>
          <t>17:33:38</t>
        </is>
      </c>
      <c r="F30" s="16" t="inlineStr">
        <is>
          <t>17:34:46</t>
        </is>
      </c>
      <c r="G30" s="16" t="n">
        <v>68</v>
      </c>
      <c r="H30" s="16" t="n">
        <v>40</v>
      </c>
      <c r="I30" s="31" t="n">
        <v>1401.88</v>
      </c>
      <c r="J30" s="16" t="inlineStr">
        <is>
          <t>Vrindavan Road</t>
        </is>
      </c>
      <c r="K30" s="16" t="inlineStr">
        <is>
          <t>R</t>
        </is>
      </c>
      <c r="L30" s="16" t="inlineStr">
        <is>
          <t>Valid</t>
        </is>
      </c>
    </row>
    <row r="31">
      <c r="A31" s="16" t="inlineStr">
        <is>
          <t>30 Jun</t>
        </is>
      </c>
      <c r="B31" s="16" t="inlineStr">
        <is>
          <t>30537</t>
        </is>
      </c>
      <c r="C31" s="16" t="inlineStr">
        <is>
          <t>FS</t>
        </is>
      </c>
      <c r="D31" s="16" t="inlineStr">
        <is>
          <t>LS</t>
        </is>
      </c>
      <c r="E31" s="16" t="inlineStr">
        <is>
          <t>17:33:38</t>
        </is>
      </c>
      <c r="F31" s="16" t="inlineStr">
        <is>
          <t>17:33:38</t>
        </is>
      </c>
      <c r="G31" s="16" t="n">
        <v>0</v>
      </c>
      <c r="H31" s="16" t="n">
        <v>1</v>
      </c>
      <c r="I31" s="31" t="n">
        <v>1478.62</v>
      </c>
      <c r="J31" s="16" t="inlineStr">
        <is>
          <t>LC563</t>
        </is>
      </c>
      <c r="K31" s="16" t="inlineStr">
        <is>
          <t>R</t>
        </is>
      </c>
      <c r="L31" s="16" t="inlineStr">
        <is>
          <t>Valid</t>
        </is>
      </c>
    </row>
    <row r="32">
      <c r="A32" s="16" t="inlineStr">
        <is>
          <t>30 Jun</t>
        </is>
      </c>
      <c r="B32" s="16" t="inlineStr">
        <is>
          <t>30537</t>
        </is>
      </c>
      <c r="C32" s="16" t="inlineStr">
        <is>
          <t>FS</t>
        </is>
      </c>
      <c r="D32" s="16" t="inlineStr">
        <is>
          <t>LS</t>
        </is>
      </c>
      <c r="E32" s="16" t="inlineStr">
        <is>
          <t>17:33:40</t>
        </is>
      </c>
      <c r="F32" s="16" t="inlineStr">
        <is>
          <t>17:33:50</t>
        </is>
      </c>
      <c r="G32" s="16" t="n">
        <v>10</v>
      </c>
      <c r="H32" s="16" t="n">
        <v>9</v>
      </c>
      <c r="I32" s="31" t="n">
        <v>1478.54</v>
      </c>
      <c r="J32" s="16" t="inlineStr">
        <is>
          <t>LC563</t>
        </is>
      </c>
      <c r="K32" s="16" t="inlineStr">
        <is>
          <t>R</t>
        </is>
      </c>
      <c r="L32" s="16" t="inlineStr">
        <is>
          <t>Valid</t>
        </is>
      </c>
    </row>
    <row r="33">
      <c r="A33" s="16" t="inlineStr">
        <is>
          <t>30 Jun</t>
        </is>
      </c>
      <c r="B33" s="16" t="inlineStr">
        <is>
          <t>30537</t>
        </is>
      </c>
      <c r="C33" s="16" t="inlineStr">
        <is>
          <t>OS</t>
        </is>
      </c>
      <c r="D33" s="16" t="inlineStr">
        <is>
          <t>LS</t>
        </is>
      </c>
      <c r="E33" s="16" t="inlineStr">
        <is>
          <t>17:33:52</t>
        </is>
      </c>
      <c r="F33" s="16" t="inlineStr">
        <is>
          <t>17:33:52</t>
        </is>
      </c>
      <c r="G33" s="16" t="n">
        <v>0</v>
      </c>
      <c r="H33" s="16" t="n">
        <v>1</v>
      </c>
      <c r="I33" s="31" t="n">
        <v>1478.18</v>
      </c>
      <c r="J33" s="16" t="inlineStr">
        <is>
          <t>LC563</t>
        </is>
      </c>
      <c r="K33" s="16" t="inlineStr">
        <is>
          <t>R</t>
        </is>
      </c>
      <c r="L33" s="16" t="inlineStr">
        <is>
          <t>Valid</t>
        </is>
      </c>
    </row>
    <row r="34">
      <c r="A34" s="16" t="inlineStr">
        <is>
          <t>30 Jun</t>
        </is>
      </c>
      <c r="B34" s="16" t="inlineStr">
        <is>
          <t>30537</t>
        </is>
      </c>
      <c r="C34" s="16" t="inlineStr">
        <is>
          <t>FS</t>
        </is>
      </c>
      <c r="D34" s="16" t="inlineStr">
        <is>
          <t>SR</t>
        </is>
      </c>
      <c r="E34" s="16" t="inlineStr">
        <is>
          <t>18:14:46</t>
        </is>
      </c>
      <c r="F34" s="16" t="inlineStr">
        <is>
          <t>18:15:40</t>
        </is>
      </c>
      <c r="G34" s="16" t="n">
        <v>54</v>
      </c>
      <c r="H34" s="16" t="n">
        <v>33</v>
      </c>
      <c r="I34" s="31" t="n">
        <v>1401.89</v>
      </c>
      <c r="J34" s="16" t="inlineStr">
        <is>
          <t>Vrindavan Road</t>
        </is>
      </c>
      <c r="K34" s="16" t="inlineStr">
        <is>
          <t>R</t>
        </is>
      </c>
      <c r="L34" s="16" t="inlineStr">
        <is>
          <t>Valid</t>
        </is>
      </c>
    </row>
    <row r="35">
      <c r="A35" s="16" t="inlineStr">
        <is>
          <t>30 Jun</t>
        </is>
      </c>
      <c r="B35" s="16" t="inlineStr">
        <is>
          <t>30786</t>
        </is>
      </c>
      <c r="C35" s="16" t="inlineStr">
        <is>
          <t>FS</t>
        </is>
      </c>
      <c r="D35" s="16" t="inlineStr">
        <is>
          <t>LS</t>
        </is>
      </c>
      <c r="E35" s="16" t="inlineStr">
        <is>
          <t>18:26:02</t>
        </is>
      </c>
      <c r="F35" s="16" t="inlineStr">
        <is>
          <t>18:26:02</t>
        </is>
      </c>
      <c r="G35" s="16" t="n">
        <v>0</v>
      </c>
      <c r="H35" s="16" t="n">
        <v>1</v>
      </c>
      <c r="I35" s="31" t="n">
        <v>1401.77</v>
      </c>
      <c r="J35" s="16" t="inlineStr">
        <is>
          <t>Vrindavan Road</t>
        </is>
      </c>
      <c r="K35" s="16" t="inlineStr">
        <is>
          <t>R</t>
        </is>
      </c>
      <c r="L35" s="16" t="inlineStr">
        <is>
          <t>Valid</t>
        </is>
      </c>
    </row>
    <row r="36">
      <c r="A36" s="16" t="inlineStr">
        <is>
          <t>30 Jun</t>
        </is>
      </c>
      <c r="B36" s="16" t="inlineStr">
        <is>
          <t>30786</t>
        </is>
      </c>
      <c r="C36" s="16" t="inlineStr">
        <is>
          <t>FS</t>
        </is>
      </c>
      <c r="D36" s="16" t="inlineStr">
        <is>
          <t>LS</t>
        </is>
      </c>
      <c r="E36" s="16" t="inlineStr">
        <is>
          <t>18:26:04</t>
        </is>
      </c>
      <c r="F36" s="16" t="inlineStr">
        <is>
          <t>18:26:04</t>
        </is>
      </c>
      <c r="G36" s="16" t="n">
        <v>0</v>
      </c>
      <c r="H36" s="16" t="n">
        <v>1</v>
      </c>
      <c r="I36" s="31" t="n">
        <v>1401.75</v>
      </c>
      <c r="J36" s="16" t="inlineStr">
        <is>
          <t>Vrindavan Road</t>
        </is>
      </c>
      <c r="K36" s="16" t="inlineStr">
        <is>
          <t>R</t>
        </is>
      </c>
      <c r="L36" s="16" t="inlineStr">
        <is>
          <t>Valid</t>
        </is>
      </c>
    </row>
    <row r="37">
      <c r="A37" s="16" t="inlineStr">
        <is>
          <t>30 Jun</t>
        </is>
      </c>
      <c r="B37" s="16" t="inlineStr">
        <is>
          <t>30786</t>
        </is>
      </c>
      <c r="C37" s="16" t="inlineStr">
        <is>
          <t>LS</t>
        </is>
      </c>
      <c r="D37" s="16" t="inlineStr">
        <is>
          <t>SR</t>
        </is>
      </c>
      <c r="E37" s="16" t="inlineStr">
        <is>
          <t>18:26:06</t>
        </is>
      </c>
      <c r="F37" s="16" t="inlineStr">
        <is>
          <t>18:26:36</t>
        </is>
      </c>
      <c r="G37" s="16" t="n">
        <v>30</v>
      </c>
      <c r="H37" s="16" t="n">
        <v>15</v>
      </c>
      <c r="I37" s="31" t="n">
        <v>1401.73</v>
      </c>
      <c r="J37" s="16" t="inlineStr">
        <is>
          <t>Vrindavan Road</t>
        </is>
      </c>
      <c r="K37" s="16" t="inlineStr">
        <is>
          <t>R</t>
        </is>
      </c>
      <c r="L37" s="16" t="inlineStr">
        <is>
          <t>Valid</t>
        </is>
      </c>
    </row>
    <row r="38">
      <c r="A38" s="16" t="inlineStr">
        <is>
          <t>30 Jun</t>
        </is>
      </c>
      <c r="B38" s="16" t="inlineStr">
        <is>
          <t>30395</t>
        </is>
      </c>
      <c r="C38" s="16" t="inlineStr">
        <is>
          <t>FS</t>
        </is>
      </c>
      <c r="D38" s="16" t="inlineStr">
        <is>
          <t>LS</t>
        </is>
      </c>
      <c r="E38" s="16" t="inlineStr">
        <is>
          <t>19:19:38</t>
        </is>
      </c>
      <c r="F38" s="16" t="inlineStr">
        <is>
          <t>19:19:58</t>
        </is>
      </c>
      <c r="G38" s="16" t="n">
        <v>20</v>
      </c>
      <c r="H38" s="16" t="n">
        <v>9</v>
      </c>
      <c r="I38" s="31" t="n">
        <v>1478.71</v>
      </c>
      <c r="J38" s="16" t="inlineStr">
        <is>
          <t>LC563</t>
        </is>
      </c>
      <c r="K38" s="16" t="inlineStr">
        <is>
          <t>R</t>
        </is>
      </c>
      <c r="L38" s="16" t="inlineStr">
        <is>
          <t>Valid</t>
        </is>
      </c>
    </row>
    <row r="39">
      <c r="A39" s="16" t="inlineStr">
        <is>
          <t>30 Jun</t>
        </is>
      </c>
      <c r="B39" s="16" t="inlineStr">
        <is>
          <t>30395</t>
        </is>
      </c>
      <c r="C39" s="16" t="inlineStr">
        <is>
          <t>FS</t>
        </is>
      </c>
      <c r="D39" s="16" t="inlineStr">
        <is>
          <t>LS</t>
        </is>
      </c>
      <c r="E39" s="16" t="inlineStr">
        <is>
          <t>19:21:54</t>
        </is>
      </c>
      <c r="F39" s="16" t="inlineStr">
        <is>
          <t>19:21:58</t>
        </is>
      </c>
      <c r="G39" s="16" t="n">
        <v>4</v>
      </c>
      <c r="H39" s="16" t="n">
        <v>3</v>
      </c>
      <c r="I39" s="31" t="n">
        <v>1473.87</v>
      </c>
      <c r="J39" s="16" t="inlineStr">
        <is>
          <t>Rundhi</t>
        </is>
      </c>
      <c r="K39" s="16" t="inlineStr">
        <is>
          <t>R</t>
        </is>
      </c>
      <c r="L39" s="16" t="inlineStr">
        <is>
          <t>Valid</t>
        </is>
      </c>
    </row>
    <row r="40">
      <c r="A40" s="16" t="inlineStr">
        <is>
          <t>30 Jun</t>
        </is>
      </c>
      <c r="B40" s="16" t="inlineStr">
        <is>
          <t>37954</t>
        </is>
      </c>
      <c r="C40" s="16" t="inlineStr">
        <is>
          <t>FS</t>
        </is>
      </c>
      <c r="D40" s="16" t="inlineStr">
        <is>
          <t>SR</t>
        </is>
      </c>
      <c r="E40" s="16" t="inlineStr">
        <is>
          <t>20:36:52</t>
        </is>
      </c>
      <c r="F40" s="16" t="inlineStr">
        <is>
          <t>20:37:36</t>
        </is>
      </c>
      <c r="G40" s="16" t="n">
        <v>44</v>
      </c>
      <c r="H40" s="16" t="n">
        <v>33</v>
      </c>
      <c r="I40" s="31" t="n">
        <v>1401.88</v>
      </c>
      <c r="J40" s="16" t="inlineStr">
        <is>
          <t>Vrindavan Road</t>
        </is>
      </c>
      <c r="K40" s="16" t="inlineStr">
        <is>
          <t>R</t>
        </is>
      </c>
      <c r="L40" s="16" t="inlineStr">
        <is>
          <t>Valid</t>
        </is>
      </c>
    </row>
    <row r="41">
      <c r="A41" s="16" t="inlineStr">
        <is>
          <t>30 Jun</t>
        </is>
      </c>
      <c r="B41" s="16" t="inlineStr">
        <is>
          <t>30478</t>
        </is>
      </c>
      <c r="C41" s="16" t="inlineStr">
        <is>
          <t>FS</t>
        </is>
      </c>
      <c r="D41" s="16" t="inlineStr">
        <is>
          <t>LS</t>
        </is>
      </c>
      <c r="E41" s="16" t="inlineStr">
        <is>
          <t>20:46:20</t>
        </is>
      </c>
      <c r="F41" s="16" t="inlineStr">
        <is>
          <t>20:47:34</t>
        </is>
      </c>
      <c r="G41" s="16" t="n">
        <v>74</v>
      </c>
      <c r="H41" s="16" t="n">
        <v>36</v>
      </c>
      <c r="I41" s="31" t="n">
        <v>1431.01</v>
      </c>
      <c r="J41" s="16" t="inlineStr">
        <is>
          <t>LC545</t>
        </is>
      </c>
      <c r="K41" s="16" t="inlineStr">
        <is>
          <t>N</t>
        </is>
      </c>
      <c r="L41" s="16" t="inlineStr">
        <is>
          <t>Valid</t>
        </is>
      </c>
    </row>
    <row r="42">
      <c r="A42" s="16" t="inlineStr">
        <is>
          <t>30 Jun</t>
        </is>
      </c>
      <c r="B42" s="16" t="inlineStr">
        <is>
          <t>30478</t>
        </is>
      </c>
      <c r="C42" s="16" t="inlineStr">
        <is>
          <t>LS</t>
        </is>
      </c>
      <c r="D42" s="16" t="inlineStr">
        <is>
          <t>SR</t>
        </is>
      </c>
      <c r="E42" s="16" t="inlineStr">
        <is>
          <t>20:47:36</t>
        </is>
      </c>
      <c r="F42" s="16" t="inlineStr">
        <is>
          <t>20:48:54</t>
        </is>
      </c>
      <c r="G42" s="16" t="n">
        <v>78</v>
      </c>
      <c r="H42" s="16" t="n">
        <v>40</v>
      </c>
      <c r="I42" s="31" t="n">
        <v>1433.55</v>
      </c>
      <c r="J42" s="16" t="inlineStr">
        <is>
          <t>LC545</t>
        </is>
      </c>
      <c r="K42" s="16" t="inlineStr">
        <is>
          <t>N</t>
        </is>
      </c>
      <c r="L42" s="16" t="inlineStr">
        <is>
          <t>Valid</t>
        </is>
      </c>
    </row>
    <row r="43">
      <c r="A43" s="16" t="inlineStr">
        <is>
          <t>30 Jun</t>
        </is>
      </c>
      <c r="B43" s="16" t="inlineStr">
        <is>
          <t>30608</t>
        </is>
      </c>
      <c r="C43" s="16" t="inlineStr">
        <is>
          <t>FS</t>
        </is>
      </c>
      <c r="D43" s="16" t="inlineStr">
        <is>
          <t>LS</t>
        </is>
      </c>
      <c r="E43" s="16" t="inlineStr">
        <is>
          <t>21:51:18</t>
        </is>
      </c>
      <c r="F43" s="16" t="inlineStr">
        <is>
          <t>21:51:34</t>
        </is>
      </c>
      <c r="G43" s="16" t="n">
        <v>16</v>
      </c>
      <c r="H43" s="16" t="n">
        <v>8</v>
      </c>
      <c r="I43" s="31" t="n">
        <v>1403.15</v>
      </c>
      <c r="J43" s="16" t="inlineStr">
        <is>
          <t>Vrindavan Road</t>
        </is>
      </c>
      <c r="K43" s="16" t="inlineStr">
        <is>
          <t>N</t>
        </is>
      </c>
      <c r="L43" s="16" t="inlineStr">
        <is>
          <t>Valid</t>
        </is>
      </c>
    </row>
    <row r="44">
      <c r="A44" s="16" t="inlineStr">
        <is>
          <t>30 Jun</t>
        </is>
      </c>
      <c r="B44" s="16" t="inlineStr">
        <is>
          <t>30608</t>
        </is>
      </c>
      <c r="C44" s="16" t="inlineStr">
        <is>
          <t>FS</t>
        </is>
      </c>
      <c r="D44" s="16" t="inlineStr">
        <is>
          <t>LS</t>
        </is>
      </c>
      <c r="E44" s="16" t="inlineStr">
        <is>
          <t>21:53:02</t>
        </is>
      </c>
      <c r="F44" s="16" t="inlineStr">
        <is>
          <t>21:53:10</t>
        </is>
      </c>
      <c r="G44" s="16" t="n">
        <v>8</v>
      </c>
      <c r="H44" s="16" t="n">
        <v>4</v>
      </c>
      <c r="I44" s="31" t="n">
        <v>1404.78</v>
      </c>
      <c r="J44" s="16" t="inlineStr">
        <is>
          <t>Vrindavan Road</t>
        </is>
      </c>
      <c r="K44" s="16" t="inlineStr">
        <is>
          <t>N</t>
        </is>
      </c>
      <c r="L44" s="16" t="inlineStr">
        <is>
          <t>Valid</t>
        </is>
      </c>
    </row>
    <row r="45">
      <c r="A45" s="16" t="inlineStr">
        <is>
          <t>30 Jun</t>
        </is>
      </c>
      <c r="B45" s="16" t="inlineStr">
        <is>
          <t>30608</t>
        </is>
      </c>
      <c r="C45" s="16" t="inlineStr">
        <is>
          <t>FS</t>
        </is>
      </c>
      <c r="D45" s="16" t="inlineStr">
        <is>
          <t>LS</t>
        </is>
      </c>
      <c r="E45" s="16" t="inlineStr">
        <is>
          <t>21:54:54</t>
        </is>
      </c>
      <c r="F45" s="16" t="inlineStr">
        <is>
          <t>21:55:14</t>
        </is>
      </c>
      <c r="G45" s="16" t="n">
        <v>20</v>
      </c>
      <c r="H45" s="16" t="n">
        <v>11</v>
      </c>
      <c r="I45" s="31" t="n">
        <v>1408.35</v>
      </c>
      <c r="J45" s="16" t="inlineStr">
        <is>
          <t>Vrindavan Road</t>
        </is>
      </c>
      <c r="K45" s="16" t="inlineStr">
        <is>
          <t>N</t>
        </is>
      </c>
      <c r="L45" s="16" t="inlineStr">
        <is>
          <t>Valid</t>
        </is>
      </c>
    </row>
    <row r="46">
      <c r="A46" s="16" t="inlineStr">
        <is>
          <t>30 Jun</t>
        </is>
      </c>
      <c r="B46" s="16" t="inlineStr">
        <is>
          <t>30608</t>
        </is>
      </c>
      <c r="C46" s="16" t="inlineStr">
        <is>
          <t>LS</t>
        </is>
      </c>
      <c r="D46" s="16" t="inlineStr">
        <is>
          <t>SR</t>
        </is>
      </c>
      <c r="E46" s="16" t="inlineStr">
        <is>
          <t>21:55:16</t>
        </is>
      </c>
      <c r="F46" s="16" t="inlineStr">
        <is>
          <t>21:55:16</t>
        </is>
      </c>
      <c r="G46" s="16" t="n">
        <v>0</v>
      </c>
      <c r="H46" s="16" t="n">
        <v>1</v>
      </c>
      <c r="I46" s="31" t="n">
        <v>1409.12</v>
      </c>
      <c r="J46" s="16" t="inlineStr">
        <is>
          <t>Vrindavan Road</t>
        </is>
      </c>
      <c r="K46" s="16" t="inlineStr">
        <is>
          <t>N</t>
        </is>
      </c>
      <c r="L46" s="16" t="inlineStr">
        <is>
          <t>Valid</t>
        </is>
      </c>
    </row>
    <row r="47">
      <c r="A47" s="16" t="inlineStr">
        <is>
          <t>30 Jun</t>
        </is>
      </c>
      <c r="B47" s="16" t="inlineStr">
        <is>
          <t>30608</t>
        </is>
      </c>
      <c r="C47" s="16" t="inlineStr">
        <is>
          <t>OS</t>
        </is>
      </c>
      <c r="D47" s="16" t="inlineStr">
        <is>
          <t>SR</t>
        </is>
      </c>
      <c r="E47" s="16" t="inlineStr">
        <is>
          <t>21:55:30</t>
        </is>
      </c>
      <c r="F47" s="16" t="inlineStr">
        <is>
          <t>21:55:34</t>
        </is>
      </c>
      <c r="G47" s="16" t="n">
        <v>4</v>
      </c>
      <c r="H47" s="16" t="n">
        <v>3</v>
      </c>
      <c r="I47" s="31" t="n">
        <v>1409.62</v>
      </c>
      <c r="J47" s="16" t="inlineStr">
        <is>
          <t>Vrindavan Road</t>
        </is>
      </c>
      <c r="K47" s="16" t="inlineStr">
        <is>
          <t>N</t>
        </is>
      </c>
      <c r="L47" s="16" t="inlineStr">
        <is>
          <t>Valid</t>
        </is>
      </c>
    </row>
    <row r="48">
      <c r="A48" s="16" t="inlineStr">
        <is>
          <t>30 Jun</t>
        </is>
      </c>
      <c r="B48" s="16" t="inlineStr">
        <is>
          <t>30608</t>
        </is>
      </c>
      <c r="C48" s="16" t="inlineStr">
        <is>
          <t>FS</t>
        </is>
      </c>
      <c r="D48" s="16" t="inlineStr">
        <is>
          <t>LS</t>
        </is>
      </c>
      <c r="E48" s="16" t="inlineStr">
        <is>
          <t>22:21:00</t>
        </is>
      </c>
      <c r="F48" s="16" t="inlineStr">
        <is>
          <t>22:21:14</t>
        </is>
      </c>
      <c r="G48" s="16" t="n">
        <v>14</v>
      </c>
      <c r="H48" s="16" t="n">
        <v>8</v>
      </c>
      <c r="I48" s="31" t="n">
        <v>1463.43</v>
      </c>
      <c r="J48" s="16" t="inlineStr">
        <is>
          <t>Sholaka</t>
        </is>
      </c>
      <c r="K48" s="16" t="inlineStr">
        <is>
          <t>N</t>
        </is>
      </c>
      <c r="L48" s="16" t="inlineStr">
        <is>
          <t>Valid</t>
        </is>
      </c>
    </row>
    <row r="49">
      <c r="A49" s="16" t="inlineStr">
        <is>
          <t>30 Jun</t>
        </is>
      </c>
      <c r="B49" s="16" t="inlineStr">
        <is>
          <t>30608</t>
        </is>
      </c>
      <c r="C49" s="16" t="inlineStr">
        <is>
          <t>OS</t>
        </is>
      </c>
      <c r="D49" s="16" t="inlineStr">
        <is>
          <t>SR</t>
        </is>
      </c>
      <c r="E49" s="16" t="inlineStr">
        <is>
          <t>22:21:26</t>
        </is>
      </c>
      <c r="F49" s="16" t="inlineStr">
        <is>
          <t>22:21:26</t>
        </is>
      </c>
      <c r="G49" s="16" t="n">
        <v>0</v>
      </c>
      <c r="H49" s="16" t="n">
        <v>1</v>
      </c>
      <c r="I49" s="31" t="n">
        <v>1464.37</v>
      </c>
      <c r="J49" s="16" t="inlineStr">
        <is>
          <t>LC560</t>
        </is>
      </c>
      <c r="K49" s="16" t="inlineStr">
        <is>
          <t>N</t>
        </is>
      </c>
      <c r="L49" s="16" t="inlineStr">
        <is>
          <t>Valid</t>
        </is>
      </c>
    </row>
    <row r="50">
      <c r="A50" s="16" t="inlineStr">
        <is>
          <t>30 Jun</t>
        </is>
      </c>
      <c r="B50" s="16" t="inlineStr">
        <is>
          <t>30608</t>
        </is>
      </c>
      <c r="C50" s="16" t="inlineStr">
        <is>
          <t>FS</t>
        </is>
      </c>
      <c r="D50" s="16" t="inlineStr">
        <is>
          <t>LS</t>
        </is>
      </c>
      <c r="E50" s="16" t="inlineStr">
        <is>
          <t>22:27:40</t>
        </is>
      </c>
      <c r="F50" s="16" t="inlineStr">
        <is>
          <t>22:27:54</t>
        </is>
      </c>
      <c r="G50" s="16" t="n">
        <v>14</v>
      </c>
      <c r="H50" s="16" t="n">
        <v>6</v>
      </c>
      <c r="I50" s="31" t="n">
        <v>1477.9</v>
      </c>
      <c r="J50" s="16" t="inlineStr">
        <is>
          <t>LC563</t>
        </is>
      </c>
      <c r="K50" s="16" t="inlineStr">
        <is>
          <t>N</t>
        </is>
      </c>
      <c r="L50" s="16" t="inlineStr">
        <is>
          <t>Valid</t>
        </is>
      </c>
    </row>
    <row r="51">
      <c r="A51" s="16" t="inlineStr">
        <is>
          <t>30 Jun</t>
        </is>
      </c>
      <c r="B51" s="16" t="inlineStr">
        <is>
          <t>37206</t>
        </is>
      </c>
      <c r="C51" s="16" t="inlineStr">
        <is>
          <t>FS</t>
        </is>
      </c>
      <c r="D51" s="16" t="inlineStr">
        <is>
          <t>SR</t>
        </is>
      </c>
      <c r="E51" s="16" t="inlineStr">
        <is>
          <t>22:36:12</t>
        </is>
      </c>
      <c r="F51" s="16" t="inlineStr">
        <is>
          <t>22:36:12</t>
        </is>
      </c>
      <c r="G51" s="16" t="n">
        <v>0</v>
      </c>
      <c r="H51" s="16" t="n">
        <v>1</v>
      </c>
      <c r="I51" s="31" t="n">
        <v>1401.89</v>
      </c>
      <c r="J51" s="16" t="inlineStr">
        <is>
          <t>Vrindavan Road</t>
        </is>
      </c>
      <c r="K51" s="16" t="inlineStr">
        <is>
          <t>R</t>
        </is>
      </c>
      <c r="L51" s="16" t="inlineStr">
        <is>
          <t>Valid</t>
        </is>
      </c>
    </row>
    <row r="52">
      <c r="A52" s="16" t="inlineStr">
        <is>
          <t>30 Jun</t>
        </is>
      </c>
      <c r="B52" s="16" t="inlineStr">
        <is>
          <t>37206</t>
        </is>
      </c>
      <c r="C52" s="16" t="inlineStr">
        <is>
          <t>FS</t>
        </is>
      </c>
      <c r="D52" s="16" t="inlineStr">
        <is>
          <t>SR</t>
        </is>
      </c>
      <c r="E52" s="16" t="inlineStr">
        <is>
          <t>22:36:14</t>
        </is>
      </c>
      <c r="F52" s="16" t="inlineStr">
        <is>
          <t>22:36:56</t>
        </is>
      </c>
      <c r="G52" s="16" t="n">
        <v>42</v>
      </c>
      <c r="H52" s="16" t="n">
        <v>32</v>
      </c>
      <c r="I52" s="31" t="n">
        <v>1401.87</v>
      </c>
      <c r="J52" s="16" t="inlineStr">
        <is>
          <t>Vrindavan Road</t>
        </is>
      </c>
      <c r="K52" s="16" t="inlineStr">
        <is>
          <t>R</t>
        </is>
      </c>
      <c r="L52" s="16" t="inlineStr">
        <is>
          <t>Valid</t>
        </is>
      </c>
    </row>
    <row r="53">
      <c r="A53" s="16" t="inlineStr">
        <is>
          <t>30 Jun</t>
        </is>
      </c>
      <c r="B53" s="16" t="inlineStr">
        <is>
          <t>30206</t>
        </is>
      </c>
      <c r="C53" s="16" t="inlineStr">
        <is>
          <t>FS</t>
        </is>
      </c>
      <c r="D53" s="16" t="inlineStr">
        <is>
          <t>SR</t>
        </is>
      </c>
      <c r="E53" s="16" t="inlineStr">
        <is>
          <t>23:23:22</t>
        </is>
      </c>
      <c r="F53" s="16" t="inlineStr">
        <is>
          <t>23:23:22</t>
        </is>
      </c>
      <c r="G53" s="16" t="n">
        <v>0</v>
      </c>
      <c r="H53" s="16" t="n">
        <v>1</v>
      </c>
      <c r="I53" s="31" t="n">
        <v>1401.89</v>
      </c>
      <c r="J53" s="16" t="inlineStr">
        <is>
          <t>Vrindavan Road</t>
        </is>
      </c>
      <c r="K53" s="16" t="inlineStr">
        <is>
          <t>R</t>
        </is>
      </c>
      <c r="L53" s="16" t="inlineStr">
        <is>
          <t>Valid</t>
        </is>
      </c>
    </row>
    <row r="54">
      <c r="A54" s="16" t="inlineStr">
        <is>
          <t>30 Jun</t>
        </is>
      </c>
      <c r="B54" s="16" t="inlineStr">
        <is>
          <t>37569</t>
        </is>
      </c>
      <c r="C54" s="16" t="inlineStr">
        <is>
          <t>FS</t>
        </is>
      </c>
      <c r="D54" s="16" t="inlineStr">
        <is>
          <t>SR</t>
        </is>
      </c>
      <c r="E54" s="16" t="inlineStr">
        <is>
          <t>23:39:12</t>
        </is>
      </c>
      <c r="F54" s="16" t="inlineStr">
        <is>
          <t>23:39:50</t>
        </is>
      </c>
      <c r="G54" s="16" t="n">
        <v>38</v>
      </c>
      <c r="H54" s="16" t="n">
        <v>30</v>
      </c>
      <c r="I54" s="31" t="n">
        <v>1401.88</v>
      </c>
      <c r="J54" s="16" t="inlineStr">
        <is>
          <t>Vrindavan Road</t>
        </is>
      </c>
      <c r="K54" s="16" t="inlineStr">
        <is>
          <t>R</t>
        </is>
      </c>
      <c r="L54" s="16" t="inlineStr">
        <is>
          <t>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</cols>
  <sheetData>
    <row r="1">
      <c r="A1" s="13" t="inlineStr">
        <is>
          <t>KM Verification  -  KM = (In-section Max Abs  -  In-section Min Abs) / 1000</t>
        </is>
      </c>
    </row>
    <row r="2">
      <c r="A2" s="36" t="inlineStr">
        <is>
          <t>Section window: abs 1401554 - 1479434  (36001 &lt;-&gt; 36014).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</row>
    <row r="5">
      <c r="A5" s="16" t="inlineStr">
        <is>
          <t>30 Jun</t>
        </is>
      </c>
      <c r="B5" s="16" t="inlineStr">
        <is>
          <t>30206</t>
        </is>
      </c>
      <c r="C5" s="16" t="n">
        <v>7206</v>
      </c>
      <c r="D5" s="16" t="n">
        <v>7170</v>
      </c>
      <c r="E5" s="16" t="n">
        <v>4647</v>
      </c>
      <c r="F5" s="37" t="n">
        <v>1167768</v>
      </c>
      <c r="G5" s="37" t="n">
        <v>1528845</v>
      </c>
      <c r="H5" s="37" t="n">
        <v>1401557</v>
      </c>
      <c r="I5" s="37" t="n">
        <v>1479434</v>
      </c>
      <c r="J5" s="19">
        <f>(I5-H5)/1000</f>
        <v/>
      </c>
      <c r="K5" s="16" t="inlineStr">
        <is>
          <t>Yes</t>
        </is>
      </c>
    </row>
    <row r="6">
      <c r="A6" s="16" t="inlineStr">
        <is>
          <t>30 Jun</t>
        </is>
      </c>
      <c r="B6" s="16" t="inlineStr">
        <is>
          <t>30537</t>
        </is>
      </c>
      <c r="C6" s="16" t="n">
        <v>2301</v>
      </c>
      <c r="D6" s="16" t="n">
        <v>2299</v>
      </c>
      <c r="E6" s="16" t="n">
        <v>2166</v>
      </c>
      <c r="F6" s="37" t="n">
        <v>1401351</v>
      </c>
      <c r="G6" s="37" t="n">
        <v>1499130</v>
      </c>
      <c r="H6" s="37" t="n">
        <v>1401560</v>
      </c>
      <c r="I6" s="37" t="n">
        <v>1479428</v>
      </c>
      <c r="J6" s="19">
        <f>(I6-H6)/1000</f>
        <v/>
      </c>
      <c r="K6" s="16" t="inlineStr">
        <is>
          <t>Yes</t>
        </is>
      </c>
    </row>
    <row r="7">
      <c r="A7" s="16" t="inlineStr">
        <is>
          <t>30 Jun</t>
        </is>
      </c>
      <c r="B7" s="16" t="inlineStr">
        <is>
          <t>30646</t>
        </is>
      </c>
      <c r="C7" s="16" t="n">
        <v>3405</v>
      </c>
      <c r="D7" s="16" t="n">
        <v>3405</v>
      </c>
      <c r="E7" s="16" t="n">
        <v>2703</v>
      </c>
      <c r="F7" s="37" t="n">
        <v>1359135</v>
      </c>
      <c r="G7" s="37" t="n">
        <v>1480849</v>
      </c>
      <c r="H7" s="37" t="n">
        <v>1401556</v>
      </c>
      <c r="I7" s="37" t="n">
        <v>1479423</v>
      </c>
      <c r="J7" s="19">
        <f>(I7-H7)/1000</f>
        <v/>
      </c>
      <c r="K7" s="16" t="inlineStr">
        <is>
          <t>Yes</t>
        </is>
      </c>
    </row>
    <row r="8">
      <c r="A8" s="16" t="inlineStr">
        <is>
          <t>30 Jun</t>
        </is>
      </c>
      <c r="B8" s="16" t="inlineStr">
        <is>
          <t>37163</t>
        </is>
      </c>
      <c r="C8" s="16" t="n">
        <v>8281</v>
      </c>
      <c r="D8" s="16" t="n">
        <v>8238</v>
      </c>
      <c r="E8" s="16" t="n">
        <v>6553</v>
      </c>
      <c r="F8" s="37" t="n">
        <v>1187869</v>
      </c>
      <c r="G8" s="37" t="n">
        <v>1518836</v>
      </c>
      <c r="H8" s="37" t="n">
        <v>1401562</v>
      </c>
      <c r="I8" s="37" t="n">
        <v>1479428</v>
      </c>
      <c r="J8" s="19">
        <f>(I8-H8)/1000</f>
        <v/>
      </c>
      <c r="K8" s="16" t="inlineStr">
        <is>
          <t>Yes</t>
        </is>
      </c>
    </row>
    <row r="9">
      <c r="A9" s="16" t="inlineStr">
        <is>
          <t>30 Jun</t>
        </is>
      </c>
      <c r="B9" s="16" t="inlineStr">
        <is>
          <t>37206</t>
        </is>
      </c>
      <c r="C9" s="16" t="n">
        <v>3197</v>
      </c>
      <c r="D9" s="16" t="n">
        <v>3197</v>
      </c>
      <c r="E9" s="16" t="n">
        <v>2678</v>
      </c>
      <c r="F9" s="37" t="n">
        <v>1401332</v>
      </c>
      <c r="G9" s="37" t="n">
        <v>1508578</v>
      </c>
      <c r="H9" s="37" t="n">
        <v>1401558</v>
      </c>
      <c r="I9" s="37" t="n">
        <v>1479430</v>
      </c>
      <c r="J9" s="19">
        <f>(I9-H9)/1000</f>
        <v/>
      </c>
      <c r="K9" s="16" t="inlineStr">
        <is>
          <t>Yes</t>
        </is>
      </c>
    </row>
    <row r="10">
      <c r="A10" s="16" t="inlineStr">
        <is>
          <t>30 Jun</t>
        </is>
      </c>
      <c r="B10" s="16" t="inlineStr">
        <is>
          <t>39031</t>
        </is>
      </c>
      <c r="C10" s="16" t="n">
        <v>2881</v>
      </c>
      <c r="D10" s="16" t="n">
        <v>2875</v>
      </c>
      <c r="E10" s="16" t="n">
        <v>2350</v>
      </c>
      <c r="F10" s="37" t="n">
        <v>1401400</v>
      </c>
      <c r="G10" s="37" t="n">
        <v>1519075</v>
      </c>
      <c r="H10" s="37" t="n">
        <v>1401561</v>
      </c>
      <c r="I10" s="37" t="n">
        <v>1479433</v>
      </c>
      <c r="J10" s="19">
        <f>(I10-H10)/1000</f>
        <v/>
      </c>
      <c r="K10" s="16" t="inlineStr">
        <is>
          <t>Yes</t>
        </is>
      </c>
    </row>
    <row r="11">
      <c r="A11" s="16" t="inlineStr">
        <is>
          <t>30 Jun</t>
        </is>
      </c>
      <c r="B11" s="16" t="inlineStr">
        <is>
          <t>30376</t>
        </is>
      </c>
      <c r="C11" s="16" t="n">
        <v>7513</v>
      </c>
      <c r="D11" s="16" t="n">
        <v>7499</v>
      </c>
      <c r="E11" s="16" t="n">
        <v>4865</v>
      </c>
      <c r="F11" s="37" t="n">
        <v>1203606</v>
      </c>
      <c r="G11" s="37" t="n">
        <v>1518217</v>
      </c>
      <c r="H11" s="37" t="n">
        <v>1401560</v>
      </c>
      <c r="I11" s="37" t="n">
        <v>1479422</v>
      </c>
      <c r="J11" s="19">
        <f>(I11-H11)/1000</f>
        <v/>
      </c>
      <c r="K11" s="16" t="inlineStr">
        <is>
          <t>Yes</t>
        </is>
      </c>
    </row>
    <row r="12">
      <c r="A12" s="16" t="inlineStr">
        <is>
          <t>30 Jun</t>
        </is>
      </c>
      <c r="B12" s="16" t="inlineStr">
        <is>
          <t>30716</t>
        </is>
      </c>
      <c r="C12" s="16" t="n">
        <v>7076</v>
      </c>
      <c r="D12" s="16" t="n">
        <v>7076</v>
      </c>
      <c r="E12" s="16" t="n">
        <v>6093</v>
      </c>
      <c r="F12" s="37" t="n">
        <v>1378647</v>
      </c>
      <c r="G12" s="37" t="n">
        <v>1518129</v>
      </c>
      <c r="H12" s="37" t="n">
        <v>1401563</v>
      </c>
      <c r="I12" s="37" t="n">
        <v>1479428</v>
      </c>
      <c r="J12" s="19">
        <f>(I12-H12)/1000</f>
        <v/>
      </c>
      <c r="K12" s="16" t="inlineStr">
        <is>
          <t>Yes</t>
        </is>
      </c>
    </row>
    <row r="13">
      <c r="A13" s="16" t="inlineStr">
        <is>
          <t>30 Jun</t>
        </is>
      </c>
      <c r="B13" s="16" t="inlineStr">
        <is>
          <t>30786</t>
        </is>
      </c>
      <c r="C13" s="16" t="n">
        <v>2448</v>
      </c>
      <c r="D13" s="16" t="n">
        <v>2447</v>
      </c>
      <c r="E13" s="16" t="n">
        <v>2247</v>
      </c>
      <c r="F13" s="37" t="n">
        <v>1401351</v>
      </c>
      <c r="G13" s="37" t="n">
        <v>1503548</v>
      </c>
      <c r="H13" s="37" t="n">
        <v>1401558</v>
      </c>
      <c r="I13" s="37" t="n">
        <v>1479422</v>
      </c>
      <c r="J13" s="19">
        <f>(I13-H13)/1000</f>
        <v/>
      </c>
      <c r="K13" s="16" t="inlineStr">
        <is>
          <t>Yes</t>
        </is>
      </c>
    </row>
    <row r="14">
      <c r="A14" s="16" t="inlineStr">
        <is>
          <t>30 Jun</t>
        </is>
      </c>
      <c r="B14" s="16" t="inlineStr">
        <is>
          <t>37219</t>
        </is>
      </c>
      <c r="C14" s="16" t="n">
        <v>6366</v>
      </c>
      <c r="D14" s="16" t="n">
        <v>6363</v>
      </c>
      <c r="E14" s="16" t="n">
        <v>4787</v>
      </c>
      <c r="F14" s="37" t="n">
        <v>1309796</v>
      </c>
      <c r="G14" s="37" t="n">
        <v>1524078</v>
      </c>
      <c r="H14" s="37" t="n">
        <v>1401559</v>
      </c>
      <c r="I14" s="37" t="n">
        <v>1479417</v>
      </c>
      <c r="J14" s="19">
        <f>(I14-H14)/1000</f>
        <v/>
      </c>
      <c r="K14" s="16" t="inlineStr">
        <is>
          <t>Yes</t>
        </is>
      </c>
    </row>
    <row r="15">
      <c r="A15" s="16" t="inlineStr">
        <is>
          <t>30 Jun</t>
        </is>
      </c>
      <c r="B15" s="16" t="inlineStr">
        <is>
          <t>37569</t>
        </is>
      </c>
      <c r="C15" s="16" t="n">
        <v>6035</v>
      </c>
      <c r="D15" s="16" t="n">
        <v>6033</v>
      </c>
      <c r="E15" s="16" t="n">
        <v>5161</v>
      </c>
      <c r="F15" s="37" t="n">
        <v>1194108</v>
      </c>
      <c r="G15" s="37" t="n">
        <v>1508117</v>
      </c>
      <c r="H15" s="37" t="n">
        <v>1401569</v>
      </c>
      <c r="I15" s="37" t="n">
        <v>1479434</v>
      </c>
      <c r="J15" s="19">
        <f>(I15-H15)/1000</f>
        <v/>
      </c>
      <c r="K15" s="16" t="inlineStr">
        <is>
          <t>Yes</t>
        </is>
      </c>
    </row>
    <row r="16">
      <c r="A16" s="16" t="inlineStr">
        <is>
          <t>30 Jun</t>
        </is>
      </c>
      <c r="B16" s="16" t="inlineStr">
        <is>
          <t>30002</t>
        </is>
      </c>
      <c r="C16" s="16" t="n">
        <v>3162</v>
      </c>
      <c r="D16" s="16" t="n">
        <v>3162</v>
      </c>
      <c r="E16" s="16" t="n">
        <v>2466</v>
      </c>
      <c r="F16" s="37" t="n">
        <v>1401340</v>
      </c>
      <c r="G16" s="37" t="n">
        <v>1517777</v>
      </c>
      <c r="H16" s="37" t="n">
        <v>1401556</v>
      </c>
      <c r="I16" s="37" t="n">
        <v>1479409</v>
      </c>
      <c r="J16" s="19">
        <f>(I16-H16)/1000</f>
        <v/>
      </c>
      <c r="K16" s="16" t="inlineStr">
        <is>
          <t>Yes</t>
        </is>
      </c>
    </row>
    <row r="17">
      <c r="A17" s="16" t="inlineStr">
        <is>
          <t>30 Jun</t>
        </is>
      </c>
      <c r="B17" s="16" t="inlineStr">
        <is>
          <t>37320</t>
        </is>
      </c>
      <c r="C17" s="16" t="n">
        <v>3200</v>
      </c>
      <c r="D17" s="16" t="n">
        <v>3200</v>
      </c>
      <c r="E17" s="16" t="n">
        <v>2402</v>
      </c>
      <c r="F17" s="37" t="n">
        <v>1363268</v>
      </c>
      <c r="G17" s="37" t="n">
        <v>1508611</v>
      </c>
      <c r="H17" s="37" t="n">
        <v>1401556</v>
      </c>
      <c r="I17" s="37" t="n">
        <v>1479407</v>
      </c>
      <c r="J17" s="19">
        <f>(I17-H17)/1000</f>
        <v/>
      </c>
      <c r="K17" s="16" t="inlineStr">
        <is>
          <t>Yes</t>
        </is>
      </c>
    </row>
    <row r="18">
      <c r="A18" s="16" t="inlineStr">
        <is>
          <t>30 Jun</t>
        </is>
      </c>
      <c r="B18" s="16" t="inlineStr">
        <is>
          <t>37465</t>
        </is>
      </c>
      <c r="C18" s="16" t="n">
        <v>6391</v>
      </c>
      <c r="D18" s="16" t="n">
        <v>6371</v>
      </c>
      <c r="E18" s="16" t="n">
        <v>4903</v>
      </c>
      <c r="F18" s="37" t="n">
        <v>1156972</v>
      </c>
      <c r="G18" s="37" t="n">
        <v>1519191</v>
      </c>
      <c r="H18" s="37" t="n">
        <v>1401566</v>
      </c>
      <c r="I18" s="37" t="n">
        <v>1479419</v>
      </c>
      <c r="J18" s="19">
        <f>(I18-H18)/1000</f>
        <v/>
      </c>
      <c r="K18" s="16" t="inlineStr">
        <is>
          <t>Yes</t>
        </is>
      </c>
    </row>
    <row r="19">
      <c r="A19" s="16" t="inlineStr">
        <is>
          <t>30 Jun</t>
        </is>
      </c>
      <c r="B19" s="16" t="inlineStr">
        <is>
          <t>37954</t>
        </is>
      </c>
      <c r="C19" s="16" t="n">
        <v>9711</v>
      </c>
      <c r="D19" s="16" t="n">
        <v>9710</v>
      </c>
      <c r="E19" s="16" t="n">
        <v>7597</v>
      </c>
      <c r="F19" s="37" t="n">
        <v>1273018</v>
      </c>
      <c r="G19" s="37" t="n">
        <v>1524695</v>
      </c>
      <c r="H19" s="37" t="n">
        <v>1401578</v>
      </c>
      <c r="I19" s="37" t="n">
        <v>1479425</v>
      </c>
      <c r="J19" s="19">
        <f>(I19-H19)/1000</f>
        <v/>
      </c>
      <c r="K19" s="16" t="inlineStr">
        <is>
          <t>Yes</t>
        </is>
      </c>
    </row>
    <row r="20">
      <c r="A20" s="16" t="inlineStr">
        <is>
          <t>30 Jun</t>
        </is>
      </c>
      <c r="B20" s="16" t="inlineStr">
        <is>
          <t>39247</t>
        </is>
      </c>
      <c r="C20" s="16" t="n">
        <v>2506</v>
      </c>
      <c r="D20" s="16" t="n">
        <v>2506</v>
      </c>
      <c r="E20" s="16" t="n">
        <v>2222</v>
      </c>
      <c r="F20" s="37" t="n">
        <v>1401317</v>
      </c>
      <c r="G20" s="37" t="n">
        <v>1518047</v>
      </c>
      <c r="H20" s="37" t="n">
        <v>1401563</v>
      </c>
      <c r="I20" s="37" t="n">
        <v>1479410</v>
      </c>
      <c r="J20" s="19">
        <f>(I20-H20)/1000</f>
        <v/>
      </c>
      <c r="K20" s="16" t="inlineStr">
        <is>
          <t>Yes</t>
        </is>
      </c>
    </row>
    <row r="21">
      <c r="A21" s="16" t="inlineStr">
        <is>
          <t>30 Jun</t>
        </is>
      </c>
      <c r="B21" s="16" t="inlineStr">
        <is>
          <t>39252</t>
        </is>
      </c>
      <c r="C21" s="16" t="n">
        <v>6107</v>
      </c>
      <c r="D21" s="16" t="n">
        <v>6095</v>
      </c>
      <c r="E21" s="16" t="n">
        <v>4689</v>
      </c>
      <c r="F21" s="37" t="n">
        <v>1170922</v>
      </c>
      <c r="G21" s="37" t="n">
        <v>1508591</v>
      </c>
      <c r="H21" s="37" t="n">
        <v>1401563</v>
      </c>
      <c r="I21" s="37" t="n">
        <v>1479413</v>
      </c>
      <c r="J21" s="19">
        <f>(I21-H21)/1000</f>
        <v/>
      </c>
      <c r="K21" s="16" t="inlineStr">
        <is>
          <t>Yes</t>
        </is>
      </c>
    </row>
    <row r="22">
      <c r="A22" s="16" t="inlineStr">
        <is>
          <t>30 Jun</t>
        </is>
      </c>
      <c r="B22" s="16" t="inlineStr">
        <is>
          <t>30395</t>
        </is>
      </c>
      <c r="C22" s="16" t="n">
        <v>3183</v>
      </c>
      <c r="D22" s="16" t="n">
        <v>3173</v>
      </c>
      <c r="E22" s="16" t="n">
        <v>2616</v>
      </c>
      <c r="F22" s="37" t="n">
        <v>1193757</v>
      </c>
      <c r="G22" s="37" t="n">
        <v>1499007</v>
      </c>
      <c r="H22" s="37" t="n">
        <v>1401556</v>
      </c>
      <c r="I22" s="37" t="n">
        <v>1479392</v>
      </c>
      <c r="J22" s="19">
        <f>(I22-H22)/1000</f>
        <v/>
      </c>
      <c r="K22" s="16" t="inlineStr">
        <is>
          <t>Yes</t>
        </is>
      </c>
    </row>
    <row r="23">
      <c r="A23" s="16" t="inlineStr">
        <is>
          <t>30 Jun</t>
        </is>
      </c>
      <c r="B23" s="16" t="inlineStr">
        <is>
          <t>30624</t>
        </is>
      </c>
      <c r="C23" s="16" t="n">
        <v>3342</v>
      </c>
      <c r="D23" s="16" t="n">
        <v>3342</v>
      </c>
      <c r="E23" s="16" t="n">
        <v>2343</v>
      </c>
      <c r="F23" s="37" t="n">
        <v>1377901</v>
      </c>
      <c r="G23" s="37" t="n">
        <v>1498730</v>
      </c>
      <c r="H23" s="37" t="n">
        <v>1401566</v>
      </c>
      <c r="I23" s="37" t="n">
        <v>1479408</v>
      </c>
      <c r="J23" s="19">
        <f>(I23-H23)/1000</f>
        <v/>
      </c>
      <c r="K23" s="16" t="inlineStr">
        <is>
          <t>Yes</t>
        </is>
      </c>
    </row>
    <row r="24">
      <c r="A24" s="16" t="inlineStr">
        <is>
          <t>30 Jun</t>
        </is>
      </c>
      <c r="B24" s="16" t="inlineStr">
        <is>
          <t>30516</t>
        </is>
      </c>
      <c r="C24" s="16" t="n">
        <v>3060</v>
      </c>
      <c r="D24" s="16" t="n">
        <v>3046</v>
      </c>
      <c r="E24" s="16" t="n">
        <v>2516</v>
      </c>
      <c r="F24" s="37" t="n">
        <v>1199964</v>
      </c>
      <c r="G24" s="37" t="n">
        <v>1519166</v>
      </c>
      <c r="H24" s="37" t="n">
        <v>1401567</v>
      </c>
      <c r="I24" s="37" t="n">
        <v>1479401</v>
      </c>
      <c r="J24" s="19">
        <f>(I24-H24)/1000</f>
        <v/>
      </c>
      <c r="K24" s="16" t="inlineStr">
        <is>
          <t>Yes</t>
        </is>
      </c>
    </row>
    <row r="25">
      <c r="A25" s="16" t="inlineStr">
        <is>
          <t>30 Jun</t>
        </is>
      </c>
      <c r="B25" s="16" t="inlineStr">
        <is>
          <t>30478</t>
        </is>
      </c>
      <c r="C25" s="16" t="n">
        <v>3282</v>
      </c>
      <c r="D25" s="16" t="n">
        <v>3279</v>
      </c>
      <c r="E25" s="16" t="n">
        <v>3036</v>
      </c>
      <c r="F25" s="37" t="n">
        <v>1401693</v>
      </c>
      <c r="G25" s="37" t="n">
        <v>1499225</v>
      </c>
      <c r="H25" s="37" t="n">
        <v>1401693</v>
      </c>
      <c r="I25" s="37" t="n">
        <v>1479419</v>
      </c>
      <c r="J25" s="19">
        <f>(I25-H25)/1000</f>
        <v/>
      </c>
      <c r="K25" s="16" t="inlineStr">
        <is>
          <t>Yes</t>
        </is>
      </c>
    </row>
    <row r="26">
      <c r="A26" s="16" t="inlineStr">
        <is>
          <t>30 Jun</t>
        </is>
      </c>
      <c r="B26" s="16" t="inlineStr">
        <is>
          <t>37346</t>
        </is>
      </c>
      <c r="C26" s="16" t="n">
        <v>3870</v>
      </c>
      <c r="D26" s="16" t="n">
        <v>3870</v>
      </c>
      <c r="E26" s="16" t="n">
        <v>3206</v>
      </c>
      <c r="F26" s="37" t="n">
        <v>1401698</v>
      </c>
      <c r="G26" s="37" t="n">
        <v>1516186</v>
      </c>
      <c r="H26" s="37" t="n">
        <v>1401698</v>
      </c>
      <c r="I26" s="37" t="n">
        <v>1479426</v>
      </c>
      <c r="J26" s="19">
        <f>(I26-H26)/1000</f>
        <v/>
      </c>
      <c r="K26" s="16" t="inlineStr">
        <is>
          <t>Yes</t>
        </is>
      </c>
    </row>
    <row r="27">
      <c r="A27" s="16" t="inlineStr">
        <is>
          <t>30 Jun</t>
        </is>
      </c>
      <c r="B27" s="16" t="inlineStr">
        <is>
          <t>37515</t>
        </is>
      </c>
      <c r="C27" s="16" t="n">
        <v>5159</v>
      </c>
      <c r="D27" s="16" t="n">
        <v>5147</v>
      </c>
      <c r="E27" s="16" t="n">
        <v>2442</v>
      </c>
      <c r="F27" s="37" t="n">
        <v>1185075</v>
      </c>
      <c r="G27" s="37" t="n">
        <v>1518619</v>
      </c>
      <c r="H27" s="37" t="n">
        <v>1401705</v>
      </c>
      <c r="I27" s="37" t="n">
        <v>1479432</v>
      </c>
      <c r="J27" s="19">
        <f>(I27-H27)/1000</f>
        <v/>
      </c>
      <c r="K27" s="16" t="inlineStr">
        <is>
          <t>Yes</t>
        </is>
      </c>
    </row>
    <row r="28">
      <c r="A28" s="16" t="inlineStr">
        <is>
          <t>30 Jun</t>
        </is>
      </c>
      <c r="B28" s="16" t="inlineStr">
        <is>
          <t>30426</t>
        </is>
      </c>
      <c r="C28" s="16" t="n">
        <v>2671</v>
      </c>
      <c r="D28" s="16" t="n">
        <v>2671</v>
      </c>
      <c r="E28" s="16" t="n">
        <v>2314</v>
      </c>
      <c r="F28" s="37" t="n">
        <v>1401735</v>
      </c>
      <c r="G28" s="37" t="n">
        <v>1517857</v>
      </c>
      <c r="H28" s="37" t="n">
        <v>1401735</v>
      </c>
      <c r="I28" s="37" t="n">
        <v>1479428</v>
      </c>
      <c r="J28" s="19">
        <f>(I28-H28)/1000</f>
        <v/>
      </c>
      <c r="K28" s="16" t="inlineStr">
        <is>
          <t>Yes</t>
        </is>
      </c>
    </row>
    <row r="29">
      <c r="A29" s="16" t="inlineStr">
        <is>
          <t>30 Jun</t>
        </is>
      </c>
      <c r="B29" s="16" t="inlineStr">
        <is>
          <t>39053</t>
        </is>
      </c>
      <c r="C29" s="16" t="n">
        <v>3128</v>
      </c>
      <c r="D29" s="16" t="n">
        <v>3125</v>
      </c>
      <c r="E29" s="16" t="n">
        <v>2548</v>
      </c>
      <c r="F29" s="37" t="n">
        <v>1209428</v>
      </c>
      <c r="G29" s="37" t="n">
        <v>1500774</v>
      </c>
      <c r="H29" s="37" t="n">
        <v>1401680</v>
      </c>
      <c r="I29" s="37" t="n">
        <v>1479358</v>
      </c>
      <c r="J29" s="19">
        <f>(I29-H29)/1000</f>
        <v/>
      </c>
      <c r="K29" s="16" t="inlineStr">
        <is>
          <t>Yes</t>
        </is>
      </c>
    </row>
    <row r="30">
      <c r="A30" s="16" t="inlineStr">
        <is>
          <t>30 Jun</t>
        </is>
      </c>
      <c r="B30" s="16" t="inlineStr">
        <is>
          <t>39336</t>
        </is>
      </c>
      <c r="C30" s="16" t="n">
        <v>3434</v>
      </c>
      <c r="D30" s="16" t="n">
        <v>3433</v>
      </c>
      <c r="E30" s="16" t="n">
        <v>2342</v>
      </c>
      <c r="F30" s="37" t="n">
        <v>1193233</v>
      </c>
      <c r="G30" s="37" t="n">
        <v>1518870</v>
      </c>
      <c r="H30" s="37" t="n">
        <v>1401728</v>
      </c>
      <c r="I30" s="37" t="n">
        <v>1479402</v>
      </c>
      <c r="J30" s="19">
        <f>(I30-H30)/1000</f>
        <v/>
      </c>
      <c r="K30" s="16" t="inlineStr">
        <is>
          <t>Yes</t>
        </is>
      </c>
    </row>
    <row r="31">
      <c r="A31" s="16" t="inlineStr">
        <is>
          <t>30 Jun</t>
        </is>
      </c>
      <c r="B31" s="16" t="inlineStr">
        <is>
          <t>30608</t>
        </is>
      </c>
      <c r="C31" s="16" t="n">
        <v>1954</v>
      </c>
      <c r="D31" s="16" t="n">
        <v>1924</v>
      </c>
      <c r="E31" s="16" t="n">
        <v>1649</v>
      </c>
      <c r="F31" s="37" t="n">
        <v>1196582</v>
      </c>
      <c r="G31" s="37" t="n">
        <v>1500578</v>
      </c>
      <c r="H31" s="37" t="n">
        <v>1402483</v>
      </c>
      <c r="I31" s="37" t="n">
        <v>1479409</v>
      </c>
      <c r="J31" s="19">
        <f>(I31-H31)/1000</f>
        <v/>
      </c>
      <c r="K31" s="16" t="inlineStr">
        <is>
          <t>Yes</t>
        </is>
      </c>
    </row>
    <row r="32">
      <c r="A32" s="16" t="inlineStr">
        <is>
          <t>30 Jun</t>
        </is>
      </c>
      <c r="B32" s="16" t="inlineStr">
        <is>
          <t>37880</t>
        </is>
      </c>
      <c r="C32" s="16" t="n">
        <v>1575</v>
      </c>
      <c r="D32" s="16" t="n">
        <v>1575</v>
      </c>
      <c r="E32" s="16" t="n">
        <v>1382</v>
      </c>
      <c r="F32" s="37" t="n">
        <v>1402797</v>
      </c>
      <c r="G32" s="37" t="n">
        <v>1509159</v>
      </c>
      <c r="H32" s="37" t="n">
        <v>1402797</v>
      </c>
      <c r="I32" s="37" t="n">
        <v>1479368</v>
      </c>
      <c r="J32" s="19">
        <f>(I32-H32)/1000</f>
        <v/>
      </c>
      <c r="K32" s="16" t="inlineStr">
        <is>
          <t>Yes</t>
        </is>
      </c>
    </row>
    <row r="33">
      <c r="A33" s="16" t="inlineStr">
        <is>
          <t>30 Jun</t>
        </is>
      </c>
      <c r="B33" s="16" t="inlineStr">
        <is>
          <t>30813</t>
        </is>
      </c>
      <c r="C33" s="16" t="n">
        <v>1707</v>
      </c>
      <c r="D33" s="16" t="n">
        <v>1707</v>
      </c>
      <c r="E33" s="16" t="n">
        <v>137</v>
      </c>
      <c r="F33" s="37" t="n">
        <v>1238055</v>
      </c>
      <c r="G33" s="37" t="n">
        <v>1532084</v>
      </c>
      <c r="H33" s="37" t="n">
        <v>1401729</v>
      </c>
      <c r="I33" s="37" t="n">
        <v>1425792</v>
      </c>
      <c r="J33" s="19">
        <f>(I33-H33)/1000</f>
        <v/>
      </c>
      <c r="K33" s="16" t="inlineStr">
        <is>
          <t>Yes</t>
        </is>
      </c>
    </row>
    <row r="34">
      <c r="A34" s="16" t="inlineStr">
        <is>
          <t>30 Jun</t>
        </is>
      </c>
      <c r="B34" s="16" t="inlineStr">
        <is>
          <t>37499</t>
        </is>
      </c>
      <c r="C34" s="16" t="n">
        <v>2451</v>
      </c>
      <c r="D34" s="16" t="n">
        <v>2449</v>
      </c>
      <c r="E34" s="16" t="n">
        <v>125</v>
      </c>
      <c r="F34" s="37" t="n">
        <v>1235213</v>
      </c>
      <c r="G34" s="37" t="n">
        <v>1424375</v>
      </c>
      <c r="H34" s="37" t="n">
        <v>1401578</v>
      </c>
      <c r="I34" s="37" t="n">
        <v>1424375</v>
      </c>
      <c r="J34" s="19">
        <f>(I34-H34)/1000</f>
        <v/>
      </c>
      <c r="K34" s="16" t="inlineStr">
        <is>
          <t>Yes</t>
        </is>
      </c>
    </row>
    <row r="35">
      <c r="A35" s="16" t="inlineStr">
        <is>
          <t>30 Jun</t>
        </is>
      </c>
      <c r="B35" s="16" t="inlineStr">
        <is>
          <t>37332</t>
        </is>
      </c>
      <c r="C35" s="16" t="n">
        <v>182</v>
      </c>
      <c r="D35" s="16" t="n">
        <v>182</v>
      </c>
      <c r="E35" s="16" t="n">
        <v>2</v>
      </c>
      <c r="F35" s="37" t="n">
        <v>1345444</v>
      </c>
      <c r="G35" s="37" t="n">
        <v>1420514</v>
      </c>
      <c r="H35" s="37" t="n">
        <v>1402680</v>
      </c>
      <c r="I35" s="37" t="n">
        <v>1420514</v>
      </c>
      <c r="J35" s="19">
        <f>(I35-H35)/1000</f>
        <v/>
      </c>
      <c r="K35" s="16" t="inlineStr">
        <is>
          <t>Yes</t>
        </is>
      </c>
    </row>
    <row r="36">
      <c r="A36" s="16" t="inlineStr">
        <is>
          <t>30 Jun</t>
        </is>
      </c>
      <c r="B36" s="16" t="inlineStr">
        <is>
          <t>30197</t>
        </is>
      </c>
      <c r="C36" s="16" t="n">
        <v>547</v>
      </c>
      <c r="D36" s="16" t="n">
        <v>544</v>
      </c>
      <c r="E36" s="16" t="n">
        <v>544</v>
      </c>
      <c r="F36" s="37" t="n">
        <v>1409467</v>
      </c>
      <c r="G36" s="37" t="n">
        <v>1422312</v>
      </c>
      <c r="H36" s="37" t="n">
        <v>1409467</v>
      </c>
      <c r="I36" s="37" t="n">
        <v>1422312</v>
      </c>
      <c r="J36" s="19">
        <f>(I36-H36)/1000</f>
        <v/>
      </c>
      <c r="K36" s="16" t="inlineStr">
        <is>
          <t>Yes</t>
        </is>
      </c>
    </row>
    <row r="37">
      <c r="A37" s="16" t="inlineStr">
        <is>
          <t>30 Jun</t>
        </is>
      </c>
      <c r="B37" s="16" t="inlineStr">
        <is>
          <t>37856</t>
        </is>
      </c>
      <c r="C37" s="16" t="n">
        <v>1309</v>
      </c>
      <c r="D37" s="16" t="n">
        <v>1280</v>
      </c>
      <c r="E37" s="16" t="n">
        <v>712</v>
      </c>
      <c r="F37" s="37" t="n">
        <v>1358658</v>
      </c>
      <c r="G37" s="37" t="n">
        <v>1413455</v>
      </c>
      <c r="H37" s="37" t="n">
        <v>1401556</v>
      </c>
      <c r="I37" s="37" t="n">
        <v>1413455</v>
      </c>
      <c r="J37" s="19">
        <f>(I37-H37)/1000</f>
        <v/>
      </c>
      <c r="K37" s="16" t="inlineStr">
        <is>
          <t>Yes</t>
        </is>
      </c>
    </row>
    <row r="38">
      <c r="A38" s="16" t="inlineStr">
        <is>
          <t>30 Jun</t>
        </is>
      </c>
      <c r="B38" s="16" t="inlineStr">
        <is>
          <t>22652</t>
        </is>
      </c>
      <c r="C38" s="16" t="n">
        <v>1727</v>
      </c>
      <c r="D38" s="16" t="n">
        <v>404</v>
      </c>
      <c r="E38" s="16" t="n">
        <v>396</v>
      </c>
      <c r="F38" s="37" t="n">
        <v>1470106</v>
      </c>
      <c r="G38" s="37" t="n">
        <v>1498809</v>
      </c>
      <c r="H38" s="37" t="n">
        <v>1470106</v>
      </c>
      <c r="I38" s="37" t="n">
        <v>1479189</v>
      </c>
      <c r="J38" s="19">
        <f>(I38-H38)/1000</f>
        <v/>
      </c>
      <c r="K38" s="16" t="inlineStr">
        <is>
          <t>Yes</t>
        </is>
      </c>
    </row>
    <row r="39">
      <c r="A39" s="34" t="inlineStr">
        <is>
          <t>30 Jun</t>
        </is>
      </c>
      <c r="B39" s="34" t="inlineStr">
        <is>
          <t>30429</t>
        </is>
      </c>
      <c r="C39" s="34" t="n">
        <v>686</v>
      </c>
      <c r="D39" s="34" t="n">
        <v>686</v>
      </c>
      <c r="E39" s="34" t="n">
        <v>0</v>
      </c>
      <c r="F39" s="38" t="n">
        <v>1176868</v>
      </c>
      <c r="G39" s="38" t="n">
        <v>1235388</v>
      </c>
      <c r="H39" s="38" t="inlineStr">
        <is>
          <t>-</t>
        </is>
      </c>
      <c r="I39" s="38" t="inlineStr">
        <is>
          <t>-</t>
        </is>
      </c>
      <c r="J39" s="39" t="n">
        <v>0</v>
      </c>
      <c r="K39" s="34" t="inlineStr">
        <is>
          <t>No</t>
        </is>
      </c>
    </row>
    <row r="40">
      <c r="A40" s="34" t="inlineStr">
        <is>
          <t>30 Jun</t>
        </is>
      </c>
      <c r="B40" s="34" t="inlineStr">
        <is>
          <t>31380</t>
        </is>
      </c>
      <c r="C40" s="34" t="n">
        <v>3</v>
      </c>
      <c r="D40" s="34" t="n">
        <v>3</v>
      </c>
      <c r="E40" s="34" t="n">
        <v>0</v>
      </c>
      <c r="F40" s="38" t="n">
        <v>1394666</v>
      </c>
      <c r="G40" s="38" t="n">
        <v>1395875</v>
      </c>
      <c r="H40" s="38" t="inlineStr">
        <is>
          <t>-</t>
        </is>
      </c>
      <c r="I40" s="38" t="inlineStr">
        <is>
          <t>-</t>
        </is>
      </c>
      <c r="J40" s="39" t="n">
        <v>0</v>
      </c>
      <c r="K40" s="34" t="inlineStr">
        <is>
          <t>No</t>
        </is>
      </c>
    </row>
    <row r="41">
      <c r="A41" s="34" t="inlineStr">
        <is>
          <t>30 Jun</t>
        </is>
      </c>
      <c r="B41" s="34" t="inlineStr">
        <is>
          <t>39236</t>
        </is>
      </c>
      <c r="C41" s="34" t="n">
        <v>163</v>
      </c>
      <c r="D41" s="34" t="n">
        <v>163</v>
      </c>
      <c r="E41" s="34" t="n">
        <v>0</v>
      </c>
      <c r="F41" s="38" t="n">
        <v>1191769</v>
      </c>
      <c r="G41" s="38" t="n">
        <v>1210433</v>
      </c>
      <c r="H41" s="38" t="inlineStr">
        <is>
          <t>-</t>
        </is>
      </c>
      <c r="I41" s="38" t="inlineStr">
        <is>
          <t>-</t>
        </is>
      </c>
      <c r="J41" s="39" t="n">
        <v>0</v>
      </c>
      <c r="K41" s="34" t="inlineStr">
        <is>
          <t>No</t>
        </is>
      </c>
    </row>
    <row r="42">
      <c r="A42" s="16" t="inlineStr">
        <is>
          <t>30 Jun</t>
        </is>
      </c>
      <c r="B42" s="16" t="inlineStr">
        <is>
          <t>39258</t>
        </is>
      </c>
      <c r="C42" s="16" t="n">
        <v>1513</v>
      </c>
      <c r="D42" s="16" t="n">
        <v>1450</v>
      </c>
      <c r="E42" s="16" t="n">
        <v>0</v>
      </c>
      <c r="F42" s="37" t="n">
        <v>1148859</v>
      </c>
      <c r="G42" s="37" t="n">
        <v>1241032</v>
      </c>
      <c r="H42" s="37" t="inlineStr">
        <is>
          <t>-</t>
        </is>
      </c>
      <c r="I42" s="37" t="inlineStr">
        <is>
          <t>-</t>
        </is>
      </c>
      <c r="J42" s="19" t="n">
        <v>0</v>
      </c>
      <c r="K42" s="16" t="inlineStr">
        <is>
          <t>Yes</t>
        </is>
      </c>
    </row>
    <row r="43">
      <c r="A43" s="34" t="inlineStr">
        <is>
          <t>30 Jun</t>
        </is>
      </c>
      <c r="B43" s="34" t="inlineStr">
        <is>
          <t>39411</t>
        </is>
      </c>
      <c r="C43" s="34" t="n">
        <v>26</v>
      </c>
      <c r="D43" s="34" t="n">
        <v>0</v>
      </c>
      <c r="E43" s="34" t="n">
        <v>0</v>
      </c>
      <c r="F43" s="38" t="inlineStr">
        <is>
          <t>-</t>
        </is>
      </c>
      <c r="G43" s="38" t="inlineStr">
        <is>
          <t>-</t>
        </is>
      </c>
      <c r="H43" s="38" t="inlineStr">
        <is>
          <t>-</t>
        </is>
      </c>
      <c r="I43" s="38" t="inlineStr">
        <is>
          <t>-</t>
        </is>
      </c>
      <c r="J43" s="39" t="n">
        <v>0</v>
      </c>
      <c r="K43" s="34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0" t="inlineStr">
        <is>
          <t>Methodology</t>
        </is>
      </c>
    </row>
    <row r="3" ht="34" customHeight="1">
      <c r="B3" s="41" t="inlineStr">
        <is>
          <t>Excluded</t>
        </is>
      </c>
      <c r="C3" s="42" t="inlineStr">
        <is>
          <t>Loco-days with 0 km in the section (abs never inside 36001-36014, i.e. no section travel) are dropped from the report, unless they completed a trip.</t>
        </is>
      </c>
    </row>
    <row r="4" ht="34" customHeight="1">
      <c r="B4" s="41" t="inlineStr">
        <is>
          <t>No of Trips</t>
        </is>
      </c>
      <c r="C4" s="42" t="inlineStr">
        <is>
          <t>A loco completing the section end-to-end (station 1→14 or 14→1). Reversal = new trip (out-and-back = 2). All loco types included.</t>
        </is>
      </c>
    </row>
    <row r="5" ht="49" customHeight="1">
      <c r="B5" s="41" t="inlineStr">
        <is>
          <t>Total KMs Run on Kavach</t>
        </is>
      </c>
      <c r="C5" s="42" t="inlineStr">
        <is>
          <t>Section coverage per loco = how far it travelled across the 36001-36014 section = (max - min) of its abs within the section limits (1401554-1479434). Capped at the section length (~78 km); 0 if the loco never reported inside the section.</t>
        </is>
      </c>
    </row>
    <row r="6">
      <c r="B6" s="41" t="inlineStr">
        <is>
          <t>Availability (FS+OS)</t>
        </is>
      </c>
      <c r="C6" s="42" t="inlineStr">
        <is>
          <t>Packets in FS or OnSight ÷ all packets (all modes) × 100.</t>
        </is>
      </c>
    </row>
    <row r="7" ht="34" customHeight="1">
      <c r="B7" s="41" t="inlineStr">
        <is>
          <t>Total EB</t>
        </is>
      </c>
      <c r="C7" s="42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1" t="inlineStr">
        <is>
          <t>Mode Degradation</t>
        </is>
      </c>
      <c r="C8" s="42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34" customHeight="1">
      <c r="B9" s="41" t="inlineStr">
        <is>
          <t>EB diagnostics</t>
        </is>
      </c>
      <c r="C9" s="42" t="inlineStr">
        <is>
          <t>Speed at EB + flag if ≥6 km/h jump vs previous packet (possible PG issue); MA from SReg 'MA wrt Sig' + flag drop &gt;500; Emergency from LReg.</t>
        </is>
      </c>
    </row>
    <row r="10" ht="34" customHeight="1">
      <c r="B10" s="41" t="inlineStr">
        <is>
          <t>Ratios</t>
        </is>
      </c>
      <c r="C10" s="42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2026-07-01T02:02:19Z</dcterms:created>
  <dcterms:modified xmlns:dcterms="http://purl.org/dc/terms/" xmlns:xsi="http://www.w3.org/2001/XMLSchema-instance" xsi:type="dcterms:W3CDTF">2026-07-01T05:28:39Z</dcterms:modified>
</cp:coreProperties>
</file>
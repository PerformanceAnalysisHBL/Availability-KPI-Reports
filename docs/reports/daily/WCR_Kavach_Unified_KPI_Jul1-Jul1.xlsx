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Mode Degradation" sheetId="4" state="visible" r:id="rId4"/>
    <sheet name="KM Verification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00"/>
    <numFmt numFmtId="167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808080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4" fontId="9" fillId="5" borderId="1" applyAlignment="1" pivotButton="0" quotePrefix="0" xfId="0">
      <alignment horizontal="center" vertical="center" wrapText="1"/>
    </xf>
    <xf numFmtId="2" fontId="9" fillId="5" borderId="1" applyAlignment="1" pivotButton="0" quotePrefix="0" xfId="0">
      <alignment horizontal="center" vertical="center" wrapText="1"/>
    </xf>
    <xf numFmtId="3" fontId="9" fillId="7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2" fontId="11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4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9" customWidth="1" min="11" max="11"/>
    <col width="23" customWidth="1" min="12" max="12"/>
    <col width="29" customWidth="1" min="13" max="13"/>
    <col width="16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WCR — Kavach Unified KPI</t>
        </is>
      </c>
    </row>
    <row r="2">
      <c r="A2" s="2" t="inlineStr">
        <is>
          <t>Period: 01 Jul 2026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01 Jul 2026</t>
        </is>
      </c>
      <c r="B5" s="4" t="inlineStr">
        <is>
          <t>WCR</t>
        </is>
      </c>
      <c r="C5" s="4" t="inlineStr">
        <is>
          <t>33001_IBH-265 to 33132_IBH_1</t>
        </is>
      </c>
      <c r="D5" s="5">
        <f>'Daily Breakdown'!C34</f>
        <v/>
      </c>
      <c r="E5" s="6">
        <f>'Daily Breakdown'!D34</f>
        <v/>
      </c>
      <c r="F5" s="7">
        <f>'Daily Breakdown'!G34</f>
        <v/>
      </c>
      <c r="G5" s="5">
        <f>'Daily Breakdown'!H34</f>
        <v/>
      </c>
      <c r="H5" s="8">
        <f>'Daily Breakdown'!I34</f>
        <v/>
      </c>
      <c r="I5" s="8">
        <f>'Daily Breakdown'!J34</f>
        <v/>
      </c>
      <c r="J5" s="9">
        <f>IFERROR(G5/D5,0)</f>
        <v/>
      </c>
      <c r="K5" s="10">
        <f>IFERROR(G5/E5,0)</f>
        <v/>
      </c>
      <c r="L5" s="11">
        <f>IFERROR(G5/E5*100,0)</f>
        <v/>
      </c>
      <c r="M5" s="10">
        <f>IFERROR(G5/(D5*E5/1000),0)</f>
        <v/>
      </c>
      <c r="N5" s="5">
        <f>'Daily Breakdown'!K34</f>
        <v/>
      </c>
      <c r="O5" s="9">
        <f>IFERROR(N5/D5,0)</f>
        <v/>
      </c>
      <c r="P5" s="10">
        <f>IFERROR(N5/E5,0)</f>
        <v/>
      </c>
      <c r="Q5" s="10">
        <f>IFERROR(N5/(D5*E5/100),0)</f>
        <v/>
      </c>
      <c r="R5" s="11">
        <f>IFERROR(N5/E5*100,0)</f>
        <v/>
      </c>
      <c r="S5" s="8" t="n">
        <v>11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14" customWidth="1" min="4" max="4"/>
    <col width="14" customWidth="1" min="5" max="5"/>
    <col width="28" customWidth="1" min="6" max="6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Daily Breakdown — by day and locomotive (all locos)</t>
        </is>
      </c>
    </row>
    <row r="2">
      <c r="A2" s="14" t="inlineStr">
        <is>
          <t>Availability base excludes locos with FS+OS pkts = 0 (they are still listed; only the Total-pkts availability base drops them).</t>
        </is>
      </c>
    </row>
    <row r="3" ht="34" customHeight="1">
      <c r="A3" s="15" t="inlineStr">
        <is>
          <t>Date</t>
        </is>
      </c>
      <c r="B3" s="15" t="inlineStr">
        <is>
          <t>Loco ID</t>
        </is>
      </c>
      <c r="C3" s="15" t="inlineStr">
        <is>
          <t>No of Trips</t>
        </is>
      </c>
      <c r="D3" s="15" t="inlineStr">
        <is>
          <t>Total KMs</t>
        </is>
      </c>
      <c r="E3" s="15" t="inlineStr">
        <is>
          <t>FS+OS pkts</t>
        </is>
      </c>
      <c r="F3" s="15" t="inlineStr">
        <is>
          <t>Total pkts</t>
        </is>
      </c>
      <c r="G3" s="15" t="inlineStr">
        <is>
          <t>Availability (FS+OS)</t>
        </is>
      </c>
      <c r="H3" s="15" t="inlineStr">
        <is>
          <t>Total EB</t>
        </is>
      </c>
      <c r="I3" s="15" t="inlineStr">
        <is>
          <t>EB (Valid)</t>
        </is>
      </c>
      <c r="J3" s="15" t="inlineStr">
        <is>
          <t>EB (Non-Valid)</t>
        </is>
      </c>
      <c r="K3" s="15" t="inlineStr">
        <is>
          <t>Mode Degradation</t>
        </is>
      </c>
    </row>
    <row r="4">
      <c r="A4" s="16" t="inlineStr">
        <is>
          <t>1 Jul</t>
        </is>
      </c>
      <c r="B4" s="16" t="inlineStr">
        <is>
          <t>30480</t>
        </is>
      </c>
      <c r="C4" s="17" t="n">
        <v>1</v>
      </c>
      <c r="D4" s="18" t="n">
        <v>543.84</v>
      </c>
      <c r="E4" s="19" t="n">
        <v>36220</v>
      </c>
      <c r="F4" s="19" t="n">
        <v>36430</v>
      </c>
      <c r="G4" s="20">
        <f>IF(F4=0,0,E4/F4*100)</f>
        <v/>
      </c>
      <c r="H4" s="17" t="n">
        <v>0</v>
      </c>
      <c r="I4" s="17" t="n">
        <v>0</v>
      </c>
      <c r="J4" s="17" t="n">
        <v>0</v>
      </c>
      <c r="K4" s="17" t="n">
        <v>9</v>
      </c>
    </row>
    <row r="5">
      <c r="A5" s="16" t="inlineStr">
        <is>
          <t>1 Jul</t>
        </is>
      </c>
      <c r="B5" s="16" t="inlineStr">
        <is>
          <t>37839</t>
        </is>
      </c>
      <c r="C5" s="17" t="n">
        <v>1</v>
      </c>
      <c r="D5" s="18" t="n">
        <v>541.62</v>
      </c>
      <c r="E5" s="19" t="n">
        <v>21644</v>
      </c>
      <c r="F5" s="19" t="n">
        <v>21767</v>
      </c>
      <c r="G5" s="20">
        <f>IF(F5=0,0,E5/F5*100)</f>
        <v/>
      </c>
      <c r="H5" s="17" t="n">
        <v>0</v>
      </c>
      <c r="I5" s="17" t="n">
        <v>0</v>
      </c>
      <c r="J5" s="17" t="n">
        <v>0</v>
      </c>
      <c r="K5" s="17" t="n">
        <v>8</v>
      </c>
    </row>
    <row r="6">
      <c r="A6" s="16" t="inlineStr">
        <is>
          <t>1 Jul</t>
        </is>
      </c>
      <c r="B6" s="16" t="inlineStr">
        <is>
          <t>37569</t>
        </is>
      </c>
      <c r="C6" s="17" t="n">
        <v>1</v>
      </c>
      <c r="D6" s="18" t="n">
        <v>543.8200000000001</v>
      </c>
      <c r="E6" s="19" t="n">
        <v>20253</v>
      </c>
      <c r="F6" s="19" t="n">
        <v>20419</v>
      </c>
      <c r="G6" s="20">
        <f>IF(F6=0,0,E6/F6*100)</f>
        <v/>
      </c>
      <c r="H6" s="17" t="n">
        <v>0</v>
      </c>
      <c r="I6" s="17" t="n">
        <v>0</v>
      </c>
      <c r="J6" s="17" t="n">
        <v>0</v>
      </c>
      <c r="K6" s="17" t="n">
        <v>7</v>
      </c>
    </row>
    <row r="7">
      <c r="A7" s="16" t="inlineStr">
        <is>
          <t>1 Jul</t>
        </is>
      </c>
      <c r="B7" s="16" t="inlineStr">
        <is>
          <t>39371</t>
        </is>
      </c>
      <c r="C7" s="17" t="n">
        <v>1</v>
      </c>
      <c r="D7" s="18" t="n">
        <v>543.65</v>
      </c>
      <c r="E7" s="19" t="n">
        <v>19918</v>
      </c>
      <c r="F7" s="19" t="n">
        <v>20120</v>
      </c>
      <c r="G7" s="20">
        <f>IF(F7=0,0,E7/F7*100)</f>
        <v/>
      </c>
      <c r="H7" s="17" t="n">
        <v>0</v>
      </c>
      <c r="I7" s="17" t="n">
        <v>0</v>
      </c>
      <c r="J7" s="17" t="n">
        <v>0</v>
      </c>
      <c r="K7" s="17" t="n">
        <v>5</v>
      </c>
    </row>
    <row r="8">
      <c r="A8" s="16" t="inlineStr">
        <is>
          <t>1 Jul</t>
        </is>
      </c>
      <c r="B8" s="16" t="inlineStr">
        <is>
          <t>30757</t>
        </is>
      </c>
      <c r="C8" s="17" t="n">
        <v>1</v>
      </c>
      <c r="D8" s="18" t="n">
        <v>541.62</v>
      </c>
      <c r="E8" s="19" t="n">
        <v>19682</v>
      </c>
      <c r="F8" s="19" t="n">
        <v>19808</v>
      </c>
      <c r="G8" s="20">
        <f>IF(F8=0,0,E8/F8*100)</f>
        <v/>
      </c>
      <c r="H8" s="17" t="n">
        <v>0</v>
      </c>
      <c r="I8" s="17" t="n">
        <v>0</v>
      </c>
      <c r="J8" s="17" t="n">
        <v>0</v>
      </c>
      <c r="K8" s="17" t="n">
        <v>6</v>
      </c>
    </row>
    <row r="9">
      <c r="A9" s="16" t="inlineStr">
        <is>
          <t>1 Jul</t>
        </is>
      </c>
      <c r="B9" s="16" t="inlineStr">
        <is>
          <t>37035</t>
        </is>
      </c>
      <c r="C9" s="17" t="n">
        <v>0</v>
      </c>
      <c r="D9" s="18" t="n">
        <v>251.79</v>
      </c>
      <c r="E9" s="19" t="n">
        <v>32717</v>
      </c>
      <c r="F9" s="19" t="n">
        <v>32901</v>
      </c>
      <c r="G9" s="20">
        <f>IF(F9=0,0,E9/F9*100)</f>
        <v/>
      </c>
      <c r="H9" s="17" t="n">
        <v>0</v>
      </c>
      <c r="I9" s="17" t="n">
        <v>0</v>
      </c>
      <c r="J9" s="17" t="n">
        <v>0</v>
      </c>
      <c r="K9" s="17" t="n">
        <v>11</v>
      </c>
    </row>
    <row r="10">
      <c r="A10" s="16" t="inlineStr">
        <is>
          <t>1 Jul</t>
        </is>
      </c>
      <c r="B10" s="16" t="inlineStr">
        <is>
          <t>30339</t>
        </is>
      </c>
      <c r="C10" s="17" t="n">
        <v>0</v>
      </c>
      <c r="D10" s="18" t="n">
        <v>322.61</v>
      </c>
      <c r="E10" s="19" t="n">
        <v>24871</v>
      </c>
      <c r="F10" s="19" t="n">
        <v>25035</v>
      </c>
      <c r="G10" s="20">
        <f>IF(F10=0,0,E10/F10*100)</f>
        <v/>
      </c>
      <c r="H10" s="17" t="n">
        <v>0</v>
      </c>
      <c r="I10" s="17" t="n">
        <v>0</v>
      </c>
      <c r="J10" s="17" t="n">
        <v>0</v>
      </c>
      <c r="K10" s="17" t="n">
        <v>7</v>
      </c>
    </row>
    <row r="11">
      <c r="A11" s="16" t="inlineStr">
        <is>
          <t>1 Jul</t>
        </is>
      </c>
      <c r="B11" s="16" t="inlineStr">
        <is>
          <t>30206</t>
        </is>
      </c>
      <c r="C11" s="17" t="n">
        <v>0</v>
      </c>
      <c r="D11" s="18" t="n">
        <v>537.27</v>
      </c>
      <c r="E11" s="19" t="n">
        <v>22574</v>
      </c>
      <c r="F11" s="19" t="n">
        <v>22869</v>
      </c>
      <c r="G11" s="20">
        <f>IF(F11=0,0,E11/F11*100)</f>
        <v/>
      </c>
      <c r="H11" s="17" t="n">
        <v>3</v>
      </c>
      <c r="I11" s="17" t="n">
        <v>0</v>
      </c>
      <c r="J11" s="17" t="n">
        <v>3</v>
      </c>
      <c r="K11" s="17" t="n">
        <v>5</v>
      </c>
    </row>
    <row r="12">
      <c r="A12" s="16" t="inlineStr">
        <is>
          <t>1 Jul</t>
        </is>
      </c>
      <c r="B12" s="16" t="inlineStr">
        <is>
          <t>30376</t>
        </is>
      </c>
      <c r="C12" s="17" t="n">
        <v>0</v>
      </c>
      <c r="D12" s="18" t="n">
        <v>321.5</v>
      </c>
      <c r="E12" s="19" t="n">
        <v>22059</v>
      </c>
      <c r="F12" s="19" t="n">
        <v>22266</v>
      </c>
      <c r="G12" s="20">
        <f>IF(F12=0,0,E12/F12*100)</f>
        <v/>
      </c>
      <c r="H12" s="17" t="n">
        <v>0</v>
      </c>
      <c r="I12" s="17" t="n">
        <v>0</v>
      </c>
      <c r="J12" s="17" t="n">
        <v>0</v>
      </c>
      <c r="K12" s="17" t="n">
        <v>6</v>
      </c>
    </row>
    <row r="13">
      <c r="A13" s="16" t="inlineStr">
        <is>
          <t>1 Jul</t>
        </is>
      </c>
      <c r="B13" s="16" t="inlineStr">
        <is>
          <t>37505</t>
        </is>
      </c>
      <c r="C13" s="17" t="n">
        <v>0</v>
      </c>
      <c r="D13" s="18" t="n">
        <v>470.58</v>
      </c>
      <c r="E13" s="19" t="n">
        <v>22082</v>
      </c>
      <c r="F13" s="19" t="n">
        <v>22216</v>
      </c>
      <c r="G13" s="20">
        <f>IF(F13=0,0,E13/F13*100)</f>
        <v/>
      </c>
      <c r="H13" s="17" t="n">
        <v>0</v>
      </c>
      <c r="I13" s="17" t="n">
        <v>0</v>
      </c>
      <c r="J13" s="17" t="n">
        <v>0</v>
      </c>
      <c r="K13" s="17" t="n">
        <v>4</v>
      </c>
    </row>
    <row r="14">
      <c r="A14" s="16" t="inlineStr">
        <is>
          <t>1 Jul</t>
        </is>
      </c>
      <c r="B14" s="16" t="inlineStr">
        <is>
          <t>39108</t>
        </is>
      </c>
      <c r="C14" s="17" t="n">
        <v>0</v>
      </c>
      <c r="D14" s="18" t="n">
        <v>251.9</v>
      </c>
      <c r="E14" s="19" t="n">
        <v>21995</v>
      </c>
      <c r="F14" s="19" t="n">
        <v>22026</v>
      </c>
      <c r="G14" s="20">
        <f>IF(F14=0,0,E14/F14*100)</f>
        <v/>
      </c>
      <c r="H14" s="17" t="n">
        <v>0</v>
      </c>
      <c r="I14" s="17" t="n">
        <v>0</v>
      </c>
      <c r="J14" s="17" t="n">
        <v>0</v>
      </c>
      <c r="K14" s="17" t="n">
        <v>0</v>
      </c>
    </row>
    <row r="15">
      <c r="A15" s="16" t="inlineStr">
        <is>
          <t>1 Jul</t>
        </is>
      </c>
      <c r="B15" s="16" t="inlineStr">
        <is>
          <t>30516</t>
        </is>
      </c>
      <c r="C15" s="17" t="n">
        <v>0</v>
      </c>
      <c r="D15" s="18" t="n">
        <v>320.35</v>
      </c>
      <c r="E15" s="19" t="n">
        <v>20312</v>
      </c>
      <c r="F15" s="19" t="n">
        <v>20429</v>
      </c>
      <c r="G15" s="20">
        <f>IF(F15=0,0,E15/F15*100)</f>
        <v/>
      </c>
      <c r="H15" s="17" t="n">
        <v>0</v>
      </c>
      <c r="I15" s="17" t="n">
        <v>0</v>
      </c>
      <c r="J15" s="17" t="n">
        <v>0</v>
      </c>
      <c r="K15" s="17" t="n">
        <v>4</v>
      </c>
    </row>
    <row r="16">
      <c r="A16" s="16" t="inlineStr">
        <is>
          <t>1 Jul</t>
        </is>
      </c>
      <c r="B16" s="16" t="inlineStr">
        <is>
          <t>30507</t>
        </is>
      </c>
      <c r="C16" s="17" t="n">
        <v>0</v>
      </c>
      <c r="D16" s="18" t="n">
        <v>473.46</v>
      </c>
      <c r="E16" s="19" t="n">
        <v>20171</v>
      </c>
      <c r="F16" s="19" t="n">
        <v>20181</v>
      </c>
      <c r="G16" s="20">
        <f>IF(F16=0,0,E16/F16*100)</f>
        <v/>
      </c>
      <c r="H16" s="17" t="n">
        <v>0</v>
      </c>
      <c r="I16" s="17" t="n">
        <v>0</v>
      </c>
      <c r="J16" s="17" t="n">
        <v>0</v>
      </c>
      <c r="K16" s="17" t="n">
        <v>3</v>
      </c>
    </row>
    <row r="17">
      <c r="A17" s="16" t="inlineStr">
        <is>
          <t>1 Jul</t>
        </is>
      </c>
      <c r="B17" s="16" t="inlineStr">
        <is>
          <t>37163</t>
        </is>
      </c>
      <c r="C17" s="17" t="n">
        <v>0</v>
      </c>
      <c r="D17" s="18" t="n">
        <v>333.97</v>
      </c>
      <c r="E17" s="19" t="n">
        <v>19587</v>
      </c>
      <c r="F17" s="19" t="n">
        <v>19771</v>
      </c>
      <c r="G17" s="20">
        <f>IF(F17=0,0,E17/F17*100)</f>
        <v/>
      </c>
      <c r="H17" s="17" t="n">
        <v>3</v>
      </c>
      <c r="I17" s="17" t="n">
        <v>0</v>
      </c>
      <c r="J17" s="17" t="n">
        <v>3</v>
      </c>
      <c r="K17" s="17" t="n">
        <v>2</v>
      </c>
    </row>
    <row r="18">
      <c r="A18" s="16" t="inlineStr">
        <is>
          <t>1 Jul</t>
        </is>
      </c>
      <c r="B18" s="16" t="inlineStr">
        <is>
          <t>37515</t>
        </is>
      </c>
      <c r="C18" s="17" t="n">
        <v>0</v>
      </c>
      <c r="D18" s="18" t="n">
        <v>325.9</v>
      </c>
      <c r="E18" s="19" t="n">
        <v>14199</v>
      </c>
      <c r="F18" s="19" t="n">
        <v>14309</v>
      </c>
      <c r="G18" s="20">
        <f>IF(F18=0,0,E18/F18*100)</f>
        <v/>
      </c>
      <c r="H18" s="17" t="n">
        <v>0</v>
      </c>
      <c r="I18" s="17" t="n">
        <v>0</v>
      </c>
      <c r="J18" s="17" t="n">
        <v>0</v>
      </c>
      <c r="K18" s="17" t="n">
        <v>1</v>
      </c>
    </row>
    <row r="19">
      <c r="A19" s="16" t="inlineStr">
        <is>
          <t>1 Jul</t>
        </is>
      </c>
      <c r="B19" s="16" t="inlineStr">
        <is>
          <t>30396</t>
        </is>
      </c>
      <c r="C19" s="17" t="n">
        <v>0</v>
      </c>
      <c r="D19" s="18" t="n">
        <v>321.72</v>
      </c>
      <c r="E19" s="19" t="n">
        <v>12352</v>
      </c>
      <c r="F19" s="19" t="n">
        <v>12473</v>
      </c>
      <c r="G19" s="20">
        <f>IF(F19=0,0,E19/F19*100)</f>
        <v/>
      </c>
      <c r="H19" s="17" t="n">
        <v>0</v>
      </c>
      <c r="I19" s="17" t="n">
        <v>0</v>
      </c>
      <c r="J19" s="17" t="n">
        <v>0</v>
      </c>
      <c r="K19" s="17" t="n">
        <v>4</v>
      </c>
    </row>
    <row r="20">
      <c r="A20" s="16" t="inlineStr">
        <is>
          <t>1 Jul</t>
        </is>
      </c>
      <c r="B20" s="16" t="inlineStr">
        <is>
          <t>30429</t>
        </is>
      </c>
      <c r="C20" s="17" t="n">
        <v>0</v>
      </c>
      <c r="D20" s="18" t="n">
        <v>289.94</v>
      </c>
      <c r="E20" s="19" t="n">
        <v>11284</v>
      </c>
      <c r="F20" s="19" t="n">
        <v>11395</v>
      </c>
      <c r="G20" s="20">
        <f>IF(F20=0,0,E20/F20*100)</f>
        <v/>
      </c>
      <c r="H20" s="17" t="n">
        <v>0</v>
      </c>
      <c r="I20" s="17" t="n">
        <v>0</v>
      </c>
      <c r="J20" s="17" t="n">
        <v>0</v>
      </c>
      <c r="K20" s="17" t="n">
        <v>2</v>
      </c>
    </row>
    <row r="21">
      <c r="A21" s="16" t="inlineStr">
        <is>
          <t>1 Jul</t>
        </is>
      </c>
      <c r="B21" s="16" t="inlineStr">
        <is>
          <t>39552</t>
        </is>
      </c>
      <c r="C21" s="17" t="n">
        <v>0</v>
      </c>
      <c r="D21" s="18" t="n">
        <v>318.8</v>
      </c>
      <c r="E21" s="19" t="n">
        <v>11104</v>
      </c>
      <c r="F21" s="19" t="n">
        <v>11139</v>
      </c>
      <c r="G21" s="20">
        <f>IF(F21=0,0,E21/F21*100)</f>
        <v/>
      </c>
      <c r="H21" s="17" t="n">
        <v>0</v>
      </c>
      <c r="I21" s="17" t="n">
        <v>0</v>
      </c>
      <c r="J21" s="17" t="n">
        <v>0</v>
      </c>
      <c r="K21" s="17" t="n">
        <v>1</v>
      </c>
    </row>
    <row r="22">
      <c r="A22" s="16" t="inlineStr">
        <is>
          <t>1 Jul</t>
        </is>
      </c>
      <c r="B22" s="16" t="inlineStr">
        <is>
          <t>39025</t>
        </is>
      </c>
      <c r="C22" s="17" t="n">
        <v>0</v>
      </c>
      <c r="D22" s="18" t="n">
        <v>321.37</v>
      </c>
      <c r="E22" s="19" t="n">
        <v>10025</v>
      </c>
      <c r="F22" s="19" t="n">
        <v>10064</v>
      </c>
      <c r="G22" s="20">
        <f>IF(F22=0,0,E22/F22*100)</f>
        <v/>
      </c>
      <c r="H22" s="17" t="n">
        <v>0</v>
      </c>
      <c r="I22" s="17" t="n">
        <v>0</v>
      </c>
      <c r="J22" s="17" t="n">
        <v>0</v>
      </c>
      <c r="K22" s="17" t="n">
        <v>1</v>
      </c>
    </row>
    <row r="23">
      <c r="A23" s="16" t="inlineStr">
        <is>
          <t>1 Jul</t>
        </is>
      </c>
      <c r="B23" s="16" t="inlineStr">
        <is>
          <t>37873</t>
        </is>
      </c>
      <c r="C23" s="17" t="n">
        <v>0</v>
      </c>
      <c r="D23" s="18" t="n">
        <v>319.16</v>
      </c>
      <c r="E23" s="19" t="n">
        <v>9906</v>
      </c>
      <c r="F23" s="19" t="n">
        <v>9967</v>
      </c>
      <c r="G23" s="20">
        <f>IF(F23=0,0,E23/F23*100)</f>
        <v/>
      </c>
      <c r="H23" s="17" t="n">
        <v>0</v>
      </c>
      <c r="I23" s="17" t="n">
        <v>0</v>
      </c>
      <c r="J23" s="17" t="n">
        <v>0</v>
      </c>
      <c r="K23" s="17" t="n">
        <v>1</v>
      </c>
    </row>
    <row r="24">
      <c r="A24" s="16" t="inlineStr">
        <is>
          <t>1 Jul</t>
        </is>
      </c>
      <c r="B24" s="16" t="inlineStr">
        <is>
          <t>30390</t>
        </is>
      </c>
      <c r="C24" s="17" t="n">
        <v>0</v>
      </c>
      <c r="D24" s="18" t="n">
        <v>166.48</v>
      </c>
      <c r="E24" s="19" t="n">
        <v>8247</v>
      </c>
      <c r="F24" s="19" t="n">
        <v>8248</v>
      </c>
      <c r="G24" s="20">
        <f>IF(F24=0,0,E24/F24*100)</f>
        <v/>
      </c>
      <c r="H24" s="17" t="n">
        <v>0</v>
      </c>
      <c r="I24" s="17" t="n">
        <v>0</v>
      </c>
      <c r="J24" s="17" t="n">
        <v>0</v>
      </c>
      <c r="K24" s="17" t="n">
        <v>0</v>
      </c>
    </row>
    <row r="25">
      <c r="A25" s="16" t="inlineStr">
        <is>
          <t>1 Jul</t>
        </is>
      </c>
      <c r="B25" s="16" t="inlineStr">
        <is>
          <t>39287</t>
        </is>
      </c>
      <c r="C25" s="17" t="n">
        <v>0</v>
      </c>
      <c r="D25" s="18" t="n">
        <v>108.35</v>
      </c>
      <c r="E25" s="19" t="n">
        <v>5294</v>
      </c>
      <c r="F25" s="19" t="n">
        <v>5837</v>
      </c>
      <c r="G25" s="20">
        <f>IF(F25=0,0,E25/F25*100)</f>
        <v/>
      </c>
      <c r="H25" s="17" t="n">
        <v>1</v>
      </c>
      <c r="I25" s="17" t="n">
        <v>0</v>
      </c>
      <c r="J25" s="17" t="n">
        <v>1</v>
      </c>
      <c r="K25" s="17" t="n">
        <v>1</v>
      </c>
    </row>
    <row r="26">
      <c r="A26" s="16" t="inlineStr">
        <is>
          <t>1 Jul</t>
        </is>
      </c>
      <c r="B26" s="16" t="inlineStr">
        <is>
          <t>30460</t>
        </is>
      </c>
      <c r="C26" s="17" t="n">
        <v>0</v>
      </c>
      <c r="D26" s="18" t="n">
        <v>147.61</v>
      </c>
      <c r="E26" s="19" t="n">
        <v>5524</v>
      </c>
      <c r="F26" s="19" t="n">
        <v>5549</v>
      </c>
      <c r="G26" s="20">
        <f>IF(F26=0,0,E26/F26*100)</f>
        <v/>
      </c>
      <c r="H26" s="17" t="n">
        <v>0</v>
      </c>
      <c r="I26" s="17" t="n">
        <v>0</v>
      </c>
      <c r="J26" s="17" t="n">
        <v>0</v>
      </c>
      <c r="K26" s="17" t="n">
        <v>0</v>
      </c>
    </row>
    <row r="27">
      <c r="A27" s="16" t="inlineStr">
        <is>
          <t>1 Jul</t>
        </is>
      </c>
      <c r="B27" s="16" t="inlineStr">
        <is>
          <t>30791</t>
        </is>
      </c>
      <c r="C27" s="17" t="n">
        <v>0</v>
      </c>
      <c r="D27" s="18" t="n">
        <v>108.97</v>
      </c>
      <c r="E27" s="19" t="n">
        <v>4469</v>
      </c>
      <c r="F27" s="19" t="n">
        <v>5163</v>
      </c>
      <c r="G27" s="20">
        <f>IF(F27=0,0,E27/F27*100)</f>
        <v/>
      </c>
      <c r="H27" s="17" t="n">
        <v>0</v>
      </c>
      <c r="I27" s="17" t="n">
        <v>0</v>
      </c>
      <c r="J27" s="17" t="n">
        <v>0</v>
      </c>
      <c r="K27" s="17" t="n">
        <v>1</v>
      </c>
    </row>
    <row r="28">
      <c r="A28" s="16" t="inlineStr">
        <is>
          <t>1 Jul</t>
        </is>
      </c>
      <c r="B28" s="16" t="inlineStr">
        <is>
          <t>30474</t>
        </is>
      </c>
      <c r="C28" s="17" t="n">
        <v>0</v>
      </c>
      <c r="D28" s="18" t="n">
        <v>82.03</v>
      </c>
      <c r="E28" s="19" t="n">
        <v>4210</v>
      </c>
      <c r="F28" s="19" t="n">
        <v>4291</v>
      </c>
      <c r="G28" s="20">
        <f>IF(F28=0,0,E28/F28*100)</f>
        <v/>
      </c>
      <c r="H28" s="17" t="n">
        <v>0</v>
      </c>
      <c r="I28" s="17" t="n">
        <v>0</v>
      </c>
      <c r="J28" s="17" t="n">
        <v>0</v>
      </c>
      <c r="K28" s="17" t="n">
        <v>1</v>
      </c>
    </row>
    <row r="29">
      <c r="A29" s="16" t="inlineStr">
        <is>
          <t>1 Jul</t>
        </is>
      </c>
      <c r="B29" s="16" t="inlineStr">
        <is>
          <t>37582</t>
        </is>
      </c>
      <c r="C29" s="17" t="n">
        <v>0</v>
      </c>
      <c r="D29" s="18" t="n">
        <v>116.91</v>
      </c>
      <c r="E29" s="19" t="n">
        <v>2133</v>
      </c>
      <c r="F29" s="19" t="n">
        <v>2385</v>
      </c>
      <c r="G29" s="20">
        <f>IF(F29=0,0,E29/F29*100)</f>
        <v/>
      </c>
      <c r="H29" s="17" t="n">
        <v>5</v>
      </c>
      <c r="I29" s="17" t="n">
        <v>0</v>
      </c>
      <c r="J29" s="17" t="n">
        <v>5</v>
      </c>
      <c r="K29" s="17" t="n">
        <v>7</v>
      </c>
    </row>
    <row r="30">
      <c r="A30" s="16" t="inlineStr">
        <is>
          <t>1 Jul</t>
        </is>
      </c>
      <c r="B30" s="16" t="inlineStr">
        <is>
          <t>30395</t>
        </is>
      </c>
      <c r="C30" s="17" t="n">
        <v>0</v>
      </c>
      <c r="D30" s="18" t="n">
        <v>53.6</v>
      </c>
      <c r="E30" s="19" t="n">
        <v>1094</v>
      </c>
      <c r="F30" s="19" t="n">
        <v>1096</v>
      </c>
      <c r="G30" s="20">
        <f>IF(F30=0,0,E30/F30*100)</f>
        <v/>
      </c>
      <c r="H30" s="17" t="n">
        <v>0</v>
      </c>
      <c r="I30" s="17" t="n">
        <v>0</v>
      </c>
      <c r="J30" s="17" t="n">
        <v>0</v>
      </c>
      <c r="K30" s="17" t="n">
        <v>0</v>
      </c>
    </row>
    <row r="31">
      <c r="A31" s="16" t="inlineStr">
        <is>
          <t>1 Jul</t>
        </is>
      </c>
      <c r="B31" s="16" t="inlineStr">
        <is>
          <t>39258</t>
        </is>
      </c>
      <c r="C31" s="17" t="n">
        <v>0</v>
      </c>
      <c r="D31" s="18" t="n">
        <v>21.32</v>
      </c>
      <c r="E31" s="19" t="n">
        <v>994</v>
      </c>
      <c r="F31" s="19" t="n">
        <v>999</v>
      </c>
      <c r="G31" s="20">
        <f>IF(F31=0,0,E31/F31*100)</f>
        <v/>
      </c>
      <c r="H31" s="17" t="n">
        <v>0</v>
      </c>
      <c r="I31" s="17" t="n">
        <v>0</v>
      </c>
      <c r="J31" s="17" t="n">
        <v>0</v>
      </c>
      <c r="K31" s="17" t="n">
        <v>1</v>
      </c>
    </row>
    <row r="32">
      <c r="A32" s="16" t="inlineStr">
        <is>
          <t>1 Jul</t>
        </is>
      </c>
      <c r="B32" s="16" t="inlineStr">
        <is>
          <t>30623</t>
        </is>
      </c>
      <c r="C32" s="17" t="n">
        <v>0</v>
      </c>
      <c r="D32" s="18" t="n">
        <v>106.52</v>
      </c>
      <c r="E32" s="19" t="n">
        <v>0</v>
      </c>
      <c r="F32" s="19" t="n">
        <v>59</v>
      </c>
      <c r="G32" s="20">
        <f>IF(F32=0,0,E32/F32*100)</f>
        <v/>
      </c>
      <c r="H32" s="17" t="n">
        <v>0</v>
      </c>
      <c r="I32" s="17" t="n">
        <v>0</v>
      </c>
      <c r="J32" s="17" t="n">
        <v>0</v>
      </c>
      <c r="K32" s="17" t="n">
        <v>0</v>
      </c>
    </row>
    <row r="33">
      <c r="A33" s="21" t="inlineStr">
        <is>
          <t>1 Jul</t>
        </is>
      </c>
      <c r="B33" s="21" t="inlineStr">
        <is>
          <t>Day Total</t>
        </is>
      </c>
      <c r="C33" s="22">
        <f>SUM(C4:C32)</f>
        <v/>
      </c>
      <c r="D33" s="23">
        <f>SUM(D4:D32)</f>
        <v/>
      </c>
      <c r="E33" s="24">
        <f>SUM(E4:E32)</f>
        <v/>
      </c>
      <c r="F33" s="24">
        <f>SUMIF(E4:E32,"&gt;0",F4:F32)</f>
        <v/>
      </c>
      <c r="G33" s="25">
        <f>IF(F33=0,0,E33/F33*100)</f>
        <v/>
      </c>
      <c r="H33" s="22">
        <f>SUM(H4:H32)</f>
        <v/>
      </c>
      <c r="I33" s="22">
        <f>SUM(I4:I32)</f>
        <v/>
      </c>
      <c r="J33" s="22">
        <f>SUM(J4:J32)</f>
        <v/>
      </c>
      <c r="K33" s="22">
        <f>SUM(K4:K32)</f>
        <v/>
      </c>
    </row>
    <row r="34">
      <c r="A34" s="26" t="inlineStr">
        <is>
          <t>GRAND TOTAL</t>
        </is>
      </c>
      <c r="B34" s="26" t="n"/>
      <c r="C34" s="27">
        <f>C33</f>
        <v/>
      </c>
      <c r="D34" s="28">
        <f>D33</f>
        <v/>
      </c>
      <c r="E34" s="29">
        <f>E33</f>
        <v/>
      </c>
      <c r="F34" s="29">
        <f>F33</f>
        <v/>
      </c>
      <c r="G34" s="30">
        <f>IF(F34=0,0,E34/F34*100)</f>
        <v/>
      </c>
      <c r="H34" s="27">
        <f>H33</f>
        <v/>
      </c>
      <c r="I34" s="27">
        <f>I33</f>
        <v/>
      </c>
      <c r="J34" s="27">
        <f>J33</f>
        <v/>
      </c>
      <c r="K34" s="27">
        <f>K33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56" customWidth="1" min="13" max="13"/>
    <col width="26" customWidth="1" min="14" max="14"/>
    <col width="13" customWidth="1" min="15" max="15"/>
    <col width="46" customWidth="1" min="16" max="16"/>
    <col width="14" customWidth="1" min="17" max="17"/>
    <col width="13" customWidth="1" min="18" max="18"/>
    <col width="14" customWidth="1" min="19" max="19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1" t="inlineStr">
        <is>
          <t>Total EB = 12   ·   Valid trips = 0   ·   Non-valid trips = 12   ·   Undesirable = 11</t>
        </is>
      </c>
    </row>
    <row r="4"/>
    <row r="5" ht="34" customHeight="1">
      <c r="A5" s="15" t="inlineStr">
        <is>
          <t>Date</t>
        </is>
      </c>
      <c r="B5" s="15" t="inlineStr">
        <is>
          <t>Loco ID</t>
        </is>
      </c>
      <c r="C5" s="15" t="inlineStr">
        <is>
          <t>Trip Type</t>
        </is>
      </c>
      <c r="D5" s="15" t="inlineStr">
        <is>
          <t>Onset</t>
        </is>
      </c>
      <c r="E5" s="15" t="inlineStr">
        <is>
          <t>End</t>
        </is>
      </c>
      <c r="F5" s="15" t="inlineStr">
        <is>
          <t>Duration (s)</t>
        </is>
      </c>
      <c r="G5" s="15" t="inlineStr">
        <is>
          <t>EB Packets</t>
        </is>
      </c>
      <c r="H5" s="15" t="inlineStr">
        <is>
          <t>Max Speed</t>
        </is>
      </c>
      <c r="I5" s="15" t="inlineStr">
        <is>
          <t>Mode @onset</t>
        </is>
      </c>
      <c r="J5" s="15" t="inlineStr">
        <is>
          <t>Location (km)</t>
        </is>
      </c>
      <c r="K5" s="15" t="inlineStr">
        <is>
          <t>Dir</t>
        </is>
      </c>
      <c r="L5" s="15" t="inlineStr">
        <is>
          <t>Station</t>
        </is>
      </c>
      <c r="M5" s="15" t="inlineStr">
        <is>
          <t>Speed at EB (PG check)</t>
        </is>
      </c>
      <c r="N5" s="15" t="inlineStr">
        <is>
          <t>MA wrt Sig</t>
        </is>
      </c>
      <c r="O5" s="15" t="inlineStr">
        <is>
          <t>Emergency (LReg)</t>
        </is>
      </c>
      <c r="P5" s="15" t="inlineStr">
        <is>
          <t>Suspected Reason (undesirable)</t>
        </is>
      </c>
      <c r="Q5" s="15" t="inlineStr">
        <is>
          <t>Points/Track condition</t>
        </is>
      </c>
      <c r="R5" s="15" t="inlineStr">
        <is>
          <t>Signal Aspect Analysis</t>
        </is>
      </c>
      <c r="S5" s="15" t="inlineStr">
        <is>
          <t>Loco Type</t>
        </is>
      </c>
    </row>
    <row r="6">
      <c r="A6" s="32" t="inlineStr">
        <is>
          <t>1 Jul</t>
        </is>
      </c>
      <c r="B6" s="32" t="inlineStr">
        <is>
          <t>37582</t>
        </is>
      </c>
      <c r="C6" s="32" t="inlineStr">
        <is>
          <t>Non-Valid</t>
        </is>
      </c>
      <c r="D6" s="32" t="inlineStr">
        <is>
          <t>01:25:54</t>
        </is>
      </c>
      <c r="E6" s="32" t="inlineStr">
        <is>
          <t>01:26:14</t>
        </is>
      </c>
      <c r="F6" s="32" t="n">
        <v>20</v>
      </c>
      <c r="G6" s="32" t="n">
        <v>6</v>
      </c>
      <c r="H6" s="32" t="n">
        <v>37</v>
      </c>
      <c r="I6" s="32" t="inlineStr">
        <is>
          <t>TRIP</t>
        </is>
      </c>
      <c r="J6" s="33" t="n">
        <v>904.37</v>
      </c>
      <c r="K6" s="32" t="inlineStr">
        <is>
          <t>N</t>
        </is>
      </c>
      <c r="L6" s="32" t="inlineStr">
        <is>
          <t>Dadhdevi(DDV)</t>
        </is>
      </c>
      <c r="M6" s="34" t="inlineStr">
        <is>
          <t>37 km/h</t>
        </is>
      </c>
      <c r="N6" s="34" t="inlineStr">
        <is>
          <t>1317</t>
        </is>
      </c>
      <c r="O6" s="32" t="inlineStr">
        <is>
          <t>-</t>
        </is>
      </c>
      <c r="P6" s="35" t="inlineStr">
        <is>
          <t>Trip mode</t>
        </is>
      </c>
      <c r="Q6" s="34" t="inlineStr">
        <is>
          <t>-</t>
        </is>
      </c>
      <c r="R6" s="34" t="inlineStr">
        <is>
          <t>-</t>
        </is>
      </c>
      <c r="S6" s="32" t="inlineStr">
        <is>
          <t>Medha/Kernex</t>
        </is>
      </c>
    </row>
    <row r="7">
      <c r="A7" s="32" t="inlineStr">
        <is>
          <t>1 Jul</t>
        </is>
      </c>
      <c r="B7" s="32" t="inlineStr">
        <is>
          <t>37582</t>
        </is>
      </c>
      <c r="C7" s="32" t="inlineStr">
        <is>
          <t>Non-Valid</t>
        </is>
      </c>
      <c r="D7" s="32" t="inlineStr">
        <is>
          <t>01:26:22</t>
        </is>
      </c>
      <c r="E7" s="32" t="inlineStr">
        <is>
          <t>01:26:22</t>
        </is>
      </c>
      <c r="F7" s="32" t="n">
        <v>0</v>
      </c>
      <c r="G7" s="32" t="n">
        <v>1</v>
      </c>
      <c r="H7" s="32" t="n">
        <v>0</v>
      </c>
      <c r="I7" s="32" t="inlineStr">
        <is>
          <t>TRIP</t>
        </is>
      </c>
      <c r="J7" s="33" t="n">
        <v>904.45</v>
      </c>
      <c r="K7" s="32" t="inlineStr">
        <is>
          <t>N</t>
        </is>
      </c>
      <c r="L7" s="32" t="inlineStr">
        <is>
          <t>Dadhdevi(DDV)</t>
        </is>
      </c>
      <c r="M7" s="34" t="inlineStr">
        <is>
          <t>0 km/h</t>
        </is>
      </c>
      <c r="N7" s="34" t="inlineStr">
        <is>
          <t>1062</t>
        </is>
      </c>
      <c r="O7" s="32" t="inlineStr">
        <is>
          <t>-</t>
        </is>
      </c>
      <c r="P7" s="35" t="inlineStr">
        <is>
          <t>EB at 0-1 km/h; Trip mode</t>
        </is>
      </c>
      <c r="Q7" s="34" t="inlineStr">
        <is>
          <t>-</t>
        </is>
      </c>
      <c r="R7" s="34" t="inlineStr">
        <is>
          <t>-</t>
        </is>
      </c>
      <c r="S7" s="32" t="inlineStr">
        <is>
          <t>Medha/Kernex</t>
        </is>
      </c>
    </row>
    <row r="8">
      <c r="A8" s="32" t="inlineStr">
        <is>
          <t>1 Jul</t>
        </is>
      </c>
      <c r="B8" s="32" t="inlineStr">
        <is>
          <t>37582</t>
        </is>
      </c>
      <c r="C8" s="32" t="inlineStr">
        <is>
          <t>Non-Valid</t>
        </is>
      </c>
      <c r="D8" s="32" t="inlineStr">
        <is>
          <t>01:26:30</t>
        </is>
      </c>
      <c r="E8" s="32" t="inlineStr">
        <is>
          <t>01:26:34</t>
        </is>
      </c>
      <c r="F8" s="32" t="n">
        <v>4</v>
      </c>
      <c r="G8" s="32" t="n">
        <v>2</v>
      </c>
      <c r="H8" s="32" t="n">
        <v>0</v>
      </c>
      <c r="I8" s="32" t="inlineStr">
        <is>
          <t>TRIP</t>
        </is>
      </c>
      <c r="J8" s="33" t="n">
        <v>904.45</v>
      </c>
      <c r="K8" s="32" t="inlineStr">
        <is>
          <t>N</t>
        </is>
      </c>
      <c r="L8" s="32" t="inlineStr">
        <is>
          <t>Dadhdevi(DDV)</t>
        </is>
      </c>
      <c r="M8" s="34" t="inlineStr">
        <is>
          <t>0 km/h</t>
        </is>
      </c>
      <c r="N8" s="34" t="inlineStr">
        <is>
          <t>1062</t>
        </is>
      </c>
      <c r="O8" s="32" t="inlineStr">
        <is>
          <t>-</t>
        </is>
      </c>
      <c r="P8" s="35" t="inlineStr">
        <is>
          <t>EB at 0-1 km/h; Trip mode</t>
        </is>
      </c>
      <c r="Q8" s="34" t="inlineStr">
        <is>
          <t>-</t>
        </is>
      </c>
      <c r="R8" s="34" t="inlineStr">
        <is>
          <t>-</t>
        </is>
      </c>
      <c r="S8" s="32" t="inlineStr">
        <is>
          <t>Medha/Kernex</t>
        </is>
      </c>
    </row>
    <row r="9">
      <c r="A9" s="32" t="inlineStr">
        <is>
          <t>1 Jul</t>
        </is>
      </c>
      <c r="B9" s="32" t="inlineStr">
        <is>
          <t>37582</t>
        </is>
      </c>
      <c r="C9" s="32" t="inlineStr">
        <is>
          <t>Non-Valid</t>
        </is>
      </c>
      <c r="D9" s="32" t="inlineStr">
        <is>
          <t>01:26:42</t>
        </is>
      </c>
      <c r="E9" s="32" t="inlineStr">
        <is>
          <t>01:27:02</t>
        </is>
      </c>
      <c r="F9" s="32" t="n">
        <v>20</v>
      </c>
      <c r="G9" s="32" t="n">
        <v>6</v>
      </c>
      <c r="H9" s="32" t="n">
        <v>0</v>
      </c>
      <c r="I9" s="32" t="inlineStr">
        <is>
          <t>TRIP</t>
        </is>
      </c>
      <c r="J9" s="33" t="n">
        <v>904.45</v>
      </c>
      <c r="K9" s="32" t="inlineStr">
        <is>
          <t>N</t>
        </is>
      </c>
      <c r="L9" s="32" t="inlineStr">
        <is>
          <t>Dadhdevi(DDV)</t>
        </is>
      </c>
      <c r="M9" s="34" t="inlineStr">
        <is>
          <t>0 km/h</t>
        </is>
      </c>
      <c r="N9" s="34" t="inlineStr">
        <is>
          <t>1062</t>
        </is>
      </c>
      <c r="O9" s="32" t="inlineStr">
        <is>
          <t>-</t>
        </is>
      </c>
      <c r="P9" s="35" t="inlineStr">
        <is>
          <t>EB at 0-1 km/h; Trip mode</t>
        </is>
      </c>
      <c r="Q9" s="34" t="inlineStr">
        <is>
          <t>-</t>
        </is>
      </c>
      <c r="R9" s="34" t="inlineStr">
        <is>
          <t>-</t>
        </is>
      </c>
      <c r="S9" s="32" t="inlineStr">
        <is>
          <t>Medha/Kernex</t>
        </is>
      </c>
    </row>
    <row r="10">
      <c r="A10" s="32" t="inlineStr">
        <is>
          <t>1 Jul</t>
        </is>
      </c>
      <c r="B10" s="32" t="inlineStr">
        <is>
          <t>37582</t>
        </is>
      </c>
      <c r="C10" s="32" t="inlineStr">
        <is>
          <t>Non-Valid</t>
        </is>
      </c>
      <c r="D10" s="32" t="inlineStr">
        <is>
          <t>01:27:10</t>
        </is>
      </c>
      <c r="E10" s="32" t="inlineStr">
        <is>
          <t>01:27:50</t>
        </is>
      </c>
      <c r="F10" s="32" t="n">
        <v>40</v>
      </c>
      <c r="G10" s="32" t="n">
        <v>11</v>
      </c>
      <c r="H10" s="32" t="n">
        <v>0</v>
      </c>
      <c r="I10" s="32" t="inlineStr">
        <is>
          <t>TRIP</t>
        </is>
      </c>
      <c r="J10" s="33" t="n">
        <v>904.45</v>
      </c>
      <c r="K10" s="32" t="inlineStr">
        <is>
          <t>N</t>
        </is>
      </c>
      <c r="L10" s="32" t="inlineStr">
        <is>
          <t>Dadhdevi(DDV)</t>
        </is>
      </c>
      <c r="M10" s="34" t="inlineStr">
        <is>
          <t>0 km/h</t>
        </is>
      </c>
      <c r="N10" s="34" t="inlineStr">
        <is>
          <t>1062</t>
        </is>
      </c>
      <c r="O10" s="32" t="inlineStr">
        <is>
          <t>-</t>
        </is>
      </c>
      <c r="P10" s="35" t="inlineStr">
        <is>
          <t>EB at 0-1 km/h; Trip mode</t>
        </is>
      </c>
      <c r="Q10" s="34" t="inlineStr">
        <is>
          <t>-</t>
        </is>
      </c>
      <c r="R10" s="34" t="inlineStr">
        <is>
          <t>-</t>
        </is>
      </c>
      <c r="S10" s="32" t="inlineStr">
        <is>
          <t>Medha/Kernex</t>
        </is>
      </c>
    </row>
    <row r="11">
      <c r="A11" s="32" t="inlineStr">
        <is>
          <t>1 Jul</t>
        </is>
      </c>
      <c r="B11" s="32" t="inlineStr">
        <is>
          <t>37163</t>
        </is>
      </c>
      <c r="C11" s="32" t="inlineStr">
        <is>
          <t>Non-Valid</t>
        </is>
      </c>
      <c r="D11" s="32" t="inlineStr">
        <is>
          <t>06:51:16</t>
        </is>
      </c>
      <c r="E11" s="32" t="inlineStr">
        <is>
          <t>06:52:28</t>
        </is>
      </c>
      <c r="F11" s="32" t="n">
        <v>72</v>
      </c>
      <c r="G11" s="32" t="n">
        <v>37</v>
      </c>
      <c r="H11" s="32" t="n">
        <v>10</v>
      </c>
      <c r="I11" s="32" t="inlineStr">
        <is>
          <t>TRIP</t>
        </is>
      </c>
      <c r="J11" s="33" t="n">
        <v>758.02</v>
      </c>
      <c r="K11" s="32" t="inlineStr">
        <is>
          <t>R</t>
        </is>
      </c>
      <c r="L11" s="32" t="inlineStr">
        <is>
          <t>Chau Mahla(CMU)</t>
        </is>
      </c>
      <c r="M11" s="34" t="inlineStr">
        <is>
          <t>10 km/h</t>
        </is>
      </c>
      <c r="N11" s="34" t="inlineStr">
        <is>
          <t>0</t>
        </is>
      </c>
      <c r="O11" s="32" t="inlineStr">
        <is>
          <t>-</t>
        </is>
      </c>
      <c r="P11" s="35" t="inlineStr">
        <is>
          <t>Trip mode</t>
        </is>
      </c>
      <c r="Q11" s="34" t="inlineStr">
        <is>
          <t>-</t>
        </is>
      </c>
      <c r="R11" s="34" t="inlineStr">
        <is>
          <t>-</t>
        </is>
      </c>
      <c r="S11" s="32" t="inlineStr">
        <is>
          <t>Medha/Kernex</t>
        </is>
      </c>
    </row>
    <row r="12">
      <c r="A12" s="32" t="inlineStr">
        <is>
          <t>1 Jul</t>
        </is>
      </c>
      <c r="B12" s="32" t="inlineStr">
        <is>
          <t>37163</t>
        </is>
      </c>
      <c r="C12" s="32" t="inlineStr">
        <is>
          <t>Non-Valid</t>
        </is>
      </c>
      <c r="D12" s="32" t="inlineStr">
        <is>
          <t>06:54:12</t>
        </is>
      </c>
      <c r="E12" s="32" t="inlineStr">
        <is>
          <t>06:54:12</t>
        </is>
      </c>
      <c r="F12" s="32" t="n">
        <v>0</v>
      </c>
      <c r="G12" s="32" t="n">
        <v>1</v>
      </c>
      <c r="H12" s="32" t="n">
        <v>0</v>
      </c>
      <c r="I12" s="32" t="inlineStr">
        <is>
          <t>POSTTRIP</t>
        </is>
      </c>
      <c r="J12" s="33" t="n">
        <v>758.01</v>
      </c>
      <c r="K12" s="32" t="inlineStr">
        <is>
          <t>R</t>
        </is>
      </c>
      <c r="L12" s="32" t="inlineStr">
        <is>
          <t>Chau Mahla(CMU)</t>
        </is>
      </c>
      <c r="M12" s="34" t="inlineStr">
        <is>
          <t>0 km/h</t>
        </is>
      </c>
      <c r="N12" s="34" t="inlineStr">
        <is>
          <t>0</t>
        </is>
      </c>
      <c r="O12" s="32" t="inlineStr">
        <is>
          <t>-</t>
        </is>
      </c>
      <c r="P12" s="35" t="inlineStr">
        <is>
          <t>EB at 0-1 km/h</t>
        </is>
      </c>
      <c r="Q12" s="34" t="inlineStr">
        <is>
          <t>-</t>
        </is>
      </c>
      <c r="R12" s="34" t="inlineStr">
        <is>
          <t>-</t>
        </is>
      </c>
      <c r="S12" s="32" t="inlineStr">
        <is>
          <t>Medha/Kernex</t>
        </is>
      </c>
    </row>
    <row r="13">
      <c r="A13" s="32" t="inlineStr">
        <is>
          <t>1 Jul</t>
        </is>
      </c>
      <c r="B13" s="32" t="inlineStr">
        <is>
          <t>37163</t>
        </is>
      </c>
      <c r="C13" s="32" t="inlineStr">
        <is>
          <t>Non-Valid</t>
        </is>
      </c>
      <c r="D13" s="32" t="inlineStr">
        <is>
          <t>06:55:56</t>
        </is>
      </c>
      <c r="E13" s="32" t="inlineStr">
        <is>
          <t>06:55:58</t>
        </is>
      </c>
      <c r="F13" s="32" t="n">
        <v>2</v>
      </c>
      <c r="G13" s="32" t="n">
        <v>2</v>
      </c>
      <c r="H13" s="32" t="n">
        <v>0</v>
      </c>
      <c r="I13" s="32" t="inlineStr">
        <is>
          <t>POSTTRIP</t>
        </is>
      </c>
      <c r="J13" s="33" t="n">
        <v>758.01</v>
      </c>
      <c r="K13" s="32" t="inlineStr">
        <is>
          <t>R</t>
        </is>
      </c>
      <c r="L13" s="32" t="inlineStr">
        <is>
          <t>Chau Mahla(CMU)</t>
        </is>
      </c>
      <c r="M13" s="34" t="inlineStr">
        <is>
          <t>0 km/h</t>
        </is>
      </c>
      <c r="N13" s="34" t="inlineStr">
        <is>
          <t>0</t>
        </is>
      </c>
      <c r="O13" s="32" t="inlineStr">
        <is>
          <t>-</t>
        </is>
      </c>
      <c r="P13" s="35" t="inlineStr">
        <is>
          <t>EB at 0-1 km/h</t>
        </is>
      </c>
      <c r="Q13" s="34" t="inlineStr">
        <is>
          <t>-</t>
        </is>
      </c>
      <c r="R13" s="34" t="inlineStr">
        <is>
          <t>-</t>
        </is>
      </c>
      <c r="S13" s="32" t="inlineStr">
        <is>
          <t>Medha/Kernex</t>
        </is>
      </c>
    </row>
    <row r="14" ht="34" customHeight="1">
      <c r="A14" s="32" t="inlineStr">
        <is>
          <t>1 Jul</t>
        </is>
      </c>
      <c r="B14" s="32" t="inlineStr">
        <is>
          <t>30206</t>
        </is>
      </c>
      <c r="C14" s="32" t="inlineStr">
        <is>
          <t>Non-Valid</t>
        </is>
      </c>
      <c r="D14" s="32" t="inlineStr">
        <is>
          <t>20:34:12</t>
        </is>
      </c>
      <c r="E14" s="32" t="inlineStr">
        <is>
          <t>20:34:24</t>
        </is>
      </c>
      <c r="F14" s="32" t="n">
        <v>12</v>
      </c>
      <c r="G14" s="32" t="n">
        <v>7</v>
      </c>
      <c r="H14" s="32" t="n">
        <v>38</v>
      </c>
      <c r="I14" s="32" t="inlineStr">
        <is>
          <t>FS</t>
        </is>
      </c>
      <c r="J14" s="33" t="n">
        <v>734.22</v>
      </c>
      <c r="K14" s="32" t="inlineStr">
        <is>
          <t>N</t>
        </is>
      </c>
      <c r="L14" s="32" t="inlineStr">
        <is>
          <t>VikramgarhA lot(VMA)</t>
        </is>
      </c>
      <c r="M14" s="34" t="inlineStr">
        <is>
          <t>38 km/h</t>
        </is>
      </c>
      <c r="N14" s="34" t="inlineStr">
        <is>
          <t>1034</t>
        </is>
      </c>
      <c r="O14" s="32" t="inlineStr">
        <is>
          <t>-</t>
        </is>
      </c>
      <c r="P14" s="34" t="inlineStr">
        <is>
          <t>-</t>
        </is>
      </c>
      <c r="Q14" s="34" t="inlineStr">
        <is>
          <t>-</t>
        </is>
      </c>
      <c r="R14" s="34" t="inlineStr">
        <is>
          <t>-</t>
        </is>
      </c>
      <c r="S14" s="32" t="inlineStr">
        <is>
          <t>HBL</t>
        </is>
      </c>
    </row>
    <row r="15" ht="34" customHeight="1">
      <c r="A15" s="32" t="inlineStr">
        <is>
          <t>1 Jul</t>
        </is>
      </c>
      <c r="B15" s="32" t="inlineStr">
        <is>
          <t>30206</t>
        </is>
      </c>
      <c r="C15" s="32" t="inlineStr">
        <is>
          <t>Non-Valid</t>
        </is>
      </c>
      <c r="D15" s="32" t="inlineStr">
        <is>
          <t>20:37:28</t>
        </is>
      </c>
      <c r="E15" s="32" t="inlineStr">
        <is>
          <t>20:37:28</t>
        </is>
      </c>
      <c r="F15" s="32" t="n">
        <v>0</v>
      </c>
      <c r="G15" s="32" t="n">
        <v>1</v>
      </c>
      <c r="H15" s="32" t="n">
        <v>1</v>
      </c>
      <c r="I15" s="32" t="inlineStr">
        <is>
          <t>POSTTRIP</t>
        </is>
      </c>
      <c r="J15" s="33" t="n">
        <v>734.29</v>
      </c>
      <c r="K15" s="32" t="inlineStr">
        <is>
          <t>N</t>
        </is>
      </c>
      <c r="L15" s="32" t="inlineStr">
        <is>
          <t>VikramgarhA lot(VMA)</t>
        </is>
      </c>
      <c r="M15" s="34" t="inlineStr">
        <is>
          <t>1 km/h</t>
        </is>
      </c>
      <c r="N15" s="34" t="inlineStr">
        <is>
          <t>8362</t>
        </is>
      </c>
      <c r="O15" s="32" t="inlineStr">
        <is>
          <t>-</t>
        </is>
      </c>
      <c r="P15" s="35" t="inlineStr">
        <is>
          <t>EB at 0-1 km/h</t>
        </is>
      </c>
      <c r="Q15" s="34" t="inlineStr">
        <is>
          <t>-</t>
        </is>
      </c>
      <c r="R15" s="34" t="inlineStr">
        <is>
          <t>-</t>
        </is>
      </c>
      <c r="S15" s="32" t="inlineStr">
        <is>
          <t>HBL</t>
        </is>
      </c>
    </row>
    <row r="16" ht="34" customHeight="1">
      <c r="A16" s="32" t="inlineStr">
        <is>
          <t>1 Jul</t>
        </is>
      </c>
      <c r="B16" s="32" t="inlineStr">
        <is>
          <t>30206</t>
        </is>
      </c>
      <c r="C16" s="32" t="inlineStr">
        <is>
          <t>Non-Valid</t>
        </is>
      </c>
      <c r="D16" s="32" t="inlineStr">
        <is>
          <t>20:38:22</t>
        </is>
      </c>
      <c r="E16" s="32" t="inlineStr">
        <is>
          <t>20:38:24</t>
        </is>
      </c>
      <c r="F16" s="32" t="n">
        <v>2</v>
      </c>
      <c r="G16" s="32" t="n">
        <v>2</v>
      </c>
      <c r="H16" s="32" t="n">
        <v>1</v>
      </c>
      <c r="I16" s="32" t="inlineStr">
        <is>
          <t>POSTTRIP</t>
        </is>
      </c>
      <c r="J16" s="33" t="n">
        <v>734.29</v>
      </c>
      <c r="K16" s="32" t="inlineStr">
        <is>
          <t>N</t>
        </is>
      </c>
      <c r="L16" s="32" t="inlineStr">
        <is>
          <t>VikramgarhA lot(VMA)</t>
        </is>
      </c>
      <c r="M16" s="34" t="inlineStr">
        <is>
          <t>1 km/h</t>
        </is>
      </c>
      <c r="N16" s="34" t="inlineStr">
        <is>
          <t>8362</t>
        </is>
      </c>
      <c r="O16" s="32" t="inlineStr">
        <is>
          <t>-</t>
        </is>
      </c>
      <c r="P16" s="35" t="inlineStr">
        <is>
          <t>EB at 0-1 km/h</t>
        </is>
      </c>
      <c r="Q16" s="34" t="inlineStr">
        <is>
          <t>-</t>
        </is>
      </c>
      <c r="R16" s="34" t="inlineStr">
        <is>
          <t>-</t>
        </is>
      </c>
      <c r="S16" s="32" t="inlineStr">
        <is>
          <t>HBL</t>
        </is>
      </c>
    </row>
    <row r="17" ht="34" customHeight="1">
      <c r="A17" s="32" t="inlineStr">
        <is>
          <t>1 Jul</t>
        </is>
      </c>
      <c r="B17" s="32" t="inlineStr">
        <is>
          <t>39287</t>
        </is>
      </c>
      <c r="C17" s="32" t="inlineStr">
        <is>
          <t>Non-Valid</t>
        </is>
      </c>
      <c r="D17" s="32" t="inlineStr">
        <is>
          <t>21:52:08</t>
        </is>
      </c>
      <c r="E17" s="32" t="inlineStr">
        <is>
          <t>22:00:24</t>
        </is>
      </c>
      <c r="F17" s="32" t="n">
        <v>496</v>
      </c>
      <c r="G17" s="32" t="n">
        <v>249</v>
      </c>
      <c r="H17" s="32" t="n">
        <v>10</v>
      </c>
      <c r="I17" s="32" t="inlineStr">
        <is>
          <t>TRIP</t>
        </is>
      </c>
      <c r="J17" s="33" t="n">
        <v>920.3099999999999</v>
      </c>
      <c r="K17" s="32" t="inlineStr">
        <is>
          <t>R</t>
        </is>
      </c>
      <c r="L17" s="32" t="inlineStr">
        <is>
          <t>Kota Jn.(KOTA) CENTRAL</t>
        </is>
      </c>
      <c r="M17" s="34" t="inlineStr">
        <is>
          <t>10 km/h</t>
        </is>
      </c>
      <c r="N17" s="34" t="inlineStr">
        <is>
          <t>n/a</t>
        </is>
      </c>
      <c r="O17" s="32" t="inlineStr">
        <is>
          <t>-</t>
        </is>
      </c>
      <c r="P17" s="35" t="inlineStr">
        <is>
          <t>Emergency: SOS; Trip mode</t>
        </is>
      </c>
      <c r="Q17" s="34" t="inlineStr">
        <is>
          <t>-</t>
        </is>
      </c>
      <c r="R17" s="34" t="inlineStr">
        <is>
          <t>-</t>
        </is>
      </c>
      <c r="S17" s="32" t="inlineStr">
        <is>
          <t>Medha/Kernex</t>
        </is>
      </c>
    </row>
  </sheetData>
  <mergeCells count="2">
    <mergeCell ref="A3:S3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1" t="inlineStr">
        <is>
          <t>Total Mode Degradation = 98   ·   one row = one transition into LS or SR</t>
        </is>
      </c>
    </row>
    <row r="5">
      <c r="A5" s="15" t="inlineStr">
        <is>
          <t>Date</t>
        </is>
      </c>
      <c r="B5" s="15" t="inlineStr">
        <is>
          <t>Loco ID</t>
        </is>
      </c>
      <c r="C5" s="15" t="inlineStr">
        <is>
          <t>From</t>
        </is>
      </c>
      <c r="D5" s="15" t="inlineStr">
        <is>
          <t>To (degraded)</t>
        </is>
      </c>
      <c r="E5" s="15" t="inlineStr">
        <is>
          <t>Onset</t>
        </is>
      </c>
      <c r="F5" s="15" t="inlineStr">
        <is>
          <t>End</t>
        </is>
      </c>
      <c r="G5" s="15" t="inlineStr">
        <is>
          <t>Duration (s)</t>
        </is>
      </c>
      <c r="H5" s="15" t="inlineStr">
        <is>
          <t>Packets</t>
        </is>
      </c>
      <c r="I5" s="15" t="inlineStr">
        <is>
          <t>Location (km)</t>
        </is>
      </c>
      <c r="J5" s="15" t="inlineStr">
        <is>
          <t>Station</t>
        </is>
      </c>
      <c r="K5" s="15" t="inlineStr">
        <is>
          <t>Dir</t>
        </is>
      </c>
      <c r="L5" s="15" t="inlineStr">
        <is>
          <t>Valid Trip?</t>
        </is>
      </c>
      <c r="M5" s="15" t="inlineStr">
        <is>
          <t>Loco Travel</t>
        </is>
      </c>
    </row>
    <row r="6">
      <c r="A6" s="17" t="inlineStr">
        <is>
          <t>1 Jul</t>
        </is>
      </c>
      <c r="B6" s="17" t="inlineStr">
        <is>
          <t>37569</t>
        </is>
      </c>
      <c r="C6" s="17" t="inlineStr">
        <is>
          <t>OS</t>
        </is>
      </c>
      <c r="D6" s="17" t="inlineStr">
        <is>
          <t>SR</t>
        </is>
      </c>
      <c r="E6" s="17" t="inlineStr">
        <is>
          <t>00:01:18</t>
        </is>
      </c>
      <c r="F6" s="17" t="inlineStr">
        <is>
          <t>00:01:18</t>
        </is>
      </c>
      <c r="G6" s="17" t="n">
        <v>0</v>
      </c>
      <c r="H6" s="17" t="n">
        <v>1</v>
      </c>
      <c r="I6" s="36" t="n">
        <v>1242.75</v>
      </c>
      <c r="J6" s="17" t="inlineStr">
        <is>
          <t>IBH 265</t>
        </is>
      </c>
      <c r="K6" s="17" t="inlineStr">
        <is>
          <t>R</t>
        </is>
      </c>
      <c r="L6" s="17" t="inlineStr">
        <is>
          <t>Valid</t>
        </is>
      </c>
      <c r="M6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">
      <c r="A7" s="17" t="inlineStr">
        <is>
          <t>1 Jul</t>
        </is>
      </c>
      <c r="B7" s="17" t="inlineStr">
        <is>
          <t>37569</t>
        </is>
      </c>
      <c r="C7" s="17" t="inlineStr">
        <is>
          <t>FS</t>
        </is>
      </c>
      <c r="D7" s="17" t="inlineStr">
        <is>
          <t>SR</t>
        </is>
      </c>
      <c r="E7" s="17" t="inlineStr">
        <is>
          <t>00:07:06</t>
        </is>
      </c>
      <c r="F7" s="17" t="inlineStr">
        <is>
          <t>00:10:32</t>
        </is>
      </c>
      <c r="G7" s="17" t="n">
        <v>206</v>
      </c>
      <c r="H7" s="17" t="n">
        <v>135</v>
      </c>
      <c r="I7" s="36" t="n">
        <v>1236.72</v>
      </c>
      <c r="J7" s="17" t="inlineStr">
        <is>
          <t>Murhesi Rampur(MSRP)</t>
        </is>
      </c>
      <c r="K7" s="17" t="inlineStr">
        <is>
          <t>U</t>
        </is>
      </c>
      <c r="L7" s="17" t="inlineStr">
        <is>
          <t>Valid</t>
        </is>
      </c>
      <c r="M7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8">
      <c r="A8" s="32" t="inlineStr">
        <is>
          <t>1 Jul</t>
        </is>
      </c>
      <c r="B8" s="32" t="inlineStr">
        <is>
          <t>37582</t>
        </is>
      </c>
      <c r="C8" s="32" t="inlineStr">
        <is>
          <t>FS</t>
        </is>
      </c>
      <c r="D8" s="32" t="inlineStr">
        <is>
          <t>SR</t>
        </is>
      </c>
      <c r="E8" s="32" t="inlineStr">
        <is>
          <t>00:39:44</t>
        </is>
      </c>
      <c r="F8" s="32" t="inlineStr">
        <is>
          <t>00:40:44</t>
        </is>
      </c>
      <c r="G8" s="32" t="n">
        <v>60</v>
      </c>
      <c r="H8" s="32" t="n">
        <v>28</v>
      </c>
      <c r="I8" s="33" t="n">
        <v>847.55</v>
      </c>
      <c r="J8" s="32" t="inlineStr">
        <is>
          <t>RamganjMandi(RMA)</t>
        </is>
      </c>
      <c r="K8" s="32" t="inlineStr">
        <is>
          <t>N</t>
        </is>
      </c>
      <c r="L8" s="32" t="inlineStr">
        <is>
          <t>Non-Valid</t>
        </is>
      </c>
      <c r="M8" s="17" t="inlineStr">
        <is>
          <t>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</t>
        </is>
      </c>
    </row>
    <row r="9">
      <c r="A9" s="32" t="inlineStr">
        <is>
          <t>1 Jul</t>
        </is>
      </c>
      <c r="B9" s="32" t="inlineStr">
        <is>
          <t>37582</t>
        </is>
      </c>
      <c r="C9" s="32" t="inlineStr">
        <is>
          <t>FS</t>
        </is>
      </c>
      <c r="D9" s="32" t="inlineStr">
        <is>
          <t>SR</t>
        </is>
      </c>
      <c r="E9" s="32" t="inlineStr">
        <is>
          <t>00:41:28</t>
        </is>
      </c>
      <c r="F9" s="32" t="inlineStr">
        <is>
          <t>00:43:16</t>
        </is>
      </c>
      <c r="G9" s="32" t="n">
        <v>108</v>
      </c>
      <c r="H9" s="32" t="n">
        <v>49</v>
      </c>
      <c r="I9" s="33" t="n">
        <v>848.75</v>
      </c>
      <c r="J9" s="32" t="inlineStr">
        <is>
          <t>RamganjMandi(RMA)</t>
        </is>
      </c>
      <c r="K9" s="32" t="inlineStr">
        <is>
          <t>N</t>
        </is>
      </c>
      <c r="L9" s="32" t="inlineStr">
        <is>
          <t>Non-Valid</t>
        </is>
      </c>
      <c r="M9" s="17" t="inlineStr">
        <is>
          <t>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</t>
        </is>
      </c>
    </row>
    <row r="10">
      <c r="A10" s="32" t="inlineStr">
        <is>
          <t>1 Jul</t>
        </is>
      </c>
      <c r="B10" s="32" t="inlineStr">
        <is>
          <t>37582</t>
        </is>
      </c>
      <c r="C10" s="32" t="inlineStr">
        <is>
          <t>OS</t>
        </is>
      </c>
      <c r="D10" s="32" t="inlineStr">
        <is>
          <t>SR</t>
        </is>
      </c>
      <c r="E10" s="32" t="inlineStr">
        <is>
          <t>00:43:52</t>
        </is>
      </c>
      <c r="F10" s="32" t="inlineStr">
        <is>
          <t>00:44:38</t>
        </is>
      </c>
      <c r="G10" s="32" t="n">
        <v>46</v>
      </c>
      <c r="H10" s="32" t="n">
        <v>21</v>
      </c>
      <c r="I10" s="33" t="n">
        <v>848.91</v>
      </c>
      <c r="J10" s="32" t="inlineStr">
        <is>
          <t>RamganjMandi(RMA)</t>
        </is>
      </c>
      <c r="K10" s="32" t="inlineStr">
        <is>
          <t>N</t>
        </is>
      </c>
      <c r="L10" s="32" t="inlineStr">
        <is>
          <t>Non-Valid</t>
        </is>
      </c>
      <c r="M10" s="17" t="inlineStr">
        <is>
          <t>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</t>
        </is>
      </c>
    </row>
    <row r="11">
      <c r="A11" s="32" t="inlineStr">
        <is>
          <t>1 Jul</t>
        </is>
      </c>
      <c r="B11" s="32" t="inlineStr">
        <is>
          <t>37582</t>
        </is>
      </c>
      <c r="C11" s="32" t="inlineStr">
        <is>
          <t>OS</t>
        </is>
      </c>
      <c r="D11" s="32" t="inlineStr">
        <is>
          <t>SR</t>
        </is>
      </c>
      <c r="E11" s="32" t="inlineStr">
        <is>
          <t>00:45:16</t>
        </is>
      </c>
      <c r="F11" s="32" t="inlineStr">
        <is>
          <t>00:45:58</t>
        </is>
      </c>
      <c r="G11" s="32" t="n">
        <v>42</v>
      </c>
      <c r="H11" s="32" t="n">
        <v>19</v>
      </c>
      <c r="I11" s="33" t="n">
        <v>849.1799999999999</v>
      </c>
      <c r="J11" s="32" t="inlineStr">
        <is>
          <t>RamganjMandi(RMA)</t>
        </is>
      </c>
      <c r="K11" s="32" t="inlineStr">
        <is>
          <t>N</t>
        </is>
      </c>
      <c r="L11" s="32" t="inlineStr">
        <is>
          <t>Non-Valid</t>
        </is>
      </c>
      <c r="M11" s="17" t="inlineStr">
        <is>
          <t>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</t>
        </is>
      </c>
    </row>
    <row r="12">
      <c r="A12" s="32" t="inlineStr">
        <is>
          <t>1 Jul</t>
        </is>
      </c>
      <c r="B12" s="32" t="inlineStr">
        <is>
          <t>37582</t>
        </is>
      </c>
      <c r="C12" s="32" t="inlineStr">
        <is>
          <t>FS</t>
        </is>
      </c>
      <c r="D12" s="32" t="inlineStr">
        <is>
          <t>LS</t>
        </is>
      </c>
      <c r="E12" s="32" t="inlineStr">
        <is>
          <t>00:46:48</t>
        </is>
      </c>
      <c r="F12" s="32" t="inlineStr">
        <is>
          <t>00:47:18</t>
        </is>
      </c>
      <c r="G12" s="32" t="n">
        <v>30</v>
      </c>
      <c r="H12" s="32" t="n">
        <v>14</v>
      </c>
      <c r="I12" s="33" t="n">
        <v>850.95</v>
      </c>
      <c r="J12" s="32" t="inlineStr">
        <is>
          <t>RamganjMandi(RMA)</t>
        </is>
      </c>
      <c r="K12" s="32" t="inlineStr">
        <is>
          <t>N</t>
        </is>
      </c>
      <c r="L12" s="32" t="inlineStr">
        <is>
          <t>Non-Valid</t>
        </is>
      </c>
      <c r="M12" s="17" t="inlineStr">
        <is>
          <t>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</t>
        </is>
      </c>
    </row>
    <row r="13">
      <c r="A13" s="32" t="inlineStr">
        <is>
          <t>1 Jul</t>
        </is>
      </c>
      <c r="B13" s="32" t="inlineStr">
        <is>
          <t>37582</t>
        </is>
      </c>
      <c r="C13" s="32" t="inlineStr">
        <is>
          <t>FS</t>
        </is>
      </c>
      <c r="D13" s="32" t="inlineStr">
        <is>
          <t>LS</t>
        </is>
      </c>
      <c r="E13" s="32" t="inlineStr">
        <is>
          <t>01:04:44</t>
        </is>
      </c>
      <c r="F13" s="32" t="inlineStr">
        <is>
          <t>01:06:12</t>
        </is>
      </c>
      <c r="G13" s="32" t="n">
        <v>88</v>
      </c>
      <c r="H13" s="32" t="n">
        <v>40</v>
      </c>
      <c r="I13" s="33" t="n">
        <v>867.34</v>
      </c>
      <c r="J13" s="32" t="inlineStr">
        <is>
          <t>IBH KIW-DARA</t>
        </is>
      </c>
      <c r="K13" s="32" t="inlineStr">
        <is>
          <t>N</t>
        </is>
      </c>
      <c r="L13" s="32" t="inlineStr">
        <is>
          <t>Non-Valid</t>
        </is>
      </c>
      <c r="M13" s="17" t="inlineStr">
        <is>
          <t>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</t>
        </is>
      </c>
    </row>
    <row r="14">
      <c r="A14" s="32" t="inlineStr">
        <is>
          <t>1 Jul</t>
        </is>
      </c>
      <c r="B14" s="32" t="inlineStr">
        <is>
          <t>30507</t>
        </is>
      </c>
      <c r="C14" s="32" t="inlineStr">
        <is>
          <t>OS</t>
        </is>
      </c>
      <c r="D14" s="32" t="inlineStr">
        <is>
          <t>SR</t>
        </is>
      </c>
      <c r="E14" s="32" t="inlineStr">
        <is>
          <t>01:08:18</t>
        </is>
      </c>
      <c r="F14" s="32" t="inlineStr">
        <is>
          <t>01:08:18</t>
        </is>
      </c>
      <c r="G14" s="32" t="n">
        <v>0</v>
      </c>
      <c r="H14" s="32" t="n">
        <v>1</v>
      </c>
      <c r="I14" s="33" t="n">
        <v>1172.44</v>
      </c>
      <c r="J14" s="32" t="inlineStr">
        <is>
          <t>Bayana Jn.(BXN)</t>
        </is>
      </c>
      <c r="K14" s="32" t="inlineStr">
        <is>
          <t>R</t>
        </is>
      </c>
      <c r="L14" s="32" t="inlineStr">
        <is>
          <t>Non-Valid</t>
        </is>
      </c>
      <c r="M14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5">
      <c r="A15" s="32" t="inlineStr">
        <is>
          <t>1 Jul</t>
        </is>
      </c>
      <c r="B15" s="32" t="inlineStr">
        <is>
          <t>37582</t>
        </is>
      </c>
      <c r="C15" s="32" t="inlineStr">
        <is>
          <t>FS</t>
        </is>
      </c>
      <c r="D15" s="32" t="inlineStr">
        <is>
          <t>LS</t>
        </is>
      </c>
      <c r="E15" s="32" t="inlineStr">
        <is>
          <t>01:19:52</t>
        </is>
      </c>
      <c r="F15" s="32" t="inlineStr">
        <is>
          <t>01:20:36</t>
        </is>
      </c>
      <c r="G15" s="32" t="n">
        <v>44</v>
      </c>
      <c r="H15" s="32" t="n">
        <v>20</v>
      </c>
      <c r="I15" s="33" t="n">
        <v>893.71</v>
      </c>
      <c r="J15" s="32" t="inlineStr">
        <is>
          <t>IBH DHANIKASAR</t>
        </is>
      </c>
      <c r="K15" s="32" t="inlineStr">
        <is>
          <t>N</t>
        </is>
      </c>
      <c r="L15" s="32" t="inlineStr">
        <is>
          <t>Non-Valid</t>
        </is>
      </c>
      <c r="M15" s="17" t="inlineStr">
        <is>
          <t>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</t>
        </is>
      </c>
    </row>
    <row r="16">
      <c r="A16" s="32" t="inlineStr">
        <is>
          <t>1 Jul</t>
        </is>
      </c>
      <c r="B16" s="32" t="inlineStr">
        <is>
          <t>37035</t>
        </is>
      </c>
      <c r="C16" s="32" t="inlineStr">
        <is>
          <t>FS</t>
        </is>
      </c>
      <c r="D16" s="32" t="inlineStr">
        <is>
          <t>SR</t>
        </is>
      </c>
      <c r="E16" s="32" t="inlineStr">
        <is>
          <t>01:20:12</t>
        </is>
      </c>
      <c r="F16" s="32" t="inlineStr">
        <is>
          <t>01:22:58</t>
        </is>
      </c>
      <c r="G16" s="32" t="n">
        <v>166</v>
      </c>
      <c r="H16" s="32" t="n">
        <v>82</v>
      </c>
      <c r="I16" s="33" t="n">
        <v>1047.67</v>
      </c>
      <c r="J16" s="32" t="inlineStr">
        <is>
          <t>Makholi(MXL)</t>
        </is>
      </c>
      <c r="K16" s="32" t="inlineStr">
        <is>
          <t>U</t>
        </is>
      </c>
      <c r="L16" s="32" t="inlineStr">
        <is>
          <t>Non-Valid</t>
        </is>
      </c>
      <c r="M16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17">
      <c r="A17" s="17" t="inlineStr">
        <is>
          <t>1 Jul</t>
        </is>
      </c>
      <c r="B17" s="17" t="inlineStr">
        <is>
          <t>37569</t>
        </is>
      </c>
      <c r="C17" s="17" t="inlineStr">
        <is>
          <t>FS</t>
        </is>
      </c>
      <c r="D17" s="17" t="inlineStr">
        <is>
          <t>SR</t>
        </is>
      </c>
      <c r="E17" s="17" t="inlineStr">
        <is>
          <t>01:47:18</t>
        </is>
      </c>
      <c r="F17" s="17" t="inlineStr">
        <is>
          <t>01:47:18</t>
        </is>
      </c>
      <c r="G17" s="17" t="n">
        <v>0</v>
      </c>
      <c r="H17" s="17" t="n">
        <v>1</v>
      </c>
      <c r="I17" s="36" t="n">
        <v>1106.62</v>
      </c>
      <c r="J17" s="17" t="inlineStr">
        <is>
          <t>ChhotiOdai(COO)</t>
        </is>
      </c>
      <c r="K17" s="17" t="inlineStr">
        <is>
          <t>U</t>
        </is>
      </c>
      <c r="L17" s="17" t="inlineStr">
        <is>
          <t>Valid</t>
        </is>
      </c>
      <c r="M17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8">
      <c r="A18" s="17" t="inlineStr">
        <is>
          <t>1 Jul</t>
        </is>
      </c>
      <c r="B18" s="17" t="inlineStr">
        <is>
          <t>37569</t>
        </is>
      </c>
      <c r="C18" s="17" t="inlineStr">
        <is>
          <t>FS</t>
        </is>
      </c>
      <c r="D18" s="17" t="inlineStr">
        <is>
          <t>SR</t>
        </is>
      </c>
      <c r="E18" s="17" t="inlineStr">
        <is>
          <t>01:47:20</t>
        </is>
      </c>
      <c r="F18" s="17" t="inlineStr">
        <is>
          <t>01:47:52</t>
        </is>
      </c>
      <c r="G18" s="17" t="n">
        <v>32</v>
      </c>
      <c r="H18" s="17" t="n">
        <v>17</v>
      </c>
      <c r="I18" s="36" t="n">
        <v>1105.89</v>
      </c>
      <c r="J18" s="17" t="inlineStr">
        <is>
          <t>ChhotiOdai(COO)</t>
        </is>
      </c>
      <c r="K18" s="17" t="inlineStr">
        <is>
          <t>U</t>
        </is>
      </c>
      <c r="L18" s="17" t="inlineStr">
        <is>
          <t>Valid</t>
        </is>
      </c>
      <c r="M18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9">
      <c r="A19" s="17" t="inlineStr">
        <is>
          <t>1 Jul</t>
        </is>
      </c>
      <c r="B19" s="17" t="inlineStr">
        <is>
          <t>37569</t>
        </is>
      </c>
      <c r="C19" s="17" t="inlineStr">
        <is>
          <t>OS</t>
        </is>
      </c>
      <c r="D19" s="17" t="inlineStr">
        <is>
          <t>SR</t>
        </is>
      </c>
      <c r="E19" s="17" t="inlineStr">
        <is>
          <t>01:47:54</t>
        </is>
      </c>
      <c r="F19" s="17" t="inlineStr">
        <is>
          <t>01:47:54</t>
        </is>
      </c>
      <c r="G19" s="17" t="n">
        <v>0</v>
      </c>
      <c r="H19" s="17" t="n">
        <v>1</v>
      </c>
      <c r="I19" s="36" t="n">
        <v>1105.41</v>
      </c>
      <c r="J19" s="17" t="inlineStr">
        <is>
          <t>ChhotiOdai(COO)</t>
        </is>
      </c>
      <c r="K19" s="17" t="inlineStr">
        <is>
          <t>R</t>
        </is>
      </c>
      <c r="L19" s="17" t="inlineStr">
        <is>
          <t>Valid</t>
        </is>
      </c>
      <c r="M19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0">
      <c r="A20" s="32" t="inlineStr">
        <is>
          <t>1 Jul</t>
        </is>
      </c>
      <c r="B20" s="32" t="inlineStr">
        <is>
          <t>37163</t>
        </is>
      </c>
      <c r="C20" s="32" t="inlineStr">
        <is>
          <t>FS</t>
        </is>
      </c>
      <c r="D20" s="32" t="inlineStr">
        <is>
          <t>SR</t>
        </is>
      </c>
      <c r="E20" s="32" t="inlineStr">
        <is>
          <t>01:57:14</t>
        </is>
      </c>
      <c r="F20" s="32" t="inlineStr">
        <is>
          <t>01:57:40</t>
        </is>
      </c>
      <c r="G20" s="32" t="n">
        <v>26</v>
      </c>
      <c r="H20" s="32" t="n">
        <v>28</v>
      </c>
      <c r="I20" s="33" t="n">
        <v>958.79</v>
      </c>
      <c r="J20" s="32" t="inlineStr">
        <is>
          <t>IBH-131</t>
        </is>
      </c>
      <c r="K20" s="32" t="inlineStr">
        <is>
          <t>R</t>
        </is>
      </c>
      <c r="L20" s="32" t="inlineStr">
        <is>
          <t>Non-Valid</t>
        </is>
      </c>
      <c r="M20" s="17" t="inlineStr">
        <is>
          <t>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</t>
        </is>
      </c>
    </row>
    <row r="21">
      <c r="A21" s="32" t="inlineStr">
        <is>
          <t>1 Jul</t>
        </is>
      </c>
      <c r="B21" s="32" t="inlineStr">
        <is>
          <t>30507</t>
        </is>
      </c>
      <c r="C21" s="32" t="inlineStr">
        <is>
          <t>FS</t>
        </is>
      </c>
      <c r="D21" s="32" t="inlineStr">
        <is>
          <t>SR</t>
        </is>
      </c>
      <c r="E21" s="32" t="inlineStr">
        <is>
          <t>02:01:26</t>
        </is>
      </c>
      <c r="F21" s="32" t="inlineStr">
        <is>
          <t>02:01:26</t>
        </is>
      </c>
      <c r="G21" s="32" t="n">
        <v>0</v>
      </c>
      <c r="H21" s="32" t="n">
        <v>1</v>
      </c>
      <c r="I21" s="33" t="n">
        <v>1117.16</v>
      </c>
      <c r="J21" s="32" t="inlineStr">
        <is>
          <t>IBH-192</t>
        </is>
      </c>
      <c r="K21" s="32" t="inlineStr">
        <is>
          <t>R</t>
        </is>
      </c>
      <c r="L21" s="32" t="inlineStr">
        <is>
          <t>Non-Valid</t>
        </is>
      </c>
      <c r="M21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2">
      <c r="A22" s="32" t="inlineStr">
        <is>
          <t>1 Jul</t>
        </is>
      </c>
      <c r="B22" s="32" t="inlineStr">
        <is>
          <t>30507</t>
        </is>
      </c>
      <c r="C22" s="32" t="inlineStr">
        <is>
          <t>FS</t>
        </is>
      </c>
      <c r="D22" s="32" t="inlineStr">
        <is>
          <t>SR</t>
        </is>
      </c>
      <c r="E22" s="32" t="inlineStr">
        <is>
          <t>02:01:28</t>
        </is>
      </c>
      <c r="F22" s="32" t="inlineStr">
        <is>
          <t>02:01:30</t>
        </is>
      </c>
      <c r="G22" s="32" t="n">
        <v>2</v>
      </c>
      <c r="H22" s="32" t="n">
        <v>3</v>
      </c>
      <c r="I22" s="33" t="n">
        <v>1117.11</v>
      </c>
      <c r="J22" s="32" t="inlineStr">
        <is>
          <t>IBH-192</t>
        </is>
      </c>
      <c r="K22" s="32" t="inlineStr">
        <is>
          <t>R</t>
        </is>
      </c>
      <c r="L22" s="32" t="inlineStr">
        <is>
          <t>Non-Valid</t>
        </is>
      </c>
      <c r="M22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3">
      <c r="A23" s="17" t="inlineStr">
        <is>
          <t>1 Jul</t>
        </is>
      </c>
      <c r="B23" s="17" t="inlineStr">
        <is>
          <t>30757</t>
        </is>
      </c>
      <c r="C23" s="17" t="inlineStr">
        <is>
          <t>FS</t>
        </is>
      </c>
      <c r="D23" s="17" t="inlineStr">
        <is>
          <t>SR</t>
        </is>
      </c>
      <c r="E23" s="17" t="inlineStr">
        <is>
          <t>02:23:48</t>
        </is>
      </c>
      <c r="F23" s="17" t="inlineStr">
        <is>
          <t>02:24:48</t>
        </is>
      </c>
      <c r="G23" s="17" t="n">
        <v>60</v>
      </c>
      <c r="H23" s="17" t="n">
        <v>34</v>
      </c>
      <c r="I23" s="36" t="n">
        <v>748.16</v>
      </c>
      <c r="J23" s="17" t="inlineStr">
        <is>
          <t>IBH-27</t>
        </is>
      </c>
      <c r="K23" s="17" t="inlineStr">
        <is>
          <t>U</t>
        </is>
      </c>
      <c r="L23" s="17" t="inlineStr">
        <is>
          <t>Valid</t>
        </is>
      </c>
      <c r="M23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4">
      <c r="A24" s="32" t="inlineStr">
        <is>
          <t>1 Jul</t>
        </is>
      </c>
      <c r="B24" s="32" t="inlineStr">
        <is>
          <t>37873</t>
        </is>
      </c>
      <c r="C24" s="32" t="inlineStr">
        <is>
          <t>FS</t>
        </is>
      </c>
      <c r="D24" s="32" t="inlineStr">
        <is>
          <t>SR</t>
        </is>
      </c>
      <c r="E24" s="32" t="inlineStr">
        <is>
          <t>02:52:42</t>
        </is>
      </c>
      <c r="F24" s="32" t="inlineStr">
        <is>
          <t>02:52:48</t>
        </is>
      </c>
      <c r="G24" s="32" t="n">
        <v>6</v>
      </c>
      <c r="H24" s="32" t="n">
        <v>7</v>
      </c>
      <c r="I24" s="33" t="n">
        <v>1015.33</v>
      </c>
      <c r="J24" s="32" t="inlineStr">
        <is>
          <t>2.0 KM from RWJ</t>
        </is>
      </c>
      <c r="K24" s="32" t="inlineStr">
        <is>
          <t>N</t>
        </is>
      </c>
      <c r="L24" s="32" t="inlineStr">
        <is>
          <t>Non-Valid</t>
        </is>
      </c>
      <c r="M24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25">
      <c r="A25" s="32" t="inlineStr">
        <is>
          <t>1 Jul</t>
        </is>
      </c>
      <c r="B25" s="32" t="inlineStr">
        <is>
          <t>39025</t>
        </is>
      </c>
      <c r="C25" s="32" t="inlineStr">
        <is>
          <t>FS</t>
        </is>
      </c>
      <c r="D25" s="32" t="inlineStr">
        <is>
          <t>SR</t>
        </is>
      </c>
      <c r="E25" s="32" t="inlineStr">
        <is>
          <t>03:02:10</t>
        </is>
      </c>
      <c r="F25" s="32" t="inlineStr">
        <is>
          <t>03:02:10</t>
        </is>
      </c>
      <c r="G25" s="32" t="n">
        <v>0</v>
      </c>
      <c r="H25" s="32" t="n">
        <v>1</v>
      </c>
      <c r="I25" s="33" t="n">
        <v>1240.15</v>
      </c>
      <c r="J25" s="32" t="inlineStr">
        <is>
          <t>IBH 265</t>
        </is>
      </c>
      <c r="K25" s="32" t="inlineStr">
        <is>
          <t>N</t>
        </is>
      </c>
      <c r="L25" s="32" t="inlineStr">
        <is>
          <t>Non-Valid</t>
        </is>
      </c>
      <c r="M25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</t>
        </is>
      </c>
    </row>
    <row r="26">
      <c r="A26" s="32" t="inlineStr">
        <is>
          <t>1 Jul</t>
        </is>
      </c>
      <c r="B26" s="32" t="inlineStr">
        <is>
          <t>30206</t>
        </is>
      </c>
      <c r="C26" s="32" t="inlineStr">
        <is>
          <t>FS</t>
        </is>
      </c>
      <c r="D26" s="32" t="inlineStr">
        <is>
          <t>SR</t>
        </is>
      </c>
      <c r="E26" s="32" t="inlineStr">
        <is>
          <t>03:05:02</t>
        </is>
      </c>
      <c r="F26" s="32" t="inlineStr">
        <is>
          <t>03:05:12</t>
        </is>
      </c>
      <c r="G26" s="32" t="n">
        <v>10</v>
      </c>
      <c r="H26" s="32" t="n">
        <v>12</v>
      </c>
      <c r="I26" s="33" t="n">
        <v>959.89</v>
      </c>
      <c r="J26" s="32" t="inlineStr">
        <is>
          <t>IBH-131</t>
        </is>
      </c>
      <c r="K26" s="32" t="inlineStr">
        <is>
          <t>R</t>
        </is>
      </c>
      <c r="L26" s="32" t="inlineStr">
        <is>
          <t>Non-Valid</t>
        </is>
      </c>
      <c r="M26" s="17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7">
      <c r="A27" s="32" t="inlineStr">
        <is>
          <t>1 Jul</t>
        </is>
      </c>
      <c r="B27" s="32" t="inlineStr">
        <is>
          <t>30206</t>
        </is>
      </c>
      <c r="C27" s="32" t="inlineStr">
        <is>
          <t>OS</t>
        </is>
      </c>
      <c r="D27" s="32" t="inlineStr">
        <is>
          <t>SR</t>
        </is>
      </c>
      <c r="E27" s="32" t="inlineStr">
        <is>
          <t>03:05:46</t>
        </is>
      </c>
      <c r="F27" s="32" t="inlineStr">
        <is>
          <t>03:05:52</t>
        </is>
      </c>
      <c r="G27" s="32" t="n">
        <v>6</v>
      </c>
      <c r="H27" s="32" t="n">
        <v>7</v>
      </c>
      <c r="I27" s="33" t="n">
        <v>958.36</v>
      </c>
      <c r="J27" s="32" t="inlineStr">
        <is>
          <t>IBH-131</t>
        </is>
      </c>
      <c r="K27" s="32" t="inlineStr">
        <is>
          <t>R</t>
        </is>
      </c>
      <c r="L27" s="32" t="inlineStr">
        <is>
          <t>Non-Valid</t>
        </is>
      </c>
      <c r="M27" s="17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8">
      <c r="A28" s="17" t="inlineStr">
        <is>
          <t>1 Jul</t>
        </is>
      </c>
      <c r="B28" s="17" t="inlineStr">
        <is>
          <t>37569</t>
        </is>
      </c>
      <c r="C28" s="17" t="inlineStr">
        <is>
          <t>FS</t>
        </is>
      </c>
      <c r="D28" s="17" t="inlineStr">
        <is>
          <t>SR</t>
        </is>
      </c>
      <c r="E28" s="17" t="inlineStr">
        <is>
          <t>03:15:14</t>
        </is>
      </c>
      <c r="F28" s="17" t="inlineStr">
        <is>
          <t>03:15:14</t>
        </is>
      </c>
      <c r="G28" s="17" t="n">
        <v>0</v>
      </c>
      <c r="H28" s="17" t="n">
        <v>1</v>
      </c>
      <c r="I28" s="36" t="n">
        <v>958.16</v>
      </c>
      <c r="J28" s="17" t="inlineStr">
        <is>
          <t>LC-128</t>
        </is>
      </c>
      <c r="K28" s="17" t="inlineStr">
        <is>
          <t>R</t>
        </is>
      </c>
      <c r="L28" s="17" t="inlineStr">
        <is>
          <t>Valid</t>
        </is>
      </c>
      <c r="M28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9">
      <c r="A29" s="17" t="inlineStr">
        <is>
          <t>1 Jul</t>
        </is>
      </c>
      <c r="B29" s="17" t="inlineStr">
        <is>
          <t>37569</t>
        </is>
      </c>
      <c r="C29" s="17" t="inlineStr">
        <is>
          <t>FS</t>
        </is>
      </c>
      <c r="D29" s="17" t="inlineStr">
        <is>
          <t>SR</t>
        </is>
      </c>
      <c r="E29" s="17" t="inlineStr">
        <is>
          <t>03:15:16</t>
        </is>
      </c>
      <c r="F29" s="17" t="inlineStr">
        <is>
          <t>03:15:18</t>
        </is>
      </c>
      <c r="G29" s="17" t="n">
        <v>2</v>
      </c>
      <c r="H29" s="17" t="n">
        <v>4</v>
      </c>
      <c r="I29" s="36" t="n">
        <v>958.09</v>
      </c>
      <c r="J29" s="17" t="inlineStr">
        <is>
          <t>LC-128</t>
        </is>
      </c>
      <c r="K29" s="17" t="inlineStr">
        <is>
          <t>R</t>
        </is>
      </c>
      <c r="L29" s="17" t="inlineStr">
        <is>
          <t>Valid</t>
        </is>
      </c>
      <c r="M29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0">
      <c r="A30" s="32" t="inlineStr">
        <is>
          <t>1 Jul</t>
        </is>
      </c>
      <c r="B30" s="32" t="inlineStr">
        <is>
          <t>30429</t>
        </is>
      </c>
      <c r="C30" s="32" t="inlineStr">
        <is>
          <t>FS</t>
        </is>
      </c>
      <c r="D30" s="32" t="inlineStr">
        <is>
          <t>SR</t>
        </is>
      </c>
      <c r="E30" s="32" t="inlineStr">
        <is>
          <t>03:23:40</t>
        </is>
      </c>
      <c r="F30" s="32" t="inlineStr">
        <is>
          <t>03:23:40</t>
        </is>
      </c>
      <c r="G30" s="32" t="n">
        <v>0</v>
      </c>
      <c r="H30" s="32" t="n">
        <v>1</v>
      </c>
      <c r="I30" s="33" t="n">
        <v>1240.15</v>
      </c>
      <c r="J30" s="32" t="inlineStr">
        <is>
          <t>IBH 265</t>
        </is>
      </c>
      <c r="K30" s="32" t="inlineStr">
        <is>
          <t>N</t>
        </is>
      </c>
      <c r="L30" s="32" t="inlineStr">
        <is>
          <t>Non-Valid</t>
        </is>
      </c>
      <c r="M30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</t>
        </is>
      </c>
    </row>
    <row r="31">
      <c r="A31" s="32" t="inlineStr">
        <is>
          <t>1 Jul</t>
        </is>
      </c>
      <c r="B31" s="32" t="inlineStr">
        <is>
          <t>37035</t>
        </is>
      </c>
      <c r="C31" s="32" t="inlineStr">
        <is>
          <t>FS</t>
        </is>
      </c>
      <c r="D31" s="32" t="inlineStr">
        <is>
          <t>SR</t>
        </is>
      </c>
      <c r="E31" s="32" t="inlineStr">
        <is>
          <t>03:32:42</t>
        </is>
      </c>
      <c r="F31" s="32" t="inlineStr">
        <is>
          <t>03:32:42</t>
        </is>
      </c>
      <c r="G31" s="32" t="n">
        <v>0</v>
      </c>
      <c r="H31" s="32" t="n">
        <v>1</v>
      </c>
      <c r="I31" s="33" t="n">
        <v>960.3</v>
      </c>
      <c r="J31" s="32" t="inlineStr">
        <is>
          <t>IBH-131</t>
        </is>
      </c>
      <c r="K31" s="32" t="inlineStr">
        <is>
          <t>R</t>
        </is>
      </c>
      <c r="L31" s="32" t="inlineStr">
        <is>
          <t>Non-Valid</t>
        </is>
      </c>
      <c r="M31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32">
      <c r="A32" s="32" t="inlineStr">
        <is>
          <t>1 Jul</t>
        </is>
      </c>
      <c r="B32" s="32" t="inlineStr">
        <is>
          <t>37035</t>
        </is>
      </c>
      <c r="C32" s="32" t="inlineStr">
        <is>
          <t>FS</t>
        </is>
      </c>
      <c r="D32" s="32" t="inlineStr">
        <is>
          <t>SR</t>
        </is>
      </c>
      <c r="E32" s="32" t="inlineStr">
        <is>
          <t>03:32:44</t>
        </is>
      </c>
      <c r="F32" s="32" t="inlineStr">
        <is>
          <t>03:32:54</t>
        </is>
      </c>
      <c r="G32" s="32" t="n">
        <v>10</v>
      </c>
      <c r="H32" s="32" t="n">
        <v>12</v>
      </c>
      <c r="I32" s="33" t="n">
        <v>960.25</v>
      </c>
      <c r="J32" s="32" t="inlineStr">
        <is>
          <t>IBH-131</t>
        </is>
      </c>
      <c r="K32" s="32" t="inlineStr">
        <is>
          <t>R</t>
        </is>
      </c>
      <c r="L32" s="32" t="inlineStr">
        <is>
          <t>Non-Valid</t>
        </is>
      </c>
      <c r="M32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33">
      <c r="A33" s="32" t="inlineStr">
        <is>
          <t>1 Jul</t>
        </is>
      </c>
      <c r="B33" s="32" t="inlineStr">
        <is>
          <t>37035</t>
        </is>
      </c>
      <c r="C33" s="32" t="inlineStr">
        <is>
          <t>OS</t>
        </is>
      </c>
      <c r="D33" s="32" t="inlineStr">
        <is>
          <t>SR</t>
        </is>
      </c>
      <c r="E33" s="32" t="inlineStr">
        <is>
          <t>03:32:56</t>
        </is>
      </c>
      <c r="F33" s="32" t="inlineStr">
        <is>
          <t>03:32:56</t>
        </is>
      </c>
      <c r="G33" s="32" t="n">
        <v>0</v>
      </c>
      <c r="H33" s="32" t="n">
        <v>1</v>
      </c>
      <c r="I33" s="33" t="n">
        <v>959.9299999999999</v>
      </c>
      <c r="J33" s="32" t="inlineStr">
        <is>
          <t>IBH-131</t>
        </is>
      </c>
      <c r="K33" s="32" t="inlineStr">
        <is>
          <t>R</t>
        </is>
      </c>
      <c r="L33" s="32" t="inlineStr">
        <is>
          <t>Non-Valid</t>
        </is>
      </c>
      <c r="M33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34">
      <c r="A34" s="32" t="inlineStr">
        <is>
          <t>1 Jul</t>
        </is>
      </c>
      <c r="B34" s="32" t="inlineStr">
        <is>
          <t>37035</t>
        </is>
      </c>
      <c r="C34" s="32" t="inlineStr">
        <is>
          <t>OS</t>
        </is>
      </c>
      <c r="D34" s="32" t="inlineStr">
        <is>
          <t>SR</t>
        </is>
      </c>
      <c r="E34" s="32" t="inlineStr">
        <is>
          <t>03:33:10</t>
        </is>
      </c>
      <c r="F34" s="32" t="inlineStr">
        <is>
          <t>03:33:10</t>
        </is>
      </c>
      <c r="G34" s="32" t="n">
        <v>0</v>
      </c>
      <c r="H34" s="32" t="n">
        <v>1</v>
      </c>
      <c r="I34" s="33" t="n">
        <v>959.48</v>
      </c>
      <c r="J34" s="32" t="inlineStr">
        <is>
          <t>IBH-131</t>
        </is>
      </c>
      <c r="K34" s="32" t="inlineStr">
        <is>
          <t>R</t>
        </is>
      </c>
      <c r="L34" s="32" t="inlineStr">
        <is>
          <t>Non-Valid</t>
        </is>
      </c>
      <c r="M34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35">
      <c r="A35" s="32" t="inlineStr">
        <is>
          <t>1 Jul</t>
        </is>
      </c>
      <c r="B35" s="32" t="inlineStr">
        <is>
          <t>37035</t>
        </is>
      </c>
      <c r="C35" s="32" t="inlineStr">
        <is>
          <t>OS</t>
        </is>
      </c>
      <c r="D35" s="32" t="inlineStr">
        <is>
          <t>SR</t>
        </is>
      </c>
      <c r="E35" s="32" t="inlineStr">
        <is>
          <t>03:33:12</t>
        </is>
      </c>
      <c r="F35" s="32" t="inlineStr">
        <is>
          <t>03:33:12</t>
        </is>
      </c>
      <c r="G35" s="32" t="n">
        <v>0</v>
      </c>
      <c r="H35" s="32" t="n">
        <v>1</v>
      </c>
      <c r="I35" s="33" t="n">
        <v>959.45</v>
      </c>
      <c r="J35" s="32" t="inlineStr">
        <is>
          <t>IBH-131</t>
        </is>
      </c>
      <c r="K35" s="32" t="inlineStr">
        <is>
          <t>R</t>
        </is>
      </c>
      <c r="L35" s="32" t="inlineStr">
        <is>
          <t>Non-Valid</t>
        </is>
      </c>
      <c r="M35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36">
      <c r="A36" s="17" t="inlineStr">
        <is>
          <t>1 Jul</t>
        </is>
      </c>
      <c r="B36" s="17" t="inlineStr">
        <is>
          <t>30480</t>
        </is>
      </c>
      <c r="C36" s="17" t="inlineStr">
        <is>
          <t>FS</t>
        </is>
      </c>
      <c r="D36" s="17" t="inlineStr">
        <is>
          <t>SR</t>
        </is>
      </c>
      <c r="E36" s="17" t="inlineStr">
        <is>
          <t>03:39:50</t>
        </is>
      </c>
      <c r="F36" s="17" t="inlineStr">
        <is>
          <t>03:39:50</t>
        </is>
      </c>
      <c r="G36" s="17" t="n">
        <v>0</v>
      </c>
      <c r="H36" s="17" t="n">
        <v>1</v>
      </c>
      <c r="I36" s="36" t="n">
        <v>747.08</v>
      </c>
      <c r="J36" s="17" t="inlineStr">
        <is>
          <t>IBH-27</t>
        </is>
      </c>
      <c r="K36" s="17" t="inlineStr">
        <is>
          <t>U</t>
        </is>
      </c>
      <c r="L36" s="17" t="inlineStr">
        <is>
          <t>Valid</t>
        </is>
      </c>
      <c r="M36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7">
      <c r="A37" s="17" t="inlineStr">
        <is>
          <t>1 Jul</t>
        </is>
      </c>
      <c r="B37" s="17" t="inlineStr">
        <is>
          <t>30480</t>
        </is>
      </c>
      <c r="C37" s="17" t="inlineStr">
        <is>
          <t>FS</t>
        </is>
      </c>
      <c r="D37" s="17" t="inlineStr">
        <is>
          <t>SR</t>
        </is>
      </c>
      <c r="E37" s="17" t="inlineStr">
        <is>
          <t>03:39:52</t>
        </is>
      </c>
      <c r="F37" s="17" t="inlineStr">
        <is>
          <t>03:40:58</t>
        </is>
      </c>
      <c r="G37" s="17" t="n">
        <v>66</v>
      </c>
      <c r="H37" s="17" t="n">
        <v>36</v>
      </c>
      <c r="I37" s="36" t="n">
        <v>748.24</v>
      </c>
      <c r="J37" s="17" t="inlineStr">
        <is>
          <t>IBH-27</t>
        </is>
      </c>
      <c r="K37" s="17" t="inlineStr">
        <is>
          <t>U</t>
        </is>
      </c>
      <c r="L37" s="17" t="inlineStr">
        <is>
          <t>Valid</t>
        </is>
      </c>
      <c r="M37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8">
      <c r="A38" s="17" t="inlineStr">
        <is>
          <t>1 Jul</t>
        </is>
      </c>
      <c r="B38" s="17" t="inlineStr">
        <is>
          <t>30480</t>
        </is>
      </c>
      <c r="C38" s="17" t="inlineStr">
        <is>
          <t>OS</t>
        </is>
      </c>
      <c r="D38" s="17" t="inlineStr">
        <is>
          <t>SR</t>
        </is>
      </c>
      <c r="E38" s="17" t="inlineStr">
        <is>
          <t>03:41:00</t>
        </is>
      </c>
      <c r="F38" s="17" t="inlineStr">
        <is>
          <t>03:41:00</t>
        </is>
      </c>
      <c r="G38" s="17" t="n">
        <v>0</v>
      </c>
      <c r="H38" s="17" t="n">
        <v>1</v>
      </c>
      <c r="I38" s="36" t="n">
        <v>749.34</v>
      </c>
      <c r="J38" s="17" t="inlineStr">
        <is>
          <t>IBH-27</t>
        </is>
      </c>
      <c r="K38" s="17" t="inlineStr">
        <is>
          <t>N</t>
        </is>
      </c>
      <c r="L38" s="17" t="inlineStr">
        <is>
          <t>Valid</t>
        </is>
      </c>
      <c r="M38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9">
      <c r="A39" s="17" t="inlineStr">
        <is>
          <t>1 Jul</t>
        </is>
      </c>
      <c r="B39" s="17" t="inlineStr">
        <is>
          <t>30480</t>
        </is>
      </c>
      <c r="C39" s="17" t="inlineStr">
        <is>
          <t>OS</t>
        </is>
      </c>
      <c r="D39" s="17" t="inlineStr">
        <is>
          <t>SR</t>
        </is>
      </c>
      <c r="E39" s="17" t="inlineStr">
        <is>
          <t>03:42:02</t>
        </is>
      </c>
      <c r="F39" s="17" t="inlineStr">
        <is>
          <t>03:42:04</t>
        </is>
      </c>
      <c r="G39" s="17" t="n">
        <v>2</v>
      </c>
      <c r="H39" s="17" t="n">
        <v>4</v>
      </c>
      <c r="I39" s="36" t="n">
        <v>751.3200000000001</v>
      </c>
      <c r="J39" s="17" t="inlineStr">
        <is>
          <t>Talavli(TLZ)</t>
        </is>
      </c>
      <c r="K39" s="17" t="inlineStr">
        <is>
          <t>N</t>
        </is>
      </c>
      <c r="L39" s="17" t="inlineStr">
        <is>
          <t>Valid</t>
        </is>
      </c>
      <c r="M39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0">
      <c r="A40" s="32" t="inlineStr">
        <is>
          <t>1 Jul</t>
        </is>
      </c>
      <c r="B40" s="32" t="inlineStr">
        <is>
          <t>30206</t>
        </is>
      </c>
      <c r="C40" s="32" t="inlineStr">
        <is>
          <t>FS</t>
        </is>
      </c>
      <c r="D40" s="32" t="inlineStr">
        <is>
          <t>LS</t>
        </is>
      </c>
      <c r="E40" s="32" t="inlineStr">
        <is>
          <t>04:26:06</t>
        </is>
      </c>
      <c r="F40" s="32" t="inlineStr">
        <is>
          <t>04:26:10</t>
        </is>
      </c>
      <c r="G40" s="32" t="n">
        <v>4</v>
      </c>
      <c r="H40" s="32" t="n">
        <v>5</v>
      </c>
      <c r="I40" s="33" t="n">
        <v>860.39</v>
      </c>
      <c r="J40" s="32" t="inlineStr">
        <is>
          <t>Morak(MKX)</t>
        </is>
      </c>
      <c r="K40" s="32" t="inlineStr">
        <is>
          <t>R</t>
        </is>
      </c>
      <c r="L40" s="32" t="inlineStr">
        <is>
          <t>Non-Valid</t>
        </is>
      </c>
      <c r="M40" s="17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1">
      <c r="A41" s="32" t="inlineStr">
        <is>
          <t>1 Jul</t>
        </is>
      </c>
      <c r="B41" s="32" t="inlineStr">
        <is>
          <t>37163</t>
        </is>
      </c>
      <c r="C41" s="32" t="inlineStr">
        <is>
          <t>FS</t>
        </is>
      </c>
      <c r="D41" s="32" t="inlineStr">
        <is>
          <t>SR</t>
        </is>
      </c>
      <c r="E41" s="32" t="inlineStr">
        <is>
          <t>04:31:18</t>
        </is>
      </c>
      <c r="F41" s="32" t="inlineStr">
        <is>
          <t>04:31:18</t>
        </is>
      </c>
      <c r="G41" s="32" t="n">
        <v>0</v>
      </c>
      <c r="H41" s="32" t="n">
        <v>1</v>
      </c>
      <c r="I41" s="33" t="n">
        <v>864.85</v>
      </c>
      <c r="J41" s="32" t="inlineStr">
        <is>
          <t>Kanwalpura(KIW)</t>
        </is>
      </c>
      <c r="K41" s="32" t="inlineStr">
        <is>
          <t>R</t>
        </is>
      </c>
      <c r="L41" s="32" t="inlineStr">
        <is>
          <t>Non-Valid</t>
        </is>
      </c>
      <c r="M41" s="17" t="inlineStr">
        <is>
          <t>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</t>
        </is>
      </c>
    </row>
    <row r="42">
      <c r="A42" s="17" t="inlineStr">
        <is>
          <t>1 Jul</t>
        </is>
      </c>
      <c r="B42" s="17" t="inlineStr">
        <is>
          <t>30757</t>
        </is>
      </c>
      <c r="C42" s="17" t="inlineStr">
        <is>
          <t>FS</t>
        </is>
      </c>
      <c r="D42" s="17" t="inlineStr">
        <is>
          <t>SR</t>
        </is>
      </c>
      <c r="E42" s="17" t="inlineStr">
        <is>
          <t>05:03:00</t>
        </is>
      </c>
      <c r="F42" s="17" t="inlineStr">
        <is>
          <t>05:03:02</t>
        </is>
      </c>
      <c r="G42" s="17" t="n">
        <v>2</v>
      </c>
      <c r="H42" s="17" t="n">
        <v>3</v>
      </c>
      <c r="I42" s="36" t="n">
        <v>1015.5</v>
      </c>
      <c r="J42" s="17" t="inlineStr">
        <is>
          <t>IBH-RWJ</t>
        </is>
      </c>
      <c r="K42" s="17" t="inlineStr">
        <is>
          <t>N</t>
        </is>
      </c>
      <c r="L42" s="17" t="inlineStr">
        <is>
          <t>Valid</t>
        </is>
      </c>
      <c r="M42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3">
      <c r="A43" s="17" t="inlineStr">
        <is>
          <t>1 Jul</t>
        </is>
      </c>
      <c r="B43" s="17" t="inlineStr">
        <is>
          <t>30757</t>
        </is>
      </c>
      <c r="C43" s="17" t="inlineStr">
        <is>
          <t>FS</t>
        </is>
      </c>
      <c r="D43" s="17" t="inlineStr">
        <is>
          <t>SR</t>
        </is>
      </c>
      <c r="E43" s="17" t="inlineStr">
        <is>
          <t>05:49:04</t>
        </is>
      </c>
      <c r="F43" s="17" t="inlineStr">
        <is>
          <t>05:49:04</t>
        </is>
      </c>
      <c r="G43" s="17" t="n">
        <v>0</v>
      </c>
      <c r="H43" s="17" t="n">
        <v>1</v>
      </c>
      <c r="I43" s="36" t="n">
        <v>1091.24</v>
      </c>
      <c r="J43" s="17" t="inlineStr">
        <is>
          <t>Gangapur City(GGC)</t>
        </is>
      </c>
      <c r="K43" s="17" t="inlineStr">
        <is>
          <t>U</t>
        </is>
      </c>
      <c r="L43" s="17" t="inlineStr">
        <is>
          <t>Valid</t>
        </is>
      </c>
      <c r="M43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4">
      <c r="A44" s="17" t="inlineStr">
        <is>
          <t>1 Jul</t>
        </is>
      </c>
      <c r="B44" s="17" t="inlineStr">
        <is>
          <t>30757</t>
        </is>
      </c>
      <c r="C44" s="17" t="inlineStr">
        <is>
          <t>FS</t>
        </is>
      </c>
      <c r="D44" s="17" t="inlineStr">
        <is>
          <t>SR</t>
        </is>
      </c>
      <c r="E44" s="17" t="inlineStr">
        <is>
          <t>05:49:06</t>
        </is>
      </c>
      <c r="F44" s="17" t="inlineStr">
        <is>
          <t>05:49:46</t>
        </is>
      </c>
      <c r="G44" s="17" t="n">
        <v>40</v>
      </c>
      <c r="H44" s="17" t="n">
        <v>21</v>
      </c>
      <c r="I44" s="36" t="n">
        <v>1091.56</v>
      </c>
      <c r="J44" s="17" t="inlineStr">
        <is>
          <t>Gangapur City(GGC)</t>
        </is>
      </c>
      <c r="K44" s="17" t="inlineStr">
        <is>
          <t>U</t>
        </is>
      </c>
      <c r="L44" s="17" t="inlineStr">
        <is>
          <t>Valid</t>
        </is>
      </c>
      <c r="M44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5">
      <c r="A45" s="32" t="inlineStr">
        <is>
          <t>1 Jul</t>
        </is>
      </c>
      <c r="B45" s="32" t="inlineStr">
        <is>
          <t>30376</t>
        </is>
      </c>
      <c r="C45" s="32" t="inlineStr">
        <is>
          <t>FS</t>
        </is>
      </c>
      <c r="D45" s="32" t="inlineStr">
        <is>
          <t>SR</t>
        </is>
      </c>
      <c r="E45" s="32" t="inlineStr">
        <is>
          <t>06:11:14</t>
        </is>
      </c>
      <c r="F45" s="32" t="inlineStr">
        <is>
          <t>06:11:38</t>
        </is>
      </c>
      <c r="G45" s="32" t="n">
        <v>24</v>
      </c>
      <c r="H45" s="32" t="n">
        <v>13</v>
      </c>
      <c r="I45" s="33" t="n">
        <v>921.48</v>
      </c>
      <c r="J45" s="32" t="inlineStr">
        <is>
          <t>Kota Jn.(KOTA) CENTRAL</t>
        </is>
      </c>
      <c r="K45" s="32" t="inlineStr">
        <is>
          <t>U</t>
        </is>
      </c>
      <c r="L45" s="32" t="inlineStr">
        <is>
          <t>Non-Valid</t>
        </is>
      </c>
      <c r="M45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46">
      <c r="A46" s="32" t="inlineStr">
        <is>
          <t>1 Jul</t>
        </is>
      </c>
      <c r="B46" s="32" t="inlineStr">
        <is>
          <t>30396</t>
        </is>
      </c>
      <c r="C46" s="32" t="inlineStr">
        <is>
          <t>OS</t>
        </is>
      </c>
      <c r="D46" s="32" t="inlineStr">
        <is>
          <t>SR</t>
        </is>
      </c>
      <c r="E46" s="32" t="inlineStr">
        <is>
          <t>06:36:22</t>
        </is>
      </c>
      <c r="F46" s="32" t="inlineStr">
        <is>
          <t>06:36:22</t>
        </is>
      </c>
      <c r="G46" s="32" t="n">
        <v>0</v>
      </c>
      <c r="H46" s="32" t="n">
        <v>1</v>
      </c>
      <c r="I46" s="33" t="n">
        <v>1242.85</v>
      </c>
      <c r="J46" s="32" t="inlineStr">
        <is>
          <t>IBH 265</t>
        </is>
      </c>
      <c r="K46" s="32" t="inlineStr">
        <is>
          <t>R</t>
        </is>
      </c>
      <c r="L46" s="32" t="inlineStr">
        <is>
          <t>Non-Valid</t>
        </is>
      </c>
      <c r="M46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47">
      <c r="A47" s="17" t="inlineStr">
        <is>
          <t>1 Jul</t>
        </is>
      </c>
      <c r="B47" s="17" t="inlineStr">
        <is>
          <t>37839</t>
        </is>
      </c>
      <c r="C47" s="17" t="inlineStr">
        <is>
          <t>FS</t>
        </is>
      </c>
      <c r="D47" s="17" t="inlineStr">
        <is>
          <t>LS</t>
        </is>
      </c>
      <c r="E47" s="17" t="inlineStr">
        <is>
          <t>06:55:08</t>
        </is>
      </c>
      <c r="F47" s="17" t="inlineStr">
        <is>
          <t>06:55:20</t>
        </is>
      </c>
      <c r="G47" s="17" t="n">
        <v>12</v>
      </c>
      <c r="H47" s="17" t="n">
        <v>9</v>
      </c>
      <c r="I47" s="36" t="n">
        <v>699.7</v>
      </c>
      <c r="J47" s="17" t="inlineStr">
        <is>
          <t>IBH-1</t>
        </is>
      </c>
      <c r="K47" s="17" t="inlineStr">
        <is>
          <t>N</t>
        </is>
      </c>
      <c r="L47" s="17" t="inlineStr">
        <is>
          <t>Valid</t>
        </is>
      </c>
      <c r="M47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8">
      <c r="A48" s="17" t="inlineStr">
        <is>
          <t>1 Jul</t>
        </is>
      </c>
      <c r="B48" s="17" t="inlineStr">
        <is>
          <t>37839</t>
        </is>
      </c>
      <c r="C48" s="17" t="inlineStr">
        <is>
          <t>OS</t>
        </is>
      </c>
      <c r="D48" s="17" t="inlineStr">
        <is>
          <t>LS</t>
        </is>
      </c>
      <c r="E48" s="17" t="inlineStr">
        <is>
          <t>06:55:22</t>
        </is>
      </c>
      <c r="F48" s="17" t="inlineStr">
        <is>
          <t>06:55:22</t>
        </is>
      </c>
      <c r="G48" s="17" t="n">
        <v>0</v>
      </c>
      <c r="H48" s="17" t="n">
        <v>1</v>
      </c>
      <c r="I48" s="36" t="n">
        <v>699.96</v>
      </c>
      <c r="J48" s="17" t="inlineStr">
        <is>
          <t>IBH-1</t>
        </is>
      </c>
      <c r="K48" s="17" t="inlineStr">
        <is>
          <t>N</t>
        </is>
      </c>
      <c r="L48" s="17" t="inlineStr">
        <is>
          <t>Valid</t>
        </is>
      </c>
      <c r="M48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9">
      <c r="A49" s="17" t="inlineStr">
        <is>
          <t>1 Jul</t>
        </is>
      </c>
      <c r="B49" s="17" t="inlineStr">
        <is>
          <t>30757</t>
        </is>
      </c>
      <c r="C49" s="17" t="inlineStr">
        <is>
          <t>FS</t>
        </is>
      </c>
      <c r="D49" s="17" t="inlineStr">
        <is>
          <t>SR</t>
        </is>
      </c>
      <c r="E49" s="17" t="inlineStr">
        <is>
          <t>06:55:46</t>
        </is>
      </c>
      <c r="F49" s="17" t="inlineStr">
        <is>
          <t>06:56:44</t>
        </is>
      </c>
      <c r="G49" s="17" t="n">
        <v>58</v>
      </c>
      <c r="H49" s="17" t="n">
        <v>31</v>
      </c>
      <c r="I49" s="36" t="n">
        <v>1210.01</v>
      </c>
      <c r="J49" s="17" t="inlineStr">
        <is>
          <t>Bharatpur Jn.(BTE)</t>
        </is>
      </c>
      <c r="K49" s="17" t="inlineStr">
        <is>
          <t>U</t>
        </is>
      </c>
      <c r="L49" s="17" t="inlineStr">
        <is>
          <t>Valid</t>
        </is>
      </c>
      <c r="M49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50">
      <c r="A50" s="32" t="inlineStr">
        <is>
          <t>1 Jul</t>
        </is>
      </c>
      <c r="B50" s="32" t="inlineStr">
        <is>
          <t>30396</t>
        </is>
      </c>
      <c r="C50" s="32" t="inlineStr">
        <is>
          <t>FS</t>
        </is>
      </c>
      <c r="D50" s="32" t="inlineStr">
        <is>
          <t>SR</t>
        </is>
      </c>
      <c r="E50" s="32" t="inlineStr">
        <is>
          <t>06:56:46</t>
        </is>
      </c>
      <c r="F50" s="32" t="inlineStr">
        <is>
          <t>06:57:54</t>
        </is>
      </c>
      <c r="G50" s="32" t="n">
        <v>68</v>
      </c>
      <c r="H50" s="32" t="n">
        <v>42</v>
      </c>
      <c r="I50" s="33" t="n">
        <v>1212.26</v>
      </c>
      <c r="J50" s="32" t="inlineStr">
        <is>
          <t>Bharatpur Jn.(BTE)</t>
        </is>
      </c>
      <c r="K50" s="32" t="inlineStr">
        <is>
          <t>U</t>
        </is>
      </c>
      <c r="L50" s="32" t="inlineStr">
        <is>
          <t>Non-Valid</t>
        </is>
      </c>
      <c r="M50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51">
      <c r="A51" s="17" t="inlineStr">
        <is>
          <t>1 Jul</t>
        </is>
      </c>
      <c r="B51" s="17" t="inlineStr">
        <is>
          <t>30480</t>
        </is>
      </c>
      <c r="C51" s="17" t="inlineStr">
        <is>
          <t>FS</t>
        </is>
      </c>
      <c r="D51" s="17" t="inlineStr">
        <is>
          <t>SR</t>
        </is>
      </c>
      <c r="E51" s="17" t="inlineStr">
        <is>
          <t>07:16:38</t>
        </is>
      </c>
      <c r="F51" s="17" t="inlineStr">
        <is>
          <t>07:17:22</t>
        </is>
      </c>
      <c r="G51" s="17" t="n">
        <v>44</v>
      </c>
      <c r="H51" s="17" t="n">
        <v>24</v>
      </c>
      <c r="I51" s="36" t="n">
        <v>1091.5</v>
      </c>
      <c r="J51" s="17" t="inlineStr">
        <is>
          <t>Gangapur City(GGC)</t>
        </is>
      </c>
      <c r="K51" s="17" t="inlineStr">
        <is>
          <t>U</t>
        </is>
      </c>
      <c r="L51" s="17" t="inlineStr">
        <is>
          <t>Valid</t>
        </is>
      </c>
      <c r="M51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52">
      <c r="A52" s="17" t="inlineStr">
        <is>
          <t>1 Jul</t>
        </is>
      </c>
      <c r="B52" s="17" t="inlineStr">
        <is>
          <t>37839</t>
        </is>
      </c>
      <c r="C52" s="17" t="inlineStr">
        <is>
          <t>FS</t>
        </is>
      </c>
      <c r="D52" s="17" t="inlineStr">
        <is>
          <t>SR</t>
        </is>
      </c>
      <c r="E52" s="17" t="inlineStr">
        <is>
          <t>07:25:02</t>
        </is>
      </c>
      <c r="F52" s="17" t="inlineStr">
        <is>
          <t>07:25:02</t>
        </is>
      </c>
      <c r="G52" s="17" t="n">
        <v>0</v>
      </c>
      <c r="H52" s="17" t="n">
        <v>1</v>
      </c>
      <c r="I52" s="36" t="n">
        <v>747.1</v>
      </c>
      <c r="J52" s="17" t="inlineStr">
        <is>
          <t>IBH-27</t>
        </is>
      </c>
      <c r="K52" s="17" t="inlineStr">
        <is>
          <t>U</t>
        </is>
      </c>
      <c r="L52" s="17" t="inlineStr">
        <is>
          <t>Valid</t>
        </is>
      </c>
      <c r="M52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53">
      <c r="A53" s="17" t="inlineStr">
        <is>
          <t>1 Jul</t>
        </is>
      </c>
      <c r="B53" s="17" t="inlineStr">
        <is>
          <t>37839</t>
        </is>
      </c>
      <c r="C53" s="17" t="inlineStr">
        <is>
          <t>FS</t>
        </is>
      </c>
      <c r="D53" s="17" t="inlineStr">
        <is>
          <t>SR</t>
        </is>
      </c>
      <c r="E53" s="17" t="inlineStr">
        <is>
          <t>07:25:04</t>
        </is>
      </c>
      <c r="F53" s="17" t="inlineStr">
        <is>
          <t>07:26:10</t>
        </is>
      </c>
      <c r="G53" s="17" t="n">
        <v>66</v>
      </c>
      <c r="H53" s="17" t="n">
        <v>35</v>
      </c>
      <c r="I53" s="36" t="n">
        <v>748.1799999999999</v>
      </c>
      <c r="J53" s="17" t="inlineStr">
        <is>
          <t>IBH-27</t>
        </is>
      </c>
      <c r="K53" s="17" t="inlineStr">
        <is>
          <t>U</t>
        </is>
      </c>
      <c r="L53" s="17" t="inlineStr">
        <is>
          <t>Valid</t>
        </is>
      </c>
      <c r="M53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54">
      <c r="A54" s="17" t="inlineStr">
        <is>
          <t>1 Jul</t>
        </is>
      </c>
      <c r="B54" s="17" t="inlineStr">
        <is>
          <t>30757</t>
        </is>
      </c>
      <c r="C54" s="17" t="inlineStr">
        <is>
          <t>FS</t>
        </is>
      </c>
      <c r="D54" s="17" t="inlineStr">
        <is>
          <t>SR</t>
        </is>
      </c>
      <c r="E54" s="17" t="inlineStr">
        <is>
          <t>07:31:44</t>
        </is>
      </c>
      <c r="F54" s="17" t="inlineStr">
        <is>
          <t>07:31:44</t>
        </is>
      </c>
      <c r="G54" s="17" t="n">
        <v>0</v>
      </c>
      <c r="H54" s="17" t="n">
        <v>1</v>
      </c>
      <c r="I54" s="36" t="n">
        <v>1240.16</v>
      </c>
      <c r="J54" s="17" t="inlineStr">
        <is>
          <t>IBH 265</t>
        </is>
      </c>
      <c r="K54" s="17" t="inlineStr">
        <is>
          <t>N</t>
        </is>
      </c>
      <c r="L54" s="17" t="inlineStr">
        <is>
          <t>Valid</t>
        </is>
      </c>
      <c r="M54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55">
      <c r="A55" s="17" t="inlineStr">
        <is>
          <t>1 Jul</t>
        </is>
      </c>
      <c r="B55" s="17" t="inlineStr">
        <is>
          <t>39371</t>
        </is>
      </c>
      <c r="C55" s="17" t="inlineStr">
        <is>
          <t>OS</t>
        </is>
      </c>
      <c r="D55" s="17" t="inlineStr">
        <is>
          <t>SR</t>
        </is>
      </c>
      <c r="E55" s="17" t="inlineStr">
        <is>
          <t>07:43:16</t>
        </is>
      </c>
      <c r="F55" s="17" t="inlineStr">
        <is>
          <t>07:43:16</t>
        </is>
      </c>
      <c r="G55" s="17" t="n">
        <v>0</v>
      </c>
      <c r="H55" s="17" t="n">
        <v>1</v>
      </c>
      <c r="I55" s="36" t="n">
        <v>1242.67</v>
      </c>
      <c r="J55" s="17" t="inlineStr">
        <is>
          <t>IBH 265</t>
        </is>
      </c>
      <c r="K55" s="17" t="inlineStr">
        <is>
          <t>R</t>
        </is>
      </c>
      <c r="L55" s="17" t="inlineStr">
        <is>
          <t>Valid</t>
        </is>
      </c>
      <c r="M55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56">
      <c r="A56" s="17" t="inlineStr">
        <is>
          <t>1 Jul</t>
        </is>
      </c>
      <c r="B56" s="17" t="inlineStr">
        <is>
          <t>39371</t>
        </is>
      </c>
      <c r="C56" s="17" t="inlineStr">
        <is>
          <t>FS</t>
        </is>
      </c>
      <c r="D56" s="17" t="inlineStr">
        <is>
          <t>SR</t>
        </is>
      </c>
      <c r="E56" s="17" t="inlineStr">
        <is>
          <t>07:48:16</t>
        </is>
      </c>
      <c r="F56" s="17" t="inlineStr">
        <is>
          <t>07:48:16</t>
        </is>
      </c>
      <c r="G56" s="17" t="n">
        <v>0</v>
      </c>
      <c r="H56" s="17" t="n">
        <v>1</v>
      </c>
      <c r="I56" s="36" t="n">
        <v>1237.2</v>
      </c>
      <c r="J56" s="17" t="inlineStr">
        <is>
          <t>Murhesi Rampur(MSRP)</t>
        </is>
      </c>
      <c r="K56" s="17" t="inlineStr">
        <is>
          <t>U</t>
        </is>
      </c>
      <c r="L56" s="17" t="inlineStr">
        <is>
          <t>Valid</t>
        </is>
      </c>
      <c r="M56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57">
      <c r="A57" s="17" t="inlineStr">
        <is>
          <t>1 Jul</t>
        </is>
      </c>
      <c r="B57" s="17" t="inlineStr">
        <is>
          <t>39371</t>
        </is>
      </c>
      <c r="C57" s="17" t="inlineStr">
        <is>
          <t>FS</t>
        </is>
      </c>
      <c r="D57" s="17" t="inlineStr">
        <is>
          <t>SR</t>
        </is>
      </c>
      <c r="E57" s="17" t="inlineStr">
        <is>
          <t>07:48:18</t>
        </is>
      </c>
      <c r="F57" s="17" t="inlineStr">
        <is>
          <t>07:51:36</t>
        </is>
      </c>
      <c r="G57" s="17" t="n">
        <v>198</v>
      </c>
      <c r="H57" s="17" t="n">
        <v>131</v>
      </c>
      <c r="I57" s="36" t="n">
        <v>1236.71</v>
      </c>
      <c r="J57" s="17" t="inlineStr">
        <is>
          <t>Murhesi Rampur(MSRP)</t>
        </is>
      </c>
      <c r="K57" s="17" t="inlineStr">
        <is>
          <t>U</t>
        </is>
      </c>
      <c r="L57" s="17" t="inlineStr">
        <is>
          <t>Valid</t>
        </is>
      </c>
      <c r="M57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58">
      <c r="A58" s="32" t="inlineStr">
        <is>
          <t>1 Jul</t>
        </is>
      </c>
      <c r="B58" s="32" t="inlineStr">
        <is>
          <t>30376</t>
        </is>
      </c>
      <c r="C58" s="32" t="inlineStr">
        <is>
          <t>FS</t>
        </is>
      </c>
      <c r="D58" s="32" t="inlineStr">
        <is>
          <t>SR</t>
        </is>
      </c>
      <c r="E58" s="32" t="inlineStr">
        <is>
          <t>07:54:54</t>
        </is>
      </c>
      <c r="F58" s="32" t="inlineStr">
        <is>
          <t>07:55:08</t>
        </is>
      </c>
      <c r="G58" s="32" t="n">
        <v>14</v>
      </c>
      <c r="H58" s="32" t="n">
        <v>9</v>
      </c>
      <c r="I58" s="33" t="n">
        <v>1090.16</v>
      </c>
      <c r="J58" s="32" t="inlineStr">
        <is>
          <t>Gangapur City(GGC)</t>
        </is>
      </c>
      <c r="K58" s="32" t="inlineStr">
        <is>
          <t>U</t>
        </is>
      </c>
      <c r="L58" s="32" t="inlineStr">
        <is>
          <t>Non-Valid</t>
        </is>
      </c>
      <c r="M58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59">
      <c r="A59" s="32" t="inlineStr">
        <is>
          <t>1 Jul</t>
        </is>
      </c>
      <c r="B59" s="32" t="inlineStr">
        <is>
          <t>30791</t>
        </is>
      </c>
      <c r="C59" s="32" t="inlineStr">
        <is>
          <t>StandBy</t>
        </is>
      </c>
      <c r="D59" s="32" t="inlineStr">
        <is>
          <t>SR</t>
        </is>
      </c>
      <c r="E59" s="32" t="inlineStr">
        <is>
          <t>08:02:38</t>
        </is>
      </c>
      <c r="F59" s="32" t="inlineStr">
        <is>
          <t>08:11:44</t>
        </is>
      </c>
      <c r="G59" s="32" t="n">
        <v>546</v>
      </c>
      <c r="H59" s="32" t="n">
        <v>297</v>
      </c>
      <c r="I59" s="33" t="n">
        <v>921.05</v>
      </c>
      <c r="J59" s="32" t="inlineStr">
        <is>
          <t>Kota Jn.(KOTA) CENTRAL</t>
        </is>
      </c>
      <c r="K59" s="32" t="inlineStr">
        <is>
          <t>U</t>
        </is>
      </c>
      <c r="L59" s="32" t="inlineStr">
        <is>
          <t>Non-Valid</t>
        </is>
      </c>
      <c r="M59" s="17" t="inlineStr">
        <is>
          <t>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</t>
        </is>
      </c>
    </row>
    <row r="60">
      <c r="A60" s="17" t="inlineStr">
        <is>
          <t>1 Jul</t>
        </is>
      </c>
      <c r="B60" s="17" t="inlineStr">
        <is>
          <t>39371</t>
        </is>
      </c>
      <c r="C60" s="17" t="inlineStr">
        <is>
          <t>FS</t>
        </is>
      </c>
      <c r="D60" s="17" t="inlineStr">
        <is>
          <t>SR</t>
        </is>
      </c>
      <c r="E60" s="17" t="inlineStr">
        <is>
          <t>08:05:38</t>
        </is>
      </c>
      <c r="F60" s="17" t="inlineStr">
        <is>
          <t>08:05:38</t>
        </is>
      </c>
      <c r="G60" s="17" t="n">
        <v>0</v>
      </c>
      <c r="H60" s="17" t="n">
        <v>1</v>
      </c>
      <c r="I60" s="36" t="n">
        <v>1212.57</v>
      </c>
      <c r="J60" s="17" t="inlineStr">
        <is>
          <t>Bharatpur Jn.(BTE)</t>
        </is>
      </c>
      <c r="K60" s="17" t="inlineStr">
        <is>
          <t>U</t>
        </is>
      </c>
      <c r="L60" s="17" t="inlineStr">
        <is>
          <t>Valid</t>
        </is>
      </c>
      <c r="M60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61">
      <c r="A61" s="17" t="inlineStr">
        <is>
          <t>1 Jul</t>
        </is>
      </c>
      <c r="B61" s="17" t="inlineStr">
        <is>
          <t>39371</t>
        </is>
      </c>
      <c r="C61" s="17" t="inlineStr">
        <is>
          <t>FS</t>
        </is>
      </c>
      <c r="D61" s="17" t="inlineStr">
        <is>
          <t>SR</t>
        </is>
      </c>
      <c r="E61" s="17" t="inlineStr">
        <is>
          <t>08:05:40</t>
        </is>
      </c>
      <c r="F61" s="17" t="inlineStr">
        <is>
          <t>08:06:10</t>
        </is>
      </c>
      <c r="G61" s="17" t="n">
        <v>30</v>
      </c>
      <c r="H61" s="17" t="n">
        <v>20</v>
      </c>
      <c r="I61" s="36" t="n">
        <v>1212.23</v>
      </c>
      <c r="J61" s="17" t="inlineStr">
        <is>
          <t>Bharatpur Jn.(BTE)</t>
        </is>
      </c>
      <c r="K61" s="17" t="inlineStr">
        <is>
          <t>U</t>
        </is>
      </c>
      <c r="L61" s="17" t="inlineStr">
        <is>
          <t>Valid</t>
        </is>
      </c>
      <c r="M61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62">
      <c r="A62" s="17" t="inlineStr">
        <is>
          <t>1 Jul</t>
        </is>
      </c>
      <c r="B62" s="17" t="inlineStr">
        <is>
          <t>30480</t>
        </is>
      </c>
      <c r="C62" s="17" t="inlineStr">
        <is>
          <t>FS</t>
        </is>
      </c>
      <c r="D62" s="17" t="inlineStr">
        <is>
          <t>SR</t>
        </is>
      </c>
      <c r="E62" s="17" t="inlineStr">
        <is>
          <t>08:23:38</t>
        </is>
      </c>
      <c r="F62" s="17" t="inlineStr">
        <is>
          <t>08:24:42</t>
        </is>
      </c>
      <c r="G62" s="17" t="n">
        <v>64</v>
      </c>
      <c r="H62" s="17" t="n">
        <v>35</v>
      </c>
      <c r="I62" s="36" t="n">
        <v>1210.06</v>
      </c>
      <c r="J62" s="17" t="inlineStr">
        <is>
          <t>Bharatpur Jn.(BTE)</t>
        </is>
      </c>
      <c r="K62" s="17" t="inlineStr">
        <is>
          <t>U</t>
        </is>
      </c>
      <c r="L62" s="17" t="inlineStr">
        <is>
          <t>Valid</t>
        </is>
      </c>
      <c r="M62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63">
      <c r="A63" s="17" t="inlineStr">
        <is>
          <t>1 Jul</t>
        </is>
      </c>
      <c r="B63" s="17" t="inlineStr">
        <is>
          <t>30480</t>
        </is>
      </c>
      <c r="C63" s="17" t="inlineStr">
        <is>
          <t>FS</t>
        </is>
      </c>
      <c r="D63" s="17" t="inlineStr">
        <is>
          <t>SR</t>
        </is>
      </c>
      <c r="E63" s="17" t="inlineStr">
        <is>
          <t>08:39:24</t>
        </is>
      </c>
      <c r="F63" s="17" t="inlineStr">
        <is>
          <t>08:39:24</t>
        </is>
      </c>
      <c r="G63" s="17" t="n">
        <v>0</v>
      </c>
      <c r="H63" s="17" t="n">
        <v>1</v>
      </c>
      <c r="I63" s="36" t="n">
        <v>1240.15</v>
      </c>
      <c r="J63" s="17" t="inlineStr">
        <is>
          <t>IBH 265</t>
        </is>
      </c>
      <c r="K63" s="17" t="inlineStr">
        <is>
          <t>N</t>
        </is>
      </c>
      <c r="L63" s="17" t="inlineStr">
        <is>
          <t>Valid</t>
        </is>
      </c>
      <c r="M63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64">
      <c r="A64" s="17" t="inlineStr">
        <is>
          <t>1 Jul</t>
        </is>
      </c>
      <c r="B64" s="17" t="inlineStr">
        <is>
          <t>37839</t>
        </is>
      </c>
      <c r="C64" s="17" t="inlineStr">
        <is>
          <t>FS</t>
        </is>
      </c>
      <c r="D64" s="17" t="inlineStr">
        <is>
          <t>SR</t>
        </is>
      </c>
      <c r="E64" s="17" t="inlineStr">
        <is>
          <t>09:37:12</t>
        </is>
      </c>
      <c r="F64" s="17" t="inlineStr">
        <is>
          <t>09:37:12</t>
        </is>
      </c>
      <c r="G64" s="17" t="n">
        <v>0</v>
      </c>
      <c r="H64" s="17" t="n">
        <v>1</v>
      </c>
      <c r="I64" s="36" t="n">
        <v>921.39</v>
      </c>
      <c r="J64" s="17" t="inlineStr">
        <is>
          <t>Kota Jn.(KOTA) CENTRAL</t>
        </is>
      </c>
      <c r="K64" s="17" t="inlineStr">
        <is>
          <t>N</t>
        </is>
      </c>
      <c r="L64" s="17" t="inlineStr">
        <is>
          <t>Valid</t>
        </is>
      </c>
      <c r="M64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65">
      <c r="A65" s="32" t="inlineStr">
        <is>
          <t>1 Jul</t>
        </is>
      </c>
      <c r="B65" s="32" t="inlineStr">
        <is>
          <t>30376</t>
        </is>
      </c>
      <c r="C65" s="32" t="inlineStr">
        <is>
          <t>FS</t>
        </is>
      </c>
      <c r="D65" s="32" t="inlineStr">
        <is>
          <t>SR</t>
        </is>
      </c>
      <c r="E65" s="32" t="inlineStr">
        <is>
          <t>09:37:26</t>
        </is>
      </c>
      <c r="F65" s="32" t="inlineStr">
        <is>
          <t>09:37:44</t>
        </is>
      </c>
      <c r="G65" s="32" t="n">
        <v>18</v>
      </c>
      <c r="H65" s="32" t="n">
        <v>11</v>
      </c>
      <c r="I65" s="33" t="n">
        <v>1214.16</v>
      </c>
      <c r="J65" s="32" t="inlineStr">
        <is>
          <t>IBH-247</t>
        </is>
      </c>
      <c r="K65" s="32" t="inlineStr">
        <is>
          <t>U</t>
        </is>
      </c>
      <c r="L65" s="32" t="inlineStr">
        <is>
          <t>Non-Valid</t>
        </is>
      </c>
      <c r="M65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66">
      <c r="A66" s="32" t="inlineStr">
        <is>
          <t>1 Jul</t>
        </is>
      </c>
      <c r="B66" s="32" t="inlineStr">
        <is>
          <t>30396</t>
        </is>
      </c>
      <c r="C66" s="32" t="inlineStr">
        <is>
          <t>FS</t>
        </is>
      </c>
      <c r="D66" s="32" t="inlineStr">
        <is>
          <t>SR</t>
        </is>
      </c>
      <c r="E66" s="32" t="inlineStr">
        <is>
          <t>09:52:50</t>
        </is>
      </c>
      <c r="F66" s="32" t="inlineStr">
        <is>
          <t>09:52:52</t>
        </is>
      </c>
      <c r="G66" s="32" t="n">
        <v>2</v>
      </c>
      <c r="H66" s="32" t="n">
        <v>4</v>
      </c>
      <c r="I66" s="33" t="n">
        <v>960.2</v>
      </c>
      <c r="J66" s="32" t="inlineStr">
        <is>
          <t>IBH-131</t>
        </is>
      </c>
      <c r="K66" s="32" t="inlineStr">
        <is>
          <t>R</t>
        </is>
      </c>
      <c r="L66" s="32" t="inlineStr">
        <is>
          <t>Non-Valid</t>
        </is>
      </c>
      <c r="M66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67">
      <c r="A67" s="32" t="inlineStr">
        <is>
          <t>1 Jul</t>
        </is>
      </c>
      <c r="B67" s="32" t="inlineStr">
        <is>
          <t>30396</t>
        </is>
      </c>
      <c r="C67" s="32" t="inlineStr">
        <is>
          <t>OS</t>
        </is>
      </c>
      <c r="D67" s="32" t="inlineStr">
        <is>
          <t>SR</t>
        </is>
      </c>
      <c r="E67" s="32" t="inlineStr">
        <is>
          <t>09:53:26</t>
        </is>
      </c>
      <c r="F67" s="32" t="inlineStr">
        <is>
          <t>09:53:26</t>
        </is>
      </c>
      <c r="G67" s="32" t="n">
        <v>0</v>
      </c>
      <c r="H67" s="32" t="n">
        <v>2</v>
      </c>
      <c r="I67" s="33" t="n">
        <v>959.0700000000001</v>
      </c>
      <c r="J67" s="32" t="inlineStr">
        <is>
          <t>IBH-131</t>
        </is>
      </c>
      <c r="K67" s="32" t="inlineStr">
        <is>
          <t>R</t>
        </is>
      </c>
      <c r="L67" s="32" t="inlineStr">
        <is>
          <t>Non-Valid</t>
        </is>
      </c>
      <c r="M67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68">
      <c r="A68" s="32" t="inlineStr">
        <is>
          <t>1 Jul</t>
        </is>
      </c>
      <c r="B68" s="32" t="inlineStr">
        <is>
          <t>37035</t>
        </is>
      </c>
      <c r="C68" s="32" t="inlineStr">
        <is>
          <t>FS</t>
        </is>
      </c>
      <c r="D68" s="32" t="inlineStr">
        <is>
          <t>SR</t>
        </is>
      </c>
      <c r="E68" s="32" t="inlineStr">
        <is>
          <t>10:47:54</t>
        </is>
      </c>
      <c r="F68" s="32" t="inlineStr">
        <is>
          <t>10:47:54</t>
        </is>
      </c>
      <c r="G68" s="32" t="n">
        <v>0</v>
      </c>
      <c r="H68" s="32" t="n">
        <v>1</v>
      </c>
      <c r="I68" s="33" t="n">
        <v>1046.36</v>
      </c>
      <c r="J68" s="32" t="inlineStr">
        <is>
          <t>Makholi(MXL)</t>
        </is>
      </c>
      <c r="K68" s="32" t="inlineStr">
        <is>
          <t>N</t>
        </is>
      </c>
      <c r="L68" s="32" t="inlineStr">
        <is>
          <t>Non-Valid</t>
        </is>
      </c>
      <c r="M68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69">
      <c r="A69" s="32" t="inlineStr">
        <is>
          <t>1 Jul</t>
        </is>
      </c>
      <c r="B69" s="32" t="inlineStr">
        <is>
          <t>37035</t>
        </is>
      </c>
      <c r="C69" s="32" t="inlineStr">
        <is>
          <t>FS</t>
        </is>
      </c>
      <c r="D69" s="32" t="inlineStr">
        <is>
          <t>SR</t>
        </is>
      </c>
      <c r="E69" s="32" t="inlineStr">
        <is>
          <t>10:47:56</t>
        </is>
      </c>
      <c r="F69" s="32" t="inlineStr">
        <is>
          <t>10:47:56</t>
        </is>
      </c>
      <c r="G69" s="32" t="n">
        <v>0</v>
      </c>
      <c r="H69" s="32" t="n">
        <v>2</v>
      </c>
      <c r="I69" s="33" t="n">
        <v>1046.41</v>
      </c>
      <c r="J69" s="32" t="inlineStr">
        <is>
          <t>Makholi(MXL)</t>
        </is>
      </c>
      <c r="K69" s="32" t="inlineStr">
        <is>
          <t>N</t>
        </is>
      </c>
      <c r="L69" s="32" t="inlineStr">
        <is>
          <t>Non-Valid</t>
        </is>
      </c>
      <c r="M69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70">
      <c r="A70" s="32" t="inlineStr">
        <is>
          <t>1 Jul</t>
        </is>
      </c>
      <c r="B70" s="32" t="inlineStr">
        <is>
          <t>37035</t>
        </is>
      </c>
      <c r="C70" s="32" t="inlineStr">
        <is>
          <t>OS</t>
        </is>
      </c>
      <c r="D70" s="32" t="inlineStr">
        <is>
          <t>SR</t>
        </is>
      </c>
      <c r="E70" s="32" t="inlineStr">
        <is>
          <t>10:47:58</t>
        </is>
      </c>
      <c r="F70" s="32" t="inlineStr">
        <is>
          <t>10:47:58</t>
        </is>
      </c>
      <c r="G70" s="32" t="n">
        <v>0</v>
      </c>
      <c r="H70" s="32" t="n">
        <v>1</v>
      </c>
      <c r="I70" s="33" t="n">
        <v>1046.43</v>
      </c>
      <c r="J70" s="32" t="inlineStr">
        <is>
          <t>Makholi(MXL)</t>
        </is>
      </c>
      <c r="K70" s="32" t="inlineStr">
        <is>
          <t>N</t>
        </is>
      </c>
      <c r="L70" s="32" t="inlineStr">
        <is>
          <t>Non-Valid</t>
        </is>
      </c>
      <c r="M70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71">
      <c r="A71" s="17" t="inlineStr">
        <is>
          <t>1 Jul</t>
        </is>
      </c>
      <c r="B71" s="17" t="inlineStr">
        <is>
          <t>37839</t>
        </is>
      </c>
      <c r="C71" s="17" t="inlineStr">
        <is>
          <t>FS</t>
        </is>
      </c>
      <c r="D71" s="17" t="inlineStr">
        <is>
          <t>SR</t>
        </is>
      </c>
      <c r="E71" s="17" t="inlineStr">
        <is>
          <t>11:32:16</t>
        </is>
      </c>
      <c r="F71" s="17" t="inlineStr">
        <is>
          <t>11:33:32</t>
        </is>
      </c>
      <c r="G71" s="17" t="n">
        <v>76</v>
      </c>
      <c r="H71" s="17" t="n">
        <v>45</v>
      </c>
      <c r="I71" s="36" t="n">
        <v>1091.49</v>
      </c>
      <c r="J71" s="17" t="inlineStr">
        <is>
          <t>Gangapur City(GGC)</t>
        </is>
      </c>
      <c r="K71" s="17" t="inlineStr">
        <is>
          <t>U</t>
        </is>
      </c>
      <c r="L71" s="17" t="inlineStr">
        <is>
          <t>Valid</t>
        </is>
      </c>
      <c r="M71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2">
      <c r="A72" s="32" t="inlineStr">
        <is>
          <t>1 Jul</t>
        </is>
      </c>
      <c r="B72" s="32" t="inlineStr">
        <is>
          <t>37505</t>
        </is>
      </c>
      <c r="C72" s="32" t="inlineStr">
        <is>
          <t>FS</t>
        </is>
      </c>
      <c r="D72" s="32" t="inlineStr">
        <is>
          <t>SR</t>
        </is>
      </c>
      <c r="E72" s="32" t="inlineStr">
        <is>
          <t>11:50:02</t>
        </is>
      </c>
      <c r="F72" s="32" t="inlineStr">
        <is>
          <t>11:51:08</t>
        </is>
      </c>
      <c r="G72" s="32" t="n">
        <v>66</v>
      </c>
      <c r="H72" s="32" t="n">
        <v>36</v>
      </c>
      <c r="I72" s="33" t="n">
        <v>748.22</v>
      </c>
      <c r="J72" s="32" t="inlineStr">
        <is>
          <t>IBH-27</t>
        </is>
      </c>
      <c r="K72" s="32" t="inlineStr">
        <is>
          <t>U</t>
        </is>
      </c>
      <c r="L72" s="32" t="inlineStr">
        <is>
          <t>Non-Valid</t>
        </is>
      </c>
      <c r="M72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3">
      <c r="A73" s="32" t="inlineStr">
        <is>
          <t>1 Jul</t>
        </is>
      </c>
      <c r="B73" s="32" t="inlineStr">
        <is>
          <t>37505</t>
        </is>
      </c>
      <c r="C73" s="32" t="inlineStr">
        <is>
          <t>OS</t>
        </is>
      </c>
      <c r="D73" s="32" t="inlineStr">
        <is>
          <t>SR</t>
        </is>
      </c>
      <c r="E73" s="32" t="inlineStr">
        <is>
          <t>11:51:32</t>
        </is>
      </c>
      <c r="F73" s="32" t="inlineStr">
        <is>
          <t>11:51:32</t>
        </is>
      </c>
      <c r="G73" s="32" t="n">
        <v>0</v>
      </c>
      <c r="H73" s="32" t="n">
        <v>2</v>
      </c>
      <c r="I73" s="33" t="n">
        <v>749.9299999999999</v>
      </c>
      <c r="J73" s="32" t="inlineStr">
        <is>
          <t>LC-28</t>
        </is>
      </c>
      <c r="K73" s="32" t="inlineStr">
        <is>
          <t>N</t>
        </is>
      </c>
      <c r="L73" s="32" t="inlineStr">
        <is>
          <t>Non-Valid</t>
        </is>
      </c>
      <c r="M73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4">
      <c r="A74" s="32" t="inlineStr">
        <is>
          <t>1 Jul</t>
        </is>
      </c>
      <c r="B74" s="32" t="inlineStr">
        <is>
          <t>37505</t>
        </is>
      </c>
      <c r="C74" s="32" t="inlineStr">
        <is>
          <t>OS</t>
        </is>
      </c>
      <c r="D74" s="32" t="inlineStr">
        <is>
          <t>SR</t>
        </is>
      </c>
      <c r="E74" s="32" t="inlineStr">
        <is>
          <t>11:51:46</t>
        </is>
      </c>
      <c r="F74" s="32" t="inlineStr">
        <is>
          <t>11:52:26</t>
        </is>
      </c>
      <c r="G74" s="32" t="n">
        <v>40</v>
      </c>
      <c r="H74" s="32" t="n">
        <v>41</v>
      </c>
      <c r="I74" s="33" t="n">
        <v>750.38</v>
      </c>
      <c r="J74" s="32" t="inlineStr">
        <is>
          <t>Talavli(TLZ)</t>
        </is>
      </c>
      <c r="K74" s="32" t="inlineStr">
        <is>
          <t>N</t>
        </is>
      </c>
      <c r="L74" s="32" t="inlineStr">
        <is>
          <t>Non-Valid</t>
        </is>
      </c>
      <c r="M74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5">
      <c r="A75" s="32" t="inlineStr">
        <is>
          <t>1 Jul</t>
        </is>
      </c>
      <c r="B75" s="32" t="inlineStr">
        <is>
          <t>37035</t>
        </is>
      </c>
      <c r="C75" s="32" t="inlineStr">
        <is>
          <t>FS</t>
        </is>
      </c>
      <c r="D75" s="32" t="inlineStr">
        <is>
          <t>SR</t>
        </is>
      </c>
      <c r="E75" s="32" t="inlineStr">
        <is>
          <t>12:16:26</t>
        </is>
      </c>
      <c r="F75" s="32" t="inlineStr">
        <is>
          <t>12:16:28</t>
        </is>
      </c>
      <c r="G75" s="32" t="n">
        <v>2</v>
      </c>
      <c r="H75" s="32" t="n">
        <v>4</v>
      </c>
      <c r="I75" s="33" t="n">
        <v>1089.02</v>
      </c>
      <c r="J75" s="32" t="inlineStr">
        <is>
          <t>Lalpur Umri(LRU)</t>
        </is>
      </c>
      <c r="K75" s="32" t="inlineStr">
        <is>
          <t>N</t>
        </is>
      </c>
      <c r="L75" s="32" t="inlineStr">
        <is>
          <t>Non-Valid</t>
        </is>
      </c>
      <c r="M75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76">
      <c r="A76" s="17" t="inlineStr">
        <is>
          <t>1 Jul</t>
        </is>
      </c>
      <c r="B76" s="17" t="inlineStr">
        <is>
          <t>37839</t>
        </is>
      </c>
      <c r="C76" s="17" t="inlineStr">
        <is>
          <t>FS</t>
        </is>
      </c>
      <c r="D76" s="17" t="inlineStr">
        <is>
          <t>SR</t>
        </is>
      </c>
      <c r="E76" s="17" t="inlineStr">
        <is>
          <t>13:39:06</t>
        </is>
      </c>
      <c r="F76" s="17" t="inlineStr">
        <is>
          <t>13:39:06</t>
        </is>
      </c>
      <c r="G76" s="17" t="n">
        <v>0</v>
      </c>
      <c r="H76" s="17" t="n">
        <v>1</v>
      </c>
      <c r="I76" s="36" t="n">
        <v>1240.15</v>
      </c>
      <c r="J76" s="17" t="inlineStr">
        <is>
          <t>IBH 265</t>
        </is>
      </c>
      <c r="K76" s="17" t="inlineStr">
        <is>
          <t>N</t>
        </is>
      </c>
      <c r="L76" s="17" t="inlineStr">
        <is>
          <t>Valid</t>
        </is>
      </c>
      <c r="M76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7">
      <c r="A77" s="17" t="inlineStr">
        <is>
          <t>1 Jul</t>
        </is>
      </c>
      <c r="B77" s="17" t="inlineStr">
        <is>
          <t>37839</t>
        </is>
      </c>
      <c r="C77" s="17" t="inlineStr">
        <is>
          <t>FS</t>
        </is>
      </c>
      <c r="D77" s="17" t="inlineStr">
        <is>
          <t>SR</t>
        </is>
      </c>
      <c r="E77" s="17" t="inlineStr">
        <is>
          <t>13:39:08</t>
        </is>
      </c>
      <c r="F77" s="17" t="inlineStr">
        <is>
          <t>13:39:36</t>
        </is>
      </c>
      <c r="G77" s="17" t="n">
        <v>28</v>
      </c>
      <c r="H77" s="17" t="n">
        <v>30</v>
      </c>
      <c r="I77" s="36" t="n">
        <v>1240.18</v>
      </c>
      <c r="J77" s="17" t="inlineStr">
        <is>
          <t>IBH 265</t>
        </is>
      </c>
      <c r="K77" s="17" t="inlineStr">
        <is>
          <t>N</t>
        </is>
      </c>
      <c r="L77" s="17" t="inlineStr">
        <is>
          <t>Valid</t>
        </is>
      </c>
      <c r="M77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8">
      <c r="A78" s="32" t="inlineStr">
        <is>
          <t>1 Jul</t>
        </is>
      </c>
      <c r="B78" s="32" t="inlineStr">
        <is>
          <t>30339</t>
        </is>
      </c>
      <c r="C78" s="32" t="inlineStr">
        <is>
          <t>OS</t>
        </is>
      </c>
      <c r="D78" s="32" t="inlineStr">
        <is>
          <t>SR</t>
        </is>
      </c>
      <c r="E78" s="32" t="inlineStr">
        <is>
          <t>14:39:54</t>
        </is>
      </c>
      <c r="F78" s="32" t="inlineStr">
        <is>
          <t>14:39:54</t>
        </is>
      </c>
      <c r="G78" s="32" t="n">
        <v>0</v>
      </c>
      <c r="H78" s="32" t="n">
        <v>1</v>
      </c>
      <c r="I78" s="33" t="n">
        <v>1242.9</v>
      </c>
      <c r="J78" s="32" t="inlineStr">
        <is>
          <t>IBH 265</t>
        </is>
      </c>
      <c r="K78" s="32" t="inlineStr">
        <is>
          <t>R</t>
        </is>
      </c>
      <c r="L78" s="32" t="inlineStr">
        <is>
          <t>Non-Valid</t>
        </is>
      </c>
      <c r="M78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79">
      <c r="A79" s="32" t="inlineStr">
        <is>
          <t>1 Jul</t>
        </is>
      </c>
      <c r="B79" s="32" t="inlineStr">
        <is>
          <t>30339</t>
        </is>
      </c>
      <c r="C79" s="32" t="inlineStr">
        <is>
          <t>FS</t>
        </is>
      </c>
      <c r="D79" s="32" t="inlineStr">
        <is>
          <t>SR</t>
        </is>
      </c>
      <c r="E79" s="32" t="inlineStr">
        <is>
          <t>15:02:02</t>
        </is>
      </c>
      <c r="F79" s="32" t="inlineStr">
        <is>
          <t>15:02:02</t>
        </is>
      </c>
      <c r="G79" s="32" t="n">
        <v>0</v>
      </c>
      <c r="H79" s="32" t="n">
        <v>1</v>
      </c>
      <c r="I79" s="33" t="n">
        <v>1213.68</v>
      </c>
      <c r="J79" s="32" t="inlineStr">
        <is>
          <t>IBH-247</t>
        </is>
      </c>
      <c r="K79" s="32" t="inlineStr">
        <is>
          <t>R</t>
        </is>
      </c>
      <c r="L79" s="32" t="inlineStr">
        <is>
          <t>Non-Valid</t>
        </is>
      </c>
      <c r="M79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80">
      <c r="A80" s="32" t="inlineStr">
        <is>
          <t>1 Jul</t>
        </is>
      </c>
      <c r="B80" s="32" t="inlineStr">
        <is>
          <t>30339</t>
        </is>
      </c>
      <c r="C80" s="32" t="inlineStr">
        <is>
          <t>FS</t>
        </is>
      </c>
      <c r="D80" s="32" t="inlineStr">
        <is>
          <t>SR</t>
        </is>
      </c>
      <c r="E80" s="32" t="inlineStr">
        <is>
          <t>15:02:04</t>
        </is>
      </c>
      <c r="F80" s="32" t="inlineStr">
        <is>
          <t>15:02:04</t>
        </is>
      </c>
      <c r="G80" s="32" t="n">
        <v>0</v>
      </c>
      <c r="H80" s="32" t="n">
        <v>2</v>
      </c>
      <c r="I80" s="33" t="n">
        <v>1213.65</v>
      </c>
      <c r="J80" s="32" t="inlineStr">
        <is>
          <t>IBH-247</t>
        </is>
      </c>
      <c r="K80" s="32" t="inlineStr">
        <is>
          <t>R</t>
        </is>
      </c>
      <c r="L80" s="32" t="inlineStr">
        <is>
          <t>Non-Valid</t>
        </is>
      </c>
      <c r="M80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81">
      <c r="A81" s="32" t="inlineStr">
        <is>
          <t>1 Jul</t>
        </is>
      </c>
      <c r="B81" s="32" t="inlineStr">
        <is>
          <t>30339</t>
        </is>
      </c>
      <c r="C81" s="32" t="inlineStr">
        <is>
          <t>OS</t>
        </is>
      </c>
      <c r="D81" s="32" t="inlineStr">
        <is>
          <t>SR</t>
        </is>
      </c>
      <c r="E81" s="32" t="inlineStr">
        <is>
          <t>15:02:06</t>
        </is>
      </c>
      <c r="F81" s="32" t="inlineStr">
        <is>
          <t>15:02:06</t>
        </is>
      </c>
      <c r="G81" s="32" t="n">
        <v>0</v>
      </c>
      <c r="H81" s="32" t="n">
        <v>1</v>
      </c>
      <c r="I81" s="33" t="n">
        <v>1213.62</v>
      </c>
      <c r="J81" s="32" t="inlineStr">
        <is>
          <t>IBH-247</t>
        </is>
      </c>
      <c r="K81" s="32" t="inlineStr">
        <is>
          <t>R</t>
        </is>
      </c>
      <c r="L81" s="32" t="inlineStr">
        <is>
          <t>Non-Valid</t>
        </is>
      </c>
      <c r="M81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82">
      <c r="A82" s="32" t="inlineStr">
        <is>
          <t>1 Jul</t>
        </is>
      </c>
      <c r="B82" s="32" t="inlineStr">
        <is>
          <t>30339</t>
        </is>
      </c>
      <c r="C82" s="32" t="inlineStr">
        <is>
          <t>OS</t>
        </is>
      </c>
      <c r="D82" s="32" t="inlineStr">
        <is>
          <t>SR</t>
        </is>
      </c>
      <c r="E82" s="32" t="inlineStr">
        <is>
          <t>15:02:12</t>
        </is>
      </c>
      <c r="F82" s="32" t="inlineStr">
        <is>
          <t>15:02:14</t>
        </is>
      </c>
      <c r="G82" s="32" t="n">
        <v>2</v>
      </c>
      <c r="H82" s="32" t="n">
        <v>3</v>
      </c>
      <c r="I82" s="33" t="n">
        <v>1213.4</v>
      </c>
      <c r="J82" s="32" t="inlineStr">
        <is>
          <t>Bharatpur Jn.(BTE)</t>
        </is>
      </c>
      <c r="K82" s="32" t="inlineStr">
        <is>
          <t>R</t>
        </is>
      </c>
      <c r="L82" s="32" t="inlineStr">
        <is>
          <t>Non-Valid</t>
        </is>
      </c>
      <c r="M82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83">
      <c r="A83" s="32" t="inlineStr">
        <is>
          <t>1 Jul</t>
        </is>
      </c>
      <c r="B83" s="32" t="inlineStr">
        <is>
          <t>30339</t>
        </is>
      </c>
      <c r="C83" s="32" t="inlineStr">
        <is>
          <t>OS</t>
        </is>
      </c>
      <c r="D83" s="32" t="inlineStr">
        <is>
          <t>SR</t>
        </is>
      </c>
      <c r="E83" s="32" t="inlineStr">
        <is>
          <t>15:02:16</t>
        </is>
      </c>
      <c r="F83" s="32" t="inlineStr">
        <is>
          <t>15:02:16</t>
        </is>
      </c>
      <c r="G83" s="32" t="n">
        <v>0</v>
      </c>
      <c r="H83" s="32" t="n">
        <v>1</v>
      </c>
      <c r="I83" s="33" t="n">
        <v>1213.34</v>
      </c>
      <c r="J83" s="32" t="inlineStr">
        <is>
          <t>Bharatpur Jn.(BTE)</t>
        </is>
      </c>
      <c r="K83" s="32" t="inlineStr">
        <is>
          <t>R</t>
        </is>
      </c>
      <c r="L83" s="32" t="inlineStr">
        <is>
          <t>Non-Valid</t>
        </is>
      </c>
      <c r="M83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84">
      <c r="A84" s="32" t="inlineStr">
        <is>
          <t>1 Jul</t>
        </is>
      </c>
      <c r="B84" s="32" t="inlineStr">
        <is>
          <t>30516</t>
        </is>
      </c>
      <c r="C84" s="32" t="inlineStr">
        <is>
          <t>OS</t>
        </is>
      </c>
      <c r="D84" s="32" t="inlineStr">
        <is>
          <t>SR</t>
        </is>
      </c>
      <c r="E84" s="32" t="inlineStr">
        <is>
          <t>16:49:52</t>
        </is>
      </c>
      <c r="F84" s="32" t="inlineStr">
        <is>
          <t>16:49:52</t>
        </is>
      </c>
      <c r="G84" s="32" t="n">
        <v>0</v>
      </c>
      <c r="H84" s="32" t="n">
        <v>1</v>
      </c>
      <c r="I84" s="33" t="n">
        <v>936.6799999999999</v>
      </c>
      <c r="J84" s="32" t="inlineStr">
        <is>
          <t>LC-118</t>
        </is>
      </c>
      <c r="K84" s="32" t="inlineStr">
        <is>
          <t>N</t>
        </is>
      </c>
      <c r="L84" s="32" t="inlineStr">
        <is>
          <t>Non-Valid</t>
        </is>
      </c>
      <c r="M84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85">
      <c r="A85" s="32" t="inlineStr">
        <is>
          <t>1 Jul</t>
        </is>
      </c>
      <c r="B85" s="32" t="inlineStr">
        <is>
          <t>37505</t>
        </is>
      </c>
      <c r="C85" s="32" t="inlineStr">
        <is>
          <t>FS</t>
        </is>
      </c>
      <c r="D85" s="32" t="inlineStr">
        <is>
          <t>SR</t>
        </is>
      </c>
      <c r="E85" s="32" t="inlineStr">
        <is>
          <t>16:52:54</t>
        </is>
      </c>
      <c r="F85" s="32" t="inlineStr">
        <is>
          <t>16:54:36</t>
        </is>
      </c>
      <c r="G85" s="32" t="n">
        <v>102</v>
      </c>
      <c r="H85" s="32" t="n">
        <v>53</v>
      </c>
      <c r="I85" s="33" t="n">
        <v>1091.49</v>
      </c>
      <c r="J85" s="32" t="inlineStr">
        <is>
          <t>Gangapur City(GGC)</t>
        </is>
      </c>
      <c r="K85" s="32" t="inlineStr">
        <is>
          <t>U</t>
        </is>
      </c>
      <c r="L85" s="32" t="inlineStr">
        <is>
          <t>Non-Valid</t>
        </is>
      </c>
      <c r="M85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86">
      <c r="A86" s="32" t="inlineStr">
        <is>
          <t>1 Jul</t>
        </is>
      </c>
      <c r="B86" s="32" t="inlineStr">
        <is>
          <t>30516</t>
        </is>
      </c>
      <c r="C86" s="32" t="inlineStr">
        <is>
          <t>FS</t>
        </is>
      </c>
      <c r="D86" s="32" t="inlineStr">
        <is>
          <t>SR</t>
        </is>
      </c>
      <c r="E86" s="32" t="inlineStr">
        <is>
          <t>16:58:08</t>
        </is>
      </c>
      <c r="F86" s="32" t="inlineStr">
        <is>
          <t>16:58:10</t>
        </is>
      </c>
      <c r="G86" s="32" t="n">
        <v>2</v>
      </c>
      <c r="H86" s="32" t="n">
        <v>2</v>
      </c>
      <c r="I86" s="33" t="n">
        <v>954.5599999999999</v>
      </c>
      <c r="J86" s="32" t="inlineStr">
        <is>
          <t>Kapren(KPZ)</t>
        </is>
      </c>
      <c r="K86" s="32" t="inlineStr">
        <is>
          <t>N</t>
        </is>
      </c>
      <c r="L86" s="32" t="inlineStr">
        <is>
          <t>Non-Valid</t>
        </is>
      </c>
      <c r="M86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87">
      <c r="A87" s="32" t="inlineStr">
        <is>
          <t>1 Jul</t>
        </is>
      </c>
      <c r="B87" s="32" t="inlineStr">
        <is>
          <t>30516</t>
        </is>
      </c>
      <c r="C87" s="32" t="inlineStr">
        <is>
          <t>OS</t>
        </is>
      </c>
      <c r="D87" s="32" t="inlineStr">
        <is>
          <t>SR</t>
        </is>
      </c>
      <c r="E87" s="32" t="inlineStr">
        <is>
          <t>16:58:22</t>
        </is>
      </c>
      <c r="F87" s="32" t="inlineStr">
        <is>
          <t>16:58:28</t>
        </is>
      </c>
      <c r="G87" s="32" t="n">
        <v>6</v>
      </c>
      <c r="H87" s="32" t="n">
        <v>8</v>
      </c>
      <c r="I87" s="33" t="n">
        <v>955.08</v>
      </c>
      <c r="J87" s="32" t="inlineStr">
        <is>
          <t>Kapren(KPZ)</t>
        </is>
      </c>
      <c r="K87" s="32" t="inlineStr">
        <is>
          <t>N</t>
        </is>
      </c>
      <c r="L87" s="32" t="inlineStr">
        <is>
          <t>Non-Valid</t>
        </is>
      </c>
      <c r="M87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88">
      <c r="A88" s="32" t="inlineStr">
        <is>
          <t>1 Jul</t>
        </is>
      </c>
      <c r="B88" s="32" t="inlineStr">
        <is>
          <t>30339</t>
        </is>
      </c>
      <c r="C88" s="32" t="inlineStr">
        <is>
          <t>FS</t>
        </is>
      </c>
      <c r="D88" s="32" t="inlineStr">
        <is>
          <t>SR</t>
        </is>
      </c>
      <c r="E88" s="32" t="inlineStr">
        <is>
          <t>18:09:06</t>
        </is>
      </c>
      <c r="F88" s="32" t="inlineStr">
        <is>
          <t>18:09:08</t>
        </is>
      </c>
      <c r="G88" s="32" t="n">
        <v>2</v>
      </c>
      <c r="H88" s="32" t="n">
        <v>4</v>
      </c>
      <c r="I88" s="33" t="n">
        <v>960.36</v>
      </c>
      <c r="J88" s="32" t="inlineStr">
        <is>
          <t>IBH-131</t>
        </is>
      </c>
      <c r="K88" s="32" t="inlineStr">
        <is>
          <t>R</t>
        </is>
      </c>
      <c r="L88" s="32" t="inlineStr">
        <is>
          <t>Non-Valid</t>
        </is>
      </c>
      <c r="M88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89">
      <c r="A89" s="17" t="inlineStr">
        <is>
          <t>1 Jul</t>
        </is>
      </c>
      <c r="B89" s="17" t="inlineStr">
        <is>
          <t>30480</t>
        </is>
      </c>
      <c r="C89" s="17" t="inlineStr">
        <is>
          <t>OS</t>
        </is>
      </c>
      <c r="D89" s="17" t="inlineStr">
        <is>
          <t>SR</t>
        </is>
      </c>
      <c r="E89" s="17" t="inlineStr">
        <is>
          <t>18:50:06</t>
        </is>
      </c>
      <c r="F89" s="17" t="inlineStr">
        <is>
          <t>18:50:06</t>
        </is>
      </c>
      <c r="G89" s="17" t="n">
        <v>0</v>
      </c>
      <c r="H89" s="17" t="n">
        <v>1</v>
      </c>
      <c r="I89" s="36" t="n">
        <v>1242.82</v>
      </c>
      <c r="J89" s="17" t="inlineStr">
        <is>
          <t>IBH 265</t>
        </is>
      </c>
      <c r="K89" s="17" t="inlineStr">
        <is>
          <t>R</t>
        </is>
      </c>
      <c r="L89" s="17" t="inlineStr">
        <is>
          <t>Valid</t>
        </is>
      </c>
      <c r="M89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90">
      <c r="A90" s="17" t="inlineStr">
        <is>
          <t>1 Jul</t>
        </is>
      </c>
      <c r="B90" s="17" t="inlineStr">
        <is>
          <t>30480</t>
        </is>
      </c>
      <c r="C90" s="17" t="inlineStr">
        <is>
          <t>FS</t>
        </is>
      </c>
      <c r="D90" s="17" t="inlineStr">
        <is>
          <t>SR</t>
        </is>
      </c>
      <c r="E90" s="17" t="inlineStr">
        <is>
          <t>18:56:56</t>
        </is>
      </c>
      <c r="F90" s="17" t="inlineStr">
        <is>
          <t>18:58:04</t>
        </is>
      </c>
      <c r="G90" s="17" t="n">
        <v>68</v>
      </c>
      <c r="H90" s="17" t="n">
        <v>37</v>
      </c>
      <c r="I90" s="36" t="n">
        <v>1235.67</v>
      </c>
      <c r="J90" s="17" t="inlineStr">
        <is>
          <t>Murhesi Rampur(MSRP)</t>
        </is>
      </c>
      <c r="K90" s="17" t="inlineStr">
        <is>
          <t>U</t>
        </is>
      </c>
      <c r="L90" s="17" t="inlineStr">
        <is>
          <t>Valid</t>
        </is>
      </c>
      <c r="M90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91">
      <c r="A91" s="32" t="inlineStr">
        <is>
          <t>1 Jul</t>
        </is>
      </c>
      <c r="B91" s="32" t="inlineStr">
        <is>
          <t>37515</t>
        </is>
      </c>
      <c r="C91" s="32" t="inlineStr">
        <is>
          <t>FS</t>
        </is>
      </c>
      <c r="D91" s="32" t="inlineStr">
        <is>
          <t>SR</t>
        </is>
      </c>
      <c r="E91" s="32" t="inlineStr">
        <is>
          <t>19:41:42</t>
        </is>
      </c>
      <c r="F91" s="32" t="inlineStr">
        <is>
          <t>19:43:18</t>
        </is>
      </c>
      <c r="G91" s="32" t="n">
        <v>96</v>
      </c>
      <c r="H91" s="32" t="n">
        <v>65</v>
      </c>
      <c r="I91" s="33" t="n">
        <v>1235.67</v>
      </c>
      <c r="J91" s="32" t="inlineStr">
        <is>
          <t>Murhesi Rampur(MSRP)</t>
        </is>
      </c>
      <c r="K91" s="32" t="inlineStr">
        <is>
          <t>U</t>
        </is>
      </c>
      <c r="L91" s="32" t="inlineStr">
        <is>
          <t>Non-Valid</t>
        </is>
      </c>
      <c r="M91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</t>
        </is>
      </c>
    </row>
    <row r="92">
      <c r="A92" s="32" t="inlineStr">
        <is>
          <t>1 Jul</t>
        </is>
      </c>
      <c r="B92" s="32" t="inlineStr">
        <is>
          <t>39287</t>
        </is>
      </c>
      <c r="C92" s="32" t="inlineStr">
        <is>
          <t>StandBy</t>
        </is>
      </c>
      <c r="D92" s="32" t="inlineStr">
        <is>
          <t>SR</t>
        </is>
      </c>
      <c r="E92" s="32" t="inlineStr">
        <is>
          <t>19:49:56</t>
        </is>
      </c>
      <c r="F92" s="32" t="inlineStr">
        <is>
          <t>19:57:30</t>
        </is>
      </c>
      <c r="G92" s="32" t="n">
        <v>454</v>
      </c>
      <c r="H92" s="32" t="n">
        <v>230</v>
      </c>
      <c r="I92" s="33" t="n">
        <v>1027.9</v>
      </c>
      <c r="J92" s="32" t="inlineStr">
        <is>
          <t>SawaiMadhopurJn(SWM)</t>
        </is>
      </c>
      <c r="K92" s="32" t="inlineStr">
        <is>
          <t>U</t>
        </is>
      </c>
      <c r="L92" s="32" t="inlineStr">
        <is>
          <t>Non-Valid</t>
        </is>
      </c>
      <c r="M92" s="17" t="inlineStr">
        <is>
          <t>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93">
      <c r="A93" s="32" t="inlineStr">
        <is>
          <t>1 Jul</t>
        </is>
      </c>
      <c r="B93" s="32" t="inlineStr">
        <is>
          <t>30206</t>
        </is>
      </c>
      <c r="C93" s="32" t="inlineStr">
        <is>
          <t>FS</t>
        </is>
      </c>
      <c r="D93" s="32" t="inlineStr">
        <is>
          <t>SR</t>
        </is>
      </c>
      <c r="E93" s="32" t="inlineStr">
        <is>
          <t>20:03:24</t>
        </is>
      </c>
      <c r="F93" s="32" t="inlineStr">
        <is>
          <t>20:03:24</t>
        </is>
      </c>
      <c r="G93" s="32" t="n">
        <v>0</v>
      </c>
      <c r="H93" s="32" t="n">
        <v>1</v>
      </c>
      <c r="I93" s="33" t="n">
        <v>699.21</v>
      </c>
      <c r="J93" s="32" t="inlineStr">
        <is>
          <t>IBH-1</t>
        </is>
      </c>
      <c r="K93" s="32" t="inlineStr">
        <is>
          <t>N</t>
        </is>
      </c>
      <c r="L93" s="32" t="inlineStr">
        <is>
          <t>Non-Valid</t>
        </is>
      </c>
      <c r="M93" s="17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94">
      <c r="A94" s="32" t="inlineStr">
        <is>
          <t>1 Jul</t>
        </is>
      </c>
      <c r="B94" s="32" t="inlineStr">
        <is>
          <t>30206</t>
        </is>
      </c>
      <c r="C94" s="32" t="inlineStr">
        <is>
          <t>FS</t>
        </is>
      </c>
      <c r="D94" s="32" t="inlineStr">
        <is>
          <t>SR</t>
        </is>
      </c>
      <c r="E94" s="32" t="inlineStr">
        <is>
          <t>20:03:26</t>
        </is>
      </c>
      <c r="F94" s="32" t="inlineStr">
        <is>
          <t>20:03:28</t>
        </is>
      </c>
      <c r="G94" s="32" t="n">
        <v>2</v>
      </c>
      <c r="H94" s="32" t="n">
        <v>5</v>
      </c>
      <c r="I94" s="33" t="n">
        <v>699.25</v>
      </c>
      <c r="J94" s="32" t="inlineStr">
        <is>
          <t>IBH-1</t>
        </is>
      </c>
      <c r="K94" s="32" t="inlineStr">
        <is>
          <t>N</t>
        </is>
      </c>
      <c r="L94" s="32" t="inlineStr">
        <is>
          <t>Non-Valid</t>
        </is>
      </c>
      <c r="M94" s="17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95">
      <c r="A95" s="32" t="inlineStr">
        <is>
          <t>1 Jul</t>
        </is>
      </c>
      <c r="B95" s="32" t="inlineStr">
        <is>
          <t>30516</t>
        </is>
      </c>
      <c r="C95" s="32" t="inlineStr">
        <is>
          <t>FS</t>
        </is>
      </c>
      <c r="D95" s="32" t="inlineStr">
        <is>
          <t>SR</t>
        </is>
      </c>
      <c r="E95" s="32" t="inlineStr">
        <is>
          <t>20:23:24</t>
        </is>
      </c>
      <c r="F95" s="32" t="inlineStr">
        <is>
          <t>20:23:24</t>
        </is>
      </c>
      <c r="G95" s="32" t="n">
        <v>0</v>
      </c>
      <c r="H95" s="32" t="n">
        <v>1</v>
      </c>
      <c r="I95" s="33" t="n">
        <v>1240.15</v>
      </c>
      <c r="J95" s="32" t="inlineStr">
        <is>
          <t>IBH 265</t>
        </is>
      </c>
      <c r="K95" s="32" t="inlineStr">
        <is>
          <t>N</t>
        </is>
      </c>
      <c r="L95" s="32" t="inlineStr">
        <is>
          <t>Non-Valid</t>
        </is>
      </c>
      <c r="M95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96">
      <c r="A96" s="32" t="inlineStr">
        <is>
          <t>1 Jul</t>
        </is>
      </c>
      <c r="B96" s="32" t="inlineStr">
        <is>
          <t>30376</t>
        </is>
      </c>
      <c r="C96" s="32" t="inlineStr">
        <is>
          <t>OS</t>
        </is>
      </c>
      <c r="D96" s="32" t="inlineStr">
        <is>
          <t>SR</t>
        </is>
      </c>
      <c r="E96" s="32" t="inlineStr">
        <is>
          <t>20:40:12</t>
        </is>
      </c>
      <c r="F96" s="32" t="inlineStr">
        <is>
          <t>20:40:12</t>
        </is>
      </c>
      <c r="G96" s="32" t="n">
        <v>0</v>
      </c>
      <c r="H96" s="32" t="n">
        <v>1</v>
      </c>
      <c r="I96" s="33" t="n">
        <v>1242.87</v>
      </c>
      <c r="J96" s="32" t="inlineStr">
        <is>
          <t>IBH 265</t>
        </is>
      </c>
      <c r="K96" s="32" t="inlineStr">
        <is>
          <t>R</t>
        </is>
      </c>
      <c r="L96" s="32" t="inlineStr">
        <is>
          <t>Non-Valid</t>
        </is>
      </c>
      <c r="M96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97">
      <c r="A97" s="32" t="inlineStr">
        <is>
          <t>1 Jul</t>
        </is>
      </c>
      <c r="B97" s="32" t="inlineStr">
        <is>
          <t>30376</t>
        </is>
      </c>
      <c r="C97" s="32" t="inlineStr">
        <is>
          <t>FS</t>
        </is>
      </c>
      <c r="D97" s="32" t="inlineStr">
        <is>
          <t>SR</t>
        </is>
      </c>
      <c r="E97" s="32" t="inlineStr">
        <is>
          <t>21:02:18</t>
        </is>
      </c>
      <c r="F97" s="32" t="inlineStr">
        <is>
          <t>21:03:38</t>
        </is>
      </c>
      <c r="G97" s="32" t="n">
        <v>80</v>
      </c>
      <c r="H97" s="32" t="n">
        <v>50</v>
      </c>
      <c r="I97" s="33" t="n">
        <v>1212.26</v>
      </c>
      <c r="J97" s="32" t="inlineStr">
        <is>
          <t>Bharatpur Jn.(BTE)</t>
        </is>
      </c>
      <c r="K97" s="32" t="inlineStr">
        <is>
          <t>U</t>
        </is>
      </c>
      <c r="L97" s="32" t="inlineStr">
        <is>
          <t>Non-Valid</t>
        </is>
      </c>
      <c r="M97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98">
      <c r="A98" s="32" t="inlineStr">
        <is>
          <t>1 Jul</t>
        </is>
      </c>
      <c r="B98" s="32" t="inlineStr">
        <is>
          <t>39552</t>
        </is>
      </c>
      <c r="C98" s="32" t="inlineStr">
        <is>
          <t>FS</t>
        </is>
      </c>
      <c r="D98" s="32" t="inlineStr">
        <is>
          <t>SR</t>
        </is>
      </c>
      <c r="E98" s="32" t="inlineStr">
        <is>
          <t>21:23:48</t>
        </is>
      </c>
      <c r="F98" s="32" t="inlineStr">
        <is>
          <t>21:23:48</t>
        </is>
      </c>
      <c r="G98" s="32" t="n">
        <v>0</v>
      </c>
      <c r="H98" s="32" t="n">
        <v>1</v>
      </c>
      <c r="I98" s="33" t="n">
        <v>1240.15</v>
      </c>
      <c r="J98" s="32" t="inlineStr">
        <is>
          <t>IBH 265</t>
        </is>
      </c>
      <c r="K98" s="32" t="inlineStr">
        <is>
          <t>N</t>
        </is>
      </c>
      <c r="L98" s="32" t="inlineStr">
        <is>
          <t>Non-Valid</t>
        </is>
      </c>
      <c r="M98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99">
      <c r="A99" s="32" t="inlineStr">
        <is>
          <t>1 Jul</t>
        </is>
      </c>
      <c r="B99" s="32" t="inlineStr">
        <is>
          <t>37035</t>
        </is>
      </c>
      <c r="C99" s="32" t="inlineStr">
        <is>
          <t>OS</t>
        </is>
      </c>
      <c r="D99" s="32" t="inlineStr">
        <is>
          <t>SR</t>
        </is>
      </c>
      <c r="E99" s="32" t="inlineStr">
        <is>
          <t>22:25:06</t>
        </is>
      </c>
      <c r="F99" s="32" t="inlineStr">
        <is>
          <t>22:25:06</t>
        </is>
      </c>
      <c r="G99" s="32" t="n">
        <v>0</v>
      </c>
      <c r="H99" s="32" t="n">
        <v>1</v>
      </c>
      <c r="I99" s="33" t="n">
        <v>1172.44</v>
      </c>
      <c r="J99" s="32" t="inlineStr">
        <is>
          <t>Bayana Jn.(BXN)</t>
        </is>
      </c>
      <c r="K99" s="32" t="inlineStr">
        <is>
          <t>R</t>
        </is>
      </c>
      <c r="L99" s="32" t="inlineStr">
        <is>
          <t>Non-Valid</t>
        </is>
      </c>
      <c r="M99" s="17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100">
      <c r="A100" s="32" t="inlineStr">
        <is>
          <t>1 Jul</t>
        </is>
      </c>
      <c r="B100" s="32" t="inlineStr">
        <is>
          <t>30376</t>
        </is>
      </c>
      <c r="C100" s="32" t="inlineStr">
        <is>
          <t>FS</t>
        </is>
      </c>
      <c r="D100" s="32" t="inlineStr">
        <is>
          <t>SR</t>
        </is>
      </c>
      <c r="E100" s="32" t="inlineStr">
        <is>
          <t>23:10:56</t>
        </is>
      </c>
      <c r="F100" s="32" t="inlineStr">
        <is>
          <t>23:11:08</t>
        </is>
      </c>
      <c r="G100" s="32" t="n">
        <v>12</v>
      </c>
      <c r="H100" s="32" t="n">
        <v>7</v>
      </c>
      <c r="I100" s="33" t="n">
        <v>1047.62</v>
      </c>
      <c r="J100" s="32" t="inlineStr">
        <is>
          <t>Makholi(MXL)</t>
        </is>
      </c>
      <c r="K100" s="32" t="inlineStr">
        <is>
          <t>R</t>
        </is>
      </c>
      <c r="L100" s="32" t="inlineStr">
        <is>
          <t>Non-Valid</t>
        </is>
      </c>
      <c r="M100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</t>
        </is>
      </c>
    </row>
    <row r="101">
      <c r="A101" s="32" t="inlineStr">
        <is>
          <t>1 Jul</t>
        </is>
      </c>
      <c r="B101" s="32" t="inlineStr">
        <is>
          <t>39258</t>
        </is>
      </c>
      <c r="C101" s="32" t="inlineStr">
        <is>
          <t>FS</t>
        </is>
      </c>
      <c r="D101" s="32" t="inlineStr">
        <is>
          <t>SR</t>
        </is>
      </c>
      <c r="E101" s="32" t="inlineStr">
        <is>
          <t>23:42:06</t>
        </is>
      </c>
      <c r="F101" s="32" t="inlineStr">
        <is>
          <t>23:42:10</t>
        </is>
      </c>
      <c r="G101" s="32" t="n">
        <v>4</v>
      </c>
      <c r="H101" s="32" t="n">
        <v>5</v>
      </c>
      <c r="I101" s="33" t="n">
        <v>921.49</v>
      </c>
      <c r="J101" s="32" t="inlineStr">
        <is>
          <t>Kota Jn.(KOTA) CENTRAL</t>
        </is>
      </c>
      <c r="K101" s="32" t="inlineStr">
        <is>
          <t>N</t>
        </is>
      </c>
      <c r="L101" s="32" t="inlineStr">
        <is>
          <t>Non-Valid</t>
        </is>
      </c>
      <c r="M101" s="17" t="inlineStr">
        <is>
          <t>LC-120, IBH-119, LC-118, KeshoraiPatan(KPTN), 2.75 KM from GQL (LC-113), Gurla(GQL), KOTA C, Kota Jn.(KOTA) CENTRAL</t>
        </is>
      </c>
    </row>
    <row r="102">
      <c r="A102" s="32" t="inlineStr">
        <is>
          <t>1 Jul</t>
        </is>
      </c>
      <c r="B102" s="32" t="inlineStr">
        <is>
          <t>30474</t>
        </is>
      </c>
      <c r="C102" s="32" t="inlineStr">
        <is>
          <t>FS</t>
        </is>
      </c>
      <c r="D102" s="32" t="inlineStr">
        <is>
          <t>SR</t>
        </is>
      </c>
      <c r="E102" s="32" t="inlineStr">
        <is>
          <t>23:42:58</t>
        </is>
      </c>
      <c r="F102" s="32" t="inlineStr">
        <is>
          <t>23:44:42</t>
        </is>
      </c>
      <c r="G102" s="32" t="n">
        <v>104</v>
      </c>
      <c r="H102" s="32" t="n">
        <v>69</v>
      </c>
      <c r="I102" s="33" t="n">
        <v>748.23</v>
      </c>
      <c r="J102" s="32" t="inlineStr">
        <is>
          <t>IBH-27</t>
        </is>
      </c>
      <c r="K102" s="32" t="inlineStr">
        <is>
          <t>U</t>
        </is>
      </c>
      <c r="L102" s="32" t="inlineStr">
        <is>
          <t>Non-Valid</t>
        </is>
      </c>
      <c r="M102" s="17" t="inlineStr">
        <is>
          <t>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03">
      <c r="A103" s="32" t="inlineStr">
        <is>
          <t>1 Jul</t>
        </is>
      </c>
      <c r="B103" s="32" t="inlineStr">
        <is>
          <t>30429</t>
        </is>
      </c>
      <c r="C103" s="32" t="inlineStr">
        <is>
          <t>FS</t>
        </is>
      </c>
      <c r="D103" s="32" t="inlineStr">
        <is>
          <t>SR</t>
        </is>
      </c>
      <c r="E103" s="32" t="inlineStr">
        <is>
          <t>23:46:02</t>
        </is>
      </c>
      <c r="F103" s="32" t="inlineStr">
        <is>
          <t>23:47:14</t>
        </is>
      </c>
      <c r="G103" s="32" t="n">
        <v>72</v>
      </c>
      <c r="H103" s="32" t="n">
        <v>39</v>
      </c>
      <c r="I103" s="33" t="n">
        <v>1242.97</v>
      </c>
      <c r="J103" s="32" t="inlineStr">
        <is>
          <t>IBH 265</t>
        </is>
      </c>
      <c r="K103" s="32" t="inlineStr">
        <is>
          <t>U</t>
        </is>
      </c>
      <c r="L103" s="32" t="inlineStr">
        <is>
          <t>Non-Valid</t>
        </is>
      </c>
      <c r="M103" s="17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14" t="inlineStr">
        <is>
          <t>Section window: abs 699070 - 1243994  (33001_IBH-265 to 33132_IBH_1).  Only positions inside this window count; 8388607 'unknown' is excluded.  'In Report'=No means no in-section travel (dropped).</t>
        </is>
      </c>
    </row>
    <row r="3"/>
    <row r="4" ht="34" customHeight="1">
      <c r="A4" s="15" t="inlineStr">
        <is>
          <t>Date</t>
        </is>
      </c>
      <c r="B4" s="15" t="inlineStr">
        <is>
          <t>Loco ID</t>
        </is>
      </c>
      <c r="C4" s="15" t="inlineStr">
        <is>
          <t>Total pkts</t>
        </is>
      </c>
      <c r="D4" s="15" t="inlineStr">
        <is>
          <t>Valid-abs pkts</t>
        </is>
      </c>
      <c r="E4" s="15" t="inlineStr">
        <is>
          <t>In-section pkts</t>
        </is>
      </c>
      <c r="F4" s="15" t="inlineStr">
        <is>
          <t>Raw Min Abs</t>
        </is>
      </c>
      <c r="G4" s="15" t="inlineStr">
        <is>
          <t>Raw Max Abs</t>
        </is>
      </c>
      <c r="H4" s="15" t="inlineStr">
        <is>
          <t>In-sec Min Abs</t>
        </is>
      </c>
      <c r="I4" s="15" t="inlineStr">
        <is>
          <t>In-sec Max Abs</t>
        </is>
      </c>
      <c r="J4" s="15" t="inlineStr">
        <is>
          <t>KM = (Max-Min)/1000</t>
        </is>
      </c>
      <c r="K4" s="15" t="inlineStr">
        <is>
          <t>In Report?</t>
        </is>
      </c>
      <c r="L4" s="15" t="inlineStr">
        <is>
          <t>Stations Passed (of 124)</t>
        </is>
      </c>
      <c r="M4" s="15" t="inlineStr">
        <is>
          <t>Stations Not Passed (if &lt; full trip)</t>
        </is>
      </c>
    </row>
    <row r="5">
      <c r="A5" s="17" t="inlineStr">
        <is>
          <t>1 Jul</t>
        </is>
      </c>
      <c r="B5" s="17" t="inlineStr">
        <is>
          <t>30480</t>
        </is>
      </c>
      <c r="C5" s="17" t="n">
        <v>36430</v>
      </c>
      <c r="D5" s="17" t="n">
        <v>36366</v>
      </c>
      <c r="E5" s="17" t="n">
        <v>34139</v>
      </c>
      <c r="F5" s="37" t="n">
        <v>656321</v>
      </c>
      <c r="G5" s="37" t="n">
        <v>1436995</v>
      </c>
      <c r="H5" s="37" t="n">
        <v>699090</v>
      </c>
      <c r="I5" s="37" t="n">
        <v>1242933</v>
      </c>
      <c r="J5" s="20">
        <f>(I5-H5)/1000</f>
        <v/>
      </c>
      <c r="K5" s="17" t="inlineStr">
        <is>
          <t>Yes</t>
        </is>
      </c>
      <c r="L5" s="17" t="n">
        <v>124</v>
      </c>
      <c r="M5" s="38" t="inlineStr">
        <is>
          <t>- (full trip)</t>
        </is>
      </c>
    </row>
    <row r="6">
      <c r="A6" s="17" t="inlineStr">
        <is>
          <t>1 Jul</t>
        </is>
      </c>
      <c r="B6" s="17" t="inlineStr">
        <is>
          <t>37569</t>
        </is>
      </c>
      <c r="C6" s="17" t="n">
        <v>20419</v>
      </c>
      <c r="D6" s="17" t="n">
        <v>20338</v>
      </c>
      <c r="E6" s="17" t="n">
        <v>19859</v>
      </c>
      <c r="F6" s="37" t="n">
        <v>662978</v>
      </c>
      <c r="G6" s="37" t="n">
        <v>1242889</v>
      </c>
      <c r="H6" s="37" t="n">
        <v>699073</v>
      </c>
      <c r="I6" s="37" t="n">
        <v>1242889</v>
      </c>
      <c r="J6" s="20">
        <f>(I6-H6)/1000</f>
        <v/>
      </c>
      <c r="K6" s="17" t="inlineStr">
        <is>
          <t>Yes</t>
        </is>
      </c>
      <c r="L6" s="17" t="n">
        <v>124</v>
      </c>
      <c r="M6" s="38" t="inlineStr">
        <is>
          <t>- (full trip)</t>
        </is>
      </c>
    </row>
    <row r="7">
      <c r="A7" s="17" t="inlineStr">
        <is>
          <t>1 Jul</t>
        </is>
      </c>
      <c r="B7" s="17" t="inlineStr">
        <is>
          <t>39371</t>
        </is>
      </c>
      <c r="C7" s="17" t="n">
        <v>20120</v>
      </c>
      <c r="D7" s="17" t="n">
        <v>20048</v>
      </c>
      <c r="E7" s="17" t="n">
        <v>18299</v>
      </c>
      <c r="F7" s="37" t="n">
        <v>660092</v>
      </c>
      <c r="G7" s="37" t="n">
        <v>1444265</v>
      </c>
      <c r="H7" s="37" t="n">
        <v>699073</v>
      </c>
      <c r="I7" s="37" t="n">
        <v>1242719</v>
      </c>
      <c r="J7" s="20">
        <f>(I7-H7)/1000</f>
        <v/>
      </c>
      <c r="K7" s="17" t="inlineStr">
        <is>
          <t>Yes</t>
        </is>
      </c>
      <c r="L7" s="17" t="n">
        <v>124</v>
      </c>
      <c r="M7" s="38" t="inlineStr">
        <is>
          <t>- (full trip)</t>
        </is>
      </c>
    </row>
    <row r="8">
      <c r="A8" s="17" t="inlineStr">
        <is>
          <t>1 Jul</t>
        </is>
      </c>
      <c r="B8" s="17" t="inlineStr">
        <is>
          <t>30757</t>
        </is>
      </c>
      <c r="C8" s="17" t="n">
        <v>19808</v>
      </c>
      <c r="D8" s="17" t="n">
        <v>19759</v>
      </c>
      <c r="E8" s="17" t="n">
        <v>17836</v>
      </c>
      <c r="F8" s="37" t="n">
        <v>657097</v>
      </c>
      <c r="G8" s="37" t="n">
        <v>1436979</v>
      </c>
      <c r="H8" s="37" t="n">
        <v>699101</v>
      </c>
      <c r="I8" s="37" t="n">
        <v>1240724</v>
      </c>
      <c r="J8" s="20">
        <f>(I8-H8)/1000</f>
        <v/>
      </c>
      <c r="K8" s="17" t="inlineStr">
        <is>
          <t>Yes</t>
        </is>
      </c>
      <c r="L8" s="17" t="n">
        <v>124</v>
      </c>
      <c r="M8" s="38" t="inlineStr">
        <is>
          <t>- (full trip)</t>
        </is>
      </c>
    </row>
    <row r="9">
      <c r="A9" s="17" t="inlineStr">
        <is>
          <t>1 Jul</t>
        </is>
      </c>
      <c r="B9" s="17" t="inlineStr">
        <is>
          <t>37839</t>
        </is>
      </c>
      <c r="C9" s="17" t="n">
        <v>21767</v>
      </c>
      <c r="D9" s="17" t="n">
        <v>21734</v>
      </c>
      <c r="E9" s="17" t="n">
        <v>20655</v>
      </c>
      <c r="F9" s="37" t="n">
        <v>657092</v>
      </c>
      <c r="G9" s="37" t="n">
        <v>1240716</v>
      </c>
      <c r="H9" s="37" t="n">
        <v>699097</v>
      </c>
      <c r="I9" s="37" t="n">
        <v>1240716</v>
      </c>
      <c r="J9" s="20">
        <f>(I9-H9)/1000</f>
        <v/>
      </c>
      <c r="K9" s="17" t="inlineStr">
        <is>
          <t>Yes</t>
        </is>
      </c>
      <c r="L9" s="17" t="n">
        <v>124</v>
      </c>
      <c r="M9" s="38" t="inlineStr">
        <is>
          <t>- (full trip)</t>
        </is>
      </c>
    </row>
    <row r="10">
      <c r="A10" s="17" t="inlineStr">
        <is>
          <t>1 Jul</t>
        </is>
      </c>
      <c r="B10" s="17" t="inlineStr">
        <is>
          <t>30206</t>
        </is>
      </c>
      <c r="C10" s="17" t="n">
        <v>22869</v>
      </c>
      <c r="D10" s="17" t="n">
        <v>22747</v>
      </c>
      <c r="E10" s="17" t="n">
        <v>22199</v>
      </c>
      <c r="F10" s="37" t="n">
        <v>695664</v>
      </c>
      <c r="G10" s="37" t="n">
        <v>1236343</v>
      </c>
      <c r="H10" s="37" t="n">
        <v>699070</v>
      </c>
      <c r="I10" s="37" t="n">
        <v>1236343</v>
      </c>
      <c r="J10" s="20">
        <f>(I10-H10)/1000</f>
        <v/>
      </c>
      <c r="K10" s="17" t="inlineStr">
        <is>
          <t>Yes</t>
        </is>
      </c>
      <c r="L10" s="17" t="n">
        <v>123</v>
      </c>
      <c r="M10" s="38" t="inlineStr">
        <is>
          <t>IBH 265</t>
        </is>
      </c>
    </row>
    <row r="11" ht="64" customHeight="1">
      <c r="A11" s="17" t="inlineStr">
        <is>
          <t>1 Jul</t>
        </is>
      </c>
      <c r="B11" s="17" t="inlineStr">
        <is>
          <t>30507</t>
        </is>
      </c>
      <c r="C11" s="17" t="n">
        <v>20181</v>
      </c>
      <c r="D11" s="17" t="n">
        <v>20181</v>
      </c>
      <c r="E11" s="17" t="n">
        <v>18246</v>
      </c>
      <c r="F11" s="37" t="n">
        <v>657259</v>
      </c>
      <c r="G11" s="37" t="n">
        <v>1172531</v>
      </c>
      <c r="H11" s="37" t="n">
        <v>699075</v>
      </c>
      <c r="I11" s="37" t="n">
        <v>1172531</v>
      </c>
      <c r="J11" s="20">
        <f>(I11-H11)/1000</f>
        <v/>
      </c>
      <c r="K11" s="17" t="inlineStr">
        <is>
          <t>Yes</t>
        </is>
      </c>
      <c r="L11" s="17" t="n">
        <v>108</v>
      </c>
      <c r="M11" s="38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12" ht="64" customHeight="1">
      <c r="A12" s="17" t="inlineStr">
        <is>
          <t>1 Jul</t>
        </is>
      </c>
      <c r="B12" s="17" t="inlineStr">
        <is>
          <t>37505</t>
        </is>
      </c>
      <c r="C12" s="17" t="n">
        <v>22216</v>
      </c>
      <c r="D12" s="17" t="n">
        <v>22186</v>
      </c>
      <c r="E12" s="17" t="n">
        <v>20838</v>
      </c>
      <c r="F12" s="37" t="n">
        <v>659434</v>
      </c>
      <c r="G12" s="37" t="n">
        <v>1169669</v>
      </c>
      <c r="H12" s="37" t="n">
        <v>699086</v>
      </c>
      <c r="I12" s="37" t="n">
        <v>1169669</v>
      </c>
      <c r="J12" s="20">
        <f>(I12-H12)/1000</f>
        <v/>
      </c>
      <c r="K12" s="17" t="inlineStr">
        <is>
          <t>Yes</t>
        </is>
      </c>
      <c r="L12" s="17" t="n">
        <v>108</v>
      </c>
      <c r="M12" s="38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13" ht="169" customHeight="1">
      <c r="A13" s="17" t="inlineStr">
        <is>
          <t>1 Jul</t>
        </is>
      </c>
      <c r="B13" s="17" t="inlineStr">
        <is>
          <t>37163</t>
        </is>
      </c>
      <c r="C13" s="17" t="n">
        <v>19771</v>
      </c>
      <c r="D13" s="17" t="n">
        <v>19771</v>
      </c>
      <c r="E13" s="17" t="n">
        <v>19771</v>
      </c>
      <c r="F13" s="37" t="n">
        <v>758006</v>
      </c>
      <c r="G13" s="37" t="n">
        <v>1091980</v>
      </c>
      <c r="H13" s="37" t="n">
        <v>758006</v>
      </c>
      <c r="I13" s="37" t="n">
        <v>1091980</v>
      </c>
      <c r="J13" s="20">
        <f>(I13-H13)/1000</f>
        <v/>
      </c>
      <c r="K13" s="17" t="inlineStr">
        <is>
          <t>Yes</t>
        </is>
      </c>
      <c r="L13" s="17" t="n">
        <v>77</v>
      </c>
      <c r="M13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Talavli(TLZ), LC-28, IBH-27, Thuria(THUR), IBH-23, VikramgarhA lot(VMA), IBH-17, LuniRichha(LNR), IBH-10, Mehidpur Road(MEP), 3.9 KM  from RLK, Rohalkhurd(RLK), LC-3, IBH-1</t>
        </is>
      </c>
    </row>
    <row r="14" ht="169" customHeight="1">
      <c r="A14" s="17" t="inlineStr">
        <is>
          <t>1 Jul</t>
        </is>
      </c>
      <c r="B14" s="17" t="inlineStr">
        <is>
          <t>37515</t>
        </is>
      </c>
      <c r="C14" s="17" t="n">
        <v>14309</v>
      </c>
      <c r="D14" s="17" t="n">
        <v>14287</v>
      </c>
      <c r="E14" s="17" t="n">
        <v>13522</v>
      </c>
      <c r="F14" s="37" t="n">
        <v>917056</v>
      </c>
      <c r="G14" s="37" t="n">
        <v>1437055</v>
      </c>
      <c r="H14" s="37" t="n">
        <v>917056</v>
      </c>
      <c r="I14" s="37" t="n">
        <v>1242956</v>
      </c>
      <c r="J14" s="20">
        <f>(I14-H14)/1000</f>
        <v/>
      </c>
      <c r="K14" s="17" t="inlineStr">
        <is>
          <t>Yes</t>
        </is>
      </c>
      <c r="L14" s="17" t="n">
        <v>79</v>
      </c>
      <c r="M14" s="38" t="inlineStr">
        <is>
          <t>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5" ht="184" customHeight="1">
      <c r="A15" s="17" t="inlineStr">
        <is>
          <t>1 Jul</t>
        </is>
      </c>
      <c r="B15" s="17" t="inlineStr">
        <is>
          <t>30339</t>
        </is>
      </c>
      <c r="C15" s="17" t="n">
        <v>25035</v>
      </c>
      <c r="D15" s="17" t="n">
        <v>24944</v>
      </c>
      <c r="E15" s="17" t="n">
        <v>24572</v>
      </c>
      <c r="F15" s="37" t="n">
        <v>920376</v>
      </c>
      <c r="G15" s="37" t="n">
        <v>1421855</v>
      </c>
      <c r="H15" s="37" t="n">
        <v>920376</v>
      </c>
      <c r="I15" s="37" t="n">
        <v>1242984</v>
      </c>
      <c r="J15" s="20">
        <f>(I15-H15)/1000</f>
        <v/>
      </c>
      <c r="K15" s="17" t="inlineStr">
        <is>
          <t>Yes</t>
        </is>
      </c>
      <c r="L15" s="17" t="n">
        <v>78</v>
      </c>
      <c r="M15" s="38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6" ht="184" customHeight="1">
      <c r="A16" s="17" t="inlineStr">
        <is>
          <t>1 Jul</t>
        </is>
      </c>
      <c r="B16" s="17" t="inlineStr">
        <is>
          <t>30396</t>
        </is>
      </c>
      <c r="C16" s="17" t="n">
        <v>12473</v>
      </c>
      <c r="D16" s="17" t="n">
        <v>12414</v>
      </c>
      <c r="E16" s="17" t="n">
        <v>12105</v>
      </c>
      <c r="F16" s="37" t="n">
        <v>921250</v>
      </c>
      <c r="G16" s="37" t="n">
        <v>1426634</v>
      </c>
      <c r="H16" s="37" t="n">
        <v>921250</v>
      </c>
      <c r="I16" s="37" t="n">
        <v>1242967</v>
      </c>
      <c r="J16" s="20">
        <f>(I16-H16)/1000</f>
        <v/>
      </c>
      <c r="K16" s="17" t="inlineStr">
        <is>
          <t>Yes</t>
        </is>
      </c>
      <c r="L16" s="17" t="n">
        <v>78</v>
      </c>
      <c r="M16" s="38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7" ht="184" customHeight="1">
      <c r="A17" s="17" t="inlineStr">
        <is>
          <t>1 Jul</t>
        </is>
      </c>
      <c r="B17" s="17" t="inlineStr">
        <is>
          <t>30376</t>
        </is>
      </c>
      <c r="C17" s="17" t="n">
        <v>22266</v>
      </c>
      <c r="D17" s="17" t="n">
        <v>22188</v>
      </c>
      <c r="E17" s="17" t="n">
        <v>21213</v>
      </c>
      <c r="F17" s="37" t="n">
        <v>921483</v>
      </c>
      <c r="G17" s="37" t="n">
        <v>1435618</v>
      </c>
      <c r="H17" s="37" t="n">
        <v>921483</v>
      </c>
      <c r="I17" s="37" t="n">
        <v>1242984</v>
      </c>
      <c r="J17" s="20">
        <f>(I17-H17)/1000</f>
        <v/>
      </c>
      <c r="K17" s="17" t="inlineStr">
        <is>
          <t>Yes</t>
        </is>
      </c>
      <c r="L17" s="17" t="n">
        <v>78</v>
      </c>
      <c r="M17" s="38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8" ht="169" customHeight="1">
      <c r="A18" s="17" t="inlineStr">
        <is>
          <t>1 Jul</t>
        </is>
      </c>
      <c r="B18" s="17" t="inlineStr">
        <is>
          <t>39025</t>
        </is>
      </c>
      <c r="C18" s="17" t="n">
        <v>10064</v>
      </c>
      <c r="D18" s="17" t="n">
        <v>10055</v>
      </c>
      <c r="E18" s="17" t="n">
        <v>9714</v>
      </c>
      <c r="F18" s="37" t="n">
        <v>919322</v>
      </c>
      <c r="G18" s="37" t="n">
        <v>1424580</v>
      </c>
      <c r="H18" s="37" t="n">
        <v>919322</v>
      </c>
      <c r="I18" s="37" t="n">
        <v>1240688</v>
      </c>
      <c r="J18" s="20">
        <f>(I18-H18)/1000</f>
        <v/>
      </c>
      <c r="K18" s="17" t="inlineStr">
        <is>
          <t>Yes</t>
        </is>
      </c>
      <c r="L18" s="17" t="n">
        <v>79</v>
      </c>
      <c r="M18" s="38" t="inlineStr">
        <is>
          <t>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9" ht="184" customHeight="1">
      <c r="A19" s="17" t="inlineStr">
        <is>
          <t>1 Jul</t>
        </is>
      </c>
      <c r="B19" s="17" t="inlineStr">
        <is>
          <t>30516</t>
        </is>
      </c>
      <c r="C19" s="17" t="n">
        <v>20429</v>
      </c>
      <c r="D19" s="17" t="n">
        <v>20369</v>
      </c>
      <c r="E19" s="17" t="n">
        <v>19979</v>
      </c>
      <c r="F19" s="37" t="n">
        <v>920365</v>
      </c>
      <c r="G19" s="37" t="n">
        <v>1436771</v>
      </c>
      <c r="H19" s="37" t="n">
        <v>920365</v>
      </c>
      <c r="I19" s="37" t="n">
        <v>1240711</v>
      </c>
      <c r="J19" s="20">
        <f>(I19-H19)/1000</f>
        <v/>
      </c>
      <c r="K19" s="17" t="inlineStr">
        <is>
          <t>Yes</t>
        </is>
      </c>
      <c r="L19" s="17" t="n">
        <v>78</v>
      </c>
      <c r="M19" s="38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0" ht="184" customHeight="1">
      <c r="A20" s="17" t="inlineStr">
        <is>
          <t>1 Jul</t>
        </is>
      </c>
      <c r="B20" s="17" t="inlineStr">
        <is>
          <t>37873</t>
        </is>
      </c>
      <c r="C20" s="17" t="n">
        <v>9967</v>
      </c>
      <c r="D20" s="17" t="n">
        <v>9954</v>
      </c>
      <c r="E20" s="17" t="n">
        <v>9606</v>
      </c>
      <c r="F20" s="37" t="n">
        <v>921481</v>
      </c>
      <c r="G20" s="37" t="n">
        <v>1436047</v>
      </c>
      <c r="H20" s="37" t="n">
        <v>921481</v>
      </c>
      <c r="I20" s="37" t="n">
        <v>1240639</v>
      </c>
      <c r="J20" s="20">
        <f>(I20-H20)/1000</f>
        <v/>
      </c>
      <c r="K20" s="17" t="inlineStr">
        <is>
          <t>Yes</t>
        </is>
      </c>
      <c r="L20" s="17" t="n">
        <v>78</v>
      </c>
      <c r="M20" s="38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1" ht="184" customHeight="1">
      <c r="A21" s="17" t="inlineStr">
        <is>
          <t>1 Jul</t>
        </is>
      </c>
      <c r="B21" s="17" t="inlineStr">
        <is>
          <t>39552</t>
        </is>
      </c>
      <c r="C21" s="17" t="n">
        <v>11139</v>
      </c>
      <c r="D21" s="17" t="n">
        <v>11126</v>
      </c>
      <c r="E21" s="17" t="n">
        <v>10558</v>
      </c>
      <c r="F21" s="37" t="n">
        <v>921754</v>
      </c>
      <c r="G21" s="37" t="n">
        <v>1436869</v>
      </c>
      <c r="H21" s="37" t="n">
        <v>921754</v>
      </c>
      <c r="I21" s="37" t="n">
        <v>1240554</v>
      </c>
      <c r="J21" s="20">
        <f>(I21-H21)/1000</f>
        <v/>
      </c>
      <c r="K21" s="17" t="inlineStr">
        <is>
          <t>Yes</t>
        </is>
      </c>
      <c r="L21" s="17" t="n">
        <v>78</v>
      </c>
      <c r="M21" s="38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2" ht="199" customHeight="1">
      <c r="A22" s="17" t="inlineStr">
        <is>
          <t>1 Jul</t>
        </is>
      </c>
      <c r="B22" s="17" t="inlineStr">
        <is>
          <t>30429</t>
        </is>
      </c>
      <c r="C22" s="17" t="n">
        <v>11395</v>
      </c>
      <c r="D22" s="17" t="n">
        <v>11351</v>
      </c>
      <c r="E22" s="17" t="n">
        <v>10942</v>
      </c>
      <c r="F22" s="37" t="n">
        <v>953031</v>
      </c>
      <c r="G22" s="37" t="n">
        <v>1425940</v>
      </c>
      <c r="H22" s="37" t="n">
        <v>953031</v>
      </c>
      <c r="I22" s="37" t="n">
        <v>1242969</v>
      </c>
      <c r="J22" s="20">
        <f>(I22-H22)/1000</f>
        <v/>
      </c>
      <c r="K22" s="17" t="inlineStr">
        <is>
          <t>Yes</t>
        </is>
      </c>
      <c r="L22" s="17" t="n">
        <v>67</v>
      </c>
      <c r="M22" s="38" t="inlineStr">
        <is>
          <t>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  ...(+7 more)</t>
        </is>
      </c>
    </row>
    <row r="23" ht="199" customHeight="1">
      <c r="A23" s="17" t="inlineStr">
        <is>
          <t>1 Jul</t>
        </is>
      </c>
      <c r="B23" s="17" t="inlineStr">
        <is>
          <t>39108</t>
        </is>
      </c>
      <c r="C23" s="17" t="n">
        <v>22026</v>
      </c>
      <c r="D23" s="17" t="n">
        <v>22022</v>
      </c>
      <c r="E23" s="17" t="n">
        <v>22022</v>
      </c>
      <c r="F23" s="37" t="n">
        <v>920687</v>
      </c>
      <c r="G23" s="37" t="n">
        <v>1172585</v>
      </c>
      <c r="H23" s="37" t="n">
        <v>920687</v>
      </c>
      <c r="I23" s="37" t="n">
        <v>1172585</v>
      </c>
      <c r="J23" s="20">
        <f>(I23-H23)/1000</f>
        <v/>
      </c>
      <c r="K23" s="17" t="inlineStr">
        <is>
          <t>Yes</t>
        </is>
      </c>
      <c r="L23" s="17" t="n">
        <v>62</v>
      </c>
      <c r="M23" s="38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4" ht="199" customHeight="1">
      <c r="A24" s="17" t="inlineStr">
        <is>
          <t>1 Jul</t>
        </is>
      </c>
      <c r="B24" s="17" t="inlineStr">
        <is>
          <t>37035</t>
        </is>
      </c>
      <c r="C24" s="17" t="n">
        <v>32901</v>
      </c>
      <c r="D24" s="17" t="n">
        <v>32783</v>
      </c>
      <c r="E24" s="17" t="n">
        <v>32783</v>
      </c>
      <c r="F24" s="37" t="n">
        <v>920752</v>
      </c>
      <c r="G24" s="37" t="n">
        <v>1172539</v>
      </c>
      <c r="H24" s="37" t="n">
        <v>920752</v>
      </c>
      <c r="I24" s="37" t="n">
        <v>1172539</v>
      </c>
      <c r="J24" s="20">
        <f>(I24-H24)/1000</f>
        <v/>
      </c>
      <c r="K24" s="17" t="inlineStr">
        <is>
          <t>Yes</t>
        </is>
      </c>
      <c r="L24" s="17" t="n">
        <v>62</v>
      </c>
      <c r="M24" s="38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5" ht="184" customHeight="1">
      <c r="A25" s="17" t="inlineStr">
        <is>
          <t>1 Jul</t>
        </is>
      </c>
      <c r="B25" s="17" t="inlineStr">
        <is>
          <t>30390</t>
        </is>
      </c>
      <c r="C25" s="17" t="n">
        <v>8248</v>
      </c>
      <c r="D25" s="17" t="n">
        <v>8248</v>
      </c>
      <c r="E25" s="17" t="n">
        <v>8128</v>
      </c>
      <c r="F25" s="37" t="n">
        <v>695612</v>
      </c>
      <c r="G25" s="37" t="n">
        <v>865571</v>
      </c>
      <c r="H25" s="37" t="n">
        <v>699088</v>
      </c>
      <c r="I25" s="37" t="n">
        <v>865571</v>
      </c>
      <c r="J25" s="20">
        <f>(I25-H25)/1000</f>
        <v/>
      </c>
      <c r="K25" s="17" t="inlineStr">
        <is>
          <t>Yes</t>
        </is>
      </c>
      <c r="L25" s="17" t="n">
        <v>36</v>
      </c>
      <c r="M25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...(+38 more)</t>
        </is>
      </c>
    </row>
    <row r="26" ht="184" customHeight="1">
      <c r="A26" s="17" t="inlineStr">
        <is>
          <t>1 Jul</t>
        </is>
      </c>
      <c r="B26" s="17" t="inlineStr">
        <is>
          <t>30460</t>
        </is>
      </c>
      <c r="C26" s="17" t="n">
        <v>5549</v>
      </c>
      <c r="D26" s="17" t="n">
        <v>5531</v>
      </c>
      <c r="E26" s="17" t="n">
        <v>5531</v>
      </c>
      <c r="F26" s="37" t="n">
        <v>773030</v>
      </c>
      <c r="G26" s="37" t="n">
        <v>920636</v>
      </c>
      <c r="H26" s="37" t="n">
        <v>773030</v>
      </c>
      <c r="I26" s="37" t="n">
        <v>920636</v>
      </c>
      <c r="J26" s="20">
        <f>(I26-H26)/1000</f>
        <v/>
      </c>
      <c r="K26" s="17" t="inlineStr">
        <is>
          <t>Yes</t>
        </is>
      </c>
      <c r="L26" s="17" t="n">
        <v>30</v>
      </c>
      <c r="M26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...(+44 more)</t>
        </is>
      </c>
    </row>
    <row r="27" ht="184" customHeight="1">
      <c r="A27" s="17" t="inlineStr">
        <is>
          <t>1 Jul</t>
        </is>
      </c>
      <c r="B27" s="17" t="inlineStr">
        <is>
          <t>37582</t>
        </is>
      </c>
      <c r="C27" s="17" t="n">
        <v>2385</v>
      </c>
      <c r="D27" s="17" t="n">
        <v>2385</v>
      </c>
      <c r="E27" s="17" t="n">
        <v>2385</v>
      </c>
      <c r="F27" s="37" t="n">
        <v>787532</v>
      </c>
      <c r="G27" s="37" t="n">
        <v>904446</v>
      </c>
      <c r="H27" s="37" t="n">
        <v>787532</v>
      </c>
      <c r="I27" s="37" t="n">
        <v>904446</v>
      </c>
      <c r="J27" s="20">
        <f>(I27-H27)/1000</f>
        <v/>
      </c>
      <c r="K27" s="17" t="inlineStr">
        <is>
          <t>Yes</t>
        </is>
      </c>
      <c r="L27" s="17" t="n">
        <v>24</v>
      </c>
      <c r="M27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...(+50 more)</t>
        </is>
      </c>
    </row>
    <row r="28" ht="184" customHeight="1">
      <c r="A28" s="17" t="inlineStr">
        <is>
          <t>1 Jul</t>
        </is>
      </c>
      <c r="B28" s="17" t="inlineStr">
        <is>
          <t>30791</t>
        </is>
      </c>
      <c r="C28" s="17" t="n">
        <v>5163</v>
      </c>
      <c r="D28" s="17" t="n">
        <v>4854</v>
      </c>
      <c r="E28" s="17" t="n">
        <v>4854</v>
      </c>
      <c r="F28" s="37" t="n">
        <v>920079</v>
      </c>
      <c r="G28" s="37" t="n">
        <v>1029047</v>
      </c>
      <c r="H28" s="37" t="n">
        <v>920079</v>
      </c>
      <c r="I28" s="37" t="n">
        <v>1029047</v>
      </c>
      <c r="J28" s="20">
        <f>(I28-H28)/1000</f>
        <v/>
      </c>
      <c r="K28" s="17" t="inlineStr">
        <is>
          <t>Yes</t>
        </is>
      </c>
      <c r="L28" s="17" t="n">
        <v>32</v>
      </c>
      <c r="M28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DakaniyaTalav(DKNT), Dadhdevi(DDV), ALNI/DDV  ...(+42 more)</t>
        </is>
      </c>
    </row>
    <row r="29" ht="184" customHeight="1">
      <c r="A29" s="17" t="inlineStr">
        <is>
          <t>1 Jul</t>
        </is>
      </c>
      <c r="B29" s="17" t="inlineStr">
        <is>
          <t>39287</t>
        </is>
      </c>
      <c r="C29" s="17" t="n">
        <v>5837</v>
      </c>
      <c r="D29" s="17" t="n">
        <v>5552</v>
      </c>
      <c r="E29" s="17" t="n">
        <v>5552</v>
      </c>
      <c r="F29" s="37" t="n">
        <v>920290</v>
      </c>
      <c r="G29" s="37" t="n">
        <v>1028641</v>
      </c>
      <c r="H29" s="37" t="n">
        <v>920290</v>
      </c>
      <c r="I29" s="37" t="n">
        <v>1028641</v>
      </c>
      <c r="J29" s="20">
        <f>(I29-H29)/1000</f>
        <v/>
      </c>
      <c r="K29" s="17" t="inlineStr">
        <is>
          <t>Yes</t>
        </is>
      </c>
      <c r="L29" s="17" t="n">
        <v>31</v>
      </c>
      <c r="M29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0" ht="184" customHeight="1">
      <c r="A30" s="17" t="inlineStr">
        <is>
          <t>1 Jul</t>
        </is>
      </c>
      <c r="B30" s="17" t="inlineStr">
        <is>
          <t>30623</t>
        </is>
      </c>
      <c r="C30" s="17" t="n">
        <v>59</v>
      </c>
      <c r="D30" s="17" t="n">
        <v>58</v>
      </c>
      <c r="E30" s="17" t="n">
        <v>58</v>
      </c>
      <c r="F30" s="37" t="n">
        <v>922251</v>
      </c>
      <c r="G30" s="37" t="n">
        <v>1028768</v>
      </c>
      <c r="H30" s="37" t="n">
        <v>922251</v>
      </c>
      <c r="I30" s="37" t="n">
        <v>1028768</v>
      </c>
      <c r="J30" s="20">
        <f>(I30-H30)/1000</f>
        <v/>
      </c>
      <c r="K30" s="17" t="inlineStr">
        <is>
          <t>Yes</t>
        </is>
      </c>
      <c r="L30" s="17" t="n">
        <v>31</v>
      </c>
      <c r="M30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1" ht="184" customHeight="1">
      <c r="A31" s="17" t="inlineStr">
        <is>
          <t>1 Jul</t>
        </is>
      </c>
      <c r="B31" s="17" t="inlineStr">
        <is>
          <t>30474</t>
        </is>
      </c>
      <c r="C31" s="17" t="n">
        <v>4291</v>
      </c>
      <c r="D31" s="17" t="n">
        <v>4274</v>
      </c>
      <c r="E31" s="17" t="n">
        <v>2491</v>
      </c>
      <c r="F31" s="37" t="n">
        <v>656398</v>
      </c>
      <c r="G31" s="37" t="n">
        <v>781122</v>
      </c>
      <c r="H31" s="37" t="n">
        <v>699091</v>
      </c>
      <c r="I31" s="37" t="n">
        <v>781122</v>
      </c>
      <c r="J31" s="20">
        <f>(I31-H31)/1000</f>
        <v/>
      </c>
      <c r="K31" s="17" t="inlineStr">
        <is>
          <t>Yes</t>
        </is>
      </c>
      <c r="L31" s="17" t="n">
        <v>19</v>
      </c>
      <c r="M31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...(+55 more)</t>
        </is>
      </c>
    </row>
    <row r="32" ht="184" customHeight="1">
      <c r="A32" s="17" t="inlineStr">
        <is>
          <t>1 Jul</t>
        </is>
      </c>
      <c r="B32" s="17" t="inlineStr">
        <is>
          <t>30395</t>
        </is>
      </c>
      <c r="C32" s="17" t="n">
        <v>1096</v>
      </c>
      <c r="D32" s="17" t="n">
        <v>1094</v>
      </c>
      <c r="E32" s="17" t="n">
        <v>1094</v>
      </c>
      <c r="F32" s="37" t="n">
        <v>920540</v>
      </c>
      <c r="G32" s="37" t="n">
        <v>974142</v>
      </c>
      <c r="H32" s="37" t="n">
        <v>920540</v>
      </c>
      <c r="I32" s="37" t="n">
        <v>974142</v>
      </c>
      <c r="J32" s="20">
        <f>(I32-H32)/1000</f>
        <v/>
      </c>
      <c r="K32" s="17" t="inlineStr">
        <is>
          <t>Yes</t>
        </is>
      </c>
      <c r="L32" s="17" t="n">
        <v>17</v>
      </c>
      <c r="M32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...(+57 more)</t>
        </is>
      </c>
    </row>
    <row r="33" ht="184" customHeight="1">
      <c r="A33" s="17" t="inlineStr">
        <is>
          <t>1 Jul</t>
        </is>
      </c>
      <c r="B33" s="17" t="inlineStr">
        <is>
          <t>39258</t>
        </is>
      </c>
      <c r="C33" s="17" t="n">
        <v>999</v>
      </c>
      <c r="D33" s="17" t="n">
        <v>999</v>
      </c>
      <c r="E33" s="17" t="n">
        <v>999</v>
      </c>
      <c r="F33" s="37" t="n">
        <v>921490</v>
      </c>
      <c r="G33" s="37" t="n">
        <v>942812</v>
      </c>
      <c r="H33" s="37" t="n">
        <v>921490</v>
      </c>
      <c r="I33" s="37" t="n">
        <v>942812</v>
      </c>
      <c r="J33" s="20">
        <f>(I33-H33)/1000</f>
        <v/>
      </c>
      <c r="K33" s="17" t="inlineStr">
        <is>
          <t>Yes</t>
        </is>
      </c>
      <c r="L33" s="17" t="n">
        <v>8</v>
      </c>
      <c r="M33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...(+66 more)</t>
        </is>
      </c>
    </row>
    <row r="34" ht="184" customHeight="1">
      <c r="A34" s="32" t="inlineStr">
        <is>
          <t>1 Jul</t>
        </is>
      </c>
      <c r="B34" s="32" t="inlineStr">
        <is>
          <t>30002</t>
        </is>
      </c>
      <c r="C34" s="32" t="n">
        <v>573</v>
      </c>
      <c r="D34" s="32" t="n">
        <v>573</v>
      </c>
      <c r="E34" s="32" t="n">
        <v>0</v>
      </c>
      <c r="F34" s="39" t="n">
        <v>1398939</v>
      </c>
      <c r="G34" s="39" t="n">
        <v>1436929</v>
      </c>
      <c r="H34" s="39" t="inlineStr">
        <is>
          <t>-</t>
        </is>
      </c>
      <c r="I34" s="39" t="inlineStr">
        <is>
          <t>-</t>
        </is>
      </c>
      <c r="J34" s="40" t="n">
        <v>0</v>
      </c>
      <c r="K34" s="32" t="inlineStr">
        <is>
          <t>No</t>
        </is>
      </c>
      <c r="L34" s="32" t="n">
        <v>0</v>
      </c>
      <c r="M34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5" ht="184" customHeight="1">
      <c r="A35" s="32" t="inlineStr">
        <is>
          <t>1 Jul</t>
        </is>
      </c>
      <c r="B35" s="32" t="inlineStr">
        <is>
          <t>30147</t>
        </is>
      </c>
      <c r="C35" s="32" t="n">
        <v>876</v>
      </c>
      <c r="D35" s="32" t="n">
        <v>875</v>
      </c>
      <c r="E35" s="32" t="n">
        <v>0</v>
      </c>
      <c r="F35" s="39" t="n">
        <v>1401576</v>
      </c>
      <c r="G35" s="39" t="n">
        <v>1436674</v>
      </c>
      <c r="H35" s="39" t="inlineStr">
        <is>
          <t>-</t>
        </is>
      </c>
      <c r="I35" s="39" t="inlineStr">
        <is>
          <t>-</t>
        </is>
      </c>
      <c r="J35" s="40" t="n">
        <v>0</v>
      </c>
      <c r="K35" s="32" t="inlineStr">
        <is>
          <t>No</t>
        </is>
      </c>
      <c r="L35" s="32" t="n">
        <v>0</v>
      </c>
      <c r="M35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6" ht="184" customHeight="1">
      <c r="A36" s="32" t="inlineStr">
        <is>
          <t>1 Jul</t>
        </is>
      </c>
      <c r="B36" s="32" t="inlineStr">
        <is>
          <t>30177</t>
        </is>
      </c>
      <c r="C36" s="32" t="n">
        <v>1688</v>
      </c>
      <c r="D36" s="32" t="n">
        <v>1658</v>
      </c>
      <c r="E36" s="32" t="n">
        <v>0</v>
      </c>
      <c r="F36" s="39" t="n">
        <v>1891</v>
      </c>
      <c r="G36" s="39" t="n">
        <v>697871</v>
      </c>
      <c r="H36" s="39" t="inlineStr">
        <is>
          <t>-</t>
        </is>
      </c>
      <c r="I36" s="39" t="inlineStr">
        <is>
          <t>-</t>
        </is>
      </c>
      <c r="J36" s="40" t="n">
        <v>0</v>
      </c>
      <c r="K36" s="32" t="inlineStr">
        <is>
          <t>No</t>
        </is>
      </c>
      <c r="L36" s="32" t="n">
        <v>0</v>
      </c>
      <c r="M36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" ht="184" customHeight="1">
      <c r="A37" s="32" t="inlineStr">
        <is>
          <t>1 Jul</t>
        </is>
      </c>
      <c r="B37" s="32" t="inlineStr">
        <is>
          <t>30201</t>
        </is>
      </c>
      <c r="C37" s="32" t="n">
        <v>250</v>
      </c>
      <c r="D37" s="32" t="n">
        <v>250</v>
      </c>
      <c r="E37" s="32" t="n">
        <v>0</v>
      </c>
      <c r="F37" s="39" t="n">
        <v>1278853</v>
      </c>
      <c r="G37" s="39" t="n">
        <v>1324395</v>
      </c>
      <c r="H37" s="39" t="inlineStr">
        <is>
          <t>-</t>
        </is>
      </c>
      <c r="I37" s="39" t="inlineStr">
        <is>
          <t>-</t>
        </is>
      </c>
      <c r="J37" s="40" t="n">
        <v>0</v>
      </c>
      <c r="K37" s="32" t="inlineStr">
        <is>
          <t>No</t>
        </is>
      </c>
      <c r="L37" s="32" t="n">
        <v>0</v>
      </c>
      <c r="M37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" ht="184" customHeight="1">
      <c r="A38" s="32" t="inlineStr">
        <is>
          <t>1 Jul</t>
        </is>
      </c>
      <c r="B38" s="32" t="inlineStr">
        <is>
          <t>30346</t>
        </is>
      </c>
      <c r="C38" s="32" t="n">
        <v>430</v>
      </c>
      <c r="D38" s="32" t="n">
        <v>425</v>
      </c>
      <c r="E38" s="32" t="n">
        <v>0</v>
      </c>
      <c r="F38" s="39" t="n">
        <v>1401329</v>
      </c>
      <c r="G38" s="39" t="n">
        <v>1435891</v>
      </c>
      <c r="H38" s="39" t="inlineStr">
        <is>
          <t>-</t>
        </is>
      </c>
      <c r="I38" s="39" t="inlineStr">
        <is>
          <t>-</t>
        </is>
      </c>
      <c r="J38" s="40" t="n">
        <v>0</v>
      </c>
      <c r="K38" s="32" t="inlineStr">
        <is>
          <t>No</t>
        </is>
      </c>
      <c r="L38" s="32" t="n">
        <v>0</v>
      </c>
      <c r="M38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" ht="184" customHeight="1">
      <c r="A39" s="32" t="inlineStr">
        <is>
          <t>1 Jul</t>
        </is>
      </c>
      <c r="B39" s="32" t="inlineStr">
        <is>
          <t>30347</t>
        </is>
      </c>
      <c r="C39" s="32" t="n">
        <v>1837</v>
      </c>
      <c r="D39" s="32" t="n">
        <v>1837</v>
      </c>
      <c r="E39" s="32" t="n">
        <v>0</v>
      </c>
      <c r="F39" s="39" t="n">
        <v>1358257</v>
      </c>
      <c r="G39" s="39" t="n">
        <v>1419984</v>
      </c>
      <c r="H39" s="39" t="inlineStr">
        <is>
          <t>-</t>
        </is>
      </c>
      <c r="I39" s="39" t="inlineStr">
        <is>
          <t>-</t>
        </is>
      </c>
      <c r="J39" s="40" t="n">
        <v>0</v>
      </c>
      <c r="K39" s="32" t="inlineStr">
        <is>
          <t>No</t>
        </is>
      </c>
      <c r="L39" s="32" t="n">
        <v>0</v>
      </c>
      <c r="M39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0" ht="184" customHeight="1">
      <c r="A40" s="32" t="inlineStr">
        <is>
          <t>1 Jul</t>
        </is>
      </c>
      <c r="B40" s="32" t="inlineStr">
        <is>
          <t>30377</t>
        </is>
      </c>
      <c r="C40" s="32" t="n">
        <v>461</v>
      </c>
      <c r="D40" s="32" t="n">
        <v>457</v>
      </c>
      <c r="E40" s="32" t="n">
        <v>0</v>
      </c>
      <c r="F40" s="39" t="n">
        <v>1401708</v>
      </c>
      <c r="G40" s="39" t="n">
        <v>1435765</v>
      </c>
      <c r="H40" s="39" t="inlineStr">
        <is>
          <t>-</t>
        </is>
      </c>
      <c r="I40" s="39" t="inlineStr">
        <is>
          <t>-</t>
        </is>
      </c>
      <c r="J40" s="40" t="n">
        <v>0</v>
      </c>
      <c r="K40" s="32" t="inlineStr">
        <is>
          <t>No</t>
        </is>
      </c>
      <c r="L40" s="32" t="n">
        <v>0</v>
      </c>
      <c r="M40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1" ht="184" customHeight="1">
      <c r="A41" s="32" t="inlineStr">
        <is>
          <t>1 Jul</t>
        </is>
      </c>
      <c r="B41" s="32" t="inlineStr">
        <is>
          <t>30442</t>
        </is>
      </c>
      <c r="C41" s="32" t="n">
        <v>731</v>
      </c>
      <c r="D41" s="32" t="n">
        <v>731</v>
      </c>
      <c r="E41" s="32" t="n">
        <v>0</v>
      </c>
      <c r="F41" s="39" t="n">
        <v>1401324</v>
      </c>
      <c r="G41" s="39" t="n">
        <v>1436931</v>
      </c>
      <c r="H41" s="39" t="inlineStr">
        <is>
          <t>-</t>
        </is>
      </c>
      <c r="I41" s="39" t="inlineStr">
        <is>
          <t>-</t>
        </is>
      </c>
      <c r="J41" s="40" t="n">
        <v>0</v>
      </c>
      <c r="K41" s="32" t="inlineStr">
        <is>
          <t>No</t>
        </is>
      </c>
      <c r="L41" s="32" t="n">
        <v>0</v>
      </c>
      <c r="M41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2" ht="184" customHeight="1">
      <c r="A42" s="32" t="inlineStr">
        <is>
          <t>1 Jul</t>
        </is>
      </c>
      <c r="B42" s="32" t="inlineStr">
        <is>
          <t>30473</t>
        </is>
      </c>
      <c r="C42" s="32" t="n">
        <v>1771</v>
      </c>
      <c r="D42" s="32" t="n">
        <v>1712</v>
      </c>
      <c r="E42" s="32" t="n">
        <v>0</v>
      </c>
      <c r="F42" s="39" t="n">
        <v>1907</v>
      </c>
      <c r="G42" s="39" t="n">
        <v>697890</v>
      </c>
      <c r="H42" s="39" t="inlineStr">
        <is>
          <t>-</t>
        </is>
      </c>
      <c r="I42" s="39" t="inlineStr">
        <is>
          <t>-</t>
        </is>
      </c>
      <c r="J42" s="40" t="n">
        <v>0</v>
      </c>
      <c r="K42" s="32" t="inlineStr">
        <is>
          <t>No</t>
        </is>
      </c>
      <c r="L42" s="32" t="n">
        <v>0</v>
      </c>
      <c r="M42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" ht="184" customHeight="1">
      <c r="A43" s="32" t="inlineStr">
        <is>
          <t>1 Jul</t>
        </is>
      </c>
      <c r="B43" s="32" t="inlineStr">
        <is>
          <t>30542</t>
        </is>
      </c>
      <c r="C43" s="32" t="n">
        <v>135</v>
      </c>
      <c r="D43" s="32" t="n">
        <v>134</v>
      </c>
      <c r="E43" s="32" t="n">
        <v>0</v>
      </c>
      <c r="F43" s="39" t="n">
        <v>1401407</v>
      </c>
      <c r="G43" s="39" t="n">
        <v>1413819</v>
      </c>
      <c r="H43" s="39" t="inlineStr">
        <is>
          <t>-</t>
        </is>
      </c>
      <c r="I43" s="39" t="inlineStr">
        <is>
          <t>-</t>
        </is>
      </c>
      <c r="J43" s="40" t="n">
        <v>0</v>
      </c>
      <c r="K43" s="32" t="inlineStr">
        <is>
          <t>No</t>
        </is>
      </c>
      <c r="L43" s="32" t="n">
        <v>0</v>
      </c>
      <c r="M43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" ht="184" customHeight="1">
      <c r="A44" s="32" t="inlineStr">
        <is>
          <t>1 Jul</t>
        </is>
      </c>
      <c r="B44" s="32" t="inlineStr">
        <is>
          <t>30629</t>
        </is>
      </c>
      <c r="C44" s="32" t="n">
        <v>123</v>
      </c>
      <c r="D44" s="32" t="n">
        <v>83</v>
      </c>
      <c r="E44" s="32" t="n">
        <v>83</v>
      </c>
      <c r="F44" s="39" t="n">
        <v>1242984</v>
      </c>
      <c r="G44" s="39" t="n">
        <v>1242984</v>
      </c>
      <c r="H44" s="39" t="n">
        <v>1242984</v>
      </c>
      <c r="I44" s="39" t="n">
        <v>1242984</v>
      </c>
      <c r="J44" s="40">
        <f>(I44-H44)/1000</f>
        <v/>
      </c>
      <c r="K44" s="32" t="inlineStr">
        <is>
          <t>No</t>
        </is>
      </c>
      <c r="L44" s="32" t="n">
        <v>1</v>
      </c>
      <c r="M44" s="41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45" ht="184" customHeight="1">
      <c r="A45" s="32" t="inlineStr">
        <is>
          <t>1 Jul</t>
        </is>
      </c>
      <c r="B45" s="32" t="inlineStr">
        <is>
          <t>30634</t>
        </is>
      </c>
      <c r="C45" s="32" t="n">
        <v>34</v>
      </c>
      <c r="D45" s="32" t="n">
        <v>34</v>
      </c>
      <c r="E45" s="32" t="n">
        <v>0</v>
      </c>
      <c r="F45" s="39" t="n">
        <v>604589</v>
      </c>
      <c r="G45" s="39" t="n">
        <v>645584</v>
      </c>
      <c r="H45" s="39" t="inlineStr">
        <is>
          <t>-</t>
        </is>
      </c>
      <c r="I45" s="39" t="inlineStr">
        <is>
          <t>-</t>
        </is>
      </c>
      <c r="J45" s="40" t="n">
        <v>0</v>
      </c>
      <c r="K45" s="32" t="inlineStr">
        <is>
          <t>No</t>
        </is>
      </c>
      <c r="L45" s="32" t="n">
        <v>0</v>
      </c>
      <c r="M45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6" ht="184" customHeight="1">
      <c r="A46" s="32" t="inlineStr">
        <is>
          <t>1 Jul</t>
        </is>
      </c>
      <c r="B46" s="32" t="inlineStr">
        <is>
          <t>30648</t>
        </is>
      </c>
      <c r="C46" s="32" t="n">
        <v>10</v>
      </c>
      <c r="D46" s="32" t="n">
        <v>10</v>
      </c>
      <c r="E46" s="32" t="n">
        <v>0</v>
      </c>
      <c r="F46" s="39" t="n">
        <v>1399264</v>
      </c>
      <c r="G46" s="39" t="n">
        <v>1430899</v>
      </c>
      <c r="H46" s="39" t="inlineStr">
        <is>
          <t>-</t>
        </is>
      </c>
      <c r="I46" s="39" t="inlineStr">
        <is>
          <t>-</t>
        </is>
      </c>
      <c r="J46" s="40" t="n">
        <v>0</v>
      </c>
      <c r="K46" s="32" t="inlineStr">
        <is>
          <t>No</t>
        </is>
      </c>
      <c r="L46" s="32" t="n">
        <v>0</v>
      </c>
      <c r="M46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7" ht="184" customHeight="1">
      <c r="A47" s="32" t="inlineStr">
        <is>
          <t>1 Jul</t>
        </is>
      </c>
      <c r="B47" s="32" t="inlineStr">
        <is>
          <t>37020</t>
        </is>
      </c>
      <c r="C47" s="32" t="n">
        <v>3241</v>
      </c>
      <c r="D47" s="32" t="n">
        <v>3172</v>
      </c>
      <c r="E47" s="32" t="n">
        <v>0</v>
      </c>
      <c r="F47" s="39" t="n">
        <v>1891</v>
      </c>
      <c r="G47" s="39" t="n">
        <v>697889</v>
      </c>
      <c r="H47" s="39" t="inlineStr">
        <is>
          <t>-</t>
        </is>
      </c>
      <c r="I47" s="39" t="inlineStr">
        <is>
          <t>-</t>
        </is>
      </c>
      <c r="J47" s="40" t="n">
        <v>0</v>
      </c>
      <c r="K47" s="32" t="inlineStr">
        <is>
          <t>No</t>
        </is>
      </c>
      <c r="L47" s="32" t="n">
        <v>0</v>
      </c>
      <c r="M47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8" ht="184" customHeight="1">
      <c r="A48" s="32" t="inlineStr">
        <is>
          <t>1 Jul</t>
        </is>
      </c>
      <c r="B48" s="32" t="inlineStr">
        <is>
          <t>37039</t>
        </is>
      </c>
      <c r="C48" s="32" t="n">
        <v>95</v>
      </c>
      <c r="D48" s="32" t="n">
        <v>90</v>
      </c>
      <c r="E48" s="32" t="n">
        <v>0</v>
      </c>
      <c r="F48" s="39" t="n">
        <v>65692</v>
      </c>
      <c r="G48" s="39" t="n">
        <v>218607</v>
      </c>
      <c r="H48" s="39" t="inlineStr">
        <is>
          <t>-</t>
        </is>
      </c>
      <c r="I48" s="39" t="inlineStr">
        <is>
          <t>-</t>
        </is>
      </c>
      <c r="J48" s="40" t="n">
        <v>0</v>
      </c>
      <c r="K48" s="32" t="inlineStr">
        <is>
          <t>No</t>
        </is>
      </c>
      <c r="L48" s="32" t="n">
        <v>0</v>
      </c>
      <c r="M48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9" ht="184" customHeight="1">
      <c r="A49" s="32" t="inlineStr">
        <is>
          <t>1 Jul</t>
        </is>
      </c>
      <c r="B49" s="32" t="inlineStr">
        <is>
          <t>37068</t>
        </is>
      </c>
      <c r="C49" s="32" t="n">
        <v>1014</v>
      </c>
      <c r="D49" s="32" t="n">
        <v>1013</v>
      </c>
      <c r="E49" s="32" t="n">
        <v>0</v>
      </c>
      <c r="F49" s="39" t="n">
        <v>1401304</v>
      </c>
      <c r="G49" s="39" t="n">
        <v>1445730</v>
      </c>
      <c r="H49" s="39" t="inlineStr">
        <is>
          <t>-</t>
        </is>
      </c>
      <c r="I49" s="39" t="inlineStr">
        <is>
          <t>-</t>
        </is>
      </c>
      <c r="J49" s="40" t="n">
        <v>0</v>
      </c>
      <c r="K49" s="32" t="inlineStr">
        <is>
          <t>No</t>
        </is>
      </c>
      <c r="L49" s="32" t="n">
        <v>0</v>
      </c>
      <c r="M49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0" ht="184" customHeight="1">
      <c r="A50" s="32" t="inlineStr">
        <is>
          <t>1 Jul</t>
        </is>
      </c>
      <c r="B50" s="32" t="inlineStr">
        <is>
          <t>37266</t>
        </is>
      </c>
      <c r="C50" s="32" t="n">
        <v>2110</v>
      </c>
      <c r="D50" s="32" t="n">
        <v>2110</v>
      </c>
      <c r="E50" s="32" t="n">
        <v>0</v>
      </c>
      <c r="F50" s="39" t="n">
        <v>1355147</v>
      </c>
      <c r="G50" s="39" t="n">
        <v>1436703</v>
      </c>
      <c r="H50" s="39" t="inlineStr">
        <is>
          <t>-</t>
        </is>
      </c>
      <c r="I50" s="39" t="inlineStr">
        <is>
          <t>-</t>
        </is>
      </c>
      <c r="J50" s="40" t="n">
        <v>0</v>
      </c>
      <c r="K50" s="32" t="inlineStr">
        <is>
          <t>No</t>
        </is>
      </c>
      <c r="L50" s="32" t="n">
        <v>0</v>
      </c>
      <c r="M50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1" ht="184" customHeight="1">
      <c r="A51" s="32" t="inlineStr">
        <is>
          <t>1 Jul</t>
        </is>
      </c>
      <c r="B51" s="32" t="inlineStr">
        <is>
          <t>37275</t>
        </is>
      </c>
      <c r="C51" s="32" t="n">
        <v>11</v>
      </c>
      <c r="D51" s="32" t="n">
        <v>11</v>
      </c>
      <c r="E51" s="32" t="n">
        <v>0</v>
      </c>
      <c r="F51" s="39" t="n">
        <v>606144</v>
      </c>
      <c r="G51" s="39" t="n">
        <v>643229</v>
      </c>
      <c r="H51" s="39" t="inlineStr">
        <is>
          <t>-</t>
        </is>
      </c>
      <c r="I51" s="39" t="inlineStr">
        <is>
          <t>-</t>
        </is>
      </c>
      <c r="J51" s="40" t="n">
        <v>0</v>
      </c>
      <c r="K51" s="32" t="inlineStr">
        <is>
          <t>No</t>
        </is>
      </c>
      <c r="L51" s="32" t="n">
        <v>0</v>
      </c>
      <c r="M51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2" ht="184" customHeight="1">
      <c r="A52" s="32" t="inlineStr">
        <is>
          <t>1 Jul</t>
        </is>
      </c>
      <c r="B52" s="32" t="inlineStr">
        <is>
          <t>37324</t>
        </is>
      </c>
      <c r="C52" s="32" t="n">
        <v>763</v>
      </c>
      <c r="D52" s="32" t="n">
        <v>761</v>
      </c>
      <c r="E52" s="32" t="n">
        <v>0</v>
      </c>
      <c r="F52" s="39" t="n">
        <v>1401418</v>
      </c>
      <c r="G52" s="39" t="n">
        <v>1441737</v>
      </c>
      <c r="H52" s="39" t="inlineStr">
        <is>
          <t>-</t>
        </is>
      </c>
      <c r="I52" s="39" t="inlineStr">
        <is>
          <t>-</t>
        </is>
      </c>
      <c r="J52" s="40" t="n">
        <v>0</v>
      </c>
      <c r="K52" s="32" t="inlineStr">
        <is>
          <t>No</t>
        </is>
      </c>
      <c r="L52" s="32" t="n">
        <v>0</v>
      </c>
      <c r="M52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3" ht="184" customHeight="1">
      <c r="A53" s="32" t="inlineStr">
        <is>
          <t>1 Jul</t>
        </is>
      </c>
      <c r="B53" s="32" t="inlineStr">
        <is>
          <t>37346</t>
        </is>
      </c>
      <c r="C53" s="32" t="n">
        <v>1048</v>
      </c>
      <c r="D53" s="32" t="n">
        <v>1047</v>
      </c>
      <c r="E53" s="32" t="n">
        <v>0</v>
      </c>
      <c r="F53" s="39" t="n">
        <v>1401344</v>
      </c>
      <c r="G53" s="39" t="n">
        <v>1448549</v>
      </c>
      <c r="H53" s="39" t="inlineStr">
        <is>
          <t>-</t>
        </is>
      </c>
      <c r="I53" s="39" t="inlineStr">
        <is>
          <t>-</t>
        </is>
      </c>
      <c r="J53" s="40" t="n">
        <v>0</v>
      </c>
      <c r="K53" s="32" t="inlineStr">
        <is>
          <t>No</t>
        </is>
      </c>
      <c r="L53" s="32" t="n">
        <v>0</v>
      </c>
      <c r="M53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4" ht="184" customHeight="1">
      <c r="A54" s="32" t="inlineStr">
        <is>
          <t>1 Jul</t>
        </is>
      </c>
      <c r="B54" s="32" t="inlineStr">
        <is>
          <t>37454</t>
        </is>
      </c>
      <c r="C54" s="32" t="n">
        <v>1760</v>
      </c>
      <c r="D54" s="32" t="n">
        <v>1729</v>
      </c>
      <c r="E54" s="32" t="n">
        <v>0</v>
      </c>
      <c r="F54" s="39" t="n">
        <v>1357844</v>
      </c>
      <c r="G54" s="39" t="n">
        <v>1425552</v>
      </c>
      <c r="H54" s="39" t="inlineStr">
        <is>
          <t>-</t>
        </is>
      </c>
      <c r="I54" s="39" t="inlineStr">
        <is>
          <t>-</t>
        </is>
      </c>
      <c r="J54" s="40" t="n">
        <v>0</v>
      </c>
      <c r="K54" s="32" t="inlineStr">
        <is>
          <t>No</t>
        </is>
      </c>
      <c r="L54" s="32" t="n">
        <v>0</v>
      </c>
      <c r="M54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5" ht="184" customHeight="1">
      <c r="A55" s="32" t="inlineStr">
        <is>
          <t>1 Jul</t>
        </is>
      </c>
      <c r="B55" s="32" t="inlineStr">
        <is>
          <t>37880</t>
        </is>
      </c>
      <c r="C55" s="32" t="n">
        <v>91</v>
      </c>
      <c r="D55" s="32" t="n">
        <v>91</v>
      </c>
      <c r="E55" s="32" t="n">
        <v>0</v>
      </c>
      <c r="F55" s="39" t="n">
        <v>1401389</v>
      </c>
      <c r="G55" s="39" t="n">
        <v>1402797</v>
      </c>
      <c r="H55" s="39" t="inlineStr">
        <is>
          <t>-</t>
        </is>
      </c>
      <c r="I55" s="39" t="inlineStr">
        <is>
          <t>-</t>
        </is>
      </c>
      <c r="J55" s="40" t="n">
        <v>0</v>
      </c>
      <c r="K55" s="32" t="inlineStr">
        <is>
          <t>No</t>
        </is>
      </c>
      <c r="L55" s="32" t="n">
        <v>0</v>
      </c>
      <c r="M55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6" ht="184" customHeight="1">
      <c r="A56" s="32" t="inlineStr">
        <is>
          <t>1 Jul</t>
        </is>
      </c>
      <c r="B56" s="32" t="inlineStr">
        <is>
          <t>39063</t>
        </is>
      </c>
      <c r="C56" s="32" t="n">
        <v>1971</v>
      </c>
      <c r="D56" s="32" t="n">
        <v>1971</v>
      </c>
      <c r="E56" s="32" t="n">
        <v>0</v>
      </c>
      <c r="F56" s="39" t="n">
        <v>1325862</v>
      </c>
      <c r="G56" s="39" t="n">
        <v>1440483</v>
      </c>
      <c r="H56" s="39" t="inlineStr">
        <is>
          <t>-</t>
        </is>
      </c>
      <c r="I56" s="39" t="inlineStr">
        <is>
          <t>-</t>
        </is>
      </c>
      <c r="J56" s="40" t="n">
        <v>0</v>
      </c>
      <c r="K56" s="32" t="inlineStr">
        <is>
          <t>No</t>
        </is>
      </c>
      <c r="L56" s="32" t="n">
        <v>0</v>
      </c>
      <c r="M56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7" ht="184" customHeight="1">
      <c r="A57" s="32" t="inlineStr">
        <is>
          <t>1 Jul</t>
        </is>
      </c>
      <c r="B57" s="32" t="inlineStr">
        <is>
          <t>39283</t>
        </is>
      </c>
      <c r="C57" s="32" t="n">
        <v>1841</v>
      </c>
      <c r="D57" s="32" t="n">
        <v>1792</v>
      </c>
      <c r="E57" s="32" t="n">
        <v>0</v>
      </c>
      <c r="F57" s="39" t="n">
        <v>1886</v>
      </c>
      <c r="G57" s="39" t="n">
        <v>697888</v>
      </c>
      <c r="H57" s="39" t="inlineStr">
        <is>
          <t>-</t>
        </is>
      </c>
      <c r="I57" s="39" t="inlineStr">
        <is>
          <t>-</t>
        </is>
      </c>
      <c r="J57" s="40" t="n">
        <v>0</v>
      </c>
      <c r="K57" s="32" t="inlineStr">
        <is>
          <t>No</t>
        </is>
      </c>
      <c r="L57" s="32" t="n">
        <v>0</v>
      </c>
      <c r="M57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8" ht="184" customHeight="1">
      <c r="A58" s="32" t="inlineStr">
        <is>
          <t>1 Jul</t>
        </is>
      </c>
      <c r="B58" s="32" t="inlineStr">
        <is>
          <t>39516</t>
        </is>
      </c>
      <c r="C58" s="32" t="n">
        <v>728</v>
      </c>
      <c r="D58" s="32" t="n">
        <v>728</v>
      </c>
      <c r="E58" s="32" t="n">
        <v>0</v>
      </c>
      <c r="F58" s="39" t="n">
        <v>1401348</v>
      </c>
      <c r="G58" s="39" t="n">
        <v>1437173</v>
      </c>
      <c r="H58" s="39" t="inlineStr">
        <is>
          <t>-</t>
        </is>
      </c>
      <c r="I58" s="39" t="inlineStr">
        <is>
          <t>-</t>
        </is>
      </c>
      <c r="J58" s="40" t="n">
        <v>0</v>
      </c>
      <c r="K58" s="32" t="inlineStr">
        <is>
          <t>No</t>
        </is>
      </c>
      <c r="L58" s="32" t="n">
        <v>0</v>
      </c>
      <c r="M58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9" ht="184" customHeight="1">
      <c r="A59" s="32" t="inlineStr">
        <is>
          <t>1 Jul</t>
        </is>
      </c>
      <c r="B59" s="32" t="inlineStr">
        <is>
          <t>39565</t>
        </is>
      </c>
      <c r="C59" s="32" t="n">
        <v>1</v>
      </c>
      <c r="D59" s="32" t="n">
        <v>1</v>
      </c>
      <c r="E59" s="32" t="n">
        <v>0</v>
      </c>
      <c r="F59" s="39" t="n">
        <v>1267245</v>
      </c>
      <c r="G59" s="39" t="n">
        <v>1267245</v>
      </c>
      <c r="H59" s="39" t="inlineStr">
        <is>
          <t>-</t>
        </is>
      </c>
      <c r="I59" s="39" t="inlineStr">
        <is>
          <t>-</t>
        </is>
      </c>
      <c r="J59" s="40" t="n">
        <v>0</v>
      </c>
      <c r="K59" s="32" t="inlineStr">
        <is>
          <t>No</t>
        </is>
      </c>
      <c r="L59" s="32" t="n">
        <v>0</v>
      </c>
      <c r="M59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0" ht="184" customHeight="1">
      <c r="A60" s="32" t="inlineStr">
        <is>
          <t>1 Jul</t>
        </is>
      </c>
      <c r="B60" s="32" t="inlineStr">
        <is>
          <t>43881</t>
        </is>
      </c>
      <c r="C60" s="32" t="n">
        <v>1445</v>
      </c>
      <c r="D60" s="32" t="n">
        <v>1445</v>
      </c>
      <c r="E60" s="32" t="n">
        <v>0</v>
      </c>
      <c r="F60" s="39" t="n">
        <v>657106</v>
      </c>
      <c r="G60" s="39" t="n">
        <v>695481</v>
      </c>
      <c r="H60" s="39" t="inlineStr">
        <is>
          <t>-</t>
        </is>
      </c>
      <c r="I60" s="39" t="inlineStr">
        <is>
          <t>-</t>
        </is>
      </c>
      <c r="J60" s="40" t="n">
        <v>0</v>
      </c>
      <c r="K60" s="32" t="inlineStr">
        <is>
          <t>No</t>
        </is>
      </c>
      <c r="L60" s="32" t="n">
        <v>0</v>
      </c>
      <c r="M60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2" t="inlineStr">
        <is>
          <t>Methodology</t>
        </is>
      </c>
    </row>
    <row r="2"/>
    <row r="3" ht="34" customHeight="1">
      <c r="B3" s="43" t="inlineStr">
        <is>
          <t>Excluded</t>
        </is>
      </c>
      <c r="C3" s="44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3" t="inlineStr">
        <is>
          <t>No of Trips</t>
        </is>
      </c>
      <c r="C4" s="44" t="inlineStr">
        <is>
          <t>A direction-run covering within 5 km of its line length (DN 535.7 / UP 544.9 km) = one FULL trip; out-and-back = 2. A loco with &gt;=1 full trip is 'valid' (its EBs count as Valid). KM Verification lists each loco-day's stations passed / not passed.</t>
        </is>
      </c>
    </row>
    <row r="5" ht="49" customHeight="1">
      <c r="B5" s="43" t="inlineStr">
        <is>
          <t>Total KMs Run on Kavach</t>
        </is>
      </c>
      <c r="C5" s="44" t="inlineStr">
        <is>
          <t>Section coverage per loco = how far it travelled across the section = (max - min) of its abs within the section limits (699070-1243994). Capped at the section length; 0 if the loco never reported inside the section.</t>
        </is>
      </c>
    </row>
    <row r="6">
      <c r="B6" s="43" t="inlineStr">
        <is>
          <t>Availability (FS+OS)</t>
        </is>
      </c>
      <c r="C6" s="44" t="inlineStr">
        <is>
          <t>Packets in FS or OnSight ÷ all packets (all modes) × 100.</t>
        </is>
      </c>
    </row>
    <row r="7" ht="34" customHeight="1">
      <c r="B7" s="43" t="inlineStr">
        <is>
          <t>Total EB</t>
        </is>
      </c>
      <c r="C7" s="44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3" t="inlineStr">
        <is>
          <t>Mode Degradation</t>
        </is>
      </c>
      <c r="C8" s="44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49" customHeight="1">
      <c r="B9" s="43" t="inlineStr">
        <is>
          <t>EB diagnostics</t>
        </is>
      </c>
      <c r="C9" s="44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3" t="inlineStr">
        <is>
          <t>Ratios</t>
        </is>
      </c>
      <c r="C10" s="44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2026-07-02T00:42:21Z</dcterms:created>
  <dcterms:modified xsi:type="dcterms:W3CDTF">2026-07-02T00:42:21Z</dcterms:modified>
</cp:coreProperties>
</file>
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WR — Kavach Unified KPI</t>
        </is>
      </c>
    </row>
    <row r="2">
      <c r="A2" s="2" t="inlineStr">
        <is>
          <t>Period: 29 Jun 2026  ·  all locomotives  ·  one combined row</t>
        </is>
      </c>
    </row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49" customHeight="1">
      <c r="A5" s="4" t="inlineStr">
        <is>
          <t>29 Jun 2026</t>
        </is>
      </c>
      <c r="B5" s="4" t="inlineStr">
        <is>
          <t>WR</t>
        </is>
      </c>
      <c r="C5" s="4" t="inlineStr">
        <is>
          <t>24000_ADI - 24223 (WR03, BRC excluded)</t>
        </is>
      </c>
      <c r="D5" s="5">
        <f>'Daily Breakdown'!C52</f>
        <v/>
      </c>
      <c r="E5" s="6">
        <f>'Daily Breakdown'!D52</f>
        <v/>
      </c>
      <c r="F5" s="7">
        <f>'Daily Breakdown'!G52</f>
        <v/>
      </c>
      <c r="G5" s="5">
        <f>'Daily Breakdown'!H52</f>
        <v/>
      </c>
      <c r="H5" s="8">
        <f>'Daily Breakdown'!I52</f>
        <v/>
      </c>
      <c r="I5" s="8">
        <f>'Daily Breakdown'!J52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5">
        <f>'Daily Breakdown'!K52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8" t="n">
        <v>6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>
      <c r="A2" s="37" t="inlineStr">
        <is>
          <t>Availability base excludes locos with FS+OS pkts = 0 (they are still listed below; only the Total-pkts availability base drops them).</t>
        </is>
      </c>
    </row>
    <row r="3" ht="34" customHeight="1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29 Jun</t>
        </is>
      </c>
      <c r="B4" s="15" t="inlineStr">
        <is>
          <t>37286</t>
        </is>
      </c>
      <c r="C4" s="16" t="n">
        <v>2</v>
      </c>
      <c r="D4" s="49" t="n">
        <v>93.90000000000001</v>
      </c>
      <c r="E4" s="18" t="n">
        <v>8753</v>
      </c>
      <c r="F4" s="18" t="n">
        <v>10165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6</v>
      </c>
    </row>
    <row r="5">
      <c r="A5" s="15" t="inlineStr">
        <is>
          <t>29 Jun</t>
        </is>
      </c>
      <c r="B5" s="15" t="inlineStr">
        <is>
          <t>39015</t>
        </is>
      </c>
      <c r="C5" s="16" t="n">
        <v>2</v>
      </c>
      <c r="D5" s="49" t="n">
        <v>93.91</v>
      </c>
      <c r="E5" s="18" t="n">
        <v>8326</v>
      </c>
      <c r="F5" s="18" t="n">
        <v>9983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7</v>
      </c>
    </row>
    <row r="6">
      <c r="A6" s="15" t="inlineStr">
        <is>
          <t>29 Jun</t>
        </is>
      </c>
      <c r="B6" s="15" t="inlineStr">
        <is>
          <t>37086</t>
        </is>
      </c>
      <c r="C6" s="16" t="n">
        <v>2</v>
      </c>
      <c r="D6" s="49" t="n">
        <v>93.90000000000001</v>
      </c>
      <c r="E6" s="18" t="n">
        <v>8353</v>
      </c>
      <c r="F6" s="18" t="n">
        <v>9771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6</v>
      </c>
    </row>
    <row r="7">
      <c r="A7" s="15" t="inlineStr">
        <is>
          <t>29 Jun</t>
        </is>
      </c>
      <c r="B7" s="15" t="inlineStr">
        <is>
          <t>37569</t>
        </is>
      </c>
      <c r="C7" s="16" t="n">
        <v>2</v>
      </c>
      <c r="D7" s="49" t="n">
        <v>93.91</v>
      </c>
      <c r="E7" s="18" t="n">
        <v>7114</v>
      </c>
      <c r="F7" s="18" t="n">
        <v>7986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7</v>
      </c>
    </row>
    <row r="8">
      <c r="A8" s="15" t="inlineStr">
        <is>
          <t>29 Jun</t>
        </is>
      </c>
      <c r="B8" s="15" t="inlineStr">
        <is>
          <t>39487</t>
        </is>
      </c>
      <c r="C8" s="16" t="n">
        <v>1</v>
      </c>
      <c r="D8" s="49" t="n">
        <v>93.31999999999999</v>
      </c>
      <c r="E8" s="18" t="n">
        <v>9057</v>
      </c>
      <c r="F8" s="18" t="n">
        <v>9376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6</v>
      </c>
    </row>
    <row r="9">
      <c r="A9" s="15" t="inlineStr">
        <is>
          <t>29 Jun</t>
        </is>
      </c>
      <c r="B9" s="15" t="inlineStr">
        <is>
          <t>42322</t>
        </is>
      </c>
      <c r="C9" s="16" t="n">
        <v>1</v>
      </c>
      <c r="D9" s="49" t="n">
        <v>93.31999999999999</v>
      </c>
      <c r="E9" s="18" t="n">
        <v>7078</v>
      </c>
      <c r="F9" s="18" t="n">
        <v>7346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5</v>
      </c>
    </row>
    <row r="10">
      <c r="A10" s="15" t="inlineStr">
        <is>
          <t>29 Jun</t>
        </is>
      </c>
      <c r="B10" s="15" t="inlineStr">
        <is>
          <t>37655</t>
        </is>
      </c>
      <c r="C10" s="16" t="n">
        <v>1</v>
      </c>
      <c r="D10" s="49" t="n">
        <v>90.88</v>
      </c>
      <c r="E10" s="18" t="n">
        <v>6638</v>
      </c>
      <c r="F10" s="18" t="n">
        <v>7005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1</v>
      </c>
    </row>
    <row r="11">
      <c r="A11" s="15" t="inlineStr">
        <is>
          <t>29 Jun</t>
        </is>
      </c>
      <c r="B11" s="15" t="inlineStr">
        <is>
          <t>37396</t>
        </is>
      </c>
      <c r="C11" s="16" t="n">
        <v>1</v>
      </c>
      <c r="D11" s="49" t="n">
        <v>93.89</v>
      </c>
      <c r="E11" s="18" t="n">
        <v>5215</v>
      </c>
      <c r="F11" s="18" t="n">
        <v>6379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2</v>
      </c>
    </row>
    <row r="12">
      <c r="A12" s="15" t="inlineStr">
        <is>
          <t>29 Jun</t>
        </is>
      </c>
      <c r="B12" s="15" t="inlineStr">
        <is>
          <t>39257</t>
        </is>
      </c>
      <c r="C12" s="16" t="n">
        <v>1</v>
      </c>
      <c r="D12" s="49" t="n">
        <v>93.31999999999999</v>
      </c>
      <c r="E12" s="18" t="n">
        <v>6062</v>
      </c>
      <c r="F12" s="18" t="n">
        <v>6169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3</v>
      </c>
    </row>
    <row r="13">
      <c r="A13" s="15" t="inlineStr">
        <is>
          <t>29 Jun</t>
        </is>
      </c>
      <c r="B13" s="15" t="inlineStr">
        <is>
          <t>37039</t>
        </is>
      </c>
      <c r="C13" s="16" t="n">
        <v>1</v>
      </c>
      <c r="D13" s="49" t="n">
        <v>93.31</v>
      </c>
      <c r="E13" s="18" t="n">
        <v>5912</v>
      </c>
      <c r="F13" s="18" t="n">
        <v>6168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5</v>
      </c>
    </row>
    <row r="14">
      <c r="A14" s="15" t="inlineStr">
        <is>
          <t>29 Jun</t>
        </is>
      </c>
      <c r="B14" s="15" t="inlineStr">
        <is>
          <t>30154</t>
        </is>
      </c>
      <c r="C14" s="16" t="n">
        <v>1</v>
      </c>
      <c r="D14" s="49" t="n">
        <v>93.91</v>
      </c>
      <c r="E14" s="18" t="n">
        <v>4849</v>
      </c>
      <c r="F14" s="18" t="n">
        <v>5887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2</v>
      </c>
    </row>
    <row r="15">
      <c r="A15" s="15" t="inlineStr">
        <is>
          <t>29 Jun</t>
        </is>
      </c>
      <c r="B15" s="15" t="inlineStr">
        <is>
          <t>39214</t>
        </is>
      </c>
      <c r="C15" s="16" t="n">
        <v>1</v>
      </c>
      <c r="D15" s="49" t="n">
        <v>93.90000000000001</v>
      </c>
      <c r="E15" s="18" t="n">
        <v>4594</v>
      </c>
      <c r="F15" s="18" t="n">
        <v>5590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3</v>
      </c>
    </row>
    <row r="16">
      <c r="A16" s="15" t="inlineStr">
        <is>
          <t>29 Jun</t>
        </is>
      </c>
      <c r="B16" s="15" t="inlineStr">
        <is>
          <t>30484</t>
        </is>
      </c>
      <c r="C16" s="16" t="n">
        <v>1</v>
      </c>
      <c r="D16" s="49" t="n">
        <v>93.91</v>
      </c>
      <c r="E16" s="18" t="n">
        <v>4725</v>
      </c>
      <c r="F16" s="18" t="n">
        <v>5323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4</v>
      </c>
    </row>
    <row r="17">
      <c r="A17" s="15" t="inlineStr">
        <is>
          <t>29 Jun</t>
        </is>
      </c>
      <c r="B17" s="15" t="inlineStr">
        <is>
          <t>30314</t>
        </is>
      </c>
      <c r="C17" s="16" t="n">
        <v>1</v>
      </c>
      <c r="D17" s="49" t="n">
        <v>93.91</v>
      </c>
      <c r="E17" s="18" t="n">
        <v>4367</v>
      </c>
      <c r="F17" s="18" t="n">
        <v>5266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6</v>
      </c>
    </row>
    <row r="18">
      <c r="A18" s="15" t="inlineStr">
        <is>
          <t>29 Jun</t>
        </is>
      </c>
      <c r="B18" s="15" t="inlineStr">
        <is>
          <t>37504</t>
        </is>
      </c>
      <c r="C18" s="16" t="n">
        <v>1</v>
      </c>
      <c r="D18" s="49" t="n">
        <v>93.90000000000001</v>
      </c>
      <c r="E18" s="18" t="n">
        <v>4317</v>
      </c>
      <c r="F18" s="18" t="n">
        <v>5223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4</v>
      </c>
    </row>
    <row r="19">
      <c r="A19" s="15" t="inlineStr">
        <is>
          <t>29 Jun</t>
        </is>
      </c>
      <c r="B19" s="15" t="inlineStr">
        <is>
          <t>37884</t>
        </is>
      </c>
      <c r="C19" s="16" t="n">
        <v>1</v>
      </c>
      <c r="D19" s="49" t="n">
        <v>93.87</v>
      </c>
      <c r="E19" s="18" t="n">
        <v>4695</v>
      </c>
      <c r="F19" s="18" t="n">
        <v>5204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2</v>
      </c>
    </row>
    <row r="20">
      <c r="A20" s="15" t="inlineStr">
        <is>
          <t>29 Jun</t>
        </is>
      </c>
      <c r="B20" s="15" t="inlineStr">
        <is>
          <t>37352</t>
        </is>
      </c>
      <c r="C20" s="16" t="n">
        <v>1</v>
      </c>
      <c r="D20" s="49" t="n">
        <v>93.89</v>
      </c>
      <c r="E20" s="18" t="n">
        <v>4490</v>
      </c>
      <c r="F20" s="18" t="n">
        <v>5169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2</v>
      </c>
    </row>
    <row r="21">
      <c r="A21" s="15" t="inlineStr">
        <is>
          <t>29 Jun</t>
        </is>
      </c>
      <c r="B21" s="15" t="inlineStr">
        <is>
          <t>37164</t>
        </is>
      </c>
      <c r="C21" s="16" t="n">
        <v>1</v>
      </c>
      <c r="D21" s="49" t="n">
        <v>93.89</v>
      </c>
      <c r="E21" s="18" t="n">
        <v>3821</v>
      </c>
      <c r="F21" s="18" t="n">
        <v>4623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2</v>
      </c>
    </row>
    <row r="22">
      <c r="A22" s="15" t="inlineStr">
        <is>
          <t>29 Jun</t>
        </is>
      </c>
      <c r="B22" s="15" t="inlineStr">
        <is>
          <t>37792</t>
        </is>
      </c>
      <c r="C22" s="16" t="n">
        <v>1</v>
      </c>
      <c r="D22" s="49" t="n">
        <v>93.86</v>
      </c>
      <c r="E22" s="18" t="n">
        <v>3617</v>
      </c>
      <c r="F22" s="18" t="n">
        <v>4283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5</v>
      </c>
    </row>
    <row r="23">
      <c r="A23" s="15" t="inlineStr">
        <is>
          <t>29 Jun</t>
        </is>
      </c>
      <c r="B23" s="15" t="inlineStr">
        <is>
          <t>37684</t>
        </is>
      </c>
      <c r="C23" s="16" t="n">
        <v>1</v>
      </c>
      <c r="D23" s="49" t="n">
        <v>93.90000000000001</v>
      </c>
      <c r="E23" s="18" t="n">
        <v>3027</v>
      </c>
      <c r="F23" s="18" t="n">
        <v>3756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4</v>
      </c>
    </row>
    <row r="24">
      <c r="A24" s="15" t="inlineStr">
        <is>
          <t>29 Jun</t>
        </is>
      </c>
      <c r="B24" s="15" t="inlineStr">
        <is>
          <t>39259</t>
        </is>
      </c>
      <c r="C24" s="16" t="n">
        <v>1</v>
      </c>
      <c r="D24" s="49" t="n">
        <v>93.91</v>
      </c>
      <c r="E24" s="18" t="n">
        <v>2185</v>
      </c>
      <c r="F24" s="18" t="n">
        <v>3606</v>
      </c>
      <c r="G24" s="19">
        <f>IF(F24=0,0,E24/F24*100)</f>
        <v/>
      </c>
      <c r="H24" s="16" t="n">
        <v>3</v>
      </c>
      <c r="I24" s="16" t="n">
        <v>3</v>
      </c>
      <c r="J24" s="16" t="n">
        <v>0</v>
      </c>
      <c r="K24" s="16" t="n">
        <v>4</v>
      </c>
    </row>
    <row r="25">
      <c r="A25" s="15" t="inlineStr">
        <is>
          <t>29 Jun</t>
        </is>
      </c>
      <c r="B25" s="15" t="inlineStr">
        <is>
          <t>37303</t>
        </is>
      </c>
      <c r="C25" s="16" t="n">
        <v>0</v>
      </c>
      <c r="D25" s="49" t="n">
        <v>51.4</v>
      </c>
      <c r="E25" s="18" t="n">
        <v>2370</v>
      </c>
      <c r="F25" s="18" t="n">
        <v>4163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1</v>
      </c>
    </row>
    <row r="26">
      <c r="A26" s="15" t="inlineStr">
        <is>
          <t>29 Jun</t>
        </is>
      </c>
      <c r="B26" s="15" t="inlineStr">
        <is>
          <t>45027</t>
        </is>
      </c>
      <c r="C26" s="16" t="n">
        <v>0</v>
      </c>
      <c r="D26" s="49" t="n">
        <v>48.58</v>
      </c>
      <c r="E26" s="18" t="n">
        <v>3545</v>
      </c>
      <c r="F26" s="18" t="n">
        <v>3545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0</v>
      </c>
    </row>
    <row r="27">
      <c r="A27" s="15" t="inlineStr">
        <is>
          <t>29 Jun</t>
        </is>
      </c>
      <c r="B27" s="15" t="inlineStr">
        <is>
          <t>30474</t>
        </is>
      </c>
      <c r="C27" s="16" t="n">
        <v>0</v>
      </c>
      <c r="D27" s="49" t="n">
        <v>35.01</v>
      </c>
      <c r="E27" s="18" t="n">
        <v>1343</v>
      </c>
      <c r="F27" s="18" t="n">
        <v>3472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2</v>
      </c>
    </row>
    <row r="28">
      <c r="A28" s="15" t="inlineStr">
        <is>
          <t>29 Jun</t>
        </is>
      </c>
      <c r="B28" s="15" t="inlineStr">
        <is>
          <t>39096</t>
        </is>
      </c>
      <c r="C28" s="16" t="n">
        <v>0</v>
      </c>
      <c r="D28" s="49" t="n">
        <v>63.4</v>
      </c>
      <c r="E28" s="18" t="n">
        <v>2997</v>
      </c>
      <c r="F28" s="18" t="n">
        <v>3376</v>
      </c>
      <c r="G28" s="19">
        <f>IF(F28=0,0,E28/F28*100)</f>
        <v/>
      </c>
      <c r="H28" s="16" t="n">
        <v>2</v>
      </c>
      <c r="I28" s="16" t="n">
        <v>0</v>
      </c>
      <c r="J28" s="16" t="n">
        <v>2</v>
      </c>
      <c r="K28" s="16" t="n">
        <v>6</v>
      </c>
    </row>
    <row r="29">
      <c r="A29" s="15" t="inlineStr">
        <is>
          <t>29 Jun</t>
        </is>
      </c>
      <c r="B29" s="15" t="inlineStr">
        <is>
          <t>30767</t>
        </is>
      </c>
      <c r="C29" s="16" t="n">
        <v>0</v>
      </c>
      <c r="D29" s="49" t="n">
        <v>36.93</v>
      </c>
      <c r="E29" s="18" t="n">
        <v>2523</v>
      </c>
      <c r="F29" s="18" t="n">
        <v>3158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1</v>
      </c>
    </row>
    <row r="30">
      <c r="A30" s="15" t="inlineStr">
        <is>
          <t>29 Jun</t>
        </is>
      </c>
      <c r="B30" s="15" t="inlineStr">
        <is>
          <t>30480</t>
        </is>
      </c>
      <c r="C30" s="16" t="n">
        <v>0</v>
      </c>
      <c r="D30" s="49" t="n">
        <v>49.58</v>
      </c>
      <c r="E30" s="18" t="n">
        <v>2721</v>
      </c>
      <c r="F30" s="18" t="n">
        <v>2793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3</v>
      </c>
    </row>
    <row r="31">
      <c r="A31" s="15" t="inlineStr">
        <is>
          <t>29 Jun</t>
        </is>
      </c>
      <c r="B31" s="15" t="inlineStr">
        <is>
          <t>37388</t>
        </is>
      </c>
      <c r="C31" s="16" t="n">
        <v>0</v>
      </c>
      <c r="D31" s="49" t="n">
        <v>52.96</v>
      </c>
      <c r="E31" s="18" t="n">
        <v>2111</v>
      </c>
      <c r="F31" s="18" t="n">
        <v>2653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1</v>
      </c>
    </row>
    <row r="32">
      <c r="A32" s="15" t="inlineStr">
        <is>
          <t>29 Jun</t>
        </is>
      </c>
      <c r="B32" s="15" t="inlineStr">
        <is>
          <t>30606</t>
        </is>
      </c>
      <c r="C32" s="16" t="n">
        <v>0</v>
      </c>
      <c r="D32" s="49" t="n">
        <v>41.79</v>
      </c>
      <c r="E32" s="18" t="n">
        <v>1627</v>
      </c>
      <c r="F32" s="18" t="n">
        <v>2560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2</v>
      </c>
    </row>
    <row r="33">
      <c r="A33" s="15" t="inlineStr">
        <is>
          <t>29 Jun</t>
        </is>
      </c>
      <c r="B33" s="15" t="inlineStr">
        <is>
          <t>37163</t>
        </is>
      </c>
      <c r="C33" s="16" t="n">
        <v>0</v>
      </c>
      <c r="D33" s="49" t="n">
        <v>40.57</v>
      </c>
      <c r="E33" s="18" t="n">
        <v>1216</v>
      </c>
      <c r="F33" s="18" t="n">
        <v>2250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0</v>
      </c>
    </row>
    <row r="34">
      <c r="A34" s="15" t="inlineStr">
        <is>
          <t>29 Jun</t>
        </is>
      </c>
      <c r="B34" s="15" t="inlineStr">
        <is>
          <t>39027</t>
        </is>
      </c>
      <c r="C34" s="16" t="n">
        <v>0</v>
      </c>
      <c r="D34" s="49" t="n">
        <v>36.58</v>
      </c>
      <c r="E34" s="18" t="n">
        <v>1219</v>
      </c>
      <c r="F34" s="18" t="n">
        <v>2003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29 Jun</t>
        </is>
      </c>
      <c r="B35" s="15" t="inlineStr">
        <is>
          <t>37397</t>
        </is>
      </c>
      <c r="C35" s="16" t="n">
        <v>0</v>
      </c>
      <c r="D35" s="49" t="n">
        <v>40.15</v>
      </c>
      <c r="E35" s="18" t="n">
        <v>991</v>
      </c>
      <c r="F35" s="18" t="n">
        <v>1953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1</v>
      </c>
    </row>
    <row r="36">
      <c r="A36" s="15" t="inlineStr">
        <is>
          <t>29 Jun</t>
        </is>
      </c>
      <c r="B36" s="15" t="inlineStr">
        <is>
          <t>39176</t>
        </is>
      </c>
      <c r="C36" s="16" t="n">
        <v>0</v>
      </c>
      <c r="D36" s="49" t="n">
        <v>43.14</v>
      </c>
      <c r="E36" s="18" t="n">
        <v>965</v>
      </c>
      <c r="F36" s="18" t="n">
        <v>1948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1</v>
      </c>
    </row>
    <row r="37">
      <c r="A37" s="15" t="inlineStr">
        <is>
          <t>29 Jun</t>
        </is>
      </c>
      <c r="B37" s="15" t="inlineStr">
        <is>
          <t>37131</t>
        </is>
      </c>
      <c r="C37" s="16" t="n">
        <v>0</v>
      </c>
      <c r="D37" s="49" t="n">
        <v>36.92</v>
      </c>
      <c r="E37" s="18" t="n">
        <v>888</v>
      </c>
      <c r="F37" s="18" t="n">
        <v>1598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0</v>
      </c>
    </row>
    <row r="38">
      <c r="A38" s="15" t="inlineStr">
        <is>
          <t>29 Jun</t>
        </is>
      </c>
      <c r="B38" s="15" t="inlineStr">
        <is>
          <t>37515</t>
        </is>
      </c>
      <c r="C38" s="16" t="n">
        <v>0</v>
      </c>
      <c r="D38" s="49" t="n">
        <v>38.26</v>
      </c>
      <c r="E38" s="18" t="n">
        <v>866</v>
      </c>
      <c r="F38" s="18" t="n">
        <v>1496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0</v>
      </c>
    </row>
    <row r="39">
      <c r="A39" s="15" t="inlineStr">
        <is>
          <t>29 Jun</t>
        </is>
      </c>
      <c r="B39" s="15" t="inlineStr">
        <is>
          <t>37812</t>
        </is>
      </c>
      <c r="C39" s="16" t="n">
        <v>0</v>
      </c>
      <c r="D39" s="49" t="n">
        <v>41.14</v>
      </c>
      <c r="E39" s="18" t="n">
        <v>907</v>
      </c>
      <c r="F39" s="18" t="n">
        <v>1484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2</v>
      </c>
    </row>
    <row r="40">
      <c r="A40" s="15" t="inlineStr">
        <is>
          <t>29 Jun</t>
        </is>
      </c>
      <c r="B40" s="15" t="inlineStr">
        <is>
          <t>37582</t>
        </is>
      </c>
      <c r="C40" s="16" t="n">
        <v>0</v>
      </c>
      <c r="D40" s="49" t="n">
        <v>36.69</v>
      </c>
      <c r="E40" s="18" t="n">
        <v>856</v>
      </c>
      <c r="F40" s="18" t="n">
        <v>1465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1</v>
      </c>
    </row>
    <row r="41">
      <c r="A41" s="15" t="inlineStr">
        <is>
          <t>29 Jun</t>
        </is>
      </c>
      <c r="B41" s="15" t="inlineStr">
        <is>
          <t>30460</t>
        </is>
      </c>
      <c r="C41" s="16" t="n">
        <v>0</v>
      </c>
      <c r="D41" s="49" t="n">
        <v>36.37</v>
      </c>
      <c r="E41" s="18" t="n">
        <v>637</v>
      </c>
      <c r="F41" s="18" t="n">
        <v>1437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0</v>
      </c>
    </row>
    <row r="42">
      <c r="A42" s="15" t="inlineStr">
        <is>
          <t>29 Jun</t>
        </is>
      </c>
      <c r="B42" s="15" t="inlineStr">
        <is>
          <t>37266</t>
        </is>
      </c>
      <c r="C42" s="16" t="n">
        <v>0</v>
      </c>
      <c r="D42" s="49" t="n">
        <v>36.8</v>
      </c>
      <c r="E42" s="18" t="n">
        <v>713</v>
      </c>
      <c r="F42" s="18" t="n">
        <v>1431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1</v>
      </c>
    </row>
    <row r="43">
      <c r="A43" s="15" t="inlineStr">
        <is>
          <t>29 Jun</t>
        </is>
      </c>
      <c r="B43" s="15" t="inlineStr">
        <is>
          <t>45035</t>
        </is>
      </c>
      <c r="C43" s="16" t="n">
        <v>0</v>
      </c>
      <c r="D43" s="49" t="n">
        <v>36.74</v>
      </c>
      <c r="E43" s="18" t="n">
        <v>725</v>
      </c>
      <c r="F43" s="18" t="n">
        <v>1388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1</v>
      </c>
    </row>
    <row r="44">
      <c r="A44" s="15" t="inlineStr">
        <is>
          <t>29 Jun</t>
        </is>
      </c>
      <c r="B44" s="15" t="inlineStr">
        <is>
          <t>37947</t>
        </is>
      </c>
      <c r="C44" s="16" t="n">
        <v>0</v>
      </c>
      <c r="D44" s="49" t="n">
        <v>40.57</v>
      </c>
      <c r="E44" s="18" t="n">
        <v>859</v>
      </c>
      <c r="F44" s="18" t="n">
        <v>1297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1</v>
      </c>
    </row>
    <row r="45">
      <c r="A45" s="15" t="inlineStr">
        <is>
          <t>29 Jun</t>
        </is>
      </c>
      <c r="B45" s="15" t="inlineStr">
        <is>
          <t>37633</t>
        </is>
      </c>
      <c r="C45" s="16" t="n">
        <v>0</v>
      </c>
      <c r="D45" s="49" t="n">
        <v>36.37</v>
      </c>
      <c r="E45" s="18" t="n">
        <v>714</v>
      </c>
      <c r="F45" s="18" t="n">
        <v>1245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0</v>
      </c>
    </row>
    <row r="46">
      <c r="A46" s="15" t="inlineStr">
        <is>
          <t>29 Jun</t>
        </is>
      </c>
      <c r="B46" s="15" t="inlineStr">
        <is>
          <t>37721</t>
        </is>
      </c>
      <c r="C46" s="16" t="n">
        <v>0</v>
      </c>
      <c r="D46" s="49" t="n">
        <v>35.07</v>
      </c>
      <c r="E46" s="18" t="n">
        <v>596</v>
      </c>
      <c r="F46" s="18" t="n">
        <v>980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0</v>
      </c>
    </row>
    <row r="47">
      <c r="A47" s="15" t="inlineStr">
        <is>
          <t>29 Jun</t>
        </is>
      </c>
      <c r="B47" s="15" t="inlineStr">
        <is>
          <t>39236</t>
        </is>
      </c>
      <c r="C47" s="16" t="n">
        <v>0</v>
      </c>
      <c r="D47" s="49" t="n">
        <v>36.01</v>
      </c>
      <c r="E47" s="18" t="n">
        <v>942</v>
      </c>
      <c r="F47" s="18" t="n">
        <v>949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0</v>
      </c>
    </row>
    <row r="48">
      <c r="A48" s="15" t="inlineStr">
        <is>
          <t>29 Jun</t>
        </is>
      </c>
      <c r="B48" s="15" t="inlineStr">
        <is>
          <t>51347</t>
        </is>
      </c>
      <c r="C48" s="16" t="n">
        <v>0</v>
      </c>
      <c r="D48" s="49" t="n">
        <v>1.79</v>
      </c>
      <c r="E48" s="18" t="n">
        <v>118</v>
      </c>
      <c r="F48" s="18" t="n">
        <v>182</v>
      </c>
      <c r="G48" s="19">
        <f>IF(F48=0,0,E48/F48*100)</f>
        <v/>
      </c>
      <c r="H48" s="16" t="n">
        <v>1</v>
      </c>
      <c r="I48" s="16" t="n">
        <v>0</v>
      </c>
      <c r="J48" s="16" t="n">
        <v>1</v>
      </c>
      <c r="K48" s="16" t="n">
        <v>4</v>
      </c>
    </row>
    <row r="49">
      <c r="A49" s="15" t="inlineStr">
        <is>
          <t>29 Jun</t>
        </is>
      </c>
      <c r="B49" s="15" t="inlineStr">
        <is>
          <t>55555</t>
        </is>
      </c>
      <c r="C49" s="16" t="n">
        <v>0</v>
      </c>
      <c r="D49" s="49" t="n">
        <v>5.25</v>
      </c>
      <c r="E49" s="18" t="n">
        <v>15</v>
      </c>
      <c r="F49" s="18" t="n">
        <v>44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3</v>
      </c>
    </row>
    <row r="50">
      <c r="A50" s="15" t="inlineStr">
        <is>
          <t>29 Jun</t>
        </is>
      </c>
      <c r="B50" s="15" t="inlineStr">
        <is>
          <t>37489</t>
        </is>
      </c>
      <c r="C50" s="16" t="n">
        <v>0</v>
      </c>
      <c r="D50" s="49" t="n">
        <v>1.44</v>
      </c>
      <c r="E50" s="18" t="n">
        <v>2</v>
      </c>
      <c r="F50" s="18" t="n">
        <v>2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0</v>
      </c>
    </row>
    <row r="51">
      <c r="A51" s="20" t="inlineStr">
        <is>
          <t>29 Jun</t>
        </is>
      </c>
      <c r="B51" s="20" t="inlineStr">
        <is>
          <t>Day Total</t>
        </is>
      </c>
      <c r="C51" s="21">
        <f>SUM(C4:C50)</f>
        <v/>
      </c>
      <c r="D51" s="50">
        <f>SUM(D4:D50)</f>
        <v/>
      </c>
      <c r="E51" s="23">
        <f>SUM(E4:E50)</f>
        <v/>
      </c>
      <c r="F51" s="23">
        <f>SUMIF(E4:E50,"&gt;0",F4:F50)</f>
        <v/>
      </c>
      <c r="G51" s="24">
        <f>IF(F51=0,0,E51/F51*100)</f>
        <v/>
      </c>
      <c r="H51" s="21">
        <f>SUM(H4:H50)</f>
        <v/>
      </c>
      <c r="I51" s="21">
        <f>SUM(I4:I50)</f>
        <v/>
      </c>
      <c r="J51" s="21">
        <f>SUM(J4:J50)</f>
        <v/>
      </c>
      <c r="K51" s="21">
        <f>SUM(K4:K50)</f>
        <v/>
      </c>
    </row>
    <row r="52">
      <c r="A52" s="25" t="inlineStr">
        <is>
          <t>GRAND TOTAL</t>
        </is>
      </c>
      <c r="B52" s="25" t="n"/>
      <c r="C52" s="26">
        <f>C51</f>
        <v/>
      </c>
      <c r="D52" s="51">
        <f>D51</f>
        <v/>
      </c>
      <c r="E52" s="28">
        <f>E51</f>
        <v/>
      </c>
      <c r="F52" s="28">
        <f>F51</f>
        <v/>
      </c>
      <c r="G52" s="29">
        <f>IF(F52=0,0,E52/F52*100)</f>
        <v/>
      </c>
      <c r="H52" s="26">
        <f>H51</f>
        <v/>
      </c>
      <c r="I52" s="26">
        <f>I51</f>
        <v/>
      </c>
      <c r="J52" s="26">
        <f>J51</f>
        <v/>
      </c>
      <c r="K52" s="26">
        <f>K51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4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3">
      <c r="A3" s="30" t="inlineStr">
        <is>
          <t>Total EB = 6   ·   Valid trips = 3   ·   Non-valid trips = 3   ·   Undesirable = 6</t>
        </is>
      </c>
    </row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Loco Type</t>
        </is>
      </c>
    </row>
    <row r="6">
      <c r="A6" s="31" t="inlineStr">
        <is>
          <t>29 Jun</t>
        </is>
      </c>
      <c r="B6" s="31" t="inlineStr">
        <is>
          <t>39096</t>
        </is>
      </c>
      <c r="C6" s="31" t="inlineStr">
        <is>
          <t>Non-Valid</t>
        </is>
      </c>
      <c r="D6" s="31" t="inlineStr">
        <is>
          <t>04:27:56</t>
        </is>
      </c>
      <c r="E6" s="31" t="inlineStr">
        <is>
          <t>04:28:02</t>
        </is>
      </c>
      <c r="F6" s="31" t="n">
        <v>6</v>
      </c>
      <c r="G6" s="31" t="n">
        <v>4</v>
      </c>
      <c r="H6" s="31" t="n">
        <v>8</v>
      </c>
      <c r="I6" s="31" t="inlineStr">
        <is>
          <t>SR</t>
        </is>
      </c>
      <c r="J6" s="32" t="n">
        <v>494.75</v>
      </c>
      <c r="K6" s="31" t="inlineStr">
        <is>
          <t>U</t>
        </is>
      </c>
      <c r="L6" s="31" t="inlineStr">
        <is>
          <t>AHMEDABAD Jn</t>
        </is>
      </c>
      <c r="M6" s="33" t="inlineStr">
        <is>
          <t>8 km/h</t>
        </is>
      </c>
      <c r="N6" s="33" t="inlineStr">
        <is>
          <t>n/a</t>
        </is>
      </c>
      <c r="O6" s="31" t="inlineStr">
        <is>
          <t>-</t>
        </is>
      </c>
      <c r="P6" s="34" t="inlineStr">
        <is>
          <t>FS-&gt;SR degradation + EB</t>
        </is>
      </c>
      <c r="Q6" s="31" t="inlineStr">
        <is>
          <t>Medha/Kernex</t>
        </is>
      </c>
    </row>
    <row r="7">
      <c r="A7" s="31" t="inlineStr">
        <is>
          <t>29 Jun</t>
        </is>
      </c>
      <c r="B7" s="31" t="inlineStr">
        <is>
          <t>39096</t>
        </is>
      </c>
      <c r="C7" s="31" t="inlineStr">
        <is>
          <t>Non-Valid</t>
        </is>
      </c>
      <c r="D7" s="31" t="inlineStr">
        <is>
          <t>05:31:20</t>
        </is>
      </c>
      <c r="E7" s="31" t="inlineStr">
        <is>
          <t>05:31:36</t>
        </is>
      </c>
      <c r="F7" s="31" t="n">
        <v>16</v>
      </c>
      <c r="G7" s="31" t="n">
        <v>9</v>
      </c>
      <c r="H7" s="31" t="n">
        <v>25</v>
      </c>
      <c r="I7" s="31" t="inlineStr">
        <is>
          <t>SR</t>
        </is>
      </c>
      <c r="J7" s="32" t="n">
        <v>430.91</v>
      </c>
      <c r="K7" s="31" t="inlineStr">
        <is>
          <t>U</t>
        </is>
      </c>
      <c r="L7" s="31" t="inlineStr">
        <is>
          <t>ANAND Jn</t>
        </is>
      </c>
      <c r="M7" s="33" t="inlineStr">
        <is>
          <t>25 km/h</t>
        </is>
      </c>
      <c r="N7" s="33" t="inlineStr">
        <is>
          <t>4103</t>
        </is>
      </c>
      <c r="O7" s="31" t="inlineStr">
        <is>
          <t>-</t>
        </is>
      </c>
      <c r="P7" s="34" t="inlineStr">
        <is>
          <t>FS-&gt;SR degradation + EB</t>
        </is>
      </c>
      <c r="Q7" s="31" t="inlineStr">
        <is>
          <t>Medha/Kernex</t>
        </is>
      </c>
    </row>
    <row r="8">
      <c r="A8" s="16" t="inlineStr">
        <is>
          <t>29 Jun</t>
        </is>
      </c>
      <c r="B8" s="16" t="inlineStr">
        <is>
          <t>39259</t>
        </is>
      </c>
      <c r="C8" s="16" t="inlineStr">
        <is>
          <t>Valid</t>
        </is>
      </c>
      <c r="D8" s="16" t="inlineStr">
        <is>
          <t>11:20:12</t>
        </is>
      </c>
      <c r="E8" s="16" t="inlineStr">
        <is>
          <t>11:20:40</t>
        </is>
      </c>
      <c r="F8" s="16" t="n">
        <v>28</v>
      </c>
      <c r="G8" s="16" t="n">
        <v>15</v>
      </c>
      <c r="H8" s="16" t="n">
        <v>7</v>
      </c>
      <c r="I8" s="16" t="inlineStr">
        <is>
          <t>TRIP</t>
        </is>
      </c>
      <c r="J8" s="35" t="n">
        <v>457.3</v>
      </c>
      <c r="K8" s="16" t="inlineStr">
        <is>
          <t>R</t>
        </is>
      </c>
      <c r="L8" s="16" t="inlineStr">
        <is>
          <t>GOTHAJ</t>
        </is>
      </c>
      <c r="M8" s="36" t="inlineStr">
        <is>
          <t>7 km/h</t>
        </is>
      </c>
      <c r="N8" s="36" t="inlineStr">
        <is>
          <t>200</t>
        </is>
      </c>
      <c r="O8" s="16" t="inlineStr">
        <is>
          <t>-</t>
        </is>
      </c>
      <c r="P8" s="34" t="inlineStr">
        <is>
          <t>Trip mode</t>
        </is>
      </c>
      <c r="Q8" s="16" t="inlineStr">
        <is>
          <t>Medha/Kernex</t>
        </is>
      </c>
    </row>
    <row r="9">
      <c r="A9" s="16" t="inlineStr">
        <is>
          <t>29 Jun</t>
        </is>
      </c>
      <c r="B9" s="16" t="inlineStr">
        <is>
          <t>39259</t>
        </is>
      </c>
      <c r="C9" s="16" t="inlineStr">
        <is>
          <t>Valid</t>
        </is>
      </c>
      <c r="D9" s="16" t="inlineStr">
        <is>
          <t>11:22:14</t>
        </is>
      </c>
      <c r="E9" s="16" t="inlineStr">
        <is>
          <t>11:22:16</t>
        </is>
      </c>
      <c r="F9" s="16" t="n">
        <v>2</v>
      </c>
      <c r="G9" s="16" t="n">
        <v>2</v>
      </c>
      <c r="H9" s="16" t="n">
        <v>0</v>
      </c>
      <c r="I9" s="16" t="inlineStr">
        <is>
          <t>POSTTRIP</t>
        </is>
      </c>
      <c r="J9" s="35" t="n">
        <v>457.29</v>
      </c>
      <c r="K9" s="16" t="inlineStr">
        <is>
          <t>R</t>
        </is>
      </c>
      <c r="L9" s="16" t="inlineStr">
        <is>
          <t>GOTHAJ</t>
        </is>
      </c>
      <c r="M9" s="36" t="inlineStr">
        <is>
          <t>0 km/h</t>
        </is>
      </c>
      <c r="N9" s="36" t="inlineStr">
        <is>
          <t>0</t>
        </is>
      </c>
      <c r="O9" s="16" t="inlineStr">
        <is>
          <t>-</t>
        </is>
      </c>
      <c r="P9" s="34" t="inlineStr">
        <is>
          <t>EB at 0-1 km/h</t>
        </is>
      </c>
      <c r="Q9" s="16" t="inlineStr">
        <is>
          <t>Medha/Kernex</t>
        </is>
      </c>
    </row>
    <row r="10">
      <c r="A10" s="16" t="inlineStr">
        <is>
          <t>29 Jun</t>
        </is>
      </c>
      <c r="B10" s="16" t="inlineStr">
        <is>
          <t>39259</t>
        </is>
      </c>
      <c r="C10" s="16" t="inlineStr">
        <is>
          <t>Valid</t>
        </is>
      </c>
      <c r="D10" s="16" t="inlineStr">
        <is>
          <t>11:23:26</t>
        </is>
      </c>
      <c r="E10" s="16" t="inlineStr">
        <is>
          <t>11:23:26</t>
        </is>
      </c>
      <c r="F10" s="16" t="n">
        <v>0</v>
      </c>
      <c r="G10" s="16" t="n">
        <v>1</v>
      </c>
      <c r="H10" s="16" t="n">
        <v>0</v>
      </c>
      <c r="I10" s="16" t="inlineStr">
        <is>
          <t>POSTTRIP</t>
        </is>
      </c>
      <c r="J10" s="35" t="n">
        <v>457.29</v>
      </c>
      <c r="K10" s="16" t="inlineStr">
        <is>
          <t>R</t>
        </is>
      </c>
      <c r="L10" s="16" t="inlineStr">
        <is>
          <t>GOTHAJ</t>
        </is>
      </c>
      <c r="M10" s="36" t="inlineStr">
        <is>
          <t>0 km/h</t>
        </is>
      </c>
      <c r="N10" s="36" t="inlineStr">
        <is>
          <t>0</t>
        </is>
      </c>
      <c r="O10" s="16" t="inlineStr">
        <is>
          <t>-</t>
        </is>
      </c>
      <c r="P10" s="34" t="inlineStr">
        <is>
          <t>EB at 0-1 km/h</t>
        </is>
      </c>
      <c r="Q10" s="16" t="inlineStr">
        <is>
          <t>Medha/Kernex</t>
        </is>
      </c>
    </row>
    <row r="11">
      <c r="A11" s="31" t="inlineStr">
        <is>
          <t>29 Jun</t>
        </is>
      </c>
      <c r="B11" s="31" t="inlineStr">
        <is>
          <t>51347</t>
        </is>
      </c>
      <c r="C11" s="31" t="inlineStr">
        <is>
          <t>Non-Valid</t>
        </is>
      </c>
      <c r="D11" s="31" t="inlineStr">
        <is>
          <t>13:15:34</t>
        </is>
      </c>
      <c r="E11" s="31" t="inlineStr">
        <is>
          <t>13:15:34</t>
        </is>
      </c>
      <c r="F11" s="31" t="n">
        <v>0</v>
      </c>
      <c r="G11" s="31" t="n">
        <v>1</v>
      </c>
      <c r="H11" s="31" t="n">
        <v>28</v>
      </c>
      <c r="I11" s="31" t="inlineStr">
        <is>
          <t>SR</t>
        </is>
      </c>
      <c r="J11" s="32" t="n">
        <v>450.3</v>
      </c>
      <c r="K11" s="31" t="inlineStr">
        <is>
          <t>U</t>
        </is>
      </c>
      <c r="L11" s="31" t="inlineStr">
        <is>
          <t>NADIAD</t>
        </is>
      </c>
      <c r="M11" s="33" t="inlineStr">
        <is>
          <t>28 km/h</t>
        </is>
      </c>
      <c r="N11" s="33" t="inlineStr">
        <is>
          <t>n/a</t>
        </is>
      </c>
      <c r="O11" s="31" t="inlineStr">
        <is>
          <t>-</t>
        </is>
      </c>
      <c r="P11" s="34" t="inlineStr">
        <is>
          <t>FS-&gt;SR degradation + EB</t>
        </is>
      </c>
      <c r="Q11" s="31" t="inlineStr">
        <is>
          <t>HBL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117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  <c r="M5" s="14" t="inlineStr">
        <is>
          <t>Loco Travel</t>
        </is>
      </c>
    </row>
    <row r="6">
      <c r="A6" s="31" t="inlineStr">
        <is>
          <t>29 Jun</t>
        </is>
      </c>
      <c r="B6" s="31" t="inlineStr">
        <is>
          <t>30606</t>
        </is>
      </c>
      <c r="C6" s="31" t="inlineStr">
        <is>
          <t>FS</t>
        </is>
      </c>
      <c r="D6" s="31" t="inlineStr">
        <is>
          <t>SR</t>
        </is>
      </c>
      <c r="E6" s="31" t="inlineStr">
        <is>
          <t>00:11:12</t>
        </is>
      </c>
      <c r="F6" s="31" t="inlineStr">
        <is>
          <t>00:11:14</t>
        </is>
      </c>
      <c r="G6" s="31" t="n">
        <v>2</v>
      </c>
      <c r="H6" s="31" t="n">
        <v>2</v>
      </c>
      <c r="I6" s="32" t="n">
        <v>431.18</v>
      </c>
      <c r="J6" s="31" t="inlineStr">
        <is>
          <t>ANAND Jn</t>
        </is>
      </c>
      <c r="K6" s="31" t="inlineStr">
        <is>
          <t>R</t>
        </is>
      </c>
      <c r="L6" s="31" t="inlineStr">
        <is>
          <t>Non-Valid</t>
        </is>
      </c>
      <c r="M6" s="16" t="inlineStr">
        <is>
          <t>BAJWA, RANOLI, LC-246, VASAD, ADAS ROAD, VADOD, LC-258, ANAND Jn, LC-264, KANJARI BORIYAVI, UTARSANDA</t>
        </is>
      </c>
    </row>
    <row r="7">
      <c r="A7" s="31" t="inlineStr">
        <is>
          <t>29 Jun</t>
        </is>
      </c>
      <c r="B7" s="31" t="inlineStr">
        <is>
          <t>30606</t>
        </is>
      </c>
      <c r="C7" s="31" t="inlineStr">
        <is>
          <t>FS</t>
        </is>
      </c>
      <c r="D7" s="31" t="inlineStr">
        <is>
          <t>SR</t>
        </is>
      </c>
      <c r="E7" s="31" t="inlineStr">
        <is>
          <t>00:33:44</t>
        </is>
      </c>
      <c r="F7" s="31" t="inlineStr">
        <is>
          <t>01:11:32</t>
        </is>
      </c>
      <c r="G7" s="31" t="n">
        <v>2268</v>
      </c>
      <c r="H7" s="31" t="n">
        <v>931</v>
      </c>
      <c r="I7" s="32" t="n">
        <v>403.27</v>
      </c>
      <c r="J7" s="31" t="inlineStr">
        <is>
          <t>BAJWA</t>
        </is>
      </c>
      <c r="K7" s="31" t="inlineStr">
        <is>
          <t>R</t>
        </is>
      </c>
      <c r="L7" s="31" t="inlineStr">
        <is>
          <t>Non-Valid</t>
        </is>
      </c>
      <c r="M7" s="16" t="inlineStr">
        <is>
          <t>BAJWA, RANOLI, LC-246, VASAD, ADAS ROAD, VADOD, LC-258, ANAND Jn, LC-264, KANJARI BORIYAVI, UTARSANDA</t>
        </is>
      </c>
    </row>
    <row r="8">
      <c r="A8" s="31" t="inlineStr">
        <is>
          <t>29 Jun</t>
        </is>
      </c>
      <c r="B8" s="31" t="inlineStr">
        <is>
          <t>37303</t>
        </is>
      </c>
      <c r="C8" s="31" t="inlineStr">
        <is>
          <t>FS</t>
        </is>
      </c>
      <c r="D8" s="31" t="inlineStr">
        <is>
          <t>SR</t>
        </is>
      </c>
      <c r="E8" s="31" t="inlineStr">
        <is>
          <t>00:51:14</t>
        </is>
      </c>
      <c r="F8" s="31" t="inlineStr">
        <is>
          <t>01:53:12</t>
        </is>
      </c>
      <c r="G8" s="31" t="n">
        <v>3718</v>
      </c>
      <c r="H8" s="31" t="n">
        <v>1793</v>
      </c>
      <c r="I8" s="32" t="n">
        <v>403.23</v>
      </c>
      <c r="J8" s="31" t="inlineStr">
        <is>
          <t>BAJWA</t>
        </is>
      </c>
      <c r="K8" s="31" t="inlineStr">
        <is>
          <t>R</t>
        </is>
      </c>
      <c r="L8" s="31" t="inlineStr">
        <is>
          <t>Non-Valid</t>
        </is>
      </c>
      <c r="M8" s="16" t="inlineStr">
        <is>
          <t>BAJWA, RANOLI, LC-246, VASAD, ADAS ROAD, VADOD, LC-258, ANAND Jn, LC-264, KANJARI BORIYAVI, UTARSANDA, NADIAD</t>
        </is>
      </c>
    </row>
    <row r="9">
      <c r="A9" s="16" t="inlineStr">
        <is>
          <t>29 Jun</t>
        </is>
      </c>
      <c r="B9" s="16" t="inlineStr">
        <is>
          <t>37684</t>
        </is>
      </c>
      <c r="C9" s="16" t="inlineStr">
        <is>
          <t>FS</t>
        </is>
      </c>
      <c r="D9" s="16" t="inlineStr">
        <is>
          <t>LS</t>
        </is>
      </c>
      <c r="E9" s="16" t="inlineStr">
        <is>
          <t>01:53:32</t>
        </is>
      </c>
      <c r="F9" s="16" t="inlineStr">
        <is>
          <t>01:53:56</t>
        </is>
      </c>
      <c r="G9" s="16" t="n">
        <v>24</v>
      </c>
      <c r="H9" s="16" t="n">
        <v>14</v>
      </c>
      <c r="I9" s="35" t="n">
        <v>478.13</v>
      </c>
      <c r="J9" s="16" t="inlineStr">
        <is>
          <t>BAREJADI NANDEJ</t>
        </is>
      </c>
      <c r="K9" s="16" t="inlineStr">
        <is>
          <t>R</t>
        </is>
      </c>
      <c r="L9" s="16" t="inlineStr">
        <is>
          <t>Valid</t>
        </is>
      </c>
      <c r="M9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">
      <c r="A10" s="16" t="inlineStr">
        <is>
          <t>29 Jun</t>
        </is>
      </c>
      <c r="B10" s="16" t="inlineStr">
        <is>
          <t>37684</t>
        </is>
      </c>
      <c r="C10" s="16" t="inlineStr">
        <is>
          <t>LS</t>
        </is>
      </c>
      <c r="D10" s="16" t="inlineStr">
        <is>
          <t>SR</t>
        </is>
      </c>
      <c r="E10" s="16" t="inlineStr">
        <is>
          <t>01:53:58</t>
        </is>
      </c>
      <c r="F10" s="16" t="inlineStr">
        <is>
          <t>01:55:04</t>
        </is>
      </c>
      <c r="G10" s="16" t="n">
        <v>66</v>
      </c>
      <c r="H10" s="16" t="n">
        <v>41</v>
      </c>
      <c r="I10" s="35" t="n">
        <v>477.21</v>
      </c>
      <c r="J10" s="16" t="inlineStr">
        <is>
          <t>BAREJADI NANDEJ</t>
        </is>
      </c>
      <c r="K10" s="16" t="inlineStr">
        <is>
          <t>R</t>
        </is>
      </c>
      <c r="L10" s="16" t="inlineStr">
        <is>
          <t>Valid</t>
        </is>
      </c>
      <c r="M10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">
      <c r="A11" s="16" t="inlineStr">
        <is>
          <t>29 Jun</t>
        </is>
      </c>
      <c r="B11" s="16" t="inlineStr">
        <is>
          <t>37684</t>
        </is>
      </c>
      <c r="C11" s="16" t="inlineStr">
        <is>
          <t>OS</t>
        </is>
      </c>
      <c r="D11" s="16" t="inlineStr">
        <is>
          <t>SR</t>
        </is>
      </c>
      <c r="E11" s="16" t="inlineStr">
        <is>
          <t>01:55:06</t>
        </is>
      </c>
      <c r="F11" s="16" t="inlineStr">
        <is>
          <t>01:55:06</t>
        </is>
      </c>
      <c r="G11" s="16" t="n">
        <v>0</v>
      </c>
      <c r="H11" s="16" t="n">
        <v>1</v>
      </c>
      <c r="I11" s="35" t="n">
        <v>474.86</v>
      </c>
      <c r="J11" s="16" t="inlineStr">
        <is>
          <t>KANIJ</t>
        </is>
      </c>
      <c r="K11" s="16" t="inlineStr">
        <is>
          <t>R</t>
        </is>
      </c>
      <c r="L11" s="16" t="inlineStr">
        <is>
          <t>Valid</t>
        </is>
      </c>
      <c r="M11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">
      <c r="A12" s="16" t="inlineStr">
        <is>
          <t>29 Jun</t>
        </is>
      </c>
      <c r="B12" s="16" t="inlineStr">
        <is>
          <t>39487</t>
        </is>
      </c>
      <c r="C12" s="16" t="inlineStr">
        <is>
          <t>FS</t>
        </is>
      </c>
      <c r="D12" s="16" t="inlineStr">
        <is>
          <t>SR</t>
        </is>
      </c>
      <c r="E12" s="16" t="inlineStr">
        <is>
          <t>02:10:58</t>
        </is>
      </c>
      <c r="F12" s="16" t="inlineStr">
        <is>
          <t>02:14:10</t>
        </is>
      </c>
      <c r="G12" s="16" t="n">
        <v>192</v>
      </c>
      <c r="H12" s="16" t="n">
        <v>183</v>
      </c>
      <c r="I12" s="35" t="n">
        <v>401.99</v>
      </c>
      <c r="J12" s="16" t="inlineStr">
        <is>
          <t>BAJWA</t>
        </is>
      </c>
      <c r="K12" s="16" t="inlineStr">
        <is>
          <t>R</t>
        </is>
      </c>
      <c r="L12" s="16" t="inlineStr">
        <is>
          <t>Valid</t>
        </is>
      </c>
      <c r="M12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">
      <c r="A13" s="16" t="inlineStr">
        <is>
          <t>29 Jun</t>
        </is>
      </c>
      <c r="B13" s="16" t="inlineStr">
        <is>
          <t>37164</t>
        </is>
      </c>
      <c r="C13" s="16" t="inlineStr">
        <is>
          <t>FS</t>
        </is>
      </c>
      <c r="D13" s="16" t="inlineStr">
        <is>
          <t>LS</t>
        </is>
      </c>
      <c r="E13" s="16" t="inlineStr">
        <is>
          <t>02:17:40</t>
        </is>
      </c>
      <c r="F13" s="16" t="inlineStr">
        <is>
          <t>02:18:38</t>
        </is>
      </c>
      <c r="G13" s="16" t="n">
        <v>58</v>
      </c>
      <c r="H13" s="16" t="n">
        <v>31</v>
      </c>
      <c r="I13" s="35" t="n">
        <v>477.93</v>
      </c>
      <c r="J13" s="16" t="inlineStr">
        <is>
          <t>BAREJADI NANDEJ</t>
        </is>
      </c>
      <c r="K13" s="16" t="inlineStr">
        <is>
          <t>N</t>
        </is>
      </c>
      <c r="L13" s="16" t="inlineStr">
        <is>
          <t>Valid</t>
        </is>
      </c>
      <c r="M13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">
      <c r="A14" s="16" t="inlineStr">
        <is>
          <t>29 Jun</t>
        </is>
      </c>
      <c r="B14" s="16" t="inlineStr">
        <is>
          <t>37164</t>
        </is>
      </c>
      <c r="C14" s="16" t="inlineStr">
        <is>
          <t>LS</t>
        </is>
      </c>
      <c r="D14" s="16" t="inlineStr">
        <is>
          <t>SR</t>
        </is>
      </c>
      <c r="E14" s="16" t="inlineStr">
        <is>
          <t>02:18:40</t>
        </is>
      </c>
      <c r="F14" s="16" t="inlineStr">
        <is>
          <t>02:20:00</t>
        </is>
      </c>
      <c r="G14" s="16" t="n">
        <v>80</v>
      </c>
      <c r="H14" s="16" t="n">
        <v>46</v>
      </c>
      <c r="I14" s="35" t="n">
        <v>479.75</v>
      </c>
      <c r="J14" s="16" t="inlineStr">
        <is>
          <t>BAREJADI NANDEJ</t>
        </is>
      </c>
      <c r="K14" s="16" t="inlineStr">
        <is>
          <t>N</t>
        </is>
      </c>
      <c r="L14" s="16" t="inlineStr">
        <is>
          <t>Valid</t>
        </is>
      </c>
      <c r="M14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">
      <c r="A15" s="16" t="inlineStr">
        <is>
          <t>29 Jun</t>
        </is>
      </c>
      <c r="B15" s="16" t="inlineStr">
        <is>
          <t>37684</t>
        </is>
      </c>
      <c r="C15" s="16" t="inlineStr">
        <is>
          <t>FS</t>
        </is>
      </c>
      <c r="D15" s="16" t="inlineStr">
        <is>
          <t>SR</t>
        </is>
      </c>
      <c r="E15" s="16" t="inlineStr">
        <is>
          <t>02:36:42</t>
        </is>
      </c>
      <c r="F15" s="16" t="inlineStr">
        <is>
          <t>02:58:14</t>
        </is>
      </c>
      <c r="G15" s="16" t="n">
        <v>1292</v>
      </c>
      <c r="H15" s="16" t="n">
        <v>651</v>
      </c>
      <c r="I15" s="35" t="n">
        <v>403.62</v>
      </c>
      <c r="J15" s="16" t="inlineStr">
        <is>
          <t>BAJWA</t>
        </is>
      </c>
      <c r="K15" s="16" t="inlineStr">
        <is>
          <t>R</t>
        </is>
      </c>
      <c r="L15" s="16" t="inlineStr">
        <is>
          <t>Valid</t>
        </is>
      </c>
      <c r="M15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">
      <c r="A16" s="16" t="inlineStr">
        <is>
          <t>29 Jun</t>
        </is>
      </c>
      <c r="B16" s="16" t="inlineStr">
        <is>
          <t>39214</t>
        </is>
      </c>
      <c r="C16" s="16" t="inlineStr">
        <is>
          <t>FS</t>
        </is>
      </c>
      <c r="D16" s="16" t="inlineStr">
        <is>
          <t>LS</t>
        </is>
      </c>
      <c r="E16" s="16" t="inlineStr">
        <is>
          <t>03:22:24</t>
        </is>
      </c>
      <c r="F16" s="16" t="inlineStr">
        <is>
          <t>03:24:30</t>
        </is>
      </c>
      <c r="G16" s="16" t="n">
        <v>126</v>
      </c>
      <c r="H16" s="16" t="n">
        <v>64</v>
      </c>
      <c r="I16" s="35" t="n">
        <v>478.65</v>
      </c>
      <c r="J16" s="16" t="inlineStr">
        <is>
          <t>BAREJADI NANDEJ</t>
        </is>
      </c>
      <c r="K16" s="16" t="inlineStr">
        <is>
          <t>R</t>
        </is>
      </c>
      <c r="L16" s="16" t="inlineStr">
        <is>
          <t>Valid</t>
        </is>
      </c>
      <c r="M16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">
      <c r="A17" s="16" t="inlineStr">
        <is>
          <t>29 Jun</t>
        </is>
      </c>
      <c r="B17" s="16" t="inlineStr">
        <is>
          <t>39214</t>
        </is>
      </c>
      <c r="C17" s="16" t="inlineStr">
        <is>
          <t>LS</t>
        </is>
      </c>
      <c r="D17" s="16" t="inlineStr">
        <is>
          <t>SR</t>
        </is>
      </c>
      <c r="E17" s="16" t="inlineStr">
        <is>
          <t>03:24:32</t>
        </is>
      </c>
      <c r="F17" s="16" t="inlineStr">
        <is>
          <t>03:24:48</t>
        </is>
      </c>
      <c r="G17" s="16" t="n">
        <v>16</v>
      </c>
      <c r="H17" s="16" t="n">
        <v>9</v>
      </c>
      <c r="I17" s="35" t="n">
        <v>475.36</v>
      </c>
      <c r="J17" s="16" t="inlineStr">
        <is>
          <t>KANIJ</t>
        </is>
      </c>
      <c r="K17" s="16" t="inlineStr">
        <is>
          <t>R</t>
        </is>
      </c>
      <c r="L17" s="16" t="inlineStr">
        <is>
          <t>Valid</t>
        </is>
      </c>
      <c r="M17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8">
      <c r="A18" s="16" t="inlineStr">
        <is>
          <t>29 Jun</t>
        </is>
      </c>
      <c r="B18" s="16" t="inlineStr">
        <is>
          <t>39487</t>
        </is>
      </c>
      <c r="C18" s="16" t="inlineStr">
        <is>
          <t>FS</t>
        </is>
      </c>
      <c r="D18" s="16" t="inlineStr">
        <is>
          <t>LS</t>
        </is>
      </c>
      <c r="E18" s="16" t="inlineStr">
        <is>
          <t>03:29:40</t>
        </is>
      </c>
      <c r="F18" s="16" t="inlineStr">
        <is>
          <t>03:30:30</t>
        </is>
      </c>
      <c r="G18" s="16" t="n">
        <v>50</v>
      </c>
      <c r="H18" s="16" t="n">
        <v>26</v>
      </c>
      <c r="I18" s="35" t="n">
        <v>478</v>
      </c>
      <c r="J18" s="16" t="inlineStr">
        <is>
          <t>BAREJADI NANDEJ</t>
        </is>
      </c>
      <c r="K18" s="16" t="inlineStr">
        <is>
          <t>N</t>
        </is>
      </c>
      <c r="L18" s="16" t="inlineStr">
        <is>
          <t>Valid</t>
        </is>
      </c>
      <c r="M18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">
      <c r="A19" s="16" t="inlineStr">
        <is>
          <t>29 Jun</t>
        </is>
      </c>
      <c r="B19" s="16" t="inlineStr">
        <is>
          <t>39487</t>
        </is>
      </c>
      <c r="C19" s="16" t="inlineStr">
        <is>
          <t>LS</t>
        </is>
      </c>
      <c r="D19" s="16" t="inlineStr">
        <is>
          <t>SR</t>
        </is>
      </c>
      <c r="E19" s="16" t="inlineStr">
        <is>
          <t>03:30:32</t>
        </is>
      </c>
      <c r="F19" s="16" t="inlineStr">
        <is>
          <t>03:31:46</t>
        </is>
      </c>
      <c r="G19" s="16" t="n">
        <v>74</v>
      </c>
      <c r="H19" s="16" t="n">
        <v>43</v>
      </c>
      <c r="I19" s="35" t="n">
        <v>479.74</v>
      </c>
      <c r="J19" s="16" t="inlineStr">
        <is>
          <t>BAREJADI NANDEJ</t>
        </is>
      </c>
      <c r="K19" s="16" t="inlineStr">
        <is>
          <t>N</t>
        </is>
      </c>
      <c r="L19" s="16" t="inlineStr">
        <is>
          <t>Valid</t>
        </is>
      </c>
      <c r="M19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">
      <c r="A20" s="31" t="inlineStr">
        <is>
          <t>29 Jun</t>
        </is>
      </c>
      <c r="B20" s="31" t="inlineStr">
        <is>
          <t>45035</t>
        </is>
      </c>
      <c r="C20" s="31" t="inlineStr">
        <is>
          <t>FS</t>
        </is>
      </c>
      <c r="D20" s="31" t="inlineStr">
        <is>
          <t>SR</t>
        </is>
      </c>
      <c r="E20" s="31" t="inlineStr">
        <is>
          <t>03:34:24</t>
        </is>
      </c>
      <c r="F20" s="31" t="inlineStr">
        <is>
          <t>04:02:38</t>
        </is>
      </c>
      <c r="G20" s="31" t="n">
        <v>1694</v>
      </c>
      <c r="H20" s="31" t="n">
        <v>663</v>
      </c>
      <c r="I20" s="32" t="n">
        <v>402.9</v>
      </c>
      <c r="J20" s="31" t="inlineStr">
        <is>
          <t>BAJWA</t>
        </is>
      </c>
      <c r="K20" s="31" t="inlineStr">
        <is>
          <t>R</t>
        </is>
      </c>
      <c r="L20" s="31" t="inlineStr">
        <is>
          <t>Non-Valid</t>
        </is>
      </c>
      <c r="M20" s="16" t="inlineStr">
        <is>
          <t>BAJWA, RANOLI, LC-246, VASAD, ADAS ROAD, VADOD, LC-258, ANAND Jn, LC-264, KANJARI BORIYAVI</t>
        </is>
      </c>
    </row>
    <row r="21">
      <c r="A21" s="16" t="inlineStr">
        <is>
          <t>29 Jun</t>
        </is>
      </c>
      <c r="B21" s="16" t="inlineStr">
        <is>
          <t>37884</t>
        </is>
      </c>
      <c r="C21" s="16" t="inlineStr">
        <is>
          <t>FS</t>
        </is>
      </c>
      <c r="D21" s="16" t="inlineStr">
        <is>
          <t>LS</t>
        </is>
      </c>
      <c r="E21" s="16" t="inlineStr">
        <is>
          <t>03:58:36</t>
        </is>
      </c>
      <c r="F21" s="16" t="inlineStr">
        <is>
          <t>03:59:34</t>
        </is>
      </c>
      <c r="G21" s="16" t="n">
        <v>58</v>
      </c>
      <c r="H21" s="16" t="n">
        <v>31</v>
      </c>
      <c r="I21" s="35" t="n">
        <v>477.92</v>
      </c>
      <c r="J21" s="16" t="inlineStr">
        <is>
          <t>BAREJADI NANDEJ</t>
        </is>
      </c>
      <c r="K21" s="16" t="inlineStr">
        <is>
          <t>N</t>
        </is>
      </c>
      <c r="L21" s="16" t="inlineStr">
        <is>
          <t>Valid</t>
        </is>
      </c>
      <c r="M21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2">
      <c r="A22" s="16" t="inlineStr">
        <is>
          <t>29 Jun</t>
        </is>
      </c>
      <c r="B22" s="16" t="inlineStr">
        <is>
          <t>37884</t>
        </is>
      </c>
      <c r="C22" s="16" t="inlineStr">
        <is>
          <t>LS</t>
        </is>
      </c>
      <c r="D22" s="16" t="inlineStr">
        <is>
          <t>SR</t>
        </is>
      </c>
      <c r="E22" s="16" t="inlineStr">
        <is>
          <t>03:59:36</t>
        </is>
      </c>
      <c r="F22" s="16" t="inlineStr">
        <is>
          <t>04:00:56</t>
        </is>
      </c>
      <c r="G22" s="16" t="n">
        <v>80</v>
      </c>
      <c r="H22" s="16" t="n">
        <v>46</v>
      </c>
      <c r="I22" s="35" t="n">
        <v>479.74</v>
      </c>
      <c r="J22" s="16" t="inlineStr">
        <is>
          <t>BAREJADI NANDEJ</t>
        </is>
      </c>
      <c r="K22" s="16" t="inlineStr">
        <is>
          <t>N</t>
        </is>
      </c>
      <c r="L22" s="16" t="inlineStr">
        <is>
          <t>Valid</t>
        </is>
      </c>
      <c r="M22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3">
      <c r="A23" s="31" t="inlineStr">
        <is>
          <t>29 Jun</t>
        </is>
      </c>
      <c r="B23" s="31" t="inlineStr">
        <is>
          <t>39096</t>
        </is>
      </c>
      <c r="C23" s="31" t="inlineStr">
        <is>
          <t>OS</t>
        </is>
      </c>
      <c r="D23" s="31" t="inlineStr">
        <is>
          <t>SR</t>
        </is>
      </c>
      <c r="E23" s="31" t="inlineStr">
        <is>
          <t>04:27:54</t>
        </is>
      </c>
      <c r="F23" s="31" t="inlineStr">
        <is>
          <t>04:27:54</t>
        </is>
      </c>
      <c r="G23" s="31" t="n">
        <v>0</v>
      </c>
      <c r="H23" s="31" t="n">
        <v>1</v>
      </c>
      <c r="I23" s="32" t="n">
        <v>494.75</v>
      </c>
      <c r="J23" s="31" t="inlineStr">
        <is>
          <t>AHMEDABAD Jn</t>
        </is>
      </c>
      <c r="K23" s="31" t="inlineStr">
        <is>
          <t>U</t>
        </is>
      </c>
      <c r="L23" s="31" t="inlineStr">
        <is>
          <t>Non-Valid</t>
        </is>
      </c>
      <c r="M23" s="16" t="inlineStr">
        <is>
          <t>ANAND Jn, LC-264, KANJARI BORIYAVI, UTARSANDA, NADIAD, LC-278, GOTHAJ, LC-286, MAHEMDABAD AND KHEDA ROAD, LC-294, KANIJ, BAREJADI NANDEJ, GERATPUR, VATVA, KANKARIYA CABIN, AHMEDABAD Jn</t>
        </is>
      </c>
    </row>
    <row r="24">
      <c r="A24" s="31" t="inlineStr">
        <is>
          <t>29 Jun</t>
        </is>
      </c>
      <c r="B24" s="31" t="inlineStr">
        <is>
          <t>39096</t>
        </is>
      </c>
      <c r="C24" s="31" t="inlineStr">
        <is>
          <t>OS</t>
        </is>
      </c>
      <c r="D24" s="31" t="inlineStr">
        <is>
          <t>SR</t>
        </is>
      </c>
      <c r="E24" s="31" t="inlineStr">
        <is>
          <t>04:27:56</t>
        </is>
      </c>
      <c r="F24" s="31" t="inlineStr">
        <is>
          <t>04:32:54</t>
        </is>
      </c>
      <c r="G24" s="31" t="n">
        <v>298</v>
      </c>
      <c r="H24" s="31" t="n">
        <v>153</v>
      </c>
      <c r="I24" s="32" t="n">
        <v>494.42</v>
      </c>
      <c r="J24" s="31" t="inlineStr">
        <is>
          <t>AHMEDABAD Jn</t>
        </is>
      </c>
      <c r="K24" s="31" t="inlineStr">
        <is>
          <t>U</t>
        </is>
      </c>
      <c r="L24" s="31" t="inlineStr">
        <is>
          <t>Non-Valid</t>
        </is>
      </c>
      <c r="M24" s="16" t="inlineStr">
        <is>
          <t>ANAND Jn, LC-264, KANJARI BORIYAVI, UTARSANDA, NADIAD, LC-278, GOTHAJ, LC-286, MAHEMDABAD AND KHEDA ROAD, LC-294, KANIJ, BAREJADI NANDEJ, GERATPUR, VATVA, KANKARIYA CABIN, AHMEDABAD Jn</t>
        </is>
      </c>
    </row>
    <row r="25">
      <c r="A25" s="16" t="inlineStr">
        <is>
          <t>29 Jun</t>
        </is>
      </c>
      <c r="B25" s="16" t="inlineStr">
        <is>
          <t>39214</t>
        </is>
      </c>
      <c r="C25" s="16" t="inlineStr">
        <is>
          <t>FS</t>
        </is>
      </c>
      <c r="D25" s="16" t="inlineStr">
        <is>
          <t>SR</t>
        </is>
      </c>
      <c r="E25" s="16" t="inlineStr">
        <is>
          <t>04:40:14</t>
        </is>
      </c>
      <c r="F25" s="16" t="inlineStr">
        <is>
          <t>05:07:54</t>
        </is>
      </c>
      <c r="G25" s="16" t="n">
        <v>1660</v>
      </c>
      <c r="H25" s="16" t="n">
        <v>884</v>
      </c>
      <c r="I25" s="35" t="n">
        <v>402.6</v>
      </c>
      <c r="J25" s="16" t="inlineStr">
        <is>
          <t>BAJWA</t>
        </is>
      </c>
      <c r="K25" s="16" t="inlineStr">
        <is>
          <t>R</t>
        </is>
      </c>
      <c r="L25" s="16" t="inlineStr">
        <is>
          <t>Valid</t>
        </is>
      </c>
      <c r="M25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">
      <c r="A26" s="16" t="inlineStr">
        <is>
          <t>29 Jun</t>
        </is>
      </c>
      <c r="B26" s="16" t="inlineStr">
        <is>
          <t>37286</t>
        </is>
      </c>
      <c r="C26" s="16" t="inlineStr">
        <is>
          <t>FS</t>
        </is>
      </c>
      <c r="D26" s="16" t="inlineStr">
        <is>
          <t>LS</t>
        </is>
      </c>
      <c r="E26" s="16" t="inlineStr">
        <is>
          <t>04:45:28</t>
        </is>
      </c>
      <c r="F26" s="16" t="inlineStr">
        <is>
          <t>04:45:48</t>
        </is>
      </c>
      <c r="G26" s="16" t="n">
        <v>20</v>
      </c>
      <c r="H26" s="16" t="n">
        <v>12</v>
      </c>
      <c r="I26" s="35" t="n">
        <v>478.06</v>
      </c>
      <c r="J26" s="16" t="inlineStr">
        <is>
          <t>BAREJADI NANDEJ</t>
        </is>
      </c>
      <c r="K26" s="16" t="inlineStr">
        <is>
          <t>N</t>
        </is>
      </c>
      <c r="L26" s="16" t="inlineStr">
        <is>
          <t>Valid</t>
        </is>
      </c>
      <c r="M26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7">
      <c r="A27" s="16" t="inlineStr">
        <is>
          <t>29 Jun</t>
        </is>
      </c>
      <c r="B27" s="16" t="inlineStr">
        <is>
          <t>37286</t>
        </is>
      </c>
      <c r="C27" s="16" t="inlineStr">
        <is>
          <t>LS</t>
        </is>
      </c>
      <c r="D27" s="16" t="inlineStr">
        <is>
          <t>SR</t>
        </is>
      </c>
      <c r="E27" s="16" t="inlineStr">
        <is>
          <t>04:45:50</t>
        </is>
      </c>
      <c r="F27" s="16" t="inlineStr">
        <is>
          <t>04:48:24</t>
        </is>
      </c>
      <c r="G27" s="16" t="n">
        <v>154</v>
      </c>
      <c r="H27" s="16" t="n">
        <v>81</v>
      </c>
      <c r="I27" s="35" t="n">
        <v>478.7</v>
      </c>
      <c r="J27" s="16" t="inlineStr">
        <is>
          <t>BAREJADI NANDEJ</t>
        </is>
      </c>
      <c r="K27" s="16" t="inlineStr">
        <is>
          <t>N</t>
        </is>
      </c>
      <c r="L27" s="16" t="inlineStr">
        <is>
          <t>Valid</t>
        </is>
      </c>
      <c r="M27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8">
      <c r="A28" s="31" t="inlineStr">
        <is>
          <t>29 Jun</t>
        </is>
      </c>
      <c r="B28" s="31" t="inlineStr">
        <is>
          <t>39096</t>
        </is>
      </c>
      <c r="C28" s="31" t="inlineStr">
        <is>
          <t>FS</t>
        </is>
      </c>
      <c r="D28" s="31" t="inlineStr">
        <is>
          <t>LS</t>
        </is>
      </c>
      <c r="E28" s="31" t="inlineStr">
        <is>
          <t>04:50:44</t>
        </is>
      </c>
      <c r="F28" s="31" t="inlineStr">
        <is>
          <t>04:51:38</t>
        </is>
      </c>
      <c r="G28" s="31" t="n">
        <v>54</v>
      </c>
      <c r="H28" s="31" t="n">
        <v>28</v>
      </c>
      <c r="I28" s="32" t="n">
        <v>478.56</v>
      </c>
      <c r="J28" s="31" t="inlineStr">
        <is>
          <t>BAREJADI NANDEJ</t>
        </is>
      </c>
      <c r="K28" s="31" t="inlineStr">
        <is>
          <t>R</t>
        </is>
      </c>
      <c r="L28" s="31" t="inlineStr">
        <is>
          <t>Non-Valid</t>
        </is>
      </c>
      <c r="M28" s="16" t="inlineStr">
        <is>
          <t>ANAND Jn, LC-264, KANJARI BORIYAVI, UTARSANDA, NADIAD, LC-278, GOTHAJ, LC-286, MAHEMDABAD AND KHEDA ROAD, LC-294, KANIJ, BAREJADI NANDEJ, GERATPUR, VATVA, KANKARIYA CABIN, AHMEDABAD Jn</t>
        </is>
      </c>
    </row>
    <row r="29">
      <c r="A29" s="31" t="inlineStr">
        <is>
          <t>29 Jun</t>
        </is>
      </c>
      <c r="B29" s="31" t="inlineStr">
        <is>
          <t>39096</t>
        </is>
      </c>
      <c r="C29" s="31" t="inlineStr">
        <is>
          <t>LS</t>
        </is>
      </c>
      <c r="D29" s="31" t="inlineStr">
        <is>
          <t>SR</t>
        </is>
      </c>
      <c r="E29" s="31" t="inlineStr">
        <is>
          <t>04:51:40</t>
        </is>
      </c>
      <c r="F29" s="31" t="inlineStr">
        <is>
          <t>04:52:54</t>
        </is>
      </c>
      <c r="G29" s="31" t="n">
        <v>74</v>
      </c>
      <c r="H29" s="31" t="n">
        <v>46</v>
      </c>
      <c r="I29" s="32" t="n">
        <v>477.19</v>
      </c>
      <c r="J29" s="31" t="inlineStr">
        <is>
          <t>BAREJADI NANDEJ</t>
        </is>
      </c>
      <c r="K29" s="31" t="inlineStr">
        <is>
          <t>R</t>
        </is>
      </c>
      <c r="L29" s="31" t="inlineStr">
        <is>
          <t>Non-Valid</t>
        </is>
      </c>
      <c r="M29" s="16" t="inlineStr">
        <is>
          <t>ANAND Jn, LC-264, KANJARI BORIYAVI, UTARSANDA, NADIAD, LC-278, GOTHAJ, LC-286, MAHEMDABAD AND KHEDA ROAD, LC-294, KANIJ, BAREJADI NANDEJ, GERATPUR, VATVA, KANKARIYA CABIN, AHMEDABAD Jn</t>
        </is>
      </c>
    </row>
    <row r="30">
      <c r="A30" s="31" t="inlineStr">
        <is>
          <t>29 Jun</t>
        </is>
      </c>
      <c r="B30" s="31" t="inlineStr">
        <is>
          <t>39096</t>
        </is>
      </c>
      <c r="C30" s="31" t="inlineStr">
        <is>
          <t>OS</t>
        </is>
      </c>
      <c r="D30" s="31" t="inlineStr">
        <is>
          <t>SR</t>
        </is>
      </c>
      <c r="E30" s="31" t="inlineStr">
        <is>
          <t>04:52:56</t>
        </is>
      </c>
      <c r="F30" s="31" t="inlineStr">
        <is>
          <t>04:52:56</t>
        </is>
      </c>
      <c r="G30" s="31" t="n">
        <v>0</v>
      </c>
      <c r="H30" s="31" t="n">
        <v>1</v>
      </c>
      <c r="I30" s="32" t="n">
        <v>474.89</v>
      </c>
      <c r="J30" s="31" t="inlineStr">
        <is>
          <t>KANIJ</t>
        </is>
      </c>
      <c r="K30" s="31" t="inlineStr">
        <is>
          <t>R</t>
        </is>
      </c>
      <c r="L30" s="31" t="inlineStr">
        <is>
          <t>Non-Valid</t>
        </is>
      </c>
      <c r="M30" s="16" t="inlineStr">
        <is>
          <t>ANAND Jn, LC-264, KANJARI BORIYAVI, UTARSANDA, NADIAD, LC-278, GOTHAJ, LC-286, MAHEMDABAD AND KHEDA ROAD, LC-294, KANIJ, BAREJADI NANDEJ, GERATPUR, VATVA, KANKARIYA CABIN, AHMEDABAD Jn</t>
        </is>
      </c>
    </row>
    <row r="31">
      <c r="A31" s="31" t="inlineStr">
        <is>
          <t>29 Jun</t>
        </is>
      </c>
      <c r="B31" s="31" t="inlineStr">
        <is>
          <t>37812</t>
        </is>
      </c>
      <c r="C31" s="31" t="inlineStr">
        <is>
          <t>FS</t>
        </is>
      </c>
      <c r="D31" s="31" t="inlineStr">
        <is>
          <t>SR</t>
        </is>
      </c>
      <c r="E31" s="31" t="inlineStr">
        <is>
          <t>05:17:36</t>
        </is>
      </c>
      <c r="F31" s="31" t="inlineStr">
        <is>
          <t>05:35:24</t>
        </is>
      </c>
      <c r="G31" s="31" t="n">
        <v>1068</v>
      </c>
      <c r="H31" s="31" t="n">
        <v>468</v>
      </c>
      <c r="I31" s="32" t="n">
        <v>402.43</v>
      </c>
      <c r="J31" s="31" t="inlineStr">
        <is>
          <t>BAJWA</t>
        </is>
      </c>
      <c r="K31" s="31" t="inlineStr">
        <is>
          <t>R</t>
        </is>
      </c>
      <c r="L31" s="31" t="inlineStr">
        <is>
          <t>Non-Valid</t>
        </is>
      </c>
      <c r="M31" s="16" t="inlineStr">
        <is>
          <t>BAJWA, RANOLI, LC-246, VASAD, ADAS ROAD, VADOD, LC-258, ANAND Jn, LC-264, KANJARI BORIYAVI, UTARSANDA</t>
        </is>
      </c>
    </row>
    <row r="32">
      <c r="A32" s="31" t="inlineStr">
        <is>
          <t>29 Jun</t>
        </is>
      </c>
      <c r="B32" s="31" t="inlineStr">
        <is>
          <t>39096</t>
        </is>
      </c>
      <c r="C32" s="31" t="inlineStr">
        <is>
          <t>FS</t>
        </is>
      </c>
      <c r="D32" s="31" t="inlineStr">
        <is>
          <t>SR</t>
        </is>
      </c>
      <c r="E32" s="31" t="inlineStr">
        <is>
          <t>05:31:20</t>
        </is>
      </c>
      <c r="F32" s="31" t="inlineStr">
        <is>
          <t>05:32:16</t>
        </is>
      </c>
      <c r="G32" s="31" t="n">
        <v>56</v>
      </c>
      <c r="H32" s="31" t="n">
        <v>29</v>
      </c>
      <c r="I32" s="32" t="n">
        <v>430.91</v>
      </c>
      <c r="J32" s="31" t="inlineStr">
        <is>
          <t>ANAND Jn</t>
        </is>
      </c>
      <c r="K32" s="31" t="inlineStr">
        <is>
          <t>U</t>
        </is>
      </c>
      <c r="L32" s="31" t="inlineStr">
        <is>
          <t>Non-Valid</t>
        </is>
      </c>
      <c r="M32" s="16" t="inlineStr">
        <is>
          <t>ANAND Jn, LC-264, KANJARI BORIYAVI, UTARSANDA, NADIAD, LC-278, GOTHAJ, LC-286, MAHEMDABAD AND KHEDA ROAD, LC-294, KANIJ, BAREJADI NANDEJ, GERATPUR, VATVA, KANKARIYA CABIN, AHMEDABAD Jn</t>
        </is>
      </c>
    </row>
    <row r="33">
      <c r="A33" s="16" t="inlineStr">
        <is>
          <t>29 Jun</t>
        </is>
      </c>
      <c r="B33" s="16" t="inlineStr">
        <is>
          <t>37396</t>
        </is>
      </c>
      <c r="C33" s="16" t="inlineStr">
        <is>
          <t>FS</t>
        </is>
      </c>
      <c r="D33" s="16" t="inlineStr">
        <is>
          <t>LS</t>
        </is>
      </c>
      <c r="E33" s="16" t="inlineStr">
        <is>
          <t>05:36:50</t>
        </is>
      </c>
      <c r="F33" s="16" t="inlineStr">
        <is>
          <t>05:38:42</t>
        </is>
      </c>
      <c r="G33" s="16" t="n">
        <v>112</v>
      </c>
      <c r="H33" s="16" t="n">
        <v>65</v>
      </c>
      <c r="I33" s="35" t="n">
        <v>478.21</v>
      </c>
      <c r="J33" s="16" t="inlineStr">
        <is>
          <t>BAREJADI NANDEJ</t>
        </is>
      </c>
      <c r="K33" s="16" t="inlineStr">
        <is>
          <t>R</t>
        </is>
      </c>
      <c r="L33" s="16" t="inlineStr">
        <is>
          <t>Valid</t>
        </is>
      </c>
      <c r="M33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4">
      <c r="A34" s="16" t="inlineStr">
        <is>
          <t>29 Jun</t>
        </is>
      </c>
      <c r="B34" s="16" t="inlineStr">
        <is>
          <t>37086</t>
        </is>
      </c>
      <c r="C34" s="16" t="inlineStr">
        <is>
          <t>FS</t>
        </is>
      </c>
      <c r="D34" s="16" t="inlineStr">
        <is>
          <t>LS</t>
        </is>
      </c>
      <c r="E34" s="16" t="inlineStr">
        <is>
          <t>06:08:40</t>
        </is>
      </c>
      <c r="F34" s="16" t="inlineStr">
        <is>
          <t>06:08:58</t>
        </is>
      </c>
      <c r="G34" s="16" t="n">
        <v>18</v>
      </c>
      <c r="H34" s="16" t="n">
        <v>11</v>
      </c>
      <c r="I34" s="35" t="n">
        <v>478.03</v>
      </c>
      <c r="J34" s="16" t="inlineStr">
        <is>
          <t>BAREJADI NANDEJ</t>
        </is>
      </c>
      <c r="K34" s="16" t="inlineStr">
        <is>
          <t>N</t>
        </is>
      </c>
      <c r="L34" s="16" t="inlineStr">
        <is>
          <t>Valid</t>
        </is>
      </c>
      <c r="M34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5">
      <c r="A35" s="16" t="inlineStr">
        <is>
          <t>29 Jun</t>
        </is>
      </c>
      <c r="B35" s="16" t="inlineStr">
        <is>
          <t>37086</t>
        </is>
      </c>
      <c r="C35" s="16" t="inlineStr">
        <is>
          <t>LS</t>
        </is>
      </c>
      <c r="D35" s="16" t="inlineStr">
        <is>
          <t>SR</t>
        </is>
      </c>
      <c r="E35" s="16" t="inlineStr">
        <is>
          <t>06:09:00</t>
        </is>
      </c>
      <c r="F35" s="16" t="inlineStr">
        <is>
          <t>06:12:02</t>
        </is>
      </c>
      <c r="G35" s="16" t="n">
        <v>182</v>
      </c>
      <c r="H35" s="16" t="n">
        <v>100</v>
      </c>
      <c r="I35" s="35" t="n">
        <v>478.67</v>
      </c>
      <c r="J35" s="16" t="inlineStr">
        <is>
          <t>BAREJADI NANDEJ</t>
        </is>
      </c>
      <c r="K35" s="16" t="inlineStr">
        <is>
          <t>N</t>
        </is>
      </c>
      <c r="L35" s="16" t="inlineStr">
        <is>
          <t>Valid</t>
        </is>
      </c>
      <c r="M35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6">
      <c r="A36" s="16" t="inlineStr">
        <is>
          <t>29 Jun</t>
        </is>
      </c>
      <c r="B36" s="16" t="inlineStr">
        <is>
          <t>37039</t>
        </is>
      </c>
      <c r="C36" s="16" t="inlineStr">
        <is>
          <t>FS</t>
        </is>
      </c>
      <c r="D36" s="16" t="inlineStr">
        <is>
          <t>SR</t>
        </is>
      </c>
      <c r="E36" s="16" t="inlineStr">
        <is>
          <t>06:38:26</t>
        </is>
      </c>
      <c r="F36" s="16" t="inlineStr">
        <is>
          <t>06:41:54</t>
        </is>
      </c>
      <c r="G36" s="16" t="n">
        <v>208</v>
      </c>
      <c r="H36" s="16" t="n">
        <v>150</v>
      </c>
      <c r="I36" s="35" t="n">
        <v>402</v>
      </c>
      <c r="J36" s="16" t="inlineStr">
        <is>
          <t>BAJWA</t>
        </is>
      </c>
      <c r="K36" s="16" t="inlineStr">
        <is>
          <t>R</t>
        </is>
      </c>
      <c r="L36" s="16" t="inlineStr">
        <is>
          <t>Valid</t>
        </is>
      </c>
      <c r="M36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">
      <c r="A37" s="16" t="inlineStr">
        <is>
          <t>29 Jun</t>
        </is>
      </c>
      <c r="B37" s="16" t="inlineStr">
        <is>
          <t>37396</t>
        </is>
      </c>
      <c r="C37" s="16" t="inlineStr">
        <is>
          <t>FS</t>
        </is>
      </c>
      <c r="D37" s="16" t="inlineStr">
        <is>
          <t>SR</t>
        </is>
      </c>
      <c r="E37" s="16" t="inlineStr">
        <is>
          <t>07:17:00</t>
        </is>
      </c>
      <c r="F37" s="16" t="inlineStr">
        <is>
          <t>07:47:52</t>
        </is>
      </c>
      <c r="G37" s="16" t="n">
        <v>1852</v>
      </c>
      <c r="H37" s="16" t="n">
        <v>1023</v>
      </c>
      <c r="I37" s="35" t="n">
        <v>402.59</v>
      </c>
      <c r="J37" s="16" t="inlineStr">
        <is>
          <t>BAJWA</t>
        </is>
      </c>
      <c r="K37" s="16" t="inlineStr">
        <is>
          <t>R</t>
        </is>
      </c>
      <c r="L37" s="16" t="inlineStr">
        <is>
          <t>Valid</t>
        </is>
      </c>
      <c r="M37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">
      <c r="A38" s="16" t="inlineStr">
        <is>
          <t>29 Jun</t>
        </is>
      </c>
      <c r="B38" s="16" t="inlineStr">
        <is>
          <t>37286</t>
        </is>
      </c>
      <c r="C38" s="16" t="inlineStr">
        <is>
          <t>StandBy</t>
        </is>
      </c>
      <c r="D38" s="16" t="inlineStr">
        <is>
          <t>SR</t>
        </is>
      </c>
      <c r="E38" s="16" t="inlineStr">
        <is>
          <t>07:56:38</t>
        </is>
      </c>
      <c r="F38" s="16" t="inlineStr">
        <is>
          <t>07:58:36</t>
        </is>
      </c>
      <c r="G38" s="16" t="n">
        <v>118</v>
      </c>
      <c r="H38" s="16" t="n">
        <v>101</v>
      </c>
      <c r="I38" s="35" t="n">
        <v>494.98</v>
      </c>
      <c r="J38" s="16" t="inlineStr">
        <is>
          <t>AHMEDABAD Jn</t>
        </is>
      </c>
      <c r="K38" s="16" t="inlineStr">
        <is>
          <t>R</t>
        </is>
      </c>
      <c r="L38" s="16" t="inlineStr">
        <is>
          <t>Valid</t>
        </is>
      </c>
      <c r="M38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">
      <c r="A39" s="16" t="inlineStr">
        <is>
          <t>29 Jun</t>
        </is>
      </c>
      <c r="B39" s="16" t="inlineStr">
        <is>
          <t>37039</t>
        </is>
      </c>
      <c r="C39" s="16" t="inlineStr">
        <is>
          <t>FS</t>
        </is>
      </c>
      <c r="D39" s="16" t="inlineStr">
        <is>
          <t>LS</t>
        </is>
      </c>
      <c r="E39" s="16" t="inlineStr">
        <is>
          <t>07:56:56</t>
        </is>
      </c>
      <c r="F39" s="16" t="inlineStr">
        <is>
          <t>07:56:56</t>
        </is>
      </c>
      <c r="G39" s="16" t="n">
        <v>0</v>
      </c>
      <c r="H39" s="16" t="n">
        <v>1</v>
      </c>
      <c r="I39" s="35" t="n">
        <v>477.95</v>
      </c>
      <c r="J39" s="16" t="inlineStr">
        <is>
          <t>BAREJADI NANDEJ</t>
        </is>
      </c>
      <c r="K39" s="16" t="inlineStr">
        <is>
          <t>N</t>
        </is>
      </c>
      <c r="L39" s="16" t="inlineStr">
        <is>
          <t>Valid</t>
        </is>
      </c>
      <c r="M39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0">
      <c r="A40" s="16" t="inlineStr">
        <is>
          <t>29 Jun</t>
        </is>
      </c>
      <c r="B40" s="16" t="inlineStr">
        <is>
          <t>37039</t>
        </is>
      </c>
      <c r="C40" s="16" t="inlineStr">
        <is>
          <t>FS</t>
        </is>
      </c>
      <c r="D40" s="16" t="inlineStr">
        <is>
          <t>LS</t>
        </is>
      </c>
      <c r="E40" s="16" t="inlineStr">
        <is>
          <t>07:56:58</t>
        </is>
      </c>
      <c r="F40" s="16" t="inlineStr">
        <is>
          <t>07:58:50</t>
        </is>
      </c>
      <c r="G40" s="16" t="n">
        <v>112</v>
      </c>
      <c r="H40" s="16" t="n">
        <v>58</v>
      </c>
      <c r="I40" s="35" t="n">
        <v>478.02</v>
      </c>
      <c r="J40" s="16" t="inlineStr">
        <is>
          <t>BAREJADI NANDEJ</t>
        </is>
      </c>
      <c r="K40" s="16" t="inlineStr">
        <is>
          <t>N</t>
        </is>
      </c>
      <c r="L40" s="16" t="inlineStr">
        <is>
          <t>Valid</t>
        </is>
      </c>
      <c r="M40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1">
      <c r="A41" s="16" t="inlineStr">
        <is>
          <t>29 Jun</t>
        </is>
      </c>
      <c r="B41" s="16" t="inlineStr">
        <is>
          <t>37039</t>
        </is>
      </c>
      <c r="C41" s="16" t="inlineStr">
        <is>
          <t>LS</t>
        </is>
      </c>
      <c r="D41" s="16" t="inlineStr">
        <is>
          <t>SR</t>
        </is>
      </c>
      <c r="E41" s="16" t="inlineStr">
        <is>
          <t>07:58:52</t>
        </is>
      </c>
      <c r="F41" s="16" t="inlineStr">
        <is>
          <t>07:58:58</t>
        </is>
      </c>
      <c r="G41" s="16" t="n">
        <v>6</v>
      </c>
      <c r="H41" s="16" t="n">
        <v>7</v>
      </c>
      <c r="I41" s="35" t="n">
        <v>481.82</v>
      </c>
      <c r="J41" s="16" t="inlineStr">
        <is>
          <t>GERATPUR</t>
        </is>
      </c>
      <c r="K41" s="16" t="inlineStr">
        <is>
          <t>N</t>
        </is>
      </c>
      <c r="L41" s="16" t="inlineStr">
        <is>
          <t>Valid</t>
        </is>
      </c>
      <c r="M41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2">
      <c r="A42" s="16" t="inlineStr">
        <is>
          <t>29 Jun</t>
        </is>
      </c>
      <c r="B42" s="16" t="inlineStr">
        <is>
          <t>37286</t>
        </is>
      </c>
      <c r="C42" s="16" t="inlineStr">
        <is>
          <t>FS</t>
        </is>
      </c>
      <c r="D42" s="16" t="inlineStr">
        <is>
          <t>SR</t>
        </is>
      </c>
      <c r="E42" s="16" t="inlineStr">
        <is>
          <t>08:14:12</t>
        </is>
      </c>
      <c r="F42" s="16" t="inlineStr">
        <is>
          <t>08:18:08</t>
        </is>
      </c>
      <c r="G42" s="16" t="n">
        <v>236</v>
      </c>
      <c r="H42" s="16" t="n">
        <v>131</v>
      </c>
      <c r="I42" s="35" t="n">
        <v>479.41</v>
      </c>
      <c r="J42" s="16" t="inlineStr">
        <is>
          <t>BAREJADI NANDEJ</t>
        </is>
      </c>
      <c r="K42" s="16" t="inlineStr">
        <is>
          <t>R</t>
        </is>
      </c>
      <c r="L42" s="16" t="inlineStr">
        <is>
          <t>Valid</t>
        </is>
      </c>
      <c r="M42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3">
      <c r="A43" s="16" t="inlineStr">
        <is>
          <t>29 Jun</t>
        </is>
      </c>
      <c r="B43" s="16" t="inlineStr">
        <is>
          <t>37286</t>
        </is>
      </c>
      <c r="C43" s="16" t="inlineStr">
        <is>
          <t>OS</t>
        </is>
      </c>
      <c r="D43" s="16" t="inlineStr">
        <is>
          <t>SR</t>
        </is>
      </c>
      <c r="E43" s="16" t="inlineStr">
        <is>
          <t>08:18:10</t>
        </is>
      </c>
      <c r="F43" s="16" t="inlineStr">
        <is>
          <t>08:18:10</t>
        </is>
      </c>
      <c r="G43" s="16" t="n">
        <v>0</v>
      </c>
      <c r="H43" s="16" t="n">
        <v>1</v>
      </c>
      <c r="I43" s="35" t="n">
        <v>474.89</v>
      </c>
      <c r="J43" s="16" t="inlineStr">
        <is>
          <t>KANIJ</t>
        </is>
      </c>
      <c r="K43" s="16" t="inlineStr">
        <is>
          <t>R</t>
        </is>
      </c>
      <c r="L43" s="16" t="inlineStr">
        <is>
          <t>Valid</t>
        </is>
      </c>
      <c r="M43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4">
      <c r="A44" s="16" t="inlineStr">
        <is>
          <t>29 Jun</t>
        </is>
      </c>
      <c r="B44" s="16" t="inlineStr">
        <is>
          <t>30314</t>
        </is>
      </c>
      <c r="C44" s="16" t="inlineStr">
        <is>
          <t>FS</t>
        </is>
      </c>
      <c r="D44" s="16" t="inlineStr">
        <is>
          <t>LS</t>
        </is>
      </c>
      <c r="E44" s="16" t="inlineStr">
        <is>
          <t>08:38:22</t>
        </is>
      </c>
      <c r="F44" s="16" t="inlineStr">
        <is>
          <t>08:38:44</t>
        </is>
      </c>
      <c r="G44" s="16" t="n">
        <v>22</v>
      </c>
      <c r="H44" s="16" t="n">
        <v>13</v>
      </c>
      <c r="I44" s="35" t="n">
        <v>478.01</v>
      </c>
      <c r="J44" s="16" t="inlineStr">
        <is>
          <t>BAREJADI NANDEJ</t>
        </is>
      </c>
      <c r="K44" s="16" t="inlineStr">
        <is>
          <t>R</t>
        </is>
      </c>
      <c r="L44" s="16" t="inlineStr">
        <is>
          <t>Valid</t>
        </is>
      </c>
      <c r="M44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5">
      <c r="A45" s="16" t="inlineStr">
        <is>
          <t>29 Jun</t>
        </is>
      </c>
      <c r="B45" s="16" t="inlineStr">
        <is>
          <t>30314</t>
        </is>
      </c>
      <c r="C45" s="16" t="inlineStr">
        <is>
          <t>LS</t>
        </is>
      </c>
      <c r="D45" s="16" t="inlineStr">
        <is>
          <t>SR</t>
        </is>
      </c>
      <c r="E45" s="16" t="inlineStr">
        <is>
          <t>08:38:46</t>
        </is>
      </c>
      <c r="F45" s="16" t="inlineStr">
        <is>
          <t>08:39:48</t>
        </is>
      </c>
      <c r="G45" s="16" t="n">
        <v>62</v>
      </c>
      <c r="H45" s="16" t="n">
        <v>40</v>
      </c>
      <c r="I45" s="35" t="n">
        <v>477.17</v>
      </c>
      <c r="J45" s="16" t="inlineStr">
        <is>
          <t>BAREJADI NANDEJ</t>
        </is>
      </c>
      <c r="K45" s="16" t="inlineStr">
        <is>
          <t>R</t>
        </is>
      </c>
      <c r="L45" s="16" t="inlineStr">
        <is>
          <t>Valid</t>
        </is>
      </c>
      <c r="M45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6">
      <c r="A46" s="16" t="inlineStr">
        <is>
          <t>29 Jun</t>
        </is>
      </c>
      <c r="B46" s="16" t="inlineStr">
        <is>
          <t>30314</t>
        </is>
      </c>
      <c r="C46" s="16" t="inlineStr">
        <is>
          <t>OS</t>
        </is>
      </c>
      <c r="D46" s="16" t="inlineStr">
        <is>
          <t>SR</t>
        </is>
      </c>
      <c r="E46" s="16" t="inlineStr">
        <is>
          <t>08:39:50</t>
        </is>
      </c>
      <c r="F46" s="16" t="inlineStr">
        <is>
          <t>08:39:50</t>
        </is>
      </c>
      <c r="G46" s="16" t="n">
        <v>0</v>
      </c>
      <c r="H46" s="16" t="n">
        <v>1</v>
      </c>
      <c r="I46" s="35" t="n">
        <v>474.88</v>
      </c>
      <c r="J46" s="16" t="inlineStr">
        <is>
          <t>KANIJ</t>
        </is>
      </c>
      <c r="K46" s="16" t="inlineStr">
        <is>
          <t>R</t>
        </is>
      </c>
      <c r="L46" s="16" t="inlineStr">
        <is>
          <t>Valid</t>
        </is>
      </c>
      <c r="M46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7">
      <c r="A47" s="16" t="inlineStr">
        <is>
          <t>29 Jun</t>
        </is>
      </c>
      <c r="B47" s="16" t="inlineStr">
        <is>
          <t>37039</t>
        </is>
      </c>
      <c r="C47" s="16" t="inlineStr">
        <is>
          <t>FS</t>
        </is>
      </c>
      <c r="D47" s="16" t="inlineStr">
        <is>
          <t>SR</t>
        </is>
      </c>
      <c r="E47" s="16" t="inlineStr">
        <is>
          <t>08:43:36</t>
        </is>
      </c>
      <c r="F47" s="16" t="inlineStr">
        <is>
          <t>08:44:54</t>
        </is>
      </c>
      <c r="G47" s="16" t="n">
        <v>78</v>
      </c>
      <c r="H47" s="16" t="n">
        <v>40</v>
      </c>
      <c r="I47" s="35" t="n">
        <v>495.87</v>
      </c>
      <c r="J47" s="16" t="inlineStr">
        <is>
          <t>AHMEDABAD Jn</t>
        </is>
      </c>
      <c r="K47" s="16" t="inlineStr">
        <is>
          <t>U</t>
        </is>
      </c>
      <c r="L47" s="16" t="inlineStr">
        <is>
          <t>Valid</t>
        </is>
      </c>
      <c r="M47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8">
      <c r="A48" s="16" t="inlineStr">
        <is>
          <t>29 Jun</t>
        </is>
      </c>
      <c r="B48" s="16" t="inlineStr">
        <is>
          <t>39257</t>
        </is>
      </c>
      <c r="C48" s="16" t="inlineStr">
        <is>
          <t>FS</t>
        </is>
      </c>
      <c r="D48" s="16" t="inlineStr">
        <is>
          <t>LS</t>
        </is>
      </c>
      <c r="E48" s="16" t="inlineStr">
        <is>
          <t>08:50:00</t>
        </is>
      </c>
      <c r="F48" s="16" t="inlineStr">
        <is>
          <t>08:50:48</t>
        </is>
      </c>
      <c r="G48" s="16" t="n">
        <v>48</v>
      </c>
      <c r="H48" s="16" t="n">
        <v>26</v>
      </c>
      <c r="I48" s="35" t="n">
        <v>478.43</v>
      </c>
      <c r="J48" s="16" t="inlineStr">
        <is>
          <t>BAREJADI NANDEJ</t>
        </is>
      </c>
      <c r="K48" s="16" t="inlineStr">
        <is>
          <t>R</t>
        </is>
      </c>
      <c r="L48" s="16" t="inlineStr">
        <is>
          <t>Valid</t>
        </is>
      </c>
      <c r="M48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9">
      <c r="A49" s="16" t="inlineStr">
        <is>
          <t>29 Jun</t>
        </is>
      </c>
      <c r="B49" s="16" t="inlineStr">
        <is>
          <t>39257</t>
        </is>
      </c>
      <c r="C49" s="16" t="inlineStr">
        <is>
          <t>LS</t>
        </is>
      </c>
      <c r="D49" s="16" t="inlineStr">
        <is>
          <t>SR</t>
        </is>
      </c>
      <c r="E49" s="16" t="inlineStr">
        <is>
          <t>08:50:50</t>
        </is>
      </c>
      <c r="F49" s="16" t="inlineStr">
        <is>
          <t>08:52:18</t>
        </is>
      </c>
      <c r="G49" s="16" t="n">
        <v>88</v>
      </c>
      <c r="H49" s="16" t="n">
        <v>54</v>
      </c>
      <c r="I49" s="35" t="n">
        <v>477.21</v>
      </c>
      <c r="J49" s="16" t="inlineStr">
        <is>
          <t>BAREJADI NANDEJ</t>
        </is>
      </c>
      <c r="K49" s="16" t="inlineStr">
        <is>
          <t>R</t>
        </is>
      </c>
      <c r="L49" s="16" t="inlineStr">
        <is>
          <t>Valid</t>
        </is>
      </c>
      <c r="M49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0">
      <c r="A50" s="16" t="inlineStr">
        <is>
          <t>29 Jun</t>
        </is>
      </c>
      <c r="B50" s="16" t="inlineStr">
        <is>
          <t>39257</t>
        </is>
      </c>
      <c r="C50" s="16" t="inlineStr">
        <is>
          <t>OS</t>
        </is>
      </c>
      <c r="D50" s="16" t="inlineStr">
        <is>
          <t>SR</t>
        </is>
      </c>
      <c r="E50" s="16" t="inlineStr">
        <is>
          <t>08:52:20</t>
        </is>
      </c>
      <c r="F50" s="16" t="inlineStr">
        <is>
          <t>08:52:20</t>
        </is>
      </c>
      <c r="G50" s="16" t="n">
        <v>0</v>
      </c>
      <c r="H50" s="16" t="n">
        <v>1</v>
      </c>
      <c r="I50" s="35" t="n">
        <v>474.84</v>
      </c>
      <c r="J50" s="16" t="inlineStr">
        <is>
          <t>KANIJ</t>
        </is>
      </c>
      <c r="K50" s="16" t="inlineStr">
        <is>
          <t>R</t>
        </is>
      </c>
      <c r="L50" s="16" t="inlineStr">
        <is>
          <t>Valid</t>
        </is>
      </c>
      <c r="M50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1">
      <c r="A51" s="16" t="inlineStr">
        <is>
          <t>29 Jun</t>
        </is>
      </c>
      <c r="B51" s="16" t="inlineStr">
        <is>
          <t>30314</t>
        </is>
      </c>
      <c r="C51" s="16" t="inlineStr">
        <is>
          <t>FS</t>
        </is>
      </c>
      <c r="D51" s="16" t="inlineStr">
        <is>
          <t>SR</t>
        </is>
      </c>
      <c r="E51" s="16" t="inlineStr">
        <is>
          <t>09:03:54</t>
        </is>
      </c>
      <c r="F51" s="16" t="inlineStr">
        <is>
          <t>09:03:56</t>
        </is>
      </c>
      <c r="G51" s="16" t="n">
        <v>2</v>
      </c>
      <c r="H51" s="16" t="n">
        <v>4</v>
      </c>
      <c r="I51" s="35" t="n">
        <v>443.17</v>
      </c>
      <c r="J51" s="16" t="inlineStr">
        <is>
          <t>UTARSANDA</t>
        </is>
      </c>
      <c r="K51" s="16" t="inlineStr">
        <is>
          <t>R</t>
        </is>
      </c>
      <c r="L51" s="16" t="inlineStr">
        <is>
          <t>Valid</t>
        </is>
      </c>
      <c r="M51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2">
      <c r="A52" s="16" t="inlineStr">
        <is>
          <t>29 Jun</t>
        </is>
      </c>
      <c r="B52" s="16" t="inlineStr">
        <is>
          <t>30314</t>
        </is>
      </c>
      <c r="C52" s="16" t="inlineStr">
        <is>
          <t>FS</t>
        </is>
      </c>
      <c r="D52" s="16" t="inlineStr">
        <is>
          <t>SR</t>
        </is>
      </c>
      <c r="E52" s="16" t="inlineStr">
        <is>
          <t>09:06:36</t>
        </is>
      </c>
      <c r="F52" s="16" t="inlineStr">
        <is>
          <t>09:06:38</t>
        </is>
      </c>
      <c r="G52" s="16" t="n">
        <v>2</v>
      </c>
      <c r="H52" s="16" t="n">
        <v>3</v>
      </c>
      <c r="I52" s="35" t="n">
        <v>442.33</v>
      </c>
      <c r="J52" s="16" t="inlineStr">
        <is>
          <t>UTARSANDA</t>
        </is>
      </c>
      <c r="K52" s="16" t="inlineStr">
        <is>
          <t>R</t>
        </is>
      </c>
      <c r="L52" s="16" t="inlineStr">
        <is>
          <t>Valid</t>
        </is>
      </c>
      <c r="M52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3">
      <c r="A53" s="16" t="inlineStr">
        <is>
          <t>29 Jun</t>
        </is>
      </c>
      <c r="B53" s="16" t="inlineStr">
        <is>
          <t>37286</t>
        </is>
      </c>
      <c r="C53" s="16" t="inlineStr">
        <is>
          <t>FS</t>
        </is>
      </c>
      <c r="D53" s="16" t="inlineStr">
        <is>
          <t>SR</t>
        </is>
      </c>
      <c r="E53" s="16" t="inlineStr">
        <is>
          <t>09:13:28</t>
        </is>
      </c>
      <c r="F53" s="16" t="inlineStr">
        <is>
          <t>09:23:04</t>
        </is>
      </c>
      <c r="G53" s="16" t="n">
        <v>576</v>
      </c>
      <c r="H53" s="16" t="n">
        <v>325</v>
      </c>
      <c r="I53" s="35" t="n">
        <v>403.2</v>
      </c>
      <c r="J53" s="16" t="inlineStr">
        <is>
          <t>BAJWA</t>
        </is>
      </c>
      <c r="K53" s="16" t="inlineStr">
        <is>
          <t>R</t>
        </is>
      </c>
      <c r="L53" s="16" t="inlineStr">
        <is>
          <t>Valid</t>
        </is>
      </c>
      <c r="M53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4">
      <c r="A54" s="16" t="inlineStr">
        <is>
          <t>29 Jun</t>
        </is>
      </c>
      <c r="B54" s="16" t="inlineStr">
        <is>
          <t>30314</t>
        </is>
      </c>
      <c r="C54" s="16" t="inlineStr">
        <is>
          <t>FS</t>
        </is>
      </c>
      <c r="D54" s="16" t="inlineStr">
        <is>
          <t>SR</t>
        </is>
      </c>
      <c r="E54" s="16" t="inlineStr">
        <is>
          <t>09:41:52</t>
        </is>
      </c>
      <c r="F54" s="16" t="inlineStr">
        <is>
          <t>10:11:08</t>
        </is>
      </c>
      <c r="G54" s="16" t="n">
        <v>1756</v>
      </c>
      <c r="H54" s="16" t="n">
        <v>834</v>
      </c>
      <c r="I54" s="35" t="n">
        <v>403.32</v>
      </c>
      <c r="J54" s="16" t="inlineStr">
        <is>
          <t>BAJWA</t>
        </is>
      </c>
      <c r="K54" s="16" t="inlineStr">
        <is>
          <t>R</t>
        </is>
      </c>
      <c r="L54" s="16" t="inlineStr">
        <is>
          <t>Valid</t>
        </is>
      </c>
      <c r="M54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5">
      <c r="A55" s="16" t="inlineStr">
        <is>
          <t>29 Jun</t>
        </is>
      </c>
      <c r="B55" s="16" t="inlineStr">
        <is>
          <t>39015</t>
        </is>
      </c>
      <c r="C55" s="16" t="inlineStr">
        <is>
          <t>FS</t>
        </is>
      </c>
      <c r="D55" s="16" t="inlineStr">
        <is>
          <t>LS</t>
        </is>
      </c>
      <c r="E55" s="16" t="inlineStr">
        <is>
          <t>09:45:02</t>
        </is>
      </c>
      <c r="F55" s="16" t="inlineStr">
        <is>
          <t>09:45:34</t>
        </is>
      </c>
      <c r="G55" s="16" t="n">
        <v>32</v>
      </c>
      <c r="H55" s="16" t="n">
        <v>18</v>
      </c>
      <c r="I55" s="35" t="n">
        <v>477.83</v>
      </c>
      <c r="J55" s="16" t="inlineStr">
        <is>
          <t>BAREJADI NANDEJ</t>
        </is>
      </c>
      <c r="K55" s="16" t="inlineStr">
        <is>
          <t>N</t>
        </is>
      </c>
      <c r="L55" s="16" t="inlineStr">
        <is>
          <t>Valid</t>
        </is>
      </c>
      <c r="M55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6">
      <c r="A56" s="16" t="inlineStr">
        <is>
          <t>29 Jun</t>
        </is>
      </c>
      <c r="B56" s="16" t="inlineStr">
        <is>
          <t>39015</t>
        </is>
      </c>
      <c r="C56" s="16" t="inlineStr">
        <is>
          <t>LS</t>
        </is>
      </c>
      <c r="D56" s="16" t="inlineStr">
        <is>
          <t>SR</t>
        </is>
      </c>
      <c r="E56" s="16" t="inlineStr">
        <is>
          <t>09:45:36</t>
        </is>
      </c>
      <c r="F56" s="16" t="inlineStr">
        <is>
          <t>09:48:00</t>
        </is>
      </c>
      <c r="G56" s="16" t="n">
        <v>144</v>
      </c>
      <c r="H56" s="16" t="n">
        <v>82</v>
      </c>
      <c r="I56" s="35" t="n">
        <v>478.71</v>
      </c>
      <c r="J56" s="16" t="inlineStr">
        <is>
          <t>BAREJADI NANDEJ</t>
        </is>
      </c>
      <c r="K56" s="16" t="inlineStr">
        <is>
          <t>N</t>
        </is>
      </c>
      <c r="L56" s="16" t="inlineStr">
        <is>
          <t>Valid</t>
        </is>
      </c>
      <c r="M56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7">
      <c r="A57" s="16" t="inlineStr">
        <is>
          <t>29 Jun</t>
        </is>
      </c>
      <c r="B57" s="16" t="inlineStr">
        <is>
          <t>37792</t>
        </is>
      </c>
      <c r="C57" s="16" t="inlineStr">
        <is>
          <t>FS</t>
        </is>
      </c>
      <c r="D57" s="16" t="inlineStr">
        <is>
          <t>SR</t>
        </is>
      </c>
      <c r="E57" s="16" t="inlineStr">
        <is>
          <t>09:52:12</t>
        </is>
      </c>
      <c r="F57" s="16" t="inlineStr">
        <is>
          <t>09:53:50</t>
        </is>
      </c>
      <c r="G57" s="16" t="n">
        <v>98</v>
      </c>
      <c r="H57" s="16" t="n">
        <v>58</v>
      </c>
      <c r="I57" s="35" t="n">
        <v>478.11</v>
      </c>
      <c r="J57" s="16" t="inlineStr">
        <is>
          <t>BAREJADI NANDEJ</t>
        </is>
      </c>
      <c r="K57" s="16" t="inlineStr">
        <is>
          <t>R</t>
        </is>
      </c>
      <c r="L57" s="16" t="inlineStr">
        <is>
          <t>Valid</t>
        </is>
      </c>
      <c r="M57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8">
      <c r="A58" s="16" t="inlineStr">
        <is>
          <t>29 Jun</t>
        </is>
      </c>
      <c r="B58" s="16" t="inlineStr">
        <is>
          <t>37792</t>
        </is>
      </c>
      <c r="C58" s="16" t="inlineStr">
        <is>
          <t>OS</t>
        </is>
      </c>
      <c r="D58" s="16" t="inlineStr">
        <is>
          <t>SR</t>
        </is>
      </c>
      <c r="E58" s="16" t="inlineStr">
        <is>
          <t>09:53:52</t>
        </is>
      </c>
      <c r="F58" s="16" t="inlineStr">
        <is>
          <t>09:53:52</t>
        </is>
      </c>
      <c r="G58" s="16" t="n">
        <v>0</v>
      </c>
      <c r="H58" s="16" t="n">
        <v>1</v>
      </c>
      <c r="I58" s="35" t="n">
        <v>474.86</v>
      </c>
      <c r="J58" s="16" t="inlineStr">
        <is>
          <t>KANIJ</t>
        </is>
      </c>
      <c r="K58" s="16" t="inlineStr">
        <is>
          <t>R</t>
        </is>
      </c>
      <c r="L58" s="16" t="inlineStr">
        <is>
          <t>Valid</t>
        </is>
      </c>
      <c r="M58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9">
      <c r="A59" s="31" t="inlineStr">
        <is>
          <t>29 Jun</t>
        </is>
      </c>
      <c r="B59" s="31" t="inlineStr">
        <is>
          <t>37947</t>
        </is>
      </c>
      <c r="C59" s="31" t="inlineStr">
        <is>
          <t>FS</t>
        </is>
      </c>
      <c r="D59" s="31" t="inlineStr">
        <is>
          <t>SR</t>
        </is>
      </c>
      <c r="E59" s="31" t="inlineStr">
        <is>
          <t>10:37:48</t>
        </is>
      </c>
      <c r="F59" s="31" t="inlineStr">
        <is>
          <t>11:02:58</t>
        </is>
      </c>
      <c r="G59" s="31" t="n">
        <v>1510</v>
      </c>
      <c r="H59" s="31" t="n">
        <v>438</v>
      </c>
      <c r="I59" s="32" t="n">
        <v>402.62</v>
      </c>
      <c r="J59" s="31" t="inlineStr">
        <is>
          <t>BAJWA</t>
        </is>
      </c>
      <c r="K59" s="31" t="inlineStr">
        <is>
          <t>R</t>
        </is>
      </c>
      <c r="L59" s="31" t="inlineStr">
        <is>
          <t>Non-Valid</t>
        </is>
      </c>
      <c r="M59" s="16" t="inlineStr">
        <is>
          <t>BAJWA, RANOLI, LC-246, VASAD, ADAS ROAD, VADOD, LC-258, ANAND Jn, LC-264, KANJARI BORIYAVI</t>
        </is>
      </c>
    </row>
    <row r="60">
      <c r="A60" s="16" t="inlineStr">
        <is>
          <t>29 Jun</t>
        </is>
      </c>
      <c r="B60" s="16" t="inlineStr">
        <is>
          <t>37792</t>
        </is>
      </c>
      <c r="C60" s="16" t="inlineStr">
        <is>
          <t>FS</t>
        </is>
      </c>
      <c r="D60" s="16" t="inlineStr">
        <is>
          <t>SR</t>
        </is>
      </c>
      <c r="E60" s="16" t="inlineStr">
        <is>
          <t>10:45:06</t>
        </is>
      </c>
      <c r="F60" s="16" t="inlineStr">
        <is>
          <t>10:45:28</t>
        </is>
      </c>
      <c r="G60" s="16" t="n">
        <v>22</v>
      </c>
      <c r="H60" s="16" t="n">
        <v>15</v>
      </c>
      <c r="I60" s="35" t="n">
        <v>405.54</v>
      </c>
      <c r="J60" s="16" t="inlineStr">
        <is>
          <t>BAJWA</t>
        </is>
      </c>
      <c r="K60" s="16" t="inlineStr">
        <is>
          <t>R</t>
        </is>
      </c>
      <c r="L60" s="16" t="inlineStr">
        <is>
          <t>Valid</t>
        </is>
      </c>
      <c r="M60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1">
      <c r="A61" s="16" t="inlineStr">
        <is>
          <t>29 Jun</t>
        </is>
      </c>
      <c r="B61" s="16" t="inlineStr">
        <is>
          <t>37792</t>
        </is>
      </c>
      <c r="C61" s="16" t="inlineStr">
        <is>
          <t>OS</t>
        </is>
      </c>
      <c r="D61" s="16" t="inlineStr">
        <is>
          <t>SR</t>
        </is>
      </c>
      <c r="E61" s="16" t="inlineStr">
        <is>
          <t>10:45:50</t>
        </is>
      </c>
      <c r="F61" s="16" t="inlineStr">
        <is>
          <t>10:47:16</t>
        </is>
      </c>
      <c r="G61" s="16" t="n">
        <v>86</v>
      </c>
      <c r="H61" s="16" t="n">
        <v>47</v>
      </c>
      <c r="I61" s="35" t="n">
        <v>404.87</v>
      </c>
      <c r="J61" s="16" t="inlineStr">
        <is>
          <t>BAJWA</t>
        </is>
      </c>
      <c r="K61" s="16" t="inlineStr">
        <is>
          <t>R</t>
        </is>
      </c>
      <c r="L61" s="16" t="inlineStr">
        <is>
          <t>Valid</t>
        </is>
      </c>
      <c r="M61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2">
      <c r="A62" s="16" t="inlineStr">
        <is>
          <t>29 Jun</t>
        </is>
      </c>
      <c r="B62" s="16" t="inlineStr">
        <is>
          <t>37792</t>
        </is>
      </c>
      <c r="C62" s="16" t="inlineStr">
        <is>
          <t>FS</t>
        </is>
      </c>
      <c r="D62" s="16" t="inlineStr">
        <is>
          <t>SR</t>
        </is>
      </c>
      <c r="E62" s="16" t="inlineStr">
        <is>
          <t>10:48:30</t>
        </is>
      </c>
      <c r="F62" s="16" t="inlineStr">
        <is>
          <t>11:16:34</t>
        </is>
      </c>
      <c r="G62" s="16" t="n">
        <v>1684</v>
      </c>
      <c r="H62" s="16" t="n">
        <v>523</v>
      </c>
      <c r="I62" s="35" t="n">
        <v>402.83</v>
      </c>
      <c r="J62" s="16" t="inlineStr">
        <is>
          <t>BAJWA</t>
        </is>
      </c>
      <c r="K62" s="16" t="inlineStr">
        <is>
          <t>R</t>
        </is>
      </c>
      <c r="L62" s="16" t="inlineStr">
        <is>
          <t>Valid</t>
        </is>
      </c>
      <c r="M62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3">
      <c r="A63" s="16" t="inlineStr">
        <is>
          <t>29 Jun</t>
        </is>
      </c>
      <c r="B63" s="16" t="inlineStr">
        <is>
          <t>39259</t>
        </is>
      </c>
      <c r="C63" s="16" t="inlineStr">
        <is>
          <t>FS</t>
        </is>
      </c>
      <c r="D63" s="16" t="inlineStr">
        <is>
          <t>LS</t>
        </is>
      </c>
      <c r="E63" s="16" t="inlineStr">
        <is>
          <t>10:58:08</t>
        </is>
      </c>
      <c r="F63" s="16" t="inlineStr">
        <is>
          <t>10:58:38</t>
        </is>
      </c>
      <c r="G63" s="16" t="n">
        <v>30</v>
      </c>
      <c r="H63" s="16" t="n">
        <v>17</v>
      </c>
      <c r="I63" s="35" t="n">
        <v>478.15</v>
      </c>
      <c r="J63" s="16" t="inlineStr">
        <is>
          <t>BAREJADI NANDEJ</t>
        </is>
      </c>
      <c r="K63" s="16" t="inlineStr">
        <is>
          <t>R</t>
        </is>
      </c>
      <c r="L63" s="16" t="inlineStr">
        <is>
          <t>Valid</t>
        </is>
      </c>
      <c r="M63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4">
      <c r="A64" s="16" t="inlineStr">
        <is>
          <t>29 Jun</t>
        </is>
      </c>
      <c r="B64" s="16" t="inlineStr">
        <is>
          <t>39259</t>
        </is>
      </c>
      <c r="C64" s="16" t="inlineStr">
        <is>
          <t>LS</t>
        </is>
      </c>
      <c r="D64" s="16" t="inlineStr">
        <is>
          <t>SR</t>
        </is>
      </c>
      <c r="E64" s="16" t="inlineStr">
        <is>
          <t>10:58:40</t>
        </is>
      </c>
      <c r="F64" s="16" t="inlineStr">
        <is>
          <t>10:59:54</t>
        </is>
      </c>
      <c r="G64" s="16" t="n">
        <v>74</v>
      </c>
      <c r="H64" s="16" t="n">
        <v>46</v>
      </c>
      <c r="I64" s="35" t="n">
        <v>477.22</v>
      </c>
      <c r="J64" s="16" t="inlineStr">
        <is>
          <t>BAREJADI NANDEJ</t>
        </is>
      </c>
      <c r="K64" s="16" t="inlineStr">
        <is>
          <t>R</t>
        </is>
      </c>
      <c r="L64" s="16" t="inlineStr">
        <is>
          <t>Valid</t>
        </is>
      </c>
      <c r="M64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5">
      <c r="A65" s="16" t="inlineStr">
        <is>
          <t>29 Jun</t>
        </is>
      </c>
      <c r="B65" s="16" t="inlineStr">
        <is>
          <t>39259</t>
        </is>
      </c>
      <c r="C65" s="16" t="inlineStr">
        <is>
          <t>OS</t>
        </is>
      </c>
      <c r="D65" s="16" t="inlineStr">
        <is>
          <t>SR</t>
        </is>
      </c>
      <c r="E65" s="16" t="inlineStr">
        <is>
          <t>10:59:56</t>
        </is>
      </c>
      <c r="F65" s="16" t="inlineStr">
        <is>
          <t>10:59:56</t>
        </is>
      </c>
      <c r="G65" s="16" t="n">
        <v>0</v>
      </c>
      <c r="H65" s="16" t="n">
        <v>1</v>
      </c>
      <c r="I65" s="35" t="n">
        <v>474.86</v>
      </c>
      <c r="J65" s="16" t="inlineStr">
        <is>
          <t>KANIJ</t>
        </is>
      </c>
      <c r="K65" s="16" t="inlineStr">
        <is>
          <t>R</t>
        </is>
      </c>
      <c r="L65" s="16" t="inlineStr">
        <is>
          <t>Valid</t>
        </is>
      </c>
      <c r="M65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6">
      <c r="A66" s="16" t="inlineStr">
        <is>
          <t>29 Jun</t>
        </is>
      </c>
      <c r="B66" s="16" t="inlineStr">
        <is>
          <t>37569</t>
        </is>
      </c>
      <c r="C66" s="16" t="inlineStr">
        <is>
          <t>FS</t>
        </is>
      </c>
      <c r="D66" s="16" t="inlineStr">
        <is>
          <t>LS</t>
        </is>
      </c>
      <c r="E66" s="16" t="inlineStr">
        <is>
          <t>12:17:46</t>
        </is>
      </c>
      <c r="F66" s="16" t="inlineStr">
        <is>
          <t>12:18:32</t>
        </is>
      </c>
      <c r="G66" s="16" t="n">
        <v>46</v>
      </c>
      <c r="H66" s="16" t="n">
        <v>25</v>
      </c>
      <c r="I66" s="35" t="n">
        <v>478.01</v>
      </c>
      <c r="J66" s="16" t="inlineStr">
        <is>
          <t>BAREJADI NANDEJ</t>
        </is>
      </c>
      <c r="K66" s="16" t="inlineStr">
        <is>
          <t>N</t>
        </is>
      </c>
      <c r="L66" s="16" t="inlineStr">
        <is>
          <t>Valid</t>
        </is>
      </c>
      <c r="M66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7">
      <c r="A67" s="16" t="inlineStr">
        <is>
          <t>29 Jun</t>
        </is>
      </c>
      <c r="B67" s="16" t="inlineStr">
        <is>
          <t>37569</t>
        </is>
      </c>
      <c r="C67" s="16" t="inlineStr">
        <is>
          <t>LS</t>
        </is>
      </c>
      <c r="D67" s="16" t="inlineStr">
        <is>
          <t>SR</t>
        </is>
      </c>
      <c r="E67" s="16" t="inlineStr">
        <is>
          <t>12:18:34</t>
        </is>
      </c>
      <c r="F67" s="16" t="inlineStr">
        <is>
          <t>12:19:42</t>
        </is>
      </c>
      <c r="G67" s="16" t="n">
        <v>68</v>
      </c>
      <c r="H67" s="16" t="n">
        <v>39</v>
      </c>
      <c r="I67" s="35" t="n">
        <v>479.71</v>
      </c>
      <c r="J67" s="16" t="inlineStr">
        <is>
          <t>BAREJADI NANDEJ</t>
        </is>
      </c>
      <c r="K67" s="16" t="inlineStr">
        <is>
          <t>N</t>
        </is>
      </c>
      <c r="L67" s="16" t="inlineStr">
        <is>
          <t>Valid</t>
        </is>
      </c>
      <c r="M67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8">
      <c r="A68" s="16" t="inlineStr">
        <is>
          <t>29 Jun</t>
        </is>
      </c>
      <c r="B68" s="16" t="inlineStr">
        <is>
          <t>39259</t>
        </is>
      </c>
      <c r="C68" s="16" t="inlineStr">
        <is>
          <t>StandBy</t>
        </is>
      </c>
      <c r="D68" s="16" t="inlineStr">
        <is>
          <t>SR</t>
        </is>
      </c>
      <c r="E68" s="16" t="inlineStr">
        <is>
          <t>12:39:34</t>
        </is>
      </c>
      <c r="F68" s="16" t="inlineStr">
        <is>
          <t>12:41:30</t>
        </is>
      </c>
      <c r="G68" s="16" t="n">
        <v>116</v>
      </c>
      <c r="H68" s="16" t="n">
        <v>59</v>
      </c>
      <c r="I68" s="35" t="n">
        <v>402.59</v>
      </c>
      <c r="J68" s="16" t="inlineStr">
        <is>
          <t>BAJWA</t>
        </is>
      </c>
      <c r="K68" s="16" t="inlineStr">
        <is>
          <t>U</t>
        </is>
      </c>
      <c r="L68" s="16" t="inlineStr">
        <is>
          <t>Valid</t>
        </is>
      </c>
      <c r="M68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9">
      <c r="A69" s="16" t="inlineStr">
        <is>
          <t>29 Jun</t>
        </is>
      </c>
      <c r="B69" s="16" t="inlineStr">
        <is>
          <t>30154</t>
        </is>
      </c>
      <c r="C69" s="16" t="inlineStr">
        <is>
          <t>FS</t>
        </is>
      </c>
      <c r="D69" s="16" t="inlineStr">
        <is>
          <t>SR</t>
        </is>
      </c>
      <c r="E69" s="16" t="inlineStr">
        <is>
          <t>12:46:54</t>
        </is>
      </c>
      <c r="F69" s="16" t="inlineStr">
        <is>
          <t>12:53:02</t>
        </is>
      </c>
      <c r="G69" s="16" t="n">
        <v>368</v>
      </c>
      <c r="H69" s="16" t="n">
        <v>289</v>
      </c>
      <c r="I69" s="35" t="n">
        <v>408.52</v>
      </c>
      <c r="J69" s="16" t="inlineStr">
        <is>
          <t>RANOLI</t>
        </is>
      </c>
      <c r="K69" s="16" t="inlineStr">
        <is>
          <t>N</t>
        </is>
      </c>
      <c r="L69" s="16" t="inlineStr">
        <is>
          <t>Valid</t>
        </is>
      </c>
      <c r="M69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0">
      <c r="A70" s="31" t="inlineStr">
        <is>
          <t>29 Jun</t>
        </is>
      </c>
      <c r="B70" s="31" t="inlineStr">
        <is>
          <t>51347</t>
        </is>
      </c>
      <c r="C70" s="31" t="inlineStr">
        <is>
          <t>OS</t>
        </is>
      </c>
      <c r="D70" s="31" t="inlineStr">
        <is>
          <t>SR</t>
        </is>
      </c>
      <c r="E70" s="31" t="inlineStr">
        <is>
          <t>13:10:22</t>
        </is>
      </c>
      <c r="F70" s="31" t="inlineStr">
        <is>
          <t>13:10:22</t>
        </is>
      </c>
      <c r="G70" s="31" t="n">
        <v>0</v>
      </c>
      <c r="H70" s="31" t="n">
        <v>1</v>
      </c>
      <c r="I70" s="32" t="n">
        <v>448.52</v>
      </c>
      <c r="J70" s="31" t="inlineStr">
        <is>
          <t>NADIAD</t>
        </is>
      </c>
      <c r="K70" s="31" t="inlineStr">
        <is>
          <t>N</t>
        </is>
      </c>
      <c r="L70" s="31" t="inlineStr">
        <is>
          <t>Non-Valid</t>
        </is>
      </c>
      <c r="M70" s="16" t="inlineStr">
        <is>
          <t>NADIAD</t>
        </is>
      </c>
    </row>
    <row r="71">
      <c r="A71" s="31" t="inlineStr">
        <is>
          <t>29 Jun</t>
        </is>
      </c>
      <c r="B71" s="31" t="inlineStr">
        <is>
          <t>51347</t>
        </is>
      </c>
      <c r="C71" s="31" t="inlineStr">
        <is>
          <t>FS</t>
        </is>
      </c>
      <c r="D71" s="31" t="inlineStr">
        <is>
          <t>SR</t>
        </is>
      </c>
      <c r="E71" s="31" t="inlineStr">
        <is>
          <t>13:15:34</t>
        </is>
      </c>
      <c r="F71" s="31" t="inlineStr">
        <is>
          <t>13:17:22</t>
        </is>
      </c>
      <c r="G71" s="31" t="n">
        <v>108</v>
      </c>
      <c r="H71" s="31" t="n">
        <v>13</v>
      </c>
      <c r="I71" s="32" t="n">
        <v>450.3</v>
      </c>
      <c r="J71" s="31" t="inlineStr">
        <is>
          <t>NADIAD</t>
        </is>
      </c>
      <c r="K71" s="31" t="inlineStr">
        <is>
          <t>U</t>
        </is>
      </c>
      <c r="L71" s="31" t="inlineStr">
        <is>
          <t>Non-Valid</t>
        </is>
      </c>
      <c r="M71" s="16" t="inlineStr">
        <is>
          <t>NADIAD</t>
        </is>
      </c>
    </row>
    <row r="72">
      <c r="A72" s="31" t="inlineStr">
        <is>
          <t>29 Jun</t>
        </is>
      </c>
      <c r="B72" s="31" t="inlineStr">
        <is>
          <t>30474</t>
        </is>
      </c>
      <c r="C72" s="31" t="inlineStr">
        <is>
          <t>OS</t>
        </is>
      </c>
      <c r="D72" s="31" t="inlineStr">
        <is>
          <t>SR</t>
        </is>
      </c>
      <c r="E72" s="31" t="inlineStr">
        <is>
          <t>13:38:00</t>
        </is>
      </c>
      <c r="F72" s="31" t="inlineStr">
        <is>
          <t>13:42:28</t>
        </is>
      </c>
      <c r="G72" s="31" t="n">
        <v>268</v>
      </c>
      <c r="H72" s="31" t="n">
        <v>90</v>
      </c>
      <c r="I72" s="32" t="n">
        <v>429.72</v>
      </c>
      <c r="J72" s="31" t="inlineStr">
        <is>
          <t>ANAND Jn</t>
        </is>
      </c>
      <c r="K72" s="31" t="inlineStr">
        <is>
          <t>R</t>
        </is>
      </c>
      <c r="L72" s="31" t="inlineStr">
        <is>
          <t>Non-Valid</t>
        </is>
      </c>
      <c r="M72" s="16" t="inlineStr">
        <is>
          <t>BAJWA, RANOLI, LC-246, VASAD, ADAS ROAD, VADOD, LC-258, ANAND Jn, LC-264</t>
        </is>
      </c>
    </row>
    <row r="73">
      <c r="A73" s="31" t="inlineStr">
        <is>
          <t>29 Jun</t>
        </is>
      </c>
      <c r="B73" s="31" t="inlineStr">
        <is>
          <t>51347</t>
        </is>
      </c>
      <c r="C73" s="31" t="inlineStr">
        <is>
          <t>OS</t>
        </is>
      </c>
      <c r="D73" s="31" t="inlineStr">
        <is>
          <t>SR</t>
        </is>
      </c>
      <c r="E73" s="31" t="inlineStr">
        <is>
          <t>13:44:14</t>
        </is>
      </c>
      <c r="F73" s="31" t="inlineStr">
        <is>
          <t>13:44:14</t>
        </is>
      </c>
      <c r="G73" s="31" t="n">
        <v>0</v>
      </c>
      <c r="H73" s="31" t="n">
        <v>1</v>
      </c>
      <c r="I73" s="32" t="n">
        <v>448.74</v>
      </c>
      <c r="J73" s="31" t="inlineStr">
        <is>
          <t>NADIAD</t>
        </is>
      </c>
      <c r="K73" s="31" t="inlineStr">
        <is>
          <t>U</t>
        </is>
      </c>
      <c r="L73" s="31" t="inlineStr">
        <is>
          <t>Non-Valid</t>
        </is>
      </c>
      <c r="M73" s="16" t="inlineStr">
        <is>
          <t>NADIAD</t>
        </is>
      </c>
    </row>
    <row r="74">
      <c r="A74" s="16" t="inlineStr">
        <is>
          <t>29 Jun</t>
        </is>
      </c>
      <c r="B74" s="16" t="inlineStr">
        <is>
          <t>30154</t>
        </is>
      </c>
      <c r="C74" s="16" t="inlineStr">
        <is>
          <t>FS</t>
        </is>
      </c>
      <c r="D74" s="16" t="inlineStr">
        <is>
          <t>SR</t>
        </is>
      </c>
      <c r="E74" s="16" t="inlineStr">
        <is>
          <t>13:53:56</t>
        </is>
      </c>
      <c r="F74" s="16" t="inlineStr">
        <is>
          <t>14:01:52</t>
        </is>
      </c>
      <c r="G74" s="16" t="n">
        <v>476</v>
      </c>
      <c r="H74" s="16" t="n">
        <v>248</v>
      </c>
      <c r="I74" s="35" t="n">
        <v>477.73</v>
      </c>
      <c r="J74" s="16" t="inlineStr">
        <is>
          <t>BAREJADI NANDEJ</t>
        </is>
      </c>
      <c r="K74" s="16" t="inlineStr">
        <is>
          <t>N</t>
        </is>
      </c>
      <c r="L74" s="16" t="inlineStr">
        <is>
          <t>Valid</t>
        </is>
      </c>
      <c r="M74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5">
      <c r="A75" s="31" t="inlineStr">
        <is>
          <t>29 Jun</t>
        </is>
      </c>
      <c r="B75" s="31" t="inlineStr">
        <is>
          <t>51347</t>
        </is>
      </c>
      <c r="C75" s="31" t="inlineStr">
        <is>
          <t>OS</t>
        </is>
      </c>
      <c r="D75" s="31" t="inlineStr">
        <is>
          <t>SR</t>
        </is>
      </c>
      <c r="E75" s="31" t="inlineStr">
        <is>
          <t>13:54:18</t>
        </is>
      </c>
      <c r="F75" s="31" t="inlineStr">
        <is>
          <t>13:54:18</t>
        </is>
      </c>
      <c r="G75" s="31" t="n">
        <v>0</v>
      </c>
      <c r="H75" s="31" t="n">
        <v>1</v>
      </c>
      <c r="I75" s="32" t="n">
        <v>448.51</v>
      </c>
      <c r="J75" s="31" t="inlineStr">
        <is>
          <t>NADIAD</t>
        </is>
      </c>
      <c r="K75" s="31" t="inlineStr">
        <is>
          <t>N</t>
        </is>
      </c>
      <c r="L75" s="31" t="inlineStr">
        <is>
          <t>Non-Valid</t>
        </is>
      </c>
      <c r="M75" s="16" t="inlineStr">
        <is>
          <t>NADIAD</t>
        </is>
      </c>
    </row>
    <row r="76">
      <c r="A76" s="31" t="inlineStr">
        <is>
          <t>29 Jun</t>
        </is>
      </c>
      <c r="B76" s="31" t="inlineStr">
        <is>
          <t>55555</t>
        </is>
      </c>
      <c r="C76" s="31" t="inlineStr">
        <is>
          <t>POSTTRIP</t>
        </is>
      </c>
      <c r="D76" s="31" t="inlineStr">
        <is>
          <t>SR</t>
        </is>
      </c>
      <c r="E76" s="31" t="inlineStr">
        <is>
          <t>14:01:34</t>
        </is>
      </c>
      <c r="F76" s="31" t="inlineStr">
        <is>
          <t>14:01:34</t>
        </is>
      </c>
      <c r="G76" s="31" t="n">
        <v>0</v>
      </c>
      <c r="H76" s="31" t="n">
        <v>1</v>
      </c>
      <c r="I76" s="32" t="n">
        <v>448.51</v>
      </c>
      <c r="J76" s="31" t="inlineStr">
        <is>
          <t>NADIAD</t>
        </is>
      </c>
      <c r="K76" s="31" t="inlineStr">
        <is>
          <t>N</t>
        </is>
      </c>
      <c r="L76" s="31" t="inlineStr">
        <is>
          <t>Non-Valid</t>
        </is>
      </c>
      <c r="M76" s="16" t="inlineStr">
        <is>
          <t>UTARSANDA, NADIAD</t>
        </is>
      </c>
    </row>
    <row r="77">
      <c r="A77" s="31" t="inlineStr">
        <is>
          <t>29 Jun</t>
        </is>
      </c>
      <c r="B77" s="31" t="inlineStr">
        <is>
          <t>30767</t>
        </is>
      </c>
      <c r="C77" s="31" t="inlineStr">
        <is>
          <t>FS</t>
        </is>
      </c>
      <c r="D77" s="31" t="inlineStr">
        <is>
          <t>SR</t>
        </is>
      </c>
      <c r="E77" s="31" t="inlineStr">
        <is>
          <t>14:05:56</t>
        </is>
      </c>
      <c r="F77" s="31" t="inlineStr">
        <is>
          <t>14:08:22</t>
        </is>
      </c>
      <c r="G77" s="31" t="n">
        <v>146</v>
      </c>
      <c r="H77" s="31" t="n">
        <v>45</v>
      </c>
      <c r="I77" s="32" t="n">
        <v>429.57</v>
      </c>
      <c r="J77" s="31" t="inlineStr">
        <is>
          <t>ANAND Jn</t>
        </is>
      </c>
      <c r="K77" s="31" t="inlineStr">
        <is>
          <t>R</t>
        </is>
      </c>
      <c r="L77" s="31" t="inlineStr">
        <is>
          <t>Non-Valid</t>
        </is>
      </c>
      <c r="M77" s="16" t="inlineStr">
        <is>
          <t>BAJWA, RANOLI, LC-246, VASAD, ADAS ROAD, VADOD, LC-258, ANAND Jn, LC-264, KANJARI BORIYAVI</t>
        </is>
      </c>
    </row>
    <row r="78">
      <c r="A78" s="31" t="inlineStr">
        <is>
          <t>29 Jun</t>
        </is>
      </c>
      <c r="B78" s="31" t="inlineStr">
        <is>
          <t>55555</t>
        </is>
      </c>
      <c r="C78" s="31" t="inlineStr">
        <is>
          <t>OS</t>
        </is>
      </c>
      <c r="D78" s="31" t="inlineStr">
        <is>
          <t>SR</t>
        </is>
      </c>
      <c r="E78" s="31" t="inlineStr">
        <is>
          <t>14:22:10</t>
        </is>
      </c>
      <c r="F78" s="31" t="inlineStr">
        <is>
          <t>14:22:10</t>
        </is>
      </c>
      <c r="G78" s="31" t="n">
        <v>0</v>
      </c>
      <c r="H78" s="31" t="n">
        <v>1</v>
      </c>
      <c r="I78" s="32" t="n">
        <v>448.7</v>
      </c>
      <c r="J78" s="31" t="inlineStr">
        <is>
          <t>NADIAD</t>
        </is>
      </c>
      <c r="K78" s="31" t="inlineStr">
        <is>
          <t>U</t>
        </is>
      </c>
      <c r="L78" s="31" t="inlineStr">
        <is>
          <t>Non-Valid</t>
        </is>
      </c>
      <c r="M78" s="16" t="inlineStr">
        <is>
          <t>UTARSANDA, NADIAD</t>
        </is>
      </c>
    </row>
    <row r="79">
      <c r="A79" s="31" t="inlineStr">
        <is>
          <t>29 Jun</t>
        </is>
      </c>
      <c r="B79" s="31" t="inlineStr">
        <is>
          <t>30474</t>
        </is>
      </c>
      <c r="C79" s="31" t="inlineStr">
        <is>
          <t>FS</t>
        </is>
      </c>
      <c r="D79" s="31" t="inlineStr">
        <is>
          <t>SR</t>
        </is>
      </c>
      <c r="E79" s="31" t="inlineStr">
        <is>
          <t>14:34:04</t>
        </is>
      </c>
      <c r="F79" s="31" t="inlineStr">
        <is>
          <t>15:48:22</t>
        </is>
      </c>
      <c r="G79" s="31" t="n">
        <v>4458</v>
      </c>
      <c r="H79" s="31" t="n">
        <v>2039</v>
      </c>
      <c r="I79" s="32" t="n">
        <v>402.39</v>
      </c>
      <c r="J79" s="31" t="inlineStr">
        <is>
          <t>BAJWA</t>
        </is>
      </c>
      <c r="K79" s="31" t="inlineStr">
        <is>
          <t>R</t>
        </is>
      </c>
      <c r="L79" s="31" t="inlineStr">
        <is>
          <t>Non-Valid</t>
        </is>
      </c>
      <c r="M79" s="16" t="inlineStr">
        <is>
          <t>BAJWA, RANOLI, LC-246, VASAD, ADAS ROAD, VADOD, LC-258, ANAND Jn, LC-264</t>
        </is>
      </c>
    </row>
    <row r="80">
      <c r="A80" s="16" t="inlineStr">
        <is>
          <t>29 Jun</t>
        </is>
      </c>
      <c r="B80" s="16" t="inlineStr">
        <is>
          <t>37569</t>
        </is>
      </c>
      <c r="C80" s="16" t="inlineStr">
        <is>
          <t>StandBy</t>
        </is>
      </c>
      <c r="D80" s="16" t="inlineStr">
        <is>
          <t>SR</t>
        </is>
      </c>
      <c r="E80" s="16" t="inlineStr">
        <is>
          <t>15:12:12</t>
        </is>
      </c>
      <c r="F80" s="16" t="inlineStr">
        <is>
          <t>15:12:16</t>
        </is>
      </c>
      <c r="G80" s="16" t="n">
        <v>4</v>
      </c>
      <c r="H80" s="16" t="n">
        <v>4</v>
      </c>
      <c r="I80" s="35" t="n">
        <v>495.04</v>
      </c>
      <c r="J80" s="16" t="inlineStr">
        <is>
          <t>AHMEDABAD Jn</t>
        </is>
      </c>
      <c r="K80" s="16" t="inlineStr">
        <is>
          <t>R</t>
        </is>
      </c>
      <c r="L80" s="16" t="inlineStr">
        <is>
          <t>Valid</t>
        </is>
      </c>
      <c r="M80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1">
      <c r="A81" s="31" t="inlineStr">
        <is>
          <t>29 Jun</t>
        </is>
      </c>
      <c r="B81" s="31" t="inlineStr">
        <is>
          <t>55555</t>
        </is>
      </c>
      <c r="C81" s="31" t="inlineStr">
        <is>
          <t>OS</t>
        </is>
      </c>
      <c r="D81" s="31" t="inlineStr">
        <is>
          <t>SR</t>
        </is>
      </c>
      <c r="E81" s="31" t="inlineStr">
        <is>
          <t>15:24:50</t>
        </is>
      </c>
      <c r="F81" s="31" t="inlineStr">
        <is>
          <t>15:24:50</t>
        </is>
      </c>
      <c r="G81" s="31" t="n">
        <v>0</v>
      </c>
      <c r="H81" s="31" t="n">
        <v>1</v>
      </c>
      <c r="I81" s="32" t="n">
        <v>448.51</v>
      </c>
      <c r="J81" s="31" t="inlineStr">
        <is>
          <t>NADIAD</t>
        </is>
      </c>
      <c r="K81" s="31" t="inlineStr">
        <is>
          <t>N</t>
        </is>
      </c>
      <c r="L81" s="31" t="inlineStr">
        <is>
          <t>Non-Valid</t>
        </is>
      </c>
      <c r="M81" s="16" t="inlineStr">
        <is>
          <t>UTARSANDA, NADIAD</t>
        </is>
      </c>
    </row>
    <row r="82">
      <c r="A82" s="16" t="inlineStr">
        <is>
          <t>29 Jun</t>
        </is>
      </c>
      <c r="B82" s="16" t="inlineStr">
        <is>
          <t>37569</t>
        </is>
      </c>
      <c r="C82" s="16" t="inlineStr">
        <is>
          <t>FS</t>
        </is>
      </c>
      <c r="D82" s="16" t="inlineStr">
        <is>
          <t>LS</t>
        </is>
      </c>
      <c r="E82" s="16" t="inlineStr">
        <is>
          <t>15:29:14</t>
        </is>
      </c>
      <c r="F82" s="16" t="inlineStr">
        <is>
          <t>15:29:36</t>
        </is>
      </c>
      <c r="G82" s="16" t="n">
        <v>22</v>
      </c>
      <c r="H82" s="16" t="n">
        <v>13</v>
      </c>
      <c r="I82" s="35" t="n">
        <v>478</v>
      </c>
      <c r="J82" s="16" t="inlineStr">
        <is>
          <t>BAREJADI NANDEJ</t>
        </is>
      </c>
      <c r="K82" s="16" t="inlineStr">
        <is>
          <t>R</t>
        </is>
      </c>
      <c r="L82" s="16" t="inlineStr">
        <is>
          <t>Valid</t>
        </is>
      </c>
      <c r="M82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3">
      <c r="A83" s="16" t="inlineStr">
        <is>
          <t>29 Jun</t>
        </is>
      </c>
      <c r="B83" s="16" t="inlineStr">
        <is>
          <t>37569</t>
        </is>
      </c>
      <c r="C83" s="16" t="inlineStr">
        <is>
          <t>LS</t>
        </is>
      </c>
      <c r="D83" s="16" t="inlineStr">
        <is>
          <t>SR</t>
        </is>
      </c>
      <c r="E83" s="16" t="inlineStr">
        <is>
          <t>15:29:38</t>
        </is>
      </c>
      <c r="F83" s="16" t="inlineStr">
        <is>
          <t>15:30:42</t>
        </is>
      </c>
      <c r="G83" s="16" t="n">
        <v>64</v>
      </c>
      <c r="H83" s="16" t="n">
        <v>40</v>
      </c>
      <c r="I83" s="35" t="n">
        <v>477.19</v>
      </c>
      <c r="J83" s="16" t="inlineStr">
        <is>
          <t>BAREJADI NANDEJ</t>
        </is>
      </c>
      <c r="K83" s="16" t="inlineStr">
        <is>
          <t>R</t>
        </is>
      </c>
      <c r="L83" s="16" t="inlineStr">
        <is>
          <t>Valid</t>
        </is>
      </c>
      <c r="M83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4">
      <c r="A84" s="16" t="inlineStr">
        <is>
          <t>29 Jun</t>
        </is>
      </c>
      <c r="B84" s="16" t="inlineStr">
        <is>
          <t>37569</t>
        </is>
      </c>
      <c r="C84" s="16" t="inlineStr">
        <is>
          <t>OS</t>
        </is>
      </c>
      <c r="D84" s="16" t="inlineStr">
        <is>
          <t>SR</t>
        </is>
      </c>
      <c r="E84" s="16" t="inlineStr">
        <is>
          <t>15:30:44</t>
        </is>
      </c>
      <c r="F84" s="16" t="inlineStr">
        <is>
          <t>15:30:44</t>
        </is>
      </c>
      <c r="G84" s="16" t="n">
        <v>0</v>
      </c>
      <c r="H84" s="16" t="n">
        <v>1</v>
      </c>
      <c r="I84" s="35" t="n">
        <v>474.87</v>
      </c>
      <c r="J84" s="16" t="inlineStr">
        <is>
          <t>KANIJ</t>
        </is>
      </c>
      <c r="K84" s="16" t="inlineStr">
        <is>
          <t>R</t>
        </is>
      </c>
      <c r="L84" s="16" t="inlineStr">
        <is>
          <t>Valid</t>
        </is>
      </c>
      <c r="M84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5">
      <c r="A85" s="16" t="inlineStr">
        <is>
          <t>29 Jun</t>
        </is>
      </c>
      <c r="B85" s="16" t="inlineStr">
        <is>
          <t>42322</t>
        </is>
      </c>
      <c r="C85" s="16" t="inlineStr">
        <is>
          <t>FS</t>
        </is>
      </c>
      <c r="D85" s="16" t="inlineStr">
        <is>
          <t>SR</t>
        </is>
      </c>
      <c r="E85" s="16" t="inlineStr">
        <is>
          <t>15:58:38</t>
        </is>
      </c>
      <c r="F85" s="16" t="inlineStr">
        <is>
          <t>15:59:46</t>
        </is>
      </c>
      <c r="G85" s="16" t="n">
        <v>68</v>
      </c>
      <c r="H85" s="16" t="n">
        <v>56</v>
      </c>
      <c r="I85" s="35" t="n">
        <v>401.99</v>
      </c>
      <c r="J85" s="16" t="inlineStr">
        <is>
          <t>BAJWA</t>
        </is>
      </c>
      <c r="K85" s="16" t="inlineStr">
        <is>
          <t>R</t>
        </is>
      </c>
      <c r="L85" s="16" t="inlineStr">
        <is>
          <t>Valid</t>
        </is>
      </c>
      <c r="M85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6">
      <c r="A86" s="16" t="inlineStr">
        <is>
          <t>29 Jun</t>
        </is>
      </c>
      <c r="B86" s="16" t="inlineStr">
        <is>
          <t>42322</t>
        </is>
      </c>
      <c r="C86" s="16" t="inlineStr">
        <is>
          <t>OS</t>
        </is>
      </c>
      <c r="D86" s="16" t="inlineStr">
        <is>
          <t>SR</t>
        </is>
      </c>
      <c r="E86" s="16" t="inlineStr">
        <is>
          <t>15:59:48</t>
        </is>
      </c>
      <c r="F86" s="16" t="inlineStr">
        <is>
          <t>16:01:48</t>
        </is>
      </c>
      <c r="G86" s="16" t="n">
        <v>120</v>
      </c>
      <c r="H86" s="16" t="n">
        <v>117</v>
      </c>
      <c r="I86" s="35" t="n">
        <v>401.01</v>
      </c>
      <c r="J86" s="16" t="inlineStr">
        <is>
          <t>BAJWA</t>
        </is>
      </c>
      <c r="K86" s="16" t="inlineStr">
        <is>
          <t>N</t>
        </is>
      </c>
      <c r="L86" s="16" t="inlineStr">
        <is>
          <t>Valid</t>
        </is>
      </c>
      <c r="M86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7">
      <c r="A87" s="16" t="inlineStr">
        <is>
          <t>29 Jun</t>
        </is>
      </c>
      <c r="B87" s="16" t="inlineStr">
        <is>
          <t>37569</t>
        </is>
      </c>
      <c r="C87" s="16" t="inlineStr">
        <is>
          <t>FS</t>
        </is>
      </c>
      <c r="D87" s="16" t="inlineStr">
        <is>
          <t>SR</t>
        </is>
      </c>
      <c r="E87" s="16" t="inlineStr">
        <is>
          <t>16:22:50</t>
        </is>
      </c>
      <c r="F87" s="16" t="inlineStr">
        <is>
          <t>16:40:54</t>
        </is>
      </c>
      <c r="G87" s="16" t="n">
        <v>1084</v>
      </c>
      <c r="H87" s="16" t="n">
        <v>451</v>
      </c>
      <c r="I87" s="35" t="n">
        <v>403.45</v>
      </c>
      <c r="J87" s="16" t="inlineStr">
        <is>
          <t>BAJWA</t>
        </is>
      </c>
      <c r="K87" s="16" t="inlineStr">
        <is>
          <t>R</t>
        </is>
      </c>
      <c r="L87" s="16" t="inlineStr">
        <is>
          <t>Valid</t>
        </is>
      </c>
      <c r="M87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8">
      <c r="A88" s="31" t="inlineStr">
        <is>
          <t>29 Jun</t>
        </is>
      </c>
      <c r="B88" s="31" t="inlineStr">
        <is>
          <t>37266</t>
        </is>
      </c>
      <c r="C88" s="31" t="inlineStr">
        <is>
          <t>FS</t>
        </is>
      </c>
      <c r="D88" s="31" t="inlineStr">
        <is>
          <t>SR</t>
        </is>
      </c>
      <c r="E88" s="31" t="inlineStr">
        <is>
          <t>17:17:56</t>
        </is>
      </c>
      <c r="F88" s="31" t="inlineStr">
        <is>
          <t>17:51:46</t>
        </is>
      </c>
      <c r="G88" s="31" t="n">
        <v>2030</v>
      </c>
      <c r="H88" s="31" t="n">
        <v>718</v>
      </c>
      <c r="I88" s="32" t="n">
        <v>402.91</v>
      </c>
      <c r="J88" s="31" t="inlineStr">
        <is>
          <t>BAJWA</t>
        </is>
      </c>
      <c r="K88" s="31" t="inlineStr">
        <is>
          <t>R</t>
        </is>
      </c>
      <c r="L88" s="31" t="inlineStr">
        <is>
          <t>Non-Valid</t>
        </is>
      </c>
      <c r="M88" s="16" t="inlineStr">
        <is>
          <t>BAJWA, RANOLI, LC-246, VASAD, ADAS ROAD, VADOD, LC-258, ANAND Jn, LC-264, KANJARI BORIYAVI</t>
        </is>
      </c>
    </row>
    <row r="89">
      <c r="A89" s="16" t="inlineStr">
        <is>
          <t>29 Jun</t>
        </is>
      </c>
      <c r="B89" s="16" t="inlineStr">
        <is>
          <t>42322</t>
        </is>
      </c>
      <c r="C89" s="16" t="inlineStr">
        <is>
          <t>FS</t>
        </is>
      </c>
      <c r="D89" s="16" t="inlineStr">
        <is>
          <t>LS</t>
        </is>
      </c>
      <c r="E89" s="16" t="inlineStr">
        <is>
          <t>17:29:04</t>
        </is>
      </c>
      <c r="F89" s="16" t="inlineStr">
        <is>
          <t>17:29:04</t>
        </is>
      </c>
      <c r="G89" s="16" t="n">
        <v>0</v>
      </c>
      <c r="H89" s="16" t="n">
        <v>1</v>
      </c>
      <c r="I89" s="35" t="n">
        <v>477.87</v>
      </c>
      <c r="J89" s="16" t="inlineStr">
        <is>
          <t>BAREJADI NANDEJ</t>
        </is>
      </c>
      <c r="K89" s="16" t="inlineStr">
        <is>
          <t>N</t>
        </is>
      </c>
      <c r="L89" s="16" t="inlineStr">
        <is>
          <t>Valid</t>
        </is>
      </c>
      <c r="M89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0">
      <c r="A90" s="16" t="inlineStr">
        <is>
          <t>29 Jun</t>
        </is>
      </c>
      <c r="B90" s="16" t="inlineStr">
        <is>
          <t>42322</t>
        </is>
      </c>
      <c r="C90" s="16" t="inlineStr">
        <is>
          <t>FS</t>
        </is>
      </c>
      <c r="D90" s="16" t="inlineStr">
        <is>
          <t>LS</t>
        </is>
      </c>
      <c r="E90" s="16" t="inlineStr">
        <is>
          <t>17:29:06</t>
        </is>
      </c>
      <c r="F90" s="16" t="inlineStr">
        <is>
          <t>17:31:38</t>
        </is>
      </c>
      <c r="G90" s="16" t="n">
        <v>152</v>
      </c>
      <c r="H90" s="16" t="n">
        <v>75</v>
      </c>
      <c r="I90" s="35" t="n">
        <v>477.93</v>
      </c>
      <c r="J90" s="16" t="inlineStr">
        <is>
          <t>BAREJADI NANDEJ</t>
        </is>
      </c>
      <c r="K90" s="16" t="inlineStr">
        <is>
          <t>N</t>
        </is>
      </c>
      <c r="L90" s="16" t="inlineStr">
        <is>
          <t>Valid</t>
        </is>
      </c>
      <c r="M90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1">
      <c r="A91" s="16" t="inlineStr">
        <is>
          <t>29 Jun</t>
        </is>
      </c>
      <c r="B91" s="16" t="inlineStr">
        <is>
          <t>42322</t>
        </is>
      </c>
      <c r="C91" s="16" t="inlineStr">
        <is>
          <t>LS</t>
        </is>
      </c>
      <c r="D91" s="16" t="inlineStr">
        <is>
          <t>SR</t>
        </is>
      </c>
      <c r="E91" s="16" t="inlineStr">
        <is>
          <t>17:31:40</t>
        </is>
      </c>
      <c r="F91" s="16" t="inlineStr">
        <is>
          <t>17:31:46</t>
        </is>
      </c>
      <c r="G91" s="16" t="n">
        <v>6</v>
      </c>
      <c r="H91" s="16" t="n">
        <v>7</v>
      </c>
      <c r="I91" s="35" t="n">
        <v>481.84</v>
      </c>
      <c r="J91" s="16" t="inlineStr">
        <is>
          <t>GERATPUR</t>
        </is>
      </c>
      <c r="K91" s="16" t="inlineStr">
        <is>
          <t>N</t>
        </is>
      </c>
      <c r="L91" s="16" t="inlineStr">
        <is>
          <t>Valid</t>
        </is>
      </c>
      <c r="M91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2">
      <c r="A92" s="31" t="inlineStr">
        <is>
          <t>29 Jun</t>
        </is>
      </c>
      <c r="B92" s="31" t="inlineStr">
        <is>
          <t>39176</t>
        </is>
      </c>
      <c r="C92" s="31" t="inlineStr">
        <is>
          <t>FS</t>
        </is>
      </c>
      <c r="D92" s="31" t="inlineStr">
        <is>
          <t>SR</t>
        </is>
      </c>
      <c r="E92" s="31" t="inlineStr">
        <is>
          <t>17:47:50</t>
        </is>
      </c>
      <c r="F92" s="31" t="inlineStr">
        <is>
          <t>18:26:28</t>
        </is>
      </c>
      <c r="G92" s="31" t="n">
        <v>2318</v>
      </c>
      <c r="H92" s="31" t="n">
        <v>983</v>
      </c>
      <c r="I92" s="32" t="n">
        <v>402.88</v>
      </c>
      <c r="J92" s="31" t="inlineStr">
        <is>
          <t>BAJWA</t>
        </is>
      </c>
      <c r="K92" s="31" t="inlineStr">
        <is>
          <t>R</t>
        </is>
      </c>
      <c r="L92" s="31" t="inlineStr">
        <is>
          <t>Non-Valid</t>
        </is>
      </c>
      <c r="M92" s="16" t="inlineStr">
        <is>
          <t>BAJWA, RANOLI, LC-246, VASAD, ADAS ROAD, VADOD, LC-258, ANAND Jn, LC-264, KANJARI BORIYAVI, UTARSANDA</t>
        </is>
      </c>
    </row>
    <row r="93">
      <c r="A93" s="31" t="inlineStr">
        <is>
          <t>29 Jun</t>
        </is>
      </c>
      <c r="B93" s="31" t="inlineStr">
        <is>
          <t>37397</t>
        </is>
      </c>
      <c r="C93" s="31" t="inlineStr">
        <is>
          <t>FS</t>
        </is>
      </c>
      <c r="D93" s="31" t="inlineStr">
        <is>
          <t>SR</t>
        </is>
      </c>
      <c r="E93" s="31" t="inlineStr">
        <is>
          <t>17:58:30</t>
        </is>
      </c>
      <c r="F93" s="31" t="inlineStr">
        <is>
          <t>18:39:50</t>
        </is>
      </c>
      <c r="G93" s="31" t="n">
        <v>2480</v>
      </c>
      <c r="H93" s="31" t="n">
        <v>962</v>
      </c>
      <c r="I93" s="32" t="n">
        <v>402.43</v>
      </c>
      <c r="J93" s="31" t="inlineStr">
        <is>
          <t>BAJWA</t>
        </is>
      </c>
      <c r="K93" s="31" t="inlineStr">
        <is>
          <t>R</t>
        </is>
      </c>
      <c r="L93" s="31" t="inlineStr">
        <is>
          <t>Non-Valid</t>
        </is>
      </c>
      <c r="M93" s="16" t="inlineStr">
        <is>
          <t>BAJWA, RANOLI, LC-246, VASAD, ADAS ROAD, VADOD, LC-258, ANAND Jn, LC-264, KANJARI BORIYAVI</t>
        </is>
      </c>
    </row>
    <row r="94">
      <c r="A94" s="31" t="inlineStr">
        <is>
          <t>29 Jun</t>
        </is>
      </c>
      <c r="B94" s="31" t="inlineStr">
        <is>
          <t>37582</t>
        </is>
      </c>
      <c r="C94" s="31" t="inlineStr">
        <is>
          <t>FS</t>
        </is>
      </c>
      <c r="D94" s="31" t="inlineStr">
        <is>
          <t>SR</t>
        </is>
      </c>
      <c r="E94" s="31" t="inlineStr">
        <is>
          <t>19:33:48</t>
        </is>
      </c>
      <c r="F94" s="31" t="inlineStr">
        <is>
          <t>19:57:16</t>
        </is>
      </c>
      <c r="G94" s="31" t="n">
        <v>1408</v>
      </c>
      <c r="H94" s="31" t="n">
        <v>609</v>
      </c>
      <c r="I94" s="32" t="n">
        <v>402.96</v>
      </c>
      <c r="J94" s="31" t="inlineStr">
        <is>
          <t>BAJWA</t>
        </is>
      </c>
      <c r="K94" s="31" t="inlineStr">
        <is>
          <t>R</t>
        </is>
      </c>
      <c r="L94" s="31" t="inlineStr">
        <is>
          <t>Non-Valid</t>
        </is>
      </c>
      <c r="M94" s="16" t="inlineStr">
        <is>
          <t>BAJWA, RANOLI, LC-246, VASAD, ADAS ROAD, VADOD, LC-258, ANAND Jn, LC-264, KANJARI BORIYAVI</t>
        </is>
      </c>
    </row>
    <row r="95">
      <c r="A95" s="16" t="inlineStr">
        <is>
          <t>29 Jun</t>
        </is>
      </c>
      <c r="B95" s="16" t="inlineStr">
        <is>
          <t>39015</t>
        </is>
      </c>
      <c r="C95" s="16" t="inlineStr">
        <is>
          <t>StandBy</t>
        </is>
      </c>
      <c r="D95" s="16" t="inlineStr">
        <is>
          <t>SR</t>
        </is>
      </c>
      <c r="E95" s="16" t="inlineStr">
        <is>
          <t>20:04:30</t>
        </is>
      </c>
      <c r="F95" s="16" t="inlineStr">
        <is>
          <t>20:05:06</t>
        </is>
      </c>
      <c r="G95" s="16" t="n">
        <v>36</v>
      </c>
      <c r="H95" s="16" t="n">
        <v>36</v>
      </c>
      <c r="I95" s="35" t="n">
        <v>494.97</v>
      </c>
      <c r="J95" s="16" t="inlineStr">
        <is>
          <t>AHMEDABAD Jn</t>
        </is>
      </c>
      <c r="K95" s="16" t="inlineStr">
        <is>
          <t>R</t>
        </is>
      </c>
      <c r="L95" s="16" t="inlineStr">
        <is>
          <t>Valid</t>
        </is>
      </c>
      <c r="M95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6">
      <c r="A96" s="16" t="inlineStr">
        <is>
          <t>29 Jun</t>
        </is>
      </c>
      <c r="B96" s="16" t="inlineStr">
        <is>
          <t>37655</t>
        </is>
      </c>
      <c r="C96" s="16" t="inlineStr">
        <is>
          <t>FS</t>
        </is>
      </c>
      <c r="D96" s="16" t="inlineStr">
        <is>
          <t>SR</t>
        </is>
      </c>
      <c r="E96" s="16" t="inlineStr">
        <is>
          <t>20:12:26</t>
        </is>
      </c>
      <c r="F96" s="16" t="inlineStr">
        <is>
          <t>20:21:16</t>
        </is>
      </c>
      <c r="G96" s="16" t="n">
        <v>530</v>
      </c>
      <c r="H96" s="16" t="n">
        <v>271</v>
      </c>
      <c r="I96" s="35" t="n">
        <v>477.52</v>
      </c>
      <c r="J96" s="16" t="inlineStr">
        <is>
          <t>BAREJADI NANDEJ</t>
        </is>
      </c>
      <c r="K96" s="16" t="inlineStr">
        <is>
          <t>N</t>
        </is>
      </c>
      <c r="L96" s="16" t="inlineStr">
        <is>
          <t>Valid</t>
        </is>
      </c>
      <c r="M96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7">
      <c r="A97" s="16" t="inlineStr">
        <is>
          <t>29 Jun</t>
        </is>
      </c>
      <c r="B97" s="16" t="inlineStr">
        <is>
          <t>39015</t>
        </is>
      </c>
      <c r="C97" s="16" t="inlineStr">
        <is>
          <t>FS</t>
        </is>
      </c>
      <c r="D97" s="16" t="inlineStr">
        <is>
          <t>LS</t>
        </is>
      </c>
      <c r="E97" s="16" t="inlineStr">
        <is>
          <t>20:24:24</t>
        </is>
      </c>
      <c r="F97" s="16" t="inlineStr">
        <is>
          <t>20:25:10</t>
        </is>
      </c>
      <c r="G97" s="16" t="n">
        <v>46</v>
      </c>
      <c r="H97" s="16" t="n">
        <v>25</v>
      </c>
      <c r="I97" s="35" t="n">
        <v>478.35</v>
      </c>
      <c r="J97" s="16" t="inlineStr">
        <is>
          <t>BAREJADI NANDEJ</t>
        </is>
      </c>
      <c r="K97" s="16" t="inlineStr">
        <is>
          <t>R</t>
        </is>
      </c>
      <c r="L97" s="16" t="inlineStr">
        <is>
          <t>Valid</t>
        </is>
      </c>
      <c r="M97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8">
      <c r="A98" s="16" t="inlineStr">
        <is>
          <t>29 Jun</t>
        </is>
      </c>
      <c r="B98" s="16" t="inlineStr">
        <is>
          <t>39015</t>
        </is>
      </c>
      <c r="C98" s="16" t="inlineStr">
        <is>
          <t>LS</t>
        </is>
      </c>
      <c r="D98" s="16" t="inlineStr">
        <is>
          <t>SR</t>
        </is>
      </c>
      <c r="E98" s="16" t="inlineStr">
        <is>
          <t>20:25:12</t>
        </is>
      </c>
      <c r="F98" s="16" t="inlineStr">
        <is>
          <t>20:26:36</t>
        </is>
      </c>
      <c r="G98" s="16" t="n">
        <v>84</v>
      </c>
      <c r="H98" s="16" t="n">
        <v>52</v>
      </c>
      <c r="I98" s="35" t="n">
        <v>477.21</v>
      </c>
      <c r="J98" s="16" t="inlineStr">
        <is>
          <t>BAREJADI NANDEJ</t>
        </is>
      </c>
      <c r="K98" s="16" t="inlineStr">
        <is>
          <t>R</t>
        </is>
      </c>
      <c r="L98" s="16" t="inlineStr">
        <is>
          <t>Valid</t>
        </is>
      </c>
      <c r="M98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9">
      <c r="A99" s="16" t="inlineStr">
        <is>
          <t>29 Jun</t>
        </is>
      </c>
      <c r="B99" s="16" t="inlineStr">
        <is>
          <t>39015</t>
        </is>
      </c>
      <c r="C99" s="16" t="inlineStr">
        <is>
          <t>OS</t>
        </is>
      </c>
      <c r="D99" s="16" t="inlineStr">
        <is>
          <t>SR</t>
        </is>
      </c>
      <c r="E99" s="16" t="inlineStr">
        <is>
          <t>20:26:38</t>
        </is>
      </c>
      <c r="F99" s="16" t="inlineStr">
        <is>
          <t>20:26:38</t>
        </is>
      </c>
      <c r="G99" s="16" t="n">
        <v>0</v>
      </c>
      <c r="H99" s="16" t="n">
        <v>1</v>
      </c>
      <c r="I99" s="35" t="n">
        <v>474.88</v>
      </c>
      <c r="J99" s="16" t="inlineStr">
        <is>
          <t>KANIJ</t>
        </is>
      </c>
      <c r="K99" s="16" t="inlineStr">
        <is>
          <t>R</t>
        </is>
      </c>
      <c r="L99" s="16" t="inlineStr">
        <is>
          <t>Valid</t>
        </is>
      </c>
      <c r="M99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0">
      <c r="A100" s="16" t="inlineStr">
        <is>
          <t>29 Jun</t>
        </is>
      </c>
      <c r="B100" s="16" t="inlineStr">
        <is>
          <t>37504</t>
        </is>
      </c>
      <c r="C100" s="16" t="inlineStr">
        <is>
          <t>FS</t>
        </is>
      </c>
      <c r="D100" s="16" t="inlineStr">
        <is>
          <t>LS</t>
        </is>
      </c>
      <c r="E100" s="16" t="inlineStr">
        <is>
          <t>20:49:56</t>
        </is>
      </c>
      <c r="F100" s="16" t="inlineStr">
        <is>
          <t>20:50:24</t>
        </is>
      </c>
      <c r="G100" s="16" t="n">
        <v>28</v>
      </c>
      <c r="H100" s="16" t="n">
        <v>16</v>
      </c>
      <c r="I100" s="35" t="n">
        <v>478.11</v>
      </c>
      <c r="J100" s="16" t="inlineStr">
        <is>
          <t>BAREJADI NANDEJ</t>
        </is>
      </c>
      <c r="K100" s="16" t="inlineStr">
        <is>
          <t>R</t>
        </is>
      </c>
      <c r="L100" s="16" t="inlineStr">
        <is>
          <t>Valid</t>
        </is>
      </c>
      <c r="M100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1">
      <c r="A101" s="16" t="inlineStr">
        <is>
          <t>29 Jun</t>
        </is>
      </c>
      <c r="B101" s="16" t="inlineStr">
        <is>
          <t>37504</t>
        </is>
      </c>
      <c r="C101" s="16" t="inlineStr">
        <is>
          <t>LS</t>
        </is>
      </c>
      <c r="D101" s="16" t="inlineStr">
        <is>
          <t>SR</t>
        </is>
      </c>
      <c r="E101" s="16" t="inlineStr">
        <is>
          <t>20:50:26</t>
        </is>
      </c>
      <c r="F101" s="16" t="inlineStr">
        <is>
          <t>20:51:44</t>
        </is>
      </c>
      <c r="G101" s="16" t="n">
        <v>78</v>
      </c>
      <c r="H101" s="16" t="n">
        <v>51</v>
      </c>
      <c r="I101" s="35" t="n">
        <v>477.2</v>
      </c>
      <c r="J101" s="16" t="inlineStr">
        <is>
          <t>BAREJADI NANDEJ</t>
        </is>
      </c>
      <c r="K101" s="16" t="inlineStr">
        <is>
          <t>R</t>
        </is>
      </c>
      <c r="L101" s="16" t="inlineStr">
        <is>
          <t>Valid</t>
        </is>
      </c>
      <c r="M101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2">
      <c r="A102" s="16" t="inlineStr">
        <is>
          <t>29 Jun</t>
        </is>
      </c>
      <c r="B102" s="16" t="inlineStr">
        <is>
          <t>37504</t>
        </is>
      </c>
      <c r="C102" s="16" t="inlineStr">
        <is>
          <t>OS</t>
        </is>
      </c>
      <c r="D102" s="16" t="inlineStr">
        <is>
          <t>SR</t>
        </is>
      </c>
      <c r="E102" s="16" t="inlineStr">
        <is>
          <t>20:51:46</t>
        </is>
      </c>
      <c r="F102" s="16" t="inlineStr">
        <is>
          <t>20:51:46</t>
        </is>
      </c>
      <c r="G102" s="16" t="n">
        <v>0</v>
      </c>
      <c r="H102" s="16" t="n">
        <v>1</v>
      </c>
      <c r="I102" s="35" t="n">
        <v>474.8</v>
      </c>
      <c r="J102" s="16" t="inlineStr">
        <is>
          <t>KANIJ</t>
        </is>
      </c>
      <c r="K102" s="16" t="inlineStr">
        <is>
          <t>R</t>
        </is>
      </c>
      <c r="L102" s="16" t="inlineStr">
        <is>
          <t>Valid</t>
        </is>
      </c>
      <c r="M102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3">
      <c r="A103" s="16" t="inlineStr">
        <is>
          <t>29 Jun</t>
        </is>
      </c>
      <c r="B103" s="16" t="inlineStr">
        <is>
          <t>39015</t>
        </is>
      </c>
      <c r="C103" s="16" t="inlineStr">
        <is>
          <t>FS</t>
        </is>
      </c>
      <c r="D103" s="16" t="inlineStr">
        <is>
          <t>SR</t>
        </is>
      </c>
      <c r="E103" s="16" t="inlineStr">
        <is>
          <t>21:26:30</t>
        </is>
      </c>
      <c r="F103" s="16" t="inlineStr">
        <is>
          <t>21:54:02</t>
        </is>
      </c>
      <c r="G103" s="16" t="n">
        <v>1652</v>
      </c>
      <c r="H103" s="16" t="n">
        <v>818</v>
      </c>
      <c r="I103" s="35" t="n">
        <v>403.07</v>
      </c>
      <c r="J103" s="16" t="inlineStr">
        <is>
          <t>BAJWA</t>
        </is>
      </c>
      <c r="K103" s="16" t="inlineStr">
        <is>
          <t>R</t>
        </is>
      </c>
      <c r="L103" s="16" t="inlineStr">
        <is>
          <t>Valid</t>
        </is>
      </c>
      <c r="M103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4">
      <c r="A104" s="16" t="inlineStr">
        <is>
          <t>29 Jun</t>
        </is>
      </c>
      <c r="B104" s="16" t="inlineStr">
        <is>
          <t>37504</t>
        </is>
      </c>
      <c r="C104" s="16" t="inlineStr">
        <is>
          <t>FS</t>
        </is>
      </c>
      <c r="D104" s="16" t="inlineStr">
        <is>
          <t>SR</t>
        </is>
      </c>
      <c r="E104" s="16" t="inlineStr">
        <is>
          <t>21:58:18</t>
        </is>
      </c>
      <c r="F104" s="16" t="inlineStr">
        <is>
          <t>22:27:20</t>
        </is>
      </c>
      <c r="G104" s="16" t="n">
        <v>1742</v>
      </c>
      <c r="H104" s="16" t="n">
        <v>833</v>
      </c>
      <c r="I104" s="35" t="n">
        <v>403.22</v>
      </c>
      <c r="J104" s="16" t="inlineStr">
        <is>
          <t>BAJWA</t>
        </is>
      </c>
      <c r="K104" s="16" t="inlineStr">
        <is>
          <t>R</t>
        </is>
      </c>
      <c r="L104" s="16" t="inlineStr">
        <is>
          <t>Valid</t>
        </is>
      </c>
      <c r="M104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5">
      <c r="A105" s="16" t="inlineStr">
        <is>
          <t>29 Jun</t>
        </is>
      </c>
      <c r="B105" s="16" t="inlineStr">
        <is>
          <t>30484</t>
        </is>
      </c>
      <c r="C105" s="16" t="inlineStr">
        <is>
          <t>FS</t>
        </is>
      </c>
      <c r="D105" s="16" t="inlineStr">
        <is>
          <t>LS</t>
        </is>
      </c>
      <c r="E105" s="16" t="inlineStr">
        <is>
          <t>22:31:14</t>
        </is>
      </c>
      <c r="F105" s="16" t="inlineStr">
        <is>
          <t>22:31:50</t>
        </is>
      </c>
      <c r="G105" s="16" t="n">
        <v>36</v>
      </c>
      <c r="H105" s="16" t="n">
        <v>20</v>
      </c>
      <c r="I105" s="35" t="n">
        <v>478.27</v>
      </c>
      <c r="J105" s="16" t="inlineStr">
        <is>
          <t>BAREJADI NANDEJ</t>
        </is>
      </c>
      <c r="K105" s="16" t="inlineStr">
        <is>
          <t>R</t>
        </is>
      </c>
      <c r="L105" s="16" t="inlineStr">
        <is>
          <t>Valid</t>
        </is>
      </c>
      <c r="M105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6">
      <c r="A106" s="16" t="inlineStr">
        <is>
          <t>29 Jun</t>
        </is>
      </c>
      <c r="B106" s="16" t="inlineStr">
        <is>
          <t>30484</t>
        </is>
      </c>
      <c r="C106" s="16" t="inlineStr">
        <is>
          <t>LS</t>
        </is>
      </c>
      <c r="D106" s="16" t="inlineStr">
        <is>
          <t>SR</t>
        </is>
      </c>
      <c r="E106" s="16" t="inlineStr">
        <is>
          <t>22:31:52</t>
        </is>
      </c>
      <c r="F106" s="16" t="inlineStr">
        <is>
          <t>22:33:08</t>
        </is>
      </c>
      <c r="G106" s="16" t="n">
        <v>76</v>
      </c>
      <c r="H106" s="16" t="n">
        <v>48</v>
      </c>
      <c r="I106" s="35" t="n">
        <v>477.17</v>
      </c>
      <c r="J106" s="16" t="inlineStr">
        <is>
          <t>BAREJADI NANDEJ</t>
        </is>
      </c>
      <c r="K106" s="16" t="inlineStr">
        <is>
          <t>R</t>
        </is>
      </c>
      <c r="L106" s="16" t="inlineStr">
        <is>
          <t>Valid</t>
        </is>
      </c>
      <c r="M106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7">
      <c r="A107" s="16" t="inlineStr">
        <is>
          <t>29 Jun</t>
        </is>
      </c>
      <c r="B107" s="16" t="inlineStr">
        <is>
          <t>30484</t>
        </is>
      </c>
      <c r="C107" s="16" t="inlineStr">
        <is>
          <t>OS</t>
        </is>
      </c>
      <c r="D107" s="16" t="inlineStr">
        <is>
          <t>SR</t>
        </is>
      </c>
      <c r="E107" s="16" t="inlineStr">
        <is>
          <t>22:33:10</t>
        </is>
      </c>
      <c r="F107" s="16" t="inlineStr">
        <is>
          <t>22:33:10</t>
        </is>
      </c>
      <c r="G107" s="16" t="n">
        <v>0</v>
      </c>
      <c r="H107" s="16" t="n">
        <v>1</v>
      </c>
      <c r="I107" s="35" t="n">
        <v>474.86</v>
      </c>
      <c r="J107" s="16" t="inlineStr">
        <is>
          <t>KANIJ</t>
        </is>
      </c>
      <c r="K107" s="16" t="inlineStr">
        <is>
          <t>R</t>
        </is>
      </c>
      <c r="L107" s="16" t="inlineStr">
        <is>
          <t>Valid</t>
        </is>
      </c>
      <c r="M107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8">
      <c r="A108" s="16" t="inlineStr">
        <is>
          <t>29 Jun</t>
        </is>
      </c>
      <c r="B108" s="16" t="inlineStr">
        <is>
          <t>37086</t>
        </is>
      </c>
      <c r="C108" s="16" t="inlineStr">
        <is>
          <t>FS</t>
        </is>
      </c>
      <c r="D108" s="16" t="inlineStr">
        <is>
          <t>LS</t>
        </is>
      </c>
      <c r="E108" s="16" t="inlineStr">
        <is>
          <t>22:37:46</t>
        </is>
      </c>
      <c r="F108" s="16" t="inlineStr">
        <is>
          <t>22:38:18</t>
        </is>
      </c>
      <c r="G108" s="16" t="n">
        <v>32</v>
      </c>
      <c r="H108" s="16" t="n">
        <v>17</v>
      </c>
      <c r="I108" s="35" t="n">
        <v>478.21</v>
      </c>
      <c r="J108" s="16" t="inlineStr">
        <is>
          <t>BAREJADI NANDEJ</t>
        </is>
      </c>
      <c r="K108" s="16" t="inlineStr">
        <is>
          <t>R</t>
        </is>
      </c>
      <c r="L108" s="16" t="inlineStr">
        <is>
          <t>Valid</t>
        </is>
      </c>
      <c r="M108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9">
      <c r="A109" s="16" t="inlineStr">
        <is>
          <t>29 Jun</t>
        </is>
      </c>
      <c r="B109" s="16" t="inlineStr">
        <is>
          <t>37086</t>
        </is>
      </c>
      <c r="C109" s="16" t="inlineStr">
        <is>
          <t>LS</t>
        </is>
      </c>
      <c r="D109" s="16" t="inlineStr">
        <is>
          <t>SR</t>
        </is>
      </c>
      <c r="E109" s="16" t="inlineStr">
        <is>
          <t>22:38:20</t>
        </is>
      </c>
      <c r="F109" s="16" t="inlineStr">
        <is>
          <t>22:39:28</t>
        </is>
      </c>
      <c r="G109" s="16" t="n">
        <v>68</v>
      </c>
      <c r="H109" s="16" t="n">
        <v>40</v>
      </c>
      <c r="I109" s="35" t="n">
        <v>477.19</v>
      </c>
      <c r="J109" s="16" t="inlineStr">
        <is>
          <t>BAREJADI NANDEJ</t>
        </is>
      </c>
      <c r="K109" s="16" t="inlineStr">
        <is>
          <t>R</t>
        </is>
      </c>
      <c r="L109" s="16" t="inlineStr">
        <is>
          <t>Valid</t>
        </is>
      </c>
      <c r="M109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0">
      <c r="A110" s="16" t="inlineStr">
        <is>
          <t>29 Jun</t>
        </is>
      </c>
      <c r="B110" s="16" t="inlineStr">
        <is>
          <t>37352</t>
        </is>
      </c>
      <c r="C110" s="16" t="inlineStr">
        <is>
          <t>FS</t>
        </is>
      </c>
      <c r="D110" s="16" t="inlineStr">
        <is>
          <t>LS</t>
        </is>
      </c>
      <c r="E110" s="16" t="inlineStr">
        <is>
          <t>23:00:56</t>
        </is>
      </c>
      <c r="F110" s="16" t="inlineStr">
        <is>
          <t>23:01:20</t>
        </is>
      </c>
      <c r="G110" s="16" t="n">
        <v>24</v>
      </c>
      <c r="H110" s="16" t="n">
        <v>14</v>
      </c>
      <c r="I110" s="35" t="n">
        <v>477.92</v>
      </c>
      <c r="J110" s="16" t="inlineStr">
        <is>
          <t>BAREJADI NANDEJ</t>
        </is>
      </c>
      <c r="K110" s="16" t="inlineStr">
        <is>
          <t>N</t>
        </is>
      </c>
      <c r="L110" s="16" t="inlineStr">
        <is>
          <t>Valid</t>
        </is>
      </c>
      <c r="M110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1">
      <c r="A111" s="16" t="inlineStr">
        <is>
          <t>29 Jun</t>
        </is>
      </c>
      <c r="B111" s="16" t="inlineStr">
        <is>
          <t>37352</t>
        </is>
      </c>
      <c r="C111" s="16" t="inlineStr">
        <is>
          <t>LS</t>
        </is>
      </c>
      <c r="D111" s="16" t="inlineStr">
        <is>
          <t>SR</t>
        </is>
      </c>
      <c r="E111" s="16" t="inlineStr">
        <is>
          <t>23:01:22</t>
        </is>
      </c>
      <c r="F111" s="16" t="inlineStr">
        <is>
          <t>23:04:46</t>
        </is>
      </c>
      <c r="G111" s="16" t="n">
        <v>204</v>
      </c>
      <c r="H111" s="16" t="n">
        <v>111</v>
      </c>
      <c r="I111" s="35" t="n">
        <v>478.66</v>
      </c>
      <c r="J111" s="16" t="inlineStr">
        <is>
          <t>BAREJADI NANDEJ</t>
        </is>
      </c>
      <c r="K111" s="16" t="inlineStr">
        <is>
          <t>N</t>
        </is>
      </c>
      <c r="L111" s="16" t="inlineStr">
        <is>
          <t>Valid</t>
        </is>
      </c>
      <c r="M111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2">
      <c r="A112" s="31" t="inlineStr">
        <is>
          <t>29 Jun</t>
        </is>
      </c>
      <c r="B112" s="31" t="inlineStr">
        <is>
          <t>30480</t>
        </is>
      </c>
      <c r="C112" s="31" t="inlineStr">
        <is>
          <t>FS</t>
        </is>
      </c>
      <c r="D112" s="31" t="inlineStr">
        <is>
          <t>SR</t>
        </is>
      </c>
      <c r="E112" s="31" t="inlineStr">
        <is>
          <t>23:03:32</t>
        </is>
      </c>
      <c r="F112" s="31" t="inlineStr">
        <is>
          <t>23:03:38</t>
        </is>
      </c>
      <c r="G112" s="31" t="n">
        <v>6</v>
      </c>
      <c r="H112" s="31" t="n">
        <v>5</v>
      </c>
      <c r="I112" s="32" t="n">
        <v>494.98</v>
      </c>
      <c r="J112" s="31" t="inlineStr">
        <is>
          <t>AHMEDABAD Jn</t>
        </is>
      </c>
      <c r="K112" s="31" t="inlineStr">
        <is>
          <t>R</t>
        </is>
      </c>
      <c r="L112" s="31" t="inlineStr">
        <is>
          <t>Non-Valid</t>
        </is>
      </c>
      <c r="M112" s="16" t="inlineStr">
        <is>
          <t>UTARSANDA, NADIAD, LC-278, GOTHAJ, LC-286, MAHEMDABAD AND KHEDA ROAD, LC-294, KANIJ, BAREJADI NANDEJ, GERATPUR, VATVA, KANKARIYA CABIN, AHMEDABAD Jn</t>
        </is>
      </c>
    </row>
    <row r="113">
      <c r="A113" s="16" t="inlineStr">
        <is>
          <t>29 Jun</t>
        </is>
      </c>
      <c r="B113" s="16" t="inlineStr">
        <is>
          <t>39487</t>
        </is>
      </c>
      <c r="C113" s="16" t="inlineStr">
        <is>
          <t>StandBy</t>
        </is>
      </c>
      <c r="D113" s="16" t="inlineStr">
        <is>
          <t>SR</t>
        </is>
      </c>
      <c r="E113" s="16" t="inlineStr">
        <is>
          <t>23:12:14</t>
        </is>
      </c>
      <c r="F113" s="16" t="inlineStr">
        <is>
          <t>23:12:18</t>
        </is>
      </c>
      <c r="G113" s="16" t="n">
        <v>4</v>
      </c>
      <c r="H113" s="16" t="n">
        <v>4</v>
      </c>
      <c r="I113" s="35" t="n">
        <v>495.01</v>
      </c>
      <c r="J113" s="16" t="inlineStr">
        <is>
          <t>AHMEDABAD Jn</t>
        </is>
      </c>
      <c r="K113" s="16" t="inlineStr">
        <is>
          <t>R</t>
        </is>
      </c>
      <c r="L113" s="16" t="inlineStr">
        <is>
          <t>Valid</t>
        </is>
      </c>
      <c r="M113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4">
      <c r="A114" s="16" t="inlineStr">
        <is>
          <t>29 Jun</t>
        </is>
      </c>
      <c r="B114" s="16" t="inlineStr">
        <is>
          <t>37086</t>
        </is>
      </c>
      <c r="C114" s="16" t="inlineStr">
        <is>
          <t>FS</t>
        </is>
      </c>
      <c r="D114" s="16" t="inlineStr">
        <is>
          <t>SR</t>
        </is>
      </c>
      <c r="E114" s="16" t="inlineStr">
        <is>
          <t>23:12:16</t>
        </is>
      </c>
      <c r="F114" s="16" t="inlineStr">
        <is>
          <t>23:12:16</t>
        </is>
      </c>
      <c r="G114" s="16" t="n">
        <v>0</v>
      </c>
      <c r="H114" s="16" t="n">
        <v>1</v>
      </c>
      <c r="I114" s="35" t="n">
        <v>439.7</v>
      </c>
      <c r="J114" s="16" t="inlineStr">
        <is>
          <t>KANJARI BORIYAVI</t>
        </is>
      </c>
      <c r="K114" s="16" t="inlineStr">
        <is>
          <t>R</t>
        </is>
      </c>
      <c r="L114" s="16" t="inlineStr">
        <is>
          <t>Valid</t>
        </is>
      </c>
      <c r="M114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5">
      <c r="A115" s="31" t="inlineStr">
        <is>
          <t>29 Jun</t>
        </is>
      </c>
      <c r="B115" s="31" t="inlineStr">
        <is>
          <t>37388</t>
        </is>
      </c>
      <c r="C115" s="31" t="inlineStr">
        <is>
          <t>OS</t>
        </is>
      </c>
      <c r="D115" s="31" t="inlineStr">
        <is>
          <t>SR</t>
        </is>
      </c>
      <c r="E115" s="31" t="inlineStr">
        <is>
          <t>23:12:20</t>
        </is>
      </c>
      <c r="F115" s="31" t="inlineStr">
        <is>
          <t>23:12:20</t>
        </is>
      </c>
      <c r="G115" s="31" t="n">
        <v>0</v>
      </c>
      <c r="H115" s="31" t="n">
        <v>1</v>
      </c>
      <c r="I115" s="32" t="n">
        <v>401.2</v>
      </c>
      <c r="J115" s="31" t="inlineStr">
        <is>
          <t>BAJWA</t>
        </is>
      </c>
      <c r="K115" s="31" t="inlineStr">
        <is>
          <t>N</t>
        </is>
      </c>
      <c r="L115" s="31" t="inlineStr">
        <is>
          <t>Non-Valid</t>
        </is>
      </c>
      <c r="M115" s="16" t="inlineStr">
        <is>
          <t>BAJWA, RANOLI, LC-246, VASAD, ADAS ROAD, VADOD, LC-258, ANAND Jn, LC-264, KANJARI BORIYAVI, UTARSANDA, NADIAD</t>
        </is>
      </c>
    </row>
    <row r="116">
      <c r="A116" s="31" t="inlineStr">
        <is>
          <t>29 Jun</t>
        </is>
      </c>
      <c r="B116" s="31" t="inlineStr">
        <is>
          <t>30480</t>
        </is>
      </c>
      <c r="C116" s="31" t="inlineStr">
        <is>
          <t>FS</t>
        </is>
      </c>
      <c r="D116" s="31" t="inlineStr">
        <is>
          <t>SR</t>
        </is>
      </c>
      <c r="E116" s="31" t="inlineStr">
        <is>
          <t>23:32:04</t>
        </is>
      </c>
      <c r="F116" s="31" t="inlineStr">
        <is>
          <t>23:33:56</t>
        </is>
      </c>
      <c r="G116" s="31" t="n">
        <v>112</v>
      </c>
      <c r="H116" s="31" t="n">
        <v>66</v>
      </c>
      <c r="I116" s="32" t="n">
        <v>478.24</v>
      </c>
      <c r="J116" s="31" t="inlineStr">
        <is>
          <t>BAREJADI NANDEJ</t>
        </is>
      </c>
      <c r="K116" s="31" t="inlineStr">
        <is>
          <t>R</t>
        </is>
      </c>
      <c r="L116" s="31" t="inlineStr">
        <is>
          <t>Non-Valid</t>
        </is>
      </c>
      <c r="M116" s="16" t="inlineStr">
        <is>
          <t>UTARSANDA, NADIAD, LC-278, GOTHAJ, LC-286, MAHEMDABAD AND KHEDA ROAD, LC-294, KANIJ, BAREJADI NANDEJ, GERATPUR, VATVA, KANKARIYA CABIN, AHMEDABAD Jn</t>
        </is>
      </c>
    </row>
    <row r="117">
      <c r="A117" s="31" t="inlineStr">
        <is>
          <t>29 Jun</t>
        </is>
      </c>
      <c r="B117" s="31" t="inlineStr">
        <is>
          <t>30480</t>
        </is>
      </c>
      <c r="C117" s="31" t="inlineStr">
        <is>
          <t>OS</t>
        </is>
      </c>
      <c r="D117" s="31" t="inlineStr">
        <is>
          <t>SR</t>
        </is>
      </c>
      <c r="E117" s="31" t="inlineStr">
        <is>
          <t>23:33:58</t>
        </is>
      </c>
      <c r="F117" s="31" t="inlineStr">
        <is>
          <t>23:33:58</t>
        </is>
      </c>
      <c r="G117" s="31" t="n">
        <v>0</v>
      </c>
      <c r="H117" s="31" t="n">
        <v>1</v>
      </c>
      <c r="I117" s="32" t="n">
        <v>474.86</v>
      </c>
      <c r="J117" s="31" t="inlineStr">
        <is>
          <t>KANIJ</t>
        </is>
      </c>
      <c r="K117" s="31" t="inlineStr">
        <is>
          <t>R</t>
        </is>
      </c>
      <c r="L117" s="31" t="inlineStr">
        <is>
          <t>Non-Valid</t>
        </is>
      </c>
      <c r="M117" s="16" t="inlineStr">
        <is>
          <t>UTARSANDA, NADIAD, LC-278, GOTHAJ, LC-286, MAHEMDABAD AND KHEDA ROAD, LC-294, KANIJ, BAREJADI NANDEJ, GERATPUR, VATVA, KANKARIYA CABIN, AHMEDABAD Jn</t>
        </is>
      </c>
    </row>
    <row r="118">
      <c r="A118" s="16" t="inlineStr">
        <is>
          <t>29 Jun</t>
        </is>
      </c>
      <c r="B118" s="16" t="inlineStr">
        <is>
          <t>37086</t>
        </is>
      </c>
      <c r="C118" s="16" t="inlineStr">
        <is>
          <t>FS</t>
        </is>
      </c>
      <c r="D118" s="16" t="inlineStr">
        <is>
          <t>SR</t>
        </is>
      </c>
      <c r="E118" s="16" t="inlineStr">
        <is>
          <t>23:38:34</t>
        </is>
      </c>
      <c r="F118" s="16" t="inlineStr">
        <is>
          <t>23:59:56</t>
        </is>
      </c>
      <c r="G118" s="16" t="n">
        <v>1282</v>
      </c>
      <c r="H118" s="16" t="n">
        <v>639</v>
      </c>
      <c r="I118" s="35" t="n">
        <v>403.6</v>
      </c>
      <c r="J118" s="16" t="inlineStr">
        <is>
          <t>BAJWA</t>
        </is>
      </c>
      <c r="K118" s="16" t="inlineStr">
        <is>
          <t>R</t>
        </is>
      </c>
      <c r="L118" s="16" t="inlineStr">
        <is>
          <t>Valid</t>
        </is>
      </c>
      <c r="M118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9">
      <c r="A119" s="31" t="inlineStr">
        <is>
          <t>29 Jun</t>
        </is>
      </c>
      <c r="B119" s="31" t="inlineStr">
        <is>
          <t>37812</t>
        </is>
      </c>
      <c r="C119" s="31" t="inlineStr">
        <is>
          <t>StandBy</t>
        </is>
      </c>
      <c r="D119" s="31" t="inlineStr">
        <is>
          <t>SR</t>
        </is>
      </c>
      <c r="E119" s="31" t="inlineStr">
        <is>
          <t>23:39:34</t>
        </is>
      </c>
      <c r="F119" s="31" t="inlineStr">
        <is>
          <t>23:44:50</t>
        </is>
      </c>
      <c r="G119" s="31" t="n">
        <v>316</v>
      </c>
      <c r="H119" s="31" t="n">
        <v>105</v>
      </c>
      <c r="I119" s="32" t="n">
        <v>395.16</v>
      </c>
      <c r="J119" s="31" t="inlineStr">
        <is>
          <t>BAJWA</t>
        </is>
      </c>
      <c r="K119" s="31" t="inlineStr">
        <is>
          <t>R</t>
        </is>
      </c>
      <c r="L119" s="31" t="inlineStr">
        <is>
          <t>Non-Valid</t>
        </is>
      </c>
      <c r="M119" s="16" t="inlineStr">
        <is>
          <t>BAJWA, RANOLI, LC-246, VASAD, ADAS ROAD, VADOD, LC-258, ANAND Jn, LC-264, KANJARI BORIYAVI, UTARSANDA</t>
        </is>
      </c>
    </row>
    <row r="120">
      <c r="A120" s="16" t="inlineStr">
        <is>
          <t>29 Jun</t>
        </is>
      </c>
      <c r="B120" s="16" t="inlineStr">
        <is>
          <t>39487</t>
        </is>
      </c>
      <c r="C120" s="16" t="inlineStr">
        <is>
          <t>FS</t>
        </is>
      </c>
      <c r="D120" s="16" t="inlineStr">
        <is>
          <t>LS</t>
        </is>
      </c>
      <c r="E120" s="16" t="inlineStr">
        <is>
          <t>23:40:46</t>
        </is>
      </c>
      <c r="F120" s="16" t="inlineStr">
        <is>
          <t>23:41:10</t>
        </is>
      </c>
      <c r="G120" s="16" t="n">
        <v>24</v>
      </c>
      <c r="H120" s="16" t="n">
        <v>14</v>
      </c>
      <c r="I120" s="35" t="n">
        <v>478.02</v>
      </c>
      <c r="J120" s="16" t="inlineStr">
        <is>
          <t>BAREJADI NANDEJ</t>
        </is>
      </c>
      <c r="K120" s="16" t="inlineStr">
        <is>
          <t>R</t>
        </is>
      </c>
      <c r="L120" s="16" t="inlineStr">
        <is>
          <t>Valid</t>
        </is>
      </c>
      <c r="M120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1">
      <c r="A121" s="16" t="inlineStr">
        <is>
          <t>29 Jun</t>
        </is>
      </c>
      <c r="B121" s="16" t="inlineStr">
        <is>
          <t>39487</t>
        </is>
      </c>
      <c r="C121" s="16" t="inlineStr">
        <is>
          <t>LS</t>
        </is>
      </c>
      <c r="D121" s="16" t="inlineStr">
        <is>
          <t>SR</t>
        </is>
      </c>
      <c r="E121" s="16" t="inlineStr">
        <is>
          <t>23:41:12</t>
        </is>
      </c>
      <c r="F121" s="16" t="inlineStr">
        <is>
          <t>23:42:20</t>
        </is>
      </c>
      <c r="G121" s="16" t="n">
        <v>68</v>
      </c>
      <c r="H121" s="16" t="n">
        <v>42</v>
      </c>
      <c r="I121" s="35" t="n">
        <v>477.2</v>
      </c>
      <c r="J121" s="16" t="inlineStr">
        <is>
          <t>BAREJADI NANDEJ</t>
        </is>
      </c>
      <c r="K121" s="16" t="inlineStr">
        <is>
          <t>R</t>
        </is>
      </c>
      <c r="L121" s="16" t="inlineStr">
        <is>
          <t>Valid</t>
        </is>
      </c>
      <c r="M121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2">
      <c r="A122" s="16" t="inlineStr">
        <is>
          <t>29 Jun</t>
        </is>
      </c>
      <c r="B122" s="16" t="inlineStr">
        <is>
          <t>30484</t>
        </is>
      </c>
      <c r="C122" s="16" t="inlineStr">
        <is>
          <t>FS</t>
        </is>
      </c>
      <c r="D122" s="16" t="inlineStr">
        <is>
          <t>SR</t>
        </is>
      </c>
      <c r="E122" s="16" t="inlineStr">
        <is>
          <t>23:48:24</t>
        </is>
      </c>
      <c r="F122" s="16" t="inlineStr">
        <is>
          <t>23:59:58</t>
        </is>
      </c>
      <c r="G122" s="16" t="n">
        <v>694</v>
      </c>
      <c r="H122" s="16" t="n">
        <v>501</v>
      </c>
      <c r="I122" s="35" t="n">
        <v>403.28</v>
      </c>
      <c r="J122" s="16" t="inlineStr">
        <is>
          <t>BAJWA</t>
        </is>
      </c>
      <c r="K122" s="16" t="inlineStr">
        <is>
          <t>R</t>
        </is>
      </c>
      <c r="L122" s="16" t="inlineStr">
        <is>
          <t>Valid</t>
        </is>
      </c>
      <c r="M122" s="16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400398 - 494312  (24000_ADI - 24223 (WR03, BRC excluded)).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23)</t>
        </is>
      </c>
      <c r="M4" s="14" t="inlineStr">
        <is>
          <t>Stations Not Passed (if &lt; full trip)</t>
        </is>
      </c>
    </row>
    <row r="5">
      <c r="A5" s="16" t="inlineStr">
        <is>
          <t>29 Jun</t>
        </is>
      </c>
      <c r="B5" s="16" t="inlineStr">
        <is>
          <t>30154</t>
        </is>
      </c>
      <c r="C5" s="16" t="n">
        <v>5887</v>
      </c>
      <c r="D5" s="16" t="n">
        <v>5887</v>
      </c>
      <c r="E5" s="16" t="n">
        <v>4925</v>
      </c>
      <c r="F5" s="38" t="n">
        <v>368161</v>
      </c>
      <c r="G5" s="38" t="n">
        <v>495690</v>
      </c>
      <c r="H5" s="38" t="n">
        <v>400398</v>
      </c>
      <c r="I5" s="38" t="n">
        <v>494308</v>
      </c>
      <c r="J5" s="19">
        <f>(I5-H5)/1000</f>
        <v/>
      </c>
      <c r="K5" s="16" t="inlineStr">
        <is>
          <t>Yes</t>
        </is>
      </c>
      <c r="L5" s="16" t="n">
        <v>23</v>
      </c>
      <c r="M5" s="39" t="inlineStr">
        <is>
          <t>- (full trip)</t>
        </is>
      </c>
    </row>
    <row r="6">
      <c r="A6" s="16" t="inlineStr">
        <is>
          <t>29 Jun</t>
        </is>
      </c>
      <c r="B6" s="16" t="inlineStr">
        <is>
          <t>30314</t>
        </is>
      </c>
      <c r="C6" s="16" t="n">
        <v>5266</v>
      </c>
      <c r="D6" s="16" t="n">
        <v>5266</v>
      </c>
      <c r="E6" s="16" t="n">
        <v>4228</v>
      </c>
      <c r="F6" s="38" t="n">
        <v>375069</v>
      </c>
      <c r="G6" s="38" t="n">
        <v>495010</v>
      </c>
      <c r="H6" s="38" t="n">
        <v>400402</v>
      </c>
      <c r="I6" s="38" t="n">
        <v>494312</v>
      </c>
      <c r="J6" s="19">
        <f>(I6-H6)/1000</f>
        <v/>
      </c>
      <c r="K6" s="16" t="inlineStr">
        <is>
          <t>Yes</t>
        </is>
      </c>
      <c r="L6" s="16" t="n">
        <v>23</v>
      </c>
      <c r="M6" s="39" t="inlineStr">
        <is>
          <t>- (full trip)</t>
        </is>
      </c>
    </row>
    <row r="7">
      <c r="A7" s="16" t="inlineStr">
        <is>
          <t>29 Jun</t>
        </is>
      </c>
      <c r="B7" s="16" t="inlineStr">
        <is>
          <t>30484</t>
        </is>
      </c>
      <c r="C7" s="16" t="n">
        <v>5323</v>
      </c>
      <c r="D7" s="16" t="n">
        <v>5323</v>
      </c>
      <c r="E7" s="16" t="n">
        <v>4853</v>
      </c>
      <c r="F7" s="38" t="n">
        <v>398571</v>
      </c>
      <c r="G7" s="38" t="n">
        <v>494896</v>
      </c>
      <c r="H7" s="38" t="n">
        <v>400401</v>
      </c>
      <c r="I7" s="38" t="n">
        <v>494310</v>
      </c>
      <c r="J7" s="19">
        <f>(I7-H7)/1000</f>
        <v/>
      </c>
      <c r="K7" s="16" t="inlineStr">
        <is>
          <t>Yes</t>
        </is>
      </c>
      <c r="L7" s="16" t="n">
        <v>23</v>
      </c>
      <c r="M7" s="39" t="inlineStr">
        <is>
          <t>- (full trip)</t>
        </is>
      </c>
    </row>
    <row r="8">
      <c r="A8" s="16" t="inlineStr">
        <is>
          <t>29 Jun</t>
        </is>
      </c>
      <c r="B8" s="16" t="inlineStr">
        <is>
          <t>37569</t>
        </is>
      </c>
      <c r="C8" s="16" t="n">
        <v>7986</v>
      </c>
      <c r="D8" s="16" t="n">
        <v>7986</v>
      </c>
      <c r="E8" s="16" t="n">
        <v>6777</v>
      </c>
      <c r="F8" s="38" t="n">
        <v>369950</v>
      </c>
      <c r="G8" s="38" t="n">
        <v>495792</v>
      </c>
      <c r="H8" s="38" t="n">
        <v>400404</v>
      </c>
      <c r="I8" s="38" t="n">
        <v>494311</v>
      </c>
      <c r="J8" s="19">
        <f>(I8-H8)/1000</f>
        <v/>
      </c>
      <c r="K8" s="16" t="inlineStr">
        <is>
          <t>Yes</t>
        </is>
      </c>
      <c r="L8" s="16" t="n">
        <v>23</v>
      </c>
      <c r="M8" s="39" t="inlineStr">
        <is>
          <t>- (full trip)</t>
        </is>
      </c>
    </row>
    <row r="9">
      <c r="A9" s="16" t="inlineStr">
        <is>
          <t>29 Jun</t>
        </is>
      </c>
      <c r="B9" s="16" t="inlineStr">
        <is>
          <t>39015</t>
        </is>
      </c>
      <c r="C9" s="16" t="n">
        <v>9983</v>
      </c>
      <c r="D9" s="16" t="n">
        <v>9983</v>
      </c>
      <c r="E9" s="16" t="n">
        <v>7880</v>
      </c>
      <c r="F9" s="38" t="n">
        <v>361606</v>
      </c>
      <c r="G9" s="38" t="n">
        <v>495802</v>
      </c>
      <c r="H9" s="38" t="n">
        <v>400402</v>
      </c>
      <c r="I9" s="38" t="n">
        <v>494308</v>
      </c>
      <c r="J9" s="19">
        <f>(I9-H9)/1000</f>
        <v/>
      </c>
      <c r="K9" s="16" t="inlineStr">
        <is>
          <t>Yes</t>
        </is>
      </c>
      <c r="L9" s="16" t="n">
        <v>23</v>
      </c>
      <c r="M9" s="39" t="inlineStr">
        <is>
          <t>- (full trip)</t>
        </is>
      </c>
    </row>
    <row r="10">
      <c r="A10" s="16" t="inlineStr">
        <is>
          <t>29 Jun</t>
        </is>
      </c>
      <c r="B10" s="16" t="inlineStr">
        <is>
          <t>39259</t>
        </is>
      </c>
      <c r="C10" s="16" t="n">
        <v>3606</v>
      </c>
      <c r="D10" s="16" t="n">
        <v>3486</v>
      </c>
      <c r="E10" s="16" t="n">
        <v>2430</v>
      </c>
      <c r="F10" s="38" t="n">
        <v>367766</v>
      </c>
      <c r="G10" s="38" t="n">
        <v>494949</v>
      </c>
      <c r="H10" s="38" t="n">
        <v>400402</v>
      </c>
      <c r="I10" s="38" t="n">
        <v>494311</v>
      </c>
      <c r="J10" s="19">
        <f>(I10-H10)/1000</f>
        <v/>
      </c>
      <c r="K10" s="16" t="inlineStr">
        <is>
          <t>Yes</t>
        </is>
      </c>
      <c r="L10" s="16" t="n">
        <v>23</v>
      </c>
      <c r="M10" s="39" t="inlineStr">
        <is>
          <t>- (full trip)</t>
        </is>
      </c>
    </row>
    <row r="11">
      <c r="A11" s="16" t="inlineStr">
        <is>
          <t>29 Jun</t>
        </is>
      </c>
      <c r="B11" s="16" t="inlineStr">
        <is>
          <t>37086</t>
        </is>
      </c>
      <c r="C11" s="16" t="n">
        <v>9771</v>
      </c>
      <c r="D11" s="16" t="n">
        <v>9771</v>
      </c>
      <c r="E11" s="16" t="n">
        <v>8054</v>
      </c>
      <c r="F11" s="38" t="n">
        <v>360662</v>
      </c>
      <c r="G11" s="38" t="n">
        <v>495779</v>
      </c>
      <c r="H11" s="38" t="n">
        <v>400409</v>
      </c>
      <c r="I11" s="38" t="n">
        <v>494312</v>
      </c>
      <c r="J11" s="19">
        <f>(I11-H11)/1000</f>
        <v/>
      </c>
      <c r="K11" s="16" t="inlineStr">
        <is>
          <t>Yes</t>
        </is>
      </c>
      <c r="L11" s="16" t="n">
        <v>23</v>
      </c>
      <c r="M11" s="39" t="inlineStr">
        <is>
          <t>- (full trip)</t>
        </is>
      </c>
    </row>
    <row r="12">
      <c r="A12" s="16" t="inlineStr">
        <is>
          <t>29 Jun</t>
        </is>
      </c>
      <c r="B12" s="16" t="inlineStr">
        <is>
          <t>37286</t>
        </is>
      </c>
      <c r="C12" s="16" t="n">
        <v>10165</v>
      </c>
      <c r="D12" s="16" t="n">
        <v>10165</v>
      </c>
      <c r="E12" s="16" t="n">
        <v>8556</v>
      </c>
      <c r="F12" s="38" t="n">
        <v>374197</v>
      </c>
      <c r="G12" s="38" t="n">
        <v>495710</v>
      </c>
      <c r="H12" s="38" t="n">
        <v>400413</v>
      </c>
      <c r="I12" s="38" t="n">
        <v>494312</v>
      </c>
      <c r="J12" s="19">
        <f>(I12-H12)/1000</f>
        <v/>
      </c>
      <c r="K12" s="16" t="inlineStr">
        <is>
          <t>Yes</t>
        </is>
      </c>
      <c r="L12" s="16" t="n">
        <v>23</v>
      </c>
      <c r="M12" s="39" t="inlineStr">
        <is>
          <t>- (full trip)</t>
        </is>
      </c>
    </row>
    <row r="13">
      <c r="A13" s="16" t="inlineStr">
        <is>
          <t>29 Jun</t>
        </is>
      </c>
      <c r="B13" s="16" t="inlineStr">
        <is>
          <t>37504</t>
        </is>
      </c>
      <c r="C13" s="16" t="n">
        <v>5223</v>
      </c>
      <c r="D13" s="16" t="n">
        <v>5223</v>
      </c>
      <c r="E13" s="16" t="n">
        <v>4229</v>
      </c>
      <c r="F13" s="38" t="n">
        <v>381856</v>
      </c>
      <c r="G13" s="38" t="n">
        <v>494977</v>
      </c>
      <c r="H13" s="38" t="n">
        <v>400413</v>
      </c>
      <c r="I13" s="38" t="n">
        <v>494312</v>
      </c>
      <c r="J13" s="19">
        <f>(I13-H13)/1000</f>
        <v/>
      </c>
      <c r="K13" s="16" t="inlineStr">
        <is>
          <t>Yes</t>
        </is>
      </c>
      <c r="L13" s="16" t="n">
        <v>23</v>
      </c>
      <c r="M13" s="39" t="inlineStr">
        <is>
          <t>- (full trip)</t>
        </is>
      </c>
    </row>
    <row r="14">
      <c r="A14" s="16" t="inlineStr">
        <is>
          <t>29 Jun</t>
        </is>
      </c>
      <c r="B14" s="16" t="inlineStr">
        <is>
          <t>37684</t>
        </is>
      </c>
      <c r="C14" s="16" t="n">
        <v>3756</v>
      </c>
      <c r="D14" s="16" t="n">
        <v>3756</v>
      </c>
      <c r="E14" s="16" t="n">
        <v>2894</v>
      </c>
      <c r="F14" s="38" t="n">
        <v>363462</v>
      </c>
      <c r="G14" s="38" t="n">
        <v>494967</v>
      </c>
      <c r="H14" s="38" t="n">
        <v>400413</v>
      </c>
      <c r="I14" s="38" t="n">
        <v>494311</v>
      </c>
      <c r="J14" s="19">
        <f>(I14-H14)/1000</f>
        <v/>
      </c>
      <c r="K14" s="16" t="inlineStr">
        <is>
          <t>Yes</t>
        </is>
      </c>
      <c r="L14" s="16" t="n">
        <v>23</v>
      </c>
      <c r="M14" s="39" t="inlineStr">
        <is>
          <t>- (full trip)</t>
        </is>
      </c>
    </row>
    <row r="15">
      <c r="A15" s="16" t="inlineStr">
        <is>
          <t>29 Jun</t>
        </is>
      </c>
      <c r="B15" s="16" t="inlineStr">
        <is>
          <t>39214</t>
        </is>
      </c>
      <c r="C15" s="16" t="n">
        <v>5590</v>
      </c>
      <c r="D15" s="16" t="n">
        <v>5568</v>
      </c>
      <c r="E15" s="16" t="n">
        <v>4737</v>
      </c>
      <c r="F15" s="38" t="n">
        <v>371059</v>
      </c>
      <c r="G15" s="38" t="n">
        <v>494965</v>
      </c>
      <c r="H15" s="38" t="n">
        <v>400408</v>
      </c>
      <c r="I15" s="38" t="n">
        <v>494312</v>
      </c>
      <c r="J15" s="19">
        <f>(I15-H15)/1000</f>
        <v/>
      </c>
      <c r="K15" s="16" t="inlineStr">
        <is>
          <t>Yes</t>
        </is>
      </c>
      <c r="L15" s="16" t="n">
        <v>23</v>
      </c>
      <c r="M15" s="39" t="inlineStr">
        <is>
          <t>- (full trip)</t>
        </is>
      </c>
    </row>
    <row r="16">
      <c r="A16" s="16" t="inlineStr">
        <is>
          <t>29 Jun</t>
        </is>
      </c>
      <c r="B16" s="16" t="inlineStr">
        <is>
          <t>37164</t>
        </is>
      </c>
      <c r="C16" s="16" t="n">
        <v>4623</v>
      </c>
      <c r="D16" s="16" t="n">
        <v>4623</v>
      </c>
      <c r="E16" s="16" t="n">
        <v>3558</v>
      </c>
      <c r="F16" s="38" t="n">
        <v>370270</v>
      </c>
      <c r="G16" s="38" t="n">
        <v>495812</v>
      </c>
      <c r="H16" s="38" t="n">
        <v>400426</v>
      </c>
      <c r="I16" s="38" t="n">
        <v>494312</v>
      </c>
      <c r="J16" s="19">
        <f>(I16-H16)/1000</f>
        <v/>
      </c>
      <c r="K16" s="16" t="inlineStr">
        <is>
          <t>Yes</t>
        </is>
      </c>
      <c r="L16" s="16" t="n">
        <v>23</v>
      </c>
      <c r="M16" s="39" t="inlineStr">
        <is>
          <t>- (full trip)</t>
        </is>
      </c>
    </row>
    <row r="17">
      <c r="A17" s="16" t="inlineStr">
        <is>
          <t>29 Jun</t>
        </is>
      </c>
      <c r="B17" s="16" t="inlineStr">
        <is>
          <t>37352</t>
        </is>
      </c>
      <c r="C17" s="16" t="n">
        <v>5169</v>
      </c>
      <c r="D17" s="16" t="n">
        <v>5169</v>
      </c>
      <c r="E17" s="16" t="n">
        <v>4263</v>
      </c>
      <c r="F17" s="38" t="n">
        <v>363518</v>
      </c>
      <c r="G17" s="38" t="n">
        <v>495813</v>
      </c>
      <c r="H17" s="38" t="n">
        <v>400421</v>
      </c>
      <c r="I17" s="38" t="n">
        <v>494311</v>
      </c>
      <c r="J17" s="19">
        <f>(I17-H17)/1000</f>
        <v/>
      </c>
      <c r="K17" s="16" t="inlineStr">
        <is>
          <t>Yes</t>
        </is>
      </c>
      <c r="L17" s="16" t="n">
        <v>23</v>
      </c>
      <c r="M17" s="39" t="inlineStr">
        <is>
          <t>- (full trip)</t>
        </is>
      </c>
    </row>
    <row r="18">
      <c r="A18" s="16" t="inlineStr">
        <is>
          <t>29 Jun</t>
        </is>
      </c>
      <c r="B18" s="16" t="inlineStr">
        <is>
          <t>37396</t>
        </is>
      </c>
      <c r="C18" s="16" t="n">
        <v>6379</v>
      </c>
      <c r="D18" s="16" t="n">
        <v>6355</v>
      </c>
      <c r="E18" s="16" t="n">
        <v>5336</v>
      </c>
      <c r="F18" s="38" t="n">
        <v>380475</v>
      </c>
      <c r="G18" s="38" t="n">
        <v>494972</v>
      </c>
      <c r="H18" s="38" t="n">
        <v>400423</v>
      </c>
      <c r="I18" s="38" t="n">
        <v>494312</v>
      </c>
      <c r="J18" s="19">
        <f>(I18-H18)/1000</f>
        <v/>
      </c>
      <c r="K18" s="16" t="inlineStr">
        <is>
          <t>Yes</t>
        </is>
      </c>
      <c r="L18" s="16" t="n">
        <v>23</v>
      </c>
      <c r="M18" s="39" t="inlineStr">
        <is>
          <t>- (full trip)</t>
        </is>
      </c>
    </row>
    <row r="19">
      <c r="A19" s="16" t="inlineStr">
        <is>
          <t>29 Jun</t>
        </is>
      </c>
      <c r="B19" s="16" t="inlineStr">
        <is>
          <t>37884</t>
        </is>
      </c>
      <c r="C19" s="16" t="n">
        <v>5204</v>
      </c>
      <c r="D19" s="16" t="n">
        <v>5204</v>
      </c>
      <c r="E19" s="16" t="n">
        <v>4348</v>
      </c>
      <c r="F19" s="38" t="n">
        <v>361599</v>
      </c>
      <c r="G19" s="38" t="n">
        <v>495782</v>
      </c>
      <c r="H19" s="38" t="n">
        <v>400445</v>
      </c>
      <c r="I19" s="38" t="n">
        <v>494312</v>
      </c>
      <c r="J19" s="19">
        <f>(I19-H19)/1000</f>
        <v/>
      </c>
      <c r="K19" s="16" t="inlineStr">
        <is>
          <t>Yes</t>
        </is>
      </c>
      <c r="L19" s="16" t="n">
        <v>23</v>
      </c>
      <c r="M19" s="39" t="inlineStr">
        <is>
          <t>- (full trip)</t>
        </is>
      </c>
    </row>
    <row r="20">
      <c r="A20" s="16" t="inlineStr">
        <is>
          <t>29 Jun</t>
        </is>
      </c>
      <c r="B20" s="16" t="inlineStr">
        <is>
          <t>37792</t>
        </is>
      </c>
      <c r="C20" s="16" t="n">
        <v>4283</v>
      </c>
      <c r="D20" s="16" t="n">
        <v>4283</v>
      </c>
      <c r="E20" s="16" t="n">
        <v>3490</v>
      </c>
      <c r="F20" s="38" t="n">
        <v>363498</v>
      </c>
      <c r="G20" s="38" t="n">
        <v>494892</v>
      </c>
      <c r="H20" s="38" t="n">
        <v>400452</v>
      </c>
      <c r="I20" s="38" t="n">
        <v>494311</v>
      </c>
      <c r="J20" s="19">
        <f>(I20-H20)/1000</f>
        <v/>
      </c>
      <c r="K20" s="16" t="inlineStr">
        <is>
          <t>Yes</t>
        </is>
      </c>
      <c r="L20" s="16" t="n">
        <v>23</v>
      </c>
      <c r="M20" s="39" t="inlineStr">
        <is>
          <t>- (full trip)</t>
        </is>
      </c>
    </row>
    <row r="21">
      <c r="A21" s="16" t="inlineStr">
        <is>
          <t>29 Jun</t>
        </is>
      </c>
      <c r="B21" s="16" t="inlineStr">
        <is>
          <t>39257</t>
        </is>
      </c>
      <c r="C21" s="16" t="n">
        <v>6169</v>
      </c>
      <c r="D21" s="16" t="n">
        <v>6169</v>
      </c>
      <c r="E21" s="16" t="n">
        <v>5963</v>
      </c>
      <c r="F21" s="38" t="n">
        <v>400992</v>
      </c>
      <c r="G21" s="38" t="n">
        <v>494897</v>
      </c>
      <c r="H21" s="38" t="n">
        <v>400992</v>
      </c>
      <c r="I21" s="38" t="n">
        <v>494309</v>
      </c>
      <c r="J21" s="19">
        <f>(I21-H21)/1000</f>
        <v/>
      </c>
      <c r="K21" s="16" t="inlineStr">
        <is>
          <t>Yes</t>
        </is>
      </c>
      <c r="L21" s="16" t="n">
        <v>23</v>
      </c>
      <c r="M21" s="39" t="inlineStr">
        <is>
          <t>- (full trip)</t>
        </is>
      </c>
    </row>
    <row r="22">
      <c r="A22" s="16" t="inlineStr">
        <is>
          <t>29 Jun</t>
        </is>
      </c>
      <c r="B22" s="16" t="inlineStr">
        <is>
          <t>39487</t>
        </is>
      </c>
      <c r="C22" s="16" t="n">
        <v>9376</v>
      </c>
      <c r="D22" s="16" t="n">
        <v>9376</v>
      </c>
      <c r="E22" s="16" t="n">
        <v>8780</v>
      </c>
      <c r="F22" s="38" t="n">
        <v>400992</v>
      </c>
      <c r="G22" s="38" t="n">
        <v>495700</v>
      </c>
      <c r="H22" s="38" t="n">
        <v>400992</v>
      </c>
      <c r="I22" s="38" t="n">
        <v>494312</v>
      </c>
      <c r="J22" s="19">
        <f>(I22-H22)/1000</f>
        <v/>
      </c>
      <c r="K22" s="16" t="inlineStr">
        <is>
          <t>Yes</t>
        </is>
      </c>
      <c r="L22" s="16" t="n">
        <v>23</v>
      </c>
      <c r="M22" s="39" t="inlineStr">
        <is>
          <t>- (full trip)</t>
        </is>
      </c>
    </row>
    <row r="23">
      <c r="A23" s="16" t="inlineStr">
        <is>
          <t>29 Jun</t>
        </is>
      </c>
      <c r="B23" s="16" t="inlineStr">
        <is>
          <t>42322</t>
        </is>
      </c>
      <c r="C23" s="16" t="n">
        <v>7346</v>
      </c>
      <c r="D23" s="16" t="n">
        <v>7346</v>
      </c>
      <c r="E23" s="16" t="n">
        <v>7034</v>
      </c>
      <c r="F23" s="38" t="n">
        <v>400991</v>
      </c>
      <c r="G23" s="38" t="n">
        <v>495798</v>
      </c>
      <c r="H23" s="38" t="n">
        <v>400991</v>
      </c>
      <c r="I23" s="38" t="n">
        <v>494308</v>
      </c>
      <c r="J23" s="19">
        <f>(I23-H23)/1000</f>
        <v/>
      </c>
      <c r="K23" s="16" t="inlineStr">
        <is>
          <t>Yes</t>
        </is>
      </c>
      <c r="L23" s="16" t="n">
        <v>23</v>
      </c>
      <c r="M23" s="39" t="inlineStr">
        <is>
          <t>- (full trip)</t>
        </is>
      </c>
    </row>
    <row r="24">
      <c r="A24" s="16" t="inlineStr">
        <is>
          <t>29 Jun</t>
        </is>
      </c>
      <c r="B24" s="16" t="inlineStr">
        <is>
          <t>37039</t>
        </is>
      </c>
      <c r="C24" s="16" t="n">
        <v>6168</v>
      </c>
      <c r="D24" s="16" t="n">
        <v>6128</v>
      </c>
      <c r="E24" s="16" t="n">
        <v>5682</v>
      </c>
      <c r="F24" s="38" t="n">
        <v>400992</v>
      </c>
      <c r="G24" s="38" t="n">
        <v>495869</v>
      </c>
      <c r="H24" s="38" t="n">
        <v>400992</v>
      </c>
      <c r="I24" s="38" t="n">
        <v>494306</v>
      </c>
      <c r="J24" s="19">
        <f>(I24-H24)/1000</f>
        <v/>
      </c>
      <c r="K24" s="16" t="inlineStr">
        <is>
          <t>Yes</t>
        </is>
      </c>
      <c r="L24" s="16" t="n">
        <v>23</v>
      </c>
      <c r="M24" s="39" t="inlineStr">
        <is>
          <t>- (full trip)</t>
        </is>
      </c>
    </row>
    <row r="25">
      <c r="A25" s="16" t="inlineStr">
        <is>
          <t>29 Jun</t>
        </is>
      </c>
      <c r="B25" s="16" t="inlineStr">
        <is>
          <t>37655</t>
        </is>
      </c>
      <c r="C25" s="16" t="n">
        <v>7005</v>
      </c>
      <c r="D25" s="16" t="n">
        <v>7005</v>
      </c>
      <c r="E25" s="16" t="n">
        <v>6891</v>
      </c>
      <c r="F25" s="38" t="n">
        <v>403428</v>
      </c>
      <c r="G25" s="38" t="n">
        <v>494527</v>
      </c>
      <c r="H25" s="38" t="n">
        <v>403428</v>
      </c>
      <c r="I25" s="38" t="n">
        <v>494312</v>
      </c>
      <c r="J25" s="19">
        <f>(I25-H25)/1000</f>
        <v/>
      </c>
      <c r="K25" s="16" t="inlineStr">
        <is>
          <t>Yes</t>
        </is>
      </c>
      <c r="L25" s="16" t="n">
        <v>23</v>
      </c>
      <c r="M25" s="39" t="inlineStr">
        <is>
          <t>- (full trip)</t>
        </is>
      </c>
    </row>
    <row r="26">
      <c r="A26" s="16" t="inlineStr">
        <is>
          <t>29 Jun</t>
        </is>
      </c>
      <c r="B26" s="16" t="inlineStr">
        <is>
          <t>39096</t>
        </is>
      </c>
      <c r="C26" s="16" t="n">
        <v>3376</v>
      </c>
      <c r="D26" s="16" t="n">
        <v>3193</v>
      </c>
      <c r="E26" s="16" t="n">
        <v>2876</v>
      </c>
      <c r="F26" s="38" t="n">
        <v>367902</v>
      </c>
      <c r="G26" s="38" t="n">
        <v>494964</v>
      </c>
      <c r="H26" s="38" t="n">
        <v>430910</v>
      </c>
      <c r="I26" s="38" t="n">
        <v>494311</v>
      </c>
      <c r="J26" s="19">
        <f>(I26-H26)/1000</f>
        <v/>
      </c>
      <c r="K26" s="16" t="inlineStr">
        <is>
          <t>Yes</t>
        </is>
      </c>
      <c r="L26" s="16" t="n">
        <v>16</v>
      </c>
      <c r="M26" s="39" t="inlineStr">
        <is>
          <t>BAJWA, RANOLI, LC-246, VASAD, ADAS ROAD, VADOD, LC-258</t>
        </is>
      </c>
    </row>
    <row r="27" ht="49" customHeight="1">
      <c r="A27" s="16" t="inlineStr">
        <is>
          <t>29 Jun</t>
        </is>
      </c>
      <c r="B27" s="16" t="inlineStr">
        <is>
          <t>37388</t>
        </is>
      </c>
      <c r="C27" s="16" t="n">
        <v>2653</v>
      </c>
      <c r="D27" s="16" t="n">
        <v>2640</v>
      </c>
      <c r="E27" s="16" t="n">
        <v>2130</v>
      </c>
      <c r="F27" s="38" t="n">
        <v>393222</v>
      </c>
      <c r="G27" s="38" t="n">
        <v>453366</v>
      </c>
      <c r="H27" s="38" t="n">
        <v>400403</v>
      </c>
      <c r="I27" s="38" t="n">
        <v>453366</v>
      </c>
      <c r="J27" s="19">
        <f>(I27-H27)/1000</f>
        <v/>
      </c>
      <c r="K27" s="16" t="inlineStr">
        <is>
          <t>Yes</t>
        </is>
      </c>
      <c r="L27" s="16" t="n">
        <v>12</v>
      </c>
      <c r="M27" s="39" t="inlineStr">
        <is>
          <t>LC-278, GOTHAJ, LC-286, MAHEMDABAD AND KHEDA ROAD, LC-294, KANIJ, BAREJADI NANDEJ, GERATPUR, VATVA, KANKARIYA CABIN, AHMEDABAD Jn</t>
        </is>
      </c>
    </row>
    <row r="28" ht="49" customHeight="1">
      <c r="A28" s="16" t="inlineStr">
        <is>
          <t>29 Jun</t>
        </is>
      </c>
      <c r="B28" s="16" t="inlineStr">
        <is>
          <t>37303</t>
        </is>
      </c>
      <c r="C28" s="16" t="n">
        <v>4163</v>
      </c>
      <c r="D28" s="16" t="n">
        <v>4163</v>
      </c>
      <c r="E28" s="16" t="n">
        <v>2665</v>
      </c>
      <c r="F28" s="38" t="n">
        <v>375053</v>
      </c>
      <c r="G28" s="38" t="n">
        <v>451804</v>
      </c>
      <c r="H28" s="38" t="n">
        <v>400400</v>
      </c>
      <c r="I28" s="38" t="n">
        <v>451804</v>
      </c>
      <c r="J28" s="19">
        <f>(I28-H28)/1000</f>
        <v/>
      </c>
      <c r="K28" s="16" t="inlineStr">
        <is>
          <t>Yes</t>
        </is>
      </c>
      <c r="L28" s="16" t="n">
        <v>12</v>
      </c>
      <c r="M28" s="39" t="inlineStr">
        <is>
          <t>LC-278, GOTHAJ, LC-286, MAHEMDABAD AND KHEDA ROAD, LC-294, KANIJ, BAREJADI NANDEJ, GERATPUR, VATVA, KANKARIYA CABIN, AHMEDABAD Jn</t>
        </is>
      </c>
    </row>
    <row r="29" ht="34" customHeight="1">
      <c r="A29" s="16" t="inlineStr">
        <is>
          <t>29 Jun</t>
        </is>
      </c>
      <c r="B29" s="16" t="inlineStr">
        <is>
          <t>30480</t>
        </is>
      </c>
      <c r="C29" s="16" t="n">
        <v>2793</v>
      </c>
      <c r="D29" s="16" t="n">
        <v>2793</v>
      </c>
      <c r="E29" s="16" t="n">
        <v>2538</v>
      </c>
      <c r="F29" s="38" t="n">
        <v>444728</v>
      </c>
      <c r="G29" s="38" t="n">
        <v>494982</v>
      </c>
      <c r="H29" s="38" t="n">
        <v>444728</v>
      </c>
      <c r="I29" s="38" t="n">
        <v>494311</v>
      </c>
      <c r="J29" s="19">
        <f>(I29-H29)/1000</f>
        <v/>
      </c>
      <c r="K29" s="16" t="inlineStr">
        <is>
          <t>Yes</t>
        </is>
      </c>
      <c r="L29" s="16" t="n">
        <v>13</v>
      </c>
      <c r="M29" s="39" t="inlineStr">
        <is>
          <t>BAJWA, RANOLI, LC-246, VASAD, ADAS ROAD, VADOD, LC-258, ANAND Jn, LC-264, KANJARI BORIYAVI</t>
        </is>
      </c>
    </row>
    <row r="30" ht="49" customHeight="1">
      <c r="A30" s="16" t="inlineStr">
        <is>
          <t>29 Jun</t>
        </is>
      </c>
      <c r="B30" s="16" t="inlineStr">
        <is>
          <t>45027</t>
        </is>
      </c>
      <c r="C30" s="16" t="n">
        <v>3545</v>
      </c>
      <c r="D30" s="16" t="n">
        <v>3545</v>
      </c>
      <c r="E30" s="16" t="n">
        <v>3545</v>
      </c>
      <c r="F30" s="38" t="n">
        <v>400976</v>
      </c>
      <c r="G30" s="38" t="n">
        <v>449559</v>
      </c>
      <c r="H30" s="38" t="n">
        <v>400976</v>
      </c>
      <c r="I30" s="38" t="n">
        <v>449559</v>
      </c>
      <c r="J30" s="19">
        <f>(I30-H30)/1000</f>
        <v/>
      </c>
      <c r="K30" s="16" t="inlineStr">
        <is>
          <t>Yes</t>
        </is>
      </c>
      <c r="L30" s="16" t="n">
        <v>12</v>
      </c>
      <c r="M30" s="39" t="inlineStr">
        <is>
          <t>LC-278, GOTHAJ, LC-286, MAHEMDABAD AND KHEDA ROAD, LC-294, KANIJ, BAREJADI NANDEJ, GERATPUR, VATVA, KANKARIYA CABIN, AHMEDABAD Jn</t>
        </is>
      </c>
    </row>
    <row r="31" ht="49" customHeight="1">
      <c r="A31" s="16" t="inlineStr">
        <is>
          <t>29 Jun</t>
        </is>
      </c>
      <c r="B31" s="16" t="inlineStr">
        <is>
          <t>39176</t>
        </is>
      </c>
      <c r="C31" s="16" t="n">
        <v>1948</v>
      </c>
      <c r="D31" s="16" t="n">
        <v>1948</v>
      </c>
      <c r="E31" s="16" t="n">
        <v>920</v>
      </c>
      <c r="F31" s="38" t="n">
        <v>371385</v>
      </c>
      <c r="G31" s="38" t="n">
        <v>443635</v>
      </c>
      <c r="H31" s="38" t="n">
        <v>400498</v>
      </c>
      <c r="I31" s="38" t="n">
        <v>443635</v>
      </c>
      <c r="J31" s="19">
        <f>(I31-H31)/1000</f>
        <v/>
      </c>
      <c r="K31" s="16" t="inlineStr">
        <is>
          <t>Yes</t>
        </is>
      </c>
      <c r="L31" s="16" t="n">
        <v>11</v>
      </c>
      <c r="M31" s="39" t="inlineStr">
        <is>
          <t>NADIAD, LC-278, GOTHAJ, LC-286, MAHEMDABAD AND KHEDA ROAD, LC-294, KANIJ, BAREJADI NANDEJ, GERATPUR, VATVA, KANKARIYA CABIN, AHMEDABAD Jn</t>
        </is>
      </c>
    </row>
    <row r="32" ht="49" customHeight="1">
      <c r="A32" s="16" t="inlineStr">
        <is>
          <t>29 Jun</t>
        </is>
      </c>
      <c r="B32" s="16" t="inlineStr">
        <is>
          <t>30606</t>
        </is>
      </c>
      <c r="C32" s="16" t="n">
        <v>2560</v>
      </c>
      <c r="D32" s="16" t="n">
        <v>2560</v>
      </c>
      <c r="E32" s="16" t="n">
        <v>1672</v>
      </c>
      <c r="F32" s="38" t="n">
        <v>370978</v>
      </c>
      <c r="G32" s="38" t="n">
        <v>442217</v>
      </c>
      <c r="H32" s="38" t="n">
        <v>400425</v>
      </c>
      <c r="I32" s="38" t="n">
        <v>442217</v>
      </c>
      <c r="J32" s="19">
        <f>(I32-H32)/1000</f>
        <v/>
      </c>
      <c r="K32" s="16" t="inlineStr">
        <is>
          <t>Yes</t>
        </is>
      </c>
      <c r="L32" s="16" t="n">
        <v>11</v>
      </c>
      <c r="M32" s="39" t="inlineStr">
        <is>
          <t>NADIAD, LC-278, GOTHAJ, LC-286, MAHEMDABAD AND KHEDA ROAD, LC-294, KANIJ, BAREJADI NANDEJ, GERATPUR, VATVA, KANKARIYA CABIN, AHMEDABAD Jn</t>
        </is>
      </c>
    </row>
    <row r="33" ht="49" customHeight="1">
      <c r="A33" s="16" t="inlineStr">
        <is>
          <t>29 Jun</t>
        </is>
      </c>
      <c r="B33" s="16" t="inlineStr">
        <is>
          <t>37812</t>
        </is>
      </c>
      <c r="C33" s="16" t="n">
        <v>1484</v>
      </c>
      <c r="D33" s="16" t="n">
        <v>1484</v>
      </c>
      <c r="E33" s="16" t="n">
        <v>918</v>
      </c>
      <c r="F33" s="38" t="n">
        <v>375041</v>
      </c>
      <c r="G33" s="38" t="n">
        <v>441575</v>
      </c>
      <c r="H33" s="38" t="n">
        <v>400434</v>
      </c>
      <c r="I33" s="38" t="n">
        <v>441575</v>
      </c>
      <c r="J33" s="19">
        <f>(I33-H33)/1000</f>
        <v/>
      </c>
      <c r="K33" s="16" t="inlineStr">
        <is>
          <t>Yes</t>
        </is>
      </c>
      <c r="L33" s="16" t="n">
        <v>11</v>
      </c>
      <c r="M33" s="39" t="inlineStr">
        <is>
          <t>NADIAD, LC-278, GOTHAJ, LC-286, MAHEMDABAD AND KHEDA ROAD, LC-294, KANIJ, BAREJADI NANDEJ, GERATPUR, VATVA, KANKARIYA CABIN, AHMEDABAD Jn</t>
        </is>
      </c>
    </row>
    <row r="34" ht="49" customHeight="1">
      <c r="A34" s="16" t="inlineStr">
        <is>
          <t>29 Jun</t>
        </is>
      </c>
      <c r="B34" s="16" t="inlineStr">
        <is>
          <t>37163</t>
        </is>
      </c>
      <c r="C34" s="16" t="n">
        <v>2250</v>
      </c>
      <c r="D34" s="16" t="n">
        <v>2250</v>
      </c>
      <c r="E34" s="16" t="n">
        <v>1037</v>
      </c>
      <c r="F34" s="38" t="n">
        <v>361475</v>
      </c>
      <c r="G34" s="38" t="n">
        <v>440969</v>
      </c>
      <c r="H34" s="38" t="n">
        <v>400401</v>
      </c>
      <c r="I34" s="38" t="n">
        <v>440969</v>
      </c>
      <c r="J34" s="19">
        <f>(I34-H34)/1000</f>
        <v/>
      </c>
      <c r="K34" s="16" t="inlineStr">
        <is>
          <t>Yes</t>
        </is>
      </c>
      <c r="L34" s="16" t="n">
        <v>10</v>
      </c>
      <c r="M34" s="39" t="inlineStr">
        <is>
          <t>UTARSANDA, NADIAD, LC-278, GOTHAJ, LC-286, MAHEMDABAD AND KHEDA ROAD, LC-294, KANIJ, BAREJADI NANDEJ, GERATPUR, VATVA, KANKARIYA CABIN, AHMEDABAD Jn</t>
        </is>
      </c>
    </row>
    <row r="35" ht="49" customHeight="1">
      <c r="A35" s="16" t="inlineStr">
        <is>
          <t>29 Jun</t>
        </is>
      </c>
      <c r="B35" s="16" t="inlineStr">
        <is>
          <t>37947</t>
        </is>
      </c>
      <c r="C35" s="16" t="n">
        <v>1297</v>
      </c>
      <c r="D35" s="16" t="n">
        <v>1297</v>
      </c>
      <c r="E35" s="16" t="n">
        <v>877</v>
      </c>
      <c r="F35" s="38" t="n">
        <v>370244</v>
      </c>
      <c r="G35" s="38" t="n">
        <v>440984</v>
      </c>
      <c r="H35" s="38" t="n">
        <v>400410</v>
      </c>
      <c r="I35" s="38" t="n">
        <v>440984</v>
      </c>
      <c r="J35" s="19">
        <f>(I35-H35)/1000</f>
        <v/>
      </c>
      <c r="K35" s="16" t="inlineStr">
        <is>
          <t>Yes</t>
        </is>
      </c>
      <c r="L35" s="16" t="n">
        <v>10</v>
      </c>
      <c r="M35" s="39" t="inlineStr">
        <is>
          <t>UTARSANDA, NADIAD, LC-278, GOTHAJ, LC-286, MAHEMDABAD AND KHEDA ROAD, LC-294, KANIJ, BAREJADI NANDEJ, GERATPUR, VATVA, KANKARIYA CABIN, AHMEDABAD Jn</t>
        </is>
      </c>
    </row>
    <row r="36" ht="49" customHeight="1">
      <c r="A36" s="16" t="inlineStr">
        <is>
          <t>29 Jun</t>
        </is>
      </c>
      <c r="B36" s="16" t="inlineStr">
        <is>
          <t>37397</t>
        </is>
      </c>
      <c r="C36" s="16" t="n">
        <v>1953</v>
      </c>
      <c r="D36" s="16" t="n">
        <v>1953</v>
      </c>
      <c r="E36" s="16" t="n">
        <v>899</v>
      </c>
      <c r="F36" s="38" t="n">
        <v>367850</v>
      </c>
      <c r="G36" s="38" t="n">
        <v>440630</v>
      </c>
      <c r="H36" s="38" t="n">
        <v>400477</v>
      </c>
      <c r="I36" s="38" t="n">
        <v>440630</v>
      </c>
      <c r="J36" s="19">
        <f>(I36-H36)/1000</f>
        <v/>
      </c>
      <c r="K36" s="16" t="inlineStr">
        <is>
          <t>Yes</t>
        </is>
      </c>
      <c r="L36" s="16" t="n">
        <v>10</v>
      </c>
      <c r="M36" s="39" t="inlineStr">
        <is>
          <t>UTARSANDA, NADIAD, LC-278, GOTHAJ, LC-286, MAHEMDABAD AND KHEDA ROAD, LC-294, KANIJ, BAREJADI NANDEJ, GERATPUR, VATVA, KANKARIYA CABIN, AHMEDABAD Jn</t>
        </is>
      </c>
    </row>
    <row r="37" ht="49" customHeight="1">
      <c r="A37" s="16" t="inlineStr">
        <is>
          <t>29 Jun</t>
        </is>
      </c>
      <c r="B37" s="16" t="inlineStr">
        <is>
          <t>37515</t>
        </is>
      </c>
      <c r="C37" s="16" t="n">
        <v>1496</v>
      </c>
      <c r="D37" s="16" t="n">
        <v>1496</v>
      </c>
      <c r="E37" s="16" t="n">
        <v>841</v>
      </c>
      <c r="F37" s="38" t="n">
        <v>370030</v>
      </c>
      <c r="G37" s="38" t="n">
        <v>438663</v>
      </c>
      <c r="H37" s="38" t="n">
        <v>400405</v>
      </c>
      <c r="I37" s="38" t="n">
        <v>438663</v>
      </c>
      <c r="J37" s="19">
        <f>(I37-H37)/1000</f>
        <v/>
      </c>
      <c r="K37" s="16" t="inlineStr">
        <is>
          <t>Yes</t>
        </is>
      </c>
      <c r="L37" s="16" t="n">
        <v>10</v>
      </c>
      <c r="M37" s="39" t="inlineStr">
        <is>
          <t>UTARSANDA, NADIAD, LC-278, GOTHAJ, LC-286, MAHEMDABAD AND KHEDA ROAD, LC-294, KANIJ, BAREJADI NANDEJ, GERATPUR, VATVA, KANKARIYA CABIN, AHMEDABAD Jn</t>
        </is>
      </c>
    </row>
    <row r="38" ht="49" customHeight="1">
      <c r="A38" s="16" t="inlineStr">
        <is>
          <t>29 Jun</t>
        </is>
      </c>
      <c r="B38" s="16" t="inlineStr">
        <is>
          <t>30767</t>
        </is>
      </c>
      <c r="C38" s="16" t="n">
        <v>3158</v>
      </c>
      <c r="D38" s="16" t="n">
        <v>3158</v>
      </c>
      <c r="E38" s="16" t="n">
        <v>2442</v>
      </c>
      <c r="F38" s="38" t="n">
        <v>361621</v>
      </c>
      <c r="G38" s="38" t="n">
        <v>437355</v>
      </c>
      <c r="H38" s="38" t="n">
        <v>400423</v>
      </c>
      <c r="I38" s="38" t="n">
        <v>437355</v>
      </c>
      <c r="J38" s="19">
        <f>(I38-H38)/1000</f>
        <v/>
      </c>
      <c r="K38" s="16" t="inlineStr">
        <is>
          <t>Yes</t>
        </is>
      </c>
      <c r="L38" s="16" t="n">
        <v>10</v>
      </c>
      <c r="M38" s="39" t="inlineStr">
        <is>
          <t>UTARSANDA, NADIAD, LC-278, GOTHAJ, LC-286, MAHEMDABAD AND KHEDA ROAD, LC-294, KANIJ, BAREJADI NANDEJ, GERATPUR, VATVA, KANKARIYA CABIN, AHMEDABAD Jn</t>
        </is>
      </c>
    </row>
    <row r="39" ht="49" customHeight="1">
      <c r="A39" s="16" t="inlineStr">
        <is>
          <t>29 Jun</t>
        </is>
      </c>
      <c r="B39" s="16" t="inlineStr">
        <is>
          <t>37131</t>
        </is>
      </c>
      <c r="C39" s="16" t="n">
        <v>1598</v>
      </c>
      <c r="D39" s="16" t="n">
        <v>1598</v>
      </c>
      <c r="E39" s="16" t="n">
        <v>849</v>
      </c>
      <c r="F39" s="38" t="n">
        <v>363352</v>
      </c>
      <c r="G39" s="38" t="n">
        <v>437320</v>
      </c>
      <c r="H39" s="38" t="n">
        <v>400400</v>
      </c>
      <c r="I39" s="38" t="n">
        <v>437320</v>
      </c>
      <c r="J39" s="19">
        <f>(I39-H39)/1000</f>
        <v/>
      </c>
      <c r="K39" s="16" t="inlineStr">
        <is>
          <t>Yes</t>
        </is>
      </c>
      <c r="L39" s="16" t="n">
        <v>10</v>
      </c>
      <c r="M39" s="39" t="inlineStr">
        <is>
          <t>UTARSANDA, NADIAD, LC-278, GOTHAJ, LC-286, MAHEMDABAD AND KHEDA ROAD, LC-294, KANIJ, BAREJADI NANDEJ, GERATPUR, VATVA, KANKARIYA CABIN, AHMEDABAD Jn</t>
        </is>
      </c>
    </row>
    <row r="40" ht="49" customHeight="1">
      <c r="A40" s="16" t="inlineStr">
        <is>
          <t>29 Jun</t>
        </is>
      </c>
      <c r="B40" s="16" t="inlineStr">
        <is>
          <t>37266</t>
        </is>
      </c>
      <c r="C40" s="16" t="n">
        <v>1431</v>
      </c>
      <c r="D40" s="16" t="n">
        <v>1431</v>
      </c>
      <c r="E40" s="16" t="n">
        <v>733</v>
      </c>
      <c r="F40" s="38" t="n">
        <v>380731</v>
      </c>
      <c r="G40" s="38" t="n">
        <v>437316</v>
      </c>
      <c r="H40" s="38" t="n">
        <v>400520</v>
      </c>
      <c r="I40" s="38" t="n">
        <v>437316</v>
      </c>
      <c r="J40" s="19">
        <f>(I40-H40)/1000</f>
        <v/>
      </c>
      <c r="K40" s="16" t="inlineStr">
        <is>
          <t>Yes</t>
        </is>
      </c>
      <c r="L40" s="16" t="n">
        <v>10</v>
      </c>
      <c r="M40" s="39" t="inlineStr">
        <is>
          <t>UTARSANDA, NADIAD, LC-278, GOTHAJ, LC-286, MAHEMDABAD AND KHEDA ROAD, LC-294, KANIJ, BAREJADI NANDEJ, GERATPUR, VATVA, KANKARIYA CABIN, AHMEDABAD Jn</t>
        </is>
      </c>
    </row>
    <row r="41" ht="49" customHeight="1">
      <c r="A41" s="16" t="inlineStr">
        <is>
          <t>29 Jun</t>
        </is>
      </c>
      <c r="B41" s="16" t="inlineStr">
        <is>
          <t>45035</t>
        </is>
      </c>
      <c r="C41" s="16" t="n">
        <v>1388</v>
      </c>
      <c r="D41" s="16" t="n">
        <v>1388</v>
      </c>
      <c r="E41" s="16" t="n">
        <v>706</v>
      </c>
      <c r="F41" s="38" t="n">
        <v>375231</v>
      </c>
      <c r="G41" s="38" t="n">
        <v>437296</v>
      </c>
      <c r="H41" s="38" t="n">
        <v>400552</v>
      </c>
      <c r="I41" s="38" t="n">
        <v>437296</v>
      </c>
      <c r="J41" s="19">
        <f>(I41-H41)/1000</f>
        <v/>
      </c>
      <c r="K41" s="16" t="inlineStr">
        <is>
          <t>Yes</t>
        </is>
      </c>
      <c r="L41" s="16" t="n">
        <v>10</v>
      </c>
      <c r="M41" s="39" t="inlineStr">
        <is>
          <t>UTARSANDA, NADIAD, LC-278, GOTHAJ, LC-286, MAHEMDABAD AND KHEDA ROAD, LC-294, KANIJ, BAREJADI NANDEJ, GERATPUR, VATVA, KANKARIYA CABIN, AHMEDABAD Jn</t>
        </is>
      </c>
    </row>
    <row r="42" ht="49" customHeight="1">
      <c r="A42" s="16" t="inlineStr">
        <is>
          <t>29 Jun</t>
        </is>
      </c>
      <c r="B42" s="16" t="inlineStr">
        <is>
          <t>37582</t>
        </is>
      </c>
      <c r="C42" s="16" t="n">
        <v>1465</v>
      </c>
      <c r="D42" s="16" t="n">
        <v>1465</v>
      </c>
      <c r="E42" s="16" t="n">
        <v>864</v>
      </c>
      <c r="F42" s="38" t="n">
        <v>381580</v>
      </c>
      <c r="G42" s="38" t="n">
        <v>437182</v>
      </c>
      <c r="H42" s="38" t="n">
        <v>400490</v>
      </c>
      <c r="I42" s="38" t="n">
        <v>437182</v>
      </c>
      <c r="J42" s="19">
        <f>(I42-H42)/1000</f>
        <v/>
      </c>
      <c r="K42" s="16" t="inlineStr">
        <is>
          <t>Yes</t>
        </is>
      </c>
      <c r="L42" s="16" t="n">
        <v>10</v>
      </c>
      <c r="M42" s="39" t="inlineStr">
        <is>
          <t>UTARSANDA, NADIAD, LC-278, GOTHAJ, LC-286, MAHEMDABAD AND KHEDA ROAD, LC-294, KANIJ, BAREJADI NANDEJ, GERATPUR, VATVA, KANKARIYA CABIN, AHMEDABAD Jn</t>
        </is>
      </c>
    </row>
    <row r="43" ht="49" customHeight="1">
      <c r="A43" s="16" t="inlineStr">
        <is>
          <t>29 Jun</t>
        </is>
      </c>
      <c r="B43" s="16" t="inlineStr">
        <is>
          <t>39027</t>
        </is>
      </c>
      <c r="C43" s="16" t="n">
        <v>2003</v>
      </c>
      <c r="D43" s="16" t="n">
        <v>2003</v>
      </c>
      <c r="E43" s="16" t="n">
        <v>1025</v>
      </c>
      <c r="F43" s="38" t="n">
        <v>363485</v>
      </c>
      <c r="G43" s="38" t="n">
        <v>436985</v>
      </c>
      <c r="H43" s="38" t="n">
        <v>400406</v>
      </c>
      <c r="I43" s="38" t="n">
        <v>436985</v>
      </c>
      <c r="J43" s="19">
        <f>(I43-H43)/1000</f>
        <v/>
      </c>
      <c r="K43" s="16" t="inlineStr">
        <is>
          <t>Yes</t>
        </is>
      </c>
      <c r="L43" s="16" t="n">
        <v>10</v>
      </c>
      <c r="M43" s="39" t="inlineStr">
        <is>
          <t>UTARSANDA, NADIAD, LC-278, GOTHAJ, LC-286, MAHEMDABAD AND KHEDA ROAD, LC-294, KANIJ, BAREJADI NANDEJ, GERATPUR, VATVA, KANKARIYA CABIN, AHMEDABAD Jn</t>
        </is>
      </c>
    </row>
    <row r="44" ht="49" customHeight="1">
      <c r="A44" s="16" t="inlineStr">
        <is>
          <t>29 Jun</t>
        </is>
      </c>
      <c r="B44" s="16" t="inlineStr">
        <is>
          <t>30460</t>
        </is>
      </c>
      <c r="C44" s="16" t="n">
        <v>1437</v>
      </c>
      <c r="D44" s="16" t="n">
        <v>1437</v>
      </c>
      <c r="E44" s="16" t="n">
        <v>680</v>
      </c>
      <c r="F44" s="38" t="n">
        <v>379854</v>
      </c>
      <c r="G44" s="38" t="n">
        <v>436775</v>
      </c>
      <c r="H44" s="38" t="n">
        <v>400403</v>
      </c>
      <c r="I44" s="38" t="n">
        <v>436775</v>
      </c>
      <c r="J44" s="19">
        <f>(I44-H44)/1000</f>
        <v/>
      </c>
      <c r="K44" s="16" t="inlineStr">
        <is>
          <t>Yes</t>
        </is>
      </c>
      <c r="L44" s="16" t="n">
        <v>9</v>
      </c>
      <c r="M44" s="39" t="inlineStr">
        <is>
          <t>KANJARI BORIYAVI, UTARSANDA, NADIAD, LC-278, GOTHAJ, LC-286, MAHEMDABAD AND KHEDA ROAD, LC-294, KANIJ, BAREJADI NANDEJ, GERATPUR, VATVA, KANKARIYA CABIN, AHMEDABAD Jn</t>
        </is>
      </c>
    </row>
    <row r="45" ht="49" customHeight="1">
      <c r="A45" s="16" t="inlineStr">
        <is>
          <t>29 Jun</t>
        </is>
      </c>
      <c r="B45" s="16" t="inlineStr">
        <is>
          <t>37633</t>
        </is>
      </c>
      <c r="C45" s="16" t="n">
        <v>1245</v>
      </c>
      <c r="D45" s="16" t="n">
        <v>1245</v>
      </c>
      <c r="E45" s="16" t="n">
        <v>693</v>
      </c>
      <c r="F45" s="38" t="n">
        <v>370273</v>
      </c>
      <c r="G45" s="38" t="n">
        <v>436790</v>
      </c>
      <c r="H45" s="38" t="n">
        <v>400418</v>
      </c>
      <c r="I45" s="38" t="n">
        <v>436790</v>
      </c>
      <c r="J45" s="19">
        <f>(I45-H45)/1000</f>
        <v/>
      </c>
      <c r="K45" s="16" t="inlineStr">
        <is>
          <t>Yes</t>
        </is>
      </c>
      <c r="L45" s="16" t="n">
        <v>9</v>
      </c>
      <c r="M45" s="39" t="inlineStr">
        <is>
          <t>KANJARI BORIYAVI, UTARSANDA, NADIAD, LC-278, GOTHAJ, LC-286, MAHEMDABAD AND KHEDA ROAD, LC-294, KANIJ, BAREJADI NANDEJ, GERATPUR, VATVA, KANKARIYA CABIN, AHMEDABAD Jn</t>
        </is>
      </c>
    </row>
    <row r="46" ht="49" customHeight="1">
      <c r="A46" s="16" t="inlineStr">
        <is>
          <t>29 Jun</t>
        </is>
      </c>
      <c r="B46" s="16" t="inlineStr">
        <is>
          <t>39236</t>
        </is>
      </c>
      <c r="C46" s="16" t="n">
        <v>949</v>
      </c>
      <c r="D46" s="16" t="n">
        <v>949</v>
      </c>
      <c r="E46" s="16" t="n">
        <v>949</v>
      </c>
      <c r="F46" s="38" t="n">
        <v>403891</v>
      </c>
      <c r="G46" s="38" t="n">
        <v>439903</v>
      </c>
      <c r="H46" s="38" t="n">
        <v>403891</v>
      </c>
      <c r="I46" s="38" t="n">
        <v>439903</v>
      </c>
      <c r="J46" s="19">
        <f>(I46-H46)/1000</f>
        <v/>
      </c>
      <c r="K46" s="16" t="inlineStr">
        <is>
          <t>Yes</t>
        </is>
      </c>
      <c r="L46" s="16" t="n">
        <v>10</v>
      </c>
      <c r="M46" s="39" t="inlineStr">
        <is>
          <t>UTARSANDA, NADIAD, LC-278, GOTHAJ, LC-286, MAHEMDABAD AND KHEDA ROAD, LC-294, KANIJ, BAREJADI NANDEJ, GERATPUR, VATVA, KANKARIYA CABIN, AHMEDABAD Jn</t>
        </is>
      </c>
    </row>
    <row r="47" ht="49" customHeight="1">
      <c r="A47" s="16" t="inlineStr">
        <is>
          <t>29 Jun</t>
        </is>
      </c>
      <c r="B47" s="16" t="inlineStr">
        <is>
          <t>37721</t>
        </is>
      </c>
      <c r="C47" s="16" t="n">
        <v>980</v>
      </c>
      <c r="D47" s="16" t="n">
        <v>980</v>
      </c>
      <c r="E47" s="16" t="n">
        <v>643</v>
      </c>
      <c r="F47" s="38" t="n">
        <v>396092</v>
      </c>
      <c r="G47" s="38" t="n">
        <v>435467</v>
      </c>
      <c r="H47" s="38" t="n">
        <v>400398</v>
      </c>
      <c r="I47" s="38" t="n">
        <v>435467</v>
      </c>
      <c r="J47" s="19">
        <f>(I47-H47)/1000</f>
        <v/>
      </c>
      <c r="K47" s="16" t="inlineStr">
        <is>
          <t>Yes</t>
        </is>
      </c>
      <c r="L47" s="16" t="n">
        <v>9</v>
      </c>
      <c r="M47" s="39" t="inlineStr">
        <is>
          <t>KANJARI BORIYAVI, UTARSANDA, NADIAD, LC-278, GOTHAJ, LC-286, MAHEMDABAD AND KHEDA ROAD, LC-294, KANIJ, BAREJADI NANDEJ, GERATPUR, VATVA, KANKARIYA CABIN, AHMEDABAD Jn</t>
        </is>
      </c>
    </row>
    <row r="48" ht="49" customHeight="1">
      <c r="A48" s="16" t="inlineStr">
        <is>
          <t>29 Jun</t>
        </is>
      </c>
      <c r="B48" s="16" t="inlineStr">
        <is>
          <t>30474</t>
        </is>
      </c>
      <c r="C48" s="16" t="n">
        <v>3472</v>
      </c>
      <c r="D48" s="16" t="n">
        <v>3472</v>
      </c>
      <c r="E48" s="16" t="n">
        <v>2181</v>
      </c>
      <c r="F48" s="38" t="n">
        <v>367827</v>
      </c>
      <c r="G48" s="38" t="n">
        <v>435419</v>
      </c>
      <c r="H48" s="38" t="n">
        <v>400413</v>
      </c>
      <c r="I48" s="38" t="n">
        <v>435419</v>
      </c>
      <c r="J48" s="19">
        <f>(I48-H48)/1000</f>
        <v/>
      </c>
      <c r="K48" s="16" t="inlineStr">
        <is>
          <t>Yes</t>
        </is>
      </c>
      <c r="L48" s="16" t="n">
        <v>9</v>
      </c>
      <c r="M48" s="39" t="inlineStr">
        <is>
          <t>KANJARI BORIYAVI, UTARSANDA, NADIAD, LC-278, GOTHAJ, LC-286, MAHEMDABAD AND KHEDA ROAD, LC-294, KANIJ, BAREJADI NANDEJ, GERATPUR, VATVA, KANKARIYA CABIN, AHMEDABAD Jn</t>
        </is>
      </c>
    </row>
    <row r="49" ht="64" customHeight="1">
      <c r="A49" s="16" t="inlineStr">
        <is>
          <t>29 Jun</t>
        </is>
      </c>
      <c r="B49" s="16" t="inlineStr">
        <is>
          <t>55555</t>
        </is>
      </c>
      <c r="C49" s="16" t="n">
        <v>44</v>
      </c>
      <c r="D49" s="16" t="n">
        <v>34</v>
      </c>
      <c r="E49" s="16" t="n">
        <v>34</v>
      </c>
      <c r="F49" s="38" t="n">
        <v>447415</v>
      </c>
      <c r="G49" s="38" t="n">
        <v>452663</v>
      </c>
      <c r="H49" s="38" t="n">
        <v>447415</v>
      </c>
      <c r="I49" s="38" t="n">
        <v>452663</v>
      </c>
      <c r="J49" s="19">
        <f>(I49-H49)/1000</f>
        <v/>
      </c>
      <c r="K49" s="16" t="inlineStr">
        <is>
          <t>Yes</t>
        </is>
      </c>
      <c r="L49" s="16" t="n">
        <v>2</v>
      </c>
      <c r="M49" s="39" t="inlineStr">
        <is>
          <t>BAJWA, RANOLI, LC-246, VASAD, ADAS ROAD, VADOD, LC-258, ANAND Jn, LC-264, KANJARI BORIYAVI, LC-278, GOTHAJ, LC-286, MAHEMDABAD AND KHEDA ROAD, LC-294, KANIJ, BAREJADI NANDEJ, GERATPUR, VATVA, KANKARIYA CABIN, AHMEDABAD Jn</t>
        </is>
      </c>
    </row>
    <row r="50" ht="64" customHeight="1">
      <c r="A50" s="16" t="inlineStr">
        <is>
          <t>29 Jun</t>
        </is>
      </c>
      <c r="B50" s="16" t="inlineStr">
        <is>
          <t>51347</t>
        </is>
      </c>
      <c r="C50" s="16" t="n">
        <v>182</v>
      </c>
      <c r="D50" s="16" t="n">
        <v>151</v>
      </c>
      <c r="E50" s="16" t="n">
        <v>151</v>
      </c>
      <c r="F50" s="38" t="n">
        <v>448509</v>
      </c>
      <c r="G50" s="38" t="n">
        <v>450303</v>
      </c>
      <c r="H50" s="38" t="n">
        <v>448509</v>
      </c>
      <c r="I50" s="38" t="n">
        <v>450303</v>
      </c>
      <c r="J50" s="19">
        <f>(I50-H50)/1000</f>
        <v/>
      </c>
      <c r="K50" s="16" t="inlineStr">
        <is>
          <t>Yes</t>
        </is>
      </c>
      <c r="L50" s="16" t="n">
        <v>1</v>
      </c>
      <c r="M50" s="39" t="inlineStr">
        <is>
          <t>BAJWA, RANOLI, LC-246, VASAD, ADAS ROAD, VADOD, LC-258, ANAND Jn, LC-264, KANJARI BORIYAVI, UTARSANDA, LC-278, GOTHAJ, LC-286, MAHEMDABAD AND KHEDA ROAD, LC-294, KANIJ, BAREJADI NANDEJ, GERATPUR, VATVA, KANKARIYA CABIN, AHMEDABAD Jn</t>
        </is>
      </c>
    </row>
    <row r="51" ht="64" customHeight="1">
      <c r="A51" s="16" t="inlineStr">
        <is>
          <t>29 Jun</t>
        </is>
      </c>
      <c r="B51" s="16" t="inlineStr">
        <is>
          <t>37489</t>
        </is>
      </c>
      <c r="C51" s="16" t="n">
        <v>2</v>
      </c>
      <c r="D51" s="16" t="n">
        <v>2</v>
      </c>
      <c r="E51" s="16" t="n">
        <v>2</v>
      </c>
      <c r="F51" s="38" t="n">
        <v>452334</v>
      </c>
      <c r="G51" s="38" t="n">
        <v>453777</v>
      </c>
      <c r="H51" s="38" t="n">
        <v>452334</v>
      </c>
      <c r="I51" s="38" t="n">
        <v>453777</v>
      </c>
      <c r="J51" s="19">
        <f>(I51-H51)/1000</f>
        <v/>
      </c>
      <c r="K51" s="16" t="inlineStr">
        <is>
          <t>Yes</t>
        </is>
      </c>
      <c r="L51" s="16" t="n">
        <v>2</v>
      </c>
      <c r="M51" s="39" t="inlineStr">
        <is>
          <t>BAJWA, RANOLI, LC-246, VASAD, ADAS ROAD, VADOD, LC-258, ANAND Jn, LC-264, KANJARI BORIYAVI, UTARSANDA, GOTHAJ, LC-286, MAHEMDABAD AND KHEDA ROAD, LC-294, KANIJ, BAREJADI NANDEJ, GERATPUR, VATVA, KANKARIYA CABIN, AHMEDABAD Jn</t>
        </is>
      </c>
    </row>
    <row r="52" ht="64" customHeight="1">
      <c r="A52" s="31" t="inlineStr">
        <is>
          <t>29 Jun</t>
        </is>
      </c>
      <c r="B52" s="31" t="inlineStr">
        <is>
          <t>120850</t>
        </is>
      </c>
      <c r="C52" s="31" t="n">
        <v>4961</v>
      </c>
      <c r="D52" s="31" t="n">
        <v>4934</v>
      </c>
      <c r="E52" s="31" t="n">
        <v>0</v>
      </c>
      <c r="F52" s="40" t="n">
        <v>497965</v>
      </c>
      <c r="G52" s="40" t="n">
        <v>500083</v>
      </c>
      <c r="H52" s="40" t="inlineStr">
        <is>
          <t>-</t>
        </is>
      </c>
      <c r="I52" s="40" t="inlineStr">
        <is>
          <t>-</t>
        </is>
      </c>
      <c r="J52" s="41" t="n">
        <v>0</v>
      </c>
      <c r="K52" s="31" t="inlineStr">
        <is>
          <t>No</t>
        </is>
      </c>
      <c r="L52" s="31" t="n">
        <v>0</v>
      </c>
      <c r="M5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3" ht="64" customHeight="1">
      <c r="A53" s="31" t="inlineStr">
        <is>
          <t>29 Jun</t>
        </is>
      </c>
      <c r="B53" s="31" t="inlineStr">
        <is>
          <t>22933</t>
        </is>
      </c>
      <c r="C53" s="31" t="n">
        <v>1</v>
      </c>
      <c r="D53" s="31" t="n">
        <v>0</v>
      </c>
      <c r="E53" s="31" t="n">
        <v>0</v>
      </c>
      <c r="F53" s="40" t="inlineStr">
        <is>
          <t>-</t>
        </is>
      </c>
      <c r="G53" s="40" t="inlineStr">
        <is>
          <t>-</t>
        </is>
      </c>
      <c r="H53" s="40" t="inlineStr">
        <is>
          <t>-</t>
        </is>
      </c>
      <c r="I53" s="40" t="inlineStr">
        <is>
          <t>-</t>
        </is>
      </c>
      <c r="J53" s="41" t="n">
        <v>0</v>
      </c>
      <c r="K53" s="31" t="inlineStr">
        <is>
          <t>No</t>
        </is>
      </c>
      <c r="L53" s="31" t="n">
        <v>0</v>
      </c>
      <c r="M5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4" ht="64" customHeight="1">
      <c r="A54" s="31" t="inlineStr">
        <is>
          <t>29 Jun</t>
        </is>
      </c>
      <c r="B54" s="31" t="inlineStr">
        <is>
          <t>30046</t>
        </is>
      </c>
      <c r="C54" s="31" t="n">
        <v>6</v>
      </c>
      <c r="D54" s="31" t="n">
        <v>0</v>
      </c>
      <c r="E54" s="31" t="n">
        <v>0</v>
      </c>
      <c r="F54" s="40" t="inlineStr">
        <is>
          <t>-</t>
        </is>
      </c>
      <c r="G54" s="40" t="inlineStr">
        <is>
          <t>-</t>
        </is>
      </c>
      <c r="H54" s="40" t="inlineStr">
        <is>
          <t>-</t>
        </is>
      </c>
      <c r="I54" s="40" t="inlineStr">
        <is>
          <t>-</t>
        </is>
      </c>
      <c r="J54" s="41" t="n">
        <v>0</v>
      </c>
      <c r="K54" s="31" t="inlineStr">
        <is>
          <t>No</t>
        </is>
      </c>
      <c r="L54" s="31" t="n">
        <v>0</v>
      </c>
      <c r="M5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5" ht="64" customHeight="1">
      <c r="A55" s="31" t="inlineStr">
        <is>
          <t>29 Jun</t>
        </is>
      </c>
      <c r="B55" s="31" t="inlineStr">
        <is>
          <t>37193</t>
        </is>
      </c>
      <c r="C55" s="31" t="n">
        <v>14</v>
      </c>
      <c r="D55" s="31" t="n">
        <v>0</v>
      </c>
      <c r="E55" s="31" t="n">
        <v>0</v>
      </c>
      <c r="F55" s="40" t="inlineStr">
        <is>
          <t>-</t>
        </is>
      </c>
      <c r="G55" s="40" t="inlineStr">
        <is>
          <t>-</t>
        </is>
      </c>
      <c r="H55" s="40" t="inlineStr">
        <is>
          <t>-</t>
        </is>
      </c>
      <c r="I55" s="40" t="inlineStr">
        <is>
          <t>-</t>
        </is>
      </c>
      <c r="J55" s="41" t="n">
        <v>0</v>
      </c>
      <c r="K55" s="31" t="inlineStr">
        <is>
          <t>No</t>
        </is>
      </c>
      <c r="L55" s="31" t="n">
        <v>0</v>
      </c>
      <c r="M5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6" ht="64" customHeight="1">
      <c r="A56" s="31" t="inlineStr">
        <is>
          <t>29 Jun</t>
        </is>
      </c>
      <c r="B56" s="31" t="inlineStr">
        <is>
          <t>37277</t>
        </is>
      </c>
      <c r="C56" s="31" t="n">
        <v>23</v>
      </c>
      <c r="D56" s="31" t="n">
        <v>0</v>
      </c>
      <c r="E56" s="31" t="n">
        <v>0</v>
      </c>
      <c r="F56" s="40" t="inlineStr">
        <is>
          <t>-</t>
        </is>
      </c>
      <c r="G56" s="40" t="inlineStr">
        <is>
          <t>-</t>
        </is>
      </c>
      <c r="H56" s="40" t="inlineStr">
        <is>
          <t>-</t>
        </is>
      </c>
      <c r="I56" s="40" t="inlineStr">
        <is>
          <t>-</t>
        </is>
      </c>
      <c r="J56" s="41" t="n">
        <v>0</v>
      </c>
      <c r="K56" s="31" t="inlineStr">
        <is>
          <t>No</t>
        </is>
      </c>
      <c r="L56" s="31" t="n">
        <v>0</v>
      </c>
      <c r="M5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7" ht="64" customHeight="1">
      <c r="A57" s="31" t="inlineStr">
        <is>
          <t>29 Jun</t>
        </is>
      </c>
      <c r="B57" s="31" t="inlineStr">
        <is>
          <t>37867</t>
        </is>
      </c>
      <c r="C57" s="31" t="n">
        <v>226</v>
      </c>
      <c r="D57" s="31" t="n">
        <v>181</v>
      </c>
      <c r="E57" s="31" t="n">
        <v>0</v>
      </c>
      <c r="F57" s="40" t="n">
        <v>2500005</v>
      </c>
      <c r="G57" s="40" t="n">
        <v>2500594</v>
      </c>
      <c r="H57" s="40" t="inlineStr">
        <is>
          <t>-</t>
        </is>
      </c>
      <c r="I57" s="40" t="inlineStr">
        <is>
          <t>-</t>
        </is>
      </c>
      <c r="J57" s="41" t="n">
        <v>0</v>
      </c>
      <c r="K57" s="31" t="inlineStr">
        <is>
          <t>No</t>
        </is>
      </c>
      <c r="L57" s="31" t="n">
        <v>0</v>
      </c>
      <c r="M5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8" ht="64" customHeight="1">
      <c r="A58" s="31" t="inlineStr">
        <is>
          <t>29 Jun</t>
        </is>
      </c>
      <c r="B58" s="31" t="inlineStr">
        <is>
          <t>39053</t>
        </is>
      </c>
      <c r="C58" s="31" t="n">
        <v>185</v>
      </c>
      <c r="D58" s="31" t="n">
        <v>185</v>
      </c>
      <c r="E58" s="31" t="n">
        <v>0</v>
      </c>
      <c r="F58" s="40" t="n">
        <v>374191</v>
      </c>
      <c r="G58" s="40" t="n">
        <v>395886</v>
      </c>
      <c r="H58" s="40" t="inlineStr">
        <is>
          <t>-</t>
        </is>
      </c>
      <c r="I58" s="40" t="inlineStr">
        <is>
          <t>-</t>
        </is>
      </c>
      <c r="J58" s="41" t="n">
        <v>0</v>
      </c>
      <c r="K58" s="31" t="inlineStr">
        <is>
          <t>No</t>
        </is>
      </c>
      <c r="L58" s="31" t="n">
        <v>0</v>
      </c>
      <c r="M5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9" ht="64" customHeight="1">
      <c r="A59" s="31" t="inlineStr">
        <is>
          <t>29 Jun</t>
        </is>
      </c>
      <c r="B59" s="31" t="inlineStr">
        <is>
          <t>39466</t>
        </is>
      </c>
      <c r="C59" s="31" t="n">
        <v>16</v>
      </c>
      <c r="D59" s="31" t="n">
        <v>0</v>
      </c>
      <c r="E59" s="31" t="n">
        <v>0</v>
      </c>
      <c r="F59" s="40" t="inlineStr">
        <is>
          <t>-</t>
        </is>
      </c>
      <c r="G59" s="40" t="inlineStr">
        <is>
          <t>-</t>
        </is>
      </c>
      <c r="H59" s="40" t="inlineStr">
        <is>
          <t>-</t>
        </is>
      </c>
      <c r="I59" s="40" t="inlineStr">
        <is>
          <t>-</t>
        </is>
      </c>
      <c r="J59" s="41" t="n">
        <v>0</v>
      </c>
      <c r="K59" s="31" t="inlineStr">
        <is>
          <t>No</t>
        </is>
      </c>
      <c r="L59" s="31" t="n">
        <v>0</v>
      </c>
      <c r="M5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0" ht="64" customHeight="1">
      <c r="A60" s="31" t="inlineStr">
        <is>
          <t>29 Jun</t>
        </is>
      </c>
      <c r="B60" s="31" t="inlineStr">
        <is>
          <t>39602</t>
        </is>
      </c>
      <c r="C60" s="31" t="n">
        <v>1</v>
      </c>
      <c r="D60" s="31" t="n">
        <v>0</v>
      </c>
      <c r="E60" s="31" t="n">
        <v>0</v>
      </c>
      <c r="F60" s="40" t="inlineStr">
        <is>
          <t>-</t>
        </is>
      </c>
      <c r="G60" s="40" t="inlineStr">
        <is>
          <t>-</t>
        </is>
      </c>
      <c r="H60" s="40" t="inlineStr">
        <is>
          <t>-</t>
        </is>
      </c>
      <c r="I60" s="40" t="inlineStr">
        <is>
          <t>-</t>
        </is>
      </c>
      <c r="J60" s="41" t="n">
        <v>0</v>
      </c>
      <c r="K60" s="31" t="inlineStr">
        <is>
          <t>No</t>
        </is>
      </c>
      <c r="L60" s="31" t="n">
        <v>0</v>
      </c>
      <c r="M6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1" ht="64" customHeight="1">
      <c r="A61" s="31" t="inlineStr">
        <is>
          <t>29 Jun</t>
        </is>
      </c>
      <c r="B61" s="31" t="inlineStr">
        <is>
          <t>43897</t>
        </is>
      </c>
      <c r="C61" s="31" t="n">
        <v>2</v>
      </c>
      <c r="D61" s="31" t="n">
        <v>0</v>
      </c>
      <c r="E61" s="31" t="n">
        <v>0</v>
      </c>
      <c r="F61" s="40" t="inlineStr">
        <is>
          <t>-</t>
        </is>
      </c>
      <c r="G61" s="40" t="inlineStr">
        <is>
          <t>-</t>
        </is>
      </c>
      <c r="H61" s="40" t="inlineStr">
        <is>
          <t>-</t>
        </is>
      </c>
      <c r="I61" s="40" t="inlineStr">
        <is>
          <t>-</t>
        </is>
      </c>
      <c r="J61" s="41" t="n">
        <v>0</v>
      </c>
      <c r="K61" s="31" t="inlineStr">
        <is>
          <t>No</t>
        </is>
      </c>
      <c r="L61" s="31" t="n">
        <v>0</v>
      </c>
      <c r="M6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93.91 / UP 93.91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(400398-494312).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4" t="inlineStr">
        <is>
          <t>Mode Degradation</t>
        </is>
      </c>
      <c r="C8" s="45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2026-06-30T09:59:14Z</dcterms:created>
  <dcterms:modified xsi:type="dcterms:W3CDTF">2026-07-01T09:07:33Z</dcterms:modified>
</cp:coreProperties>
</file>
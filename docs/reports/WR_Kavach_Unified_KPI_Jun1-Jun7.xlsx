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KPI" sheetId="1" state="visible" r:id="rId1"/>
    <sheet xmlns:r="http://schemas.openxmlformats.org/officeDocument/2006/relationships" name="Daily Breakdown" sheetId="2" state="visible" r:id="rId2"/>
    <sheet xmlns:r="http://schemas.openxmlformats.org/officeDocument/2006/relationships" name="EB Detail" sheetId="3" state="visible" r:id="rId3"/>
    <sheet xmlns:r="http://schemas.openxmlformats.org/officeDocument/2006/relationships" name="KM Verification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00"/>
    <numFmt numFmtId="167" formatCode="#,##0.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9" customWidth="1" min="10" max="10"/>
    <col width="19" customWidth="1" min="11" max="11"/>
    <col width="23" customWidth="1" min="12" max="12"/>
    <col width="29" customWidth="1" min="13" max="13"/>
    <col width="17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WR — Kavach Unified KPI</t>
        </is>
      </c>
    </row>
    <row r="2">
      <c r="A2" s="2" t="inlineStr">
        <is>
          <t>Period: Jun1 - Jun7 (custom)  ·  all locomotives  ·  one combined row</t>
        </is>
      </c>
    </row>
    <row r="3"/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Jun1 - Jun7 (custom)</t>
        </is>
      </c>
      <c r="B5" s="4" t="inlineStr">
        <is>
          <t>WR</t>
        </is>
      </c>
      <c r="C5" s="4" t="inlineStr">
        <is>
          <t>24000_ADI to 24051_BRC</t>
        </is>
      </c>
      <c r="D5" s="5">
        <f>'Daily Breakdown'!C222</f>
        <v/>
      </c>
      <c r="E5" s="6">
        <f>'Daily Breakdown'!D222</f>
        <v/>
      </c>
      <c r="F5" s="7">
        <f>'Daily Breakdown'!G222</f>
        <v/>
      </c>
      <c r="G5" s="5">
        <f>'Daily Breakdown'!H222</f>
        <v/>
      </c>
      <c r="H5" s="8">
        <f>'Daily Breakdown'!I222</f>
        <v/>
      </c>
      <c r="I5" s="8">
        <f>'Daily Breakdown'!J222</f>
        <v/>
      </c>
      <c r="J5" s="46">
        <f>IFERROR(G5/D5,0)</f>
        <v/>
      </c>
      <c r="K5" s="47">
        <f>IFERROR(G5/E5,0)</f>
        <v/>
      </c>
      <c r="L5" s="48">
        <f>IFERROR(G5/E5*100,0)</f>
        <v/>
      </c>
      <c r="M5" s="47">
        <f>IFERROR(G5/(D5*E5/1000),0)</f>
        <v/>
      </c>
      <c r="N5" s="5">
        <f>'Daily Breakdown'!K222</f>
        <v/>
      </c>
      <c r="O5" s="46">
        <f>IFERROR(N5/D5,0)</f>
        <v/>
      </c>
      <c r="P5" s="47">
        <f>IFERROR(N5/E5,0)</f>
        <v/>
      </c>
      <c r="Q5" s="47">
        <f>IFERROR(N5/(D5*E5/100),0)</f>
        <v/>
      </c>
      <c r="R5" s="48">
        <f>IFERROR(N5/E5*100,0)</f>
        <v/>
      </c>
      <c r="S5" s="8" t="n">
        <v>11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34" customWidth="1" min="4" max="4"/>
    <col width="34" customWidth="1" min="5" max="5"/>
    <col width="34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3" t="inlineStr">
        <is>
          <t>Daily Breakdown — by day and locomotive (all locos)</t>
        </is>
      </c>
    </row>
    <row r="3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1 Jun</t>
        </is>
      </c>
      <c r="B4" s="15" t="inlineStr">
        <is>
          <t>39126</t>
        </is>
      </c>
      <c r="C4" s="16" t="n">
        <v>2</v>
      </c>
      <c r="D4" s="49" t="n">
        <v>93.31999999999999</v>
      </c>
      <c r="E4" s="18" t="n">
        <v>8943</v>
      </c>
      <c r="F4" s="18" t="n">
        <v>9324</v>
      </c>
      <c r="G4" s="19">
        <f>IF(F4=0,0,E4/F4*100)</f>
        <v/>
      </c>
      <c r="H4" s="16" t="n">
        <v>0</v>
      </c>
      <c r="I4" s="16" t="n">
        <v>0</v>
      </c>
      <c r="J4" s="16" t="n">
        <v>0</v>
      </c>
      <c r="K4" s="16" t="n">
        <v>9</v>
      </c>
    </row>
    <row r="5">
      <c r="A5" s="15" t="inlineStr">
        <is>
          <t>1 Jun</t>
        </is>
      </c>
      <c r="B5" s="15" t="inlineStr">
        <is>
          <t>30484</t>
        </is>
      </c>
      <c r="C5" s="16" t="n">
        <v>2</v>
      </c>
      <c r="D5" s="49" t="n">
        <v>93.90000000000001</v>
      </c>
      <c r="E5" s="18" t="n">
        <v>7377</v>
      </c>
      <c r="F5" s="18" t="n">
        <v>8390</v>
      </c>
      <c r="G5" s="19">
        <f>IF(F5=0,0,E5/F5*100)</f>
        <v/>
      </c>
      <c r="H5" s="16" t="n">
        <v>1</v>
      </c>
      <c r="I5" s="16" t="n">
        <v>1</v>
      </c>
      <c r="J5" s="16" t="n">
        <v>0</v>
      </c>
      <c r="K5" s="16" t="n">
        <v>6</v>
      </c>
    </row>
    <row r="6">
      <c r="A6" s="15" t="inlineStr">
        <is>
          <t>1 Jun</t>
        </is>
      </c>
      <c r="B6" s="15" t="inlineStr">
        <is>
          <t>39283</t>
        </is>
      </c>
      <c r="C6" s="16" t="n">
        <v>1</v>
      </c>
      <c r="D6" s="49" t="n">
        <v>90.47</v>
      </c>
      <c r="E6" s="18" t="n">
        <v>8544</v>
      </c>
      <c r="F6" s="18" t="n">
        <v>9237</v>
      </c>
      <c r="G6" s="19">
        <f>IF(F6=0,0,E6/F6*100)</f>
        <v/>
      </c>
      <c r="H6" s="16" t="n">
        <v>0</v>
      </c>
      <c r="I6" s="16" t="n">
        <v>0</v>
      </c>
      <c r="J6" s="16" t="n">
        <v>0</v>
      </c>
      <c r="K6" s="16" t="n">
        <v>4</v>
      </c>
    </row>
    <row r="7">
      <c r="A7" s="15" t="inlineStr">
        <is>
          <t>1 Jun</t>
        </is>
      </c>
      <c r="B7" s="15" t="inlineStr">
        <is>
          <t>37582</t>
        </is>
      </c>
      <c r="C7" s="16" t="n">
        <v>1</v>
      </c>
      <c r="D7" s="49" t="n">
        <v>90.89</v>
      </c>
      <c r="E7" s="18" t="n">
        <v>5675</v>
      </c>
      <c r="F7" s="18" t="n">
        <v>6135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1</v>
      </c>
    </row>
    <row r="8">
      <c r="A8" s="15" t="inlineStr">
        <is>
          <t>1 Jun</t>
        </is>
      </c>
      <c r="B8" s="15" t="inlineStr">
        <is>
          <t>37566</t>
        </is>
      </c>
      <c r="C8" s="16" t="n">
        <v>1</v>
      </c>
      <c r="D8" s="49" t="n">
        <v>93.89</v>
      </c>
      <c r="E8" s="18" t="n">
        <v>4873</v>
      </c>
      <c r="F8" s="18" t="n">
        <v>5858</v>
      </c>
      <c r="G8" s="19">
        <f>IF(F8=0,0,E8/F8*100)</f>
        <v/>
      </c>
      <c r="H8" s="16" t="n">
        <v>0</v>
      </c>
      <c r="I8" s="16" t="n">
        <v>0</v>
      </c>
      <c r="J8" s="16" t="n">
        <v>0</v>
      </c>
      <c r="K8" s="16" t="n">
        <v>3</v>
      </c>
    </row>
    <row r="9">
      <c r="A9" s="15" t="inlineStr">
        <is>
          <t>1 Jun</t>
        </is>
      </c>
      <c r="B9" s="15" t="inlineStr">
        <is>
          <t>37884</t>
        </is>
      </c>
      <c r="C9" s="16" t="n">
        <v>1</v>
      </c>
      <c r="D9" s="49" t="n">
        <v>93.31999999999999</v>
      </c>
      <c r="E9" s="18" t="n">
        <v>5358</v>
      </c>
      <c r="F9" s="18" t="n">
        <v>5443</v>
      </c>
      <c r="G9" s="19">
        <f>IF(F9=0,0,E9/F9*100)</f>
        <v/>
      </c>
      <c r="H9" s="16" t="n">
        <v>0</v>
      </c>
      <c r="I9" s="16" t="n">
        <v>0</v>
      </c>
      <c r="J9" s="16" t="n">
        <v>0</v>
      </c>
      <c r="K9" s="16" t="n">
        <v>2</v>
      </c>
    </row>
    <row r="10">
      <c r="A10" s="15" t="inlineStr">
        <is>
          <t>1 Jun</t>
        </is>
      </c>
      <c r="B10" s="15" t="inlineStr">
        <is>
          <t>30173</t>
        </is>
      </c>
      <c r="C10" s="16" t="n">
        <v>1</v>
      </c>
      <c r="D10" s="49" t="n">
        <v>93.91</v>
      </c>
      <c r="E10" s="18" t="n">
        <v>4157</v>
      </c>
      <c r="F10" s="18" t="n">
        <v>4785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3</v>
      </c>
    </row>
    <row r="11">
      <c r="A11" s="15" t="inlineStr">
        <is>
          <t>1 Jun</t>
        </is>
      </c>
      <c r="B11" s="15" t="inlineStr">
        <is>
          <t>37279</t>
        </is>
      </c>
      <c r="C11" s="16" t="n">
        <v>1</v>
      </c>
      <c r="D11" s="49" t="n">
        <v>93.89</v>
      </c>
      <c r="E11" s="18" t="n">
        <v>3809</v>
      </c>
      <c r="F11" s="18" t="n">
        <v>4627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2</v>
      </c>
    </row>
    <row r="12">
      <c r="A12" s="15" t="inlineStr">
        <is>
          <t>1 Jun</t>
        </is>
      </c>
      <c r="B12" s="15" t="inlineStr">
        <is>
          <t>39015</t>
        </is>
      </c>
      <c r="C12" s="16" t="n">
        <v>1</v>
      </c>
      <c r="D12" s="49" t="n">
        <v>93.89</v>
      </c>
      <c r="E12" s="18" t="n">
        <v>3939</v>
      </c>
      <c r="F12" s="18" t="n">
        <v>4430</v>
      </c>
      <c r="G12" s="19">
        <f>IF(F12=0,0,E12/F12*100)</f>
        <v/>
      </c>
      <c r="H12" s="16" t="n">
        <v>0</v>
      </c>
      <c r="I12" s="16" t="n">
        <v>0</v>
      </c>
      <c r="J12" s="16" t="n">
        <v>0</v>
      </c>
      <c r="K12" s="16" t="n">
        <v>1</v>
      </c>
    </row>
    <row r="13">
      <c r="A13" s="15" t="inlineStr">
        <is>
          <t>1 Jun</t>
        </is>
      </c>
      <c r="B13" s="15" t="inlineStr">
        <is>
          <t>37286</t>
        </is>
      </c>
      <c r="C13" s="16" t="n">
        <v>1</v>
      </c>
      <c r="D13" s="49" t="n">
        <v>93.86</v>
      </c>
      <c r="E13" s="18" t="n">
        <v>3357</v>
      </c>
      <c r="F13" s="18" t="n">
        <v>4317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4</v>
      </c>
    </row>
    <row r="14">
      <c r="A14" s="15" t="inlineStr">
        <is>
          <t>1 Jun</t>
        </is>
      </c>
      <c r="B14" s="15" t="inlineStr">
        <is>
          <t>37321</t>
        </is>
      </c>
      <c r="C14" s="16" t="n">
        <v>1</v>
      </c>
      <c r="D14" s="49" t="n">
        <v>93.91</v>
      </c>
      <c r="E14" s="18" t="n">
        <v>3522</v>
      </c>
      <c r="F14" s="18" t="n">
        <v>4016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1</v>
      </c>
    </row>
    <row r="15">
      <c r="A15" s="15" t="inlineStr">
        <is>
          <t>1 Jun</t>
        </is>
      </c>
      <c r="B15" s="15" t="inlineStr">
        <is>
          <t>30476</t>
        </is>
      </c>
      <c r="C15" s="16" t="n">
        <v>0</v>
      </c>
      <c r="D15" s="49" t="n">
        <v>85.38</v>
      </c>
      <c r="E15" s="18" t="n">
        <v>3428</v>
      </c>
      <c r="F15" s="18" t="n">
        <v>4219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2</v>
      </c>
    </row>
    <row r="16">
      <c r="A16" s="15" t="inlineStr">
        <is>
          <t>1 Jun</t>
        </is>
      </c>
      <c r="B16" s="15" t="inlineStr">
        <is>
          <t>37217</t>
        </is>
      </c>
      <c r="C16" s="16" t="n">
        <v>0</v>
      </c>
      <c r="D16" s="49" t="n">
        <v>36.29</v>
      </c>
      <c r="E16" s="18" t="n">
        <v>2984</v>
      </c>
      <c r="F16" s="18" t="n">
        <v>4036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2</v>
      </c>
    </row>
    <row r="17">
      <c r="A17" s="15" t="inlineStr">
        <is>
          <t>1 Jun</t>
        </is>
      </c>
      <c r="B17" s="15" t="inlineStr">
        <is>
          <t>30472</t>
        </is>
      </c>
      <c r="C17" s="16" t="n">
        <v>0</v>
      </c>
      <c r="D17" s="49" t="n">
        <v>42.25</v>
      </c>
      <c r="E17" s="18" t="n">
        <v>2212</v>
      </c>
      <c r="F17" s="18" t="n">
        <v>3005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2</v>
      </c>
    </row>
    <row r="18">
      <c r="A18" s="15" t="inlineStr">
        <is>
          <t>1 Jun</t>
        </is>
      </c>
      <c r="B18" s="15" t="inlineStr">
        <is>
          <t>39238</t>
        </is>
      </c>
      <c r="C18" s="16" t="n">
        <v>0</v>
      </c>
      <c r="D18" s="49" t="n">
        <v>28.11</v>
      </c>
      <c r="E18" s="18" t="n">
        <v>2658</v>
      </c>
      <c r="F18" s="18" t="n">
        <v>3002</v>
      </c>
      <c r="G18" s="19">
        <f>IF(F18=0,0,E18/F18*100)</f>
        <v/>
      </c>
      <c r="H18" s="16" t="n">
        <v>0</v>
      </c>
      <c r="I18" s="16" t="n">
        <v>0</v>
      </c>
      <c r="J18" s="16" t="n">
        <v>0</v>
      </c>
      <c r="K18" s="16" t="n">
        <v>1</v>
      </c>
    </row>
    <row r="19">
      <c r="A19" s="15" t="inlineStr">
        <is>
          <t>1 Jun</t>
        </is>
      </c>
      <c r="B19" s="15" t="inlineStr">
        <is>
          <t>37934</t>
        </is>
      </c>
      <c r="C19" s="16" t="n">
        <v>0</v>
      </c>
      <c r="D19" s="49" t="n">
        <v>43.76</v>
      </c>
      <c r="E19" s="18" t="n">
        <v>2662</v>
      </c>
      <c r="F19" s="18" t="n">
        <v>3001</v>
      </c>
      <c r="G19" s="19">
        <f>IF(F19=0,0,E19/F19*100)</f>
        <v/>
      </c>
      <c r="H19" s="16" t="n">
        <v>0</v>
      </c>
      <c r="I19" s="16" t="n">
        <v>0</v>
      </c>
      <c r="J19" s="16" t="n">
        <v>0</v>
      </c>
      <c r="K19" s="16" t="n">
        <v>2</v>
      </c>
    </row>
    <row r="20">
      <c r="A20" s="15" t="inlineStr">
        <is>
          <t>1 Jun</t>
        </is>
      </c>
      <c r="B20" s="15" t="inlineStr">
        <is>
          <t>37163</t>
        </is>
      </c>
      <c r="C20" s="16" t="n">
        <v>0</v>
      </c>
      <c r="D20" s="49" t="n">
        <v>53.6</v>
      </c>
      <c r="E20" s="18" t="n">
        <v>1211</v>
      </c>
      <c r="F20" s="18" t="n">
        <v>2956</v>
      </c>
      <c r="G20" s="19">
        <f>IF(F20=0,0,E20/F20*100)</f>
        <v/>
      </c>
      <c r="H20" s="16" t="n">
        <v>0</v>
      </c>
      <c r="I20" s="16" t="n">
        <v>0</v>
      </c>
      <c r="J20" s="16" t="n">
        <v>0</v>
      </c>
      <c r="K20" s="16" t="n">
        <v>2</v>
      </c>
    </row>
    <row r="21">
      <c r="A21" s="15" t="inlineStr">
        <is>
          <t>1 Jun</t>
        </is>
      </c>
      <c r="B21" s="15" t="inlineStr">
        <is>
          <t>37019</t>
        </is>
      </c>
      <c r="C21" s="16" t="n">
        <v>0</v>
      </c>
      <c r="D21" s="49" t="n">
        <v>25.82</v>
      </c>
      <c r="E21" s="18" t="n">
        <v>2088</v>
      </c>
      <c r="F21" s="18" t="n">
        <v>2327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3</v>
      </c>
    </row>
    <row r="22">
      <c r="A22" s="15" t="inlineStr">
        <is>
          <t>1 Jun</t>
        </is>
      </c>
      <c r="B22" s="15" t="inlineStr">
        <is>
          <t>30770</t>
        </is>
      </c>
      <c r="C22" s="16" t="n">
        <v>0</v>
      </c>
      <c r="D22" s="49" t="n">
        <v>40.98</v>
      </c>
      <c r="E22" s="18" t="n">
        <v>1238</v>
      </c>
      <c r="F22" s="18" t="n">
        <v>1927</v>
      </c>
      <c r="G22" s="19">
        <f>IF(F22=0,0,E22/F22*100)</f>
        <v/>
      </c>
      <c r="H22" s="16" t="n">
        <v>0</v>
      </c>
      <c r="I22" s="16" t="n">
        <v>0</v>
      </c>
      <c r="J22" s="16" t="n">
        <v>0</v>
      </c>
      <c r="K22" s="16" t="n">
        <v>1</v>
      </c>
    </row>
    <row r="23">
      <c r="A23" s="15" t="inlineStr">
        <is>
          <t>1 Jun</t>
        </is>
      </c>
      <c r="B23" s="15" t="inlineStr">
        <is>
          <t>39314</t>
        </is>
      </c>
      <c r="C23" s="16" t="n">
        <v>0</v>
      </c>
      <c r="D23" s="49" t="n">
        <v>32.63</v>
      </c>
      <c r="E23" s="18" t="n">
        <v>1371</v>
      </c>
      <c r="F23" s="18" t="n">
        <v>1698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1</v>
      </c>
    </row>
    <row r="24">
      <c r="A24" s="15" t="inlineStr">
        <is>
          <t>1 Jun</t>
        </is>
      </c>
      <c r="B24" s="15" t="inlineStr">
        <is>
          <t>39340</t>
        </is>
      </c>
      <c r="C24" s="16" t="n">
        <v>0</v>
      </c>
      <c r="D24" s="49" t="n">
        <v>36.05</v>
      </c>
      <c r="E24" s="18" t="n">
        <v>463</v>
      </c>
      <c r="F24" s="18" t="n">
        <v>1393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1</v>
      </c>
    </row>
    <row r="25">
      <c r="A25" s="15" t="inlineStr">
        <is>
          <t>1 Jun</t>
        </is>
      </c>
      <c r="B25" s="15" t="inlineStr">
        <is>
          <t>39465</t>
        </is>
      </c>
      <c r="C25" s="16" t="n">
        <v>0</v>
      </c>
      <c r="D25" s="49" t="n">
        <v>31.62</v>
      </c>
      <c r="E25" s="18" t="n">
        <v>640</v>
      </c>
      <c r="F25" s="18" t="n">
        <v>1367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0</v>
      </c>
    </row>
    <row r="26">
      <c r="A26" s="15" t="inlineStr">
        <is>
          <t>1 Jun</t>
        </is>
      </c>
      <c r="B26" s="15" t="inlineStr">
        <is>
          <t>30791</t>
        </is>
      </c>
      <c r="C26" s="16" t="n">
        <v>0</v>
      </c>
      <c r="D26" s="49" t="n">
        <v>36.88</v>
      </c>
      <c r="E26" s="18" t="n">
        <v>627</v>
      </c>
      <c r="F26" s="18" t="n">
        <v>1335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2</v>
      </c>
    </row>
    <row r="27">
      <c r="A27" s="15" t="inlineStr">
        <is>
          <t>1 Jun</t>
        </is>
      </c>
      <c r="B27" s="15" t="inlineStr">
        <is>
          <t>41386</t>
        </is>
      </c>
      <c r="C27" s="16" t="n">
        <v>0</v>
      </c>
      <c r="D27" s="49" t="n">
        <v>0.2</v>
      </c>
      <c r="E27" s="18" t="n">
        <v>464</v>
      </c>
      <c r="F27" s="18" t="n">
        <v>1238</v>
      </c>
      <c r="G27" s="19">
        <f>IF(F27=0,0,E27/F27*100)</f>
        <v/>
      </c>
      <c r="H27" s="16" t="n">
        <v>0</v>
      </c>
      <c r="I27" s="16" t="n">
        <v>0</v>
      </c>
      <c r="J27" s="16" t="n">
        <v>0</v>
      </c>
      <c r="K27" s="16" t="n">
        <v>4</v>
      </c>
    </row>
    <row r="28">
      <c r="A28" s="15" t="inlineStr">
        <is>
          <t>1 Jun</t>
        </is>
      </c>
      <c r="B28" s="15" t="inlineStr">
        <is>
          <t>39259</t>
        </is>
      </c>
      <c r="C28" s="16" t="n">
        <v>0</v>
      </c>
      <c r="D28" s="49" t="n">
        <v>53.17</v>
      </c>
      <c r="E28" s="18" t="n">
        <v>640</v>
      </c>
      <c r="F28" s="18" t="n">
        <v>1083</v>
      </c>
      <c r="G28" s="19">
        <f>IF(F28=0,0,E28/F28*100)</f>
        <v/>
      </c>
      <c r="H28" s="16" t="n">
        <v>0</v>
      </c>
      <c r="I28" s="16" t="n">
        <v>0</v>
      </c>
      <c r="J28" s="16" t="n">
        <v>0</v>
      </c>
      <c r="K28" s="16" t="n">
        <v>1</v>
      </c>
    </row>
    <row r="29">
      <c r="A29" s="15" t="inlineStr">
        <is>
          <t>1 Jun</t>
        </is>
      </c>
      <c r="B29" s="15" t="inlineStr">
        <is>
          <t>30459</t>
        </is>
      </c>
      <c r="C29" s="16" t="n">
        <v>0</v>
      </c>
      <c r="D29" s="49" t="n">
        <v>28.83</v>
      </c>
      <c r="E29" s="18" t="n">
        <v>985</v>
      </c>
      <c r="F29" s="18" t="n">
        <v>1002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0</v>
      </c>
    </row>
    <row r="30">
      <c r="A30" s="15" t="inlineStr">
        <is>
          <t>1 Jun</t>
        </is>
      </c>
      <c r="B30" s="15" t="inlineStr">
        <is>
          <t>30289</t>
        </is>
      </c>
      <c r="C30" s="16" t="n">
        <v>0</v>
      </c>
      <c r="D30" s="49" t="n">
        <v>34.63</v>
      </c>
      <c r="E30" s="18" t="n">
        <v>407</v>
      </c>
      <c r="F30" s="18" t="n">
        <v>956</v>
      </c>
      <c r="G30" s="19">
        <f>IF(F30=0,0,E30/F30*100)</f>
        <v/>
      </c>
      <c r="H30" s="16" t="n">
        <v>0</v>
      </c>
      <c r="I30" s="16" t="n">
        <v>0</v>
      </c>
      <c r="J30" s="16" t="n">
        <v>0</v>
      </c>
      <c r="K30" s="16" t="n">
        <v>3</v>
      </c>
    </row>
    <row r="31">
      <c r="A31" s="15" t="inlineStr">
        <is>
          <t>1 Jun</t>
        </is>
      </c>
      <c r="B31" s="15" t="inlineStr">
        <is>
          <t>39374</t>
        </is>
      </c>
      <c r="C31" s="16" t="n">
        <v>0</v>
      </c>
      <c r="D31" s="49" t="n">
        <v>27.47</v>
      </c>
      <c r="E31" s="18" t="n">
        <v>193</v>
      </c>
      <c r="F31" s="18" t="n">
        <v>450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0</v>
      </c>
    </row>
    <row r="32">
      <c r="A32" s="15" t="inlineStr">
        <is>
          <t>1 Jun</t>
        </is>
      </c>
      <c r="B32" s="15" t="inlineStr">
        <is>
          <t>39066</t>
        </is>
      </c>
      <c r="C32" s="16" t="n">
        <v>0</v>
      </c>
      <c r="D32" s="49" t="n">
        <v>13.85</v>
      </c>
      <c r="E32" s="18" t="n">
        <v>9</v>
      </c>
      <c r="F32" s="18" t="n">
        <v>9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0</v>
      </c>
    </row>
    <row r="33">
      <c r="A33" s="20" t="inlineStr">
        <is>
          <t>1 Jun</t>
        </is>
      </c>
      <c r="B33" s="20" t="inlineStr">
        <is>
          <t>Day Total</t>
        </is>
      </c>
      <c r="C33" s="21">
        <f>SUM(C4:C32)</f>
        <v/>
      </c>
      <c r="D33" s="50">
        <f>SUM(D4:D32)</f>
        <v/>
      </c>
      <c r="E33" s="23">
        <f>SUM(E4:E32)</f>
        <v/>
      </c>
      <c r="F33" s="23">
        <f>SUM(F4:F32)</f>
        <v/>
      </c>
      <c r="G33" s="24">
        <f>IF(F33=0,0,E33/F33*100)</f>
        <v/>
      </c>
      <c r="H33" s="21">
        <f>SUM(H4:H32)</f>
        <v/>
      </c>
      <c r="I33" s="21">
        <f>SUM(I4:I32)</f>
        <v/>
      </c>
      <c r="J33" s="21">
        <f>SUM(J4:J32)</f>
        <v/>
      </c>
      <c r="K33" s="21">
        <f>SUM(K4:K32)</f>
        <v/>
      </c>
    </row>
    <row r="34">
      <c r="A34" s="15" t="inlineStr">
        <is>
          <t>2 Jun</t>
        </is>
      </c>
      <c r="B34" s="15" t="inlineStr">
        <is>
          <t>39314</t>
        </is>
      </c>
      <c r="C34" s="16" t="n">
        <v>2</v>
      </c>
      <c r="D34" s="49" t="n">
        <v>93.89</v>
      </c>
      <c r="E34" s="18" t="n">
        <v>9114</v>
      </c>
      <c r="F34" s="18" t="n">
        <v>10596</v>
      </c>
      <c r="G34" s="19">
        <f>IF(F34=0,0,E34/F34*100)</f>
        <v/>
      </c>
      <c r="H34" s="16" t="n">
        <v>0</v>
      </c>
      <c r="I34" s="16" t="n">
        <v>0</v>
      </c>
      <c r="J34" s="16" t="n">
        <v>0</v>
      </c>
      <c r="K34" s="16" t="n">
        <v>5</v>
      </c>
    </row>
    <row r="35">
      <c r="A35" s="15" t="inlineStr">
        <is>
          <t>2 Jun</t>
        </is>
      </c>
      <c r="B35" s="15" t="inlineStr">
        <is>
          <t>37812</t>
        </is>
      </c>
      <c r="C35" s="16" t="n">
        <v>2</v>
      </c>
      <c r="D35" s="49" t="n">
        <v>93.31999999999999</v>
      </c>
      <c r="E35" s="18" t="n">
        <v>5316</v>
      </c>
      <c r="F35" s="18" t="n">
        <v>6028</v>
      </c>
      <c r="G35" s="19">
        <f>IF(F35=0,0,E35/F35*100)</f>
        <v/>
      </c>
      <c r="H35" s="16" t="n">
        <v>0</v>
      </c>
      <c r="I35" s="16" t="n">
        <v>0</v>
      </c>
      <c r="J35" s="16" t="n">
        <v>0</v>
      </c>
      <c r="K35" s="16" t="n">
        <v>6</v>
      </c>
    </row>
    <row r="36">
      <c r="A36" s="15" t="inlineStr">
        <is>
          <t>2 Jun</t>
        </is>
      </c>
      <c r="B36" s="15" t="inlineStr">
        <is>
          <t>39066</t>
        </is>
      </c>
      <c r="C36" s="16" t="n">
        <v>1</v>
      </c>
      <c r="D36" s="49" t="n">
        <v>93.90000000000001</v>
      </c>
      <c r="E36" s="18" t="n">
        <v>6086</v>
      </c>
      <c r="F36" s="18" t="n">
        <v>7933</v>
      </c>
      <c r="G36" s="19">
        <f>IF(F36=0,0,E36/F36*100)</f>
        <v/>
      </c>
      <c r="H36" s="16" t="n">
        <v>0</v>
      </c>
      <c r="I36" s="16" t="n">
        <v>0</v>
      </c>
      <c r="J36" s="16" t="n">
        <v>0</v>
      </c>
      <c r="K36" s="16" t="n">
        <v>3</v>
      </c>
    </row>
    <row r="37">
      <c r="A37" s="15" t="inlineStr">
        <is>
          <t>2 Jun</t>
        </is>
      </c>
      <c r="B37" s="15" t="inlineStr">
        <is>
          <t>30145</t>
        </is>
      </c>
      <c r="C37" s="16" t="n">
        <v>1</v>
      </c>
      <c r="D37" s="49" t="n">
        <v>93.90000000000001</v>
      </c>
      <c r="E37" s="18" t="n">
        <v>5458</v>
      </c>
      <c r="F37" s="18" t="n">
        <v>6932</v>
      </c>
      <c r="G37" s="19">
        <f>IF(F37=0,0,E37/F37*100)</f>
        <v/>
      </c>
      <c r="H37" s="16" t="n">
        <v>1</v>
      </c>
      <c r="I37" s="16" t="n">
        <v>1</v>
      </c>
      <c r="J37" s="16" t="n">
        <v>0</v>
      </c>
      <c r="K37" s="16" t="n">
        <v>7</v>
      </c>
    </row>
    <row r="38">
      <c r="A38" s="15" t="inlineStr">
        <is>
          <t>2 Jun</t>
        </is>
      </c>
      <c r="B38" s="15" t="inlineStr">
        <is>
          <t>30635</t>
        </is>
      </c>
      <c r="C38" s="16" t="n">
        <v>1</v>
      </c>
      <c r="D38" s="49" t="n">
        <v>93.91</v>
      </c>
      <c r="E38" s="18" t="n">
        <v>5411</v>
      </c>
      <c r="F38" s="18" t="n">
        <v>6272</v>
      </c>
      <c r="G38" s="19">
        <f>IF(F38=0,0,E38/F38*100)</f>
        <v/>
      </c>
      <c r="H38" s="16" t="n">
        <v>0</v>
      </c>
      <c r="I38" s="16" t="n">
        <v>0</v>
      </c>
      <c r="J38" s="16" t="n">
        <v>0</v>
      </c>
      <c r="K38" s="16" t="n">
        <v>3</v>
      </c>
    </row>
    <row r="39">
      <c r="A39" s="15" t="inlineStr">
        <is>
          <t>2 Jun</t>
        </is>
      </c>
      <c r="B39" s="15" t="inlineStr">
        <is>
          <t>30759</t>
        </is>
      </c>
      <c r="C39" s="16" t="n">
        <v>1</v>
      </c>
      <c r="D39" s="49" t="n">
        <v>93.91</v>
      </c>
      <c r="E39" s="18" t="n">
        <v>4902</v>
      </c>
      <c r="F39" s="18" t="n">
        <v>6081</v>
      </c>
      <c r="G39" s="19">
        <f>IF(F39=0,0,E39/F39*100)</f>
        <v/>
      </c>
      <c r="H39" s="16" t="n">
        <v>0</v>
      </c>
      <c r="I39" s="16" t="n">
        <v>0</v>
      </c>
      <c r="J39" s="16" t="n">
        <v>0</v>
      </c>
      <c r="K39" s="16" t="n">
        <v>5</v>
      </c>
    </row>
    <row r="40">
      <c r="A40" s="15" t="inlineStr">
        <is>
          <t>2 Jun</t>
        </is>
      </c>
      <c r="B40" s="15" t="inlineStr">
        <is>
          <t>37582</t>
        </is>
      </c>
      <c r="C40" s="16" t="n">
        <v>1</v>
      </c>
      <c r="D40" s="49" t="n">
        <v>93.31999999999999</v>
      </c>
      <c r="E40" s="18" t="n">
        <v>5597</v>
      </c>
      <c r="F40" s="18" t="n">
        <v>6050</v>
      </c>
      <c r="G40" s="19">
        <f>IF(F40=0,0,E40/F40*100)</f>
        <v/>
      </c>
      <c r="H40" s="16" t="n">
        <v>0</v>
      </c>
      <c r="I40" s="16" t="n">
        <v>0</v>
      </c>
      <c r="J40" s="16" t="n">
        <v>0</v>
      </c>
      <c r="K40" s="16" t="n">
        <v>2</v>
      </c>
    </row>
    <row r="41">
      <c r="A41" s="15" t="inlineStr">
        <is>
          <t>2 Jun</t>
        </is>
      </c>
      <c r="B41" s="15" t="inlineStr">
        <is>
          <t>37956</t>
        </is>
      </c>
      <c r="C41" s="16" t="n">
        <v>1</v>
      </c>
      <c r="D41" s="49" t="n">
        <v>93.86</v>
      </c>
      <c r="E41" s="18" t="n">
        <v>4824</v>
      </c>
      <c r="F41" s="18" t="n">
        <v>5876</v>
      </c>
      <c r="G41" s="19">
        <f>IF(F41=0,0,E41/F41*100)</f>
        <v/>
      </c>
      <c r="H41" s="16" t="n">
        <v>0</v>
      </c>
      <c r="I41" s="16" t="n">
        <v>0</v>
      </c>
      <c r="J41" s="16" t="n">
        <v>0</v>
      </c>
      <c r="K41" s="16" t="n">
        <v>2</v>
      </c>
    </row>
    <row r="42">
      <c r="A42" s="15" t="inlineStr">
        <is>
          <t>2 Jun</t>
        </is>
      </c>
      <c r="B42" s="15" t="inlineStr">
        <is>
          <t>37566</t>
        </is>
      </c>
      <c r="C42" s="16" t="n">
        <v>1</v>
      </c>
      <c r="D42" s="49" t="n">
        <v>93.91</v>
      </c>
      <c r="E42" s="18" t="n">
        <v>4645</v>
      </c>
      <c r="F42" s="18" t="n">
        <v>5677</v>
      </c>
      <c r="G42" s="19">
        <f>IF(F42=0,0,E42/F42*100)</f>
        <v/>
      </c>
      <c r="H42" s="16" t="n">
        <v>0</v>
      </c>
      <c r="I42" s="16" t="n">
        <v>0</v>
      </c>
      <c r="J42" s="16" t="n">
        <v>0</v>
      </c>
      <c r="K42" s="16" t="n">
        <v>2</v>
      </c>
    </row>
    <row r="43">
      <c r="A43" s="15" t="inlineStr">
        <is>
          <t>2 Jun</t>
        </is>
      </c>
      <c r="B43" s="15" t="inlineStr">
        <is>
          <t>30821</t>
        </is>
      </c>
      <c r="C43" s="16" t="n">
        <v>1</v>
      </c>
      <c r="D43" s="49" t="n">
        <v>93.89</v>
      </c>
      <c r="E43" s="18" t="n">
        <v>4715</v>
      </c>
      <c r="F43" s="18" t="n">
        <v>5512</v>
      </c>
      <c r="G43" s="19">
        <f>IF(F43=0,0,E43/F43*100)</f>
        <v/>
      </c>
      <c r="H43" s="16" t="n">
        <v>0</v>
      </c>
      <c r="I43" s="16" t="n">
        <v>0</v>
      </c>
      <c r="J43" s="16" t="n">
        <v>0</v>
      </c>
      <c r="K43" s="16" t="n">
        <v>5</v>
      </c>
    </row>
    <row r="44">
      <c r="A44" s="15" t="inlineStr">
        <is>
          <t>2 Jun</t>
        </is>
      </c>
      <c r="B44" s="15" t="inlineStr">
        <is>
          <t>30168</t>
        </is>
      </c>
      <c r="C44" s="16" t="n">
        <v>1</v>
      </c>
      <c r="D44" s="49" t="n">
        <v>93.87</v>
      </c>
      <c r="E44" s="18" t="n">
        <v>4542</v>
      </c>
      <c r="F44" s="18" t="n">
        <v>5313</v>
      </c>
      <c r="G44" s="19">
        <f>IF(F44=0,0,E44/F44*100)</f>
        <v/>
      </c>
      <c r="H44" s="16" t="n">
        <v>0</v>
      </c>
      <c r="I44" s="16" t="n">
        <v>0</v>
      </c>
      <c r="J44" s="16" t="n">
        <v>0</v>
      </c>
      <c r="K44" s="16" t="n">
        <v>2</v>
      </c>
    </row>
    <row r="45">
      <c r="A45" s="15" t="inlineStr">
        <is>
          <t>2 Jun</t>
        </is>
      </c>
      <c r="B45" s="15" t="inlineStr">
        <is>
          <t>37291</t>
        </is>
      </c>
      <c r="C45" s="16" t="n">
        <v>1</v>
      </c>
      <c r="D45" s="49" t="n">
        <v>93.31999999999999</v>
      </c>
      <c r="E45" s="18" t="n">
        <v>4881</v>
      </c>
      <c r="F45" s="18" t="n">
        <v>5125</v>
      </c>
      <c r="G45" s="19">
        <f>IF(F45=0,0,E45/F45*100)</f>
        <v/>
      </c>
      <c r="H45" s="16" t="n">
        <v>0</v>
      </c>
      <c r="I45" s="16" t="n">
        <v>0</v>
      </c>
      <c r="J45" s="16" t="n">
        <v>0</v>
      </c>
      <c r="K45" s="16" t="n">
        <v>1</v>
      </c>
    </row>
    <row r="46">
      <c r="A46" s="15" t="inlineStr">
        <is>
          <t>2 Jun</t>
        </is>
      </c>
      <c r="B46" s="15" t="inlineStr">
        <is>
          <t>39259</t>
        </is>
      </c>
      <c r="C46" s="16" t="n">
        <v>1</v>
      </c>
      <c r="D46" s="49" t="n">
        <v>90.87</v>
      </c>
      <c r="E46" s="18" t="n">
        <v>3967</v>
      </c>
      <c r="F46" s="18" t="n">
        <v>4123</v>
      </c>
      <c r="G46" s="19">
        <f>IF(F46=0,0,E46/F46*100)</f>
        <v/>
      </c>
      <c r="H46" s="16" t="n">
        <v>0</v>
      </c>
      <c r="I46" s="16" t="n">
        <v>0</v>
      </c>
      <c r="J46" s="16" t="n">
        <v>0</v>
      </c>
      <c r="K46" s="16" t="n">
        <v>1</v>
      </c>
    </row>
    <row r="47">
      <c r="A47" s="15" t="inlineStr">
        <is>
          <t>2 Jun</t>
        </is>
      </c>
      <c r="B47" s="15" t="inlineStr">
        <is>
          <t>30472</t>
        </is>
      </c>
      <c r="C47" s="16" t="n">
        <v>1</v>
      </c>
      <c r="D47" s="49" t="n">
        <v>93.87</v>
      </c>
      <c r="E47" s="18" t="n">
        <v>3846</v>
      </c>
      <c r="F47" s="18" t="n">
        <v>4093</v>
      </c>
      <c r="G47" s="19">
        <f>IF(F47=0,0,E47/F47*100)</f>
        <v/>
      </c>
      <c r="H47" s="16" t="n">
        <v>0</v>
      </c>
      <c r="I47" s="16" t="n">
        <v>0</v>
      </c>
      <c r="J47" s="16" t="n">
        <v>0</v>
      </c>
      <c r="K47" s="16" t="n">
        <v>2</v>
      </c>
    </row>
    <row r="48">
      <c r="A48" s="15" t="inlineStr">
        <is>
          <t>2 Jun</t>
        </is>
      </c>
      <c r="B48" s="15" t="inlineStr">
        <is>
          <t>37934</t>
        </is>
      </c>
      <c r="C48" s="16" t="n">
        <v>0</v>
      </c>
      <c r="D48" s="49" t="n">
        <v>82.83</v>
      </c>
      <c r="E48" s="18" t="n">
        <v>4322</v>
      </c>
      <c r="F48" s="18" t="n">
        <v>5654</v>
      </c>
      <c r="G48" s="19">
        <f>IF(F48=0,0,E48/F48*100)</f>
        <v/>
      </c>
      <c r="H48" s="16" t="n">
        <v>0</v>
      </c>
      <c r="I48" s="16" t="n">
        <v>0</v>
      </c>
      <c r="J48" s="16" t="n">
        <v>0</v>
      </c>
      <c r="K48" s="16" t="n">
        <v>2</v>
      </c>
    </row>
    <row r="49">
      <c r="A49" s="15" t="inlineStr">
        <is>
          <t>2 Jun</t>
        </is>
      </c>
      <c r="B49" s="15" t="inlineStr">
        <is>
          <t>37217</t>
        </is>
      </c>
      <c r="C49" s="16" t="n">
        <v>0</v>
      </c>
      <c r="D49" s="49" t="n">
        <v>37</v>
      </c>
      <c r="E49" s="18" t="n">
        <v>3665</v>
      </c>
      <c r="F49" s="18" t="n">
        <v>4941</v>
      </c>
      <c r="G49" s="19">
        <f>IF(F49=0,0,E49/F49*100)</f>
        <v/>
      </c>
      <c r="H49" s="16" t="n">
        <v>0</v>
      </c>
      <c r="I49" s="16" t="n">
        <v>0</v>
      </c>
      <c r="J49" s="16" t="n">
        <v>0</v>
      </c>
      <c r="K49" s="16" t="n">
        <v>2</v>
      </c>
    </row>
    <row r="50">
      <c r="A50" s="15" t="inlineStr">
        <is>
          <t>2 Jun</t>
        </is>
      </c>
      <c r="B50" s="15" t="inlineStr">
        <is>
          <t>37019</t>
        </is>
      </c>
      <c r="C50" s="16" t="n">
        <v>0</v>
      </c>
      <c r="D50" s="49" t="n">
        <v>68.09</v>
      </c>
      <c r="E50" s="18" t="n">
        <v>3548</v>
      </c>
      <c r="F50" s="18" t="n">
        <v>4408</v>
      </c>
      <c r="G50" s="19">
        <f>IF(F50=0,0,E50/F50*100)</f>
        <v/>
      </c>
      <c r="H50" s="16" t="n">
        <v>0</v>
      </c>
      <c r="I50" s="16" t="n">
        <v>0</v>
      </c>
      <c r="J50" s="16" t="n">
        <v>0</v>
      </c>
      <c r="K50" s="16" t="n">
        <v>2</v>
      </c>
    </row>
    <row r="51">
      <c r="A51" s="15" t="inlineStr">
        <is>
          <t>2 Jun</t>
        </is>
      </c>
      <c r="B51" s="15" t="inlineStr">
        <is>
          <t>39131</t>
        </is>
      </c>
      <c r="C51" s="16" t="n">
        <v>0</v>
      </c>
      <c r="D51" s="49" t="n">
        <v>40.87</v>
      </c>
      <c r="E51" s="18" t="n">
        <v>2339</v>
      </c>
      <c r="F51" s="18" t="n">
        <v>3981</v>
      </c>
      <c r="G51" s="19">
        <f>IF(F51=0,0,E51/F51*100)</f>
        <v/>
      </c>
      <c r="H51" s="16" t="n">
        <v>0</v>
      </c>
      <c r="I51" s="16" t="n">
        <v>0</v>
      </c>
      <c r="J51" s="16" t="n">
        <v>0</v>
      </c>
      <c r="K51" s="16" t="n">
        <v>3</v>
      </c>
    </row>
    <row r="52">
      <c r="A52" s="15" t="inlineStr">
        <is>
          <t>2 Jun</t>
        </is>
      </c>
      <c r="B52" s="15" t="inlineStr">
        <is>
          <t>39238</t>
        </is>
      </c>
      <c r="C52" s="16" t="n">
        <v>0</v>
      </c>
      <c r="D52" s="49" t="n">
        <v>65.77</v>
      </c>
      <c r="E52" s="18" t="n">
        <v>3287</v>
      </c>
      <c r="F52" s="18" t="n">
        <v>3866</v>
      </c>
      <c r="G52" s="19">
        <f>IF(F52=0,0,E52/F52*100)</f>
        <v/>
      </c>
      <c r="H52" s="16" t="n">
        <v>0</v>
      </c>
      <c r="I52" s="16" t="n">
        <v>0</v>
      </c>
      <c r="J52" s="16" t="n">
        <v>0</v>
      </c>
      <c r="K52" s="16" t="n">
        <v>1</v>
      </c>
    </row>
    <row r="53">
      <c r="A53" s="15" t="inlineStr">
        <is>
          <t>2 Jun</t>
        </is>
      </c>
      <c r="B53" s="15" t="inlineStr">
        <is>
          <t>37035</t>
        </is>
      </c>
      <c r="C53" s="16" t="n">
        <v>0</v>
      </c>
      <c r="D53" s="49" t="n">
        <v>65.95</v>
      </c>
      <c r="E53" s="18" t="n">
        <v>3466</v>
      </c>
      <c r="F53" s="18" t="n">
        <v>3512</v>
      </c>
      <c r="G53" s="19">
        <f>IF(F53=0,0,E53/F53*100)</f>
        <v/>
      </c>
      <c r="H53" s="16" t="n">
        <v>0</v>
      </c>
      <c r="I53" s="16" t="n">
        <v>0</v>
      </c>
      <c r="J53" s="16" t="n">
        <v>0</v>
      </c>
      <c r="K53" s="16" t="n">
        <v>0</v>
      </c>
    </row>
    <row r="54">
      <c r="A54" s="15" t="inlineStr">
        <is>
          <t>2 Jun</t>
        </is>
      </c>
      <c r="B54" s="15" t="inlineStr">
        <is>
          <t>39328</t>
        </is>
      </c>
      <c r="C54" s="16" t="n">
        <v>0</v>
      </c>
      <c r="D54" s="49" t="n">
        <v>54.66</v>
      </c>
      <c r="E54" s="18" t="n">
        <v>2114</v>
      </c>
      <c r="F54" s="18" t="n">
        <v>3410</v>
      </c>
      <c r="G54" s="19">
        <f>IF(F54=0,0,E54/F54*100)</f>
        <v/>
      </c>
      <c r="H54" s="16" t="n">
        <v>0</v>
      </c>
      <c r="I54" s="16" t="n">
        <v>0</v>
      </c>
      <c r="J54" s="16" t="n">
        <v>0</v>
      </c>
      <c r="K54" s="16" t="n">
        <v>3</v>
      </c>
    </row>
    <row r="55">
      <c r="A55" s="15" t="inlineStr">
        <is>
          <t>2 Jun</t>
        </is>
      </c>
      <c r="B55" s="15" t="inlineStr">
        <is>
          <t>30822</t>
        </is>
      </c>
      <c r="C55" s="16" t="n">
        <v>0</v>
      </c>
      <c r="D55" s="49" t="n">
        <v>40.96</v>
      </c>
      <c r="E55" s="18" t="n">
        <v>1915</v>
      </c>
      <c r="F55" s="18" t="n">
        <v>2971</v>
      </c>
      <c r="G55" s="19">
        <f>IF(F55=0,0,E55/F55*100)</f>
        <v/>
      </c>
      <c r="H55" s="16" t="n">
        <v>0</v>
      </c>
      <c r="I55" s="16" t="n">
        <v>0</v>
      </c>
      <c r="J55" s="16" t="n">
        <v>0</v>
      </c>
      <c r="K55" s="16" t="n">
        <v>1</v>
      </c>
    </row>
    <row r="56">
      <c r="A56" s="15" t="inlineStr">
        <is>
          <t>2 Jun</t>
        </is>
      </c>
      <c r="B56" s="15" t="inlineStr">
        <is>
          <t>37507</t>
        </is>
      </c>
      <c r="C56" s="16" t="n">
        <v>0</v>
      </c>
      <c r="D56" s="49" t="n">
        <v>45.9</v>
      </c>
      <c r="E56" s="18" t="n">
        <v>2317</v>
      </c>
      <c r="F56" s="18" t="n">
        <v>2540</v>
      </c>
      <c r="G56" s="19">
        <f>IF(F56=0,0,E56/F56*100)</f>
        <v/>
      </c>
      <c r="H56" s="16" t="n">
        <v>0</v>
      </c>
      <c r="I56" s="16" t="n">
        <v>0</v>
      </c>
      <c r="J56" s="16" t="n">
        <v>0</v>
      </c>
      <c r="K56" s="16" t="n">
        <v>2</v>
      </c>
    </row>
    <row r="57">
      <c r="A57" s="15" t="inlineStr">
        <is>
          <t>2 Jun</t>
        </is>
      </c>
      <c r="B57" s="15" t="inlineStr">
        <is>
          <t>30470</t>
        </is>
      </c>
      <c r="C57" s="16" t="n">
        <v>0</v>
      </c>
      <c r="D57" s="49" t="n">
        <v>6.08</v>
      </c>
      <c r="E57" s="18" t="n">
        <v>1542</v>
      </c>
      <c r="F57" s="18" t="n">
        <v>2335</v>
      </c>
      <c r="G57" s="19">
        <f>IF(F57=0,0,E57/F57*100)</f>
        <v/>
      </c>
      <c r="H57" s="16" t="n">
        <v>1</v>
      </c>
      <c r="I57" s="16" t="n">
        <v>0</v>
      </c>
      <c r="J57" s="16" t="n">
        <v>1</v>
      </c>
      <c r="K57" s="16" t="n">
        <v>2</v>
      </c>
    </row>
    <row r="58">
      <c r="A58" s="15" t="inlineStr">
        <is>
          <t>2 Jun</t>
        </is>
      </c>
      <c r="B58" s="15" t="inlineStr">
        <is>
          <t>37164</t>
        </is>
      </c>
      <c r="C58" s="16" t="n">
        <v>0</v>
      </c>
      <c r="D58" s="49" t="n">
        <v>40.62</v>
      </c>
      <c r="E58" s="18" t="n">
        <v>1956</v>
      </c>
      <c r="F58" s="18" t="n">
        <v>2190</v>
      </c>
      <c r="G58" s="19">
        <f>IF(F58=0,0,E58/F58*100)</f>
        <v/>
      </c>
      <c r="H58" s="16" t="n">
        <v>0</v>
      </c>
      <c r="I58" s="16" t="n">
        <v>0</v>
      </c>
      <c r="J58" s="16" t="n">
        <v>0</v>
      </c>
      <c r="K58" s="16" t="n">
        <v>1</v>
      </c>
    </row>
    <row r="59">
      <c r="A59" s="15" t="inlineStr">
        <is>
          <t>2 Jun</t>
        </is>
      </c>
      <c r="B59" s="15" t="inlineStr">
        <is>
          <t>39078</t>
        </is>
      </c>
      <c r="C59" s="16" t="n">
        <v>0</v>
      </c>
      <c r="D59" s="49" t="n">
        <v>54.81</v>
      </c>
      <c r="E59" s="18" t="n">
        <v>1113</v>
      </c>
      <c r="F59" s="18" t="n">
        <v>1964</v>
      </c>
      <c r="G59" s="19">
        <f>IF(F59=0,0,E59/F59*100)</f>
        <v/>
      </c>
      <c r="H59" s="16" t="n">
        <v>0</v>
      </c>
      <c r="I59" s="16" t="n">
        <v>0</v>
      </c>
      <c r="J59" s="16" t="n">
        <v>0</v>
      </c>
      <c r="K59" s="16" t="n">
        <v>2</v>
      </c>
    </row>
    <row r="60">
      <c r="A60" s="15" t="inlineStr">
        <is>
          <t>2 Jun</t>
        </is>
      </c>
      <c r="B60" s="15" t="inlineStr">
        <is>
          <t>30484</t>
        </is>
      </c>
      <c r="C60" s="16" t="n">
        <v>0</v>
      </c>
      <c r="D60" s="49" t="n">
        <v>82.09999999999999</v>
      </c>
      <c r="E60" s="18" t="n">
        <v>1181</v>
      </c>
      <c r="F60" s="18" t="n">
        <v>1834</v>
      </c>
      <c r="G60" s="19">
        <f>IF(F60=0,0,E60/F60*100)</f>
        <v/>
      </c>
      <c r="H60" s="16" t="n">
        <v>0</v>
      </c>
      <c r="I60" s="16" t="n">
        <v>0</v>
      </c>
      <c r="J60" s="16" t="n">
        <v>0</v>
      </c>
      <c r="K60" s="16" t="n">
        <v>2</v>
      </c>
    </row>
    <row r="61">
      <c r="A61" s="15" t="inlineStr">
        <is>
          <t>2 Jun</t>
        </is>
      </c>
      <c r="B61" s="15" t="inlineStr">
        <is>
          <t>37885</t>
        </is>
      </c>
      <c r="C61" s="16" t="n">
        <v>0</v>
      </c>
      <c r="D61" s="49" t="n">
        <v>36.92</v>
      </c>
      <c r="E61" s="18" t="n">
        <v>851</v>
      </c>
      <c r="F61" s="18" t="n">
        <v>1632</v>
      </c>
      <c r="G61" s="19">
        <f>IF(F61=0,0,E61/F61*100)</f>
        <v/>
      </c>
      <c r="H61" s="16" t="n">
        <v>0</v>
      </c>
      <c r="I61" s="16" t="n">
        <v>0</v>
      </c>
      <c r="J61" s="16" t="n">
        <v>0</v>
      </c>
      <c r="K61" s="16" t="n">
        <v>1</v>
      </c>
    </row>
    <row r="62">
      <c r="A62" s="15" t="inlineStr">
        <is>
          <t>2 Jun</t>
        </is>
      </c>
      <c r="B62" s="15" t="inlineStr">
        <is>
          <t>30476</t>
        </is>
      </c>
      <c r="C62" s="16" t="n">
        <v>0</v>
      </c>
      <c r="D62" s="49" t="n">
        <v>8.51</v>
      </c>
      <c r="E62" s="18" t="n">
        <v>1247</v>
      </c>
      <c r="F62" s="18" t="n">
        <v>1252</v>
      </c>
      <c r="G62" s="19">
        <f>IF(F62=0,0,E62/F62*100)</f>
        <v/>
      </c>
      <c r="H62" s="16" t="n">
        <v>0</v>
      </c>
      <c r="I62" s="16" t="n">
        <v>0</v>
      </c>
      <c r="J62" s="16" t="n">
        <v>0</v>
      </c>
      <c r="K62" s="16" t="n">
        <v>0</v>
      </c>
    </row>
    <row r="63">
      <c r="A63" s="15" t="inlineStr">
        <is>
          <t>2 Jun</t>
        </is>
      </c>
      <c r="B63" s="15" t="inlineStr">
        <is>
          <t>37793</t>
        </is>
      </c>
      <c r="C63" s="16" t="n">
        <v>0</v>
      </c>
      <c r="D63" s="49" t="n">
        <v>37.92</v>
      </c>
      <c r="E63" s="18" t="n">
        <v>0</v>
      </c>
      <c r="F63" s="18" t="n">
        <v>28</v>
      </c>
      <c r="G63" s="19">
        <f>IF(F63=0,0,E63/F63*100)</f>
        <v/>
      </c>
      <c r="H63" s="16" t="n">
        <v>0</v>
      </c>
      <c r="I63" s="16" t="n">
        <v>0</v>
      </c>
      <c r="J63" s="16" t="n">
        <v>0</v>
      </c>
      <c r="K63" s="16" t="n">
        <v>0</v>
      </c>
    </row>
    <row r="64">
      <c r="A64" s="20" t="inlineStr">
        <is>
          <t>2 Jun</t>
        </is>
      </c>
      <c r="B64" s="20" t="inlineStr">
        <is>
          <t>Day Total</t>
        </is>
      </c>
      <c r="C64" s="21">
        <f>SUM(C34:C63)</f>
        <v/>
      </c>
      <c r="D64" s="50">
        <f>SUM(D34:D63)</f>
        <v/>
      </c>
      <c r="E64" s="23">
        <f>SUM(E34:E63)</f>
        <v/>
      </c>
      <c r="F64" s="23">
        <f>SUM(F34:F63)</f>
        <v/>
      </c>
      <c r="G64" s="24">
        <f>IF(F64=0,0,E64/F64*100)</f>
        <v/>
      </c>
      <c r="H64" s="21">
        <f>SUM(H34:H63)</f>
        <v/>
      </c>
      <c r="I64" s="21">
        <f>SUM(I34:I63)</f>
        <v/>
      </c>
      <c r="J64" s="21">
        <f>SUM(J34:J63)</f>
        <v/>
      </c>
      <c r="K64" s="21">
        <f>SUM(K34:K63)</f>
        <v/>
      </c>
    </row>
    <row r="65">
      <c r="A65" s="15" t="inlineStr">
        <is>
          <t>3 Jun</t>
        </is>
      </c>
      <c r="B65" s="15" t="inlineStr">
        <is>
          <t>42012</t>
        </is>
      </c>
      <c r="C65" s="16" t="n">
        <v>1</v>
      </c>
      <c r="D65" s="49" t="n">
        <v>93.91</v>
      </c>
      <c r="E65" s="18" t="n">
        <v>5732</v>
      </c>
      <c r="F65" s="18" t="n">
        <v>7079</v>
      </c>
      <c r="G65" s="19">
        <f>IF(F65=0,0,E65/F65*100)</f>
        <v/>
      </c>
      <c r="H65" s="16" t="n">
        <v>0</v>
      </c>
      <c r="I65" s="16" t="n">
        <v>0</v>
      </c>
      <c r="J65" s="16" t="n">
        <v>0</v>
      </c>
      <c r="K65" s="16" t="n">
        <v>3</v>
      </c>
    </row>
    <row r="66">
      <c r="A66" s="15" t="inlineStr">
        <is>
          <t>3 Jun</t>
        </is>
      </c>
      <c r="B66" s="15" t="inlineStr">
        <is>
          <t>37491</t>
        </is>
      </c>
      <c r="C66" s="16" t="n">
        <v>1</v>
      </c>
      <c r="D66" s="49" t="n">
        <v>93.31999999999999</v>
      </c>
      <c r="E66" s="18" t="n">
        <v>6055</v>
      </c>
      <c r="F66" s="18" t="n">
        <v>6623</v>
      </c>
      <c r="G66" s="19">
        <f>IF(F66=0,0,E66/F66*100)</f>
        <v/>
      </c>
      <c r="H66" s="16" t="n">
        <v>0</v>
      </c>
      <c r="I66" s="16" t="n">
        <v>0</v>
      </c>
      <c r="J66" s="16" t="n">
        <v>0</v>
      </c>
      <c r="K66" s="16" t="n">
        <v>3</v>
      </c>
    </row>
    <row r="67">
      <c r="A67" s="15" t="inlineStr">
        <is>
          <t>3 Jun</t>
        </is>
      </c>
      <c r="B67" s="15" t="inlineStr">
        <is>
          <t>37131</t>
        </is>
      </c>
      <c r="C67" s="16" t="n">
        <v>1</v>
      </c>
      <c r="D67" s="49" t="n">
        <v>93.31999999999999</v>
      </c>
      <c r="E67" s="18" t="n">
        <v>5574</v>
      </c>
      <c r="F67" s="18" t="n">
        <v>6515</v>
      </c>
      <c r="G67" s="19">
        <f>IF(F67=0,0,E67/F67*100)</f>
        <v/>
      </c>
      <c r="H67" s="16" t="n">
        <v>0</v>
      </c>
      <c r="I67" s="16" t="n">
        <v>0</v>
      </c>
      <c r="J67" s="16" t="n">
        <v>0</v>
      </c>
      <c r="K67" s="16" t="n">
        <v>5</v>
      </c>
    </row>
    <row r="68">
      <c r="A68" s="15" t="inlineStr">
        <is>
          <t>3 Jun</t>
        </is>
      </c>
      <c r="B68" s="15" t="inlineStr">
        <is>
          <t>37019</t>
        </is>
      </c>
      <c r="C68" s="16" t="n">
        <v>1</v>
      </c>
      <c r="D68" s="49" t="n">
        <v>93.87</v>
      </c>
      <c r="E68" s="18" t="n">
        <v>4652</v>
      </c>
      <c r="F68" s="18" t="n">
        <v>5973</v>
      </c>
      <c r="G68" s="19">
        <f>IF(F68=0,0,E68/F68*100)</f>
        <v/>
      </c>
      <c r="H68" s="16" t="n">
        <v>0</v>
      </c>
      <c r="I68" s="16" t="n">
        <v>0</v>
      </c>
      <c r="J68" s="16" t="n">
        <v>0</v>
      </c>
      <c r="K68" s="16" t="n">
        <v>2</v>
      </c>
    </row>
    <row r="69">
      <c r="A69" s="15" t="inlineStr">
        <is>
          <t>3 Jun</t>
        </is>
      </c>
      <c r="B69" s="15" t="inlineStr">
        <is>
          <t>37752</t>
        </is>
      </c>
      <c r="C69" s="16" t="n">
        <v>1</v>
      </c>
      <c r="D69" s="49" t="n">
        <v>93.91</v>
      </c>
      <c r="E69" s="18" t="n">
        <v>4596</v>
      </c>
      <c r="F69" s="18" t="n">
        <v>5955</v>
      </c>
      <c r="G69" s="19">
        <f>IF(F69=0,0,E69/F69*100)</f>
        <v/>
      </c>
      <c r="H69" s="16" t="n">
        <v>0</v>
      </c>
      <c r="I69" s="16" t="n">
        <v>0</v>
      </c>
      <c r="J69" s="16" t="n">
        <v>0</v>
      </c>
      <c r="K69" s="16" t="n">
        <v>4</v>
      </c>
    </row>
    <row r="70">
      <c r="A70" s="15" t="inlineStr">
        <is>
          <t>3 Jun</t>
        </is>
      </c>
      <c r="B70" s="15" t="inlineStr">
        <is>
          <t>30635</t>
        </is>
      </c>
      <c r="C70" s="16" t="n">
        <v>1</v>
      </c>
      <c r="D70" s="49" t="n">
        <v>93.90000000000001</v>
      </c>
      <c r="E70" s="18" t="n">
        <v>4843</v>
      </c>
      <c r="F70" s="18" t="n">
        <v>5778</v>
      </c>
      <c r="G70" s="19">
        <f>IF(F70=0,0,E70/F70*100)</f>
        <v/>
      </c>
      <c r="H70" s="16" t="n">
        <v>0</v>
      </c>
      <c r="I70" s="16" t="n">
        <v>0</v>
      </c>
      <c r="J70" s="16" t="n">
        <v>0</v>
      </c>
      <c r="K70" s="16" t="n">
        <v>5</v>
      </c>
    </row>
    <row r="71">
      <c r="A71" s="15" t="inlineStr">
        <is>
          <t>3 Jun</t>
        </is>
      </c>
      <c r="B71" s="15" t="inlineStr">
        <is>
          <t>39247</t>
        </is>
      </c>
      <c r="C71" s="16" t="n">
        <v>1</v>
      </c>
      <c r="D71" s="49" t="n">
        <v>93.91</v>
      </c>
      <c r="E71" s="18" t="n">
        <v>4527</v>
      </c>
      <c r="F71" s="18" t="n">
        <v>5750</v>
      </c>
      <c r="G71" s="19">
        <f>IF(F71=0,0,E71/F71*100)</f>
        <v/>
      </c>
      <c r="H71" s="16" t="n">
        <v>1</v>
      </c>
      <c r="I71" s="16" t="n">
        <v>1</v>
      </c>
      <c r="J71" s="16" t="n">
        <v>0</v>
      </c>
      <c r="K71" s="16" t="n">
        <v>3</v>
      </c>
    </row>
    <row r="72">
      <c r="A72" s="15" t="inlineStr">
        <is>
          <t>3 Jun</t>
        </is>
      </c>
      <c r="B72" s="15" t="inlineStr">
        <is>
          <t>37286</t>
        </is>
      </c>
      <c r="C72" s="16" t="n">
        <v>1</v>
      </c>
      <c r="D72" s="49" t="n">
        <v>93.90000000000001</v>
      </c>
      <c r="E72" s="18" t="n">
        <v>4782</v>
      </c>
      <c r="F72" s="18" t="n">
        <v>5671</v>
      </c>
      <c r="G72" s="19">
        <f>IF(F72=0,0,E72/F72*100)</f>
        <v/>
      </c>
      <c r="H72" s="16" t="n">
        <v>0</v>
      </c>
      <c r="I72" s="16" t="n">
        <v>0</v>
      </c>
      <c r="J72" s="16" t="n">
        <v>0</v>
      </c>
      <c r="K72" s="16" t="n">
        <v>4</v>
      </c>
    </row>
    <row r="73">
      <c r="A73" s="15" t="inlineStr">
        <is>
          <t>3 Jun</t>
        </is>
      </c>
      <c r="B73" s="15" t="inlineStr">
        <is>
          <t>39412</t>
        </is>
      </c>
      <c r="C73" s="16" t="n">
        <v>1</v>
      </c>
      <c r="D73" s="49" t="n">
        <v>93.89</v>
      </c>
      <c r="E73" s="18" t="n">
        <v>4410</v>
      </c>
      <c r="F73" s="18" t="n">
        <v>5620</v>
      </c>
      <c r="G73" s="19">
        <f>IF(F73=0,0,E73/F73*100)</f>
        <v/>
      </c>
      <c r="H73" s="16" t="n">
        <v>0</v>
      </c>
      <c r="I73" s="16" t="n">
        <v>0</v>
      </c>
      <c r="J73" s="16" t="n">
        <v>0</v>
      </c>
      <c r="K73" s="16" t="n">
        <v>2</v>
      </c>
    </row>
    <row r="74">
      <c r="A74" s="15" t="inlineStr">
        <is>
          <t>3 Jun</t>
        </is>
      </c>
      <c r="B74" s="15" t="inlineStr">
        <is>
          <t>37279</t>
        </is>
      </c>
      <c r="C74" s="16" t="n">
        <v>1</v>
      </c>
      <c r="D74" s="49" t="n">
        <v>93.91</v>
      </c>
      <c r="E74" s="18" t="n">
        <v>4705</v>
      </c>
      <c r="F74" s="18" t="n">
        <v>5260</v>
      </c>
      <c r="G74" s="19">
        <f>IF(F74=0,0,E74/F74*100)</f>
        <v/>
      </c>
      <c r="H74" s="16" t="n">
        <v>0</v>
      </c>
      <c r="I74" s="16" t="n">
        <v>0</v>
      </c>
      <c r="J74" s="16" t="n">
        <v>0</v>
      </c>
      <c r="K74" s="16" t="n">
        <v>2</v>
      </c>
    </row>
    <row r="75">
      <c r="A75" s="15" t="inlineStr">
        <is>
          <t>3 Jun</t>
        </is>
      </c>
      <c r="B75" s="15" t="inlineStr">
        <is>
          <t>30823</t>
        </is>
      </c>
      <c r="C75" s="16" t="n">
        <v>1</v>
      </c>
      <c r="D75" s="49" t="n">
        <v>93.87</v>
      </c>
      <c r="E75" s="18" t="n">
        <v>4113</v>
      </c>
      <c r="F75" s="18" t="n">
        <v>5078</v>
      </c>
      <c r="G75" s="19">
        <f>IF(F75=0,0,E75/F75*100)</f>
        <v/>
      </c>
      <c r="H75" s="16" t="n">
        <v>0</v>
      </c>
      <c r="I75" s="16" t="n">
        <v>0</v>
      </c>
      <c r="J75" s="16" t="n">
        <v>0</v>
      </c>
      <c r="K75" s="16" t="n">
        <v>3</v>
      </c>
    </row>
    <row r="76">
      <c r="A76" s="15" t="inlineStr">
        <is>
          <t>3 Jun</t>
        </is>
      </c>
      <c r="B76" s="15" t="inlineStr">
        <is>
          <t>39015</t>
        </is>
      </c>
      <c r="C76" s="16" t="n">
        <v>1</v>
      </c>
      <c r="D76" s="49" t="n">
        <v>93.91</v>
      </c>
      <c r="E76" s="18" t="n">
        <v>4054</v>
      </c>
      <c r="F76" s="18" t="n">
        <v>4745</v>
      </c>
      <c r="G76" s="19">
        <f>IF(F76=0,0,E76/F76*100)</f>
        <v/>
      </c>
      <c r="H76" s="16" t="n">
        <v>0</v>
      </c>
      <c r="I76" s="16" t="n">
        <v>0</v>
      </c>
      <c r="J76" s="16" t="n">
        <v>0</v>
      </c>
      <c r="K76" s="16" t="n">
        <v>2</v>
      </c>
    </row>
    <row r="77">
      <c r="A77" s="15" t="inlineStr">
        <is>
          <t>3 Jun</t>
        </is>
      </c>
      <c r="B77" s="15" t="inlineStr">
        <is>
          <t>39314</t>
        </is>
      </c>
      <c r="C77" s="16" t="n">
        <v>1</v>
      </c>
      <c r="D77" s="49" t="n">
        <v>93.89</v>
      </c>
      <c r="E77" s="18" t="n">
        <v>3456</v>
      </c>
      <c r="F77" s="18" t="n">
        <v>4301</v>
      </c>
      <c r="G77" s="19">
        <f>IF(F77=0,0,E77/F77*100)</f>
        <v/>
      </c>
      <c r="H77" s="16" t="n">
        <v>0</v>
      </c>
      <c r="I77" s="16" t="n">
        <v>0</v>
      </c>
      <c r="J77" s="16" t="n">
        <v>0</v>
      </c>
      <c r="K77" s="16" t="n">
        <v>4</v>
      </c>
    </row>
    <row r="78">
      <c r="A78" s="15" t="inlineStr">
        <is>
          <t>3 Jun</t>
        </is>
      </c>
      <c r="B78" s="15" t="inlineStr">
        <is>
          <t>30759</t>
        </is>
      </c>
      <c r="C78" s="16" t="n">
        <v>1</v>
      </c>
      <c r="D78" s="49" t="n">
        <v>93.89</v>
      </c>
      <c r="E78" s="18" t="n">
        <v>3457</v>
      </c>
      <c r="F78" s="18" t="n">
        <v>3866</v>
      </c>
      <c r="G78" s="19">
        <f>IF(F78=0,0,E78/F78*100)</f>
        <v/>
      </c>
      <c r="H78" s="16" t="n">
        <v>0</v>
      </c>
      <c r="I78" s="16" t="n">
        <v>0</v>
      </c>
      <c r="J78" s="16" t="n">
        <v>0</v>
      </c>
      <c r="K78" s="16" t="n">
        <v>2</v>
      </c>
    </row>
    <row r="79">
      <c r="A79" s="15" t="inlineStr">
        <is>
          <t>3 Jun</t>
        </is>
      </c>
      <c r="B79" s="15" t="inlineStr">
        <is>
          <t>37507</t>
        </is>
      </c>
      <c r="C79" s="16" t="n">
        <v>0</v>
      </c>
      <c r="D79" s="49" t="n">
        <v>79.03</v>
      </c>
      <c r="E79" s="18" t="n">
        <v>5604</v>
      </c>
      <c r="F79" s="18" t="n">
        <v>7245</v>
      </c>
      <c r="G79" s="19">
        <f>IF(F79=0,0,E79/F79*100)</f>
        <v/>
      </c>
      <c r="H79" s="16" t="n">
        <v>0</v>
      </c>
      <c r="I79" s="16" t="n">
        <v>0</v>
      </c>
      <c r="J79" s="16" t="n">
        <v>0</v>
      </c>
      <c r="K79" s="16" t="n">
        <v>6</v>
      </c>
    </row>
    <row r="80">
      <c r="A80" s="15" t="inlineStr">
        <is>
          <t>3 Jun</t>
        </is>
      </c>
      <c r="B80" s="15" t="inlineStr">
        <is>
          <t>37383</t>
        </is>
      </c>
      <c r="C80" s="16" t="n">
        <v>0</v>
      </c>
      <c r="D80" s="49" t="n">
        <v>40.44</v>
      </c>
      <c r="E80" s="18" t="n">
        <v>2533</v>
      </c>
      <c r="F80" s="18" t="n">
        <v>5198</v>
      </c>
      <c r="G80" s="19">
        <f>IF(F80=0,0,E80/F80*100)</f>
        <v/>
      </c>
      <c r="H80" s="16" t="n">
        <v>0</v>
      </c>
      <c r="I80" s="16" t="n">
        <v>0</v>
      </c>
      <c r="J80" s="16" t="n">
        <v>0</v>
      </c>
      <c r="K80" s="16" t="n">
        <v>2</v>
      </c>
    </row>
    <row r="81">
      <c r="A81" s="15" t="inlineStr">
        <is>
          <t>3 Jun</t>
        </is>
      </c>
      <c r="B81" s="15" t="inlineStr">
        <is>
          <t>30474</t>
        </is>
      </c>
      <c r="C81" s="16" t="n">
        <v>0</v>
      </c>
      <c r="D81" s="49" t="n">
        <v>74.42</v>
      </c>
      <c r="E81" s="18" t="n">
        <v>4430</v>
      </c>
      <c r="F81" s="18" t="n">
        <v>4601</v>
      </c>
      <c r="G81" s="19">
        <f>IF(F81=0,0,E81/F81*100)</f>
        <v/>
      </c>
      <c r="H81" s="16" t="n">
        <v>0</v>
      </c>
      <c r="I81" s="16" t="n">
        <v>0</v>
      </c>
      <c r="J81" s="16" t="n">
        <v>0</v>
      </c>
      <c r="K81" s="16" t="n">
        <v>3</v>
      </c>
    </row>
    <row r="82">
      <c r="A82" s="15" t="inlineStr">
        <is>
          <t>3 Jun</t>
        </is>
      </c>
      <c r="B82" s="15" t="inlineStr">
        <is>
          <t>37164</t>
        </is>
      </c>
      <c r="C82" s="16" t="n">
        <v>0</v>
      </c>
      <c r="D82" s="49" t="n">
        <v>52.69</v>
      </c>
      <c r="E82" s="18" t="n">
        <v>4023</v>
      </c>
      <c r="F82" s="18" t="n">
        <v>4023</v>
      </c>
      <c r="G82" s="19">
        <f>IF(F82=0,0,E82/F82*100)</f>
        <v/>
      </c>
      <c r="H82" s="16" t="n">
        <v>0</v>
      </c>
      <c r="I82" s="16" t="n">
        <v>0</v>
      </c>
      <c r="J82" s="16" t="n">
        <v>0</v>
      </c>
      <c r="K82" s="16" t="n">
        <v>0</v>
      </c>
    </row>
    <row r="83">
      <c r="A83" s="15" t="inlineStr">
        <is>
          <t>3 Jun</t>
        </is>
      </c>
      <c r="B83" s="15" t="inlineStr">
        <is>
          <t>39131</t>
        </is>
      </c>
      <c r="C83" s="16" t="n">
        <v>0</v>
      </c>
      <c r="D83" s="49" t="n">
        <v>74.06</v>
      </c>
      <c r="E83" s="18" t="n">
        <v>3719</v>
      </c>
      <c r="F83" s="18" t="n">
        <v>3893</v>
      </c>
      <c r="G83" s="19">
        <f>IF(F83=0,0,E83/F83*100)</f>
        <v/>
      </c>
      <c r="H83" s="16" t="n">
        <v>0</v>
      </c>
      <c r="I83" s="16" t="n">
        <v>0</v>
      </c>
      <c r="J83" s="16" t="n">
        <v>0</v>
      </c>
      <c r="K83" s="16" t="n">
        <v>1</v>
      </c>
    </row>
    <row r="84">
      <c r="A84" s="15" t="inlineStr">
        <is>
          <t>3 Jun</t>
        </is>
      </c>
      <c r="B84" s="15" t="inlineStr">
        <is>
          <t>37816</t>
        </is>
      </c>
      <c r="C84" s="16" t="n">
        <v>0</v>
      </c>
      <c r="D84" s="49" t="n">
        <v>40.92</v>
      </c>
      <c r="E84" s="18" t="n">
        <v>1994</v>
      </c>
      <c r="F84" s="18" t="n">
        <v>3356</v>
      </c>
      <c r="G84" s="19">
        <f>IF(F84=0,0,E84/F84*100)</f>
        <v/>
      </c>
      <c r="H84" s="16" t="n">
        <v>0</v>
      </c>
      <c r="I84" s="16" t="n">
        <v>0</v>
      </c>
      <c r="J84" s="16" t="n">
        <v>0</v>
      </c>
      <c r="K84" s="16" t="n">
        <v>3</v>
      </c>
    </row>
    <row r="85">
      <c r="A85" s="15" t="inlineStr">
        <is>
          <t>3 Jun</t>
        </is>
      </c>
      <c r="B85" s="15" t="inlineStr">
        <is>
          <t>30791</t>
        </is>
      </c>
      <c r="C85" s="16" t="n">
        <v>0</v>
      </c>
      <c r="D85" s="49" t="n">
        <v>82.05</v>
      </c>
      <c r="E85" s="18" t="n">
        <v>2105</v>
      </c>
      <c r="F85" s="18" t="n">
        <v>3331</v>
      </c>
      <c r="G85" s="19">
        <f>IF(F85=0,0,E85/F85*100)</f>
        <v/>
      </c>
      <c r="H85" s="16" t="n">
        <v>0</v>
      </c>
      <c r="I85" s="16" t="n">
        <v>0</v>
      </c>
      <c r="J85" s="16" t="n">
        <v>0</v>
      </c>
      <c r="K85" s="16" t="n">
        <v>1</v>
      </c>
    </row>
    <row r="86">
      <c r="A86" s="15" t="inlineStr">
        <is>
          <t>3 Jun</t>
        </is>
      </c>
      <c r="B86" s="15" t="inlineStr">
        <is>
          <t>30821</t>
        </is>
      </c>
      <c r="C86" s="16" t="n">
        <v>0</v>
      </c>
      <c r="D86" s="49" t="n">
        <v>37</v>
      </c>
      <c r="E86" s="18" t="n">
        <v>1097</v>
      </c>
      <c r="F86" s="18" t="n">
        <v>1958</v>
      </c>
      <c r="G86" s="19">
        <f>IF(F86=0,0,E86/F86*100)</f>
        <v/>
      </c>
      <c r="H86" s="16" t="n">
        <v>0</v>
      </c>
      <c r="I86" s="16" t="n">
        <v>0</v>
      </c>
      <c r="J86" s="16" t="n">
        <v>0</v>
      </c>
      <c r="K86" s="16" t="n">
        <v>1</v>
      </c>
    </row>
    <row r="87">
      <c r="A87" s="15" t="inlineStr">
        <is>
          <t>3 Jun</t>
        </is>
      </c>
      <c r="B87" s="15" t="inlineStr">
        <is>
          <t>30822</t>
        </is>
      </c>
      <c r="C87" s="16" t="n">
        <v>0</v>
      </c>
      <c r="D87" s="49" t="n">
        <v>34.33</v>
      </c>
      <c r="E87" s="18" t="n">
        <v>1015</v>
      </c>
      <c r="F87" s="18" t="n">
        <v>1880</v>
      </c>
      <c r="G87" s="19">
        <f>IF(F87=0,0,E87/F87*100)</f>
        <v/>
      </c>
      <c r="H87" s="16" t="n">
        <v>0</v>
      </c>
      <c r="I87" s="16" t="n">
        <v>0</v>
      </c>
      <c r="J87" s="16" t="n">
        <v>0</v>
      </c>
      <c r="K87" s="16" t="n">
        <v>1</v>
      </c>
    </row>
    <row r="88">
      <c r="A88" s="15" t="inlineStr">
        <is>
          <t>3 Jun</t>
        </is>
      </c>
      <c r="B88" s="15" t="inlineStr">
        <is>
          <t>30484</t>
        </is>
      </c>
      <c r="C88" s="16" t="n">
        <v>0</v>
      </c>
      <c r="D88" s="49" t="n">
        <v>41.04</v>
      </c>
      <c r="E88" s="18" t="n">
        <v>700</v>
      </c>
      <c r="F88" s="18" t="n">
        <v>1490</v>
      </c>
      <c r="G88" s="19">
        <f>IF(F88=0,0,E88/F88*100)</f>
        <v/>
      </c>
      <c r="H88" s="16" t="n">
        <v>0</v>
      </c>
      <c r="I88" s="16" t="n">
        <v>0</v>
      </c>
      <c r="J88" s="16" t="n">
        <v>0</v>
      </c>
      <c r="K88" s="16" t="n">
        <v>1</v>
      </c>
    </row>
    <row r="89">
      <c r="A89" s="15" t="inlineStr">
        <is>
          <t>3 Jun</t>
        </is>
      </c>
      <c r="B89" s="15" t="inlineStr">
        <is>
          <t>39328</t>
        </is>
      </c>
      <c r="C89" s="16" t="n">
        <v>0</v>
      </c>
      <c r="D89" s="49" t="n">
        <v>52.94</v>
      </c>
      <c r="E89" s="18" t="n">
        <v>851</v>
      </c>
      <c r="F89" s="18" t="n">
        <v>1382</v>
      </c>
      <c r="G89" s="19">
        <f>IF(F89=0,0,E89/F89*100)</f>
        <v/>
      </c>
      <c r="H89" s="16" t="n">
        <v>0</v>
      </c>
      <c r="I89" s="16" t="n">
        <v>0</v>
      </c>
      <c r="J89" s="16" t="n">
        <v>0</v>
      </c>
      <c r="K89" s="16" t="n">
        <v>1</v>
      </c>
    </row>
    <row r="90">
      <c r="A90" s="15" t="inlineStr">
        <is>
          <t>3 Jun</t>
        </is>
      </c>
      <c r="B90" s="15" t="inlineStr">
        <is>
          <t>37163</t>
        </is>
      </c>
      <c r="C90" s="16" t="n">
        <v>0</v>
      </c>
      <c r="D90" s="49" t="n">
        <v>38.52</v>
      </c>
      <c r="E90" s="18" t="n">
        <v>747</v>
      </c>
      <c r="F90" s="18" t="n">
        <v>1361</v>
      </c>
      <c r="G90" s="19">
        <f>IF(F90=0,0,E90/F90*100)</f>
        <v/>
      </c>
      <c r="H90" s="16" t="n">
        <v>0</v>
      </c>
      <c r="I90" s="16" t="n">
        <v>0</v>
      </c>
      <c r="J90" s="16" t="n">
        <v>0</v>
      </c>
      <c r="K90" s="16" t="n">
        <v>1</v>
      </c>
    </row>
    <row r="91">
      <c r="A91" s="15" t="inlineStr">
        <is>
          <t>3 Jun</t>
        </is>
      </c>
      <c r="B91" s="15" t="inlineStr">
        <is>
          <t>37291</t>
        </is>
      </c>
      <c r="C91" s="16" t="n">
        <v>0</v>
      </c>
      <c r="D91" s="49" t="n">
        <v>53.06</v>
      </c>
      <c r="E91" s="18" t="n">
        <v>301</v>
      </c>
      <c r="F91" s="18" t="n">
        <v>320</v>
      </c>
      <c r="G91" s="19">
        <f>IF(F91=0,0,E91/F91*100)</f>
        <v/>
      </c>
      <c r="H91" s="16" t="n">
        <v>0</v>
      </c>
      <c r="I91" s="16" t="n">
        <v>0</v>
      </c>
      <c r="J91" s="16" t="n">
        <v>0</v>
      </c>
      <c r="K91" s="16" t="n">
        <v>1</v>
      </c>
    </row>
    <row r="92">
      <c r="A92" s="20" t="inlineStr">
        <is>
          <t>3 Jun</t>
        </is>
      </c>
      <c r="B92" s="20" t="inlineStr">
        <is>
          <t>Day Total</t>
        </is>
      </c>
      <c r="C92" s="21">
        <f>SUM(C65:C91)</f>
        <v/>
      </c>
      <c r="D92" s="50">
        <f>SUM(D65:D91)</f>
        <v/>
      </c>
      <c r="E92" s="23">
        <f>SUM(E65:E91)</f>
        <v/>
      </c>
      <c r="F92" s="23">
        <f>SUM(F65:F91)</f>
        <v/>
      </c>
      <c r="G92" s="24">
        <f>IF(F92=0,0,E92/F92*100)</f>
        <v/>
      </c>
      <c r="H92" s="21">
        <f>SUM(H65:H91)</f>
        <v/>
      </c>
      <c r="I92" s="21">
        <f>SUM(I65:I91)</f>
        <v/>
      </c>
      <c r="J92" s="21">
        <f>SUM(J65:J91)</f>
        <v/>
      </c>
      <c r="K92" s="21">
        <f>SUM(K65:K91)</f>
        <v/>
      </c>
    </row>
    <row r="93">
      <c r="A93" s="15" t="inlineStr">
        <is>
          <t>4 Jun</t>
        </is>
      </c>
      <c r="B93" s="15" t="inlineStr">
        <is>
          <t>30759</t>
        </is>
      </c>
      <c r="C93" s="16" t="n">
        <v>2</v>
      </c>
      <c r="D93" s="49" t="n">
        <v>93.90000000000001</v>
      </c>
      <c r="E93" s="18" t="n">
        <v>10070</v>
      </c>
      <c r="F93" s="18" t="n">
        <v>11710</v>
      </c>
      <c r="G93" s="19">
        <f>IF(F93=0,0,E93/F93*100)</f>
        <v/>
      </c>
      <c r="H93" s="16" t="n">
        <v>0</v>
      </c>
      <c r="I93" s="16" t="n">
        <v>0</v>
      </c>
      <c r="J93" s="16" t="n">
        <v>0</v>
      </c>
      <c r="K93" s="16" t="n">
        <v>5</v>
      </c>
    </row>
    <row r="94">
      <c r="A94" s="15" t="inlineStr">
        <is>
          <t>4 Jun</t>
        </is>
      </c>
      <c r="B94" s="15" t="inlineStr">
        <is>
          <t>39314</t>
        </is>
      </c>
      <c r="C94" s="16" t="n">
        <v>1</v>
      </c>
      <c r="D94" s="49" t="n">
        <v>88.92</v>
      </c>
      <c r="E94" s="18" t="n">
        <v>5875</v>
      </c>
      <c r="F94" s="18" t="n">
        <v>6321</v>
      </c>
      <c r="G94" s="19">
        <f>IF(F94=0,0,E94/F94*100)</f>
        <v/>
      </c>
      <c r="H94" s="16" t="n">
        <v>0</v>
      </c>
      <c r="I94" s="16" t="n">
        <v>0</v>
      </c>
      <c r="J94" s="16" t="n">
        <v>0</v>
      </c>
      <c r="K94" s="16" t="n">
        <v>6</v>
      </c>
    </row>
    <row r="95">
      <c r="A95" s="15" t="inlineStr">
        <is>
          <t>4 Jun</t>
        </is>
      </c>
      <c r="B95" s="15" t="inlineStr">
        <is>
          <t>30814</t>
        </is>
      </c>
      <c r="C95" s="16" t="n">
        <v>1</v>
      </c>
      <c r="D95" s="49" t="n">
        <v>93.91</v>
      </c>
      <c r="E95" s="18" t="n">
        <v>4881</v>
      </c>
      <c r="F95" s="18" t="n">
        <v>6038</v>
      </c>
      <c r="G95" s="19">
        <f>IF(F95=0,0,E95/F95*100)</f>
        <v/>
      </c>
      <c r="H95" s="16" t="n">
        <v>0</v>
      </c>
      <c r="I95" s="16" t="n">
        <v>0</v>
      </c>
      <c r="J95" s="16" t="n">
        <v>0</v>
      </c>
      <c r="K95" s="16" t="n">
        <v>4</v>
      </c>
    </row>
    <row r="96">
      <c r="A96" s="15" t="inlineStr">
        <is>
          <t>4 Jun</t>
        </is>
      </c>
      <c r="B96" s="15" t="inlineStr">
        <is>
          <t>39131</t>
        </is>
      </c>
      <c r="C96" s="16" t="n">
        <v>1</v>
      </c>
      <c r="D96" s="49" t="n">
        <v>93.90000000000001</v>
      </c>
      <c r="E96" s="18" t="n">
        <v>4474</v>
      </c>
      <c r="F96" s="18" t="n">
        <v>5765</v>
      </c>
      <c r="G96" s="19">
        <f>IF(F96=0,0,E96/F96*100)</f>
        <v/>
      </c>
      <c r="H96" s="16" t="n">
        <v>0</v>
      </c>
      <c r="I96" s="16" t="n">
        <v>0</v>
      </c>
      <c r="J96" s="16" t="n">
        <v>0</v>
      </c>
      <c r="K96" s="16" t="n">
        <v>6</v>
      </c>
    </row>
    <row r="97">
      <c r="A97" s="15" t="inlineStr">
        <is>
          <t>4 Jun</t>
        </is>
      </c>
      <c r="B97" s="15" t="inlineStr">
        <is>
          <t>39015</t>
        </is>
      </c>
      <c r="C97" s="16" t="n">
        <v>1</v>
      </c>
      <c r="D97" s="49" t="n">
        <v>93.88</v>
      </c>
      <c r="E97" s="18" t="n">
        <v>5190</v>
      </c>
      <c r="F97" s="18" t="n">
        <v>5758</v>
      </c>
      <c r="G97" s="19">
        <f>IF(F97=0,0,E97/F97*100)</f>
        <v/>
      </c>
      <c r="H97" s="16" t="n">
        <v>0</v>
      </c>
      <c r="I97" s="16" t="n">
        <v>0</v>
      </c>
      <c r="J97" s="16" t="n">
        <v>0</v>
      </c>
      <c r="K97" s="16" t="n">
        <v>3</v>
      </c>
    </row>
    <row r="98">
      <c r="A98" s="15" t="inlineStr">
        <is>
          <t>4 Jun</t>
        </is>
      </c>
      <c r="B98" s="15" t="inlineStr">
        <is>
          <t>30757</t>
        </is>
      </c>
      <c r="C98" s="16" t="n">
        <v>1</v>
      </c>
      <c r="D98" s="49" t="n">
        <v>93.88</v>
      </c>
      <c r="E98" s="18" t="n">
        <v>4946</v>
      </c>
      <c r="F98" s="18" t="n">
        <v>5611</v>
      </c>
      <c r="G98" s="19">
        <f>IF(F98=0,0,E98/F98*100)</f>
        <v/>
      </c>
      <c r="H98" s="16" t="n">
        <v>0</v>
      </c>
      <c r="I98" s="16" t="n">
        <v>0</v>
      </c>
      <c r="J98" s="16" t="n">
        <v>0</v>
      </c>
      <c r="K98" s="16" t="n">
        <v>3</v>
      </c>
    </row>
    <row r="99">
      <c r="A99" s="15" t="inlineStr">
        <is>
          <t>4 Jun</t>
        </is>
      </c>
      <c r="B99" s="15" t="inlineStr">
        <is>
          <t>37566</t>
        </is>
      </c>
      <c r="C99" s="16" t="n">
        <v>1</v>
      </c>
      <c r="D99" s="49" t="n">
        <v>93.91</v>
      </c>
      <c r="E99" s="18" t="n">
        <v>4594</v>
      </c>
      <c r="F99" s="18" t="n">
        <v>5587</v>
      </c>
      <c r="G99" s="19">
        <f>IF(F99=0,0,E99/F99*100)</f>
        <v/>
      </c>
      <c r="H99" s="16" t="n">
        <v>0</v>
      </c>
      <c r="I99" s="16" t="n">
        <v>0</v>
      </c>
      <c r="J99" s="16" t="n">
        <v>0</v>
      </c>
      <c r="K99" s="16" t="n">
        <v>3</v>
      </c>
    </row>
    <row r="100">
      <c r="A100" s="15" t="inlineStr">
        <is>
          <t>4 Jun</t>
        </is>
      </c>
      <c r="B100" s="15" t="inlineStr">
        <is>
          <t>37515</t>
        </is>
      </c>
      <c r="C100" s="16" t="n">
        <v>1</v>
      </c>
      <c r="D100" s="49" t="n">
        <v>93.88</v>
      </c>
      <c r="E100" s="18" t="n">
        <v>4351</v>
      </c>
      <c r="F100" s="18" t="n">
        <v>5321</v>
      </c>
      <c r="G100" s="19">
        <f>IF(F100=0,0,E100/F100*100)</f>
        <v/>
      </c>
      <c r="H100" s="16" t="n">
        <v>0</v>
      </c>
      <c r="I100" s="16" t="n">
        <v>0</v>
      </c>
      <c r="J100" s="16" t="n">
        <v>0</v>
      </c>
      <c r="K100" s="16" t="n">
        <v>2</v>
      </c>
    </row>
    <row r="101">
      <c r="A101" s="15" t="inlineStr">
        <is>
          <t>4 Jun</t>
        </is>
      </c>
      <c r="B101" s="15" t="inlineStr">
        <is>
          <t>37812</t>
        </is>
      </c>
      <c r="C101" s="16" t="n">
        <v>1</v>
      </c>
      <c r="D101" s="49" t="n">
        <v>93.88</v>
      </c>
      <c r="E101" s="18" t="n">
        <v>4151</v>
      </c>
      <c r="F101" s="18" t="n">
        <v>5216</v>
      </c>
      <c r="G101" s="19">
        <f>IF(F101=0,0,E101/F101*100)</f>
        <v/>
      </c>
      <c r="H101" s="16" t="n">
        <v>0</v>
      </c>
      <c r="I101" s="16" t="n">
        <v>0</v>
      </c>
      <c r="J101" s="16" t="n">
        <v>0</v>
      </c>
      <c r="K101" s="16" t="n">
        <v>3</v>
      </c>
    </row>
    <row r="102">
      <c r="A102" s="15" t="inlineStr">
        <is>
          <t>4 Jun</t>
        </is>
      </c>
      <c r="B102" s="15" t="inlineStr">
        <is>
          <t>37286</t>
        </is>
      </c>
      <c r="C102" s="16" t="n">
        <v>1</v>
      </c>
      <c r="D102" s="49" t="n">
        <v>93.90000000000001</v>
      </c>
      <c r="E102" s="18" t="n">
        <v>4138</v>
      </c>
      <c r="F102" s="18" t="n">
        <v>5190</v>
      </c>
      <c r="G102" s="19">
        <f>IF(F102=0,0,E102/F102*100)</f>
        <v/>
      </c>
      <c r="H102" s="16" t="n">
        <v>0</v>
      </c>
      <c r="I102" s="16" t="n">
        <v>0</v>
      </c>
      <c r="J102" s="16" t="n">
        <v>0</v>
      </c>
      <c r="K102" s="16" t="n">
        <v>3</v>
      </c>
    </row>
    <row r="103">
      <c r="A103" s="15" t="inlineStr">
        <is>
          <t>4 Jun</t>
        </is>
      </c>
      <c r="B103" s="15" t="inlineStr">
        <is>
          <t>37956</t>
        </is>
      </c>
      <c r="C103" s="16" t="n">
        <v>1</v>
      </c>
      <c r="D103" s="49" t="n">
        <v>93.91</v>
      </c>
      <c r="E103" s="18" t="n">
        <v>4160</v>
      </c>
      <c r="F103" s="18" t="n">
        <v>5104</v>
      </c>
      <c r="G103" s="19">
        <f>IF(F103=0,0,E103/F103*100)</f>
        <v/>
      </c>
      <c r="H103" s="16" t="n">
        <v>0</v>
      </c>
      <c r="I103" s="16" t="n">
        <v>0</v>
      </c>
      <c r="J103" s="16" t="n">
        <v>0</v>
      </c>
      <c r="K103" s="16" t="n">
        <v>3</v>
      </c>
    </row>
    <row r="104">
      <c r="A104" s="15" t="inlineStr">
        <is>
          <t>4 Jun</t>
        </is>
      </c>
      <c r="B104" s="15" t="inlineStr">
        <is>
          <t>30173</t>
        </is>
      </c>
      <c r="C104" s="16" t="n">
        <v>1</v>
      </c>
      <c r="D104" s="49" t="n">
        <v>93.87</v>
      </c>
      <c r="E104" s="18" t="n">
        <v>4039</v>
      </c>
      <c r="F104" s="18" t="n">
        <v>4943</v>
      </c>
      <c r="G104" s="19">
        <f>IF(F104=0,0,E104/F104*100)</f>
        <v/>
      </c>
      <c r="H104" s="16" t="n">
        <v>0</v>
      </c>
      <c r="I104" s="16" t="n">
        <v>0</v>
      </c>
      <c r="J104" s="16" t="n">
        <v>0</v>
      </c>
      <c r="K104" s="16" t="n">
        <v>2</v>
      </c>
    </row>
    <row r="105">
      <c r="A105" s="15" t="inlineStr">
        <is>
          <t>4 Jun</t>
        </is>
      </c>
      <c r="B105" s="15" t="inlineStr">
        <is>
          <t>37279</t>
        </is>
      </c>
      <c r="C105" s="16" t="n">
        <v>1</v>
      </c>
      <c r="D105" s="49" t="n">
        <v>91.69</v>
      </c>
      <c r="E105" s="18" t="n">
        <v>4241</v>
      </c>
      <c r="F105" s="18" t="n">
        <v>4495</v>
      </c>
      <c r="G105" s="19">
        <f>IF(F105=0,0,E105/F105*100)</f>
        <v/>
      </c>
      <c r="H105" s="16" t="n">
        <v>0</v>
      </c>
      <c r="I105" s="16" t="n">
        <v>0</v>
      </c>
      <c r="J105" s="16" t="n">
        <v>0</v>
      </c>
      <c r="K105" s="16" t="n">
        <v>2</v>
      </c>
    </row>
    <row r="106">
      <c r="A106" s="15" t="inlineStr">
        <is>
          <t>4 Jun</t>
        </is>
      </c>
      <c r="B106" s="15" t="inlineStr">
        <is>
          <t>37383</t>
        </is>
      </c>
      <c r="C106" s="16" t="n">
        <v>0</v>
      </c>
      <c r="D106" s="49" t="n">
        <v>41.3</v>
      </c>
      <c r="E106" s="18" t="n">
        <v>2435</v>
      </c>
      <c r="F106" s="18" t="n">
        <v>4847</v>
      </c>
      <c r="G106" s="19">
        <f>IF(F106=0,0,E106/F106*100)</f>
        <v/>
      </c>
      <c r="H106" s="16" t="n">
        <v>0</v>
      </c>
      <c r="I106" s="16" t="n">
        <v>0</v>
      </c>
      <c r="J106" s="16" t="n">
        <v>0</v>
      </c>
      <c r="K106" s="16" t="n">
        <v>1</v>
      </c>
    </row>
    <row r="107">
      <c r="A107" s="15" t="inlineStr">
        <is>
          <t>4 Jun</t>
        </is>
      </c>
      <c r="B107" s="15" t="inlineStr">
        <is>
          <t>30484</t>
        </is>
      </c>
      <c r="C107" s="16" t="n">
        <v>0</v>
      </c>
      <c r="D107" s="49" t="n">
        <v>73.09</v>
      </c>
      <c r="E107" s="18" t="n">
        <v>3496</v>
      </c>
      <c r="F107" s="18" t="n">
        <v>4227</v>
      </c>
      <c r="G107" s="19">
        <f>IF(F107=0,0,E107/F107*100)</f>
        <v/>
      </c>
      <c r="H107" s="16" t="n">
        <v>0</v>
      </c>
      <c r="I107" s="16" t="n">
        <v>0</v>
      </c>
      <c r="J107" s="16" t="n">
        <v>0</v>
      </c>
      <c r="K107" s="16" t="n">
        <v>1</v>
      </c>
    </row>
    <row r="108">
      <c r="A108" s="15" t="inlineStr">
        <is>
          <t>4 Jun</t>
        </is>
      </c>
      <c r="B108" s="15" t="inlineStr">
        <is>
          <t>30474</t>
        </is>
      </c>
      <c r="C108" s="16" t="n">
        <v>0</v>
      </c>
      <c r="D108" s="49" t="n">
        <v>19.39</v>
      </c>
      <c r="E108" s="18" t="n">
        <v>2450</v>
      </c>
      <c r="F108" s="18" t="n">
        <v>2726</v>
      </c>
      <c r="G108" s="19">
        <f>IF(F108=0,0,E108/F108*100)</f>
        <v/>
      </c>
      <c r="H108" s="16" t="n">
        <v>0</v>
      </c>
      <c r="I108" s="16" t="n">
        <v>0</v>
      </c>
      <c r="J108" s="16" t="n">
        <v>0</v>
      </c>
      <c r="K108" s="16" t="n">
        <v>1</v>
      </c>
    </row>
    <row r="109">
      <c r="A109" s="15" t="inlineStr">
        <is>
          <t>4 Jun</t>
        </is>
      </c>
      <c r="B109" s="15" t="inlineStr">
        <is>
          <t>37830</t>
        </is>
      </c>
      <c r="C109" s="16" t="n">
        <v>0</v>
      </c>
      <c r="D109" s="49" t="n">
        <v>38.26</v>
      </c>
      <c r="E109" s="18" t="n">
        <v>1191</v>
      </c>
      <c r="F109" s="18" t="n">
        <v>2497</v>
      </c>
      <c r="G109" s="19">
        <f>IF(F109=0,0,E109/F109*100)</f>
        <v/>
      </c>
      <c r="H109" s="16" t="n">
        <v>0</v>
      </c>
      <c r="I109" s="16" t="n">
        <v>0</v>
      </c>
      <c r="J109" s="16" t="n">
        <v>0</v>
      </c>
      <c r="K109" s="16" t="n">
        <v>1</v>
      </c>
    </row>
    <row r="110">
      <c r="A110" s="15" t="inlineStr">
        <is>
          <t>4 Jun</t>
        </is>
      </c>
      <c r="B110" s="15" t="inlineStr">
        <is>
          <t>39243</t>
        </is>
      </c>
      <c r="C110" s="16" t="n">
        <v>0</v>
      </c>
      <c r="D110" s="49" t="n">
        <v>36.92</v>
      </c>
      <c r="E110" s="18" t="n">
        <v>1236</v>
      </c>
      <c r="F110" s="18" t="n">
        <v>2113</v>
      </c>
      <c r="G110" s="19">
        <f>IF(F110=0,0,E110/F110*100)</f>
        <v/>
      </c>
      <c r="H110" s="16" t="n">
        <v>0</v>
      </c>
      <c r="I110" s="16" t="n">
        <v>0</v>
      </c>
      <c r="J110" s="16" t="n">
        <v>0</v>
      </c>
      <c r="K110" s="16" t="n">
        <v>1</v>
      </c>
    </row>
    <row r="111">
      <c r="A111" s="15" t="inlineStr">
        <is>
          <t>4 Jun</t>
        </is>
      </c>
      <c r="B111" s="15" t="inlineStr">
        <is>
          <t>37885</t>
        </is>
      </c>
      <c r="C111" s="16" t="n">
        <v>0</v>
      </c>
      <c r="D111" s="49" t="n">
        <v>36.97</v>
      </c>
      <c r="E111" s="18" t="n">
        <v>731</v>
      </c>
      <c r="F111" s="18" t="n">
        <v>2112</v>
      </c>
      <c r="G111" s="19">
        <f>IF(F111=0,0,E111/F111*100)</f>
        <v/>
      </c>
      <c r="H111" s="16" t="n">
        <v>0</v>
      </c>
      <c r="I111" s="16" t="n">
        <v>0</v>
      </c>
      <c r="J111" s="16" t="n">
        <v>0</v>
      </c>
      <c r="K111" s="16" t="n">
        <v>1</v>
      </c>
    </row>
    <row r="112">
      <c r="A112" s="15" t="inlineStr">
        <is>
          <t>4 Jun</t>
        </is>
      </c>
      <c r="B112" s="15" t="inlineStr">
        <is>
          <t>39066</t>
        </is>
      </c>
      <c r="C112" s="16" t="n">
        <v>0</v>
      </c>
      <c r="D112" s="49" t="n">
        <v>39.04</v>
      </c>
      <c r="E112" s="18" t="n">
        <v>1653</v>
      </c>
      <c r="F112" s="18" t="n">
        <v>1876</v>
      </c>
      <c r="G112" s="19">
        <f>IF(F112=0,0,E112/F112*100)</f>
        <v/>
      </c>
      <c r="H112" s="16" t="n">
        <v>0</v>
      </c>
      <c r="I112" s="16" t="n">
        <v>0</v>
      </c>
      <c r="J112" s="16" t="n">
        <v>0</v>
      </c>
      <c r="K112" s="16" t="n">
        <v>2</v>
      </c>
    </row>
    <row r="113">
      <c r="A113" s="15" t="inlineStr">
        <is>
          <t>4 Jun</t>
        </is>
      </c>
      <c r="B113" s="15" t="inlineStr">
        <is>
          <t>37287</t>
        </is>
      </c>
      <c r="C113" s="16" t="n">
        <v>0</v>
      </c>
      <c r="D113" s="49" t="n">
        <v>26.09</v>
      </c>
      <c r="E113" s="18" t="n">
        <v>1577</v>
      </c>
      <c r="F113" s="18" t="n">
        <v>1801</v>
      </c>
      <c r="G113" s="19">
        <f>IF(F113=0,0,E113/F113*100)</f>
        <v/>
      </c>
      <c r="H113" s="16" t="n">
        <v>0</v>
      </c>
      <c r="I113" s="16" t="n">
        <v>0</v>
      </c>
      <c r="J113" s="16" t="n">
        <v>0</v>
      </c>
      <c r="K113" s="16" t="n">
        <v>1</v>
      </c>
    </row>
    <row r="114">
      <c r="A114" s="15" t="inlineStr">
        <is>
          <t>4 Jun</t>
        </is>
      </c>
      <c r="B114" s="15" t="inlineStr">
        <is>
          <t>37602</t>
        </is>
      </c>
      <c r="C114" s="16" t="n">
        <v>0</v>
      </c>
      <c r="D114" s="49" t="n">
        <v>38.42</v>
      </c>
      <c r="E114" s="18" t="n">
        <v>1076</v>
      </c>
      <c r="F114" s="18" t="n">
        <v>1782</v>
      </c>
      <c r="G114" s="19">
        <f>IF(F114=0,0,E114/F114*100)</f>
        <v/>
      </c>
      <c r="H114" s="16" t="n">
        <v>0</v>
      </c>
      <c r="I114" s="16" t="n">
        <v>0</v>
      </c>
      <c r="J114" s="16" t="n">
        <v>0</v>
      </c>
      <c r="K114" s="16" t="n">
        <v>0</v>
      </c>
    </row>
    <row r="115">
      <c r="A115" s="15" t="inlineStr">
        <is>
          <t>4 Jun</t>
        </is>
      </c>
      <c r="B115" s="15" t="inlineStr">
        <is>
          <t>39514</t>
        </is>
      </c>
      <c r="C115" s="16" t="n">
        <v>0</v>
      </c>
      <c r="D115" s="49" t="n">
        <v>35.66</v>
      </c>
      <c r="E115" s="18" t="n">
        <v>563</v>
      </c>
      <c r="F115" s="18" t="n">
        <v>1583</v>
      </c>
      <c r="G115" s="19">
        <f>IF(F115=0,0,E115/F115*100)</f>
        <v/>
      </c>
      <c r="H115" s="16" t="n">
        <v>0</v>
      </c>
      <c r="I115" s="16" t="n">
        <v>0</v>
      </c>
      <c r="J115" s="16" t="n">
        <v>0</v>
      </c>
      <c r="K115" s="16" t="n">
        <v>1</v>
      </c>
    </row>
    <row r="116">
      <c r="A116" s="15" t="inlineStr">
        <is>
          <t>4 Jun</t>
        </is>
      </c>
      <c r="B116" s="15" t="inlineStr">
        <is>
          <t>39159</t>
        </is>
      </c>
      <c r="C116" s="16" t="n">
        <v>0</v>
      </c>
      <c r="D116" s="49" t="n">
        <v>36.91</v>
      </c>
      <c r="E116" s="18" t="n">
        <v>877</v>
      </c>
      <c r="F116" s="18" t="n">
        <v>1503</v>
      </c>
      <c r="G116" s="19">
        <f>IF(F116=0,0,E116/F116*100)</f>
        <v/>
      </c>
      <c r="H116" s="16" t="n">
        <v>0</v>
      </c>
      <c r="I116" s="16" t="n">
        <v>0</v>
      </c>
      <c r="J116" s="16" t="n">
        <v>0</v>
      </c>
      <c r="K116" s="16" t="n">
        <v>1</v>
      </c>
    </row>
    <row r="117">
      <c r="A117" s="15" t="inlineStr">
        <is>
          <t>4 Jun</t>
        </is>
      </c>
      <c r="B117" s="15" t="inlineStr">
        <is>
          <t>30340</t>
        </is>
      </c>
      <c r="C117" s="16" t="n">
        <v>0</v>
      </c>
      <c r="D117" s="49" t="n">
        <v>36.29</v>
      </c>
      <c r="E117" s="18" t="n">
        <v>602</v>
      </c>
      <c r="F117" s="18" t="n">
        <v>1435</v>
      </c>
      <c r="G117" s="19">
        <f>IF(F117=0,0,E117/F117*100)</f>
        <v/>
      </c>
      <c r="H117" s="16" t="n">
        <v>0</v>
      </c>
      <c r="I117" s="16" t="n">
        <v>0</v>
      </c>
      <c r="J117" s="16" t="n">
        <v>0</v>
      </c>
      <c r="K117" s="16" t="n">
        <v>1</v>
      </c>
    </row>
    <row r="118">
      <c r="A118" s="15" t="inlineStr">
        <is>
          <t>4 Jun</t>
        </is>
      </c>
      <c r="B118" s="15" t="inlineStr">
        <is>
          <t>37507</t>
        </is>
      </c>
      <c r="C118" s="16" t="n">
        <v>0</v>
      </c>
      <c r="D118" s="49" t="n">
        <v>14.81</v>
      </c>
      <c r="E118" s="18" t="n">
        <v>1232</v>
      </c>
      <c r="F118" s="18" t="n">
        <v>1293</v>
      </c>
      <c r="G118" s="19">
        <f>IF(F118=0,0,E118/F118*100)</f>
        <v/>
      </c>
      <c r="H118" s="16" t="n">
        <v>0</v>
      </c>
      <c r="I118" s="16" t="n">
        <v>0</v>
      </c>
      <c r="J118" s="16" t="n">
        <v>0</v>
      </c>
      <c r="K118" s="16" t="n">
        <v>0</v>
      </c>
    </row>
    <row r="119">
      <c r="A119" s="15" t="inlineStr">
        <is>
          <t>4 Jun</t>
        </is>
      </c>
      <c r="B119" s="15" t="inlineStr">
        <is>
          <t>37633</t>
        </is>
      </c>
      <c r="C119" s="16" t="n">
        <v>0</v>
      </c>
      <c r="D119" s="49" t="n">
        <v>1.97</v>
      </c>
      <c r="E119" s="18" t="n">
        <v>97</v>
      </c>
      <c r="F119" s="18" t="n">
        <v>1257</v>
      </c>
      <c r="G119" s="19">
        <f>IF(F119=0,0,E119/F119*100)</f>
        <v/>
      </c>
      <c r="H119" s="16" t="n">
        <v>0</v>
      </c>
      <c r="I119" s="16" t="n">
        <v>0</v>
      </c>
      <c r="J119" s="16" t="n">
        <v>0</v>
      </c>
      <c r="K119" s="16" t="n">
        <v>0</v>
      </c>
    </row>
    <row r="120">
      <c r="A120" s="15" t="inlineStr">
        <is>
          <t>4 Jun</t>
        </is>
      </c>
      <c r="B120" s="15" t="inlineStr">
        <is>
          <t>37816</t>
        </is>
      </c>
      <c r="C120" s="16" t="n">
        <v>0</v>
      </c>
      <c r="D120" s="49" t="n">
        <v>36.97</v>
      </c>
      <c r="E120" s="18" t="n">
        <v>767</v>
      </c>
      <c r="F120" s="18" t="n">
        <v>1211</v>
      </c>
      <c r="G120" s="19">
        <f>IF(F120=0,0,E120/F120*100)</f>
        <v/>
      </c>
      <c r="H120" s="16" t="n">
        <v>0</v>
      </c>
      <c r="I120" s="16" t="n">
        <v>0</v>
      </c>
      <c r="J120" s="16" t="n">
        <v>0</v>
      </c>
      <c r="K120" s="16" t="n">
        <v>0</v>
      </c>
    </row>
    <row r="121">
      <c r="A121" s="15" t="inlineStr">
        <is>
          <t>4 Jun</t>
        </is>
      </c>
      <c r="B121" s="15" t="inlineStr">
        <is>
          <t>30215</t>
        </is>
      </c>
      <c r="C121" s="16" t="n">
        <v>0</v>
      </c>
      <c r="D121" s="49" t="n">
        <v>30.68</v>
      </c>
      <c r="E121" s="18" t="n">
        <v>672</v>
      </c>
      <c r="F121" s="18" t="n">
        <v>1089</v>
      </c>
      <c r="G121" s="19">
        <f>IF(F121=0,0,E121/F121*100)</f>
        <v/>
      </c>
      <c r="H121" s="16" t="n">
        <v>0</v>
      </c>
      <c r="I121" s="16" t="n">
        <v>0</v>
      </c>
      <c r="J121" s="16" t="n">
        <v>0</v>
      </c>
      <c r="K121" s="16" t="n">
        <v>0</v>
      </c>
    </row>
    <row r="122">
      <c r="A122" s="20" t="inlineStr">
        <is>
          <t>4 Jun</t>
        </is>
      </c>
      <c r="B122" s="20" t="inlineStr">
        <is>
          <t>Day Total</t>
        </is>
      </c>
      <c r="C122" s="21">
        <f>SUM(C93:C121)</f>
        <v/>
      </c>
      <c r="D122" s="50">
        <f>SUM(D93:D121)</f>
        <v/>
      </c>
      <c r="E122" s="23">
        <f>SUM(E93:E121)</f>
        <v/>
      </c>
      <c r="F122" s="23">
        <f>SUM(F93:F121)</f>
        <v/>
      </c>
      <c r="G122" s="24">
        <f>IF(F122=0,0,E122/F122*100)</f>
        <v/>
      </c>
      <c r="H122" s="21">
        <f>SUM(H93:H121)</f>
        <v/>
      </c>
      <c r="I122" s="21">
        <f>SUM(I93:I121)</f>
        <v/>
      </c>
      <c r="J122" s="21">
        <f>SUM(J93:J121)</f>
        <v/>
      </c>
      <c r="K122" s="21">
        <f>SUM(K93:K121)</f>
        <v/>
      </c>
    </row>
    <row r="123">
      <c r="A123" s="15" t="inlineStr">
        <is>
          <t>5 Jun</t>
        </is>
      </c>
      <c r="B123" s="15" t="inlineStr">
        <is>
          <t>37279</t>
        </is>
      </c>
      <c r="C123" s="16" t="n">
        <v>2</v>
      </c>
      <c r="D123" s="49" t="n">
        <v>93.91</v>
      </c>
      <c r="E123" s="18" t="n">
        <v>9417</v>
      </c>
      <c r="F123" s="18" t="n">
        <v>10168</v>
      </c>
      <c r="G123" s="19">
        <f>IF(F123=0,0,E123/F123*100)</f>
        <v/>
      </c>
      <c r="H123" s="16" t="n">
        <v>0</v>
      </c>
      <c r="I123" s="16" t="n">
        <v>0</v>
      </c>
      <c r="J123" s="16" t="n">
        <v>0</v>
      </c>
      <c r="K123" s="16" t="n">
        <v>3</v>
      </c>
    </row>
    <row r="124">
      <c r="A124" s="15" t="inlineStr">
        <is>
          <t>5 Jun</t>
        </is>
      </c>
      <c r="B124" s="15" t="inlineStr">
        <is>
          <t>37515</t>
        </is>
      </c>
      <c r="C124" s="16" t="n">
        <v>2</v>
      </c>
      <c r="D124" s="49" t="n">
        <v>93.91</v>
      </c>
      <c r="E124" s="18" t="n">
        <v>8375</v>
      </c>
      <c r="F124" s="18" t="n">
        <v>10129</v>
      </c>
      <c r="G124" s="19">
        <f>IF(F124=0,0,E124/F124*100)</f>
        <v/>
      </c>
      <c r="H124" s="16" t="n">
        <v>0</v>
      </c>
      <c r="I124" s="16" t="n">
        <v>0</v>
      </c>
      <c r="J124" s="16" t="n">
        <v>0</v>
      </c>
      <c r="K124" s="16" t="n">
        <v>5</v>
      </c>
    </row>
    <row r="125">
      <c r="A125" s="15" t="inlineStr">
        <is>
          <t>5 Jun</t>
        </is>
      </c>
      <c r="B125" s="15" t="inlineStr">
        <is>
          <t>30791</t>
        </is>
      </c>
      <c r="C125" s="16" t="n">
        <v>1</v>
      </c>
      <c r="D125" s="49" t="n">
        <v>93.88</v>
      </c>
      <c r="E125" s="18" t="n">
        <v>8303</v>
      </c>
      <c r="F125" s="18" t="n">
        <v>9632</v>
      </c>
      <c r="G125" s="19">
        <f>IF(F125=0,0,E125/F125*100)</f>
        <v/>
      </c>
      <c r="H125" s="16" t="n">
        <v>0</v>
      </c>
      <c r="I125" s="16" t="n">
        <v>0</v>
      </c>
      <c r="J125" s="16" t="n">
        <v>0</v>
      </c>
      <c r="K125" s="16" t="n">
        <v>4</v>
      </c>
    </row>
    <row r="126">
      <c r="A126" s="15" t="inlineStr">
        <is>
          <t>5 Jun</t>
        </is>
      </c>
      <c r="B126" s="15" t="inlineStr">
        <is>
          <t>39015</t>
        </is>
      </c>
      <c r="C126" s="16" t="n">
        <v>1</v>
      </c>
      <c r="D126" s="49" t="n">
        <v>93.90000000000001</v>
      </c>
      <c r="E126" s="18" t="n">
        <v>5189</v>
      </c>
      <c r="F126" s="18" t="n">
        <v>6412</v>
      </c>
      <c r="G126" s="19">
        <f>IF(F126=0,0,E126/F126*100)</f>
        <v/>
      </c>
      <c r="H126" s="16" t="n">
        <v>0</v>
      </c>
      <c r="I126" s="16" t="n">
        <v>0</v>
      </c>
      <c r="J126" s="16" t="n">
        <v>0</v>
      </c>
      <c r="K126" s="16" t="n">
        <v>2</v>
      </c>
    </row>
    <row r="127">
      <c r="A127" s="15" t="inlineStr">
        <is>
          <t>5 Jun</t>
        </is>
      </c>
      <c r="B127" s="15" t="inlineStr">
        <is>
          <t>30480</t>
        </is>
      </c>
      <c r="C127" s="16" t="n">
        <v>1</v>
      </c>
      <c r="D127" s="49" t="n">
        <v>93.31999999999999</v>
      </c>
      <c r="E127" s="18" t="n">
        <v>5988</v>
      </c>
      <c r="F127" s="18" t="n">
        <v>6315</v>
      </c>
      <c r="G127" s="19">
        <f>IF(F127=0,0,E127/F127*100)</f>
        <v/>
      </c>
      <c r="H127" s="16" t="n">
        <v>0</v>
      </c>
      <c r="I127" s="16" t="n">
        <v>0</v>
      </c>
      <c r="J127" s="16" t="n">
        <v>0</v>
      </c>
      <c r="K127" s="16" t="n">
        <v>2</v>
      </c>
    </row>
    <row r="128">
      <c r="A128" s="15" t="inlineStr">
        <is>
          <t>5 Jun</t>
        </is>
      </c>
      <c r="B128" s="15" t="inlineStr">
        <is>
          <t>37328</t>
        </is>
      </c>
      <c r="C128" s="16" t="n">
        <v>1</v>
      </c>
      <c r="D128" s="49" t="n">
        <v>93.31</v>
      </c>
      <c r="E128" s="18" t="n">
        <v>5802</v>
      </c>
      <c r="F128" s="18" t="n">
        <v>6140</v>
      </c>
      <c r="G128" s="19">
        <f>IF(F128=0,0,E128/F128*100)</f>
        <v/>
      </c>
      <c r="H128" s="16" t="n">
        <v>0</v>
      </c>
      <c r="I128" s="16" t="n">
        <v>0</v>
      </c>
      <c r="J128" s="16" t="n">
        <v>0</v>
      </c>
      <c r="K128" s="16" t="n">
        <v>3</v>
      </c>
    </row>
    <row r="129">
      <c r="A129" s="15" t="inlineStr">
        <is>
          <t>5 Jun</t>
        </is>
      </c>
      <c r="B129" s="15" t="inlineStr">
        <is>
          <t>42012</t>
        </is>
      </c>
      <c r="C129" s="16" t="n">
        <v>1</v>
      </c>
      <c r="D129" s="49" t="n">
        <v>93.87</v>
      </c>
      <c r="E129" s="18" t="n">
        <v>5038</v>
      </c>
      <c r="F129" s="18" t="n">
        <v>6106</v>
      </c>
      <c r="G129" s="19">
        <f>IF(F129=0,0,E129/F129*100)</f>
        <v/>
      </c>
      <c r="H129" s="16" t="n">
        <v>0</v>
      </c>
      <c r="I129" s="16" t="n">
        <v>0</v>
      </c>
      <c r="J129" s="16" t="n">
        <v>0</v>
      </c>
      <c r="K129" s="16" t="n">
        <v>2</v>
      </c>
    </row>
    <row r="130">
      <c r="A130" s="15" t="inlineStr">
        <is>
          <t>5 Jun</t>
        </is>
      </c>
      <c r="B130" s="15" t="inlineStr">
        <is>
          <t>30635</t>
        </is>
      </c>
      <c r="C130" s="16" t="n">
        <v>1</v>
      </c>
      <c r="D130" s="49" t="n">
        <v>93.91</v>
      </c>
      <c r="E130" s="18" t="n">
        <v>5009</v>
      </c>
      <c r="F130" s="18" t="n">
        <v>5997</v>
      </c>
      <c r="G130" s="19">
        <f>IF(F130=0,0,E130/F130*100)</f>
        <v/>
      </c>
      <c r="H130" s="16" t="n">
        <v>0</v>
      </c>
      <c r="I130" s="16" t="n">
        <v>0</v>
      </c>
      <c r="J130" s="16" t="n">
        <v>0</v>
      </c>
      <c r="K130" s="16" t="n">
        <v>5</v>
      </c>
    </row>
    <row r="131">
      <c r="A131" s="15" t="inlineStr">
        <is>
          <t>5 Jun</t>
        </is>
      </c>
      <c r="B131" s="15" t="inlineStr">
        <is>
          <t>30634</t>
        </is>
      </c>
      <c r="C131" s="16" t="n">
        <v>1</v>
      </c>
      <c r="D131" s="49" t="n">
        <v>93.91</v>
      </c>
      <c r="E131" s="18" t="n">
        <v>4944</v>
      </c>
      <c r="F131" s="18" t="n">
        <v>5987</v>
      </c>
      <c r="G131" s="19">
        <f>IF(F131=0,0,E131/F131*100)</f>
        <v/>
      </c>
      <c r="H131" s="16" t="n">
        <v>0</v>
      </c>
      <c r="I131" s="16" t="n">
        <v>0</v>
      </c>
      <c r="J131" s="16" t="n">
        <v>0</v>
      </c>
      <c r="K131" s="16" t="n">
        <v>3</v>
      </c>
    </row>
    <row r="132">
      <c r="A132" s="15" t="inlineStr">
        <is>
          <t>5 Jun</t>
        </is>
      </c>
      <c r="B132" s="15" t="inlineStr">
        <is>
          <t>39334</t>
        </is>
      </c>
      <c r="C132" s="16" t="n">
        <v>1</v>
      </c>
      <c r="D132" s="49" t="n">
        <v>93.31999999999999</v>
      </c>
      <c r="E132" s="18" t="n">
        <v>5498</v>
      </c>
      <c r="F132" s="18" t="n">
        <v>5725</v>
      </c>
      <c r="G132" s="19">
        <f>IF(F132=0,0,E132/F132*100)</f>
        <v/>
      </c>
      <c r="H132" s="16" t="n">
        <v>0</v>
      </c>
      <c r="I132" s="16" t="n">
        <v>0</v>
      </c>
      <c r="J132" s="16" t="n">
        <v>0</v>
      </c>
      <c r="K132" s="16" t="n">
        <v>2</v>
      </c>
    </row>
    <row r="133">
      <c r="A133" s="15" t="inlineStr">
        <is>
          <t>5 Jun</t>
        </is>
      </c>
      <c r="B133" s="15" t="inlineStr">
        <is>
          <t>37131</t>
        </is>
      </c>
      <c r="C133" s="16" t="n">
        <v>1</v>
      </c>
      <c r="D133" s="49" t="n">
        <v>93.91</v>
      </c>
      <c r="E133" s="18" t="n">
        <v>4095</v>
      </c>
      <c r="F133" s="18" t="n">
        <v>5406</v>
      </c>
      <c r="G133" s="19">
        <f>IF(F133=0,0,E133/F133*100)</f>
        <v/>
      </c>
      <c r="H133" s="16" t="n">
        <v>0</v>
      </c>
      <c r="I133" s="16" t="n">
        <v>0</v>
      </c>
      <c r="J133" s="16" t="n">
        <v>0</v>
      </c>
      <c r="K133" s="16" t="n">
        <v>4</v>
      </c>
    </row>
    <row r="134">
      <c r="A134" s="15" t="inlineStr">
        <is>
          <t>5 Jun</t>
        </is>
      </c>
      <c r="B134" s="15" t="inlineStr">
        <is>
          <t>37506</t>
        </is>
      </c>
      <c r="C134" s="16" t="n">
        <v>1</v>
      </c>
      <c r="D134" s="49" t="n">
        <v>93.91</v>
      </c>
      <c r="E134" s="18" t="n">
        <v>4108</v>
      </c>
      <c r="F134" s="18" t="n">
        <v>5365</v>
      </c>
      <c r="G134" s="19">
        <f>IF(F134=0,0,E134/F134*100)</f>
        <v/>
      </c>
      <c r="H134" s="16" t="n">
        <v>0</v>
      </c>
      <c r="I134" s="16" t="n">
        <v>0</v>
      </c>
      <c r="J134" s="16" t="n">
        <v>0</v>
      </c>
      <c r="K134" s="16" t="n">
        <v>3</v>
      </c>
    </row>
    <row r="135">
      <c r="A135" s="15" t="inlineStr">
        <is>
          <t>5 Jun</t>
        </is>
      </c>
      <c r="B135" s="15" t="inlineStr">
        <is>
          <t>30574</t>
        </is>
      </c>
      <c r="C135" s="16" t="n">
        <v>1</v>
      </c>
      <c r="D135" s="49" t="n">
        <v>93.88</v>
      </c>
      <c r="E135" s="18" t="n">
        <v>3716</v>
      </c>
      <c r="F135" s="18" t="n">
        <v>5212</v>
      </c>
      <c r="G135" s="19">
        <f>IF(F135=0,0,E135/F135*100)</f>
        <v/>
      </c>
      <c r="H135" s="16" t="n">
        <v>0</v>
      </c>
      <c r="I135" s="16" t="n">
        <v>0</v>
      </c>
      <c r="J135" s="16" t="n">
        <v>0</v>
      </c>
      <c r="K135" s="16" t="n">
        <v>8</v>
      </c>
    </row>
    <row r="136">
      <c r="A136" s="15" t="inlineStr">
        <is>
          <t>5 Jun</t>
        </is>
      </c>
      <c r="B136" s="15" t="inlineStr">
        <is>
          <t>37445</t>
        </is>
      </c>
      <c r="C136" s="16" t="n">
        <v>1</v>
      </c>
      <c r="D136" s="49" t="n">
        <v>93.91</v>
      </c>
      <c r="E136" s="18" t="n">
        <v>3960</v>
      </c>
      <c r="F136" s="18" t="n">
        <v>5165</v>
      </c>
      <c r="G136" s="19">
        <f>IF(F136=0,0,E136/F136*100)</f>
        <v/>
      </c>
      <c r="H136" s="16" t="n">
        <v>0</v>
      </c>
      <c r="I136" s="16" t="n">
        <v>0</v>
      </c>
      <c r="J136" s="16" t="n">
        <v>0</v>
      </c>
      <c r="K136" s="16" t="n">
        <v>3</v>
      </c>
    </row>
    <row r="137">
      <c r="A137" s="15" t="inlineStr">
        <is>
          <t>5 Jun</t>
        </is>
      </c>
      <c r="B137" s="15" t="inlineStr">
        <is>
          <t>30757</t>
        </is>
      </c>
      <c r="C137" s="16" t="n">
        <v>1</v>
      </c>
      <c r="D137" s="49" t="n">
        <v>93.89</v>
      </c>
      <c r="E137" s="18" t="n">
        <v>4054</v>
      </c>
      <c r="F137" s="18" t="n">
        <v>4687</v>
      </c>
      <c r="G137" s="19">
        <f>IF(F137=0,0,E137/F137*100)</f>
        <v/>
      </c>
      <c r="H137" s="16" t="n">
        <v>0</v>
      </c>
      <c r="I137" s="16" t="n">
        <v>0</v>
      </c>
      <c r="J137" s="16" t="n">
        <v>0</v>
      </c>
      <c r="K137" s="16" t="n">
        <v>2</v>
      </c>
    </row>
    <row r="138">
      <c r="A138" s="15" t="inlineStr">
        <is>
          <t>5 Jun</t>
        </is>
      </c>
      <c r="B138" s="15" t="inlineStr">
        <is>
          <t>39340</t>
        </is>
      </c>
      <c r="C138" s="16" t="n">
        <v>1</v>
      </c>
      <c r="D138" s="49" t="n">
        <v>93.87</v>
      </c>
      <c r="E138" s="18" t="n">
        <v>3570</v>
      </c>
      <c r="F138" s="18" t="n">
        <v>4663</v>
      </c>
      <c r="G138" s="19">
        <f>IF(F138=0,0,E138/F138*100)</f>
        <v/>
      </c>
      <c r="H138" s="16" t="n">
        <v>0</v>
      </c>
      <c r="I138" s="16" t="n">
        <v>0</v>
      </c>
      <c r="J138" s="16" t="n">
        <v>0</v>
      </c>
      <c r="K138" s="16" t="n">
        <v>11</v>
      </c>
    </row>
    <row r="139">
      <c r="A139" s="15" t="inlineStr">
        <is>
          <t>5 Jun</t>
        </is>
      </c>
      <c r="B139" s="15" t="inlineStr">
        <is>
          <t>37507</t>
        </is>
      </c>
      <c r="C139" s="16" t="n">
        <v>1</v>
      </c>
      <c r="D139" s="49" t="n">
        <v>93.91</v>
      </c>
      <c r="E139" s="18" t="n">
        <v>3412</v>
      </c>
      <c r="F139" s="18" t="n">
        <v>4115</v>
      </c>
      <c r="G139" s="19">
        <f>IF(F139=0,0,E139/F139*100)</f>
        <v/>
      </c>
      <c r="H139" s="16" t="n">
        <v>0</v>
      </c>
      <c r="I139" s="16" t="n">
        <v>0</v>
      </c>
      <c r="J139" s="16" t="n">
        <v>0</v>
      </c>
      <c r="K139" s="16" t="n">
        <v>4</v>
      </c>
    </row>
    <row r="140">
      <c r="A140" s="15" t="inlineStr">
        <is>
          <t>5 Jun</t>
        </is>
      </c>
      <c r="B140" s="15" t="inlineStr">
        <is>
          <t>37582</t>
        </is>
      </c>
      <c r="C140" s="16" t="n">
        <v>1</v>
      </c>
      <c r="D140" s="49" t="n">
        <v>93.31</v>
      </c>
      <c r="E140" s="18" t="n">
        <v>3367</v>
      </c>
      <c r="F140" s="18" t="n">
        <v>3698</v>
      </c>
      <c r="G140" s="19">
        <f>IF(F140=0,0,E140/F140*100)</f>
        <v/>
      </c>
      <c r="H140" s="16" t="n">
        <v>0</v>
      </c>
      <c r="I140" s="16" t="n">
        <v>0</v>
      </c>
      <c r="J140" s="16" t="n">
        <v>0</v>
      </c>
      <c r="K140" s="16" t="n">
        <v>2</v>
      </c>
    </row>
    <row r="141">
      <c r="A141" s="15" t="inlineStr">
        <is>
          <t>5 Jun</t>
        </is>
      </c>
      <c r="B141" s="15" t="inlineStr">
        <is>
          <t>39066</t>
        </is>
      </c>
      <c r="C141" s="16" t="n">
        <v>0</v>
      </c>
      <c r="D141" s="49" t="n">
        <v>54.9</v>
      </c>
      <c r="E141" s="18" t="n">
        <v>3787</v>
      </c>
      <c r="F141" s="18" t="n">
        <v>5456</v>
      </c>
      <c r="G141" s="19">
        <f>IF(F141=0,0,E141/F141*100)</f>
        <v/>
      </c>
      <c r="H141" s="16" t="n">
        <v>0</v>
      </c>
      <c r="I141" s="16" t="n">
        <v>0</v>
      </c>
      <c r="J141" s="16" t="n">
        <v>0</v>
      </c>
      <c r="K141" s="16" t="n">
        <v>2</v>
      </c>
    </row>
    <row r="142">
      <c r="A142" s="15" t="inlineStr">
        <is>
          <t>5 Jun</t>
        </is>
      </c>
      <c r="B142" s="15" t="inlineStr">
        <is>
          <t>37287</t>
        </is>
      </c>
      <c r="C142" s="16" t="n">
        <v>0</v>
      </c>
      <c r="D142" s="49" t="n">
        <v>67.22</v>
      </c>
      <c r="E142" s="18" t="n">
        <v>5257</v>
      </c>
      <c r="F142" s="18" t="n">
        <v>5257</v>
      </c>
      <c r="G142" s="19">
        <f>IF(F142=0,0,E142/F142*100)</f>
        <v/>
      </c>
      <c r="H142" s="16" t="n">
        <v>0</v>
      </c>
      <c r="I142" s="16" t="n">
        <v>0</v>
      </c>
      <c r="J142" s="16" t="n">
        <v>0</v>
      </c>
      <c r="K142" s="16" t="n">
        <v>0</v>
      </c>
    </row>
    <row r="143">
      <c r="A143" s="15" t="inlineStr">
        <is>
          <t>5 Jun</t>
        </is>
      </c>
      <c r="B143" s="15" t="inlineStr">
        <is>
          <t>37286</t>
        </is>
      </c>
      <c r="C143" s="16" t="n">
        <v>0</v>
      </c>
      <c r="D143" s="49" t="n">
        <v>77.73</v>
      </c>
      <c r="E143" s="18" t="n">
        <v>4713</v>
      </c>
      <c r="F143" s="18" t="n">
        <v>5004</v>
      </c>
      <c r="G143" s="19">
        <f>IF(F143=0,0,E143/F143*100)</f>
        <v/>
      </c>
      <c r="H143" s="16" t="n">
        <v>0</v>
      </c>
      <c r="I143" s="16" t="n">
        <v>0</v>
      </c>
      <c r="J143" s="16" t="n">
        <v>0</v>
      </c>
      <c r="K143" s="16" t="n">
        <v>1</v>
      </c>
    </row>
    <row r="144">
      <c r="A144" s="15" t="inlineStr">
        <is>
          <t>5 Jun</t>
        </is>
      </c>
      <c r="B144" s="15" t="inlineStr">
        <is>
          <t>37383</t>
        </is>
      </c>
      <c r="C144" s="16" t="n">
        <v>0</v>
      </c>
      <c r="D144" s="49" t="n">
        <v>38.29</v>
      </c>
      <c r="E144" s="18" t="n">
        <v>2043</v>
      </c>
      <c r="F144" s="18" t="n">
        <v>4555</v>
      </c>
      <c r="G144" s="19">
        <f>IF(F144=0,0,E144/F144*100)</f>
        <v/>
      </c>
      <c r="H144" s="16" t="n">
        <v>0</v>
      </c>
      <c r="I144" s="16" t="n">
        <v>0</v>
      </c>
      <c r="J144" s="16" t="n">
        <v>0</v>
      </c>
      <c r="K144" s="16" t="n">
        <v>1</v>
      </c>
    </row>
    <row r="145">
      <c r="A145" s="15" t="inlineStr">
        <is>
          <t>5 Jun</t>
        </is>
      </c>
      <c r="B145" s="15" t="inlineStr">
        <is>
          <t>41909</t>
        </is>
      </c>
      <c r="C145" s="16" t="n">
        <v>0</v>
      </c>
      <c r="D145" s="49" t="n">
        <v>36.91</v>
      </c>
      <c r="E145" s="18" t="n">
        <v>2805</v>
      </c>
      <c r="F145" s="18" t="n">
        <v>3393</v>
      </c>
      <c r="G145" s="19">
        <f>IF(F145=0,0,E145/F145*100)</f>
        <v/>
      </c>
      <c r="H145" s="16" t="n">
        <v>0</v>
      </c>
      <c r="I145" s="16" t="n">
        <v>0</v>
      </c>
      <c r="J145" s="16" t="n">
        <v>0</v>
      </c>
      <c r="K145" s="16" t="n">
        <v>0</v>
      </c>
    </row>
    <row r="146">
      <c r="A146" s="15" t="inlineStr">
        <is>
          <t>5 Jun</t>
        </is>
      </c>
      <c r="B146" s="15" t="inlineStr">
        <is>
          <t>37163</t>
        </is>
      </c>
      <c r="C146" s="16" t="n">
        <v>0</v>
      </c>
      <c r="D146" s="49" t="n">
        <v>53.21</v>
      </c>
      <c r="E146" s="18" t="n">
        <v>1659</v>
      </c>
      <c r="F146" s="18" t="n">
        <v>2921</v>
      </c>
      <c r="G146" s="19">
        <f>IF(F146=0,0,E146/F146*100)</f>
        <v/>
      </c>
      <c r="H146" s="16" t="n">
        <v>0</v>
      </c>
      <c r="I146" s="16" t="n">
        <v>0</v>
      </c>
      <c r="J146" s="16" t="n">
        <v>0</v>
      </c>
      <c r="K146" s="16" t="n">
        <v>2</v>
      </c>
    </row>
    <row r="147">
      <c r="A147" s="15" t="inlineStr">
        <is>
          <t>5 Jun</t>
        </is>
      </c>
      <c r="B147" s="15" t="inlineStr">
        <is>
          <t>37396</t>
        </is>
      </c>
      <c r="C147" s="16" t="n">
        <v>0</v>
      </c>
      <c r="D147" s="49" t="n">
        <v>49.3</v>
      </c>
      <c r="E147" s="18" t="n">
        <v>2179</v>
      </c>
      <c r="F147" s="18" t="n">
        <v>2552</v>
      </c>
      <c r="G147" s="19">
        <f>IF(F147=0,0,E147/F147*100)</f>
        <v/>
      </c>
      <c r="H147" s="16" t="n">
        <v>0</v>
      </c>
      <c r="I147" s="16" t="n">
        <v>0</v>
      </c>
      <c r="J147" s="16" t="n">
        <v>0</v>
      </c>
      <c r="K147" s="16" t="n">
        <v>3</v>
      </c>
    </row>
    <row r="148">
      <c r="A148" s="15" t="inlineStr">
        <is>
          <t>5 Jun</t>
        </is>
      </c>
      <c r="B148" s="15" t="inlineStr">
        <is>
          <t>39239</t>
        </is>
      </c>
      <c r="C148" s="16" t="n">
        <v>0</v>
      </c>
      <c r="D148" s="49" t="n">
        <v>36.51</v>
      </c>
      <c r="E148" s="18" t="n">
        <v>952</v>
      </c>
      <c r="F148" s="18" t="n">
        <v>2321</v>
      </c>
      <c r="G148" s="19">
        <f>IF(F148=0,0,E148/F148*100)</f>
        <v/>
      </c>
      <c r="H148" s="16" t="n">
        <v>0</v>
      </c>
      <c r="I148" s="16" t="n">
        <v>0</v>
      </c>
      <c r="J148" s="16" t="n">
        <v>0</v>
      </c>
      <c r="K148" s="16" t="n">
        <v>1</v>
      </c>
    </row>
    <row r="149">
      <c r="A149" s="15" t="inlineStr">
        <is>
          <t>5 Jun</t>
        </is>
      </c>
      <c r="B149" s="15" t="inlineStr">
        <is>
          <t>37579</t>
        </is>
      </c>
      <c r="C149" s="16" t="n">
        <v>0</v>
      </c>
      <c r="D149" s="49" t="n">
        <v>39.74</v>
      </c>
      <c r="E149" s="18" t="n">
        <v>1953</v>
      </c>
      <c r="F149" s="18" t="n">
        <v>2172</v>
      </c>
      <c r="G149" s="19">
        <f>IF(F149=0,0,E149/F149*100)</f>
        <v/>
      </c>
      <c r="H149" s="16" t="n">
        <v>0</v>
      </c>
      <c r="I149" s="16" t="n">
        <v>0</v>
      </c>
      <c r="J149" s="16" t="n">
        <v>0</v>
      </c>
      <c r="K149" s="16" t="n">
        <v>1</v>
      </c>
    </row>
    <row r="150">
      <c r="A150" s="15" t="inlineStr">
        <is>
          <t>5 Jun</t>
        </is>
      </c>
      <c r="B150" s="15" t="inlineStr">
        <is>
          <t>37470</t>
        </is>
      </c>
      <c r="C150" s="16" t="n">
        <v>0</v>
      </c>
      <c r="D150" s="49" t="n">
        <v>50.38</v>
      </c>
      <c r="E150" s="18" t="n">
        <v>969</v>
      </c>
      <c r="F150" s="18" t="n">
        <v>2161</v>
      </c>
      <c r="G150" s="19">
        <f>IF(F150=0,0,E150/F150*100)</f>
        <v/>
      </c>
      <c r="H150" s="16" t="n">
        <v>0</v>
      </c>
      <c r="I150" s="16" t="n">
        <v>0</v>
      </c>
      <c r="J150" s="16" t="n">
        <v>0</v>
      </c>
      <c r="K150" s="16" t="n">
        <v>1</v>
      </c>
    </row>
    <row r="151">
      <c r="A151" s="15" t="inlineStr">
        <is>
          <t>5 Jun</t>
        </is>
      </c>
      <c r="B151" s="15" t="inlineStr">
        <is>
          <t>39046</t>
        </is>
      </c>
      <c r="C151" s="16" t="n">
        <v>0</v>
      </c>
      <c r="D151" s="49" t="n">
        <v>36.6</v>
      </c>
      <c r="E151" s="18" t="n">
        <v>664</v>
      </c>
      <c r="F151" s="18" t="n">
        <v>1725</v>
      </c>
      <c r="G151" s="19">
        <f>IF(F151=0,0,E151/F151*100)</f>
        <v/>
      </c>
      <c r="H151" s="16" t="n">
        <v>0</v>
      </c>
      <c r="I151" s="16" t="n">
        <v>0</v>
      </c>
      <c r="J151" s="16" t="n">
        <v>0</v>
      </c>
      <c r="K151" s="16" t="n">
        <v>1</v>
      </c>
    </row>
    <row r="152">
      <c r="A152" s="15" t="inlineStr">
        <is>
          <t>5 Jun</t>
        </is>
      </c>
      <c r="B152" s="15" t="inlineStr">
        <is>
          <t>37337</t>
        </is>
      </c>
      <c r="C152" s="16" t="n">
        <v>0</v>
      </c>
      <c r="D152" s="49" t="n">
        <v>1.98</v>
      </c>
      <c r="E152" s="18" t="n">
        <v>186</v>
      </c>
      <c r="F152" s="18" t="n">
        <v>1091</v>
      </c>
      <c r="G152" s="19">
        <f>IF(F152=0,0,E152/F152*100)</f>
        <v/>
      </c>
      <c r="H152" s="16" t="n">
        <v>0</v>
      </c>
      <c r="I152" s="16" t="n">
        <v>0</v>
      </c>
      <c r="J152" s="16" t="n">
        <v>0</v>
      </c>
      <c r="K152" s="16" t="n">
        <v>0</v>
      </c>
    </row>
    <row r="153">
      <c r="A153" s="20" t="inlineStr">
        <is>
          <t>5 Jun</t>
        </is>
      </c>
      <c r="B153" s="20" t="inlineStr">
        <is>
          <t>Day Total</t>
        </is>
      </c>
      <c r="C153" s="21">
        <f>SUM(C123:C152)</f>
        <v/>
      </c>
      <c r="D153" s="50">
        <f>SUM(D123:D152)</f>
        <v/>
      </c>
      <c r="E153" s="23">
        <f>SUM(E123:E152)</f>
        <v/>
      </c>
      <c r="F153" s="23">
        <f>SUM(F123:F152)</f>
        <v/>
      </c>
      <c r="G153" s="24">
        <f>IF(F153=0,0,E153/F153*100)</f>
        <v/>
      </c>
      <c r="H153" s="21">
        <f>SUM(H123:H152)</f>
        <v/>
      </c>
      <c r="I153" s="21">
        <f>SUM(I123:I152)</f>
        <v/>
      </c>
      <c r="J153" s="21">
        <f>SUM(J123:J152)</f>
        <v/>
      </c>
      <c r="K153" s="21">
        <f>SUM(K123:K152)</f>
        <v/>
      </c>
    </row>
    <row r="154">
      <c r="A154" s="15" t="inlineStr">
        <is>
          <t>6 Jun</t>
        </is>
      </c>
      <c r="B154" s="15" t="inlineStr">
        <is>
          <t>37566</t>
        </is>
      </c>
      <c r="C154" s="16" t="n">
        <v>2</v>
      </c>
      <c r="D154" s="49" t="n">
        <v>93.90000000000001</v>
      </c>
      <c r="E154" s="18" t="n">
        <v>9239</v>
      </c>
      <c r="F154" s="18" t="n">
        <v>11214</v>
      </c>
      <c r="G154" s="19">
        <f>IF(F154=0,0,E154/F154*100)</f>
        <v/>
      </c>
      <c r="H154" s="16" t="n">
        <v>0</v>
      </c>
      <c r="I154" s="16" t="n">
        <v>0</v>
      </c>
      <c r="J154" s="16" t="n">
        <v>0</v>
      </c>
      <c r="K154" s="16" t="n">
        <v>6</v>
      </c>
    </row>
    <row r="155">
      <c r="A155" s="15" t="inlineStr">
        <is>
          <t>6 Jun</t>
        </is>
      </c>
      <c r="B155" s="15" t="inlineStr">
        <is>
          <t>30757</t>
        </is>
      </c>
      <c r="C155" s="16" t="n">
        <v>2</v>
      </c>
      <c r="D155" s="49" t="n">
        <v>93.91</v>
      </c>
      <c r="E155" s="18" t="n">
        <v>9193</v>
      </c>
      <c r="F155" s="18" t="n">
        <v>11203</v>
      </c>
      <c r="G155" s="19">
        <f>IF(F155=0,0,E155/F155*100)</f>
        <v/>
      </c>
      <c r="H155" s="16" t="n">
        <v>0</v>
      </c>
      <c r="I155" s="16" t="n">
        <v>0</v>
      </c>
      <c r="J155" s="16" t="n">
        <v>0</v>
      </c>
      <c r="K155" s="16" t="n">
        <v>5</v>
      </c>
    </row>
    <row r="156">
      <c r="A156" s="15" t="inlineStr">
        <is>
          <t>6 Jun</t>
        </is>
      </c>
      <c r="B156" s="15" t="inlineStr">
        <is>
          <t>37582</t>
        </is>
      </c>
      <c r="C156" s="16" t="n">
        <v>2</v>
      </c>
      <c r="D156" s="49" t="n">
        <v>93.90000000000001</v>
      </c>
      <c r="E156" s="18" t="n">
        <v>7414</v>
      </c>
      <c r="F156" s="18" t="n">
        <v>8976</v>
      </c>
      <c r="G156" s="19">
        <f>IF(F156=0,0,E156/F156*100)</f>
        <v/>
      </c>
      <c r="H156" s="16" t="n">
        <v>0</v>
      </c>
      <c r="I156" s="16" t="n">
        <v>0</v>
      </c>
      <c r="J156" s="16" t="n">
        <v>0</v>
      </c>
      <c r="K156" s="16" t="n">
        <v>6</v>
      </c>
    </row>
    <row r="157">
      <c r="A157" s="15" t="inlineStr">
        <is>
          <t>6 Jun</t>
        </is>
      </c>
      <c r="B157" s="15" t="inlineStr">
        <is>
          <t>37279</t>
        </is>
      </c>
      <c r="C157" s="16" t="n">
        <v>1</v>
      </c>
      <c r="D157" s="49" t="n">
        <v>93.91</v>
      </c>
      <c r="E157" s="18" t="n">
        <v>6488</v>
      </c>
      <c r="F157" s="18" t="n">
        <v>7774</v>
      </c>
      <c r="G157" s="19">
        <f>IF(F157=0,0,E157/F157*100)</f>
        <v/>
      </c>
      <c r="H157" s="16" t="n">
        <v>0</v>
      </c>
      <c r="I157" s="16" t="n">
        <v>0</v>
      </c>
      <c r="J157" s="16" t="n">
        <v>0</v>
      </c>
      <c r="K157" s="16" t="n">
        <v>5</v>
      </c>
    </row>
    <row r="158">
      <c r="A158" s="15" t="inlineStr">
        <is>
          <t>6 Jun</t>
        </is>
      </c>
      <c r="B158" s="15" t="inlineStr">
        <is>
          <t>37577</t>
        </is>
      </c>
      <c r="C158" s="16" t="n">
        <v>1</v>
      </c>
      <c r="D158" s="49" t="n">
        <v>93.90000000000001</v>
      </c>
      <c r="E158" s="18" t="n">
        <v>4988</v>
      </c>
      <c r="F158" s="18" t="n">
        <v>6703</v>
      </c>
      <c r="G158" s="19">
        <f>IF(F158=0,0,E158/F158*100)</f>
        <v/>
      </c>
      <c r="H158" s="16" t="n">
        <v>1</v>
      </c>
      <c r="I158" s="16" t="n">
        <v>1</v>
      </c>
      <c r="J158" s="16" t="n">
        <v>0</v>
      </c>
      <c r="K158" s="16" t="n">
        <v>7</v>
      </c>
    </row>
    <row r="159">
      <c r="A159" s="15" t="inlineStr">
        <is>
          <t>6 Jun</t>
        </is>
      </c>
      <c r="B159" s="15" t="inlineStr">
        <is>
          <t>39194</t>
        </is>
      </c>
      <c r="C159" s="16" t="n">
        <v>1</v>
      </c>
      <c r="D159" s="49" t="n">
        <v>93.31999999999999</v>
      </c>
      <c r="E159" s="18" t="n">
        <v>5380</v>
      </c>
      <c r="F159" s="18" t="n">
        <v>6041</v>
      </c>
      <c r="G159" s="19">
        <f>IF(F159=0,0,E159/F159*100)</f>
        <v/>
      </c>
      <c r="H159" s="16" t="n">
        <v>0</v>
      </c>
      <c r="I159" s="16" t="n">
        <v>0</v>
      </c>
      <c r="J159" s="16" t="n">
        <v>0</v>
      </c>
      <c r="K159" s="16" t="n">
        <v>7</v>
      </c>
    </row>
    <row r="160">
      <c r="A160" s="15" t="inlineStr">
        <is>
          <t>6 Jun</t>
        </is>
      </c>
      <c r="B160" s="15" t="inlineStr">
        <is>
          <t>42012</t>
        </is>
      </c>
      <c r="C160" s="16" t="n">
        <v>1</v>
      </c>
      <c r="D160" s="49" t="n">
        <v>93.89</v>
      </c>
      <c r="E160" s="18" t="n">
        <v>4535</v>
      </c>
      <c r="F160" s="18" t="n">
        <v>5977</v>
      </c>
      <c r="G160" s="19">
        <f>IF(F160=0,0,E160/F160*100)</f>
        <v/>
      </c>
      <c r="H160" s="16" t="n">
        <v>0</v>
      </c>
      <c r="I160" s="16" t="n">
        <v>0</v>
      </c>
      <c r="J160" s="16" t="n">
        <v>0</v>
      </c>
      <c r="K160" s="16" t="n">
        <v>4</v>
      </c>
    </row>
    <row r="161">
      <c r="A161" s="15" t="inlineStr">
        <is>
          <t>6 Jun</t>
        </is>
      </c>
      <c r="B161" s="15" t="inlineStr">
        <is>
          <t>37548</t>
        </is>
      </c>
      <c r="C161" s="16" t="n">
        <v>1</v>
      </c>
      <c r="D161" s="49" t="n">
        <v>93.89</v>
      </c>
      <c r="E161" s="18" t="n">
        <v>4741</v>
      </c>
      <c r="F161" s="18" t="n">
        <v>5889</v>
      </c>
      <c r="G161" s="19">
        <f>IF(F161=0,0,E161/F161*100)</f>
        <v/>
      </c>
      <c r="H161" s="16" t="n">
        <v>0</v>
      </c>
      <c r="I161" s="16" t="n">
        <v>0</v>
      </c>
      <c r="J161" s="16" t="n">
        <v>0</v>
      </c>
      <c r="K161" s="16" t="n">
        <v>3</v>
      </c>
    </row>
    <row r="162">
      <c r="A162" s="15" t="inlineStr">
        <is>
          <t>6 Jun</t>
        </is>
      </c>
      <c r="B162" s="15" t="inlineStr">
        <is>
          <t>30484</t>
        </is>
      </c>
      <c r="C162" s="16" t="n">
        <v>1</v>
      </c>
      <c r="D162" s="49" t="n">
        <v>93.90000000000001</v>
      </c>
      <c r="E162" s="18" t="n">
        <v>4749</v>
      </c>
      <c r="F162" s="18" t="n">
        <v>5655</v>
      </c>
      <c r="G162" s="19">
        <f>IF(F162=0,0,E162/F162*100)</f>
        <v/>
      </c>
      <c r="H162" s="16" t="n">
        <v>0</v>
      </c>
      <c r="I162" s="16" t="n">
        <v>0</v>
      </c>
      <c r="J162" s="16" t="n">
        <v>0</v>
      </c>
      <c r="K162" s="16" t="n">
        <v>4</v>
      </c>
    </row>
    <row r="163">
      <c r="A163" s="15" t="inlineStr">
        <is>
          <t>6 Jun</t>
        </is>
      </c>
      <c r="B163" s="15" t="inlineStr">
        <is>
          <t>30472</t>
        </is>
      </c>
      <c r="C163" s="16" t="n">
        <v>1</v>
      </c>
      <c r="D163" s="49" t="n">
        <v>93.34</v>
      </c>
      <c r="E163" s="18" t="n">
        <v>5405</v>
      </c>
      <c r="F163" s="18" t="n">
        <v>5616</v>
      </c>
      <c r="G163" s="19">
        <f>IF(F163=0,0,E163/F163*100)</f>
        <v/>
      </c>
      <c r="H163" s="16" t="n">
        <v>0</v>
      </c>
      <c r="I163" s="16" t="n">
        <v>0</v>
      </c>
      <c r="J163" s="16" t="n">
        <v>0</v>
      </c>
      <c r="K163" s="16" t="n">
        <v>2</v>
      </c>
    </row>
    <row r="164">
      <c r="A164" s="15" t="inlineStr">
        <is>
          <t>6 Jun</t>
        </is>
      </c>
      <c r="B164" s="15" t="inlineStr">
        <is>
          <t>39514</t>
        </is>
      </c>
      <c r="C164" s="16" t="n">
        <v>1</v>
      </c>
      <c r="D164" s="49" t="n">
        <v>93.89</v>
      </c>
      <c r="E164" s="18" t="n">
        <v>4399</v>
      </c>
      <c r="F164" s="18" t="n">
        <v>5575</v>
      </c>
      <c r="G164" s="19">
        <f>IF(F164=0,0,E164/F164*100)</f>
        <v/>
      </c>
      <c r="H164" s="16" t="n">
        <v>1</v>
      </c>
      <c r="I164" s="16" t="n">
        <v>1</v>
      </c>
      <c r="J164" s="16" t="n">
        <v>0</v>
      </c>
      <c r="K164" s="16" t="n">
        <v>4</v>
      </c>
    </row>
    <row r="165">
      <c r="A165" s="15" t="inlineStr">
        <is>
          <t>6 Jun</t>
        </is>
      </c>
      <c r="B165" s="15" t="inlineStr">
        <is>
          <t>37670</t>
        </is>
      </c>
      <c r="C165" s="16" t="n">
        <v>1</v>
      </c>
      <c r="D165" s="49" t="n">
        <v>93.90000000000001</v>
      </c>
      <c r="E165" s="18" t="n">
        <v>4009</v>
      </c>
      <c r="F165" s="18" t="n">
        <v>5402</v>
      </c>
      <c r="G165" s="19">
        <f>IF(F165=0,0,E165/F165*100)</f>
        <v/>
      </c>
      <c r="H165" s="16" t="n">
        <v>1</v>
      </c>
      <c r="I165" s="16" t="n">
        <v>1</v>
      </c>
      <c r="J165" s="16" t="n">
        <v>0</v>
      </c>
      <c r="K165" s="16" t="n">
        <v>7</v>
      </c>
    </row>
    <row r="166">
      <c r="A166" s="15" t="inlineStr">
        <is>
          <t>6 Jun</t>
        </is>
      </c>
      <c r="B166" s="15" t="inlineStr">
        <is>
          <t>39204</t>
        </is>
      </c>
      <c r="C166" s="16" t="n">
        <v>1</v>
      </c>
      <c r="D166" s="49" t="n">
        <v>93.91</v>
      </c>
      <c r="E166" s="18" t="n">
        <v>3551</v>
      </c>
      <c r="F166" s="18" t="n">
        <v>4388</v>
      </c>
      <c r="G166" s="19">
        <f>IF(F166=0,0,E166/F166*100)</f>
        <v/>
      </c>
      <c r="H166" s="16" t="n">
        <v>0</v>
      </c>
      <c r="I166" s="16" t="n">
        <v>0</v>
      </c>
      <c r="J166" s="16" t="n">
        <v>0</v>
      </c>
      <c r="K166" s="16" t="n">
        <v>11</v>
      </c>
    </row>
    <row r="167">
      <c r="A167" s="15" t="inlineStr">
        <is>
          <t>6 Jun</t>
        </is>
      </c>
      <c r="B167" s="15" t="inlineStr">
        <is>
          <t>37383</t>
        </is>
      </c>
      <c r="C167" s="16" t="n">
        <v>0</v>
      </c>
      <c r="D167" s="49" t="n">
        <v>40.44</v>
      </c>
      <c r="E167" s="18" t="n">
        <v>2637</v>
      </c>
      <c r="F167" s="18" t="n">
        <v>5305</v>
      </c>
      <c r="G167" s="19">
        <f>IF(F167=0,0,E167/F167*100)</f>
        <v/>
      </c>
      <c r="H167" s="16" t="n">
        <v>0</v>
      </c>
      <c r="I167" s="16" t="n">
        <v>0</v>
      </c>
      <c r="J167" s="16" t="n">
        <v>0</v>
      </c>
      <c r="K167" s="16" t="n">
        <v>3</v>
      </c>
    </row>
    <row r="168">
      <c r="A168" s="15" t="inlineStr">
        <is>
          <t>6 Jun</t>
        </is>
      </c>
      <c r="B168" s="15" t="inlineStr">
        <is>
          <t>37579</t>
        </is>
      </c>
      <c r="C168" s="16" t="n">
        <v>0</v>
      </c>
      <c r="D168" s="49" t="n">
        <v>53.55</v>
      </c>
      <c r="E168" s="18" t="n">
        <v>4938</v>
      </c>
      <c r="F168" s="18" t="n">
        <v>4940</v>
      </c>
      <c r="G168" s="19">
        <f>IF(F168=0,0,E168/F168*100)</f>
        <v/>
      </c>
      <c r="H168" s="16" t="n">
        <v>0</v>
      </c>
      <c r="I168" s="16" t="n">
        <v>0</v>
      </c>
      <c r="J168" s="16" t="n">
        <v>0</v>
      </c>
      <c r="K168" s="16" t="n">
        <v>1</v>
      </c>
    </row>
    <row r="169">
      <c r="A169" s="15" t="inlineStr">
        <is>
          <t>6 Jun</t>
        </is>
      </c>
      <c r="B169" s="15" t="inlineStr">
        <is>
          <t>37286</t>
        </is>
      </c>
      <c r="C169" s="16" t="n">
        <v>0</v>
      </c>
      <c r="D169" s="49" t="n">
        <v>35.05</v>
      </c>
      <c r="E169" s="18" t="n">
        <v>2281</v>
      </c>
      <c r="F169" s="18" t="n">
        <v>3905</v>
      </c>
      <c r="G169" s="19">
        <f>IF(F169=0,0,E169/F169*100)</f>
        <v/>
      </c>
      <c r="H169" s="16" t="n">
        <v>0</v>
      </c>
      <c r="I169" s="16" t="n">
        <v>0</v>
      </c>
      <c r="J169" s="16" t="n">
        <v>0</v>
      </c>
      <c r="K169" s="16" t="n">
        <v>3</v>
      </c>
    </row>
    <row r="170">
      <c r="A170" s="15" t="inlineStr">
        <is>
          <t>6 Jun</t>
        </is>
      </c>
      <c r="B170" s="15" t="inlineStr">
        <is>
          <t>30791</t>
        </is>
      </c>
      <c r="C170" s="16" t="n">
        <v>0</v>
      </c>
      <c r="D170" s="49" t="n">
        <v>31.43</v>
      </c>
      <c r="E170" s="18" t="n">
        <v>2492</v>
      </c>
      <c r="F170" s="18" t="n">
        <v>3080</v>
      </c>
      <c r="G170" s="19">
        <f>IF(F170=0,0,E170/F170*100)</f>
        <v/>
      </c>
      <c r="H170" s="16" t="n">
        <v>0</v>
      </c>
      <c r="I170" s="16" t="n">
        <v>0</v>
      </c>
      <c r="J170" s="16" t="n">
        <v>0</v>
      </c>
      <c r="K170" s="16" t="n">
        <v>1</v>
      </c>
    </row>
    <row r="171">
      <c r="A171" s="15" t="inlineStr">
        <is>
          <t>6 Jun</t>
        </is>
      </c>
      <c r="B171" s="15" t="inlineStr">
        <is>
          <t>30759</t>
        </is>
      </c>
      <c r="C171" s="16" t="n">
        <v>0</v>
      </c>
      <c r="D171" s="49" t="n">
        <v>49.9</v>
      </c>
      <c r="E171" s="18" t="n">
        <v>2237</v>
      </c>
      <c r="F171" s="18" t="n">
        <v>2672</v>
      </c>
      <c r="G171" s="19">
        <f>IF(F171=0,0,E171/F171*100)</f>
        <v/>
      </c>
      <c r="H171" s="16" t="n">
        <v>0</v>
      </c>
      <c r="I171" s="16" t="n">
        <v>0</v>
      </c>
      <c r="J171" s="16" t="n">
        <v>0</v>
      </c>
      <c r="K171" s="16" t="n">
        <v>3</v>
      </c>
    </row>
    <row r="172">
      <c r="A172" s="15" t="inlineStr">
        <is>
          <t>6 Jun</t>
        </is>
      </c>
      <c r="B172" s="15" t="inlineStr">
        <is>
          <t>30821</t>
        </is>
      </c>
      <c r="C172" s="16" t="n">
        <v>0</v>
      </c>
      <c r="D172" s="49" t="n">
        <v>40.97</v>
      </c>
      <c r="E172" s="18" t="n">
        <v>832</v>
      </c>
      <c r="F172" s="18" t="n">
        <v>2436</v>
      </c>
      <c r="G172" s="19">
        <f>IF(F172=0,0,E172/F172*100)</f>
        <v/>
      </c>
      <c r="H172" s="16" t="n">
        <v>0</v>
      </c>
      <c r="I172" s="16" t="n">
        <v>0</v>
      </c>
      <c r="J172" s="16" t="n">
        <v>0</v>
      </c>
      <c r="K172" s="16" t="n">
        <v>1</v>
      </c>
    </row>
    <row r="173">
      <c r="A173" s="15" t="inlineStr">
        <is>
          <t>6 Jun</t>
        </is>
      </c>
      <c r="B173" s="15" t="inlineStr">
        <is>
          <t>39030</t>
        </is>
      </c>
      <c r="C173" s="16" t="n">
        <v>0</v>
      </c>
      <c r="D173" s="49" t="n">
        <v>53.5</v>
      </c>
      <c r="E173" s="18" t="n">
        <v>2163</v>
      </c>
      <c r="F173" s="18" t="n">
        <v>2416</v>
      </c>
      <c r="G173" s="19">
        <f>IF(F173=0,0,E173/F173*100)</f>
        <v/>
      </c>
      <c r="H173" s="16" t="n">
        <v>0</v>
      </c>
      <c r="I173" s="16" t="n">
        <v>0</v>
      </c>
      <c r="J173" s="16" t="n">
        <v>0</v>
      </c>
      <c r="K173" s="16" t="n">
        <v>2</v>
      </c>
    </row>
    <row r="174">
      <c r="A174" s="15" t="inlineStr">
        <is>
          <t>6 Jun</t>
        </is>
      </c>
      <c r="B174" s="15" t="inlineStr">
        <is>
          <t>39131</t>
        </is>
      </c>
      <c r="C174" s="16" t="n">
        <v>0</v>
      </c>
      <c r="D174" s="49" t="n">
        <v>38.35</v>
      </c>
      <c r="E174" s="18" t="n">
        <v>1585</v>
      </c>
      <c r="F174" s="18" t="n">
        <v>2296</v>
      </c>
      <c r="G174" s="19">
        <f>IF(F174=0,0,E174/F174*100)</f>
        <v/>
      </c>
      <c r="H174" s="16" t="n">
        <v>0</v>
      </c>
      <c r="I174" s="16" t="n">
        <v>0</v>
      </c>
      <c r="J174" s="16" t="n">
        <v>0</v>
      </c>
      <c r="K174" s="16" t="n">
        <v>1</v>
      </c>
    </row>
    <row r="175">
      <c r="A175" s="15" t="inlineStr">
        <is>
          <t>6 Jun</t>
        </is>
      </c>
      <c r="B175" s="15" t="inlineStr">
        <is>
          <t>39243</t>
        </is>
      </c>
      <c r="C175" s="16" t="n">
        <v>0</v>
      </c>
      <c r="D175" s="49" t="n">
        <v>54.09</v>
      </c>
      <c r="E175" s="18" t="n">
        <v>1202</v>
      </c>
      <c r="F175" s="18" t="n">
        <v>2229</v>
      </c>
      <c r="G175" s="19">
        <f>IF(F175=0,0,E175/F175*100)</f>
        <v/>
      </c>
      <c r="H175" s="16" t="n">
        <v>0</v>
      </c>
      <c r="I175" s="16" t="n">
        <v>0</v>
      </c>
      <c r="J175" s="16" t="n">
        <v>0</v>
      </c>
      <c r="K175" s="16" t="n">
        <v>1</v>
      </c>
    </row>
    <row r="176">
      <c r="A176" s="15" t="inlineStr">
        <is>
          <t>6 Jun</t>
        </is>
      </c>
      <c r="B176" s="15" t="inlineStr">
        <is>
          <t>37470</t>
        </is>
      </c>
      <c r="C176" s="16" t="n">
        <v>0</v>
      </c>
      <c r="D176" s="49" t="n">
        <v>36.87</v>
      </c>
      <c r="E176" s="18" t="n">
        <v>878</v>
      </c>
      <c r="F176" s="18" t="n">
        <v>1890</v>
      </c>
      <c r="G176" s="19">
        <f>IF(F176=0,0,E176/F176*100)</f>
        <v/>
      </c>
      <c r="H176" s="16" t="n">
        <v>0</v>
      </c>
      <c r="I176" s="16" t="n">
        <v>0</v>
      </c>
      <c r="J176" s="16" t="n">
        <v>0</v>
      </c>
      <c r="K176" s="16" t="n">
        <v>1</v>
      </c>
    </row>
    <row r="177">
      <c r="A177" s="15" t="inlineStr">
        <is>
          <t>6 Jun</t>
        </is>
      </c>
      <c r="B177" s="15" t="inlineStr">
        <is>
          <t>37397</t>
        </is>
      </c>
      <c r="C177" s="16" t="n">
        <v>0</v>
      </c>
      <c r="D177" s="49" t="n">
        <v>40.29</v>
      </c>
      <c r="E177" s="18" t="n">
        <v>707</v>
      </c>
      <c r="F177" s="18" t="n">
        <v>1810</v>
      </c>
      <c r="G177" s="19">
        <f>IF(F177=0,0,E177/F177*100)</f>
        <v/>
      </c>
      <c r="H177" s="16" t="n">
        <v>0</v>
      </c>
      <c r="I177" s="16" t="n">
        <v>0</v>
      </c>
      <c r="J177" s="16" t="n">
        <v>0</v>
      </c>
      <c r="K177" s="16" t="n">
        <v>1</v>
      </c>
    </row>
    <row r="178">
      <c r="A178" s="15" t="inlineStr">
        <is>
          <t>6 Jun</t>
        </is>
      </c>
      <c r="B178" s="15" t="inlineStr">
        <is>
          <t>39466</t>
        </is>
      </c>
      <c r="C178" s="16" t="n">
        <v>0</v>
      </c>
      <c r="D178" s="49" t="n">
        <v>36.71</v>
      </c>
      <c r="E178" s="18" t="n">
        <v>679</v>
      </c>
      <c r="F178" s="18" t="n">
        <v>1805</v>
      </c>
      <c r="G178" s="19">
        <f>IF(F178=0,0,E178/F178*100)</f>
        <v/>
      </c>
      <c r="H178" s="16" t="n">
        <v>0</v>
      </c>
      <c r="I178" s="16" t="n">
        <v>0</v>
      </c>
      <c r="J178" s="16" t="n">
        <v>0</v>
      </c>
      <c r="K178" s="16" t="n">
        <v>1</v>
      </c>
    </row>
    <row r="179">
      <c r="A179" s="15" t="inlineStr">
        <is>
          <t>6 Jun</t>
        </is>
      </c>
      <c r="B179" s="15" t="inlineStr">
        <is>
          <t>37396</t>
        </is>
      </c>
      <c r="C179" s="16" t="n">
        <v>0</v>
      </c>
      <c r="D179" s="49" t="n">
        <v>28.01</v>
      </c>
      <c r="E179" s="18" t="n">
        <v>1706</v>
      </c>
      <c r="F179" s="18" t="n">
        <v>1796</v>
      </c>
      <c r="G179" s="19">
        <f>IF(F179=0,0,E179/F179*100)</f>
        <v/>
      </c>
      <c r="H179" s="16" t="n">
        <v>2</v>
      </c>
      <c r="I179" s="16" t="n">
        <v>0</v>
      </c>
      <c r="J179" s="16" t="n">
        <v>2</v>
      </c>
      <c r="K179" s="16" t="n">
        <v>1</v>
      </c>
    </row>
    <row r="180">
      <c r="A180" s="15" t="inlineStr">
        <is>
          <t>6 Jun</t>
        </is>
      </c>
      <c r="B180" s="15" t="inlineStr">
        <is>
          <t>37424</t>
        </is>
      </c>
      <c r="C180" s="16" t="n">
        <v>0</v>
      </c>
      <c r="D180" s="49" t="n">
        <v>36.96</v>
      </c>
      <c r="E180" s="18" t="n">
        <v>828</v>
      </c>
      <c r="F180" s="18" t="n">
        <v>1558</v>
      </c>
      <c r="G180" s="19">
        <f>IF(F180=0,0,E180/F180*100)</f>
        <v/>
      </c>
      <c r="H180" s="16" t="n">
        <v>0</v>
      </c>
      <c r="I180" s="16" t="n">
        <v>0</v>
      </c>
      <c r="J180" s="16" t="n">
        <v>0</v>
      </c>
      <c r="K180" s="16" t="n">
        <v>1</v>
      </c>
    </row>
    <row r="181">
      <c r="A181" s="15" t="inlineStr">
        <is>
          <t>6 Jun</t>
        </is>
      </c>
      <c r="B181" s="15" t="inlineStr">
        <is>
          <t>37277</t>
        </is>
      </c>
      <c r="C181" s="16" t="n">
        <v>0</v>
      </c>
      <c r="D181" s="49" t="n">
        <v>36.84</v>
      </c>
      <c r="E181" s="18" t="n">
        <v>808</v>
      </c>
      <c r="F181" s="18" t="n">
        <v>1271</v>
      </c>
      <c r="G181" s="19">
        <f>IF(F181=0,0,E181/F181*100)</f>
        <v/>
      </c>
      <c r="H181" s="16" t="n">
        <v>0</v>
      </c>
      <c r="I181" s="16" t="n">
        <v>0</v>
      </c>
      <c r="J181" s="16" t="n">
        <v>0</v>
      </c>
      <c r="K181" s="16" t="n">
        <v>0</v>
      </c>
    </row>
    <row r="182">
      <c r="A182" s="15" t="inlineStr">
        <is>
          <t>6 Jun</t>
        </is>
      </c>
      <c r="B182" s="15" t="inlineStr">
        <is>
          <t>43652</t>
        </is>
      </c>
      <c r="C182" s="16" t="n">
        <v>0</v>
      </c>
      <c r="D182" s="49" t="n">
        <v>0.45</v>
      </c>
      <c r="E182" s="18" t="n">
        <v>544</v>
      </c>
      <c r="F182" s="18" t="n">
        <v>1156</v>
      </c>
      <c r="G182" s="19">
        <f>IF(F182=0,0,E182/F182*100)</f>
        <v/>
      </c>
      <c r="H182" s="16" t="n">
        <v>0</v>
      </c>
      <c r="I182" s="16" t="n">
        <v>0</v>
      </c>
      <c r="J182" s="16" t="n">
        <v>0</v>
      </c>
      <c r="K182" s="16" t="n">
        <v>5</v>
      </c>
    </row>
    <row r="183">
      <c r="A183" s="15" t="inlineStr">
        <is>
          <t>6 Jun</t>
        </is>
      </c>
      <c r="B183" s="15" t="inlineStr">
        <is>
          <t>37513</t>
        </is>
      </c>
      <c r="C183" s="16" t="n">
        <v>0</v>
      </c>
      <c r="D183" s="49" t="n">
        <v>36.29</v>
      </c>
      <c r="E183" s="18" t="n">
        <v>375</v>
      </c>
      <c r="F183" s="18" t="n">
        <v>1065</v>
      </c>
      <c r="G183" s="19">
        <f>IF(F183=0,0,E183/F183*100)</f>
        <v/>
      </c>
      <c r="H183" s="16" t="n">
        <v>0</v>
      </c>
      <c r="I183" s="16" t="n">
        <v>0</v>
      </c>
      <c r="J183" s="16" t="n">
        <v>0</v>
      </c>
      <c r="K183" s="16" t="n">
        <v>1</v>
      </c>
    </row>
    <row r="184">
      <c r="A184" s="15" t="inlineStr">
        <is>
          <t>6 Jun</t>
        </is>
      </c>
      <c r="B184" s="15" t="inlineStr">
        <is>
          <t>39308</t>
        </is>
      </c>
      <c r="C184" s="16" t="n">
        <v>0</v>
      </c>
      <c r="D184" s="49" t="n">
        <v>1.98</v>
      </c>
      <c r="E184" s="18" t="n">
        <v>118</v>
      </c>
      <c r="F184" s="18" t="n">
        <v>1031</v>
      </c>
      <c r="G184" s="19">
        <f>IF(F184=0,0,E184/F184*100)</f>
        <v/>
      </c>
      <c r="H184" s="16" t="n">
        <v>0</v>
      </c>
      <c r="I184" s="16" t="n">
        <v>0</v>
      </c>
      <c r="J184" s="16" t="n">
        <v>0</v>
      </c>
      <c r="K184" s="16" t="n">
        <v>0</v>
      </c>
    </row>
    <row r="185">
      <c r="A185" s="15" t="inlineStr">
        <is>
          <t>6 Jun</t>
        </is>
      </c>
      <c r="B185" s="15" t="inlineStr">
        <is>
          <t>30733</t>
        </is>
      </c>
      <c r="C185" s="16" t="n">
        <v>0</v>
      </c>
      <c r="D185" s="49" t="n">
        <v>7.48</v>
      </c>
      <c r="E185" s="18" t="n">
        <v>742</v>
      </c>
      <c r="F185" s="18" t="n">
        <v>957</v>
      </c>
      <c r="G185" s="19">
        <f>IF(F185=0,0,E185/F185*100)</f>
        <v/>
      </c>
      <c r="H185" s="16" t="n">
        <v>2</v>
      </c>
      <c r="I185" s="16" t="n">
        <v>0</v>
      </c>
      <c r="J185" s="16" t="n">
        <v>2</v>
      </c>
      <c r="K185" s="16" t="n">
        <v>1</v>
      </c>
    </row>
    <row r="186">
      <c r="A186" s="15" t="inlineStr">
        <is>
          <t>6 Jun</t>
        </is>
      </c>
      <c r="B186" s="15" t="inlineStr">
        <is>
          <t>39334</t>
        </is>
      </c>
      <c r="C186" s="16" t="n">
        <v>0</v>
      </c>
      <c r="D186" s="49" t="n">
        <v>11.45</v>
      </c>
      <c r="E186" s="18" t="n">
        <v>121</v>
      </c>
      <c r="F186" s="18" t="n">
        <v>121</v>
      </c>
      <c r="G186" s="19">
        <f>IF(F186=0,0,E186/F186*100)</f>
        <v/>
      </c>
      <c r="H186" s="16" t="n">
        <v>0</v>
      </c>
      <c r="I186" s="16" t="n">
        <v>0</v>
      </c>
      <c r="J186" s="16" t="n">
        <v>0</v>
      </c>
      <c r="K186" s="16" t="n">
        <v>0</v>
      </c>
    </row>
    <row r="187">
      <c r="A187" s="20" t="inlineStr">
        <is>
          <t>6 Jun</t>
        </is>
      </c>
      <c r="B187" s="20" t="inlineStr">
        <is>
          <t>Day Total</t>
        </is>
      </c>
      <c r="C187" s="21">
        <f>SUM(C154:C186)</f>
        <v/>
      </c>
      <c r="D187" s="50">
        <f>SUM(D154:D186)</f>
        <v/>
      </c>
      <c r="E187" s="23">
        <f>SUM(E154:E186)</f>
        <v/>
      </c>
      <c r="F187" s="23">
        <f>SUM(F154:F186)</f>
        <v/>
      </c>
      <c r="G187" s="24">
        <f>IF(F187=0,0,E187/F187*100)</f>
        <v/>
      </c>
      <c r="H187" s="21">
        <f>SUM(H154:H186)</f>
        <v/>
      </c>
      <c r="I187" s="21">
        <f>SUM(I154:I186)</f>
        <v/>
      </c>
      <c r="J187" s="21">
        <f>SUM(J154:J186)</f>
        <v/>
      </c>
      <c r="K187" s="21">
        <f>SUM(K154:K186)</f>
        <v/>
      </c>
    </row>
    <row r="188">
      <c r="A188" s="15" t="inlineStr">
        <is>
          <t>7 Jun</t>
        </is>
      </c>
      <c r="B188" s="15" t="inlineStr">
        <is>
          <t>39027</t>
        </is>
      </c>
      <c r="C188" s="16" t="n">
        <v>2</v>
      </c>
      <c r="D188" s="49" t="n">
        <v>93.91</v>
      </c>
      <c r="E188" s="18" t="n">
        <v>8263</v>
      </c>
      <c r="F188" s="18" t="n">
        <v>10380</v>
      </c>
      <c r="G188" s="19">
        <f>IF(F188=0,0,E188/F188*100)</f>
        <v/>
      </c>
      <c r="H188" s="16" t="n">
        <v>0</v>
      </c>
      <c r="I188" s="16" t="n">
        <v>0</v>
      </c>
      <c r="J188" s="16" t="n">
        <v>0</v>
      </c>
      <c r="K188" s="16" t="n">
        <v>7</v>
      </c>
    </row>
    <row r="189">
      <c r="A189" s="15" t="inlineStr">
        <is>
          <t>7 Jun</t>
        </is>
      </c>
      <c r="B189" s="15" t="inlineStr">
        <is>
          <t>37287</t>
        </is>
      </c>
      <c r="C189" s="16" t="n">
        <v>1</v>
      </c>
      <c r="D189" s="49" t="n">
        <v>93.31999999999999</v>
      </c>
      <c r="E189" s="18" t="n">
        <v>7081</v>
      </c>
      <c r="F189" s="18" t="n">
        <v>7550</v>
      </c>
      <c r="G189" s="19">
        <f>IF(F189=0,0,E189/F189*100)</f>
        <v/>
      </c>
      <c r="H189" s="16" t="n">
        <v>0</v>
      </c>
      <c r="I189" s="16" t="n">
        <v>0</v>
      </c>
      <c r="J189" s="16" t="n">
        <v>0</v>
      </c>
      <c r="K189" s="16" t="n">
        <v>2</v>
      </c>
    </row>
    <row r="190">
      <c r="A190" s="15" t="inlineStr">
        <is>
          <t>7 Jun</t>
        </is>
      </c>
      <c r="B190" s="15" t="inlineStr">
        <is>
          <t>30637</t>
        </is>
      </c>
      <c r="C190" s="16" t="n">
        <v>1</v>
      </c>
      <c r="D190" s="49" t="n">
        <v>93.90000000000001</v>
      </c>
      <c r="E190" s="18" t="n">
        <v>5651</v>
      </c>
      <c r="F190" s="18" t="n">
        <v>6883</v>
      </c>
      <c r="G190" s="19">
        <f>IF(F190=0,0,E190/F190*100)</f>
        <v/>
      </c>
      <c r="H190" s="16" t="n">
        <v>0</v>
      </c>
      <c r="I190" s="16" t="n">
        <v>0</v>
      </c>
      <c r="J190" s="16" t="n">
        <v>0</v>
      </c>
      <c r="K190" s="16" t="n">
        <v>4</v>
      </c>
    </row>
    <row r="191">
      <c r="A191" s="15" t="inlineStr">
        <is>
          <t>7 Jun</t>
        </is>
      </c>
      <c r="B191" s="15" t="inlineStr">
        <is>
          <t>37398</t>
        </is>
      </c>
      <c r="C191" s="16" t="n">
        <v>1</v>
      </c>
      <c r="D191" s="49" t="n">
        <v>93.31999999999999</v>
      </c>
      <c r="E191" s="18" t="n">
        <v>6064</v>
      </c>
      <c r="F191" s="18" t="n">
        <v>6727</v>
      </c>
      <c r="G191" s="19">
        <f>IF(F191=0,0,E191/F191*100)</f>
        <v/>
      </c>
      <c r="H191" s="16" t="n">
        <v>0</v>
      </c>
      <c r="I191" s="16" t="n">
        <v>0</v>
      </c>
      <c r="J191" s="16" t="n">
        <v>0</v>
      </c>
      <c r="K191" s="16" t="n">
        <v>3</v>
      </c>
    </row>
    <row r="192">
      <c r="A192" s="15" t="inlineStr">
        <is>
          <t>7 Jun</t>
        </is>
      </c>
      <c r="B192" s="15" t="inlineStr">
        <is>
          <t>30484</t>
        </is>
      </c>
      <c r="C192" s="16" t="n">
        <v>1</v>
      </c>
      <c r="D192" s="49" t="n">
        <v>93.87</v>
      </c>
      <c r="E192" s="18" t="n">
        <v>5385</v>
      </c>
      <c r="F192" s="18" t="n">
        <v>6604</v>
      </c>
      <c r="G192" s="19">
        <f>IF(F192=0,0,E192/F192*100)</f>
        <v/>
      </c>
      <c r="H192" s="16" t="n">
        <v>0</v>
      </c>
      <c r="I192" s="16" t="n">
        <v>0</v>
      </c>
      <c r="J192" s="16" t="n">
        <v>0</v>
      </c>
      <c r="K192" s="16" t="n">
        <v>3</v>
      </c>
    </row>
    <row r="193">
      <c r="A193" s="15" t="inlineStr">
        <is>
          <t>7 Jun</t>
        </is>
      </c>
      <c r="B193" s="15" t="inlineStr">
        <is>
          <t>37163</t>
        </is>
      </c>
      <c r="C193" s="16" t="n">
        <v>1</v>
      </c>
      <c r="D193" s="49" t="n">
        <v>93.89</v>
      </c>
      <c r="E193" s="18" t="n">
        <v>4866</v>
      </c>
      <c r="F193" s="18" t="n">
        <v>6418</v>
      </c>
      <c r="G193" s="19">
        <f>IF(F193=0,0,E193/F193*100)</f>
        <v/>
      </c>
      <c r="H193" s="16" t="n">
        <v>0</v>
      </c>
      <c r="I193" s="16" t="n">
        <v>0</v>
      </c>
      <c r="J193" s="16" t="n">
        <v>0</v>
      </c>
      <c r="K193" s="16" t="n">
        <v>3</v>
      </c>
    </row>
    <row r="194">
      <c r="A194" s="15" t="inlineStr">
        <is>
          <t>7 Jun</t>
        </is>
      </c>
      <c r="B194" s="15" t="inlineStr">
        <is>
          <t>37956</t>
        </is>
      </c>
      <c r="C194" s="16" t="n">
        <v>1</v>
      </c>
      <c r="D194" s="49" t="n">
        <v>93.91</v>
      </c>
      <c r="E194" s="18" t="n">
        <v>4167</v>
      </c>
      <c r="F194" s="18" t="n">
        <v>5882</v>
      </c>
      <c r="G194" s="19">
        <f>IF(F194=0,0,E194/F194*100)</f>
        <v/>
      </c>
      <c r="H194" s="16" t="n">
        <v>0</v>
      </c>
      <c r="I194" s="16" t="n">
        <v>0</v>
      </c>
      <c r="J194" s="16" t="n">
        <v>0</v>
      </c>
      <c r="K194" s="16" t="n">
        <v>7</v>
      </c>
    </row>
    <row r="195">
      <c r="A195" s="15" t="inlineStr">
        <is>
          <t>7 Jun</t>
        </is>
      </c>
      <c r="B195" s="15" t="inlineStr">
        <is>
          <t>30496</t>
        </is>
      </c>
      <c r="C195" s="16" t="n">
        <v>1</v>
      </c>
      <c r="D195" s="49" t="n">
        <v>93.31999999999999</v>
      </c>
      <c r="E195" s="18" t="n">
        <v>5386</v>
      </c>
      <c r="F195" s="18" t="n">
        <v>5862</v>
      </c>
      <c r="G195" s="19">
        <f>IF(F195=0,0,E195/F195*100)</f>
        <v/>
      </c>
      <c r="H195" s="16" t="n">
        <v>0</v>
      </c>
      <c r="I195" s="16" t="n">
        <v>0</v>
      </c>
      <c r="J195" s="16" t="n">
        <v>0</v>
      </c>
      <c r="K195" s="16" t="n">
        <v>3</v>
      </c>
    </row>
    <row r="196">
      <c r="A196" s="15" t="inlineStr">
        <is>
          <t>7 Jun</t>
        </is>
      </c>
      <c r="B196" s="15" t="inlineStr">
        <is>
          <t>37019</t>
        </is>
      </c>
      <c r="C196" s="16" t="n">
        <v>1</v>
      </c>
      <c r="D196" s="49" t="n">
        <v>93.91</v>
      </c>
      <c r="E196" s="18" t="n">
        <v>4072</v>
      </c>
      <c r="F196" s="18" t="n">
        <v>5584</v>
      </c>
      <c r="G196" s="19">
        <f>IF(F196=0,0,E196/F196*100)</f>
        <v/>
      </c>
      <c r="H196" s="16" t="n">
        <v>0</v>
      </c>
      <c r="I196" s="16" t="n">
        <v>0</v>
      </c>
      <c r="J196" s="16" t="n">
        <v>0</v>
      </c>
      <c r="K196" s="16" t="n">
        <v>3</v>
      </c>
    </row>
    <row r="197">
      <c r="A197" s="15" t="inlineStr">
        <is>
          <t>7 Jun</t>
        </is>
      </c>
      <c r="B197" s="15" t="inlineStr">
        <is>
          <t>39015</t>
        </is>
      </c>
      <c r="C197" s="16" t="n">
        <v>1</v>
      </c>
      <c r="D197" s="49" t="n">
        <v>93.89</v>
      </c>
      <c r="E197" s="18" t="n">
        <v>3632</v>
      </c>
      <c r="F197" s="18" t="n">
        <v>5266</v>
      </c>
      <c r="G197" s="19">
        <f>IF(F197=0,0,E197/F197*100)</f>
        <v/>
      </c>
      <c r="H197" s="16" t="n">
        <v>0</v>
      </c>
      <c r="I197" s="16" t="n">
        <v>0</v>
      </c>
      <c r="J197" s="16" t="n">
        <v>0</v>
      </c>
      <c r="K197" s="16" t="n">
        <v>5</v>
      </c>
    </row>
    <row r="198">
      <c r="A198" s="15" t="inlineStr">
        <is>
          <t>7 Jun</t>
        </is>
      </c>
      <c r="B198" s="15" t="inlineStr">
        <is>
          <t>37507</t>
        </is>
      </c>
      <c r="C198" s="16" t="n">
        <v>1</v>
      </c>
      <c r="D198" s="49" t="n">
        <v>93.90000000000001</v>
      </c>
      <c r="E198" s="18" t="n">
        <v>3888</v>
      </c>
      <c r="F198" s="18" t="n">
        <v>5091</v>
      </c>
      <c r="G198" s="19">
        <f>IF(F198=0,0,E198/F198*100)</f>
        <v/>
      </c>
      <c r="H198" s="16" t="n">
        <v>0</v>
      </c>
      <c r="I198" s="16" t="n">
        <v>0</v>
      </c>
      <c r="J198" s="16" t="n">
        <v>0</v>
      </c>
      <c r="K198" s="16" t="n">
        <v>4</v>
      </c>
    </row>
    <row r="199">
      <c r="A199" s="15" t="inlineStr">
        <is>
          <t>7 Jun</t>
        </is>
      </c>
      <c r="B199" s="15" t="inlineStr">
        <is>
          <t>39080</t>
        </is>
      </c>
      <c r="C199" s="16" t="n">
        <v>1</v>
      </c>
      <c r="D199" s="49" t="n">
        <v>93.90000000000001</v>
      </c>
      <c r="E199" s="18" t="n">
        <v>3598</v>
      </c>
      <c r="F199" s="18" t="n">
        <v>4608</v>
      </c>
      <c r="G199" s="19">
        <f>IF(F199=0,0,E199/F199*100)</f>
        <v/>
      </c>
      <c r="H199" s="16" t="n">
        <v>0</v>
      </c>
      <c r="I199" s="16" t="n">
        <v>0</v>
      </c>
      <c r="J199" s="16" t="n">
        <v>0</v>
      </c>
      <c r="K199" s="16" t="n">
        <v>5</v>
      </c>
    </row>
    <row r="200">
      <c r="A200" s="15" t="inlineStr">
        <is>
          <t>7 Jun</t>
        </is>
      </c>
      <c r="B200" s="15" t="inlineStr">
        <is>
          <t>37399</t>
        </is>
      </c>
      <c r="C200" s="16" t="n">
        <v>1</v>
      </c>
      <c r="D200" s="49" t="n">
        <v>93.91</v>
      </c>
      <c r="E200" s="18" t="n">
        <v>3482</v>
      </c>
      <c r="F200" s="18" t="n">
        <v>4588</v>
      </c>
      <c r="G200" s="19">
        <f>IF(F200=0,0,E200/F200*100)</f>
        <v/>
      </c>
      <c r="H200" s="16" t="n">
        <v>0</v>
      </c>
      <c r="I200" s="16" t="n">
        <v>0</v>
      </c>
      <c r="J200" s="16" t="n">
        <v>0</v>
      </c>
      <c r="K200" s="16" t="n">
        <v>4</v>
      </c>
    </row>
    <row r="201">
      <c r="A201" s="15" t="inlineStr">
        <is>
          <t>7 Jun</t>
        </is>
      </c>
      <c r="B201" s="15" t="inlineStr">
        <is>
          <t>37947</t>
        </is>
      </c>
      <c r="C201" s="16" t="n">
        <v>1</v>
      </c>
      <c r="D201" s="49" t="n">
        <v>93.89</v>
      </c>
      <c r="E201" s="18" t="n">
        <v>3995</v>
      </c>
      <c r="F201" s="18" t="n">
        <v>4407</v>
      </c>
      <c r="G201" s="19">
        <f>IF(F201=0,0,E201/F201*100)</f>
        <v/>
      </c>
      <c r="H201" s="16" t="n">
        <v>0</v>
      </c>
      <c r="I201" s="16" t="n">
        <v>0</v>
      </c>
      <c r="J201" s="16" t="n">
        <v>0</v>
      </c>
      <c r="K201" s="16" t="n">
        <v>3</v>
      </c>
    </row>
    <row r="202">
      <c r="A202" s="15" t="inlineStr">
        <is>
          <t>7 Jun</t>
        </is>
      </c>
      <c r="B202" s="15" t="inlineStr">
        <is>
          <t>30153</t>
        </is>
      </c>
      <c r="C202" s="16" t="n">
        <v>1</v>
      </c>
      <c r="D202" s="49" t="n">
        <v>93.90000000000001</v>
      </c>
      <c r="E202" s="18" t="n">
        <v>2924</v>
      </c>
      <c r="F202" s="18" t="n">
        <v>3537</v>
      </c>
      <c r="G202" s="19">
        <f>IF(F202=0,0,E202/F202*100)</f>
        <v/>
      </c>
      <c r="H202" s="16" t="n">
        <v>0</v>
      </c>
      <c r="I202" s="16" t="n">
        <v>0</v>
      </c>
      <c r="J202" s="16" t="n">
        <v>0</v>
      </c>
      <c r="K202" s="16" t="n">
        <v>4</v>
      </c>
    </row>
    <row r="203">
      <c r="A203" s="15" t="inlineStr">
        <is>
          <t>7 Jun</t>
        </is>
      </c>
      <c r="B203" s="15" t="inlineStr">
        <is>
          <t>30098</t>
        </is>
      </c>
      <c r="C203" s="16" t="n">
        <v>1</v>
      </c>
      <c r="D203" s="49" t="n">
        <v>89.58</v>
      </c>
      <c r="E203" s="18" t="n">
        <v>0</v>
      </c>
      <c r="F203" s="18" t="n">
        <v>3416</v>
      </c>
      <c r="G203" s="19">
        <f>IF(F203=0,0,E203/F203*100)</f>
        <v/>
      </c>
      <c r="H203" s="16" t="n">
        <v>0</v>
      </c>
      <c r="I203" s="16" t="n">
        <v>0</v>
      </c>
      <c r="J203" s="16" t="n">
        <v>0</v>
      </c>
      <c r="K203" s="16" t="n">
        <v>0</v>
      </c>
    </row>
    <row r="204">
      <c r="A204" s="15" t="inlineStr">
        <is>
          <t>7 Jun</t>
        </is>
      </c>
      <c r="B204" s="15" t="inlineStr">
        <is>
          <t>30821</t>
        </is>
      </c>
      <c r="C204" s="16" t="n">
        <v>1</v>
      </c>
      <c r="D204" s="49" t="n">
        <v>93.90000000000001</v>
      </c>
      <c r="E204" s="18" t="n">
        <v>2417</v>
      </c>
      <c r="F204" s="18" t="n">
        <v>2980</v>
      </c>
      <c r="G204" s="19">
        <f>IF(F204=0,0,E204/F204*100)</f>
        <v/>
      </c>
      <c r="H204" s="16" t="n">
        <v>0</v>
      </c>
      <c r="I204" s="16" t="n">
        <v>0</v>
      </c>
      <c r="J204" s="16" t="n">
        <v>0</v>
      </c>
      <c r="K204" s="16" t="n">
        <v>2</v>
      </c>
    </row>
    <row r="205">
      <c r="A205" s="15" t="inlineStr">
        <is>
          <t>7 Jun</t>
        </is>
      </c>
      <c r="B205" s="15" t="inlineStr">
        <is>
          <t>30606</t>
        </is>
      </c>
      <c r="C205" s="16" t="n">
        <v>0</v>
      </c>
      <c r="D205" s="49" t="n">
        <v>84.31999999999999</v>
      </c>
      <c r="E205" s="18" t="n">
        <v>4200</v>
      </c>
      <c r="F205" s="18" t="n">
        <v>4941</v>
      </c>
      <c r="G205" s="19">
        <f>IF(F205=0,0,E205/F205*100)</f>
        <v/>
      </c>
      <c r="H205" s="16" t="n">
        <v>0</v>
      </c>
      <c r="I205" s="16" t="n">
        <v>0</v>
      </c>
      <c r="J205" s="16" t="n">
        <v>0</v>
      </c>
      <c r="K205" s="16" t="n">
        <v>1</v>
      </c>
    </row>
    <row r="206">
      <c r="A206" s="15" t="inlineStr">
        <is>
          <t>7 Jun</t>
        </is>
      </c>
      <c r="B206" s="15" t="inlineStr">
        <is>
          <t>37383</t>
        </is>
      </c>
      <c r="C206" s="16" t="n">
        <v>0</v>
      </c>
      <c r="D206" s="49" t="n">
        <v>39.52</v>
      </c>
      <c r="E206" s="18" t="n">
        <v>2253</v>
      </c>
      <c r="F206" s="18" t="n">
        <v>4045</v>
      </c>
      <c r="G206" s="19">
        <f>IF(F206=0,0,E206/F206*100)</f>
        <v/>
      </c>
      <c r="H206" s="16" t="n">
        <v>0</v>
      </c>
      <c r="I206" s="16" t="n">
        <v>0</v>
      </c>
      <c r="J206" s="16" t="n">
        <v>0</v>
      </c>
      <c r="K206" s="16" t="n">
        <v>2</v>
      </c>
    </row>
    <row r="207">
      <c r="A207" s="15" t="inlineStr">
        <is>
          <t>7 Jun</t>
        </is>
      </c>
      <c r="B207" s="15" t="inlineStr">
        <is>
          <t>39466</t>
        </is>
      </c>
      <c r="C207" s="16" t="n">
        <v>0</v>
      </c>
      <c r="D207" s="49" t="n">
        <v>63.1</v>
      </c>
      <c r="E207" s="18" t="n">
        <v>3185</v>
      </c>
      <c r="F207" s="18" t="n">
        <v>3410</v>
      </c>
      <c r="G207" s="19">
        <f>IF(F207=0,0,E207/F207*100)</f>
        <v/>
      </c>
      <c r="H207" s="16" t="n">
        <v>0</v>
      </c>
      <c r="I207" s="16" t="n">
        <v>0</v>
      </c>
      <c r="J207" s="16" t="n">
        <v>0</v>
      </c>
      <c r="K207" s="16" t="n">
        <v>2</v>
      </c>
    </row>
    <row r="208">
      <c r="A208" s="15" t="inlineStr">
        <is>
          <t>7 Jun</t>
        </is>
      </c>
      <c r="B208" s="15" t="inlineStr">
        <is>
          <t>30759</t>
        </is>
      </c>
      <c r="C208" s="16" t="n">
        <v>0</v>
      </c>
      <c r="D208" s="49" t="n">
        <v>43.87</v>
      </c>
      <c r="E208" s="18" t="n">
        <v>2435</v>
      </c>
      <c r="F208" s="18" t="n">
        <v>3101</v>
      </c>
      <c r="G208" s="19">
        <f>IF(F208=0,0,E208/F208*100)</f>
        <v/>
      </c>
      <c r="H208" s="16" t="n">
        <v>0</v>
      </c>
      <c r="I208" s="16" t="n">
        <v>0</v>
      </c>
      <c r="J208" s="16" t="n">
        <v>0</v>
      </c>
      <c r="K208" s="16" t="n">
        <v>1</v>
      </c>
    </row>
    <row r="209">
      <c r="A209" s="15" t="inlineStr">
        <is>
          <t>7 Jun</t>
        </is>
      </c>
      <c r="B209" s="15" t="inlineStr">
        <is>
          <t>39014</t>
        </is>
      </c>
      <c r="C209" s="16" t="n">
        <v>0</v>
      </c>
      <c r="D209" s="49" t="n">
        <v>36.95</v>
      </c>
      <c r="E209" s="18" t="n">
        <v>931</v>
      </c>
      <c r="F209" s="18" t="n">
        <v>3059</v>
      </c>
      <c r="G209" s="19">
        <f>IF(F209=0,0,E209/F209*100)</f>
        <v/>
      </c>
      <c r="H209" s="16" t="n">
        <v>0</v>
      </c>
      <c r="I209" s="16" t="n">
        <v>0</v>
      </c>
      <c r="J209" s="16" t="n">
        <v>0</v>
      </c>
      <c r="K209" s="16" t="n">
        <v>2</v>
      </c>
    </row>
    <row r="210">
      <c r="A210" s="15" t="inlineStr">
        <is>
          <t>7 Jun</t>
        </is>
      </c>
      <c r="B210" s="15" t="inlineStr">
        <is>
          <t>37164</t>
        </is>
      </c>
      <c r="C210" s="16" t="n">
        <v>0</v>
      </c>
      <c r="D210" s="49" t="n">
        <v>51.32</v>
      </c>
      <c r="E210" s="18" t="n">
        <v>2850</v>
      </c>
      <c r="F210" s="18" t="n">
        <v>3021</v>
      </c>
      <c r="G210" s="19">
        <f>IF(F210=0,0,E210/F210*100)</f>
        <v/>
      </c>
      <c r="H210" s="16" t="n">
        <v>0</v>
      </c>
      <c r="I210" s="16" t="n">
        <v>0</v>
      </c>
      <c r="J210" s="16" t="n">
        <v>0</v>
      </c>
      <c r="K210" s="16" t="n">
        <v>1</v>
      </c>
    </row>
    <row r="211">
      <c r="A211" s="15" t="inlineStr">
        <is>
          <t>7 Jun</t>
        </is>
      </c>
      <c r="B211" s="15" t="inlineStr">
        <is>
          <t>37424</t>
        </is>
      </c>
      <c r="C211" s="16" t="n">
        <v>0</v>
      </c>
      <c r="D211" s="49" t="n">
        <v>36.8</v>
      </c>
      <c r="E211" s="18" t="n">
        <v>1212</v>
      </c>
      <c r="F211" s="18" t="n">
        <v>2463</v>
      </c>
      <c r="G211" s="19">
        <f>IF(F211=0,0,E211/F211*100)</f>
        <v/>
      </c>
      <c r="H211" s="16" t="n">
        <v>0</v>
      </c>
      <c r="I211" s="16" t="n">
        <v>0</v>
      </c>
      <c r="J211" s="16" t="n">
        <v>0</v>
      </c>
      <c r="K211" s="16" t="n">
        <v>2</v>
      </c>
    </row>
    <row r="212">
      <c r="A212" s="15" t="inlineStr">
        <is>
          <t>7 Jun</t>
        </is>
      </c>
      <c r="B212" s="15" t="inlineStr">
        <is>
          <t>39066</t>
        </is>
      </c>
      <c r="C212" s="16" t="n">
        <v>0</v>
      </c>
      <c r="D212" s="49" t="n">
        <v>54.31</v>
      </c>
      <c r="E212" s="18" t="n">
        <v>995</v>
      </c>
      <c r="F212" s="18" t="n">
        <v>2122</v>
      </c>
      <c r="G212" s="19">
        <f>IF(F212=0,0,E212/F212*100)</f>
        <v/>
      </c>
      <c r="H212" s="16" t="n">
        <v>0</v>
      </c>
      <c r="I212" s="16" t="n">
        <v>0</v>
      </c>
      <c r="J212" s="16" t="n">
        <v>0</v>
      </c>
      <c r="K212" s="16" t="n">
        <v>1</v>
      </c>
    </row>
    <row r="213">
      <c r="A213" s="15" t="inlineStr">
        <is>
          <t>7 Jun</t>
        </is>
      </c>
      <c r="B213" s="15" t="inlineStr">
        <is>
          <t>37885</t>
        </is>
      </c>
      <c r="C213" s="16" t="n">
        <v>0</v>
      </c>
      <c r="D213" s="49" t="n">
        <v>36.88</v>
      </c>
      <c r="E213" s="18" t="n">
        <v>938</v>
      </c>
      <c r="F213" s="18" t="n">
        <v>1846</v>
      </c>
      <c r="G213" s="19">
        <f>IF(F213=0,0,E213/F213*100)</f>
        <v/>
      </c>
      <c r="H213" s="16" t="n">
        <v>0</v>
      </c>
      <c r="I213" s="16" t="n">
        <v>0</v>
      </c>
      <c r="J213" s="16" t="n">
        <v>0</v>
      </c>
      <c r="K213" s="16" t="n">
        <v>1</v>
      </c>
    </row>
    <row r="214">
      <c r="A214" s="15" t="inlineStr">
        <is>
          <t>7 Jun</t>
        </is>
      </c>
      <c r="B214" s="15" t="inlineStr">
        <is>
          <t>37577</t>
        </is>
      </c>
      <c r="C214" s="16" t="n">
        <v>0</v>
      </c>
      <c r="D214" s="49" t="n">
        <v>36.36</v>
      </c>
      <c r="E214" s="18" t="n">
        <v>998</v>
      </c>
      <c r="F214" s="18" t="n">
        <v>1724</v>
      </c>
      <c r="G214" s="19">
        <f>IF(F214=0,0,E214/F214*100)</f>
        <v/>
      </c>
      <c r="H214" s="16" t="n">
        <v>0</v>
      </c>
      <c r="I214" s="16" t="n">
        <v>0</v>
      </c>
      <c r="J214" s="16" t="n">
        <v>0</v>
      </c>
      <c r="K214" s="16" t="n">
        <v>1</v>
      </c>
    </row>
    <row r="215">
      <c r="A215" s="15" t="inlineStr">
        <is>
          <t>7 Jun</t>
        </is>
      </c>
      <c r="B215" s="15" t="inlineStr">
        <is>
          <t>39243</t>
        </is>
      </c>
      <c r="C215" s="16" t="n">
        <v>0</v>
      </c>
      <c r="D215" s="49" t="n">
        <v>38.38</v>
      </c>
      <c r="E215" s="18" t="n">
        <v>903</v>
      </c>
      <c r="F215" s="18" t="n">
        <v>1692</v>
      </c>
      <c r="G215" s="19">
        <f>IF(F215=0,0,E215/F215*100)</f>
        <v/>
      </c>
      <c r="H215" s="16" t="n">
        <v>0</v>
      </c>
      <c r="I215" s="16" t="n">
        <v>0</v>
      </c>
      <c r="J215" s="16" t="n">
        <v>0</v>
      </c>
      <c r="K215" s="16" t="n">
        <v>1</v>
      </c>
    </row>
    <row r="216">
      <c r="A216" s="15" t="inlineStr">
        <is>
          <t>7 Jun</t>
        </is>
      </c>
      <c r="B216" s="15" t="inlineStr">
        <is>
          <t>30722</t>
        </is>
      </c>
      <c r="C216" s="16" t="n">
        <v>0</v>
      </c>
      <c r="D216" s="49" t="n">
        <v>36.23</v>
      </c>
      <c r="E216" s="18" t="n">
        <v>697</v>
      </c>
      <c r="F216" s="18" t="n">
        <v>1560</v>
      </c>
      <c r="G216" s="19">
        <f>IF(F216=0,0,E216/F216*100)</f>
        <v/>
      </c>
      <c r="H216" s="16" t="n">
        <v>0</v>
      </c>
      <c r="I216" s="16" t="n">
        <v>0</v>
      </c>
      <c r="J216" s="16" t="n">
        <v>0</v>
      </c>
      <c r="K216" s="16" t="n">
        <v>1</v>
      </c>
    </row>
    <row r="217">
      <c r="A217" s="15" t="inlineStr">
        <is>
          <t>7 Jun</t>
        </is>
      </c>
      <c r="B217" s="15" t="inlineStr">
        <is>
          <t>30307</t>
        </is>
      </c>
      <c r="C217" s="16" t="n">
        <v>0</v>
      </c>
      <c r="D217" s="49" t="n">
        <v>36.83</v>
      </c>
      <c r="E217" s="18" t="n">
        <v>631</v>
      </c>
      <c r="F217" s="18" t="n">
        <v>1470</v>
      </c>
      <c r="G217" s="19">
        <f>IF(F217=0,0,E217/F217*100)</f>
        <v/>
      </c>
      <c r="H217" s="16" t="n">
        <v>0</v>
      </c>
      <c r="I217" s="16" t="n">
        <v>0</v>
      </c>
      <c r="J217" s="16" t="n">
        <v>0</v>
      </c>
      <c r="K217" s="16" t="n">
        <v>1</v>
      </c>
    </row>
    <row r="218">
      <c r="A218" s="15" t="inlineStr">
        <is>
          <t>7 Jun</t>
        </is>
      </c>
      <c r="B218" s="15" t="inlineStr">
        <is>
          <t>39465</t>
        </is>
      </c>
      <c r="C218" s="16" t="n">
        <v>0</v>
      </c>
      <c r="D218" s="49" t="n">
        <v>1.99</v>
      </c>
      <c r="E218" s="18" t="n">
        <v>125</v>
      </c>
      <c r="F218" s="18" t="n">
        <v>1210</v>
      </c>
      <c r="G218" s="19">
        <f>IF(F218=0,0,E218/F218*100)</f>
        <v/>
      </c>
      <c r="H218" s="16" t="n">
        <v>0</v>
      </c>
      <c r="I218" s="16" t="n">
        <v>0</v>
      </c>
      <c r="J218" s="16" t="n">
        <v>0</v>
      </c>
      <c r="K218" s="16" t="n">
        <v>0</v>
      </c>
    </row>
    <row r="219">
      <c r="A219" s="15" t="inlineStr">
        <is>
          <t>7 Jun</t>
        </is>
      </c>
      <c r="B219" s="15" t="inlineStr">
        <is>
          <t>37582</t>
        </is>
      </c>
      <c r="C219" s="16" t="n">
        <v>0</v>
      </c>
      <c r="D219" s="49" t="n">
        <v>32.23</v>
      </c>
      <c r="E219" s="18" t="n">
        <v>292</v>
      </c>
      <c r="F219" s="18" t="n">
        <v>675</v>
      </c>
      <c r="G219" s="19">
        <f>IF(F219=0,0,E219/F219*100)</f>
        <v/>
      </c>
      <c r="H219" s="16" t="n">
        <v>0</v>
      </c>
      <c r="I219" s="16" t="n">
        <v>0</v>
      </c>
      <c r="J219" s="16" t="n">
        <v>0</v>
      </c>
      <c r="K219" s="16" t="n">
        <v>1</v>
      </c>
    </row>
    <row r="220">
      <c r="A220" s="15" t="inlineStr">
        <is>
          <t>7 Jun</t>
        </is>
      </c>
      <c r="B220" s="15" t="inlineStr">
        <is>
          <t>30472</t>
        </is>
      </c>
      <c r="C220" s="16" t="n">
        <v>0</v>
      </c>
      <c r="D220" s="49" t="n">
        <v>16.69</v>
      </c>
      <c r="E220" s="18" t="n">
        <v>220</v>
      </c>
      <c r="F220" s="18" t="n">
        <v>220</v>
      </c>
      <c r="G220" s="19">
        <f>IF(F220=0,0,E220/F220*100)</f>
        <v/>
      </c>
      <c r="H220" s="16" t="n">
        <v>0</v>
      </c>
      <c r="I220" s="16" t="n">
        <v>0</v>
      </c>
      <c r="J220" s="16" t="n">
        <v>0</v>
      </c>
      <c r="K220" s="16" t="n">
        <v>0</v>
      </c>
    </row>
    <row r="221">
      <c r="A221" s="20" t="inlineStr">
        <is>
          <t>7 Jun</t>
        </is>
      </c>
      <c r="B221" s="20" t="inlineStr">
        <is>
          <t>Day Total</t>
        </is>
      </c>
      <c r="C221" s="21">
        <f>SUM(C188:C220)</f>
        <v/>
      </c>
      <c r="D221" s="50">
        <f>SUM(D188:D220)</f>
        <v/>
      </c>
      <c r="E221" s="23">
        <f>SUM(E188:E220)</f>
        <v/>
      </c>
      <c r="F221" s="23">
        <f>SUM(F188:F220)</f>
        <v/>
      </c>
      <c r="G221" s="24">
        <f>IF(F221=0,0,E221/F221*100)</f>
        <v/>
      </c>
      <c r="H221" s="21">
        <f>SUM(H188:H220)</f>
        <v/>
      </c>
      <c r="I221" s="21">
        <f>SUM(I188:I220)</f>
        <v/>
      </c>
      <c r="J221" s="21">
        <f>SUM(J188:J220)</f>
        <v/>
      </c>
      <c r="K221" s="21">
        <f>SUM(K188:K220)</f>
        <v/>
      </c>
    </row>
    <row r="222">
      <c r="A222" s="25" t="inlineStr">
        <is>
          <t>GRAND TOTAL</t>
        </is>
      </c>
      <c r="B222" s="25" t="n"/>
      <c r="C222" s="26">
        <f>C33+C64+C92+C122+C153+C187+C221</f>
        <v/>
      </c>
      <c r="D222" s="51">
        <f>D33+D64+D92+D122+D153+D187+D221</f>
        <v/>
      </c>
      <c r="E222" s="28">
        <f>E33+E64+E92+E122+E153+E187+E221</f>
        <v/>
      </c>
      <c r="F222" s="28">
        <f>F33+F64+F92+F122+F153+F187+F221</f>
        <v/>
      </c>
      <c r="G222" s="29">
        <f>IF(F222=0,0,E222/F222*100)</f>
        <v/>
      </c>
      <c r="H222" s="26">
        <f>H33+H64+H92+H122+H153+H187+H221</f>
        <v/>
      </c>
      <c r="I222" s="26">
        <f>I33+I64+I92+I122+I153+I187+I221</f>
        <v/>
      </c>
      <c r="J222" s="26">
        <f>J33+J64+J92+J122+J153+J187+J221</f>
        <v/>
      </c>
      <c r="K222" s="26">
        <f>K33+K64+K92+K122+K153+K187+K221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</cols>
  <sheetData>
    <row r="1">
      <c r="A1" s="13" t="inlineStr">
        <is>
          <t>EB Detail — every Emergency-Brake event, with speed / MA / Emergency diagnostics + undesirable classification</t>
        </is>
      </c>
    </row>
    <row r="2"/>
    <row r="3">
      <c r="A3" s="30" t="inlineStr">
        <is>
          <t>Total EB = 11   ·   Valid trips = 6   ·   Non-valid trips = 5   ·   Undesirable = 11</t>
        </is>
      </c>
    </row>
    <row r="4"/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</row>
    <row r="6">
      <c r="A6" s="16" t="inlineStr">
        <is>
          <t>1 Jun</t>
        </is>
      </c>
      <c r="B6" s="16" t="inlineStr">
        <is>
          <t>30484</t>
        </is>
      </c>
      <c r="C6" s="16" t="inlineStr">
        <is>
          <t>Valid</t>
        </is>
      </c>
      <c r="D6" s="16" t="inlineStr">
        <is>
          <t>14:13:18</t>
        </is>
      </c>
      <c r="E6" s="16" t="inlineStr">
        <is>
          <t>14:14:24</t>
        </is>
      </c>
      <c r="F6" s="16" t="n">
        <v>66</v>
      </c>
      <c r="G6" s="16" t="n">
        <v>30</v>
      </c>
      <c r="H6" s="16" t="n">
        <v>9</v>
      </c>
      <c r="I6" s="16" t="inlineStr">
        <is>
          <t>TRIP</t>
        </is>
      </c>
      <c r="J6" s="31" t="n">
        <v>495.83</v>
      </c>
      <c r="K6" s="16" t="inlineStr">
        <is>
          <t>N</t>
        </is>
      </c>
      <c r="L6" s="16" t="inlineStr">
        <is>
          <t>AHMEDABAD Jn</t>
        </is>
      </c>
      <c r="M6" s="32" t="inlineStr">
        <is>
          <t>9 km/h</t>
        </is>
      </c>
      <c r="N6" s="32" t="inlineStr">
        <is>
          <t>0</t>
        </is>
      </c>
      <c r="O6" s="16" t="inlineStr">
        <is>
          <t>-</t>
        </is>
      </c>
      <c r="P6" s="33" t="inlineStr">
        <is>
          <t>Trip mode</t>
        </is>
      </c>
    </row>
    <row r="7">
      <c r="A7" s="16" t="inlineStr">
        <is>
          <t>2 Jun</t>
        </is>
      </c>
      <c r="B7" s="16" t="inlineStr">
        <is>
          <t>30145</t>
        </is>
      </c>
      <c r="C7" s="16" t="inlineStr">
        <is>
          <t>Valid</t>
        </is>
      </c>
      <c r="D7" s="16" t="inlineStr">
        <is>
          <t>05:41:14</t>
        </is>
      </c>
      <c r="E7" s="16" t="inlineStr">
        <is>
          <t>05:41:32</t>
        </is>
      </c>
      <c r="F7" s="16" t="n">
        <v>18</v>
      </c>
      <c r="G7" s="16" t="n">
        <v>10</v>
      </c>
      <c r="H7" s="16" t="n">
        <v>42</v>
      </c>
      <c r="I7" s="16" t="inlineStr">
        <is>
          <t>SR</t>
        </is>
      </c>
      <c r="J7" s="31" t="n">
        <v>497.76</v>
      </c>
      <c r="K7" s="16" t="inlineStr">
        <is>
          <t>U</t>
        </is>
      </c>
      <c r="L7" s="16" t="inlineStr">
        <is>
          <t>AHMEDABAD Jn</t>
        </is>
      </c>
      <c r="M7" s="32" t="inlineStr">
        <is>
          <t>42 km/h</t>
        </is>
      </c>
      <c r="N7" s="32" t="inlineStr">
        <is>
          <t>2674</t>
        </is>
      </c>
      <c r="O7" s="16" t="inlineStr">
        <is>
          <t>-</t>
        </is>
      </c>
      <c r="P7" s="33" t="inlineStr">
        <is>
          <t>FS-&gt;SR degradation + EB</t>
        </is>
      </c>
    </row>
    <row r="8">
      <c r="A8" s="34" t="inlineStr">
        <is>
          <t>2 Jun</t>
        </is>
      </c>
      <c r="B8" s="34" t="inlineStr">
        <is>
          <t>30470</t>
        </is>
      </c>
      <c r="C8" s="34" t="inlineStr">
        <is>
          <t>Non-Valid</t>
        </is>
      </c>
      <c r="D8" s="34" t="inlineStr">
        <is>
          <t>22:38:48</t>
        </is>
      </c>
      <c r="E8" s="34" t="inlineStr">
        <is>
          <t>22:39:46</t>
        </is>
      </c>
      <c r="F8" s="34" t="n">
        <v>58</v>
      </c>
      <c r="G8" s="34" t="n">
        <v>29</v>
      </c>
      <c r="H8" s="34" t="n">
        <v>7</v>
      </c>
      <c r="I8" s="34" t="inlineStr">
        <is>
          <t>TRIP</t>
        </is>
      </c>
      <c r="J8" s="35" t="n">
        <v>406.49</v>
      </c>
      <c r="K8" s="34" t="inlineStr">
        <is>
          <t>N</t>
        </is>
      </c>
      <c r="L8" s="34" t="inlineStr">
        <is>
          <t>RANOLI</t>
        </is>
      </c>
      <c r="M8" s="36" t="inlineStr">
        <is>
          <t>7 km/h</t>
        </is>
      </c>
      <c r="N8" s="36" t="inlineStr">
        <is>
          <t>n/a</t>
        </is>
      </c>
      <c r="O8" s="34" t="inlineStr">
        <is>
          <t>-</t>
        </is>
      </c>
      <c r="P8" s="33" t="inlineStr">
        <is>
          <t>Trip mode</t>
        </is>
      </c>
    </row>
    <row r="9">
      <c r="A9" s="16" t="inlineStr">
        <is>
          <t>3 Jun</t>
        </is>
      </c>
      <c r="B9" s="16" t="inlineStr">
        <is>
          <t>39247</t>
        </is>
      </c>
      <c r="C9" s="16" t="inlineStr">
        <is>
          <t>Valid</t>
        </is>
      </c>
      <c r="D9" s="16" t="inlineStr">
        <is>
          <t>09:54:24</t>
        </is>
      </c>
      <c r="E9" s="16" t="inlineStr">
        <is>
          <t>09:54:32</t>
        </is>
      </c>
      <c r="F9" s="16" t="n">
        <v>8</v>
      </c>
      <c r="G9" s="16" t="n">
        <v>5</v>
      </c>
      <c r="H9" s="16" t="n">
        <v>9</v>
      </c>
      <c r="I9" s="16" t="inlineStr">
        <is>
          <t>SR</t>
        </is>
      </c>
      <c r="J9" s="31" t="n">
        <v>494.68</v>
      </c>
      <c r="K9" s="16" t="inlineStr">
        <is>
          <t>U</t>
        </is>
      </c>
      <c r="L9" s="16" t="inlineStr">
        <is>
          <t>AHMEDABAD Jn</t>
        </is>
      </c>
      <c r="M9" s="32" t="inlineStr">
        <is>
          <t>9 km/h</t>
        </is>
      </c>
      <c r="N9" s="32" t="inlineStr">
        <is>
          <t>2882</t>
        </is>
      </c>
      <c r="O9" s="16" t="inlineStr">
        <is>
          <t>-</t>
        </is>
      </c>
      <c r="P9" s="33" t="inlineStr">
        <is>
          <t>FS-&gt;SR degradation + EB</t>
        </is>
      </c>
    </row>
    <row r="10" ht="49" customHeight="1">
      <c r="A10" s="34" t="inlineStr">
        <is>
          <t>6 Jun</t>
        </is>
      </c>
      <c r="B10" s="34" t="inlineStr">
        <is>
          <t>37396</t>
        </is>
      </c>
      <c r="C10" s="34" t="inlineStr">
        <is>
          <t>Non-Valid</t>
        </is>
      </c>
      <c r="D10" s="34" t="inlineStr">
        <is>
          <t>00:35:10</t>
        </is>
      </c>
      <c r="E10" s="34" t="inlineStr">
        <is>
          <t>00:35:16</t>
        </is>
      </c>
      <c r="F10" s="34" t="n">
        <v>6</v>
      </c>
      <c r="G10" s="34" t="n">
        <v>4</v>
      </c>
      <c r="H10" s="34" t="n">
        <v>8</v>
      </c>
      <c r="I10" s="34" t="inlineStr">
        <is>
          <t>TRIP</t>
        </is>
      </c>
      <c r="J10" s="35" t="n">
        <v>416.95</v>
      </c>
      <c r="K10" s="34" t="inlineStr">
        <is>
          <t>R</t>
        </is>
      </c>
      <c r="L10" s="34" t="inlineStr">
        <is>
          <t>VASAD</t>
        </is>
      </c>
      <c r="M10" s="36" t="inlineStr">
        <is>
          <t>8 km/h</t>
        </is>
      </c>
      <c r="N10" s="36" t="inlineStr">
        <is>
          <t>798
MA dropped from 1486 to 798.</t>
        </is>
      </c>
      <c r="O10" s="34" t="inlineStr">
        <is>
          <t>-</t>
        </is>
      </c>
      <c r="P10" s="33" t="inlineStr">
        <is>
          <t>Sudden MA drop; Trip mode</t>
        </is>
      </c>
    </row>
    <row r="11">
      <c r="A11" s="34" t="inlineStr">
        <is>
          <t>6 Jun</t>
        </is>
      </c>
      <c r="B11" s="34" t="inlineStr">
        <is>
          <t>37396</t>
        </is>
      </c>
      <c r="C11" s="34" t="inlineStr">
        <is>
          <t>Non-Valid</t>
        </is>
      </c>
      <c r="D11" s="34" t="inlineStr">
        <is>
          <t>00:37:02</t>
        </is>
      </c>
      <c r="E11" s="34" t="inlineStr">
        <is>
          <t>00:37:02</t>
        </is>
      </c>
      <c r="F11" s="34" t="n">
        <v>0</v>
      </c>
      <c r="G11" s="34" t="n">
        <v>1</v>
      </c>
      <c r="H11" s="34" t="n">
        <v>1</v>
      </c>
      <c r="I11" s="34" t="inlineStr">
        <is>
          <t>POSTTRIP</t>
        </is>
      </c>
      <c r="J11" s="35" t="n">
        <v>416.94</v>
      </c>
      <c r="K11" s="34" t="inlineStr">
        <is>
          <t>R</t>
        </is>
      </c>
      <c r="L11" s="34" t="inlineStr">
        <is>
          <t>VASAD</t>
        </is>
      </c>
      <c r="M11" s="36" t="inlineStr">
        <is>
          <t>1 km/h</t>
        </is>
      </c>
      <c r="N11" s="36" t="inlineStr">
        <is>
          <t>0</t>
        </is>
      </c>
      <c r="O11" s="34" t="inlineStr">
        <is>
          <t>-</t>
        </is>
      </c>
      <c r="P11" s="33" t="inlineStr">
        <is>
          <t>EB at 0-1 km/h</t>
        </is>
      </c>
    </row>
    <row r="12">
      <c r="A12" s="34" t="inlineStr">
        <is>
          <t>6 Jun</t>
        </is>
      </c>
      <c r="B12" s="34" t="inlineStr">
        <is>
          <t>30733</t>
        </is>
      </c>
      <c r="C12" s="34" t="inlineStr">
        <is>
          <t>Non-Valid</t>
        </is>
      </c>
      <c r="D12" s="34" t="inlineStr">
        <is>
          <t>03:32:46</t>
        </is>
      </c>
      <c r="E12" s="34" t="inlineStr">
        <is>
          <t>03:32:52</t>
        </is>
      </c>
      <c r="F12" s="34" t="n">
        <v>6</v>
      </c>
      <c r="G12" s="34" t="n">
        <v>4</v>
      </c>
      <c r="H12" s="34" t="n">
        <v>9</v>
      </c>
      <c r="I12" s="34" t="inlineStr">
        <is>
          <t>SR</t>
        </is>
      </c>
      <c r="J12" s="35" t="n">
        <v>494.67</v>
      </c>
      <c r="K12" s="34" t="inlineStr">
        <is>
          <t>U</t>
        </is>
      </c>
      <c r="L12" s="34" t="inlineStr">
        <is>
          <t>AHMEDABAD Jn</t>
        </is>
      </c>
      <c r="M12" s="36" t="inlineStr">
        <is>
          <t>9 km/h</t>
        </is>
      </c>
      <c r="N12" s="36" t="inlineStr">
        <is>
          <t>2845</t>
        </is>
      </c>
      <c r="O12" s="34" t="inlineStr">
        <is>
          <t>-</t>
        </is>
      </c>
      <c r="P12" s="33" t="inlineStr">
        <is>
          <t>FS-&gt;SR degradation + EB</t>
        </is>
      </c>
    </row>
    <row r="13">
      <c r="A13" s="34" t="inlineStr">
        <is>
          <t>6 Jun</t>
        </is>
      </c>
      <c r="B13" s="34" t="inlineStr">
        <is>
          <t>30733</t>
        </is>
      </c>
      <c r="C13" s="34" t="inlineStr">
        <is>
          <t>Non-Valid</t>
        </is>
      </c>
      <c r="D13" s="34" t="inlineStr">
        <is>
          <t>03:43:50</t>
        </is>
      </c>
      <c r="E13" s="34" t="inlineStr">
        <is>
          <t>03:44:26</t>
        </is>
      </c>
      <c r="F13" s="34" t="n">
        <v>36</v>
      </c>
      <c r="G13" s="34" t="n">
        <v>19</v>
      </c>
      <c r="H13" s="34" t="n">
        <v>111</v>
      </c>
      <c r="I13" s="34" t="inlineStr">
        <is>
          <t>SR</t>
        </is>
      </c>
      <c r="J13" s="35" t="n">
        <v>488.3</v>
      </c>
      <c r="K13" s="34" t="inlineStr">
        <is>
          <t>U</t>
        </is>
      </c>
      <c r="L13" s="34" t="inlineStr">
        <is>
          <t>VATVA</t>
        </is>
      </c>
      <c r="M13" s="36" t="inlineStr">
        <is>
          <t>111 km/h</t>
        </is>
      </c>
      <c r="N13" s="36" t="inlineStr">
        <is>
          <t>5770</t>
        </is>
      </c>
      <c r="O13" s="34" t="inlineStr">
        <is>
          <t>-</t>
        </is>
      </c>
      <c r="P13" s="33" t="inlineStr">
        <is>
          <t>Emergency: SOS; FS-&gt;SR degradation + EB</t>
        </is>
      </c>
    </row>
    <row r="14">
      <c r="A14" s="16" t="inlineStr">
        <is>
          <t>6 Jun</t>
        </is>
      </c>
      <c r="B14" s="16" t="inlineStr">
        <is>
          <t>39514</t>
        </is>
      </c>
      <c r="C14" s="16" t="inlineStr">
        <is>
          <t>Valid</t>
        </is>
      </c>
      <c r="D14" s="16" t="inlineStr">
        <is>
          <t>07:08:30</t>
        </is>
      </c>
      <c r="E14" s="16" t="inlineStr">
        <is>
          <t>07:08:30</t>
        </is>
      </c>
      <c r="F14" s="16" t="n">
        <v>0</v>
      </c>
      <c r="G14" s="16" t="n">
        <v>1</v>
      </c>
      <c r="H14" s="16" t="n">
        <v>1</v>
      </c>
      <c r="I14" s="16" t="inlineStr">
        <is>
          <t>StandBy</t>
        </is>
      </c>
      <c r="J14" s="31" t="n">
        <v>494.65</v>
      </c>
      <c r="K14" s="16" t="inlineStr">
        <is>
          <t>N</t>
        </is>
      </c>
      <c r="L14" s="16" t="inlineStr">
        <is>
          <t>AHMEDABAD Jn</t>
        </is>
      </c>
      <c r="M14" s="32" t="inlineStr">
        <is>
          <t>1 km/h</t>
        </is>
      </c>
      <c r="N14" s="32" t="inlineStr">
        <is>
          <t>1311</t>
        </is>
      </c>
      <c r="O14" s="16" t="inlineStr">
        <is>
          <t>-</t>
        </is>
      </c>
      <c r="P14" s="33" t="inlineStr">
        <is>
          <t>EB at 0-1 km/h; StandBy Mode</t>
        </is>
      </c>
    </row>
    <row r="15">
      <c r="A15" s="16" t="inlineStr">
        <is>
          <t>6 Jun</t>
        </is>
      </c>
      <c r="B15" s="16" t="inlineStr">
        <is>
          <t>37577</t>
        </is>
      </c>
      <c r="C15" s="16" t="inlineStr">
        <is>
          <t>Valid</t>
        </is>
      </c>
      <c r="D15" s="16" t="inlineStr">
        <is>
          <t>08:56:14</t>
        </is>
      </c>
      <c r="E15" s="16" t="inlineStr">
        <is>
          <t>08:56:54</t>
        </is>
      </c>
      <c r="F15" s="16" t="n">
        <v>40</v>
      </c>
      <c r="G15" s="16" t="n">
        <v>21</v>
      </c>
      <c r="H15" s="16" t="n">
        <v>107</v>
      </c>
      <c r="I15" s="16" t="inlineStr">
        <is>
          <t>TRIP</t>
        </is>
      </c>
      <c r="J15" s="31" t="n">
        <v>414.27</v>
      </c>
      <c r="K15" s="16" t="inlineStr">
        <is>
          <t>N</t>
        </is>
      </c>
      <c r="L15" s="16" t="inlineStr">
        <is>
          <t>VASAD</t>
        </is>
      </c>
      <c r="M15" s="32" t="inlineStr">
        <is>
          <t>107 km/h</t>
        </is>
      </c>
      <c r="N15" s="32" t="inlineStr">
        <is>
          <t>n/a</t>
        </is>
      </c>
      <c r="O15" s="16" t="inlineStr">
        <is>
          <t>-</t>
        </is>
      </c>
      <c r="P15" s="33" t="inlineStr">
        <is>
          <t>Trip mode</t>
        </is>
      </c>
    </row>
    <row r="16">
      <c r="A16" s="16" t="inlineStr">
        <is>
          <t>6 Jun</t>
        </is>
      </c>
      <c r="B16" s="16" t="inlineStr">
        <is>
          <t>37670</t>
        </is>
      </c>
      <c r="C16" s="16" t="inlineStr">
        <is>
          <t>Valid</t>
        </is>
      </c>
      <c r="D16" s="16" t="inlineStr">
        <is>
          <t>09:57:56</t>
        </is>
      </c>
      <c r="E16" s="16" t="inlineStr">
        <is>
          <t>09:58:08</t>
        </is>
      </c>
      <c r="F16" s="16" t="n">
        <v>12</v>
      </c>
      <c r="G16" s="16" t="n">
        <v>7</v>
      </c>
      <c r="H16" s="16" t="n">
        <v>9</v>
      </c>
      <c r="I16" s="16" t="inlineStr">
        <is>
          <t>SR</t>
        </is>
      </c>
      <c r="J16" s="31" t="n">
        <v>494.73</v>
      </c>
      <c r="K16" s="16" t="inlineStr">
        <is>
          <t>U</t>
        </is>
      </c>
      <c r="L16" s="16" t="inlineStr">
        <is>
          <t>AHMEDABAD Jn</t>
        </is>
      </c>
      <c r="M16" s="32" t="inlineStr">
        <is>
          <t>9 km/h</t>
        </is>
      </c>
      <c r="N16" s="32" t="inlineStr">
        <is>
          <t>1046</t>
        </is>
      </c>
      <c r="O16" s="16" t="inlineStr">
        <is>
          <t>-</t>
        </is>
      </c>
      <c r="P16" s="33" t="inlineStr">
        <is>
          <t>FS-&gt;SR degradation + EB</t>
        </is>
      </c>
    </row>
  </sheetData>
  <mergeCells count="2"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9" customWidth="1" min="10" max="10"/>
    <col width="10" customWidth="1" min="11" max="11"/>
    <col width="15" customWidth="1" min="12" max="12"/>
    <col width="60" customWidth="1" min="13" max="13"/>
  </cols>
  <sheetData>
    <row r="1">
      <c r="A1" s="13" t="inlineStr">
        <is>
          <t>KM Verification  -  KM = (In-section Max Abs  -  In-section Min Abs) / 1000</t>
        </is>
      </c>
    </row>
    <row r="2">
      <c r="A2" s="37" t="inlineStr">
        <is>
          <t>Section window: abs 400398 - 494312  (24000_ADI to 24051_BRC).  Only positions inside this window count; 8388607 'unknown' is excluded.  'In Report'=No means no in-section travel (dropped).</t>
        </is>
      </c>
    </row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  <c r="L4" s="14" t="inlineStr">
        <is>
          <t>Stations Passed (of 23)</t>
        </is>
      </c>
      <c r="M4" s="14" t="inlineStr">
        <is>
          <t>Stations Not Passed (if &lt; full trip)</t>
        </is>
      </c>
    </row>
    <row r="5">
      <c r="A5" s="16" t="inlineStr">
        <is>
          <t>1 Jun</t>
        </is>
      </c>
      <c r="B5" s="16" t="inlineStr">
        <is>
          <t>30173</t>
        </is>
      </c>
      <c r="C5" s="16" t="n">
        <v>4785</v>
      </c>
      <c r="D5" s="16" t="n">
        <v>4785</v>
      </c>
      <c r="E5" s="16" t="n">
        <v>4142</v>
      </c>
      <c r="F5" s="38" t="n">
        <v>383938</v>
      </c>
      <c r="G5" s="38" t="n">
        <v>494964</v>
      </c>
      <c r="H5" s="38" t="n">
        <v>400399</v>
      </c>
      <c r="I5" s="38" t="n">
        <v>494311</v>
      </c>
      <c r="J5" s="19">
        <f>(I5-H5)/1000</f>
        <v/>
      </c>
      <c r="K5" s="16" t="inlineStr">
        <is>
          <t>Yes</t>
        </is>
      </c>
      <c r="L5" s="16" t="n">
        <v>23</v>
      </c>
      <c r="M5" s="39" t="inlineStr">
        <is>
          <t>- (full trip)</t>
        </is>
      </c>
    </row>
    <row r="6">
      <c r="A6" s="16" t="inlineStr">
        <is>
          <t>1 Jun</t>
        </is>
      </c>
      <c r="B6" s="16" t="inlineStr">
        <is>
          <t>37321</t>
        </is>
      </c>
      <c r="C6" s="16" t="n">
        <v>4016</v>
      </c>
      <c r="D6" s="16" t="n">
        <v>4016</v>
      </c>
      <c r="E6" s="16" t="n">
        <v>3511</v>
      </c>
      <c r="F6" s="38" t="n">
        <v>398314</v>
      </c>
      <c r="G6" s="38" t="n">
        <v>495784</v>
      </c>
      <c r="H6" s="38" t="n">
        <v>400401</v>
      </c>
      <c r="I6" s="38" t="n">
        <v>494310</v>
      </c>
      <c r="J6" s="19">
        <f>(I6-H6)/1000</f>
        <v/>
      </c>
      <c r="K6" s="16" t="inlineStr">
        <is>
          <t>Yes</t>
        </is>
      </c>
      <c r="L6" s="16" t="n">
        <v>23</v>
      </c>
      <c r="M6" s="39" t="inlineStr">
        <is>
          <t>- (full trip)</t>
        </is>
      </c>
    </row>
    <row r="7">
      <c r="A7" s="16" t="inlineStr">
        <is>
          <t>1 Jun</t>
        </is>
      </c>
      <c r="B7" s="16" t="inlineStr">
        <is>
          <t>30484</t>
        </is>
      </c>
      <c r="C7" s="16" t="n">
        <v>8390</v>
      </c>
      <c r="D7" s="16" t="n">
        <v>8390</v>
      </c>
      <c r="E7" s="16" t="n">
        <v>7218</v>
      </c>
      <c r="F7" s="38" t="n">
        <v>370025</v>
      </c>
      <c r="G7" s="38" t="n">
        <v>495831</v>
      </c>
      <c r="H7" s="38" t="n">
        <v>400414</v>
      </c>
      <c r="I7" s="38" t="n">
        <v>494310</v>
      </c>
      <c r="J7" s="19">
        <f>(I7-H7)/1000</f>
        <v/>
      </c>
      <c r="K7" s="16" t="inlineStr">
        <is>
          <t>Yes</t>
        </is>
      </c>
      <c r="L7" s="16" t="n">
        <v>23</v>
      </c>
      <c r="M7" s="39" t="inlineStr">
        <is>
          <t>- (full trip)</t>
        </is>
      </c>
    </row>
    <row r="8">
      <c r="A8" s="16" t="inlineStr">
        <is>
          <t>1 Jun</t>
        </is>
      </c>
      <c r="B8" s="16" t="inlineStr">
        <is>
          <t>37279</t>
        </is>
      </c>
      <c r="C8" s="16" t="n">
        <v>4627</v>
      </c>
      <c r="D8" s="16" t="n">
        <v>4627</v>
      </c>
      <c r="E8" s="16" t="n">
        <v>3750</v>
      </c>
      <c r="F8" s="38" t="n">
        <v>398660</v>
      </c>
      <c r="G8" s="38" t="n">
        <v>494990</v>
      </c>
      <c r="H8" s="38" t="n">
        <v>400421</v>
      </c>
      <c r="I8" s="38" t="n">
        <v>494311</v>
      </c>
      <c r="J8" s="19">
        <f>(I8-H8)/1000</f>
        <v/>
      </c>
      <c r="K8" s="16" t="inlineStr">
        <is>
          <t>Yes</t>
        </is>
      </c>
      <c r="L8" s="16" t="n">
        <v>23</v>
      </c>
      <c r="M8" s="39" t="inlineStr">
        <is>
          <t>- (full trip)</t>
        </is>
      </c>
    </row>
    <row r="9">
      <c r="A9" s="16" t="inlineStr">
        <is>
          <t>1 Jun</t>
        </is>
      </c>
      <c r="B9" s="16" t="inlineStr">
        <is>
          <t>37566</t>
        </is>
      </c>
      <c r="C9" s="16" t="n">
        <v>5858</v>
      </c>
      <c r="D9" s="16" t="n">
        <v>5858</v>
      </c>
      <c r="E9" s="16" t="n">
        <v>4807</v>
      </c>
      <c r="F9" s="38" t="n">
        <v>367934</v>
      </c>
      <c r="G9" s="38" t="n">
        <v>494979</v>
      </c>
      <c r="H9" s="38" t="n">
        <v>400425</v>
      </c>
      <c r="I9" s="38" t="n">
        <v>494312</v>
      </c>
      <c r="J9" s="19">
        <f>(I9-H9)/1000</f>
        <v/>
      </c>
      <c r="K9" s="16" t="inlineStr">
        <is>
          <t>Yes</t>
        </is>
      </c>
      <c r="L9" s="16" t="n">
        <v>23</v>
      </c>
      <c r="M9" s="39" t="inlineStr">
        <is>
          <t>- (full trip)</t>
        </is>
      </c>
    </row>
    <row r="10">
      <c r="A10" s="16" t="inlineStr">
        <is>
          <t>1 Jun</t>
        </is>
      </c>
      <c r="B10" s="16" t="inlineStr">
        <is>
          <t>39015</t>
        </is>
      </c>
      <c r="C10" s="16" t="n">
        <v>4430</v>
      </c>
      <c r="D10" s="16" t="n">
        <v>4430</v>
      </c>
      <c r="E10" s="16" t="n">
        <v>3742</v>
      </c>
      <c r="F10" s="38" t="n">
        <v>395101</v>
      </c>
      <c r="G10" s="38" t="n">
        <v>495812</v>
      </c>
      <c r="H10" s="38" t="n">
        <v>400416</v>
      </c>
      <c r="I10" s="38" t="n">
        <v>494310</v>
      </c>
      <c r="J10" s="19">
        <f>(I10-H10)/1000</f>
        <v/>
      </c>
      <c r="K10" s="16" t="inlineStr">
        <is>
          <t>Yes</t>
        </is>
      </c>
      <c r="L10" s="16" t="n">
        <v>23</v>
      </c>
      <c r="M10" s="39" t="inlineStr">
        <is>
          <t>- (full trip)</t>
        </is>
      </c>
    </row>
    <row r="11">
      <c r="A11" s="16" t="inlineStr">
        <is>
          <t>1 Jun</t>
        </is>
      </c>
      <c r="B11" s="16" t="inlineStr">
        <is>
          <t>37286</t>
        </is>
      </c>
      <c r="C11" s="16" t="n">
        <v>4317</v>
      </c>
      <c r="D11" s="16" t="n">
        <v>4317</v>
      </c>
      <c r="E11" s="16" t="n">
        <v>3461</v>
      </c>
      <c r="F11" s="38" t="n">
        <v>370239</v>
      </c>
      <c r="G11" s="38" t="n">
        <v>495806</v>
      </c>
      <c r="H11" s="38" t="n">
        <v>400456</v>
      </c>
      <c r="I11" s="38" t="n">
        <v>494312</v>
      </c>
      <c r="J11" s="19">
        <f>(I11-H11)/1000</f>
        <v/>
      </c>
      <c r="K11" s="16" t="inlineStr">
        <is>
          <t>Yes</t>
        </is>
      </c>
      <c r="L11" s="16" t="n">
        <v>23</v>
      </c>
      <c r="M11" s="39" t="inlineStr">
        <is>
          <t>- (full trip)</t>
        </is>
      </c>
    </row>
    <row r="12">
      <c r="A12" s="16" t="inlineStr">
        <is>
          <t>1 Jun</t>
        </is>
      </c>
      <c r="B12" s="16" t="inlineStr">
        <is>
          <t>37884</t>
        </is>
      </c>
      <c r="C12" s="16" t="n">
        <v>5443</v>
      </c>
      <c r="D12" s="16" t="n">
        <v>5443</v>
      </c>
      <c r="E12" s="16" t="n">
        <v>5219</v>
      </c>
      <c r="F12" s="38" t="n">
        <v>400994</v>
      </c>
      <c r="G12" s="38" t="n">
        <v>494947</v>
      </c>
      <c r="H12" s="38" t="n">
        <v>400994</v>
      </c>
      <c r="I12" s="38" t="n">
        <v>494311</v>
      </c>
      <c r="J12" s="19">
        <f>(I12-H12)/1000</f>
        <v/>
      </c>
      <c r="K12" s="16" t="inlineStr">
        <is>
          <t>Yes</t>
        </is>
      </c>
      <c r="L12" s="16" t="n">
        <v>23</v>
      </c>
      <c r="M12" s="39" t="inlineStr">
        <is>
          <t>- (full trip)</t>
        </is>
      </c>
    </row>
    <row r="13">
      <c r="A13" s="16" t="inlineStr">
        <is>
          <t>1 Jun</t>
        </is>
      </c>
      <c r="B13" s="16" t="inlineStr">
        <is>
          <t>39126</t>
        </is>
      </c>
      <c r="C13" s="16" t="n">
        <v>9324</v>
      </c>
      <c r="D13" s="16" t="n">
        <v>9324</v>
      </c>
      <c r="E13" s="16" t="n">
        <v>8750</v>
      </c>
      <c r="F13" s="38" t="n">
        <v>400992</v>
      </c>
      <c r="G13" s="38" t="n">
        <v>531565</v>
      </c>
      <c r="H13" s="38" t="n">
        <v>400992</v>
      </c>
      <c r="I13" s="38" t="n">
        <v>494310</v>
      </c>
      <c r="J13" s="19">
        <f>(I13-H13)/1000</f>
        <v/>
      </c>
      <c r="K13" s="16" t="inlineStr">
        <is>
          <t>Yes</t>
        </is>
      </c>
      <c r="L13" s="16" t="n">
        <v>23</v>
      </c>
      <c r="M13" s="39" t="inlineStr">
        <is>
          <t>- (full trip)</t>
        </is>
      </c>
    </row>
    <row r="14">
      <c r="A14" s="16" t="inlineStr">
        <is>
          <t>1 Jun</t>
        </is>
      </c>
      <c r="B14" s="16" t="inlineStr">
        <is>
          <t>37582</t>
        </is>
      </c>
      <c r="C14" s="16" t="n">
        <v>6135</v>
      </c>
      <c r="D14" s="16" t="n">
        <v>6135</v>
      </c>
      <c r="E14" s="16" t="n">
        <v>6135</v>
      </c>
      <c r="F14" s="38" t="n">
        <v>403423</v>
      </c>
      <c r="G14" s="38" t="n">
        <v>494312</v>
      </c>
      <c r="H14" s="38" t="n">
        <v>403423</v>
      </c>
      <c r="I14" s="38" t="n">
        <v>494312</v>
      </c>
      <c r="J14" s="19">
        <f>(I14-H14)/1000</f>
        <v/>
      </c>
      <c r="K14" s="16" t="inlineStr">
        <is>
          <t>Yes</t>
        </is>
      </c>
      <c r="L14" s="16" t="n">
        <v>23</v>
      </c>
      <c r="M14" s="39" t="inlineStr">
        <is>
          <t>- (full trip)</t>
        </is>
      </c>
    </row>
    <row r="15">
      <c r="A15" s="16" t="inlineStr">
        <is>
          <t>1 Jun</t>
        </is>
      </c>
      <c r="B15" s="16" t="inlineStr">
        <is>
          <t>39283</t>
        </is>
      </c>
      <c r="C15" s="16" t="n">
        <v>9237</v>
      </c>
      <c r="D15" s="16" t="n">
        <v>9237</v>
      </c>
      <c r="E15" s="16" t="n">
        <v>8607</v>
      </c>
      <c r="F15" s="38" t="n">
        <v>403843</v>
      </c>
      <c r="G15" s="38" t="n">
        <v>495728</v>
      </c>
      <c r="H15" s="38" t="n">
        <v>403843</v>
      </c>
      <c r="I15" s="38" t="n">
        <v>494311</v>
      </c>
      <c r="J15" s="19">
        <f>(I15-H15)/1000</f>
        <v/>
      </c>
      <c r="K15" s="16" t="inlineStr">
        <is>
          <t>Yes</t>
        </is>
      </c>
      <c r="L15" s="16" t="n">
        <v>23</v>
      </c>
      <c r="M15" s="39" t="inlineStr">
        <is>
          <t>- (full trip)</t>
        </is>
      </c>
    </row>
    <row r="16">
      <c r="A16" s="16" t="inlineStr">
        <is>
          <t>1 Jun</t>
        </is>
      </c>
      <c r="B16" s="16" t="inlineStr">
        <is>
          <t>30476</t>
        </is>
      </c>
      <c r="C16" s="16" t="n">
        <v>4219</v>
      </c>
      <c r="D16" s="16" t="n">
        <v>4219</v>
      </c>
      <c r="E16" s="16" t="n">
        <v>3603</v>
      </c>
      <c r="F16" s="38" t="n">
        <v>375704</v>
      </c>
      <c r="G16" s="38" t="n">
        <v>485785</v>
      </c>
      <c r="H16" s="38" t="n">
        <v>400405</v>
      </c>
      <c r="I16" s="38" t="n">
        <v>485785</v>
      </c>
      <c r="J16" s="19">
        <f>(I16-H16)/1000</f>
        <v/>
      </c>
      <c r="K16" s="16" t="inlineStr">
        <is>
          <t>Yes</t>
        </is>
      </c>
      <c r="L16" s="16" t="n">
        <v>21</v>
      </c>
      <c r="M16" s="39" t="inlineStr">
        <is>
          <t>KANKARIYA CABIN, AHMEDABAD Jn</t>
        </is>
      </c>
    </row>
    <row r="17" ht="49" customHeight="1">
      <c r="A17" s="16" t="inlineStr">
        <is>
          <t>1 Jun</t>
        </is>
      </c>
      <c r="B17" s="16" t="inlineStr">
        <is>
          <t>37163</t>
        </is>
      </c>
      <c r="C17" s="16" t="n">
        <v>2956</v>
      </c>
      <c r="D17" s="16" t="n">
        <v>2956</v>
      </c>
      <c r="E17" s="16" t="n">
        <v>1274</v>
      </c>
      <c r="F17" s="38" t="n">
        <v>302598</v>
      </c>
      <c r="G17" s="38" t="n">
        <v>593430</v>
      </c>
      <c r="H17" s="38" t="n">
        <v>400432</v>
      </c>
      <c r="I17" s="38" t="n">
        <v>454031</v>
      </c>
      <c r="J17" s="19">
        <f>(I17-H17)/1000</f>
        <v/>
      </c>
      <c r="K17" s="16" t="inlineStr">
        <is>
          <t>Yes</t>
        </is>
      </c>
      <c r="L17" s="16" t="n">
        <v>13</v>
      </c>
      <c r="M17" s="39" t="inlineStr">
        <is>
          <t>GOTHAJ, LC-286, MAHEMDABAD AND KHEDA ROAD, LC-294, KANIJ, BAREJADI NANDEJ, GERATPUR, VATVA, KANKARIYA CABIN, AHMEDABAD Jn</t>
        </is>
      </c>
    </row>
    <row r="18" ht="49" customHeight="1">
      <c r="A18" s="16" t="inlineStr">
        <is>
          <t>1 Jun</t>
        </is>
      </c>
      <c r="B18" s="16" t="inlineStr">
        <is>
          <t>39259</t>
        </is>
      </c>
      <c r="C18" s="16" t="n">
        <v>1083</v>
      </c>
      <c r="D18" s="16" t="n">
        <v>1083</v>
      </c>
      <c r="E18" s="16" t="n">
        <v>693</v>
      </c>
      <c r="F18" s="38" t="n">
        <v>395381</v>
      </c>
      <c r="G18" s="38" t="n">
        <v>453611</v>
      </c>
      <c r="H18" s="38" t="n">
        <v>400436</v>
      </c>
      <c r="I18" s="38" t="n">
        <v>453611</v>
      </c>
      <c r="J18" s="19">
        <f>(I18-H18)/1000</f>
        <v/>
      </c>
      <c r="K18" s="16" t="inlineStr">
        <is>
          <t>Yes</t>
        </is>
      </c>
      <c r="L18" s="16" t="n">
        <v>13</v>
      </c>
      <c r="M18" s="39" t="inlineStr">
        <is>
          <t>GOTHAJ, LC-286, MAHEMDABAD AND KHEDA ROAD, LC-294, KANIJ, BAREJADI NANDEJ, GERATPUR, VATVA, KANKARIYA CABIN, AHMEDABAD Jn</t>
        </is>
      </c>
    </row>
    <row r="19" ht="34" customHeight="1">
      <c r="A19" s="16" t="inlineStr">
        <is>
          <t>1 Jun</t>
        </is>
      </c>
      <c r="B19" s="16" t="inlineStr">
        <is>
          <t>37934</t>
        </is>
      </c>
      <c r="C19" s="16" t="n">
        <v>3001</v>
      </c>
      <c r="D19" s="16" t="n">
        <v>3001</v>
      </c>
      <c r="E19" s="16" t="n">
        <v>2764</v>
      </c>
      <c r="F19" s="38" t="n">
        <v>450556</v>
      </c>
      <c r="G19" s="38" t="n">
        <v>494966</v>
      </c>
      <c r="H19" s="38" t="n">
        <v>450556</v>
      </c>
      <c r="I19" s="38" t="n">
        <v>494311</v>
      </c>
      <c r="J19" s="19">
        <f>(I19-H19)/1000</f>
        <v/>
      </c>
      <c r="K19" s="16" t="inlineStr">
        <is>
          <t>Yes</t>
        </is>
      </c>
      <c r="L19" s="16" t="n">
        <v>12</v>
      </c>
      <c r="M19" s="39" t="inlineStr">
        <is>
          <t>BAJWA, RANOLI, LC-246, VASAD, ADAS ROAD, VADOD, LC-258, ANAND Jn, LC-264, KANJARI BORIYAVI, UTARSANDA</t>
        </is>
      </c>
    </row>
    <row r="20" ht="49" customHeight="1">
      <c r="A20" s="16" t="inlineStr">
        <is>
          <t>1 Jun</t>
        </is>
      </c>
      <c r="B20" s="16" t="inlineStr">
        <is>
          <t>30472</t>
        </is>
      </c>
      <c r="C20" s="16" t="n">
        <v>3005</v>
      </c>
      <c r="D20" s="16" t="n">
        <v>3005</v>
      </c>
      <c r="E20" s="16" t="n">
        <v>2144</v>
      </c>
      <c r="F20" s="38" t="n">
        <v>369960</v>
      </c>
      <c r="G20" s="38" t="n">
        <v>442681</v>
      </c>
      <c r="H20" s="38" t="n">
        <v>400431</v>
      </c>
      <c r="I20" s="38" t="n">
        <v>442681</v>
      </c>
      <c r="J20" s="19">
        <f>(I20-H20)/1000</f>
        <v/>
      </c>
      <c r="K20" s="16" t="inlineStr">
        <is>
          <t>Yes</t>
        </is>
      </c>
      <c r="L20" s="16" t="n">
        <v>11</v>
      </c>
      <c r="M20" s="39" t="inlineStr">
        <is>
          <t>NADIAD, LC-278, GOTHAJ, LC-286, MAHEMDABAD AND KHEDA ROAD, LC-294, KANIJ, BAREJADI NANDEJ, GERATPUR, VATVA, KANKARIYA CABIN, AHMEDABAD Jn</t>
        </is>
      </c>
    </row>
    <row r="21" ht="49" customHeight="1">
      <c r="A21" s="16" t="inlineStr">
        <is>
          <t>1 Jun</t>
        </is>
      </c>
      <c r="B21" s="16" t="inlineStr">
        <is>
          <t>30770</t>
        </is>
      </c>
      <c r="C21" s="16" t="n">
        <v>1927</v>
      </c>
      <c r="D21" s="16" t="n">
        <v>1927</v>
      </c>
      <c r="E21" s="16" t="n">
        <v>1294</v>
      </c>
      <c r="F21" s="38" t="n">
        <v>375593</v>
      </c>
      <c r="G21" s="38" t="n">
        <v>441433</v>
      </c>
      <c r="H21" s="38" t="n">
        <v>400453</v>
      </c>
      <c r="I21" s="38" t="n">
        <v>441433</v>
      </c>
      <c r="J21" s="19">
        <f>(I21-H21)/1000</f>
        <v/>
      </c>
      <c r="K21" s="16" t="inlineStr">
        <is>
          <t>Yes</t>
        </is>
      </c>
      <c r="L21" s="16" t="n">
        <v>11</v>
      </c>
      <c r="M21" s="39" t="inlineStr">
        <is>
          <t>NADIAD, LC-278, GOTHAJ, LC-286, MAHEMDABAD AND KHEDA ROAD, LC-294, KANIJ, BAREJADI NANDEJ, GERATPUR, VATVA, KANKARIYA CABIN, AHMEDABAD Jn</t>
        </is>
      </c>
    </row>
    <row r="22" ht="49" customHeight="1">
      <c r="A22" s="16" t="inlineStr">
        <is>
          <t>1 Jun</t>
        </is>
      </c>
      <c r="B22" s="16" t="inlineStr">
        <is>
          <t>30791</t>
        </is>
      </c>
      <c r="C22" s="16" t="n">
        <v>1335</v>
      </c>
      <c r="D22" s="16" t="n">
        <v>1335</v>
      </c>
      <c r="E22" s="16" t="n">
        <v>649</v>
      </c>
      <c r="F22" s="38" t="n">
        <v>379848</v>
      </c>
      <c r="G22" s="38" t="n">
        <v>437288</v>
      </c>
      <c r="H22" s="38" t="n">
        <v>400404</v>
      </c>
      <c r="I22" s="38" t="n">
        <v>437288</v>
      </c>
      <c r="J22" s="19">
        <f>(I22-H22)/1000</f>
        <v/>
      </c>
      <c r="K22" s="16" t="inlineStr">
        <is>
          <t>Yes</t>
        </is>
      </c>
      <c r="L22" s="16" t="n">
        <v>10</v>
      </c>
      <c r="M22" s="39" t="inlineStr">
        <is>
          <t>UTARSANDA, NADIAD, LC-278, GOTHAJ, LC-286, MAHEMDABAD AND KHEDA ROAD, LC-294, KANIJ, BAREJADI NANDEJ, GERATPUR, VATVA, KANKARIYA CABIN, AHMEDABAD Jn</t>
        </is>
      </c>
    </row>
    <row r="23" ht="49" customHeight="1">
      <c r="A23" s="16" t="inlineStr">
        <is>
          <t>1 Jun</t>
        </is>
      </c>
      <c r="B23" s="16" t="inlineStr">
        <is>
          <t>37217</t>
        </is>
      </c>
      <c r="C23" s="16" t="n">
        <v>4036</v>
      </c>
      <c r="D23" s="16" t="n">
        <v>4036</v>
      </c>
      <c r="E23" s="16" t="n">
        <v>3036</v>
      </c>
      <c r="F23" s="38" t="n">
        <v>370092</v>
      </c>
      <c r="G23" s="38" t="n">
        <v>436694</v>
      </c>
      <c r="H23" s="38" t="n">
        <v>400405</v>
      </c>
      <c r="I23" s="38" t="n">
        <v>436694</v>
      </c>
      <c r="J23" s="19">
        <f>(I23-H23)/1000</f>
        <v/>
      </c>
      <c r="K23" s="16" t="inlineStr">
        <is>
          <t>Yes</t>
        </is>
      </c>
      <c r="L23" s="16" t="n">
        <v>9</v>
      </c>
      <c r="M23" s="39" t="inlineStr">
        <is>
          <t>KANJARI BORIYAVI, UTARSANDA, NADIAD, LC-278, GOTHAJ, LC-286, MAHEMDABAD AND KHEDA ROAD, LC-294, KANIJ, BAREJADI NANDEJ, GERATPUR, VATVA, KANKARIYA CABIN, AHMEDABAD Jn</t>
        </is>
      </c>
    </row>
    <row r="24" ht="49" customHeight="1">
      <c r="A24" s="16" t="inlineStr">
        <is>
          <t>1 Jun</t>
        </is>
      </c>
      <c r="B24" s="16" t="inlineStr">
        <is>
          <t>39340</t>
        </is>
      </c>
      <c r="C24" s="16" t="n">
        <v>1393</v>
      </c>
      <c r="D24" s="16" t="n">
        <v>1393</v>
      </c>
      <c r="E24" s="16" t="n">
        <v>624</v>
      </c>
      <c r="F24" s="38" t="n">
        <v>395417</v>
      </c>
      <c r="G24" s="38" t="n">
        <v>436453</v>
      </c>
      <c r="H24" s="38" t="n">
        <v>400402</v>
      </c>
      <c r="I24" s="38" t="n">
        <v>436453</v>
      </c>
      <c r="J24" s="19">
        <f>(I24-H24)/1000</f>
        <v/>
      </c>
      <c r="K24" s="16" t="inlineStr">
        <is>
          <t>Yes</t>
        </is>
      </c>
      <c r="L24" s="16" t="n">
        <v>9</v>
      </c>
      <c r="M24" s="39" t="inlineStr">
        <is>
          <t>KANJARI BORIYAVI, UTARSANDA, NADIAD, LC-278, GOTHAJ, LC-286, MAHEMDABAD AND KHEDA ROAD, LC-294, KANIJ, BAREJADI NANDEJ, GERATPUR, VATVA, KANKARIYA CABIN, AHMEDABAD Jn</t>
        </is>
      </c>
    </row>
    <row r="25" ht="49" customHeight="1">
      <c r="A25" s="16" t="inlineStr">
        <is>
          <t>1 Jun</t>
        </is>
      </c>
      <c r="B25" s="16" t="inlineStr">
        <is>
          <t>30289</t>
        </is>
      </c>
      <c r="C25" s="16" t="n">
        <v>956</v>
      </c>
      <c r="D25" s="16" t="n">
        <v>843</v>
      </c>
      <c r="E25" s="16" t="n">
        <v>843</v>
      </c>
      <c r="F25" s="38" t="n">
        <v>402015</v>
      </c>
      <c r="G25" s="38" t="n">
        <v>436645</v>
      </c>
      <c r="H25" s="38" t="n">
        <v>402015</v>
      </c>
      <c r="I25" s="38" t="n">
        <v>436645</v>
      </c>
      <c r="J25" s="19">
        <f>(I25-H25)/1000</f>
        <v/>
      </c>
      <c r="K25" s="16" t="inlineStr">
        <is>
          <t>Yes</t>
        </is>
      </c>
      <c r="L25" s="16" t="n">
        <v>9</v>
      </c>
      <c r="M25" s="39" t="inlineStr">
        <is>
          <t>KANJARI BORIYAVI, UTARSANDA, NADIAD, LC-278, GOTHAJ, LC-286, MAHEMDABAD AND KHEDA ROAD, LC-294, KANIJ, BAREJADI NANDEJ, GERATPUR, VATVA, KANKARIYA CABIN, AHMEDABAD Jn</t>
        </is>
      </c>
    </row>
    <row r="26" ht="49" customHeight="1">
      <c r="A26" s="16" t="inlineStr">
        <is>
          <t>1 Jun</t>
        </is>
      </c>
      <c r="B26" s="16" t="inlineStr">
        <is>
          <t>39314</t>
        </is>
      </c>
      <c r="C26" s="16" t="n">
        <v>1698</v>
      </c>
      <c r="D26" s="16" t="n">
        <v>1698</v>
      </c>
      <c r="E26" s="16" t="n">
        <v>1362</v>
      </c>
      <c r="F26" s="38" t="n">
        <v>370156</v>
      </c>
      <c r="G26" s="38" t="n">
        <v>433130</v>
      </c>
      <c r="H26" s="38" t="n">
        <v>400502</v>
      </c>
      <c r="I26" s="38" t="n">
        <v>433130</v>
      </c>
      <c r="J26" s="19">
        <f>(I26-H26)/1000</f>
        <v/>
      </c>
      <c r="K26" s="16" t="inlineStr">
        <is>
          <t>Yes</t>
        </is>
      </c>
      <c r="L26" s="16" t="n">
        <v>8</v>
      </c>
      <c r="M26" s="39" t="inlineStr">
        <is>
          <t>LC-264, KANJARI BORIYAVI, UTARSANDA, NADIAD, LC-278, GOTHAJ, LC-286, MAHEMDABAD AND KHEDA ROAD, LC-294, KANIJ, BAREJADI NANDEJ, GERATPUR, VATVA, KANKARIYA CABIN, AHMEDABAD Jn</t>
        </is>
      </c>
    </row>
    <row r="27" ht="49" customHeight="1">
      <c r="A27" s="16" t="inlineStr">
        <is>
          <t>1 Jun</t>
        </is>
      </c>
      <c r="B27" s="16" t="inlineStr">
        <is>
          <t>39465</t>
        </is>
      </c>
      <c r="C27" s="16" t="n">
        <v>1367</v>
      </c>
      <c r="D27" s="16" t="n">
        <v>1367</v>
      </c>
      <c r="E27" s="16" t="n">
        <v>724</v>
      </c>
      <c r="F27" s="38" t="n">
        <v>396351</v>
      </c>
      <c r="G27" s="38" t="n">
        <v>675170</v>
      </c>
      <c r="H27" s="38" t="n">
        <v>400404</v>
      </c>
      <c r="I27" s="38" t="n">
        <v>432021</v>
      </c>
      <c r="J27" s="19">
        <f>(I27-H27)/1000</f>
        <v/>
      </c>
      <c r="K27" s="16" t="inlineStr">
        <is>
          <t>Yes</t>
        </is>
      </c>
      <c r="L27" s="16" t="n">
        <v>8</v>
      </c>
      <c r="M27" s="39" t="inlineStr">
        <is>
          <t>LC-264, KANJARI BORIYAVI, UTARSANDA, NADIAD, LC-278, GOTHAJ, LC-286, MAHEMDABAD AND KHEDA ROAD, LC-294, KANIJ, BAREJADI NANDEJ, GERATPUR, VATVA, KANKARIYA CABIN, AHMEDABAD Jn</t>
        </is>
      </c>
    </row>
    <row r="28" ht="49" customHeight="1">
      <c r="A28" s="16" t="inlineStr">
        <is>
          <t>1 Jun</t>
        </is>
      </c>
      <c r="B28" s="16" t="inlineStr">
        <is>
          <t>30459</t>
        </is>
      </c>
      <c r="C28" s="16" t="n">
        <v>1002</v>
      </c>
      <c r="D28" s="16" t="n">
        <v>986</v>
      </c>
      <c r="E28" s="16" t="n">
        <v>956</v>
      </c>
      <c r="F28" s="38" t="n">
        <v>396006</v>
      </c>
      <c r="G28" s="38" t="n">
        <v>429245</v>
      </c>
      <c r="H28" s="38" t="n">
        <v>400418</v>
      </c>
      <c r="I28" s="38" t="n">
        <v>429245</v>
      </c>
      <c r="J28" s="19">
        <f>(I28-H28)/1000</f>
        <v/>
      </c>
      <c r="K28" s="16" t="inlineStr">
        <is>
          <t>Yes</t>
        </is>
      </c>
      <c r="L28" s="16" t="n">
        <v>8</v>
      </c>
      <c r="M28" s="39" t="inlineStr">
        <is>
          <t>LC-264, KANJARI BORIYAVI, UTARSANDA, NADIAD, LC-278, GOTHAJ, LC-286, MAHEMDABAD AND KHEDA ROAD, LC-294, KANIJ, BAREJADI NANDEJ, GERATPUR, VATVA, KANKARIYA CABIN, AHMEDABAD Jn</t>
        </is>
      </c>
    </row>
    <row r="29" ht="49" customHeight="1">
      <c r="A29" s="16" t="inlineStr">
        <is>
          <t>1 Jun</t>
        </is>
      </c>
      <c r="B29" s="16" t="inlineStr">
        <is>
          <t>39238</t>
        </is>
      </c>
      <c r="C29" s="16" t="n">
        <v>3002</v>
      </c>
      <c r="D29" s="16" t="n">
        <v>3002</v>
      </c>
      <c r="E29" s="16" t="n">
        <v>2786</v>
      </c>
      <c r="F29" s="38" t="n">
        <v>466198</v>
      </c>
      <c r="G29" s="38" t="n">
        <v>494895</v>
      </c>
      <c r="H29" s="38" t="n">
        <v>466198</v>
      </c>
      <c r="I29" s="38" t="n">
        <v>494312</v>
      </c>
      <c r="J29" s="19">
        <f>(I29-H29)/1000</f>
        <v/>
      </c>
      <c r="K29" s="16" t="inlineStr">
        <is>
          <t>Yes</t>
        </is>
      </c>
      <c r="L29" s="16" t="n">
        <v>8</v>
      </c>
      <c r="M29" s="39" t="inlineStr">
        <is>
          <t>BAJWA, RANOLI, LC-246, VASAD, ADAS ROAD, VADOD, LC-258, ANAND Jn, LC-264, KANJARI BORIYAVI, UTARSANDA, NADIAD, LC-278, GOTHAJ, LC-286</t>
        </is>
      </c>
    </row>
    <row r="30" ht="64" customHeight="1">
      <c r="A30" s="16" t="inlineStr">
        <is>
          <t>1 Jun</t>
        </is>
      </c>
      <c r="B30" s="16" t="inlineStr">
        <is>
          <t>39374</t>
        </is>
      </c>
      <c r="C30" s="16" t="n">
        <v>450</v>
      </c>
      <c r="D30" s="16" t="n">
        <v>445</v>
      </c>
      <c r="E30" s="16" t="n">
        <v>224</v>
      </c>
      <c r="F30" s="38" t="n">
        <v>396087</v>
      </c>
      <c r="G30" s="38" t="n">
        <v>427882</v>
      </c>
      <c r="H30" s="38" t="n">
        <v>400409</v>
      </c>
      <c r="I30" s="38" t="n">
        <v>427882</v>
      </c>
      <c r="J30" s="19">
        <f>(I30-H30)/1000</f>
        <v/>
      </c>
      <c r="K30" s="16" t="inlineStr">
        <is>
          <t>Yes</t>
        </is>
      </c>
      <c r="L30" s="16" t="n">
        <v>7</v>
      </c>
      <c r="M30" s="39" t="inlineStr">
        <is>
          <t>ANAND Jn, LC-264, KANJARI BORIYAVI, UTARSANDA, NADIAD, LC-278, GOTHAJ, LC-286, MAHEMDABAD AND KHEDA ROAD, LC-294, KANIJ, BAREJADI NANDEJ, GERATPUR, VATVA, KANKARIYA CABIN, AHMEDABAD Jn</t>
        </is>
      </c>
    </row>
    <row r="31" ht="49" customHeight="1">
      <c r="A31" s="16" t="inlineStr">
        <is>
          <t>1 Jun</t>
        </is>
      </c>
      <c r="B31" s="16" t="inlineStr">
        <is>
          <t>37019</t>
        </is>
      </c>
      <c r="C31" s="16" t="n">
        <v>2327</v>
      </c>
      <c r="D31" s="16" t="n">
        <v>2327</v>
      </c>
      <c r="E31" s="16" t="n">
        <v>2082</v>
      </c>
      <c r="F31" s="38" t="n">
        <v>468493</v>
      </c>
      <c r="G31" s="38" t="n">
        <v>494979</v>
      </c>
      <c r="H31" s="38" t="n">
        <v>468493</v>
      </c>
      <c r="I31" s="38" t="n">
        <v>494312</v>
      </c>
      <c r="J31" s="19">
        <f>(I31-H31)/1000</f>
        <v/>
      </c>
      <c r="K31" s="16" t="inlineStr">
        <is>
          <t>Yes</t>
        </is>
      </c>
      <c r="L31" s="16" t="n">
        <v>8</v>
      </c>
      <c r="M31" s="39" t="inlineStr">
        <is>
          <t>BAJWA, RANOLI, LC-246, VASAD, ADAS ROAD, VADOD, LC-258, ANAND Jn, LC-264, KANJARI BORIYAVI, UTARSANDA, NADIAD, LC-278, GOTHAJ, LC-286</t>
        </is>
      </c>
    </row>
    <row r="32" ht="49" customHeight="1">
      <c r="A32" s="16" t="inlineStr">
        <is>
          <t>1 Jun</t>
        </is>
      </c>
      <c r="B32" s="16" t="inlineStr">
        <is>
          <t>39066</t>
        </is>
      </c>
      <c r="C32" s="16" t="n">
        <v>9</v>
      </c>
      <c r="D32" s="16" t="n">
        <v>9</v>
      </c>
      <c r="E32" s="16" t="n">
        <v>9</v>
      </c>
      <c r="F32" s="38" t="n">
        <v>468028</v>
      </c>
      <c r="G32" s="38" t="n">
        <v>481879</v>
      </c>
      <c r="H32" s="38" t="n">
        <v>468028</v>
      </c>
      <c r="I32" s="38" t="n">
        <v>481879</v>
      </c>
      <c r="J32" s="19">
        <f>(I32-H32)/1000</f>
        <v/>
      </c>
      <c r="K32" s="16" t="inlineStr">
        <is>
          <t>Yes</t>
        </is>
      </c>
      <c r="L32" s="16" t="n">
        <v>5</v>
      </c>
      <c r="M32" s="39" t="inlineStr">
        <is>
          <t>BAJWA, RANOLI, LC-246, VASAD, ADAS ROAD, VADOD, LC-258, ANAND Jn, LC-264, KANJARI BORIYAVI, UTARSANDA, NADIAD, LC-278, GOTHAJ, LC-286, VATVA, KANKARIYA CABIN, AHMEDABAD Jn</t>
        </is>
      </c>
    </row>
    <row r="33" ht="64" customHeight="1">
      <c r="A33" s="16" t="inlineStr">
        <is>
          <t>1 Jun</t>
        </is>
      </c>
      <c r="B33" s="16" t="inlineStr">
        <is>
          <t>41386</t>
        </is>
      </c>
      <c r="C33" s="16" t="n">
        <v>1238</v>
      </c>
      <c r="D33" s="16" t="n">
        <v>792</v>
      </c>
      <c r="E33" s="16" t="n">
        <v>84</v>
      </c>
      <c r="F33" s="38" t="n">
        <v>486268</v>
      </c>
      <c r="G33" s="38" t="n">
        <v>2500606</v>
      </c>
      <c r="H33" s="38" t="n">
        <v>486268</v>
      </c>
      <c r="I33" s="38" t="n">
        <v>486472</v>
      </c>
      <c r="J33" s="19">
        <f>(I33-H33)/1000</f>
        <v/>
      </c>
      <c r="K33" s="16" t="inlineStr">
        <is>
          <t>Yes</t>
        </is>
      </c>
      <c r="L33" s="16" t="n">
        <v>1</v>
      </c>
      <c r="M33" s="39" t="inlineStr">
        <is>
          <t>BAJWA, RANOLI, LC-246, VASAD, ADAS ROAD, VADOD, LC-258, ANAND Jn, LC-264, KANJARI BORIYAVI, UTARSANDA, NADIAD, LC-278, GOTHAJ, LC-286, MAHEMDABAD AND KHEDA ROAD, LC-294, KANIJ, BAREJADI NANDEJ, GERATPUR, KANKARIYA CABIN, AHMEDABAD Jn</t>
        </is>
      </c>
    </row>
    <row r="34" ht="64" customHeight="1">
      <c r="A34" s="34" t="inlineStr">
        <is>
          <t>1 Jun</t>
        </is>
      </c>
      <c r="B34" s="34" t="inlineStr">
        <is>
          <t>30065</t>
        </is>
      </c>
      <c r="C34" s="34" t="n">
        <v>20</v>
      </c>
      <c r="D34" s="34" t="n">
        <v>20</v>
      </c>
      <c r="E34" s="34" t="n">
        <v>0</v>
      </c>
      <c r="F34" s="40" t="n">
        <v>494981</v>
      </c>
      <c r="G34" s="40" t="n">
        <v>494982</v>
      </c>
      <c r="H34" s="40" t="inlineStr">
        <is>
          <t>-</t>
        </is>
      </c>
      <c r="I34" s="40" t="inlineStr">
        <is>
          <t>-</t>
        </is>
      </c>
      <c r="J34" s="41" t="n">
        <v>0</v>
      </c>
      <c r="K34" s="34" t="inlineStr">
        <is>
          <t>No</t>
        </is>
      </c>
      <c r="L34" s="34" t="n">
        <v>0</v>
      </c>
      <c r="M3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5" ht="64" customHeight="1">
      <c r="A35" s="34" t="inlineStr">
        <is>
          <t>1 Jun</t>
        </is>
      </c>
      <c r="B35" s="34" t="inlineStr">
        <is>
          <t>30533</t>
        </is>
      </c>
      <c r="C35" s="34" t="n">
        <v>243</v>
      </c>
      <c r="D35" s="34" t="n">
        <v>243</v>
      </c>
      <c r="E35" s="34" t="n">
        <v>0</v>
      </c>
      <c r="F35" s="40" t="n">
        <v>370034</v>
      </c>
      <c r="G35" s="40" t="n">
        <v>395927</v>
      </c>
      <c r="H35" s="40" t="inlineStr">
        <is>
          <t>-</t>
        </is>
      </c>
      <c r="I35" s="40" t="inlineStr">
        <is>
          <t>-</t>
        </is>
      </c>
      <c r="J35" s="41" t="n">
        <v>0</v>
      </c>
      <c r="K35" s="34" t="inlineStr">
        <is>
          <t>No</t>
        </is>
      </c>
      <c r="L35" s="34" t="n">
        <v>0</v>
      </c>
      <c r="M3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6" ht="64" customHeight="1">
      <c r="A36" s="34" t="inlineStr">
        <is>
          <t>1 Jun</t>
        </is>
      </c>
      <c r="B36" s="34" t="inlineStr">
        <is>
          <t>30581</t>
        </is>
      </c>
      <c r="C36" s="34" t="n">
        <v>17</v>
      </c>
      <c r="D36" s="34" t="n">
        <v>0</v>
      </c>
      <c r="E36" s="34" t="n">
        <v>0</v>
      </c>
      <c r="F36" s="40" t="inlineStr">
        <is>
          <t>-</t>
        </is>
      </c>
      <c r="G36" s="40" t="inlineStr">
        <is>
          <t>-</t>
        </is>
      </c>
      <c r="H36" s="40" t="inlineStr">
        <is>
          <t>-</t>
        </is>
      </c>
      <c r="I36" s="40" t="inlineStr">
        <is>
          <t>-</t>
        </is>
      </c>
      <c r="J36" s="41" t="n">
        <v>0</v>
      </c>
      <c r="K36" s="34" t="inlineStr">
        <is>
          <t>No</t>
        </is>
      </c>
      <c r="L36" s="34" t="n">
        <v>0</v>
      </c>
      <c r="M3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7" ht="64" customHeight="1">
      <c r="A37" s="34" t="inlineStr">
        <is>
          <t>1 Jun</t>
        </is>
      </c>
      <c r="B37" s="34" t="inlineStr">
        <is>
          <t>30767</t>
        </is>
      </c>
      <c r="C37" s="34" t="n">
        <v>186</v>
      </c>
      <c r="D37" s="34" t="n">
        <v>186</v>
      </c>
      <c r="E37" s="34" t="n">
        <v>0</v>
      </c>
      <c r="F37" s="40" t="n">
        <v>370241</v>
      </c>
      <c r="G37" s="40" t="n">
        <v>395896</v>
      </c>
      <c r="H37" s="40" t="inlineStr">
        <is>
          <t>-</t>
        </is>
      </c>
      <c r="I37" s="40" t="inlineStr">
        <is>
          <t>-</t>
        </is>
      </c>
      <c r="J37" s="41" t="n">
        <v>0</v>
      </c>
      <c r="K37" s="34" t="inlineStr">
        <is>
          <t>No</t>
        </is>
      </c>
      <c r="L37" s="34" t="n">
        <v>0</v>
      </c>
      <c r="M3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8" ht="64" customHeight="1">
      <c r="A38" s="34" t="inlineStr">
        <is>
          <t>1 Jun</t>
        </is>
      </c>
      <c r="B38" s="34" t="inlineStr">
        <is>
          <t>37490</t>
        </is>
      </c>
      <c r="C38" s="34" t="n">
        <v>121</v>
      </c>
      <c r="D38" s="34" t="n">
        <v>121</v>
      </c>
      <c r="E38" s="34" t="n">
        <v>0</v>
      </c>
      <c r="F38" s="40" t="n">
        <v>375036</v>
      </c>
      <c r="G38" s="40" t="n">
        <v>395902</v>
      </c>
      <c r="H38" s="40" t="inlineStr">
        <is>
          <t>-</t>
        </is>
      </c>
      <c r="I38" s="40" t="inlineStr">
        <is>
          <t>-</t>
        </is>
      </c>
      <c r="J38" s="41" t="n">
        <v>0</v>
      </c>
      <c r="K38" s="34" t="inlineStr">
        <is>
          <t>No</t>
        </is>
      </c>
      <c r="L38" s="34" t="n">
        <v>0</v>
      </c>
      <c r="M3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" ht="64" customHeight="1">
      <c r="A39" s="34" t="inlineStr">
        <is>
          <t>1 Jun</t>
        </is>
      </c>
      <c r="B39" s="34" t="inlineStr">
        <is>
          <t>37569</t>
        </is>
      </c>
      <c r="C39" s="34" t="n">
        <v>197</v>
      </c>
      <c r="D39" s="34" t="n">
        <v>197</v>
      </c>
      <c r="E39" s="34" t="n">
        <v>0</v>
      </c>
      <c r="F39" s="40" t="n">
        <v>361802</v>
      </c>
      <c r="G39" s="40" t="n">
        <v>395151</v>
      </c>
      <c r="H39" s="40" t="inlineStr">
        <is>
          <t>-</t>
        </is>
      </c>
      <c r="I39" s="40" t="inlineStr">
        <is>
          <t>-</t>
        </is>
      </c>
      <c r="J39" s="41" t="n">
        <v>0</v>
      </c>
      <c r="K39" s="34" t="inlineStr">
        <is>
          <t>No</t>
        </is>
      </c>
      <c r="L39" s="34" t="n">
        <v>0</v>
      </c>
      <c r="M3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0" ht="64" customHeight="1">
      <c r="A40" s="34" t="inlineStr">
        <is>
          <t>1 Jun</t>
        </is>
      </c>
      <c r="B40" s="34" t="inlineStr">
        <is>
          <t>37633</t>
        </is>
      </c>
      <c r="C40" s="34" t="n">
        <v>6</v>
      </c>
      <c r="D40" s="34" t="n">
        <v>0</v>
      </c>
      <c r="E40" s="34" t="n">
        <v>0</v>
      </c>
      <c r="F40" s="40" t="inlineStr">
        <is>
          <t>-</t>
        </is>
      </c>
      <c r="G40" s="40" t="inlineStr">
        <is>
          <t>-</t>
        </is>
      </c>
      <c r="H40" s="40" t="inlineStr">
        <is>
          <t>-</t>
        </is>
      </c>
      <c r="I40" s="40" t="inlineStr">
        <is>
          <t>-</t>
        </is>
      </c>
      <c r="J40" s="41" t="n">
        <v>0</v>
      </c>
      <c r="K40" s="34" t="inlineStr">
        <is>
          <t>No</t>
        </is>
      </c>
      <c r="L40" s="34" t="n">
        <v>0</v>
      </c>
      <c r="M4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1" ht="64" customHeight="1">
      <c r="A41" s="34" t="inlineStr">
        <is>
          <t>1 Jun</t>
        </is>
      </c>
      <c r="B41" s="34" t="inlineStr">
        <is>
          <t>37812</t>
        </is>
      </c>
      <c r="C41" s="34" t="n">
        <v>138</v>
      </c>
      <c r="D41" s="34" t="n">
        <v>138</v>
      </c>
      <c r="E41" s="34" t="n">
        <v>0</v>
      </c>
      <c r="F41" s="40" t="n">
        <v>593070</v>
      </c>
      <c r="G41" s="40" t="n">
        <v>650046</v>
      </c>
      <c r="H41" s="40" t="inlineStr">
        <is>
          <t>-</t>
        </is>
      </c>
      <c r="I41" s="40" t="inlineStr">
        <is>
          <t>-</t>
        </is>
      </c>
      <c r="J41" s="41" t="n">
        <v>0</v>
      </c>
      <c r="K41" s="34" t="inlineStr">
        <is>
          <t>No</t>
        </is>
      </c>
      <c r="L41" s="34" t="n">
        <v>0</v>
      </c>
      <c r="M4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2" ht="64" customHeight="1">
      <c r="A42" s="34" t="inlineStr">
        <is>
          <t>1 Jun</t>
        </is>
      </c>
      <c r="B42" s="34" t="inlineStr">
        <is>
          <t>39078</t>
        </is>
      </c>
      <c r="C42" s="34" t="n">
        <v>1</v>
      </c>
      <c r="D42" s="34" t="n">
        <v>1</v>
      </c>
      <c r="E42" s="34" t="n">
        <v>0</v>
      </c>
      <c r="F42" s="40" t="n">
        <v>708151</v>
      </c>
      <c r="G42" s="40" t="n">
        <v>708151</v>
      </c>
      <c r="H42" s="40" t="inlineStr">
        <is>
          <t>-</t>
        </is>
      </c>
      <c r="I42" s="40" t="inlineStr">
        <is>
          <t>-</t>
        </is>
      </c>
      <c r="J42" s="41" t="n">
        <v>0</v>
      </c>
      <c r="K42" s="34" t="inlineStr">
        <is>
          <t>No</t>
        </is>
      </c>
      <c r="L42" s="34" t="n">
        <v>0</v>
      </c>
      <c r="M4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3" ht="64" customHeight="1">
      <c r="A43" s="34" t="inlineStr">
        <is>
          <t>1 Jun</t>
        </is>
      </c>
      <c r="B43" s="34" t="inlineStr">
        <is>
          <t>39328</t>
        </is>
      </c>
      <c r="C43" s="34" t="n">
        <v>2</v>
      </c>
      <c r="D43" s="34" t="n">
        <v>2</v>
      </c>
      <c r="E43" s="34" t="n">
        <v>0</v>
      </c>
      <c r="F43" s="40" t="n">
        <v>704983</v>
      </c>
      <c r="G43" s="40" t="n">
        <v>706907</v>
      </c>
      <c r="H43" s="40" t="inlineStr">
        <is>
          <t>-</t>
        </is>
      </c>
      <c r="I43" s="40" t="inlineStr">
        <is>
          <t>-</t>
        </is>
      </c>
      <c r="J43" s="41" t="n">
        <v>0</v>
      </c>
      <c r="K43" s="34" t="inlineStr">
        <is>
          <t>No</t>
        </is>
      </c>
      <c r="L43" s="34" t="n">
        <v>0</v>
      </c>
      <c r="M4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4" ht="64" customHeight="1">
      <c r="A44" s="34" t="inlineStr">
        <is>
          <t>1 Jun</t>
        </is>
      </c>
      <c r="B44" s="34" t="inlineStr">
        <is>
          <t>41760</t>
        </is>
      </c>
      <c r="C44" s="34" t="n">
        <v>6</v>
      </c>
      <c r="D44" s="34" t="n">
        <v>0</v>
      </c>
      <c r="E44" s="34" t="n">
        <v>0</v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1" t="n">
        <v>0</v>
      </c>
      <c r="K44" s="34" t="inlineStr">
        <is>
          <t>No</t>
        </is>
      </c>
      <c r="L44" s="34" t="n">
        <v>0</v>
      </c>
      <c r="M4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5" ht="64" customHeight="1">
      <c r="A45" s="34" t="inlineStr">
        <is>
          <t>1 Jun</t>
        </is>
      </c>
      <c r="B45" s="34" t="inlineStr">
        <is>
          <t>41909</t>
        </is>
      </c>
      <c r="C45" s="34" t="n">
        <v>46</v>
      </c>
      <c r="D45" s="34" t="n">
        <v>0</v>
      </c>
      <c r="E45" s="34" t="n">
        <v>0</v>
      </c>
      <c r="F45" s="40" t="inlineStr">
        <is>
          <t>-</t>
        </is>
      </c>
      <c r="G45" s="40" t="inlineStr">
        <is>
          <t>-</t>
        </is>
      </c>
      <c r="H45" s="40" t="inlineStr">
        <is>
          <t>-</t>
        </is>
      </c>
      <c r="I45" s="40" t="inlineStr">
        <is>
          <t>-</t>
        </is>
      </c>
      <c r="J45" s="41" t="n">
        <v>0</v>
      </c>
      <c r="K45" s="34" t="inlineStr">
        <is>
          <t>No</t>
        </is>
      </c>
      <c r="L45" s="34" t="n">
        <v>0</v>
      </c>
      <c r="M4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6" ht="64" customHeight="1">
      <c r="A46" s="34" t="inlineStr">
        <is>
          <t>1 Jun</t>
        </is>
      </c>
      <c r="B46" s="34" t="inlineStr">
        <is>
          <t>51111</t>
        </is>
      </c>
      <c r="C46" s="34" t="n">
        <v>10071</v>
      </c>
      <c r="D46" s="34" t="n">
        <v>9866</v>
      </c>
      <c r="E46" s="34" t="n">
        <v>0</v>
      </c>
      <c r="F46" s="40" t="n">
        <v>526530</v>
      </c>
      <c r="G46" s="40" t="n">
        <v>531386</v>
      </c>
      <c r="H46" s="40" t="inlineStr">
        <is>
          <t>-</t>
        </is>
      </c>
      <c r="I46" s="40" t="inlineStr">
        <is>
          <t>-</t>
        </is>
      </c>
      <c r="J46" s="41" t="n">
        <v>0</v>
      </c>
      <c r="K46" s="34" t="inlineStr">
        <is>
          <t>No</t>
        </is>
      </c>
      <c r="L46" s="34" t="n">
        <v>0</v>
      </c>
      <c r="M4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7" ht="64" customHeight="1">
      <c r="A47" s="34" t="inlineStr">
        <is>
          <t>1 Jun</t>
        </is>
      </c>
      <c r="B47" s="34" t="inlineStr">
        <is>
          <t>910860</t>
        </is>
      </c>
      <c r="C47" s="34" t="n">
        <v>5</v>
      </c>
      <c r="D47" s="34" t="n">
        <v>0</v>
      </c>
      <c r="E47" s="34" t="n">
        <v>0</v>
      </c>
      <c r="F47" s="40" t="inlineStr">
        <is>
          <t>-</t>
        </is>
      </c>
      <c r="G47" s="40" t="inlineStr">
        <is>
          <t>-</t>
        </is>
      </c>
      <c r="H47" s="40" t="inlineStr">
        <is>
          <t>-</t>
        </is>
      </c>
      <c r="I47" s="40" t="inlineStr">
        <is>
          <t>-</t>
        </is>
      </c>
      <c r="J47" s="41" t="n">
        <v>0</v>
      </c>
      <c r="K47" s="34" t="inlineStr">
        <is>
          <t>No</t>
        </is>
      </c>
      <c r="L47" s="34" t="n">
        <v>0</v>
      </c>
      <c r="M4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8">
      <c r="A48" s="16" t="inlineStr">
        <is>
          <t>2 Jun</t>
        </is>
      </c>
      <c r="B48" s="16" t="inlineStr">
        <is>
          <t>30635</t>
        </is>
      </c>
      <c r="C48" s="16" t="n">
        <v>6272</v>
      </c>
      <c r="D48" s="16" t="n">
        <v>6272</v>
      </c>
      <c r="E48" s="16" t="n">
        <v>5178</v>
      </c>
      <c r="F48" s="38" t="n">
        <v>290934</v>
      </c>
      <c r="G48" s="38" t="n">
        <v>494982</v>
      </c>
      <c r="H48" s="38" t="n">
        <v>400401</v>
      </c>
      <c r="I48" s="38" t="n">
        <v>494311</v>
      </c>
      <c r="J48" s="19">
        <f>(I48-H48)/1000</f>
        <v/>
      </c>
      <c r="K48" s="16" t="inlineStr">
        <is>
          <t>Yes</t>
        </is>
      </c>
      <c r="L48" s="16" t="n">
        <v>23</v>
      </c>
      <c r="M48" s="39" t="inlineStr">
        <is>
          <t>- (full trip)</t>
        </is>
      </c>
    </row>
    <row r="49">
      <c r="A49" s="16" t="inlineStr">
        <is>
          <t>2 Jun</t>
        </is>
      </c>
      <c r="B49" s="16" t="inlineStr">
        <is>
          <t>30759</t>
        </is>
      </c>
      <c r="C49" s="16" t="n">
        <v>6081</v>
      </c>
      <c r="D49" s="16" t="n">
        <v>6076</v>
      </c>
      <c r="E49" s="16" t="n">
        <v>5096</v>
      </c>
      <c r="F49" s="38" t="n">
        <v>374921</v>
      </c>
      <c r="G49" s="38" t="n">
        <v>494964</v>
      </c>
      <c r="H49" s="38" t="n">
        <v>400404</v>
      </c>
      <c r="I49" s="38" t="n">
        <v>494312</v>
      </c>
      <c r="J49" s="19">
        <f>(I49-H49)/1000</f>
        <v/>
      </c>
      <c r="K49" s="16" t="inlineStr">
        <is>
          <t>Yes</t>
        </is>
      </c>
      <c r="L49" s="16" t="n">
        <v>23</v>
      </c>
      <c r="M49" s="39" t="inlineStr">
        <is>
          <t>- (full trip)</t>
        </is>
      </c>
    </row>
    <row r="50">
      <c r="A50" s="16" t="inlineStr">
        <is>
          <t>2 Jun</t>
        </is>
      </c>
      <c r="B50" s="16" t="inlineStr">
        <is>
          <t>37566</t>
        </is>
      </c>
      <c r="C50" s="16" t="n">
        <v>5677</v>
      </c>
      <c r="D50" s="16" t="n">
        <v>5677</v>
      </c>
      <c r="E50" s="16" t="n">
        <v>4516</v>
      </c>
      <c r="F50" s="38" t="n">
        <v>361576</v>
      </c>
      <c r="G50" s="38" t="n">
        <v>495807</v>
      </c>
      <c r="H50" s="38" t="n">
        <v>400407</v>
      </c>
      <c r="I50" s="38" t="n">
        <v>494312</v>
      </c>
      <c r="J50" s="19">
        <f>(I50-H50)/1000</f>
        <v/>
      </c>
      <c r="K50" s="16" t="inlineStr">
        <is>
          <t>Yes</t>
        </is>
      </c>
      <c r="L50" s="16" t="n">
        <v>23</v>
      </c>
      <c r="M50" s="39" t="inlineStr">
        <is>
          <t>- (full trip)</t>
        </is>
      </c>
    </row>
    <row r="51">
      <c r="A51" s="16" t="inlineStr">
        <is>
          <t>2 Jun</t>
        </is>
      </c>
      <c r="B51" s="16" t="inlineStr">
        <is>
          <t>30145</t>
        </is>
      </c>
      <c r="C51" s="16" t="n">
        <v>6932</v>
      </c>
      <c r="D51" s="16" t="n">
        <v>6803</v>
      </c>
      <c r="E51" s="16" t="n">
        <v>4679</v>
      </c>
      <c r="F51" s="38" t="n">
        <v>381045</v>
      </c>
      <c r="G51" s="38" t="n">
        <v>500980</v>
      </c>
      <c r="H51" s="38" t="n">
        <v>400416</v>
      </c>
      <c r="I51" s="38" t="n">
        <v>494312</v>
      </c>
      <c r="J51" s="19">
        <f>(I51-H51)/1000</f>
        <v/>
      </c>
      <c r="K51" s="16" t="inlineStr">
        <is>
          <t>Yes</t>
        </is>
      </c>
      <c r="L51" s="16" t="n">
        <v>23</v>
      </c>
      <c r="M51" s="39" t="inlineStr">
        <is>
          <t>- (full trip)</t>
        </is>
      </c>
    </row>
    <row r="52">
      <c r="A52" s="16" t="inlineStr">
        <is>
          <t>2 Jun</t>
        </is>
      </c>
      <c r="B52" s="16" t="inlineStr">
        <is>
          <t>39066</t>
        </is>
      </c>
      <c r="C52" s="16" t="n">
        <v>7933</v>
      </c>
      <c r="D52" s="16" t="n">
        <v>7933</v>
      </c>
      <c r="E52" s="16" t="n">
        <v>5696</v>
      </c>
      <c r="F52" s="38" t="n">
        <v>319169</v>
      </c>
      <c r="G52" s="38" t="n">
        <v>495802</v>
      </c>
      <c r="H52" s="38" t="n">
        <v>400408</v>
      </c>
      <c r="I52" s="38" t="n">
        <v>494309</v>
      </c>
      <c r="J52" s="19">
        <f>(I52-H52)/1000</f>
        <v/>
      </c>
      <c r="K52" s="16" t="inlineStr">
        <is>
          <t>Yes</t>
        </is>
      </c>
      <c r="L52" s="16" t="n">
        <v>23</v>
      </c>
      <c r="M52" s="39" t="inlineStr">
        <is>
          <t>- (full trip)</t>
        </is>
      </c>
    </row>
    <row r="53">
      <c r="A53" s="16" t="inlineStr">
        <is>
          <t>2 Jun</t>
        </is>
      </c>
      <c r="B53" s="16" t="inlineStr">
        <is>
          <t>30821</t>
        </is>
      </c>
      <c r="C53" s="16" t="n">
        <v>5512</v>
      </c>
      <c r="D53" s="16" t="n">
        <v>5512</v>
      </c>
      <c r="E53" s="16" t="n">
        <v>4637</v>
      </c>
      <c r="F53" s="38" t="n">
        <v>367900</v>
      </c>
      <c r="G53" s="38" t="n">
        <v>494894</v>
      </c>
      <c r="H53" s="38" t="n">
        <v>400416</v>
      </c>
      <c r="I53" s="38" t="n">
        <v>494311</v>
      </c>
      <c r="J53" s="19">
        <f>(I53-H53)/1000</f>
        <v/>
      </c>
      <c r="K53" s="16" t="inlineStr">
        <is>
          <t>Yes</t>
        </is>
      </c>
      <c r="L53" s="16" t="n">
        <v>23</v>
      </c>
      <c r="M53" s="39" t="inlineStr">
        <is>
          <t>- (full trip)</t>
        </is>
      </c>
    </row>
    <row r="54">
      <c r="A54" s="16" t="inlineStr">
        <is>
          <t>2 Jun</t>
        </is>
      </c>
      <c r="B54" s="16" t="inlineStr">
        <is>
          <t>39314</t>
        </is>
      </c>
      <c r="C54" s="16" t="n">
        <v>10596</v>
      </c>
      <c r="D54" s="16" t="n">
        <v>10596</v>
      </c>
      <c r="E54" s="16" t="n">
        <v>8827</v>
      </c>
      <c r="F54" s="38" t="n">
        <v>301100</v>
      </c>
      <c r="G54" s="38" t="n">
        <v>495707</v>
      </c>
      <c r="H54" s="38" t="n">
        <v>400417</v>
      </c>
      <c r="I54" s="38" t="n">
        <v>494311</v>
      </c>
      <c r="J54" s="19">
        <f>(I54-H54)/1000</f>
        <v/>
      </c>
      <c r="K54" s="16" t="inlineStr">
        <is>
          <t>Yes</t>
        </is>
      </c>
      <c r="L54" s="16" t="n">
        <v>23</v>
      </c>
      <c r="M54" s="39" t="inlineStr">
        <is>
          <t>- (full trip)</t>
        </is>
      </c>
    </row>
    <row r="55">
      <c r="A55" s="16" t="inlineStr">
        <is>
          <t>2 Jun</t>
        </is>
      </c>
      <c r="B55" s="16" t="inlineStr">
        <is>
          <t>30168</t>
        </is>
      </c>
      <c r="C55" s="16" t="n">
        <v>5313</v>
      </c>
      <c r="D55" s="16" t="n">
        <v>5313</v>
      </c>
      <c r="E55" s="16" t="n">
        <v>4486</v>
      </c>
      <c r="F55" s="38" t="n">
        <v>370052</v>
      </c>
      <c r="G55" s="38" t="n">
        <v>495705</v>
      </c>
      <c r="H55" s="38" t="n">
        <v>400443</v>
      </c>
      <c r="I55" s="38" t="n">
        <v>494310</v>
      </c>
      <c r="J55" s="19">
        <f>(I55-H55)/1000</f>
        <v/>
      </c>
      <c r="K55" s="16" t="inlineStr">
        <is>
          <t>Yes</t>
        </is>
      </c>
      <c r="L55" s="16" t="n">
        <v>23</v>
      </c>
      <c r="M55" s="39" t="inlineStr">
        <is>
          <t>- (full trip)</t>
        </is>
      </c>
    </row>
    <row r="56">
      <c r="A56" s="16" t="inlineStr">
        <is>
          <t>2 Jun</t>
        </is>
      </c>
      <c r="B56" s="16" t="inlineStr">
        <is>
          <t>30472</t>
        </is>
      </c>
      <c r="C56" s="16" t="n">
        <v>4093</v>
      </c>
      <c r="D56" s="16" t="n">
        <v>4076</v>
      </c>
      <c r="E56" s="16" t="n">
        <v>3790</v>
      </c>
      <c r="F56" s="38" t="n">
        <v>398876</v>
      </c>
      <c r="G56" s="38" t="n">
        <v>495808</v>
      </c>
      <c r="H56" s="38" t="n">
        <v>400438</v>
      </c>
      <c r="I56" s="38" t="n">
        <v>494310</v>
      </c>
      <c r="J56" s="19">
        <f>(I56-H56)/1000</f>
        <v/>
      </c>
      <c r="K56" s="16" t="inlineStr">
        <is>
          <t>Yes</t>
        </is>
      </c>
      <c r="L56" s="16" t="n">
        <v>23</v>
      </c>
      <c r="M56" s="39" t="inlineStr">
        <is>
          <t>- (full trip)</t>
        </is>
      </c>
    </row>
    <row r="57">
      <c r="A57" s="16" t="inlineStr">
        <is>
          <t>2 Jun</t>
        </is>
      </c>
      <c r="B57" s="16" t="inlineStr">
        <is>
          <t>37956</t>
        </is>
      </c>
      <c r="C57" s="16" t="n">
        <v>5876</v>
      </c>
      <c r="D57" s="16" t="n">
        <v>5876</v>
      </c>
      <c r="E57" s="16" t="n">
        <v>4306</v>
      </c>
      <c r="F57" s="38" t="n">
        <v>301041</v>
      </c>
      <c r="G57" s="38" t="n">
        <v>495808</v>
      </c>
      <c r="H57" s="38" t="n">
        <v>400442</v>
      </c>
      <c r="I57" s="38" t="n">
        <v>494307</v>
      </c>
      <c r="J57" s="19">
        <f>(I57-H57)/1000</f>
        <v/>
      </c>
      <c r="K57" s="16" t="inlineStr">
        <is>
          <t>Yes</t>
        </is>
      </c>
      <c r="L57" s="16" t="n">
        <v>23</v>
      </c>
      <c r="M57" s="39" t="inlineStr">
        <is>
          <t>- (full trip)</t>
        </is>
      </c>
    </row>
    <row r="58">
      <c r="A58" s="16" t="inlineStr">
        <is>
          <t>2 Jun</t>
        </is>
      </c>
      <c r="B58" s="16" t="inlineStr">
        <is>
          <t>37291</t>
        </is>
      </c>
      <c r="C58" s="16" t="n">
        <v>5125</v>
      </c>
      <c r="D58" s="16" t="n">
        <v>5089</v>
      </c>
      <c r="E58" s="16" t="n">
        <v>4806</v>
      </c>
      <c r="F58" s="38" t="n">
        <v>400996</v>
      </c>
      <c r="G58" s="38" t="n">
        <v>494989</v>
      </c>
      <c r="H58" s="38" t="n">
        <v>400996</v>
      </c>
      <c r="I58" s="38" t="n">
        <v>494312</v>
      </c>
      <c r="J58" s="19">
        <f>(I58-H58)/1000</f>
        <v/>
      </c>
      <c r="K58" s="16" t="inlineStr">
        <is>
          <t>Yes</t>
        </is>
      </c>
      <c r="L58" s="16" t="n">
        <v>23</v>
      </c>
      <c r="M58" s="39" t="inlineStr">
        <is>
          <t>- (full trip)</t>
        </is>
      </c>
    </row>
    <row r="59">
      <c r="A59" s="16" t="inlineStr">
        <is>
          <t>2 Jun</t>
        </is>
      </c>
      <c r="B59" s="16" t="inlineStr">
        <is>
          <t>37582</t>
        </is>
      </c>
      <c r="C59" s="16" t="n">
        <v>6050</v>
      </c>
      <c r="D59" s="16" t="n">
        <v>6050</v>
      </c>
      <c r="E59" s="16" t="n">
        <v>5655</v>
      </c>
      <c r="F59" s="38" t="n">
        <v>400992</v>
      </c>
      <c r="G59" s="38" t="n">
        <v>494983</v>
      </c>
      <c r="H59" s="38" t="n">
        <v>400992</v>
      </c>
      <c r="I59" s="38" t="n">
        <v>494311</v>
      </c>
      <c r="J59" s="19">
        <f>(I59-H59)/1000</f>
        <v/>
      </c>
      <c r="K59" s="16" t="inlineStr">
        <is>
          <t>Yes</t>
        </is>
      </c>
      <c r="L59" s="16" t="n">
        <v>23</v>
      </c>
      <c r="M59" s="39" t="inlineStr">
        <is>
          <t>- (full trip)</t>
        </is>
      </c>
    </row>
    <row r="60">
      <c r="A60" s="16" t="inlineStr">
        <is>
          <t>2 Jun</t>
        </is>
      </c>
      <c r="B60" s="16" t="inlineStr">
        <is>
          <t>37812</t>
        </is>
      </c>
      <c r="C60" s="16" t="n">
        <v>6028</v>
      </c>
      <c r="D60" s="16" t="n">
        <v>6018</v>
      </c>
      <c r="E60" s="16" t="n">
        <v>5308</v>
      </c>
      <c r="F60" s="38" t="n">
        <v>400993</v>
      </c>
      <c r="G60" s="38" t="n">
        <v>592997</v>
      </c>
      <c r="H60" s="38" t="n">
        <v>400993</v>
      </c>
      <c r="I60" s="38" t="n">
        <v>494309</v>
      </c>
      <c r="J60" s="19">
        <f>(I60-H60)/1000</f>
        <v/>
      </c>
      <c r="K60" s="16" t="inlineStr">
        <is>
          <t>Yes</t>
        </is>
      </c>
      <c r="L60" s="16" t="n">
        <v>23</v>
      </c>
      <c r="M60" s="39" t="inlineStr">
        <is>
          <t>- (full trip)</t>
        </is>
      </c>
    </row>
    <row r="61">
      <c r="A61" s="16" t="inlineStr">
        <is>
          <t>2 Jun</t>
        </is>
      </c>
      <c r="B61" s="16" t="inlineStr">
        <is>
          <t>39259</t>
        </is>
      </c>
      <c r="C61" s="16" t="n">
        <v>4123</v>
      </c>
      <c r="D61" s="16" t="n">
        <v>4123</v>
      </c>
      <c r="E61" s="16" t="n">
        <v>3853</v>
      </c>
      <c r="F61" s="38" t="n">
        <v>403438</v>
      </c>
      <c r="G61" s="38" t="n">
        <v>495780</v>
      </c>
      <c r="H61" s="38" t="n">
        <v>403438</v>
      </c>
      <c r="I61" s="38" t="n">
        <v>494310</v>
      </c>
      <c r="J61" s="19">
        <f>(I61-H61)/1000</f>
        <v/>
      </c>
      <c r="K61" s="16" t="inlineStr">
        <is>
          <t>Yes</t>
        </is>
      </c>
      <c r="L61" s="16" t="n">
        <v>23</v>
      </c>
      <c r="M61" s="39" t="inlineStr">
        <is>
          <t>- (full trip)</t>
        </is>
      </c>
    </row>
    <row r="62">
      <c r="A62" s="16" t="inlineStr">
        <is>
          <t>2 Jun</t>
        </is>
      </c>
      <c r="B62" s="16" t="inlineStr">
        <is>
          <t>37934</t>
        </is>
      </c>
      <c r="C62" s="16" t="n">
        <v>5654</v>
      </c>
      <c r="D62" s="16" t="n">
        <v>5654</v>
      </c>
      <c r="E62" s="16" t="n">
        <v>3280</v>
      </c>
      <c r="F62" s="38" t="n">
        <v>288758</v>
      </c>
      <c r="G62" s="38" t="n">
        <v>483234</v>
      </c>
      <c r="H62" s="38" t="n">
        <v>400399</v>
      </c>
      <c r="I62" s="38" t="n">
        <v>483234</v>
      </c>
      <c r="J62" s="19">
        <f>(I62-H62)/1000</f>
        <v/>
      </c>
      <c r="K62" s="16" t="inlineStr">
        <is>
          <t>Yes</t>
        </is>
      </c>
      <c r="L62" s="16" t="n">
        <v>20</v>
      </c>
      <c r="M62" s="39" t="inlineStr">
        <is>
          <t>VATVA, KANKARIYA CABIN, AHMEDABAD Jn</t>
        </is>
      </c>
    </row>
    <row r="63">
      <c r="A63" s="16" t="inlineStr">
        <is>
          <t>2 Jun</t>
        </is>
      </c>
      <c r="B63" s="16" t="inlineStr">
        <is>
          <t>30484</t>
        </is>
      </c>
      <c r="C63" s="16" t="n">
        <v>1834</v>
      </c>
      <c r="D63" s="16" t="n">
        <v>1834</v>
      </c>
      <c r="E63" s="16" t="n">
        <v>942</v>
      </c>
      <c r="F63" s="38" t="n">
        <v>302313</v>
      </c>
      <c r="G63" s="38" t="n">
        <v>518870</v>
      </c>
      <c r="H63" s="38" t="n">
        <v>400404</v>
      </c>
      <c r="I63" s="38" t="n">
        <v>482508</v>
      </c>
      <c r="J63" s="19">
        <f>(I63-H63)/1000</f>
        <v/>
      </c>
      <c r="K63" s="16" t="inlineStr">
        <is>
          <t>Yes</t>
        </is>
      </c>
      <c r="L63" s="16" t="n">
        <v>20</v>
      </c>
      <c r="M63" s="39" t="inlineStr">
        <is>
          <t>VATVA, KANKARIYA CABIN, AHMEDABAD Jn</t>
        </is>
      </c>
    </row>
    <row r="64" ht="34" customHeight="1">
      <c r="A64" s="16" t="inlineStr">
        <is>
          <t>2 Jun</t>
        </is>
      </c>
      <c r="B64" s="16" t="inlineStr">
        <is>
          <t>37019</t>
        </is>
      </c>
      <c r="C64" s="16" t="n">
        <v>4408</v>
      </c>
      <c r="D64" s="16" t="n">
        <v>4408</v>
      </c>
      <c r="E64" s="16" t="n">
        <v>3731</v>
      </c>
      <c r="F64" s="38" t="n">
        <v>381442</v>
      </c>
      <c r="G64" s="38" t="n">
        <v>468491</v>
      </c>
      <c r="H64" s="38" t="n">
        <v>400400</v>
      </c>
      <c r="I64" s="38" t="n">
        <v>468491</v>
      </c>
      <c r="J64" s="19">
        <f>(I64-H64)/1000</f>
        <v/>
      </c>
      <c r="K64" s="16" t="inlineStr">
        <is>
          <t>Yes</t>
        </is>
      </c>
      <c r="L64" s="16" t="n">
        <v>16</v>
      </c>
      <c r="M64" s="39" t="inlineStr">
        <is>
          <t>LC-294, KANIJ, BAREJADI NANDEJ, GERATPUR, VATVA, KANKARIYA CABIN, AHMEDABAD Jn</t>
        </is>
      </c>
    </row>
    <row r="65" ht="34" customHeight="1">
      <c r="A65" s="16" t="inlineStr">
        <is>
          <t>2 Jun</t>
        </is>
      </c>
      <c r="B65" s="16" t="inlineStr">
        <is>
          <t>37035</t>
        </is>
      </c>
      <c r="C65" s="16" t="n">
        <v>3512</v>
      </c>
      <c r="D65" s="16" t="n">
        <v>3470</v>
      </c>
      <c r="E65" s="16" t="n">
        <v>3470</v>
      </c>
      <c r="F65" s="38" t="n">
        <v>400994</v>
      </c>
      <c r="G65" s="38" t="n">
        <v>466941</v>
      </c>
      <c r="H65" s="38" t="n">
        <v>400994</v>
      </c>
      <c r="I65" s="38" t="n">
        <v>466941</v>
      </c>
      <c r="J65" s="19">
        <f>(I65-H65)/1000</f>
        <v/>
      </c>
      <c r="K65" s="16" t="inlineStr">
        <is>
          <t>Yes</t>
        </is>
      </c>
      <c r="L65" s="16" t="n">
        <v>16</v>
      </c>
      <c r="M65" s="39" t="inlineStr">
        <is>
          <t>LC-294, KANIJ, BAREJADI NANDEJ, GERATPUR, VATVA, KANKARIYA CABIN, AHMEDABAD Jn</t>
        </is>
      </c>
    </row>
    <row r="66" ht="34" customHeight="1">
      <c r="A66" s="16" t="inlineStr">
        <is>
          <t>2 Jun</t>
        </is>
      </c>
      <c r="B66" s="16" t="inlineStr">
        <is>
          <t>39238</t>
        </is>
      </c>
      <c r="C66" s="16" t="n">
        <v>3866</v>
      </c>
      <c r="D66" s="16" t="n">
        <v>3866</v>
      </c>
      <c r="E66" s="16" t="n">
        <v>3145</v>
      </c>
      <c r="F66" s="38" t="n">
        <v>318235</v>
      </c>
      <c r="G66" s="38" t="n">
        <v>466185</v>
      </c>
      <c r="H66" s="38" t="n">
        <v>400419</v>
      </c>
      <c r="I66" s="38" t="n">
        <v>466185</v>
      </c>
      <c r="J66" s="19">
        <f>(I66-H66)/1000</f>
        <v/>
      </c>
      <c r="K66" s="16" t="inlineStr">
        <is>
          <t>Yes</t>
        </is>
      </c>
      <c r="L66" s="16" t="n">
        <v>16</v>
      </c>
      <c r="M66" s="39" t="inlineStr">
        <is>
          <t>LC-294, KANIJ, BAREJADI NANDEJ, GERATPUR, VATVA, KANKARIYA CABIN, AHMEDABAD Jn</t>
        </is>
      </c>
    </row>
    <row r="67" ht="49" customHeight="1">
      <c r="A67" s="16" t="inlineStr">
        <is>
          <t>2 Jun</t>
        </is>
      </c>
      <c r="B67" s="16" t="inlineStr">
        <is>
          <t>39078</t>
        </is>
      </c>
      <c r="C67" s="16" t="n">
        <v>1964</v>
      </c>
      <c r="D67" s="16" t="n">
        <v>1964</v>
      </c>
      <c r="E67" s="16" t="n">
        <v>778</v>
      </c>
      <c r="F67" s="38" t="n">
        <v>367647</v>
      </c>
      <c r="G67" s="38" t="n">
        <v>653301</v>
      </c>
      <c r="H67" s="38" t="n">
        <v>400411</v>
      </c>
      <c r="I67" s="38" t="n">
        <v>455225</v>
      </c>
      <c r="J67" s="19">
        <f>(I67-H67)/1000</f>
        <v/>
      </c>
      <c r="K67" s="16" t="inlineStr">
        <is>
          <t>Yes</t>
        </is>
      </c>
      <c r="L67" s="16" t="n">
        <v>13</v>
      </c>
      <c r="M67" s="39" t="inlineStr">
        <is>
          <t>GOTHAJ, LC-286, MAHEMDABAD AND KHEDA ROAD, LC-294, KANIJ, BAREJADI NANDEJ, GERATPUR, VATVA, KANKARIYA CABIN, AHMEDABAD Jn</t>
        </is>
      </c>
    </row>
    <row r="68" ht="49" customHeight="1">
      <c r="A68" s="16" t="inlineStr">
        <is>
          <t>2 Jun</t>
        </is>
      </c>
      <c r="B68" s="16" t="inlineStr">
        <is>
          <t>39328</t>
        </is>
      </c>
      <c r="C68" s="16" t="n">
        <v>3410</v>
      </c>
      <c r="D68" s="16" t="n">
        <v>3410</v>
      </c>
      <c r="E68" s="16" t="n">
        <v>1082</v>
      </c>
      <c r="F68" s="38" t="n">
        <v>205454</v>
      </c>
      <c r="G68" s="38" t="n">
        <v>652514</v>
      </c>
      <c r="H68" s="38" t="n">
        <v>400442</v>
      </c>
      <c r="I68" s="38" t="n">
        <v>455104</v>
      </c>
      <c r="J68" s="19">
        <f>(I68-H68)/1000</f>
        <v/>
      </c>
      <c r="K68" s="16" t="inlineStr">
        <is>
          <t>Yes</t>
        </is>
      </c>
      <c r="L68" s="16" t="n">
        <v>13</v>
      </c>
      <c r="M68" s="39" t="inlineStr">
        <is>
          <t>GOTHAJ, LC-286, MAHEMDABAD AND KHEDA ROAD, LC-294, KANIJ, BAREJADI NANDEJ, GERATPUR, VATVA, KANKARIYA CABIN, AHMEDABAD Jn</t>
        </is>
      </c>
    </row>
    <row r="69" ht="34" customHeight="1">
      <c r="A69" s="16" t="inlineStr">
        <is>
          <t>2 Jun</t>
        </is>
      </c>
      <c r="B69" s="16" t="inlineStr">
        <is>
          <t>37507</t>
        </is>
      </c>
      <c r="C69" s="16" t="n">
        <v>2540</v>
      </c>
      <c r="D69" s="16" t="n">
        <v>2540</v>
      </c>
      <c r="E69" s="16" t="n">
        <v>2263</v>
      </c>
      <c r="F69" s="38" t="n">
        <v>448415</v>
      </c>
      <c r="G69" s="38" t="n">
        <v>494982</v>
      </c>
      <c r="H69" s="38" t="n">
        <v>448415</v>
      </c>
      <c r="I69" s="38" t="n">
        <v>494312</v>
      </c>
      <c r="J69" s="19">
        <f>(I69-H69)/1000</f>
        <v/>
      </c>
      <c r="K69" s="16" t="inlineStr">
        <is>
          <t>Yes</t>
        </is>
      </c>
      <c r="L69" s="16" t="n">
        <v>12</v>
      </c>
      <c r="M69" s="39" t="inlineStr">
        <is>
          <t>BAJWA, RANOLI, LC-246, VASAD, ADAS ROAD, VADOD, LC-258, ANAND Jn, LC-264, KANJARI BORIYAVI, UTARSANDA</t>
        </is>
      </c>
    </row>
    <row r="70" ht="49" customHeight="1">
      <c r="A70" s="16" t="inlineStr">
        <is>
          <t>2 Jun</t>
        </is>
      </c>
      <c r="B70" s="16" t="inlineStr">
        <is>
          <t>30822</t>
        </is>
      </c>
      <c r="C70" s="16" t="n">
        <v>2971</v>
      </c>
      <c r="D70" s="16" t="n">
        <v>2971</v>
      </c>
      <c r="E70" s="16" t="n">
        <v>1855</v>
      </c>
      <c r="F70" s="38" t="n">
        <v>367720</v>
      </c>
      <c r="G70" s="38" t="n">
        <v>441466</v>
      </c>
      <c r="H70" s="38" t="n">
        <v>400505</v>
      </c>
      <c r="I70" s="38" t="n">
        <v>441466</v>
      </c>
      <c r="J70" s="19">
        <f>(I70-H70)/1000</f>
        <v/>
      </c>
      <c r="K70" s="16" t="inlineStr">
        <is>
          <t>Yes</t>
        </is>
      </c>
      <c r="L70" s="16" t="n">
        <v>11</v>
      </c>
      <c r="M70" s="39" t="inlineStr">
        <is>
          <t>NADIAD, LC-278, GOTHAJ, LC-286, MAHEMDABAD AND KHEDA ROAD, LC-294, KANIJ, BAREJADI NANDEJ, GERATPUR, VATVA, KANKARIYA CABIN, AHMEDABAD Jn</t>
        </is>
      </c>
    </row>
    <row r="71" ht="49" customHeight="1">
      <c r="A71" s="16" t="inlineStr">
        <is>
          <t>2 Jun</t>
        </is>
      </c>
      <c r="B71" s="16" t="inlineStr">
        <is>
          <t>39131</t>
        </is>
      </c>
      <c r="C71" s="16" t="n">
        <v>3981</v>
      </c>
      <c r="D71" s="16" t="n">
        <v>3981</v>
      </c>
      <c r="E71" s="16" t="n">
        <v>1972</v>
      </c>
      <c r="F71" s="38" t="n">
        <v>275933</v>
      </c>
      <c r="G71" s="38" t="n">
        <v>441268</v>
      </c>
      <c r="H71" s="38" t="n">
        <v>400400</v>
      </c>
      <c r="I71" s="38" t="n">
        <v>441268</v>
      </c>
      <c r="J71" s="19">
        <f>(I71-H71)/1000</f>
        <v/>
      </c>
      <c r="K71" s="16" t="inlineStr">
        <is>
          <t>Yes</t>
        </is>
      </c>
      <c r="L71" s="16" t="n">
        <v>10</v>
      </c>
      <c r="M71" s="39" t="inlineStr">
        <is>
          <t>UTARSANDA, NADIAD, LC-278, GOTHAJ, LC-286, MAHEMDABAD AND KHEDA ROAD, LC-294, KANIJ, BAREJADI NANDEJ, GERATPUR, VATVA, KANKARIYA CABIN, AHMEDABAD Jn</t>
        </is>
      </c>
    </row>
    <row r="72" ht="34" customHeight="1">
      <c r="A72" s="16" t="inlineStr">
        <is>
          <t>2 Jun</t>
        </is>
      </c>
      <c r="B72" s="16" t="inlineStr">
        <is>
          <t>37164</t>
        </is>
      </c>
      <c r="C72" s="16" t="n">
        <v>2190</v>
      </c>
      <c r="D72" s="16" t="n">
        <v>2190</v>
      </c>
      <c r="E72" s="16" t="n">
        <v>1943</v>
      </c>
      <c r="F72" s="38" t="n">
        <v>453694</v>
      </c>
      <c r="G72" s="38" t="n">
        <v>495009</v>
      </c>
      <c r="H72" s="38" t="n">
        <v>453694</v>
      </c>
      <c r="I72" s="38" t="n">
        <v>494310</v>
      </c>
      <c r="J72" s="19">
        <f>(I72-H72)/1000</f>
        <v/>
      </c>
      <c r="K72" s="16" t="inlineStr">
        <is>
          <t>Yes</t>
        </is>
      </c>
      <c r="L72" s="16" t="n">
        <v>12</v>
      </c>
      <c r="M72" s="39" t="inlineStr">
        <is>
          <t>BAJWA, RANOLI, LC-246, VASAD, ADAS ROAD, VADOD, LC-258, ANAND Jn, LC-264, KANJARI BORIYAVI, UTARSANDA</t>
        </is>
      </c>
    </row>
    <row r="73" ht="49" customHeight="1">
      <c r="A73" s="16" t="inlineStr">
        <is>
          <t>2 Jun</t>
        </is>
      </c>
      <c r="B73" s="16" t="inlineStr">
        <is>
          <t>37793</t>
        </is>
      </c>
      <c r="C73" s="16" t="n">
        <v>28</v>
      </c>
      <c r="D73" s="16" t="n">
        <v>28</v>
      </c>
      <c r="E73" s="16" t="n">
        <v>11</v>
      </c>
      <c r="F73" s="38" t="n">
        <v>382091</v>
      </c>
      <c r="G73" s="38" t="n">
        <v>439682</v>
      </c>
      <c r="H73" s="38" t="n">
        <v>401763</v>
      </c>
      <c r="I73" s="38" t="n">
        <v>439682</v>
      </c>
      <c r="J73" s="19">
        <f>(I73-H73)/1000</f>
        <v/>
      </c>
      <c r="K73" s="16" t="inlineStr">
        <is>
          <t>Yes</t>
        </is>
      </c>
      <c r="L73" s="16" t="n">
        <v>10</v>
      </c>
      <c r="M73" s="39" t="inlineStr">
        <is>
          <t>UTARSANDA, NADIAD, LC-278, GOTHAJ, LC-286, MAHEMDABAD AND KHEDA ROAD, LC-294, KANIJ, BAREJADI NANDEJ, GERATPUR, VATVA, KANKARIYA CABIN, AHMEDABAD Jn</t>
        </is>
      </c>
    </row>
    <row r="74" ht="49" customHeight="1">
      <c r="A74" s="16" t="inlineStr">
        <is>
          <t>2 Jun</t>
        </is>
      </c>
      <c r="B74" s="16" t="inlineStr">
        <is>
          <t>37217</t>
        </is>
      </c>
      <c r="C74" s="16" t="n">
        <v>4941</v>
      </c>
      <c r="D74" s="16" t="n">
        <v>4941</v>
      </c>
      <c r="E74" s="16" t="n">
        <v>2804</v>
      </c>
      <c r="F74" s="38" t="n">
        <v>267360</v>
      </c>
      <c r="G74" s="38" t="n">
        <v>437405</v>
      </c>
      <c r="H74" s="38" t="n">
        <v>400401</v>
      </c>
      <c r="I74" s="38" t="n">
        <v>437405</v>
      </c>
      <c r="J74" s="19">
        <f>(I74-H74)/1000</f>
        <v/>
      </c>
      <c r="K74" s="16" t="inlineStr">
        <is>
          <t>Yes</t>
        </is>
      </c>
      <c r="L74" s="16" t="n">
        <v>10</v>
      </c>
      <c r="M74" s="39" t="inlineStr">
        <is>
          <t>UTARSANDA, NADIAD, LC-278, GOTHAJ, LC-286, MAHEMDABAD AND KHEDA ROAD, LC-294, KANIJ, BAREJADI NANDEJ, GERATPUR, VATVA, KANKARIYA CABIN, AHMEDABAD Jn</t>
        </is>
      </c>
    </row>
    <row r="75" ht="49" customHeight="1">
      <c r="A75" s="16" t="inlineStr">
        <is>
          <t>2 Jun</t>
        </is>
      </c>
      <c r="B75" s="16" t="inlineStr">
        <is>
          <t>37885</t>
        </is>
      </c>
      <c r="C75" s="16" t="n">
        <v>1632</v>
      </c>
      <c r="D75" s="16" t="n">
        <v>1632</v>
      </c>
      <c r="E75" s="16" t="n">
        <v>682</v>
      </c>
      <c r="F75" s="38" t="n">
        <v>369927</v>
      </c>
      <c r="G75" s="38" t="n">
        <v>437362</v>
      </c>
      <c r="H75" s="38" t="n">
        <v>400441</v>
      </c>
      <c r="I75" s="38" t="n">
        <v>437362</v>
      </c>
      <c r="J75" s="19">
        <f>(I75-H75)/1000</f>
        <v/>
      </c>
      <c r="K75" s="16" t="inlineStr">
        <is>
          <t>Yes</t>
        </is>
      </c>
      <c r="L75" s="16" t="n">
        <v>10</v>
      </c>
      <c r="M75" s="39" t="inlineStr">
        <is>
          <t>UTARSANDA, NADIAD, LC-278, GOTHAJ, LC-286, MAHEMDABAD AND KHEDA ROAD, LC-294, KANIJ, BAREJADI NANDEJ, GERATPUR, VATVA, KANKARIYA CABIN, AHMEDABAD Jn</t>
        </is>
      </c>
    </row>
    <row r="76" ht="64" customHeight="1">
      <c r="A76" s="16" t="inlineStr">
        <is>
          <t>2 Jun</t>
        </is>
      </c>
      <c r="B76" s="16" t="inlineStr">
        <is>
          <t>30476</t>
        </is>
      </c>
      <c r="C76" s="16" t="n">
        <v>1252</v>
      </c>
      <c r="D76" s="16" t="n">
        <v>1252</v>
      </c>
      <c r="E76" s="16" t="n">
        <v>1021</v>
      </c>
      <c r="F76" s="38" t="n">
        <v>485795</v>
      </c>
      <c r="G76" s="38" t="n">
        <v>495779</v>
      </c>
      <c r="H76" s="38" t="n">
        <v>485795</v>
      </c>
      <c r="I76" s="38" t="n">
        <v>494305</v>
      </c>
      <c r="J76" s="19">
        <f>(I76-H76)/1000</f>
        <v/>
      </c>
      <c r="K76" s="16" t="inlineStr">
        <is>
          <t>Yes</t>
        </is>
      </c>
      <c r="L76" s="16" t="n">
        <v>3</v>
      </c>
      <c r="M76" s="39" t="inlineStr">
        <is>
          <t>BAJWA, RANOLI, LC-246, VASAD, ADAS ROAD, VADOD, LC-258, ANAND Jn, LC-264, KANJARI BORIYAVI, UTARSANDA, NADIAD, LC-278, GOTHAJ, LC-286, MAHEMDABAD AND KHEDA ROAD, LC-294, KANIJ, BAREJADI NANDEJ, GERATPUR</t>
        </is>
      </c>
    </row>
    <row r="77" ht="64" customHeight="1">
      <c r="A77" s="16" t="inlineStr">
        <is>
          <t>2 Jun</t>
        </is>
      </c>
      <c r="B77" s="16" t="inlineStr">
        <is>
          <t>30470</t>
        </is>
      </c>
      <c r="C77" s="16" t="n">
        <v>2335</v>
      </c>
      <c r="D77" s="16" t="n">
        <v>2335</v>
      </c>
      <c r="E77" s="16" t="n">
        <v>803</v>
      </c>
      <c r="F77" s="38" t="n">
        <v>293084</v>
      </c>
      <c r="G77" s="38" t="n">
        <v>406494</v>
      </c>
      <c r="H77" s="38" t="n">
        <v>400414</v>
      </c>
      <c r="I77" s="38" t="n">
        <v>406494</v>
      </c>
      <c r="J77" s="19">
        <f>(I77-H77)/1000</f>
        <v/>
      </c>
      <c r="K77" s="16" t="inlineStr">
        <is>
          <t>Yes</t>
        </is>
      </c>
      <c r="L77" s="16" t="n">
        <v>2</v>
      </c>
      <c r="M77" s="39" t="inlineStr">
        <is>
          <t>LC-246, VASAD, ADAS ROAD, VADOD, LC-258, ANAND Jn, LC-264, KANJARI BORIYAVI, UTARSANDA, NADIAD, LC-278, GOTHAJ, LC-286, MAHEMDABAD AND KHEDA ROAD, LC-294, KANIJ, BAREJADI NANDEJ, GERATPUR, VATVA, KANKARIYA CABIN, AHMEDABAD Jn</t>
        </is>
      </c>
    </row>
    <row r="78" ht="64" customHeight="1">
      <c r="A78" s="34" t="inlineStr">
        <is>
          <t>2 Jun</t>
        </is>
      </c>
      <c r="B78" s="34" t="inlineStr">
        <is>
          <t>30063</t>
        </is>
      </c>
      <c r="C78" s="34" t="n">
        <v>10</v>
      </c>
      <c r="D78" s="34" t="n">
        <v>0</v>
      </c>
      <c r="E78" s="34" t="n">
        <v>0</v>
      </c>
      <c r="F78" s="40" t="inlineStr">
        <is>
          <t>-</t>
        </is>
      </c>
      <c r="G78" s="40" t="inlineStr">
        <is>
          <t>-</t>
        </is>
      </c>
      <c r="H78" s="40" t="inlineStr">
        <is>
          <t>-</t>
        </is>
      </c>
      <c r="I78" s="40" t="inlineStr">
        <is>
          <t>-</t>
        </is>
      </c>
      <c r="J78" s="41" t="n">
        <v>0</v>
      </c>
      <c r="K78" s="34" t="inlineStr">
        <is>
          <t>No</t>
        </is>
      </c>
      <c r="L78" s="34" t="n">
        <v>0</v>
      </c>
      <c r="M7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79" ht="64" customHeight="1">
      <c r="A79" s="34" t="inlineStr">
        <is>
          <t>2 Jun</t>
        </is>
      </c>
      <c r="B79" s="34" t="inlineStr">
        <is>
          <t>30767</t>
        </is>
      </c>
      <c r="C79" s="34" t="n">
        <v>955</v>
      </c>
      <c r="D79" s="34" t="n">
        <v>955</v>
      </c>
      <c r="E79" s="34" t="n">
        <v>0</v>
      </c>
      <c r="F79" s="40" t="n">
        <v>284271</v>
      </c>
      <c r="G79" s="40" t="n">
        <v>395893</v>
      </c>
      <c r="H79" s="40" t="inlineStr">
        <is>
          <t>-</t>
        </is>
      </c>
      <c r="I79" s="40" t="inlineStr">
        <is>
          <t>-</t>
        </is>
      </c>
      <c r="J79" s="41" t="n">
        <v>0</v>
      </c>
      <c r="K79" s="34" t="inlineStr">
        <is>
          <t>No</t>
        </is>
      </c>
      <c r="L79" s="34" t="n">
        <v>0</v>
      </c>
      <c r="M7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0" ht="64" customHeight="1">
      <c r="A80" s="34" t="inlineStr">
        <is>
          <t>2 Jun</t>
        </is>
      </c>
      <c r="B80" s="34" t="inlineStr">
        <is>
          <t>34002</t>
        </is>
      </c>
      <c r="C80" s="34" t="n">
        <v>493</v>
      </c>
      <c r="D80" s="34" t="n">
        <v>381</v>
      </c>
      <c r="E80" s="34" t="n">
        <v>0</v>
      </c>
      <c r="F80" s="40" t="n">
        <v>2499994</v>
      </c>
      <c r="G80" s="40" t="n">
        <v>2500602</v>
      </c>
      <c r="H80" s="40" t="inlineStr">
        <is>
          <t>-</t>
        </is>
      </c>
      <c r="I80" s="40" t="inlineStr">
        <is>
          <t>-</t>
        </is>
      </c>
      <c r="J80" s="41" t="n">
        <v>0</v>
      </c>
      <c r="K80" s="34" t="inlineStr">
        <is>
          <t>No</t>
        </is>
      </c>
      <c r="L80" s="34" t="n">
        <v>0</v>
      </c>
      <c r="M8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1" ht="64" customHeight="1">
      <c r="A81" s="34" t="inlineStr">
        <is>
          <t>2 Jun</t>
        </is>
      </c>
      <c r="B81" s="34" t="inlineStr">
        <is>
          <t>37087</t>
        </is>
      </c>
      <c r="C81" s="34" t="n">
        <v>592</v>
      </c>
      <c r="D81" s="34" t="n">
        <v>592</v>
      </c>
      <c r="E81" s="34" t="n">
        <v>0</v>
      </c>
      <c r="F81" s="40" t="n">
        <v>360628</v>
      </c>
      <c r="G81" s="40" t="n">
        <v>395914</v>
      </c>
      <c r="H81" s="40" t="inlineStr">
        <is>
          <t>-</t>
        </is>
      </c>
      <c r="I81" s="40" t="inlineStr">
        <is>
          <t>-</t>
        </is>
      </c>
      <c r="J81" s="41" t="n">
        <v>0</v>
      </c>
      <c r="K81" s="34" t="inlineStr">
        <is>
          <t>No</t>
        </is>
      </c>
      <c r="L81" s="34" t="n">
        <v>0</v>
      </c>
      <c r="M8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2" ht="64" customHeight="1">
      <c r="A82" s="34" t="inlineStr">
        <is>
          <t>2 Jun</t>
        </is>
      </c>
      <c r="B82" s="34" t="inlineStr">
        <is>
          <t>37163</t>
        </is>
      </c>
      <c r="C82" s="34" t="n">
        <v>110</v>
      </c>
      <c r="D82" s="34" t="n">
        <v>110</v>
      </c>
      <c r="E82" s="34" t="n">
        <v>0</v>
      </c>
      <c r="F82" s="40" t="n">
        <v>620829</v>
      </c>
      <c r="G82" s="40" t="n">
        <v>674363</v>
      </c>
      <c r="H82" s="40" t="inlineStr">
        <is>
          <t>-</t>
        </is>
      </c>
      <c r="I82" s="40" t="inlineStr">
        <is>
          <t>-</t>
        </is>
      </c>
      <c r="J82" s="41" t="n">
        <v>0</v>
      </c>
      <c r="K82" s="34" t="inlineStr">
        <is>
          <t>No</t>
        </is>
      </c>
      <c r="L82" s="34" t="n">
        <v>0</v>
      </c>
      <c r="M8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3" ht="64" customHeight="1">
      <c r="A83" s="34" t="inlineStr">
        <is>
          <t>2 Jun</t>
        </is>
      </c>
      <c r="B83" s="34" t="inlineStr">
        <is>
          <t>39015</t>
        </is>
      </c>
      <c r="C83" s="34" t="n">
        <v>74</v>
      </c>
      <c r="D83" s="34" t="n">
        <v>74</v>
      </c>
      <c r="E83" s="34" t="n">
        <v>0</v>
      </c>
      <c r="F83" s="40" t="n">
        <v>237821</v>
      </c>
      <c r="G83" s="40" t="n">
        <v>266157</v>
      </c>
      <c r="H83" s="40" t="inlineStr">
        <is>
          <t>-</t>
        </is>
      </c>
      <c r="I83" s="40" t="inlineStr">
        <is>
          <t>-</t>
        </is>
      </c>
      <c r="J83" s="41" t="n">
        <v>0</v>
      </c>
      <c r="K83" s="34" t="inlineStr">
        <is>
          <t>No</t>
        </is>
      </c>
      <c r="L83" s="34" t="n">
        <v>0</v>
      </c>
      <c r="M8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4" ht="64" customHeight="1">
      <c r="A84" s="34" t="inlineStr">
        <is>
          <t>2 Jun</t>
        </is>
      </c>
      <c r="B84" s="34" t="inlineStr">
        <is>
          <t>39089</t>
        </is>
      </c>
      <c r="C84" s="34" t="n">
        <v>12</v>
      </c>
      <c r="D84" s="34" t="n">
        <v>0</v>
      </c>
      <c r="E84" s="34" t="n">
        <v>0</v>
      </c>
      <c r="F84" s="40" t="inlineStr">
        <is>
          <t>-</t>
        </is>
      </c>
      <c r="G84" s="40" t="inlineStr">
        <is>
          <t>-</t>
        </is>
      </c>
      <c r="H84" s="40" t="inlineStr">
        <is>
          <t>-</t>
        </is>
      </c>
      <c r="I84" s="40" t="inlineStr">
        <is>
          <t>-</t>
        </is>
      </c>
      <c r="J84" s="41" t="n">
        <v>0</v>
      </c>
      <c r="K84" s="34" t="inlineStr">
        <is>
          <t>No</t>
        </is>
      </c>
      <c r="L84" s="34" t="n">
        <v>0</v>
      </c>
      <c r="M8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5" ht="64" customHeight="1">
      <c r="A85" s="34" t="inlineStr">
        <is>
          <t>2 Jun</t>
        </is>
      </c>
      <c r="B85" s="34" t="inlineStr">
        <is>
          <t>39194</t>
        </is>
      </c>
      <c r="C85" s="34" t="n">
        <v>723</v>
      </c>
      <c r="D85" s="34" t="n">
        <v>723</v>
      </c>
      <c r="E85" s="34" t="n">
        <v>0</v>
      </c>
      <c r="F85" s="40" t="n">
        <v>293567</v>
      </c>
      <c r="G85" s="40" t="n">
        <v>395221</v>
      </c>
      <c r="H85" s="40" t="inlineStr">
        <is>
          <t>-</t>
        </is>
      </c>
      <c r="I85" s="40" t="inlineStr">
        <is>
          <t>-</t>
        </is>
      </c>
      <c r="J85" s="41" t="n">
        <v>0</v>
      </c>
      <c r="K85" s="34" t="inlineStr">
        <is>
          <t>No</t>
        </is>
      </c>
      <c r="L85" s="34" t="n">
        <v>0</v>
      </c>
      <c r="M8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6" ht="64" customHeight="1">
      <c r="A86" s="34" t="inlineStr">
        <is>
          <t>2 Jun</t>
        </is>
      </c>
      <c r="B86" s="34" t="inlineStr">
        <is>
          <t>39487</t>
        </is>
      </c>
      <c r="C86" s="34" t="n">
        <v>2</v>
      </c>
      <c r="D86" s="34" t="n">
        <v>2</v>
      </c>
      <c r="E86" s="34" t="n">
        <v>0</v>
      </c>
      <c r="F86" s="40" t="n">
        <v>528884</v>
      </c>
      <c r="G86" s="40" t="n">
        <v>529833</v>
      </c>
      <c r="H86" s="40" t="inlineStr">
        <is>
          <t>-</t>
        </is>
      </c>
      <c r="I86" s="40" t="inlineStr">
        <is>
          <t>-</t>
        </is>
      </c>
      <c r="J86" s="41" t="n">
        <v>0</v>
      </c>
      <c r="K86" s="34" t="inlineStr">
        <is>
          <t>No</t>
        </is>
      </c>
      <c r="L86" s="34" t="n">
        <v>0</v>
      </c>
      <c r="M8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7" ht="64" customHeight="1">
      <c r="A87" s="34" t="inlineStr">
        <is>
          <t>2 Jun</t>
        </is>
      </c>
      <c r="B87" s="34" t="inlineStr">
        <is>
          <t>41909</t>
        </is>
      </c>
      <c r="C87" s="34" t="n">
        <v>240</v>
      </c>
      <c r="D87" s="34" t="n">
        <v>5</v>
      </c>
      <c r="E87" s="34" t="n">
        <v>0</v>
      </c>
      <c r="F87" s="40" t="n">
        <v>2500113</v>
      </c>
      <c r="G87" s="40" t="n">
        <v>2500307</v>
      </c>
      <c r="H87" s="40" t="inlineStr">
        <is>
          <t>-</t>
        </is>
      </c>
      <c r="I87" s="40" t="inlineStr">
        <is>
          <t>-</t>
        </is>
      </c>
      <c r="J87" s="41" t="n">
        <v>0</v>
      </c>
      <c r="K87" s="34" t="inlineStr">
        <is>
          <t>No</t>
        </is>
      </c>
      <c r="L87" s="34" t="n">
        <v>0</v>
      </c>
      <c r="M8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8" ht="64" customHeight="1">
      <c r="A88" s="34" t="inlineStr">
        <is>
          <t>2 Jun</t>
        </is>
      </c>
      <c r="B88" s="34" t="inlineStr">
        <is>
          <t>43531</t>
        </is>
      </c>
      <c r="C88" s="34" t="n">
        <v>9</v>
      </c>
      <c r="D88" s="34" t="n">
        <v>0</v>
      </c>
      <c r="E88" s="34" t="n">
        <v>0</v>
      </c>
      <c r="F88" s="40" t="inlineStr">
        <is>
          <t>-</t>
        </is>
      </c>
      <c r="G88" s="40" t="inlineStr">
        <is>
          <t>-</t>
        </is>
      </c>
      <c r="H88" s="40" t="inlineStr">
        <is>
          <t>-</t>
        </is>
      </c>
      <c r="I88" s="40" t="inlineStr">
        <is>
          <t>-</t>
        </is>
      </c>
      <c r="J88" s="41" t="n">
        <v>0</v>
      </c>
      <c r="K88" s="34" t="inlineStr">
        <is>
          <t>No</t>
        </is>
      </c>
      <c r="L88" s="34" t="n">
        <v>0</v>
      </c>
      <c r="M8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9" ht="64" customHeight="1">
      <c r="A89" s="34" t="inlineStr">
        <is>
          <t>2 Jun</t>
        </is>
      </c>
      <c r="B89" s="34" t="inlineStr">
        <is>
          <t>43772</t>
        </is>
      </c>
      <c r="C89" s="34" t="n">
        <v>11</v>
      </c>
      <c r="D89" s="34" t="n">
        <v>0</v>
      </c>
      <c r="E89" s="34" t="n">
        <v>0</v>
      </c>
      <c r="F89" s="40" t="inlineStr">
        <is>
          <t>-</t>
        </is>
      </c>
      <c r="G89" s="40" t="inlineStr">
        <is>
          <t>-</t>
        </is>
      </c>
      <c r="H89" s="40" t="inlineStr">
        <is>
          <t>-</t>
        </is>
      </c>
      <c r="I89" s="40" t="inlineStr">
        <is>
          <t>-</t>
        </is>
      </c>
      <c r="J89" s="41" t="n">
        <v>0</v>
      </c>
      <c r="K89" s="34" t="inlineStr">
        <is>
          <t>No</t>
        </is>
      </c>
      <c r="L89" s="34" t="n">
        <v>0</v>
      </c>
      <c r="M8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0" ht="64" customHeight="1">
      <c r="A90" s="34" t="inlineStr">
        <is>
          <t>2 Jun</t>
        </is>
      </c>
      <c r="B90" s="34" t="inlineStr">
        <is>
          <t>51111</t>
        </is>
      </c>
      <c r="C90" s="34" t="n">
        <v>7484</v>
      </c>
      <c r="D90" s="34" t="n">
        <v>7459</v>
      </c>
      <c r="E90" s="34" t="n">
        <v>0</v>
      </c>
      <c r="F90" s="40" t="n">
        <v>527939</v>
      </c>
      <c r="G90" s="40" t="n">
        <v>533743</v>
      </c>
      <c r="H90" s="40" t="inlineStr">
        <is>
          <t>-</t>
        </is>
      </c>
      <c r="I90" s="40" t="inlineStr">
        <is>
          <t>-</t>
        </is>
      </c>
      <c r="J90" s="41" t="n">
        <v>0</v>
      </c>
      <c r="K90" s="34" t="inlineStr">
        <is>
          <t>No</t>
        </is>
      </c>
      <c r="L90" s="34" t="n">
        <v>0</v>
      </c>
      <c r="M9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1">
      <c r="A91" s="16" t="inlineStr">
        <is>
          <t>3 Jun</t>
        </is>
      </c>
      <c r="B91" s="16" t="inlineStr">
        <is>
          <t>37279</t>
        </is>
      </c>
      <c r="C91" s="16" t="n">
        <v>5260</v>
      </c>
      <c r="D91" s="16" t="n">
        <v>5260</v>
      </c>
      <c r="E91" s="16" t="n">
        <v>4821</v>
      </c>
      <c r="F91" s="38" t="n">
        <v>398296</v>
      </c>
      <c r="G91" s="38" t="n">
        <v>495779</v>
      </c>
      <c r="H91" s="38" t="n">
        <v>400399</v>
      </c>
      <c r="I91" s="38" t="n">
        <v>494304</v>
      </c>
      <c r="J91" s="19">
        <f>(I91-H91)/1000</f>
        <v/>
      </c>
      <c r="K91" s="16" t="inlineStr">
        <is>
          <t>Yes</t>
        </is>
      </c>
      <c r="L91" s="16" t="n">
        <v>23</v>
      </c>
      <c r="M91" s="39" t="inlineStr">
        <is>
          <t>- (full trip)</t>
        </is>
      </c>
    </row>
    <row r="92">
      <c r="A92" s="16" t="inlineStr">
        <is>
          <t>3 Jun</t>
        </is>
      </c>
      <c r="B92" s="16" t="inlineStr">
        <is>
          <t>37752</t>
        </is>
      </c>
      <c r="C92" s="16" t="n">
        <v>5955</v>
      </c>
      <c r="D92" s="16" t="n">
        <v>5955</v>
      </c>
      <c r="E92" s="16" t="n">
        <v>4818</v>
      </c>
      <c r="F92" s="38" t="n">
        <v>367838</v>
      </c>
      <c r="G92" s="38" t="n">
        <v>494894</v>
      </c>
      <c r="H92" s="38" t="n">
        <v>400403</v>
      </c>
      <c r="I92" s="38" t="n">
        <v>494312</v>
      </c>
      <c r="J92" s="19">
        <f>(I92-H92)/1000</f>
        <v/>
      </c>
      <c r="K92" s="16" t="inlineStr">
        <is>
          <t>Yes</t>
        </is>
      </c>
      <c r="L92" s="16" t="n">
        <v>23</v>
      </c>
      <c r="M92" s="39" t="inlineStr">
        <is>
          <t>- (full trip)</t>
        </is>
      </c>
    </row>
    <row r="93">
      <c r="A93" s="16" t="inlineStr">
        <is>
          <t>3 Jun</t>
        </is>
      </c>
      <c r="B93" s="16" t="inlineStr">
        <is>
          <t>39015</t>
        </is>
      </c>
      <c r="C93" s="16" t="n">
        <v>4745</v>
      </c>
      <c r="D93" s="16" t="n">
        <v>4745</v>
      </c>
      <c r="E93" s="16" t="n">
        <v>3748</v>
      </c>
      <c r="F93" s="38" t="n">
        <v>300807</v>
      </c>
      <c r="G93" s="38" t="n">
        <v>495773</v>
      </c>
      <c r="H93" s="38" t="n">
        <v>400402</v>
      </c>
      <c r="I93" s="38" t="n">
        <v>494312</v>
      </c>
      <c r="J93" s="19">
        <f>(I93-H93)/1000</f>
        <v/>
      </c>
      <c r="K93" s="16" t="inlineStr">
        <is>
          <t>Yes</t>
        </is>
      </c>
      <c r="L93" s="16" t="n">
        <v>23</v>
      </c>
      <c r="M93" s="39" t="inlineStr">
        <is>
          <t>- (full trip)</t>
        </is>
      </c>
    </row>
    <row r="94">
      <c r="A94" s="16" t="inlineStr">
        <is>
          <t>3 Jun</t>
        </is>
      </c>
      <c r="B94" s="16" t="inlineStr">
        <is>
          <t>39247</t>
        </is>
      </c>
      <c r="C94" s="16" t="n">
        <v>5750</v>
      </c>
      <c r="D94" s="16" t="n">
        <v>5645</v>
      </c>
      <c r="E94" s="16" t="n">
        <v>4652</v>
      </c>
      <c r="F94" s="38" t="n">
        <v>368164</v>
      </c>
      <c r="G94" s="38" t="n">
        <v>494963</v>
      </c>
      <c r="H94" s="38" t="n">
        <v>400400</v>
      </c>
      <c r="I94" s="38" t="n">
        <v>494310</v>
      </c>
      <c r="J94" s="19">
        <f>(I94-H94)/1000</f>
        <v/>
      </c>
      <c r="K94" s="16" t="inlineStr">
        <is>
          <t>Yes</t>
        </is>
      </c>
      <c r="L94" s="16" t="n">
        <v>23</v>
      </c>
      <c r="M94" s="39" t="inlineStr">
        <is>
          <t>- (full trip)</t>
        </is>
      </c>
    </row>
    <row r="95">
      <c r="A95" s="16" t="inlineStr">
        <is>
          <t>3 Jun</t>
        </is>
      </c>
      <c r="B95" s="16" t="inlineStr">
        <is>
          <t>42012</t>
        </is>
      </c>
      <c r="C95" s="16" t="n">
        <v>7079</v>
      </c>
      <c r="D95" s="16" t="n">
        <v>7079</v>
      </c>
      <c r="E95" s="16" t="n">
        <v>5176</v>
      </c>
      <c r="F95" s="38" t="n">
        <v>260631</v>
      </c>
      <c r="G95" s="38" t="n">
        <v>494968</v>
      </c>
      <c r="H95" s="38" t="n">
        <v>400407</v>
      </c>
      <c r="I95" s="38" t="n">
        <v>494312</v>
      </c>
      <c r="J95" s="19">
        <f>(I95-H95)/1000</f>
        <v/>
      </c>
      <c r="K95" s="16" t="inlineStr">
        <is>
          <t>Yes</t>
        </is>
      </c>
      <c r="L95" s="16" t="n">
        <v>23</v>
      </c>
      <c r="M95" s="39" t="inlineStr">
        <is>
          <t>- (full trip)</t>
        </is>
      </c>
    </row>
    <row r="96">
      <c r="A96" s="16" t="inlineStr">
        <is>
          <t>3 Jun</t>
        </is>
      </c>
      <c r="B96" s="16" t="inlineStr">
        <is>
          <t>30635</t>
        </is>
      </c>
      <c r="C96" s="16" t="n">
        <v>5778</v>
      </c>
      <c r="D96" s="16" t="n">
        <v>5778</v>
      </c>
      <c r="E96" s="16" t="n">
        <v>4550</v>
      </c>
      <c r="F96" s="38" t="n">
        <v>286290</v>
      </c>
      <c r="G96" s="38" t="n">
        <v>495804</v>
      </c>
      <c r="H96" s="38" t="n">
        <v>400412</v>
      </c>
      <c r="I96" s="38" t="n">
        <v>494309</v>
      </c>
      <c r="J96" s="19">
        <f>(I96-H96)/1000</f>
        <v/>
      </c>
      <c r="K96" s="16" t="inlineStr">
        <is>
          <t>Yes</t>
        </is>
      </c>
      <c r="L96" s="16" t="n">
        <v>23</v>
      </c>
      <c r="M96" s="39" t="inlineStr">
        <is>
          <t>- (full trip)</t>
        </is>
      </c>
    </row>
    <row r="97">
      <c r="A97" s="16" t="inlineStr">
        <is>
          <t>3 Jun</t>
        </is>
      </c>
      <c r="B97" s="16" t="inlineStr">
        <is>
          <t>37286</t>
        </is>
      </c>
      <c r="C97" s="16" t="n">
        <v>5671</v>
      </c>
      <c r="D97" s="16" t="n">
        <v>5671</v>
      </c>
      <c r="E97" s="16" t="n">
        <v>4680</v>
      </c>
      <c r="F97" s="38" t="n">
        <v>370019</v>
      </c>
      <c r="G97" s="38" t="n">
        <v>495011</v>
      </c>
      <c r="H97" s="38" t="n">
        <v>400408</v>
      </c>
      <c r="I97" s="38" t="n">
        <v>494312</v>
      </c>
      <c r="J97" s="19">
        <f>(I97-H97)/1000</f>
        <v/>
      </c>
      <c r="K97" s="16" t="inlineStr">
        <is>
          <t>Yes</t>
        </is>
      </c>
      <c r="L97" s="16" t="n">
        <v>23</v>
      </c>
      <c r="M97" s="39" t="inlineStr">
        <is>
          <t>- (full trip)</t>
        </is>
      </c>
    </row>
    <row r="98">
      <c r="A98" s="16" t="inlineStr">
        <is>
          <t>3 Jun</t>
        </is>
      </c>
      <c r="B98" s="16" t="inlineStr">
        <is>
          <t>30759</t>
        </is>
      </c>
      <c r="C98" s="16" t="n">
        <v>3866</v>
      </c>
      <c r="D98" s="16" t="n">
        <v>3866</v>
      </c>
      <c r="E98" s="16" t="n">
        <v>3199</v>
      </c>
      <c r="F98" s="38" t="n">
        <v>360559</v>
      </c>
      <c r="G98" s="38" t="n">
        <v>495476</v>
      </c>
      <c r="H98" s="38" t="n">
        <v>400420</v>
      </c>
      <c r="I98" s="38" t="n">
        <v>494310</v>
      </c>
      <c r="J98" s="19">
        <f>(I98-H98)/1000</f>
        <v/>
      </c>
      <c r="K98" s="16" t="inlineStr">
        <is>
          <t>Yes</t>
        </is>
      </c>
      <c r="L98" s="16" t="n">
        <v>23</v>
      </c>
      <c r="M98" s="39" t="inlineStr">
        <is>
          <t>- (full trip)</t>
        </is>
      </c>
    </row>
    <row r="99">
      <c r="A99" s="16" t="inlineStr">
        <is>
          <t>3 Jun</t>
        </is>
      </c>
      <c r="B99" s="16" t="inlineStr">
        <is>
          <t>39314</t>
        </is>
      </c>
      <c r="C99" s="16" t="n">
        <v>4301</v>
      </c>
      <c r="D99" s="16" t="n">
        <v>4301</v>
      </c>
      <c r="E99" s="16" t="n">
        <v>3871</v>
      </c>
      <c r="F99" s="38" t="n">
        <v>395497</v>
      </c>
      <c r="G99" s="38" t="n">
        <v>494976</v>
      </c>
      <c r="H99" s="38" t="n">
        <v>400415</v>
      </c>
      <c r="I99" s="38" t="n">
        <v>494310</v>
      </c>
      <c r="J99" s="19">
        <f>(I99-H99)/1000</f>
        <v/>
      </c>
      <c r="K99" s="16" t="inlineStr">
        <is>
          <t>Yes</t>
        </is>
      </c>
      <c r="L99" s="16" t="n">
        <v>23</v>
      </c>
      <c r="M99" s="39" t="inlineStr">
        <is>
          <t>- (full trip)</t>
        </is>
      </c>
    </row>
    <row r="100">
      <c r="A100" s="16" t="inlineStr">
        <is>
          <t>3 Jun</t>
        </is>
      </c>
      <c r="B100" s="16" t="inlineStr">
        <is>
          <t>39412</t>
        </is>
      </c>
      <c r="C100" s="16" t="n">
        <v>5620</v>
      </c>
      <c r="D100" s="16" t="n">
        <v>5584</v>
      </c>
      <c r="E100" s="16" t="n">
        <v>4209</v>
      </c>
      <c r="F100" s="38" t="n">
        <v>269255</v>
      </c>
      <c r="G100" s="38" t="n">
        <v>494988</v>
      </c>
      <c r="H100" s="38" t="n">
        <v>400418</v>
      </c>
      <c r="I100" s="38" t="n">
        <v>494310</v>
      </c>
      <c r="J100" s="19">
        <f>(I100-H100)/1000</f>
        <v/>
      </c>
      <c r="K100" s="16" t="inlineStr">
        <is>
          <t>Yes</t>
        </is>
      </c>
      <c r="L100" s="16" t="n">
        <v>23</v>
      </c>
      <c r="M100" s="39" t="inlineStr">
        <is>
          <t>- (full trip)</t>
        </is>
      </c>
    </row>
    <row r="101">
      <c r="A101" s="16" t="inlineStr">
        <is>
          <t>3 Jun</t>
        </is>
      </c>
      <c r="B101" s="16" t="inlineStr">
        <is>
          <t>30823</t>
        </is>
      </c>
      <c r="C101" s="16" t="n">
        <v>5078</v>
      </c>
      <c r="D101" s="16" t="n">
        <v>5078</v>
      </c>
      <c r="E101" s="16" t="n">
        <v>3973</v>
      </c>
      <c r="F101" s="38" t="n">
        <v>355838</v>
      </c>
      <c r="G101" s="38" t="n">
        <v>494951</v>
      </c>
      <c r="H101" s="38" t="n">
        <v>400443</v>
      </c>
      <c r="I101" s="38" t="n">
        <v>494310</v>
      </c>
      <c r="J101" s="19">
        <f>(I101-H101)/1000</f>
        <v/>
      </c>
      <c r="K101" s="16" t="inlineStr">
        <is>
          <t>Yes</t>
        </is>
      </c>
      <c r="L101" s="16" t="n">
        <v>23</v>
      </c>
      <c r="M101" s="39" t="inlineStr">
        <is>
          <t>- (full trip)</t>
        </is>
      </c>
    </row>
    <row r="102">
      <c r="A102" s="16" t="inlineStr">
        <is>
          <t>3 Jun</t>
        </is>
      </c>
      <c r="B102" s="16" t="inlineStr">
        <is>
          <t>37019</t>
        </is>
      </c>
      <c r="C102" s="16" t="n">
        <v>5973</v>
      </c>
      <c r="D102" s="16" t="n">
        <v>5973</v>
      </c>
      <c r="E102" s="16" t="n">
        <v>4519</v>
      </c>
      <c r="F102" s="38" t="n">
        <v>360814</v>
      </c>
      <c r="G102" s="38" t="n">
        <v>495807</v>
      </c>
      <c r="H102" s="38" t="n">
        <v>400444</v>
      </c>
      <c r="I102" s="38" t="n">
        <v>494312</v>
      </c>
      <c r="J102" s="19">
        <f>(I102-H102)/1000</f>
        <v/>
      </c>
      <c r="K102" s="16" t="inlineStr">
        <is>
          <t>Yes</t>
        </is>
      </c>
      <c r="L102" s="16" t="n">
        <v>23</v>
      </c>
      <c r="M102" s="39" t="inlineStr">
        <is>
          <t>- (full trip)</t>
        </is>
      </c>
    </row>
    <row r="103">
      <c r="A103" s="16" t="inlineStr">
        <is>
          <t>3 Jun</t>
        </is>
      </c>
      <c r="B103" s="16" t="inlineStr">
        <is>
          <t>37131</t>
        </is>
      </c>
      <c r="C103" s="16" t="n">
        <v>6515</v>
      </c>
      <c r="D103" s="16" t="n">
        <v>6515</v>
      </c>
      <c r="E103" s="16" t="n">
        <v>6278</v>
      </c>
      <c r="F103" s="38" t="n">
        <v>400991</v>
      </c>
      <c r="G103" s="38" t="n">
        <v>495794</v>
      </c>
      <c r="H103" s="38" t="n">
        <v>400991</v>
      </c>
      <c r="I103" s="38" t="n">
        <v>494311</v>
      </c>
      <c r="J103" s="19">
        <f>(I103-H103)/1000</f>
        <v/>
      </c>
      <c r="K103" s="16" t="inlineStr">
        <is>
          <t>Yes</t>
        </is>
      </c>
      <c r="L103" s="16" t="n">
        <v>23</v>
      </c>
      <c r="M103" s="39" t="inlineStr">
        <is>
          <t>- (full trip)</t>
        </is>
      </c>
    </row>
    <row r="104">
      <c r="A104" s="16" t="inlineStr">
        <is>
          <t>3 Jun</t>
        </is>
      </c>
      <c r="B104" s="16" t="inlineStr">
        <is>
          <t>37491</t>
        </is>
      </c>
      <c r="C104" s="16" t="n">
        <v>6623</v>
      </c>
      <c r="D104" s="16" t="n">
        <v>6623</v>
      </c>
      <c r="E104" s="16" t="n">
        <v>6330</v>
      </c>
      <c r="F104" s="38" t="n">
        <v>400994</v>
      </c>
      <c r="G104" s="38" t="n">
        <v>495823</v>
      </c>
      <c r="H104" s="38" t="n">
        <v>400994</v>
      </c>
      <c r="I104" s="38" t="n">
        <v>494312</v>
      </c>
      <c r="J104" s="19">
        <f>(I104-H104)/1000</f>
        <v/>
      </c>
      <c r="K104" s="16" t="inlineStr">
        <is>
          <t>Yes</t>
        </is>
      </c>
      <c r="L104" s="16" t="n">
        <v>23</v>
      </c>
      <c r="M104" s="39" t="inlineStr">
        <is>
          <t>- (full trip)</t>
        </is>
      </c>
    </row>
    <row r="105">
      <c r="A105" s="16" t="inlineStr">
        <is>
          <t>3 Jun</t>
        </is>
      </c>
      <c r="B105" s="16" t="inlineStr">
        <is>
          <t>30791</t>
        </is>
      </c>
      <c r="C105" s="16" t="n">
        <v>3331</v>
      </c>
      <c r="D105" s="16" t="n">
        <v>3331</v>
      </c>
      <c r="E105" s="16" t="n">
        <v>1487</v>
      </c>
      <c r="F105" s="38" t="n">
        <v>290679</v>
      </c>
      <c r="G105" s="38" t="n">
        <v>495929</v>
      </c>
      <c r="H105" s="38" t="n">
        <v>400487</v>
      </c>
      <c r="I105" s="38" t="n">
        <v>482536</v>
      </c>
      <c r="J105" s="19">
        <f>(I105-H105)/1000</f>
        <v/>
      </c>
      <c r="K105" s="16" t="inlineStr">
        <is>
          <t>Yes</t>
        </is>
      </c>
      <c r="L105" s="16" t="n">
        <v>20</v>
      </c>
      <c r="M105" s="39" t="inlineStr">
        <is>
          <t>VATVA, KANKARIYA CABIN, AHMEDABAD Jn</t>
        </is>
      </c>
    </row>
    <row r="106">
      <c r="A106" s="16" t="inlineStr">
        <is>
          <t>3 Jun</t>
        </is>
      </c>
      <c r="B106" s="16" t="inlineStr">
        <is>
          <t>37507</t>
        </is>
      </c>
      <c r="C106" s="16" t="n">
        <v>7245</v>
      </c>
      <c r="D106" s="16" t="n">
        <v>7245</v>
      </c>
      <c r="E106" s="16" t="n">
        <v>5546</v>
      </c>
      <c r="F106" s="38" t="n">
        <v>361521</v>
      </c>
      <c r="G106" s="38" t="n">
        <v>479429</v>
      </c>
      <c r="H106" s="38" t="n">
        <v>400401</v>
      </c>
      <c r="I106" s="38" t="n">
        <v>479429</v>
      </c>
      <c r="J106" s="19">
        <f>(I106-H106)/1000</f>
        <v/>
      </c>
      <c r="K106" s="16" t="inlineStr">
        <is>
          <t>Yes</t>
        </is>
      </c>
      <c r="L106" s="16" t="n">
        <v>19</v>
      </c>
      <c r="M106" s="39" t="inlineStr">
        <is>
          <t>GERATPUR, VATVA, KANKARIYA CABIN, AHMEDABAD Jn</t>
        </is>
      </c>
    </row>
    <row r="107" ht="34" customHeight="1">
      <c r="A107" s="16" t="inlineStr">
        <is>
          <t>3 Jun</t>
        </is>
      </c>
      <c r="B107" s="16" t="inlineStr">
        <is>
          <t>30474</t>
        </is>
      </c>
      <c r="C107" s="16" t="n">
        <v>4601</v>
      </c>
      <c r="D107" s="16" t="n">
        <v>4601</v>
      </c>
      <c r="E107" s="16" t="n">
        <v>4593</v>
      </c>
      <c r="F107" s="38" t="n">
        <v>400992</v>
      </c>
      <c r="G107" s="38" t="n">
        <v>529090</v>
      </c>
      <c r="H107" s="38" t="n">
        <v>400992</v>
      </c>
      <c r="I107" s="38" t="n">
        <v>475408</v>
      </c>
      <c r="J107" s="19">
        <f>(I107-H107)/1000</f>
        <v/>
      </c>
      <c r="K107" s="16" t="inlineStr">
        <is>
          <t>Yes</t>
        </is>
      </c>
      <c r="L107" s="16" t="n">
        <v>18</v>
      </c>
      <c r="M107" s="39" t="inlineStr">
        <is>
          <t>BAREJADI NANDEJ, GERATPUR, VATVA, KANKARIYA CABIN, AHMEDABAD Jn</t>
        </is>
      </c>
    </row>
    <row r="108">
      <c r="A108" s="16" t="inlineStr">
        <is>
          <t>3 Jun</t>
        </is>
      </c>
      <c r="B108" s="16" t="inlineStr">
        <is>
          <t>39131</t>
        </is>
      </c>
      <c r="C108" s="16" t="n">
        <v>3893</v>
      </c>
      <c r="D108" s="16" t="n">
        <v>3893</v>
      </c>
      <c r="E108" s="16" t="n">
        <v>3619</v>
      </c>
      <c r="F108" s="38" t="n">
        <v>420247</v>
      </c>
      <c r="G108" s="38" t="n">
        <v>495778</v>
      </c>
      <c r="H108" s="38" t="n">
        <v>420247</v>
      </c>
      <c r="I108" s="38" t="n">
        <v>494312</v>
      </c>
      <c r="J108" s="19">
        <f>(I108-H108)/1000</f>
        <v/>
      </c>
      <c r="K108" s="16" t="inlineStr">
        <is>
          <t>Yes</t>
        </is>
      </c>
      <c r="L108" s="16" t="n">
        <v>19</v>
      </c>
      <c r="M108" s="39" t="inlineStr">
        <is>
          <t>BAJWA, RANOLI, LC-246, VASAD</t>
        </is>
      </c>
    </row>
    <row r="109" ht="34" customHeight="1">
      <c r="A109" s="16" t="inlineStr">
        <is>
          <t>3 Jun</t>
        </is>
      </c>
      <c r="B109" s="16" t="inlineStr">
        <is>
          <t>37291</t>
        </is>
      </c>
      <c r="C109" s="16" t="n">
        <v>320</v>
      </c>
      <c r="D109" s="16" t="n">
        <v>320</v>
      </c>
      <c r="E109" s="16" t="n">
        <v>301</v>
      </c>
      <c r="F109" s="38" t="n">
        <v>427323</v>
      </c>
      <c r="G109" s="38" t="n">
        <v>531474</v>
      </c>
      <c r="H109" s="38" t="n">
        <v>427323</v>
      </c>
      <c r="I109" s="38" t="n">
        <v>480379</v>
      </c>
      <c r="J109" s="19">
        <f>(I109-H109)/1000</f>
        <v/>
      </c>
      <c r="K109" s="16" t="inlineStr">
        <is>
          <t>Yes</t>
        </is>
      </c>
      <c r="L109" s="16" t="n">
        <v>15</v>
      </c>
      <c r="M109" s="39" t="inlineStr">
        <is>
          <t>BAJWA, RANOLI, LC-246, VASAD, ADAS ROAD, VATVA, KANKARIYA CABIN, AHMEDABAD Jn</t>
        </is>
      </c>
    </row>
    <row r="110" ht="49" customHeight="1">
      <c r="A110" s="16" t="inlineStr">
        <is>
          <t>3 Jun</t>
        </is>
      </c>
      <c r="B110" s="16" t="inlineStr">
        <is>
          <t>39328</t>
        </is>
      </c>
      <c r="C110" s="16" t="n">
        <v>1382</v>
      </c>
      <c r="D110" s="16" t="n">
        <v>1382</v>
      </c>
      <c r="E110" s="16" t="n">
        <v>880</v>
      </c>
      <c r="F110" s="38" t="n">
        <v>395928</v>
      </c>
      <c r="G110" s="38" t="n">
        <v>531461</v>
      </c>
      <c r="H110" s="38" t="n">
        <v>400406</v>
      </c>
      <c r="I110" s="38" t="n">
        <v>453343</v>
      </c>
      <c r="J110" s="19">
        <f>(I110-H110)/1000</f>
        <v/>
      </c>
      <c r="K110" s="16" t="inlineStr">
        <is>
          <t>Yes</t>
        </is>
      </c>
      <c r="L110" s="16" t="n">
        <v>12</v>
      </c>
      <c r="M110" s="39" t="inlineStr">
        <is>
          <t>LC-278, GOTHAJ, LC-286, MAHEMDABAD AND KHEDA ROAD, LC-294, KANIJ, BAREJADI NANDEJ, GERATPUR, VATVA, KANKARIYA CABIN, AHMEDABAD Jn</t>
        </is>
      </c>
    </row>
    <row r="111" ht="49" customHeight="1">
      <c r="A111" s="16" t="inlineStr">
        <is>
          <t>3 Jun</t>
        </is>
      </c>
      <c r="B111" s="16" t="inlineStr">
        <is>
          <t>37164</t>
        </is>
      </c>
      <c r="C111" s="16" t="n">
        <v>4023</v>
      </c>
      <c r="D111" s="16" t="n">
        <v>4023</v>
      </c>
      <c r="E111" s="16" t="n">
        <v>4023</v>
      </c>
      <c r="F111" s="38" t="n">
        <v>400991</v>
      </c>
      <c r="G111" s="38" t="n">
        <v>453677</v>
      </c>
      <c r="H111" s="38" t="n">
        <v>400991</v>
      </c>
      <c r="I111" s="38" t="n">
        <v>453677</v>
      </c>
      <c r="J111" s="19">
        <f>(I111-H111)/1000</f>
        <v/>
      </c>
      <c r="K111" s="16" t="inlineStr">
        <is>
          <t>Yes</t>
        </is>
      </c>
      <c r="L111" s="16" t="n">
        <v>13</v>
      </c>
      <c r="M111" s="39" t="inlineStr">
        <is>
          <t>GOTHAJ, LC-286, MAHEMDABAD AND KHEDA ROAD, LC-294, KANIJ, BAREJADI NANDEJ, GERATPUR, VATVA, KANKARIYA CABIN, AHMEDABAD Jn</t>
        </is>
      </c>
    </row>
    <row r="112" ht="49" customHeight="1">
      <c r="A112" s="16" t="inlineStr">
        <is>
          <t>3 Jun</t>
        </is>
      </c>
      <c r="B112" s="16" t="inlineStr">
        <is>
          <t>30484</t>
        </is>
      </c>
      <c r="C112" s="16" t="n">
        <v>1490</v>
      </c>
      <c r="D112" s="16" t="n">
        <v>1490</v>
      </c>
      <c r="E112" s="16" t="n">
        <v>692</v>
      </c>
      <c r="F112" s="38" t="n">
        <v>374982</v>
      </c>
      <c r="G112" s="38" t="n">
        <v>441442</v>
      </c>
      <c r="H112" s="38" t="n">
        <v>400404</v>
      </c>
      <c r="I112" s="38" t="n">
        <v>441442</v>
      </c>
      <c r="J112" s="19">
        <f>(I112-H112)/1000</f>
        <v/>
      </c>
      <c r="K112" s="16" t="inlineStr">
        <is>
          <t>Yes</t>
        </is>
      </c>
      <c r="L112" s="16" t="n">
        <v>11</v>
      </c>
      <c r="M112" s="39" t="inlineStr">
        <is>
          <t>NADIAD, LC-278, GOTHAJ, LC-286, MAHEMDABAD AND KHEDA ROAD, LC-294, KANIJ, BAREJADI NANDEJ, GERATPUR, VATVA, KANKARIYA CABIN, AHMEDABAD Jn</t>
        </is>
      </c>
    </row>
    <row r="113" ht="49" customHeight="1">
      <c r="A113" s="16" t="inlineStr">
        <is>
          <t>3 Jun</t>
        </is>
      </c>
      <c r="B113" s="16" t="inlineStr">
        <is>
          <t>37816</t>
        </is>
      </c>
      <c r="C113" s="16" t="n">
        <v>3356</v>
      </c>
      <c r="D113" s="16" t="n">
        <v>3356</v>
      </c>
      <c r="E113" s="16" t="n">
        <v>672</v>
      </c>
      <c r="F113" s="38" t="n">
        <v>116340</v>
      </c>
      <c r="G113" s="38" t="n">
        <v>441454</v>
      </c>
      <c r="H113" s="38" t="n">
        <v>400531</v>
      </c>
      <c r="I113" s="38" t="n">
        <v>441454</v>
      </c>
      <c r="J113" s="19">
        <f>(I113-H113)/1000</f>
        <v/>
      </c>
      <c r="K113" s="16" t="inlineStr">
        <is>
          <t>Yes</t>
        </is>
      </c>
      <c r="L113" s="16" t="n">
        <v>11</v>
      </c>
      <c r="M113" s="39" t="inlineStr">
        <is>
          <t>NADIAD, LC-278, GOTHAJ, LC-286, MAHEMDABAD AND KHEDA ROAD, LC-294, KANIJ, BAREJADI NANDEJ, GERATPUR, VATVA, KANKARIYA CABIN, AHMEDABAD Jn</t>
        </is>
      </c>
    </row>
    <row r="114" ht="49" customHeight="1">
      <c r="A114" s="16" t="inlineStr">
        <is>
          <t>3 Jun</t>
        </is>
      </c>
      <c r="B114" s="16" t="inlineStr">
        <is>
          <t>37383</t>
        </is>
      </c>
      <c r="C114" s="16" t="n">
        <v>5198</v>
      </c>
      <c r="D114" s="16" t="n">
        <v>5198</v>
      </c>
      <c r="E114" s="16" t="n">
        <v>2282</v>
      </c>
      <c r="F114" s="38" t="n">
        <v>359659</v>
      </c>
      <c r="G114" s="38" t="n">
        <v>440849</v>
      </c>
      <c r="H114" s="38" t="n">
        <v>400414</v>
      </c>
      <c r="I114" s="38" t="n">
        <v>440849</v>
      </c>
      <c r="J114" s="19">
        <f>(I114-H114)/1000</f>
        <v/>
      </c>
      <c r="K114" s="16" t="inlineStr">
        <is>
          <t>Yes</t>
        </is>
      </c>
      <c r="L114" s="16" t="n">
        <v>10</v>
      </c>
      <c r="M114" s="39" t="inlineStr">
        <is>
          <t>UTARSANDA, NADIAD, LC-278, GOTHAJ, LC-286, MAHEMDABAD AND KHEDA ROAD, LC-294, KANIJ, BAREJADI NANDEJ, GERATPUR, VATVA, KANKARIYA CABIN, AHMEDABAD Jn</t>
        </is>
      </c>
    </row>
    <row r="115" ht="49" customHeight="1">
      <c r="A115" s="16" t="inlineStr">
        <is>
          <t>3 Jun</t>
        </is>
      </c>
      <c r="B115" s="16" t="inlineStr">
        <is>
          <t>37163</t>
        </is>
      </c>
      <c r="C115" s="16" t="n">
        <v>1361</v>
      </c>
      <c r="D115" s="16" t="n">
        <v>1361</v>
      </c>
      <c r="E115" s="16" t="n">
        <v>640</v>
      </c>
      <c r="F115" s="38" t="n">
        <v>361620</v>
      </c>
      <c r="G115" s="38" t="n">
        <v>438923</v>
      </c>
      <c r="H115" s="38" t="n">
        <v>400402</v>
      </c>
      <c r="I115" s="38" t="n">
        <v>438923</v>
      </c>
      <c r="J115" s="19">
        <f>(I115-H115)/1000</f>
        <v/>
      </c>
      <c r="K115" s="16" t="inlineStr">
        <is>
          <t>Yes</t>
        </is>
      </c>
      <c r="L115" s="16" t="n">
        <v>10</v>
      </c>
      <c r="M115" s="39" t="inlineStr">
        <is>
          <t>UTARSANDA, NADIAD, LC-278, GOTHAJ, LC-286, MAHEMDABAD AND KHEDA ROAD, LC-294, KANIJ, BAREJADI NANDEJ, GERATPUR, VATVA, KANKARIYA CABIN, AHMEDABAD Jn</t>
        </is>
      </c>
    </row>
    <row r="116" ht="49" customHeight="1">
      <c r="A116" s="16" t="inlineStr">
        <is>
          <t>3 Jun</t>
        </is>
      </c>
      <c r="B116" s="16" t="inlineStr">
        <is>
          <t>30821</t>
        </is>
      </c>
      <c r="C116" s="16" t="n">
        <v>1958</v>
      </c>
      <c r="D116" s="16" t="n">
        <v>1958</v>
      </c>
      <c r="E116" s="16" t="n">
        <v>863</v>
      </c>
      <c r="F116" s="38" t="n">
        <v>361470</v>
      </c>
      <c r="G116" s="38" t="n">
        <v>437412</v>
      </c>
      <c r="H116" s="38" t="n">
        <v>400413</v>
      </c>
      <c r="I116" s="38" t="n">
        <v>437412</v>
      </c>
      <c r="J116" s="19">
        <f>(I116-H116)/1000</f>
        <v/>
      </c>
      <c r="K116" s="16" t="inlineStr">
        <is>
          <t>Yes</t>
        </is>
      </c>
      <c r="L116" s="16" t="n">
        <v>10</v>
      </c>
      <c r="M116" s="39" t="inlineStr">
        <is>
          <t>UTARSANDA, NADIAD, LC-278, GOTHAJ, LC-286, MAHEMDABAD AND KHEDA ROAD, LC-294, KANIJ, BAREJADI NANDEJ, GERATPUR, VATVA, KANKARIYA CABIN, AHMEDABAD Jn</t>
        </is>
      </c>
    </row>
    <row r="117" ht="49" customHeight="1">
      <c r="A117" s="16" t="inlineStr">
        <is>
          <t>3 Jun</t>
        </is>
      </c>
      <c r="B117" s="16" t="inlineStr">
        <is>
          <t>30822</t>
        </is>
      </c>
      <c r="C117" s="16" t="n">
        <v>1880</v>
      </c>
      <c r="D117" s="16" t="n">
        <v>1880</v>
      </c>
      <c r="E117" s="16" t="n">
        <v>958</v>
      </c>
      <c r="F117" s="38" t="n">
        <v>370124</v>
      </c>
      <c r="G117" s="38" t="n">
        <v>434734</v>
      </c>
      <c r="H117" s="38" t="n">
        <v>400401</v>
      </c>
      <c r="I117" s="38" t="n">
        <v>434734</v>
      </c>
      <c r="J117" s="19">
        <f>(I117-H117)/1000</f>
        <v/>
      </c>
      <c r="K117" s="16" t="inlineStr">
        <is>
          <t>Yes</t>
        </is>
      </c>
      <c r="L117" s="16" t="n">
        <v>9</v>
      </c>
      <c r="M117" s="39" t="inlineStr">
        <is>
          <t>KANJARI BORIYAVI, UTARSANDA, NADIAD, LC-278, GOTHAJ, LC-286, MAHEMDABAD AND KHEDA ROAD, LC-294, KANIJ, BAREJADI NANDEJ, GERATPUR, VATVA, KANKARIYA CABIN, AHMEDABAD Jn</t>
        </is>
      </c>
    </row>
    <row r="118" ht="64" customHeight="1">
      <c r="A118" s="34" t="inlineStr">
        <is>
          <t>3 Jun</t>
        </is>
      </c>
      <c r="B118" s="34" t="inlineStr">
        <is>
          <t>30767</t>
        </is>
      </c>
      <c r="C118" s="34" t="n">
        <v>453</v>
      </c>
      <c r="D118" s="34" t="n">
        <v>453</v>
      </c>
      <c r="E118" s="34" t="n">
        <v>0</v>
      </c>
      <c r="F118" s="40" t="n">
        <v>360704</v>
      </c>
      <c r="G118" s="40" t="n">
        <v>395899</v>
      </c>
      <c r="H118" s="40" t="inlineStr">
        <is>
          <t>-</t>
        </is>
      </c>
      <c r="I118" s="40" t="inlineStr">
        <is>
          <t>-</t>
        </is>
      </c>
      <c r="J118" s="41" t="n">
        <v>0</v>
      </c>
      <c r="K118" s="34" t="inlineStr">
        <is>
          <t>No</t>
        </is>
      </c>
      <c r="L118" s="34" t="n">
        <v>0</v>
      </c>
      <c r="M11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9" ht="64" customHeight="1">
      <c r="A119" s="34" t="inlineStr">
        <is>
          <t>3 Jun</t>
        </is>
      </c>
      <c r="B119" s="34" t="inlineStr">
        <is>
          <t>33650</t>
        </is>
      </c>
      <c r="C119" s="34" t="n">
        <v>15</v>
      </c>
      <c r="D119" s="34" t="n">
        <v>0</v>
      </c>
      <c r="E119" s="34" t="n">
        <v>0</v>
      </c>
      <c r="F119" s="40" t="inlineStr">
        <is>
          <t>-</t>
        </is>
      </c>
      <c r="G119" s="40" t="inlineStr">
        <is>
          <t>-</t>
        </is>
      </c>
      <c r="H119" s="40" t="inlineStr">
        <is>
          <t>-</t>
        </is>
      </c>
      <c r="I119" s="40" t="inlineStr">
        <is>
          <t>-</t>
        </is>
      </c>
      <c r="J119" s="41" t="n">
        <v>0</v>
      </c>
      <c r="K119" s="34" t="inlineStr">
        <is>
          <t>No</t>
        </is>
      </c>
      <c r="L119" s="34" t="n">
        <v>0</v>
      </c>
      <c r="M11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20" ht="64" customHeight="1">
      <c r="A120" s="34" t="inlineStr">
        <is>
          <t>3 Jun</t>
        </is>
      </c>
      <c r="B120" s="34" t="inlineStr">
        <is>
          <t>33678</t>
        </is>
      </c>
      <c r="C120" s="34" t="n">
        <v>6</v>
      </c>
      <c r="D120" s="34" t="n">
        <v>0</v>
      </c>
      <c r="E120" s="34" t="n">
        <v>0</v>
      </c>
      <c r="F120" s="40" t="inlineStr">
        <is>
          <t>-</t>
        </is>
      </c>
      <c r="G120" s="40" t="inlineStr">
        <is>
          <t>-</t>
        </is>
      </c>
      <c r="H120" s="40" t="inlineStr">
        <is>
          <t>-</t>
        </is>
      </c>
      <c r="I120" s="40" t="inlineStr">
        <is>
          <t>-</t>
        </is>
      </c>
      <c r="J120" s="41" t="n">
        <v>0</v>
      </c>
      <c r="K120" s="34" t="inlineStr">
        <is>
          <t>No</t>
        </is>
      </c>
      <c r="L120" s="34" t="n">
        <v>0</v>
      </c>
      <c r="M12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21" ht="64" customHeight="1">
      <c r="A121" s="34" t="inlineStr">
        <is>
          <t>3 Jun</t>
        </is>
      </c>
      <c r="B121" s="34" t="inlineStr">
        <is>
          <t>37275</t>
        </is>
      </c>
      <c r="C121" s="34" t="n">
        <v>1</v>
      </c>
      <c r="D121" s="34" t="n">
        <v>0</v>
      </c>
      <c r="E121" s="34" t="n">
        <v>0</v>
      </c>
      <c r="F121" s="40" t="inlineStr">
        <is>
          <t>-</t>
        </is>
      </c>
      <c r="G121" s="40" t="inlineStr">
        <is>
          <t>-</t>
        </is>
      </c>
      <c r="H121" s="40" t="inlineStr">
        <is>
          <t>-</t>
        </is>
      </c>
      <c r="I121" s="40" t="inlineStr">
        <is>
          <t>-</t>
        </is>
      </c>
      <c r="J121" s="41" t="n">
        <v>0</v>
      </c>
      <c r="K121" s="34" t="inlineStr">
        <is>
          <t>No</t>
        </is>
      </c>
      <c r="L121" s="34" t="n">
        <v>0</v>
      </c>
      <c r="M12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22" ht="64" customHeight="1">
      <c r="A122" s="34" t="inlineStr">
        <is>
          <t>3 Jun</t>
        </is>
      </c>
      <c r="B122" s="34" t="inlineStr">
        <is>
          <t>37656</t>
        </is>
      </c>
      <c r="C122" s="34" t="n">
        <v>439</v>
      </c>
      <c r="D122" s="34" t="n">
        <v>439</v>
      </c>
      <c r="E122" s="34" t="n">
        <v>0</v>
      </c>
      <c r="F122" s="40" t="n">
        <v>360702</v>
      </c>
      <c r="G122" s="40" t="n">
        <v>395931</v>
      </c>
      <c r="H122" s="40" t="inlineStr">
        <is>
          <t>-</t>
        </is>
      </c>
      <c r="I122" s="40" t="inlineStr">
        <is>
          <t>-</t>
        </is>
      </c>
      <c r="J122" s="41" t="n">
        <v>0</v>
      </c>
      <c r="K122" s="34" t="inlineStr">
        <is>
          <t>No</t>
        </is>
      </c>
      <c r="L122" s="34" t="n">
        <v>0</v>
      </c>
      <c r="M12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23" ht="64" customHeight="1">
      <c r="A123" s="34" t="inlineStr">
        <is>
          <t>3 Jun</t>
        </is>
      </c>
      <c r="B123" s="34" t="inlineStr">
        <is>
          <t>37934</t>
        </is>
      </c>
      <c r="C123" s="34" t="n">
        <v>107</v>
      </c>
      <c r="D123" s="34" t="n">
        <v>107</v>
      </c>
      <c r="E123" s="34" t="n">
        <v>0</v>
      </c>
      <c r="F123" s="40" t="n">
        <v>495500</v>
      </c>
      <c r="G123" s="40" t="n">
        <v>529947</v>
      </c>
      <c r="H123" s="40" t="inlineStr">
        <is>
          <t>-</t>
        </is>
      </c>
      <c r="I123" s="40" t="inlineStr">
        <is>
          <t>-</t>
        </is>
      </c>
      <c r="J123" s="41" t="n">
        <v>0</v>
      </c>
      <c r="K123" s="34" t="inlineStr">
        <is>
          <t>No</t>
        </is>
      </c>
      <c r="L123" s="34" t="n">
        <v>0</v>
      </c>
      <c r="M12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24" ht="64" customHeight="1">
      <c r="A124" s="34" t="inlineStr">
        <is>
          <t>3 Jun</t>
        </is>
      </c>
      <c r="B124" s="34" t="inlineStr">
        <is>
          <t>43698</t>
        </is>
      </c>
      <c r="C124" s="34" t="n">
        <v>88</v>
      </c>
      <c r="D124" s="34" t="n">
        <v>64</v>
      </c>
      <c r="E124" s="34" t="n">
        <v>0</v>
      </c>
      <c r="F124" s="40" t="n">
        <v>2499974</v>
      </c>
      <c r="G124" s="40" t="n">
        <v>2500625</v>
      </c>
      <c r="H124" s="40" t="inlineStr">
        <is>
          <t>-</t>
        </is>
      </c>
      <c r="I124" s="40" t="inlineStr">
        <is>
          <t>-</t>
        </is>
      </c>
      <c r="J124" s="41" t="n">
        <v>0</v>
      </c>
      <c r="K124" s="34" t="inlineStr">
        <is>
          <t>No</t>
        </is>
      </c>
      <c r="L124" s="34" t="n">
        <v>0</v>
      </c>
      <c r="M12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25" ht="64" customHeight="1">
      <c r="A125" s="34" t="inlineStr">
        <is>
          <t>3 Jun</t>
        </is>
      </c>
      <c r="B125" s="34" t="inlineStr">
        <is>
          <t>51111</t>
        </is>
      </c>
      <c r="C125" s="34" t="n">
        <v>11389</v>
      </c>
      <c r="D125" s="34" t="n">
        <v>11348</v>
      </c>
      <c r="E125" s="34" t="n">
        <v>0</v>
      </c>
      <c r="F125" s="40" t="n">
        <v>523862</v>
      </c>
      <c r="G125" s="40" t="n">
        <v>774911</v>
      </c>
      <c r="H125" s="40" t="inlineStr">
        <is>
          <t>-</t>
        </is>
      </c>
      <c r="I125" s="40" t="inlineStr">
        <is>
          <t>-</t>
        </is>
      </c>
      <c r="J125" s="41" t="n">
        <v>0</v>
      </c>
      <c r="K125" s="34" t="inlineStr">
        <is>
          <t>No</t>
        </is>
      </c>
      <c r="L125" s="34" t="n">
        <v>0</v>
      </c>
      <c r="M12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26">
      <c r="A126" s="16" t="inlineStr">
        <is>
          <t>4 Jun</t>
        </is>
      </c>
      <c r="B126" s="16" t="inlineStr">
        <is>
          <t>30814</t>
        </is>
      </c>
      <c r="C126" s="16" t="n">
        <v>6038</v>
      </c>
      <c r="D126" s="16" t="n">
        <v>6038</v>
      </c>
      <c r="E126" s="16" t="n">
        <v>5168</v>
      </c>
      <c r="F126" s="38" t="n">
        <v>368138</v>
      </c>
      <c r="G126" s="38" t="n">
        <v>494967</v>
      </c>
      <c r="H126" s="38" t="n">
        <v>400405</v>
      </c>
      <c r="I126" s="38" t="n">
        <v>494310</v>
      </c>
      <c r="J126" s="19">
        <f>(I126-H126)/1000</f>
        <v/>
      </c>
      <c r="K126" s="16" t="inlineStr">
        <is>
          <t>Yes</t>
        </is>
      </c>
      <c r="L126" s="16" t="n">
        <v>23</v>
      </c>
      <c r="M126" s="39" t="inlineStr">
        <is>
          <t>- (full trip)</t>
        </is>
      </c>
    </row>
    <row r="127">
      <c r="A127" s="16" t="inlineStr">
        <is>
          <t>4 Jun</t>
        </is>
      </c>
      <c r="B127" s="16" t="inlineStr">
        <is>
          <t>37566</t>
        </is>
      </c>
      <c r="C127" s="16" t="n">
        <v>5587</v>
      </c>
      <c r="D127" s="16" t="n">
        <v>5587</v>
      </c>
      <c r="E127" s="16" t="n">
        <v>4509</v>
      </c>
      <c r="F127" s="38" t="n">
        <v>367650</v>
      </c>
      <c r="G127" s="38" t="n">
        <v>495007</v>
      </c>
      <c r="H127" s="38" t="n">
        <v>400405</v>
      </c>
      <c r="I127" s="38" t="n">
        <v>494312</v>
      </c>
      <c r="J127" s="19">
        <f>(I127-H127)/1000</f>
        <v/>
      </c>
      <c r="K127" s="16" t="inlineStr">
        <is>
          <t>Yes</t>
        </is>
      </c>
      <c r="L127" s="16" t="n">
        <v>23</v>
      </c>
      <c r="M127" s="39" t="inlineStr">
        <is>
          <t>- (full trip)</t>
        </is>
      </c>
    </row>
    <row r="128">
      <c r="A128" s="16" t="inlineStr">
        <is>
          <t>4 Jun</t>
        </is>
      </c>
      <c r="B128" s="16" t="inlineStr">
        <is>
          <t>37956</t>
        </is>
      </c>
      <c r="C128" s="16" t="n">
        <v>5104</v>
      </c>
      <c r="D128" s="16" t="n">
        <v>5104</v>
      </c>
      <c r="E128" s="16" t="n">
        <v>4125</v>
      </c>
      <c r="F128" s="38" t="n">
        <v>370082</v>
      </c>
      <c r="G128" s="38" t="n">
        <v>494966</v>
      </c>
      <c r="H128" s="38" t="n">
        <v>400404</v>
      </c>
      <c r="I128" s="38" t="n">
        <v>494310</v>
      </c>
      <c r="J128" s="19">
        <f>(I128-H128)/1000</f>
        <v/>
      </c>
      <c r="K128" s="16" t="inlineStr">
        <is>
          <t>Yes</t>
        </is>
      </c>
      <c r="L128" s="16" t="n">
        <v>23</v>
      </c>
      <c r="M128" s="39" t="inlineStr">
        <is>
          <t>- (full trip)</t>
        </is>
      </c>
    </row>
    <row r="129">
      <c r="A129" s="16" t="inlineStr">
        <is>
          <t>4 Jun</t>
        </is>
      </c>
      <c r="B129" s="16" t="inlineStr">
        <is>
          <t>30759</t>
        </is>
      </c>
      <c r="C129" s="16" t="n">
        <v>11710</v>
      </c>
      <c r="D129" s="16" t="n">
        <v>11710</v>
      </c>
      <c r="E129" s="16" t="n">
        <v>9813</v>
      </c>
      <c r="F129" s="38" t="n">
        <v>361927</v>
      </c>
      <c r="G129" s="38" t="n">
        <v>495811</v>
      </c>
      <c r="H129" s="38" t="n">
        <v>400409</v>
      </c>
      <c r="I129" s="38" t="n">
        <v>494312</v>
      </c>
      <c r="J129" s="19">
        <f>(I129-H129)/1000</f>
        <v/>
      </c>
      <c r="K129" s="16" t="inlineStr">
        <is>
          <t>Yes</t>
        </is>
      </c>
      <c r="L129" s="16" t="n">
        <v>23</v>
      </c>
      <c r="M129" s="39" t="inlineStr">
        <is>
          <t>- (full trip)</t>
        </is>
      </c>
    </row>
    <row r="130">
      <c r="A130" s="16" t="inlineStr">
        <is>
          <t>4 Jun</t>
        </is>
      </c>
      <c r="B130" s="16" t="inlineStr">
        <is>
          <t>37286</t>
        </is>
      </c>
      <c r="C130" s="16" t="n">
        <v>5190</v>
      </c>
      <c r="D130" s="16" t="n">
        <v>5190</v>
      </c>
      <c r="E130" s="16" t="n">
        <v>3951</v>
      </c>
      <c r="F130" s="38" t="n">
        <v>370601</v>
      </c>
      <c r="G130" s="38" t="n">
        <v>495785</v>
      </c>
      <c r="H130" s="38" t="n">
        <v>400411</v>
      </c>
      <c r="I130" s="38" t="n">
        <v>494309</v>
      </c>
      <c r="J130" s="19">
        <f>(I130-H130)/1000</f>
        <v/>
      </c>
      <c r="K130" s="16" t="inlineStr">
        <is>
          <t>Yes</t>
        </is>
      </c>
      <c r="L130" s="16" t="n">
        <v>23</v>
      </c>
      <c r="M130" s="39" t="inlineStr">
        <is>
          <t>- (full trip)</t>
        </is>
      </c>
    </row>
    <row r="131">
      <c r="A131" s="16" t="inlineStr">
        <is>
          <t>4 Jun</t>
        </is>
      </c>
      <c r="B131" s="16" t="inlineStr">
        <is>
          <t>39131</t>
        </is>
      </c>
      <c r="C131" s="16" t="n">
        <v>5765</v>
      </c>
      <c r="D131" s="16" t="n">
        <v>5754</v>
      </c>
      <c r="E131" s="16" t="n">
        <v>4452</v>
      </c>
      <c r="F131" s="38" t="n">
        <v>367937</v>
      </c>
      <c r="G131" s="38" t="n">
        <v>494982</v>
      </c>
      <c r="H131" s="38" t="n">
        <v>400413</v>
      </c>
      <c r="I131" s="38" t="n">
        <v>494312</v>
      </c>
      <c r="J131" s="19">
        <f>(I131-H131)/1000</f>
        <v/>
      </c>
      <c r="K131" s="16" t="inlineStr">
        <is>
          <t>Yes</t>
        </is>
      </c>
      <c r="L131" s="16" t="n">
        <v>23</v>
      </c>
      <c r="M131" s="39" t="inlineStr">
        <is>
          <t>- (full trip)</t>
        </is>
      </c>
    </row>
    <row r="132">
      <c r="A132" s="16" t="inlineStr">
        <is>
          <t>4 Jun</t>
        </is>
      </c>
      <c r="B132" s="16" t="inlineStr">
        <is>
          <t>30757</t>
        </is>
      </c>
      <c r="C132" s="16" t="n">
        <v>5611</v>
      </c>
      <c r="D132" s="16" t="n">
        <v>5611</v>
      </c>
      <c r="E132" s="16" t="n">
        <v>4879</v>
      </c>
      <c r="F132" s="38" t="n">
        <v>368114</v>
      </c>
      <c r="G132" s="38" t="n">
        <v>494984</v>
      </c>
      <c r="H132" s="38" t="n">
        <v>400427</v>
      </c>
      <c r="I132" s="38" t="n">
        <v>494311</v>
      </c>
      <c r="J132" s="19">
        <f>(I132-H132)/1000</f>
        <v/>
      </c>
      <c r="K132" s="16" t="inlineStr">
        <is>
          <t>Yes</t>
        </is>
      </c>
      <c r="L132" s="16" t="n">
        <v>23</v>
      </c>
      <c r="M132" s="39" t="inlineStr">
        <is>
          <t>- (full trip)</t>
        </is>
      </c>
    </row>
    <row r="133">
      <c r="A133" s="16" t="inlineStr">
        <is>
          <t>4 Jun</t>
        </is>
      </c>
      <c r="B133" s="16" t="inlineStr">
        <is>
          <t>37515</t>
        </is>
      </c>
      <c r="C133" s="16" t="n">
        <v>5321</v>
      </c>
      <c r="D133" s="16" t="n">
        <v>5321</v>
      </c>
      <c r="E133" s="16" t="n">
        <v>4075</v>
      </c>
      <c r="F133" s="38" t="n">
        <v>368572</v>
      </c>
      <c r="G133" s="38" t="n">
        <v>495804</v>
      </c>
      <c r="H133" s="38" t="n">
        <v>400432</v>
      </c>
      <c r="I133" s="38" t="n">
        <v>494312</v>
      </c>
      <c r="J133" s="19">
        <f>(I133-H133)/1000</f>
        <v/>
      </c>
      <c r="K133" s="16" t="inlineStr">
        <is>
          <t>Yes</t>
        </is>
      </c>
      <c r="L133" s="16" t="n">
        <v>23</v>
      </c>
      <c r="M133" s="39" t="inlineStr">
        <is>
          <t>- (full trip)</t>
        </is>
      </c>
    </row>
    <row r="134">
      <c r="A134" s="16" t="inlineStr">
        <is>
          <t>4 Jun</t>
        </is>
      </c>
      <c r="B134" s="16" t="inlineStr">
        <is>
          <t>37812</t>
        </is>
      </c>
      <c r="C134" s="16" t="n">
        <v>5216</v>
      </c>
      <c r="D134" s="16" t="n">
        <v>5216</v>
      </c>
      <c r="E134" s="16" t="n">
        <v>3932</v>
      </c>
      <c r="F134" s="38" t="n">
        <v>370399</v>
      </c>
      <c r="G134" s="38" t="n">
        <v>494895</v>
      </c>
      <c r="H134" s="38" t="n">
        <v>400433</v>
      </c>
      <c r="I134" s="38" t="n">
        <v>494312</v>
      </c>
      <c r="J134" s="19">
        <f>(I134-H134)/1000</f>
        <v/>
      </c>
      <c r="K134" s="16" t="inlineStr">
        <is>
          <t>Yes</t>
        </is>
      </c>
      <c r="L134" s="16" t="n">
        <v>23</v>
      </c>
      <c r="M134" s="39" t="inlineStr">
        <is>
          <t>- (full trip)</t>
        </is>
      </c>
    </row>
    <row r="135">
      <c r="A135" s="16" t="inlineStr">
        <is>
          <t>4 Jun</t>
        </is>
      </c>
      <c r="B135" s="16" t="inlineStr">
        <is>
          <t>39015</t>
        </is>
      </c>
      <c r="C135" s="16" t="n">
        <v>5758</v>
      </c>
      <c r="D135" s="16" t="n">
        <v>5758</v>
      </c>
      <c r="E135" s="16" t="n">
        <v>5291</v>
      </c>
      <c r="F135" s="38" t="n">
        <v>396180</v>
      </c>
      <c r="G135" s="38" t="n">
        <v>494897</v>
      </c>
      <c r="H135" s="38" t="n">
        <v>400427</v>
      </c>
      <c r="I135" s="38" t="n">
        <v>494311</v>
      </c>
      <c r="J135" s="19">
        <f>(I135-H135)/1000</f>
        <v/>
      </c>
      <c r="K135" s="16" t="inlineStr">
        <is>
          <t>Yes</t>
        </is>
      </c>
      <c r="L135" s="16" t="n">
        <v>23</v>
      </c>
      <c r="M135" s="39" t="inlineStr">
        <is>
          <t>- (full trip)</t>
        </is>
      </c>
    </row>
    <row r="136">
      <c r="A136" s="16" t="inlineStr">
        <is>
          <t>4 Jun</t>
        </is>
      </c>
      <c r="B136" s="16" t="inlineStr">
        <is>
          <t>30173</t>
        </is>
      </c>
      <c r="C136" s="16" t="n">
        <v>4943</v>
      </c>
      <c r="D136" s="16" t="n">
        <v>4943</v>
      </c>
      <c r="E136" s="16" t="n">
        <v>4007</v>
      </c>
      <c r="F136" s="38" t="n">
        <v>380730</v>
      </c>
      <c r="G136" s="38" t="n">
        <v>495830</v>
      </c>
      <c r="H136" s="38" t="n">
        <v>400439</v>
      </c>
      <c r="I136" s="38" t="n">
        <v>494312</v>
      </c>
      <c r="J136" s="19">
        <f>(I136-H136)/1000</f>
        <v/>
      </c>
      <c r="K136" s="16" t="inlineStr">
        <is>
          <t>Yes</t>
        </is>
      </c>
      <c r="L136" s="16" t="n">
        <v>23</v>
      </c>
      <c r="M136" s="39" t="inlineStr">
        <is>
          <t>- (full trip)</t>
        </is>
      </c>
    </row>
    <row r="137">
      <c r="A137" s="16" t="inlineStr">
        <is>
          <t>4 Jun</t>
        </is>
      </c>
      <c r="B137" s="16" t="inlineStr">
        <is>
          <t>37279</t>
        </is>
      </c>
      <c r="C137" s="16" t="n">
        <v>4495</v>
      </c>
      <c r="D137" s="16" t="n">
        <v>4495</v>
      </c>
      <c r="E137" s="16" t="n">
        <v>4279</v>
      </c>
      <c r="F137" s="38" t="n">
        <v>402624</v>
      </c>
      <c r="G137" s="38" t="n">
        <v>494991</v>
      </c>
      <c r="H137" s="38" t="n">
        <v>402624</v>
      </c>
      <c r="I137" s="38" t="n">
        <v>494312</v>
      </c>
      <c r="J137" s="19">
        <f>(I137-H137)/1000</f>
        <v/>
      </c>
      <c r="K137" s="16" t="inlineStr">
        <is>
          <t>Yes</t>
        </is>
      </c>
      <c r="L137" s="16" t="n">
        <v>23</v>
      </c>
      <c r="M137" s="39" t="inlineStr">
        <is>
          <t>- (full trip)</t>
        </is>
      </c>
    </row>
    <row r="138">
      <c r="A138" s="16" t="inlineStr">
        <is>
          <t>4 Jun</t>
        </is>
      </c>
      <c r="B138" s="16" t="inlineStr">
        <is>
          <t>39314</t>
        </is>
      </c>
      <c r="C138" s="16" t="n">
        <v>6321</v>
      </c>
      <c r="D138" s="16" t="n">
        <v>6321</v>
      </c>
      <c r="E138" s="16" t="n">
        <v>6321</v>
      </c>
      <c r="F138" s="38" t="n">
        <v>402612</v>
      </c>
      <c r="G138" s="38" t="n">
        <v>491532</v>
      </c>
      <c r="H138" s="38" t="n">
        <v>402612</v>
      </c>
      <c r="I138" s="38" t="n">
        <v>491532</v>
      </c>
      <c r="J138" s="19">
        <f>(I138-H138)/1000</f>
        <v/>
      </c>
      <c r="K138" s="16" t="inlineStr">
        <is>
          <t>Yes</t>
        </is>
      </c>
      <c r="L138" s="16" t="n">
        <v>22</v>
      </c>
      <c r="M138" s="39" t="inlineStr">
        <is>
          <t>- (full trip)</t>
        </is>
      </c>
    </row>
    <row r="139" ht="34" customHeight="1">
      <c r="A139" s="16" t="inlineStr">
        <is>
          <t>4 Jun</t>
        </is>
      </c>
      <c r="B139" s="16" t="inlineStr">
        <is>
          <t>30484</t>
        </is>
      </c>
      <c r="C139" s="16" t="n">
        <v>4227</v>
      </c>
      <c r="D139" s="16" t="n">
        <v>4227</v>
      </c>
      <c r="E139" s="16" t="n">
        <v>3282</v>
      </c>
      <c r="F139" s="38" t="n">
        <v>363511</v>
      </c>
      <c r="G139" s="38" t="n">
        <v>473521</v>
      </c>
      <c r="H139" s="38" t="n">
        <v>400431</v>
      </c>
      <c r="I139" s="38" t="n">
        <v>473521</v>
      </c>
      <c r="J139" s="19">
        <f>(I139-H139)/1000</f>
        <v/>
      </c>
      <c r="K139" s="16" t="inlineStr">
        <is>
          <t>Yes</t>
        </is>
      </c>
      <c r="L139" s="16" t="n">
        <v>18</v>
      </c>
      <c r="M139" s="39" t="inlineStr">
        <is>
          <t>BAREJADI NANDEJ, GERATPUR, VATVA, KANKARIYA CABIN, AHMEDABAD Jn</t>
        </is>
      </c>
    </row>
    <row r="140" ht="49" customHeight="1">
      <c r="A140" s="16" t="inlineStr">
        <is>
          <t>4 Jun</t>
        </is>
      </c>
      <c r="B140" s="16" t="inlineStr">
        <is>
          <t>37383</t>
        </is>
      </c>
      <c r="C140" s="16" t="n">
        <v>4847</v>
      </c>
      <c r="D140" s="16" t="n">
        <v>4847</v>
      </c>
      <c r="E140" s="16" t="n">
        <v>2395</v>
      </c>
      <c r="F140" s="38" t="n">
        <v>370147</v>
      </c>
      <c r="G140" s="38" t="n">
        <v>441704</v>
      </c>
      <c r="H140" s="38" t="n">
        <v>400401</v>
      </c>
      <c r="I140" s="38" t="n">
        <v>441704</v>
      </c>
      <c r="J140" s="19">
        <f>(I140-H140)/1000</f>
        <v/>
      </c>
      <c r="K140" s="16" t="inlineStr">
        <is>
          <t>Yes</t>
        </is>
      </c>
      <c r="L140" s="16" t="n">
        <v>11</v>
      </c>
      <c r="M140" s="39" t="inlineStr">
        <is>
          <t>NADIAD, LC-278, GOTHAJ, LC-286, MAHEMDABAD AND KHEDA ROAD, LC-294, KANIJ, BAREJADI NANDEJ, GERATPUR, VATVA, KANKARIYA CABIN, AHMEDABAD Jn</t>
        </is>
      </c>
    </row>
    <row r="141" ht="34" customHeight="1">
      <c r="A141" s="16" t="inlineStr">
        <is>
          <t>4 Jun</t>
        </is>
      </c>
      <c r="B141" s="16" t="inlineStr">
        <is>
          <t>39066</t>
        </is>
      </c>
      <c r="C141" s="16" t="n">
        <v>1876</v>
      </c>
      <c r="D141" s="16" t="n">
        <v>1876</v>
      </c>
      <c r="E141" s="16" t="n">
        <v>1639</v>
      </c>
      <c r="F141" s="38" t="n">
        <v>455271</v>
      </c>
      <c r="G141" s="38" t="n">
        <v>494978</v>
      </c>
      <c r="H141" s="38" t="n">
        <v>455271</v>
      </c>
      <c r="I141" s="38" t="n">
        <v>494311</v>
      </c>
      <c r="J141" s="19">
        <f>(I141-H141)/1000</f>
        <v/>
      </c>
      <c r="K141" s="16" t="inlineStr">
        <is>
          <t>Yes</t>
        </is>
      </c>
      <c r="L141" s="16" t="n">
        <v>11</v>
      </c>
      <c r="M141" s="39" t="inlineStr">
        <is>
          <t>BAJWA, RANOLI, LC-246, VASAD, ADAS ROAD, VADOD, LC-258, ANAND Jn, LC-264, KANJARI BORIYAVI, UTARSANDA, NADIAD</t>
        </is>
      </c>
    </row>
    <row r="142" ht="49" customHeight="1">
      <c r="A142" s="16" t="inlineStr">
        <is>
          <t>4 Jun</t>
        </is>
      </c>
      <c r="B142" s="16" t="inlineStr">
        <is>
          <t>37602</t>
        </is>
      </c>
      <c r="C142" s="16" t="n">
        <v>1782</v>
      </c>
      <c r="D142" s="16" t="n">
        <v>1782</v>
      </c>
      <c r="E142" s="16" t="n">
        <v>900</v>
      </c>
      <c r="F142" s="38" t="n">
        <v>241676</v>
      </c>
      <c r="G142" s="38" t="n">
        <v>438820</v>
      </c>
      <c r="H142" s="38" t="n">
        <v>400402</v>
      </c>
      <c r="I142" s="38" t="n">
        <v>438820</v>
      </c>
      <c r="J142" s="19">
        <f>(I142-H142)/1000</f>
        <v/>
      </c>
      <c r="K142" s="16" t="inlineStr">
        <is>
          <t>Yes</t>
        </is>
      </c>
      <c r="L142" s="16" t="n">
        <v>10</v>
      </c>
      <c r="M142" s="39" t="inlineStr">
        <is>
          <t>UTARSANDA, NADIAD, LC-278, GOTHAJ, LC-286, MAHEMDABAD AND KHEDA ROAD, LC-294, KANIJ, BAREJADI NANDEJ, GERATPUR, VATVA, KANKARIYA CABIN, AHMEDABAD Jn</t>
        </is>
      </c>
    </row>
    <row r="143" ht="49" customHeight="1">
      <c r="A143" s="16" t="inlineStr">
        <is>
          <t>4 Jun</t>
        </is>
      </c>
      <c r="B143" s="16" t="inlineStr">
        <is>
          <t>37830</t>
        </is>
      </c>
      <c r="C143" s="16" t="n">
        <v>2497</v>
      </c>
      <c r="D143" s="16" t="n">
        <v>2497</v>
      </c>
      <c r="E143" s="16" t="n">
        <v>1170</v>
      </c>
      <c r="F143" s="38" t="n">
        <v>369938</v>
      </c>
      <c r="G143" s="38" t="n">
        <v>438777</v>
      </c>
      <c r="H143" s="38" t="n">
        <v>400515</v>
      </c>
      <c r="I143" s="38" t="n">
        <v>438777</v>
      </c>
      <c r="J143" s="19">
        <f>(I143-H143)/1000</f>
        <v/>
      </c>
      <c r="K143" s="16" t="inlineStr">
        <is>
          <t>Yes</t>
        </is>
      </c>
      <c r="L143" s="16" t="n">
        <v>10</v>
      </c>
      <c r="M143" s="39" t="inlineStr">
        <is>
          <t>UTARSANDA, NADIAD, LC-278, GOTHAJ, LC-286, MAHEMDABAD AND KHEDA ROAD, LC-294, KANIJ, BAREJADI NANDEJ, GERATPUR, VATVA, KANKARIYA CABIN, AHMEDABAD Jn</t>
        </is>
      </c>
    </row>
    <row r="144" ht="49" customHeight="1">
      <c r="A144" s="16" t="inlineStr">
        <is>
          <t>4 Jun</t>
        </is>
      </c>
      <c r="B144" s="16" t="inlineStr">
        <is>
          <t>37816</t>
        </is>
      </c>
      <c r="C144" s="16" t="n">
        <v>1211</v>
      </c>
      <c r="D144" s="16" t="n">
        <v>1211</v>
      </c>
      <c r="E144" s="16" t="n">
        <v>834</v>
      </c>
      <c r="F144" s="38" t="n">
        <v>396114</v>
      </c>
      <c r="G144" s="38" t="n">
        <v>437377</v>
      </c>
      <c r="H144" s="38" t="n">
        <v>400404</v>
      </c>
      <c r="I144" s="38" t="n">
        <v>437377</v>
      </c>
      <c r="J144" s="19">
        <f>(I144-H144)/1000</f>
        <v/>
      </c>
      <c r="K144" s="16" t="inlineStr">
        <is>
          <t>Yes</t>
        </is>
      </c>
      <c r="L144" s="16" t="n">
        <v>10</v>
      </c>
      <c r="M144" s="39" t="inlineStr">
        <is>
          <t>UTARSANDA, NADIAD, LC-278, GOTHAJ, LC-286, MAHEMDABAD AND KHEDA ROAD, LC-294, KANIJ, BAREJADI NANDEJ, GERATPUR, VATVA, KANKARIYA CABIN, AHMEDABAD Jn</t>
        </is>
      </c>
    </row>
    <row r="145" ht="49" customHeight="1">
      <c r="A145" s="16" t="inlineStr">
        <is>
          <t>4 Jun</t>
        </is>
      </c>
      <c r="B145" s="16" t="inlineStr">
        <is>
          <t>37885</t>
        </is>
      </c>
      <c r="C145" s="16" t="n">
        <v>2112</v>
      </c>
      <c r="D145" s="16" t="n">
        <v>2112</v>
      </c>
      <c r="E145" s="16" t="n">
        <v>990</v>
      </c>
      <c r="F145" s="38" t="n">
        <v>395417</v>
      </c>
      <c r="G145" s="38" t="n">
        <v>437380</v>
      </c>
      <c r="H145" s="38" t="n">
        <v>400412</v>
      </c>
      <c r="I145" s="38" t="n">
        <v>437380</v>
      </c>
      <c r="J145" s="19">
        <f>(I145-H145)/1000</f>
        <v/>
      </c>
      <c r="K145" s="16" t="inlineStr">
        <is>
          <t>Yes</t>
        </is>
      </c>
      <c r="L145" s="16" t="n">
        <v>10</v>
      </c>
      <c r="M145" s="39" t="inlineStr">
        <is>
          <t>UTARSANDA, NADIAD, LC-278, GOTHAJ, LC-286, MAHEMDABAD AND KHEDA ROAD, LC-294, KANIJ, BAREJADI NANDEJ, GERATPUR, VATVA, KANKARIYA CABIN, AHMEDABAD Jn</t>
        </is>
      </c>
    </row>
    <row r="146" ht="49" customHeight="1">
      <c r="A146" s="16" t="inlineStr">
        <is>
          <t>4 Jun</t>
        </is>
      </c>
      <c r="B146" s="16" t="inlineStr">
        <is>
          <t>39243</t>
        </is>
      </c>
      <c r="C146" s="16" t="n">
        <v>2113</v>
      </c>
      <c r="D146" s="16" t="n">
        <v>2113</v>
      </c>
      <c r="E146" s="16" t="n">
        <v>996</v>
      </c>
      <c r="F146" s="38" t="n">
        <v>302285</v>
      </c>
      <c r="G146" s="38" t="n">
        <v>437333</v>
      </c>
      <c r="H146" s="38" t="n">
        <v>400413</v>
      </c>
      <c r="I146" s="38" t="n">
        <v>437333</v>
      </c>
      <c r="J146" s="19">
        <f>(I146-H146)/1000</f>
        <v/>
      </c>
      <c r="K146" s="16" t="inlineStr">
        <is>
          <t>Yes</t>
        </is>
      </c>
      <c r="L146" s="16" t="n">
        <v>10</v>
      </c>
      <c r="M146" s="39" t="inlineStr">
        <is>
          <t>UTARSANDA, NADIAD, LC-278, GOTHAJ, LC-286, MAHEMDABAD AND KHEDA ROAD, LC-294, KANIJ, BAREJADI NANDEJ, GERATPUR, VATVA, KANKARIYA CABIN, AHMEDABAD Jn</t>
        </is>
      </c>
    </row>
    <row r="147" ht="49" customHeight="1">
      <c r="A147" s="16" t="inlineStr">
        <is>
          <t>4 Jun</t>
        </is>
      </c>
      <c r="B147" s="16" t="inlineStr">
        <is>
          <t>39159</t>
        </is>
      </c>
      <c r="C147" s="16" t="n">
        <v>1503</v>
      </c>
      <c r="D147" s="16" t="n">
        <v>1503</v>
      </c>
      <c r="E147" s="16" t="n">
        <v>719</v>
      </c>
      <c r="F147" s="38" t="n">
        <v>243408</v>
      </c>
      <c r="G147" s="38" t="n">
        <v>437357</v>
      </c>
      <c r="H147" s="38" t="n">
        <v>400443</v>
      </c>
      <c r="I147" s="38" t="n">
        <v>437357</v>
      </c>
      <c r="J147" s="19">
        <f>(I147-H147)/1000</f>
        <v/>
      </c>
      <c r="K147" s="16" t="inlineStr">
        <is>
          <t>Yes</t>
        </is>
      </c>
      <c r="L147" s="16" t="n">
        <v>10</v>
      </c>
      <c r="M147" s="39" t="inlineStr">
        <is>
          <t>UTARSANDA, NADIAD, LC-278, GOTHAJ, LC-286, MAHEMDABAD AND KHEDA ROAD, LC-294, KANIJ, BAREJADI NANDEJ, GERATPUR, VATVA, KANKARIYA CABIN, AHMEDABAD Jn</t>
        </is>
      </c>
    </row>
    <row r="148" ht="49" customHeight="1">
      <c r="A148" s="16" t="inlineStr">
        <is>
          <t>4 Jun</t>
        </is>
      </c>
      <c r="B148" s="16" t="inlineStr">
        <is>
          <t>30340</t>
        </is>
      </c>
      <c r="C148" s="16" t="n">
        <v>1435</v>
      </c>
      <c r="D148" s="16" t="n">
        <v>1435</v>
      </c>
      <c r="E148" s="16" t="n">
        <v>566</v>
      </c>
      <c r="F148" s="38" t="n">
        <v>376729</v>
      </c>
      <c r="G148" s="38" t="n">
        <v>436753</v>
      </c>
      <c r="H148" s="38" t="n">
        <v>400464</v>
      </c>
      <c r="I148" s="38" t="n">
        <v>436753</v>
      </c>
      <c r="J148" s="19">
        <f>(I148-H148)/1000</f>
        <v/>
      </c>
      <c r="K148" s="16" t="inlineStr">
        <is>
          <t>Yes</t>
        </is>
      </c>
      <c r="L148" s="16" t="n">
        <v>9</v>
      </c>
      <c r="M148" s="39" t="inlineStr">
        <is>
          <t>KANJARI BORIYAVI, UTARSANDA, NADIAD, LC-278, GOTHAJ, LC-286, MAHEMDABAD AND KHEDA ROAD, LC-294, KANIJ, BAREJADI NANDEJ, GERATPUR, VATVA, KANKARIYA CABIN, AHMEDABAD Jn</t>
        </is>
      </c>
    </row>
    <row r="149" ht="49" customHeight="1">
      <c r="A149" s="16" t="inlineStr">
        <is>
          <t>4 Jun</t>
        </is>
      </c>
      <c r="B149" s="16" t="inlineStr">
        <is>
          <t>39514</t>
        </is>
      </c>
      <c r="C149" s="16" t="n">
        <v>1583</v>
      </c>
      <c r="D149" s="16" t="n">
        <v>1583</v>
      </c>
      <c r="E149" s="16" t="n">
        <v>600</v>
      </c>
      <c r="F149" s="38" t="n">
        <v>294039</v>
      </c>
      <c r="G149" s="38" t="n">
        <v>436177</v>
      </c>
      <c r="H149" s="38" t="n">
        <v>400513</v>
      </c>
      <c r="I149" s="38" t="n">
        <v>436177</v>
      </c>
      <c r="J149" s="19">
        <f>(I149-H149)/1000</f>
        <v/>
      </c>
      <c r="K149" s="16" t="inlineStr">
        <is>
          <t>Yes</t>
        </is>
      </c>
      <c r="L149" s="16" t="n">
        <v>9</v>
      </c>
      <c r="M149" s="39" t="inlineStr">
        <is>
          <t>KANJARI BORIYAVI, UTARSANDA, NADIAD, LC-278, GOTHAJ, LC-286, MAHEMDABAD AND KHEDA ROAD, LC-294, KANIJ, BAREJADI NANDEJ, GERATPUR, VATVA, KANKARIYA CABIN, AHMEDABAD Jn</t>
        </is>
      </c>
    </row>
    <row r="150" ht="49" customHeight="1">
      <c r="A150" s="16" t="inlineStr">
        <is>
          <t>4 Jun</t>
        </is>
      </c>
      <c r="B150" s="16" t="inlineStr">
        <is>
          <t>30215</t>
        </is>
      </c>
      <c r="C150" s="16" t="n">
        <v>1089</v>
      </c>
      <c r="D150" s="16" t="n">
        <v>1081</v>
      </c>
      <c r="E150" s="16" t="n">
        <v>735</v>
      </c>
      <c r="F150" s="38" t="n">
        <v>395997</v>
      </c>
      <c r="G150" s="38" t="n">
        <v>431085</v>
      </c>
      <c r="H150" s="38" t="n">
        <v>400404</v>
      </c>
      <c r="I150" s="38" t="n">
        <v>431085</v>
      </c>
      <c r="J150" s="19">
        <f>(I150-H150)/1000</f>
        <v/>
      </c>
      <c r="K150" s="16" t="inlineStr">
        <is>
          <t>Yes</t>
        </is>
      </c>
      <c r="L150" s="16" t="n">
        <v>8</v>
      </c>
      <c r="M150" s="39" t="inlineStr">
        <is>
          <t>LC-264, KANJARI BORIYAVI, UTARSANDA, NADIAD, LC-278, GOTHAJ, LC-286, MAHEMDABAD AND KHEDA ROAD, LC-294, KANIJ, BAREJADI NANDEJ, GERATPUR, VATVA, KANKARIYA CABIN, AHMEDABAD Jn</t>
        </is>
      </c>
    </row>
    <row r="151" ht="49" customHeight="1">
      <c r="A151" s="16" t="inlineStr">
        <is>
          <t>4 Jun</t>
        </is>
      </c>
      <c r="B151" s="16" t="inlineStr">
        <is>
          <t>37287</t>
        </is>
      </c>
      <c r="C151" s="16" t="n">
        <v>1801</v>
      </c>
      <c r="D151" s="16" t="n">
        <v>1801</v>
      </c>
      <c r="E151" s="16" t="n">
        <v>1566</v>
      </c>
      <c r="F151" s="38" t="n">
        <v>468227</v>
      </c>
      <c r="G151" s="38" t="n">
        <v>494965</v>
      </c>
      <c r="H151" s="38" t="n">
        <v>468227</v>
      </c>
      <c r="I151" s="38" t="n">
        <v>494312</v>
      </c>
      <c r="J151" s="19">
        <f>(I151-H151)/1000</f>
        <v/>
      </c>
      <c r="K151" s="16" t="inlineStr">
        <is>
          <t>Yes</t>
        </is>
      </c>
      <c r="L151" s="16" t="n">
        <v>8</v>
      </c>
      <c r="M151" s="39" t="inlineStr">
        <is>
          <t>BAJWA, RANOLI, LC-246, VASAD, ADAS ROAD, VADOD, LC-258, ANAND Jn, LC-264, KANJARI BORIYAVI, UTARSANDA, NADIAD, LC-278, GOTHAJ, LC-286</t>
        </is>
      </c>
    </row>
    <row r="152" ht="49" customHeight="1">
      <c r="A152" s="16" t="inlineStr">
        <is>
          <t>4 Jun</t>
        </is>
      </c>
      <c r="B152" s="16" t="inlineStr">
        <is>
          <t>30474</t>
        </is>
      </c>
      <c r="C152" s="16" t="n">
        <v>2726</v>
      </c>
      <c r="D152" s="16" t="n">
        <v>2726</v>
      </c>
      <c r="E152" s="16" t="n">
        <v>2378</v>
      </c>
      <c r="F152" s="38" t="n">
        <v>474922</v>
      </c>
      <c r="G152" s="38" t="n">
        <v>495729</v>
      </c>
      <c r="H152" s="38" t="n">
        <v>474922</v>
      </c>
      <c r="I152" s="38" t="n">
        <v>494311</v>
      </c>
      <c r="J152" s="19">
        <f>(I152-H152)/1000</f>
        <v/>
      </c>
      <c r="K152" s="16" t="inlineStr">
        <is>
          <t>Yes</t>
        </is>
      </c>
      <c r="L152" s="16" t="n">
        <v>6</v>
      </c>
      <c r="M152" s="39" t="inlineStr">
        <is>
          <t>BAJWA, RANOLI, LC-246, VASAD, ADAS ROAD, VADOD, LC-258, ANAND Jn, LC-264, KANJARI BORIYAVI, UTARSANDA, NADIAD, LC-278, GOTHAJ, LC-286, MAHEMDABAD AND KHEDA ROAD, LC-294</t>
        </is>
      </c>
    </row>
    <row r="153" ht="49" customHeight="1">
      <c r="A153" s="16" t="inlineStr">
        <is>
          <t>4 Jun</t>
        </is>
      </c>
      <c r="B153" s="16" t="inlineStr">
        <is>
          <t>37507</t>
        </is>
      </c>
      <c r="C153" s="16" t="n">
        <v>1293</v>
      </c>
      <c r="D153" s="16" t="n">
        <v>1293</v>
      </c>
      <c r="E153" s="16" t="n">
        <v>987</v>
      </c>
      <c r="F153" s="38" t="n">
        <v>479499</v>
      </c>
      <c r="G153" s="38" t="n">
        <v>495779</v>
      </c>
      <c r="H153" s="38" t="n">
        <v>479499</v>
      </c>
      <c r="I153" s="38" t="n">
        <v>494309</v>
      </c>
      <c r="J153" s="19">
        <f>(I153-H153)/1000</f>
        <v/>
      </c>
      <c r="K153" s="16" t="inlineStr">
        <is>
          <t>Yes</t>
        </is>
      </c>
      <c r="L153" s="16" t="n">
        <v>5</v>
      </c>
      <c r="M153" s="39" t="inlineStr">
        <is>
          <t>BAJWA, RANOLI, LC-246, VASAD, ADAS ROAD, VADOD, LC-258, ANAND Jn, LC-264, KANJARI BORIYAVI, UTARSANDA, NADIAD, LC-278, GOTHAJ, LC-286, MAHEMDABAD AND KHEDA ROAD, LC-294, KANIJ</t>
        </is>
      </c>
    </row>
    <row r="154" ht="64" customHeight="1">
      <c r="A154" s="16" t="inlineStr">
        <is>
          <t>4 Jun</t>
        </is>
      </c>
      <c r="B154" s="16" t="inlineStr">
        <is>
          <t>37633</t>
        </is>
      </c>
      <c r="C154" s="16" t="n">
        <v>1257</v>
      </c>
      <c r="D154" s="16" t="n">
        <v>1257</v>
      </c>
      <c r="E154" s="16" t="n">
        <v>281</v>
      </c>
      <c r="F154" s="38" t="n">
        <v>241989</v>
      </c>
      <c r="G154" s="38" t="n">
        <v>402379</v>
      </c>
      <c r="H154" s="38" t="n">
        <v>400406</v>
      </c>
      <c r="I154" s="38" t="n">
        <v>402379</v>
      </c>
      <c r="J154" s="19">
        <f>(I154-H154)/1000</f>
        <v/>
      </c>
      <c r="K154" s="16" t="inlineStr">
        <is>
          <t>Yes</t>
        </is>
      </c>
      <c r="L154" s="16" t="n">
        <v>1</v>
      </c>
      <c r="M154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55" ht="64" customHeight="1">
      <c r="A155" s="34" t="inlineStr">
        <is>
          <t>4 Jun</t>
        </is>
      </c>
      <c r="B155" s="34" t="inlineStr">
        <is>
          <t>30767</t>
        </is>
      </c>
      <c r="C155" s="34" t="n">
        <v>519</v>
      </c>
      <c r="D155" s="34" t="n">
        <v>519</v>
      </c>
      <c r="E155" s="34" t="n">
        <v>0</v>
      </c>
      <c r="F155" s="40" t="n">
        <v>302523</v>
      </c>
      <c r="G155" s="40" t="n">
        <v>395868</v>
      </c>
      <c r="H155" s="40" t="inlineStr">
        <is>
          <t>-</t>
        </is>
      </c>
      <c r="I155" s="40" t="inlineStr">
        <is>
          <t>-</t>
        </is>
      </c>
      <c r="J155" s="41" t="n">
        <v>0</v>
      </c>
      <c r="K155" s="34" t="inlineStr">
        <is>
          <t>No</t>
        </is>
      </c>
      <c r="L155" s="34" t="n">
        <v>0</v>
      </c>
      <c r="M15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56" ht="64" customHeight="1">
      <c r="A156" s="34" t="inlineStr">
        <is>
          <t>4 Jun</t>
        </is>
      </c>
      <c r="B156" s="34" t="inlineStr">
        <is>
          <t>33650</t>
        </is>
      </c>
      <c r="C156" s="34" t="n">
        <v>64</v>
      </c>
      <c r="D156" s="34" t="n">
        <v>0</v>
      </c>
      <c r="E156" s="34" t="n">
        <v>0</v>
      </c>
      <c r="F156" s="40" t="inlineStr">
        <is>
          <t>-</t>
        </is>
      </c>
      <c r="G156" s="40" t="inlineStr">
        <is>
          <t>-</t>
        </is>
      </c>
      <c r="H156" s="40" t="inlineStr">
        <is>
          <t>-</t>
        </is>
      </c>
      <c r="I156" s="40" t="inlineStr">
        <is>
          <t>-</t>
        </is>
      </c>
      <c r="J156" s="41" t="n">
        <v>0</v>
      </c>
      <c r="K156" s="34" t="inlineStr">
        <is>
          <t>No</t>
        </is>
      </c>
      <c r="L156" s="34" t="n">
        <v>0</v>
      </c>
      <c r="M15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57" ht="64" customHeight="1">
      <c r="A157" s="34" t="inlineStr">
        <is>
          <t>4 Jun</t>
        </is>
      </c>
      <c r="B157" s="34" t="inlineStr">
        <is>
          <t>34002</t>
        </is>
      </c>
      <c r="C157" s="34" t="n">
        <v>51</v>
      </c>
      <c r="D157" s="34" t="n">
        <v>18</v>
      </c>
      <c r="E157" s="34" t="n">
        <v>0</v>
      </c>
      <c r="F157" s="40" t="n">
        <v>2500018</v>
      </c>
      <c r="G157" s="40" t="n">
        <v>2500063</v>
      </c>
      <c r="H157" s="40" t="inlineStr">
        <is>
          <t>-</t>
        </is>
      </c>
      <c r="I157" s="40" t="inlineStr">
        <is>
          <t>-</t>
        </is>
      </c>
      <c r="J157" s="41" t="n">
        <v>0</v>
      </c>
      <c r="K157" s="34" t="inlineStr">
        <is>
          <t>No</t>
        </is>
      </c>
      <c r="L157" s="34" t="n">
        <v>0</v>
      </c>
      <c r="M15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58" ht="64" customHeight="1">
      <c r="A158" s="34" t="inlineStr">
        <is>
          <t>4 Jun</t>
        </is>
      </c>
      <c r="B158" s="34" t="inlineStr">
        <is>
          <t>37341</t>
        </is>
      </c>
      <c r="C158" s="34" t="n">
        <v>6</v>
      </c>
      <c r="D158" s="34" t="n">
        <v>0</v>
      </c>
      <c r="E158" s="34" t="n">
        <v>0</v>
      </c>
      <c r="F158" s="40" t="inlineStr">
        <is>
          <t>-</t>
        </is>
      </c>
      <c r="G158" s="40" t="inlineStr">
        <is>
          <t>-</t>
        </is>
      </c>
      <c r="H158" s="40" t="inlineStr">
        <is>
          <t>-</t>
        </is>
      </c>
      <c r="I158" s="40" t="inlineStr">
        <is>
          <t>-</t>
        </is>
      </c>
      <c r="J158" s="41" t="n">
        <v>0</v>
      </c>
      <c r="K158" s="34" t="inlineStr">
        <is>
          <t>No</t>
        </is>
      </c>
      <c r="L158" s="34" t="n">
        <v>0</v>
      </c>
      <c r="M15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59" ht="64" customHeight="1">
      <c r="A159" s="34" t="inlineStr">
        <is>
          <t>4 Jun</t>
        </is>
      </c>
      <c r="B159" s="34" t="inlineStr">
        <is>
          <t>37627</t>
        </is>
      </c>
      <c r="C159" s="34" t="n">
        <v>2</v>
      </c>
      <c r="D159" s="34" t="n">
        <v>2</v>
      </c>
      <c r="E159" s="34" t="n">
        <v>0</v>
      </c>
      <c r="F159" s="40" t="n">
        <v>360658</v>
      </c>
      <c r="G159" s="40" t="n">
        <v>361498</v>
      </c>
      <c r="H159" s="40" t="inlineStr">
        <is>
          <t>-</t>
        </is>
      </c>
      <c r="I159" s="40" t="inlineStr">
        <is>
          <t>-</t>
        </is>
      </c>
      <c r="J159" s="41" t="n">
        <v>0</v>
      </c>
      <c r="K159" s="34" t="inlineStr">
        <is>
          <t>No</t>
        </is>
      </c>
      <c r="L159" s="34" t="n">
        <v>0</v>
      </c>
      <c r="M15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0" ht="64" customHeight="1">
      <c r="A160" s="34" t="inlineStr">
        <is>
          <t>4 Jun</t>
        </is>
      </c>
      <c r="B160" s="34" t="inlineStr">
        <is>
          <t>37813</t>
        </is>
      </c>
      <c r="C160" s="34" t="n">
        <v>6</v>
      </c>
      <c r="D160" s="34" t="n">
        <v>0</v>
      </c>
      <c r="E160" s="34" t="n">
        <v>0</v>
      </c>
      <c r="F160" s="40" t="inlineStr">
        <is>
          <t>-</t>
        </is>
      </c>
      <c r="G160" s="40" t="inlineStr">
        <is>
          <t>-</t>
        </is>
      </c>
      <c r="H160" s="40" t="inlineStr">
        <is>
          <t>-</t>
        </is>
      </c>
      <c r="I160" s="40" t="inlineStr">
        <is>
          <t>-</t>
        </is>
      </c>
      <c r="J160" s="41" t="n">
        <v>0</v>
      </c>
      <c r="K160" s="34" t="inlineStr">
        <is>
          <t>No</t>
        </is>
      </c>
      <c r="L160" s="34" t="n">
        <v>0</v>
      </c>
      <c r="M16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1" ht="64" customHeight="1">
      <c r="A161" s="34" t="inlineStr">
        <is>
          <t>4 Jun</t>
        </is>
      </c>
      <c r="B161" s="34" t="inlineStr">
        <is>
          <t>39308</t>
        </is>
      </c>
      <c r="C161" s="34" t="n">
        <v>11</v>
      </c>
      <c r="D161" s="34" t="n">
        <v>0</v>
      </c>
      <c r="E161" s="34" t="n">
        <v>0</v>
      </c>
      <c r="F161" s="40" t="inlineStr">
        <is>
          <t>-</t>
        </is>
      </c>
      <c r="G161" s="40" t="inlineStr">
        <is>
          <t>-</t>
        </is>
      </c>
      <c r="H161" s="40" t="inlineStr">
        <is>
          <t>-</t>
        </is>
      </c>
      <c r="I161" s="40" t="inlineStr">
        <is>
          <t>-</t>
        </is>
      </c>
      <c r="J161" s="41" t="n">
        <v>0</v>
      </c>
      <c r="K161" s="34" t="inlineStr">
        <is>
          <t>No</t>
        </is>
      </c>
      <c r="L161" s="34" t="n">
        <v>0</v>
      </c>
      <c r="M16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2" ht="64" customHeight="1">
      <c r="A162" s="34" t="inlineStr">
        <is>
          <t>4 Jun</t>
        </is>
      </c>
      <c r="B162" s="34" t="inlineStr">
        <is>
          <t>41605</t>
        </is>
      </c>
      <c r="C162" s="34" t="n">
        <v>13</v>
      </c>
      <c r="D162" s="34" t="n">
        <v>0</v>
      </c>
      <c r="E162" s="34" t="n">
        <v>0</v>
      </c>
      <c r="F162" s="40" t="inlineStr">
        <is>
          <t>-</t>
        </is>
      </c>
      <c r="G162" s="40" t="inlineStr">
        <is>
          <t>-</t>
        </is>
      </c>
      <c r="H162" s="40" t="inlineStr">
        <is>
          <t>-</t>
        </is>
      </c>
      <c r="I162" s="40" t="inlineStr">
        <is>
          <t>-</t>
        </is>
      </c>
      <c r="J162" s="41" t="n">
        <v>0</v>
      </c>
      <c r="K162" s="34" t="inlineStr">
        <is>
          <t>No</t>
        </is>
      </c>
      <c r="L162" s="34" t="n">
        <v>0</v>
      </c>
      <c r="M16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3" ht="64" customHeight="1">
      <c r="A163" s="34" t="inlineStr">
        <is>
          <t>4 Jun</t>
        </is>
      </c>
      <c r="B163" s="34" t="inlineStr">
        <is>
          <t>41909</t>
        </is>
      </c>
      <c r="C163" s="34" t="n">
        <v>53</v>
      </c>
      <c r="D163" s="34" t="n">
        <v>53</v>
      </c>
      <c r="E163" s="34" t="n">
        <v>0</v>
      </c>
      <c r="F163" s="40" t="n">
        <v>2500271</v>
      </c>
      <c r="G163" s="40" t="n">
        <v>2500566</v>
      </c>
      <c r="H163" s="40" t="inlineStr">
        <is>
          <t>-</t>
        </is>
      </c>
      <c r="I163" s="40" t="inlineStr">
        <is>
          <t>-</t>
        </is>
      </c>
      <c r="J163" s="41" t="n">
        <v>0</v>
      </c>
      <c r="K163" s="34" t="inlineStr">
        <is>
          <t>No</t>
        </is>
      </c>
      <c r="L163" s="34" t="n">
        <v>0</v>
      </c>
      <c r="M16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4" ht="64" customHeight="1">
      <c r="A164" s="34" t="inlineStr">
        <is>
          <t>4 Jun</t>
        </is>
      </c>
      <c r="B164" s="34" t="inlineStr">
        <is>
          <t>43422</t>
        </is>
      </c>
      <c r="C164" s="34" t="n">
        <v>6</v>
      </c>
      <c r="D164" s="34" t="n">
        <v>0</v>
      </c>
      <c r="E164" s="34" t="n">
        <v>0</v>
      </c>
      <c r="F164" s="40" t="inlineStr">
        <is>
          <t>-</t>
        </is>
      </c>
      <c r="G164" s="40" t="inlineStr">
        <is>
          <t>-</t>
        </is>
      </c>
      <c r="H164" s="40" t="inlineStr">
        <is>
          <t>-</t>
        </is>
      </c>
      <c r="I164" s="40" t="inlineStr">
        <is>
          <t>-</t>
        </is>
      </c>
      <c r="J164" s="41" t="n">
        <v>0</v>
      </c>
      <c r="K164" s="34" t="inlineStr">
        <is>
          <t>No</t>
        </is>
      </c>
      <c r="L164" s="34" t="n">
        <v>0</v>
      </c>
      <c r="M16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5" ht="64" customHeight="1">
      <c r="A165" s="34" t="inlineStr">
        <is>
          <t>4 Jun</t>
        </is>
      </c>
      <c r="B165" s="34" t="inlineStr">
        <is>
          <t>51111</t>
        </is>
      </c>
      <c r="C165" s="34" t="n">
        <v>13908</v>
      </c>
      <c r="D165" s="34" t="n">
        <v>13848</v>
      </c>
      <c r="E165" s="34" t="n">
        <v>0</v>
      </c>
      <c r="F165" s="40" t="n">
        <v>767390</v>
      </c>
      <c r="G165" s="40" t="n">
        <v>773220</v>
      </c>
      <c r="H165" s="40" t="inlineStr">
        <is>
          <t>-</t>
        </is>
      </c>
      <c r="I165" s="40" t="inlineStr">
        <is>
          <t>-</t>
        </is>
      </c>
      <c r="J165" s="41" t="n">
        <v>0</v>
      </c>
      <c r="K165" s="34" t="inlineStr">
        <is>
          <t>No</t>
        </is>
      </c>
      <c r="L165" s="34" t="n">
        <v>0</v>
      </c>
      <c r="M16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6" ht="64" customHeight="1">
      <c r="A166" s="34" t="inlineStr">
        <is>
          <t>4 Jun</t>
        </is>
      </c>
      <c r="B166" s="34" t="inlineStr">
        <is>
          <t>61111</t>
        </is>
      </c>
      <c r="C166" s="34" t="n">
        <v>1655</v>
      </c>
      <c r="D166" s="34" t="n">
        <v>1021</v>
      </c>
      <c r="E166" s="34" t="n">
        <v>0</v>
      </c>
      <c r="F166" s="40" t="n">
        <v>510425</v>
      </c>
      <c r="G166" s="40" t="n">
        <v>525780</v>
      </c>
      <c r="H166" s="40" t="inlineStr">
        <is>
          <t>-</t>
        </is>
      </c>
      <c r="I166" s="40" t="inlineStr">
        <is>
          <t>-</t>
        </is>
      </c>
      <c r="J166" s="41" t="n">
        <v>0</v>
      </c>
      <c r="K166" s="34" t="inlineStr">
        <is>
          <t>No</t>
        </is>
      </c>
      <c r="L166" s="34" t="n">
        <v>0</v>
      </c>
      <c r="M16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7">
      <c r="A167" s="16" t="inlineStr">
        <is>
          <t>5 Jun</t>
        </is>
      </c>
      <c r="B167" s="16" t="inlineStr">
        <is>
          <t>30634</t>
        </is>
      </c>
      <c r="C167" s="16" t="n">
        <v>5987</v>
      </c>
      <c r="D167" s="16" t="n">
        <v>5987</v>
      </c>
      <c r="E167" s="16" t="n">
        <v>4697</v>
      </c>
      <c r="F167" s="38" t="n">
        <v>367655</v>
      </c>
      <c r="G167" s="38" t="n">
        <v>494982</v>
      </c>
      <c r="H167" s="38" t="n">
        <v>400401</v>
      </c>
      <c r="I167" s="38" t="n">
        <v>494311</v>
      </c>
      <c r="J167" s="19">
        <f>(I167-H167)/1000</f>
        <v/>
      </c>
      <c r="K167" s="16" t="inlineStr">
        <is>
          <t>Yes</t>
        </is>
      </c>
      <c r="L167" s="16" t="n">
        <v>23</v>
      </c>
      <c r="M167" s="39" t="inlineStr">
        <is>
          <t>- (full trip)</t>
        </is>
      </c>
    </row>
    <row r="168">
      <c r="A168" s="16" t="inlineStr">
        <is>
          <t>5 Jun</t>
        </is>
      </c>
      <c r="B168" s="16" t="inlineStr">
        <is>
          <t>30635</t>
        </is>
      </c>
      <c r="C168" s="16" t="n">
        <v>5997</v>
      </c>
      <c r="D168" s="16" t="n">
        <v>5997</v>
      </c>
      <c r="E168" s="16" t="n">
        <v>4952</v>
      </c>
      <c r="F168" s="38" t="n">
        <v>367923</v>
      </c>
      <c r="G168" s="38" t="n">
        <v>494967</v>
      </c>
      <c r="H168" s="38" t="n">
        <v>400407</v>
      </c>
      <c r="I168" s="38" t="n">
        <v>494312</v>
      </c>
      <c r="J168" s="19">
        <f>(I168-H168)/1000</f>
        <v/>
      </c>
      <c r="K168" s="16" t="inlineStr">
        <is>
          <t>Yes</t>
        </is>
      </c>
      <c r="L168" s="16" t="n">
        <v>23</v>
      </c>
      <c r="M168" s="39" t="inlineStr">
        <is>
          <t>- (full trip)</t>
        </is>
      </c>
    </row>
    <row r="169">
      <c r="A169" s="16" t="inlineStr">
        <is>
          <t>5 Jun</t>
        </is>
      </c>
      <c r="B169" s="16" t="inlineStr">
        <is>
          <t>37131</t>
        </is>
      </c>
      <c r="C169" s="16" t="n">
        <v>5406</v>
      </c>
      <c r="D169" s="16" t="n">
        <v>5406</v>
      </c>
      <c r="E169" s="16" t="n">
        <v>4137</v>
      </c>
      <c r="F169" s="38" t="n">
        <v>370178</v>
      </c>
      <c r="G169" s="38" t="n">
        <v>494966</v>
      </c>
      <c r="H169" s="38" t="n">
        <v>400400</v>
      </c>
      <c r="I169" s="38" t="n">
        <v>494312</v>
      </c>
      <c r="J169" s="19">
        <f>(I169-H169)/1000</f>
        <v/>
      </c>
      <c r="K169" s="16" t="inlineStr">
        <is>
          <t>Yes</t>
        </is>
      </c>
      <c r="L169" s="16" t="n">
        <v>23</v>
      </c>
      <c r="M169" s="39" t="inlineStr">
        <is>
          <t>- (full trip)</t>
        </is>
      </c>
    </row>
    <row r="170">
      <c r="A170" s="16" t="inlineStr">
        <is>
          <t>5 Jun</t>
        </is>
      </c>
      <c r="B170" s="16" t="inlineStr">
        <is>
          <t>37279</t>
        </is>
      </c>
      <c r="C170" s="16" t="n">
        <v>10168</v>
      </c>
      <c r="D170" s="16" t="n">
        <v>10168</v>
      </c>
      <c r="E170" s="16" t="n">
        <v>9350</v>
      </c>
      <c r="F170" s="38" t="n">
        <v>398297</v>
      </c>
      <c r="G170" s="38" t="n">
        <v>495781</v>
      </c>
      <c r="H170" s="38" t="n">
        <v>400399</v>
      </c>
      <c r="I170" s="38" t="n">
        <v>494310</v>
      </c>
      <c r="J170" s="19">
        <f>(I170-H170)/1000</f>
        <v/>
      </c>
      <c r="K170" s="16" t="inlineStr">
        <is>
          <t>Yes</t>
        </is>
      </c>
      <c r="L170" s="16" t="n">
        <v>23</v>
      </c>
      <c r="M170" s="39" t="inlineStr">
        <is>
          <t>- (full trip)</t>
        </is>
      </c>
    </row>
    <row r="171">
      <c r="A171" s="16" t="inlineStr">
        <is>
          <t>5 Jun</t>
        </is>
      </c>
      <c r="B171" s="16" t="inlineStr">
        <is>
          <t>37445</t>
        </is>
      </c>
      <c r="C171" s="16" t="n">
        <v>5165</v>
      </c>
      <c r="D171" s="16" t="n">
        <v>5165</v>
      </c>
      <c r="E171" s="16" t="n">
        <v>4056</v>
      </c>
      <c r="F171" s="38" t="n">
        <v>371405</v>
      </c>
      <c r="G171" s="38" t="n">
        <v>494982</v>
      </c>
      <c r="H171" s="38" t="n">
        <v>400402</v>
      </c>
      <c r="I171" s="38" t="n">
        <v>494312</v>
      </c>
      <c r="J171" s="19">
        <f>(I171-H171)/1000</f>
        <v/>
      </c>
      <c r="K171" s="16" t="inlineStr">
        <is>
          <t>Yes</t>
        </is>
      </c>
      <c r="L171" s="16" t="n">
        <v>23</v>
      </c>
      <c r="M171" s="39" t="inlineStr">
        <is>
          <t>- (full trip)</t>
        </is>
      </c>
    </row>
    <row r="172">
      <c r="A172" s="16" t="inlineStr">
        <is>
          <t>5 Jun</t>
        </is>
      </c>
      <c r="B172" s="16" t="inlineStr">
        <is>
          <t>37506</t>
        </is>
      </c>
      <c r="C172" s="16" t="n">
        <v>5365</v>
      </c>
      <c r="D172" s="16" t="n">
        <v>5365</v>
      </c>
      <c r="E172" s="16" t="n">
        <v>4240</v>
      </c>
      <c r="F172" s="38" t="n">
        <v>367686</v>
      </c>
      <c r="G172" s="38" t="n">
        <v>494968</v>
      </c>
      <c r="H172" s="38" t="n">
        <v>400399</v>
      </c>
      <c r="I172" s="38" t="n">
        <v>494310</v>
      </c>
      <c r="J172" s="19">
        <f>(I172-H172)/1000</f>
        <v/>
      </c>
      <c r="K172" s="16" t="inlineStr">
        <is>
          <t>Yes</t>
        </is>
      </c>
      <c r="L172" s="16" t="n">
        <v>23</v>
      </c>
      <c r="M172" s="39" t="inlineStr">
        <is>
          <t>- (full trip)</t>
        </is>
      </c>
    </row>
    <row r="173">
      <c r="A173" s="16" t="inlineStr">
        <is>
          <t>5 Jun</t>
        </is>
      </c>
      <c r="B173" s="16" t="inlineStr">
        <is>
          <t>37507</t>
        </is>
      </c>
      <c r="C173" s="16" t="n">
        <v>4115</v>
      </c>
      <c r="D173" s="16" t="n">
        <v>4115</v>
      </c>
      <c r="E173" s="16" t="n">
        <v>3412</v>
      </c>
      <c r="F173" s="38" t="n">
        <v>370010</v>
      </c>
      <c r="G173" s="38" t="n">
        <v>494969</v>
      </c>
      <c r="H173" s="38" t="n">
        <v>400401</v>
      </c>
      <c r="I173" s="38" t="n">
        <v>494312</v>
      </c>
      <c r="J173" s="19">
        <f>(I173-H173)/1000</f>
        <v/>
      </c>
      <c r="K173" s="16" t="inlineStr">
        <is>
          <t>Yes</t>
        </is>
      </c>
      <c r="L173" s="16" t="n">
        <v>23</v>
      </c>
      <c r="M173" s="39" t="inlineStr">
        <is>
          <t>- (full trip)</t>
        </is>
      </c>
    </row>
    <row r="174">
      <c r="A174" s="16" t="inlineStr">
        <is>
          <t>5 Jun</t>
        </is>
      </c>
      <c r="B174" s="16" t="inlineStr">
        <is>
          <t>37515</t>
        </is>
      </c>
      <c r="C174" s="16" t="n">
        <v>10129</v>
      </c>
      <c r="D174" s="16" t="n">
        <v>10129</v>
      </c>
      <c r="E174" s="16" t="n">
        <v>8083</v>
      </c>
      <c r="F174" s="38" t="n">
        <v>360751</v>
      </c>
      <c r="G174" s="38" t="n">
        <v>495808</v>
      </c>
      <c r="H174" s="38" t="n">
        <v>400405</v>
      </c>
      <c r="I174" s="38" t="n">
        <v>494312</v>
      </c>
      <c r="J174" s="19">
        <f>(I174-H174)/1000</f>
        <v/>
      </c>
      <c r="K174" s="16" t="inlineStr">
        <is>
          <t>Yes</t>
        </is>
      </c>
      <c r="L174" s="16" t="n">
        <v>23</v>
      </c>
      <c r="M174" s="39" t="inlineStr">
        <is>
          <t>- (full trip)</t>
        </is>
      </c>
    </row>
    <row r="175">
      <c r="A175" s="16" t="inlineStr">
        <is>
          <t>5 Jun</t>
        </is>
      </c>
      <c r="B175" s="16" t="inlineStr">
        <is>
          <t>39015</t>
        </is>
      </c>
      <c r="C175" s="16" t="n">
        <v>6412</v>
      </c>
      <c r="D175" s="16" t="n">
        <v>6412</v>
      </c>
      <c r="E175" s="16" t="n">
        <v>4730</v>
      </c>
      <c r="F175" s="38" t="n">
        <v>368107</v>
      </c>
      <c r="G175" s="38" t="n">
        <v>495808</v>
      </c>
      <c r="H175" s="38" t="n">
        <v>400413</v>
      </c>
      <c r="I175" s="38" t="n">
        <v>494310</v>
      </c>
      <c r="J175" s="19">
        <f>(I175-H175)/1000</f>
        <v/>
      </c>
      <c r="K175" s="16" t="inlineStr">
        <is>
          <t>Yes</t>
        </is>
      </c>
      <c r="L175" s="16" t="n">
        <v>23</v>
      </c>
      <c r="M175" s="39" t="inlineStr">
        <is>
          <t>- (full trip)</t>
        </is>
      </c>
    </row>
    <row r="176">
      <c r="A176" s="16" t="inlineStr">
        <is>
          <t>5 Jun</t>
        </is>
      </c>
      <c r="B176" s="16" t="inlineStr">
        <is>
          <t>30757</t>
        </is>
      </c>
      <c r="C176" s="16" t="n">
        <v>4687</v>
      </c>
      <c r="D176" s="16" t="n">
        <v>4687</v>
      </c>
      <c r="E176" s="16" t="n">
        <v>3689</v>
      </c>
      <c r="F176" s="38" t="n">
        <v>360440</v>
      </c>
      <c r="G176" s="38" t="n">
        <v>495470</v>
      </c>
      <c r="H176" s="38" t="n">
        <v>400419</v>
      </c>
      <c r="I176" s="38" t="n">
        <v>494309</v>
      </c>
      <c r="J176" s="19">
        <f>(I176-H176)/1000</f>
        <v/>
      </c>
      <c r="K176" s="16" t="inlineStr">
        <is>
          <t>Yes</t>
        </is>
      </c>
      <c r="L176" s="16" t="n">
        <v>23</v>
      </c>
      <c r="M176" s="39" t="inlineStr">
        <is>
          <t>- (full trip)</t>
        </is>
      </c>
    </row>
    <row r="177">
      <c r="A177" s="16" t="inlineStr">
        <is>
          <t>5 Jun</t>
        </is>
      </c>
      <c r="B177" s="16" t="inlineStr">
        <is>
          <t>30574</t>
        </is>
      </c>
      <c r="C177" s="16" t="n">
        <v>5212</v>
      </c>
      <c r="D177" s="16" t="n">
        <v>5212</v>
      </c>
      <c r="E177" s="16" t="n">
        <v>3968</v>
      </c>
      <c r="F177" s="38" t="n">
        <v>361907</v>
      </c>
      <c r="G177" s="38" t="n">
        <v>495823</v>
      </c>
      <c r="H177" s="38" t="n">
        <v>400426</v>
      </c>
      <c r="I177" s="38" t="n">
        <v>494310</v>
      </c>
      <c r="J177" s="19">
        <f>(I177-H177)/1000</f>
        <v/>
      </c>
      <c r="K177" s="16" t="inlineStr">
        <is>
          <t>Yes</t>
        </is>
      </c>
      <c r="L177" s="16" t="n">
        <v>23</v>
      </c>
      <c r="M177" s="39" t="inlineStr">
        <is>
          <t>- (full trip)</t>
        </is>
      </c>
    </row>
    <row r="178">
      <c r="A178" s="16" t="inlineStr">
        <is>
          <t>5 Jun</t>
        </is>
      </c>
      <c r="B178" s="16" t="inlineStr">
        <is>
          <t>30791</t>
        </is>
      </c>
      <c r="C178" s="16" t="n">
        <v>9632</v>
      </c>
      <c r="D178" s="16" t="n">
        <v>9632</v>
      </c>
      <c r="E178" s="16" t="n">
        <v>8050</v>
      </c>
      <c r="F178" s="38" t="n">
        <v>370491</v>
      </c>
      <c r="G178" s="38" t="n">
        <v>495710</v>
      </c>
      <c r="H178" s="38" t="n">
        <v>400431</v>
      </c>
      <c r="I178" s="38" t="n">
        <v>494312</v>
      </c>
      <c r="J178" s="19">
        <f>(I178-H178)/1000</f>
        <v/>
      </c>
      <c r="K178" s="16" t="inlineStr">
        <is>
          <t>Yes</t>
        </is>
      </c>
      <c r="L178" s="16" t="n">
        <v>23</v>
      </c>
      <c r="M178" s="39" t="inlineStr">
        <is>
          <t>- (full trip)</t>
        </is>
      </c>
    </row>
    <row r="179">
      <c r="A179" s="16" t="inlineStr">
        <is>
          <t>5 Jun</t>
        </is>
      </c>
      <c r="B179" s="16" t="inlineStr">
        <is>
          <t>39340</t>
        </is>
      </c>
      <c r="C179" s="16" t="n">
        <v>4663</v>
      </c>
      <c r="D179" s="16" t="n">
        <v>4510</v>
      </c>
      <c r="E179" s="16" t="n">
        <v>3777</v>
      </c>
      <c r="F179" s="38" t="n">
        <v>367808</v>
      </c>
      <c r="G179" s="38" t="n">
        <v>494992</v>
      </c>
      <c r="H179" s="38" t="n">
        <v>400439</v>
      </c>
      <c r="I179" s="38" t="n">
        <v>494312</v>
      </c>
      <c r="J179" s="19">
        <f>(I179-H179)/1000</f>
        <v/>
      </c>
      <c r="K179" s="16" t="inlineStr">
        <is>
          <t>Yes</t>
        </is>
      </c>
      <c r="L179" s="16" t="n">
        <v>23</v>
      </c>
      <c r="M179" s="39" t="inlineStr">
        <is>
          <t>- (full trip)</t>
        </is>
      </c>
    </row>
    <row r="180">
      <c r="A180" s="16" t="inlineStr">
        <is>
          <t>5 Jun</t>
        </is>
      </c>
      <c r="B180" s="16" t="inlineStr">
        <is>
          <t>42012</t>
        </is>
      </c>
      <c r="C180" s="16" t="n">
        <v>6106</v>
      </c>
      <c r="D180" s="16" t="n">
        <v>6106</v>
      </c>
      <c r="E180" s="16" t="n">
        <v>4906</v>
      </c>
      <c r="F180" s="38" t="n">
        <v>360687</v>
      </c>
      <c r="G180" s="38" t="n">
        <v>495713</v>
      </c>
      <c r="H180" s="38" t="n">
        <v>400445</v>
      </c>
      <c r="I180" s="38" t="n">
        <v>494312</v>
      </c>
      <c r="J180" s="19">
        <f>(I180-H180)/1000</f>
        <v/>
      </c>
      <c r="K180" s="16" t="inlineStr">
        <is>
          <t>Yes</t>
        </is>
      </c>
      <c r="L180" s="16" t="n">
        <v>23</v>
      </c>
      <c r="M180" s="39" t="inlineStr">
        <is>
          <t>- (full trip)</t>
        </is>
      </c>
    </row>
    <row r="181">
      <c r="A181" s="16" t="inlineStr">
        <is>
          <t>5 Jun</t>
        </is>
      </c>
      <c r="B181" s="16" t="inlineStr">
        <is>
          <t>30480</t>
        </is>
      </c>
      <c r="C181" s="16" t="n">
        <v>6315</v>
      </c>
      <c r="D181" s="16" t="n">
        <v>6315</v>
      </c>
      <c r="E181" s="16" t="n">
        <v>6038</v>
      </c>
      <c r="F181" s="38" t="n">
        <v>400992</v>
      </c>
      <c r="G181" s="38" t="n">
        <v>495801</v>
      </c>
      <c r="H181" s="38" t="n">
        <v>400992</v>
      </c>
      <c r="I181" s="38" t="n">
        <v>494310</v>
      </c>
      <c r="J181" s="19">
        <f>(I181-H181)/1000</f>
        <v/>
      </c>
      <c r="K181" s="16" t="inlineStr">
        <is>
          <t>Yes</t>
        </is>
      </c>
      <c r="L181" s="16" t="n">
        <v>23</v>
      </c>
      <c r="M181" s="39" t="inlineStr">
        <is>
          <t>- (full trip)</t>
        </is>
      </c>
    </row>
    <row r="182">
      <c r="A182" s="16" t="inlineStr">
        <is>
          <t>5 Jun</t>
        </is>
      </c>
      <c r="B182" s="16" t="inlineStr">
        <is>
          <t>39334</t>
        </is>
      </c>
      <c r="C182" s="16" t="n">
        <v>5725</v>
      </c>
      <c r="D182" s="16" t="n">
        <v>5725</v>
      </c>
      <c r="E182" s="16" t="n">
        <v>5468</v>
      </c>
      <c r="F182" s="38" t="n">
        <v>400991</v>
      </c>
      <c r="G182" s="38" t="n">
        <v>494982</v>
      </c>
      <c r="H182" s="38" t="n">
        <v>400991</v>
      </c>
      <c r="I182" s="38" t="n">
        <v>494310</v>
      </c>
      <c r="J182" s="19">
        <f>(I182-H182)/1000</f>
        <v/>
      </c>
      <c r="K182" s="16" t="inlineStr">
        <is>
          <t>Yes</t>
        </is>
      </c>
      <c r="L182" s="16" t="n">
        <v>23</v>
      </c>
      <c r="M182" s="39" t="inlineStr">
        <is>
          <t>- (full trip)</t>
        </is>
      </c>
    </row>
    <row r="183">
      <c r="A183" s="16" t="inlineStr">
        <is>
          <t>5 Jun</t>
        </is>
      </c>
      <c r="B183" s="16" t="inlineStr">
        <is>
          <t>37328</t>
        </is>
      </c>
      <c r="C183" s="16" t="n">
        <v>6140</v>
      </c>
      <c r="D183" s="16" t="n">
        <v>6140</v>
      </c>
      <c r="E183" s="16" t="n">
        <v>5867</v>
      </c>
      <c r="F183" s="38" t="n">
        <v>400997</v>
      </c>
      <c r="G183" s="38" t="n">
        <v>495792</v>
      </c>
      <c r="H183" s="38" t="n">
        <v>400997</v>
      </c>
      <c r="I183" s="38" t="n">
        <v>494310</v>
      </c>
      <c r="J183" s="19">
        <f>(I183-H183)/1000</f>
        <v/>
      </c>
      <c r="K183" s="16" t="inlineStr">
        <is>
          <t>Yes</t>
        </is>
      </c>
      <c r="L183" s="16" t="n">
        <v>23</v>
      </c>
      <c r="M183" s="39" t="inlineStr">
        <is>
          <t>- (full trip)</t>
        </is>
      </c>
    </row>
    <row r="184">
      <c r="A184" s="16" t="inlineStr">
        <is>
          <t>5 Jun</t>
        </is>
      </c>
      <c r="B184" s="16" t="inlineStr">
        <is>
          <t>37582</t>
        </is>
      </c>
      <c r="C184" s="16" t="n">
        <v>3698</v>
      </c>
      <c r="D184" s="16" t="n">
        <v>3644</v>
      </c>
      <c r="E184" s="16" t="n">
        <v>3484</v>
      </c>
      <c r="F184" s="38" t="n">
        <v>400993</v>
      </c>
      <c r="G184" s="38" t="n">
        <v>495710</v>
      </c>
      <c r="H184" s="38" t="n">
        <v>400993</v>
      </c>
      <c r="I184" s="38" t="n">
        <v>494308</v>
      </c>
      <c r="J184" s="19">
        <f>(I184-H184)/1000</f>
        <v/>
      </c>
      <c r="K184" s="16" t="inlineStr">
        <is>
          <t>Yes</t>
        </is>
      </c>
      <c r="L184" s="16" t="n">
        <v>23</v>
      </c>
      <c r="M184" s="39" t="inlineStr">
        <is>
          <t>- (full trip)</t>
        </is>
      </c>
    </row>
    <row r="185">
      <c r="A185" s="16" t="inlineStr">
        <is>
          <t>5 Jun</t>
        </is>
      </c>
      <c r="B185" s="16" t="inlineStr">
        <is>
          <t>37286</t>
        </is>
      </c>
      <c r="C185" s="16" t="n">
        <v>5004</v>
      </c>
      <c r="D185" s="16" t="n">
        <v>5004</v>
      </c>
      <c r="E185" s="16" t="n">
        <v>4724</v>
      </c>
      <c r="F185" s="38" t="n">
        <v>416579</v>
      </c>
      <c r="G185" s="38" t="n">
        <v>494896</v>
      </c>
      <c r="H185" s="38" t="n">
        <v>416579</v>
      </c>
      <c r="I185" s="38" t="n">
        <v>494311</v>
      </c>
      <c r="J185" s="19">
        <f>(I185-H185)/1000</f>
        <v/>
      </c>
      <c r="K185" s="16" t="inlineStr">
        <is>
          <t>Yes</t>
        </is>
      </c>
      <c r="L185" s="16" t="n">
        <v>20</v>
      </c>
      <c r="M185" s="39" t="inlineStr">
        <is>
          <t>BAJWA, RANOLI, LC-246</t>
        </is>
      </c>
    </row>
    <row r="186" ht="34" customHeight="1">
      <c r="A186" s="16" t="inlineStr">
        <is>
          <t>5 Jun</t>
        </is>
      </c>
      <c r="B186" s="16" t="inlineStr">
        <is>
          <t>37287</t>
        </is>
      </c>
      <c r="C186" s="16" t="n">
        <v>5257</v>
      </c>
      <c r="D186" s="16" t="n">
        <v>5257</v>
      </c>
      <c r="E186" s="16" t="n">
        <v>5257</v>
      </c>
      <c r="F186" s="38" t="n">
        <v>400993</v>
      </c>
      <c r="G186" s="38" t="n">
        <v>468217</v>
      </c>
      <c r="H186" s="38" t="n">
        <v>400993</v>
      </c>
      <c r="I186" s="38" t="n">
        <v>468217</v>
      </c>
      <c r="J186" s="19">
        <f>(I186-H186)/1000</f>
        <v/>
      </c>
      <c r="K186" s="16" t="inlineStr">
        <is>
          <t>Yes</t>
        </is>
      </c>
      <c r="L186" s="16" t="n">
        <v>16</v>
      </c>
      <c r="M186" s="39" t="inlineStr">
        <is>
          <t>LC-294, KANIJ, BAREJADI NANDEJ, GERATPUR, VATVA, KANKARIYA CABIN, AHMEDABAD Jn</t>
        </is>
      </c>
    </row>
    <row r="187" ht="49" customHeight="1">
      <c r="A187" s="16" t="inlineStr">
        <is>
          <t>5 Jun</t>
        </is>
      </c>
      <c r="B187" s="16" t="inlineStr">
        <is>
          <t>39066</t>
        </is>
      </c>
      <c r="C187" s="16" t="n">
        <v>5456</v>
      </c>
      <c r="D187" s="16" t="n">
        <v>5456</v>
      </c>
      <c r="E187" s="16" t="n">
        <v>3772</v>
      </c>
      <c r="F187" s="38" t="n">
        <v>363451</v>
      </c>
      <c r="G187" s="38" t="n">
        <v>455301</v>
      </c>
      <c r="H187" s="38" t="n">
        <v>400401</v>
      </c>
      <c r="I187" s="38" t="n">
        <v>455301</v>
      </c>
      <c r="J187" s="19">
        <f>(I187-H187)/1000</f>
        <v/>
      </c>
      <c r="K187" s="16" t="inlineStr">
        <is>
          <t>Yes</t>
        </is>
      </c>
      <c r="L187" s="16" t="n">
        <v>13</v>
      </c>
      <c r="M187" s="39" t="inlineStr">
        <is>
          <t>GOTHAJ, LC-286, MAHEMDABAD AND KHEDA ROAD, LC-294, KANIJ, BAREJADI NANDEJ, GERATPUR, VATVA, KANKARIYA CABIN, AHMEDABAD Jn</t>
        </is>
      </c>
    </row>
    <row r="188" ht="49" customHeight="1">
      <c r="A188" s="16" t="inlineStr">
        <is>
          <t>5 Jun</t>
        </is>
      </c>
      <c r="B188" s="16" t="inlineStr">
        <is>
          <t>37163</t>
        </is>
      </c>
      <c r="C188" s="16" t="n">
        <v>2921</v>
      </c>
      <c r="D188" s="16" t="n">
        <v>2921</v>
      </c>
      <c r="E188" s="16" t="n">
        <v>1463</v>
      </c>
      <c r="F188" s="38" t="n">
        <v>369832</v>
      </c>
      <c r="G188" s="38" t="n">
        <v>453615</v>
      </c>
      <c r="H188" s="38" t="n">
        <v>400401</v>
      </c>
      <c r="I188" s="38" t="n">
        <v>453615</v>
      </c>
      <c r="J188" s="19">
        <f>(I188-H188)/1000</f>
        <v/>
      </c>
      <c r="K188" s="16" t="inlineStr">
        <is>
          <t>Yes</t>
        </is>
      </c>
      <c r="L188" s="16" t="n">
        <v>13</v>
      </c>
      <c r="M188" s="39" t="inlineStr">
        <is>
          <t>GOTHAJ, LC-286, MAHEMDABAD AND KHEDA ROAD, LC-294, KANIJ, BAREJADI NANDEJ, GERATPUR, VATVA, KANKARIYA CABIN, AHMEDABAD Jn</t>
        </is>
      </c>
    </row>
    <row r="189" ht="49" customHeight="1">
      <c r="A189" s="16" t="inlineStr">
        <is>
          <t>5 Jun</t>
        </is>
      </c>
      <c r="B189" s="16" t="inlineStr">
        <is>
          <t>37470</t>
        </is>
      </c>
      <c r="C189" s="16" t="n">
        <v>2161</v>
      </c>
      <c r="D189" s="16" t="n">
        <v>2161</v>
      </c>
      <c r="E189" s="16" t="n">
        <v>917</v>
      </c>
      <c r="F189" s="38" t="n">
        <v>369986</v>
      </c>
      <c r="G189" s="38" t="n">
        <v>450817</v>
      </c>
      <c r="H189" s="38" t="n">
        <v>400437</v>
      </c>
      <c r="I189" s="38" t="n">
        <v>450817</v>
      </c>
      <c r="J189" s="19">
        <f>(I189-H189)/1000</f>
        <v/>
      </c>
      <c r="K189" s="16" t="inlineStr">
        <is>
          <t>Yes</t>
        </is>
      </c>
      <c r="L189" s="16" t="n">
        <v>12</v>
      </c>
      <c r="M189" s="39" t="inlineStr">
        <is>
          <t>LC-278, GOTHAJ, LC-286, MAHEMDABAD AND KHEDA ROAD, LC-294, KANIJ, BAREJADI NANDEJ, GERATPUR, VATVA, KANKARIYA CABIN, AHMEDABAD Jn</t>
        </is>
      </c>
    </row>
    <row r="190" ht="34" customHeight="1">
      <c r="A190" s="16" t="inlineStr">
        <is>
          <t>5 Jun</t>
        </is>
      </c>
      <c r="B190" s="16" t="inlineStr">
        <is>
          <t>37396</t>
        </is>
      </c>
      <c r="C190" s="16" t="n">
        <v>2552</v>
      </c>
      <c r="D190" s="16" t="n">
        <v>2519</v>
      </c>
      <c r="E190" s="16" t="n">
        <v>2258</v>
      </c>
      <c r="F190" s="38" t="n">
        <v>445009</v>
      </c>
      <c r="G190" s="38" t="n">
        <v>494985</v>
      </c>
      <c r="H190" s="38" t="n">
        <v>445009</v>
      </c>
      <c r="I190" s="38" t="n">
        <v>494310</v>
      </c>
      <c r="J190" s="19">
        <f>(I190-H190)/1000</f>
        <v/>
      </c>
      <c r="K190" s="16" t="inlineStr">
        <is>
          <t>Yes</t>
        </is>
      </c>
      <c r="L190" s="16" t="n">
        <v>13</v>
      </c>
      <c r="M190" s="39" t="inlineStr">
        <is>
          <t>BAJWA, RANOLI, LC-246, VASAD, ADAS ROAD, VADOD, LC-258, ANAND Jn, LC-264, KANJARI BORIYAVI</t>
        </is>
      </c>
    </row>
    <row r="191" ht="34" customHeight="1">
      <c r="A191" s="16" t="inlineStr">
        <is>
          <t>5 Jun</t>
        </is>
      </c>
      <c r="B191" s="16" t="inlineStr">
        <is>
          <t>37579</t>
        </is>
      </c>
      <c r="C191" s="16" t="n">
        <v>2172</v>
      </c>
      <c r="D191" s="16" t="n">
        <v>2172</v>
      </c>
      <c r="E191" s="16" t="n">
        <v>1882</v>
      </c>
      <c r="F191" s="38" t="n">
        <v>454573</v>
      </c>
      <c r="G191" s="38" t="n">
        <v>495010</v>
      </c>
      <c r="H191" s="38" t="n">
        <v>454573</v>
      </c>
      <c r="I191" s="38" t="n">
        <v>494312</v>
      </c>
      <c r="J191" s="19">
        <f>(I191-H191)/1000</f>
        <v/>
      </c>
      <c r="K191" s="16" t="inlineStr">
        <is>
          <t>Yes</t>
        </is>
      </c>
      <c r="L191" s="16" t="n">
        <v>11</v>
      </c>
      <c r="M191" s="39" t="inlineStr">
        <is>
          <t>BAJWA, RANOLI, LC-246, VASAD, ADAS ROAD, VADOD, LC-258, ANAND Jn, LC-264, KANJARI BORIYAVI, UTARSANDA, NADIAD</t>
        </is>
      </c>
    </row>
    <row r="192" ht="49" customHeight="1">
      <c r="A192" s="16" t="inlineStr">
        <is>
          <t>5 Jun</t>
        </is>
      </c>
      <c r="B192" s="16" t="inlineStr">
        <is>
          <t>37383</t>
        </is>
      </c>
      <c r="C192" s="16" t="n">
        <v>4555</v>
      </c>
      <c r="D192" s="16" t="n">
        <v>4555</v>
      </c>
      <c r="E192" s="16" t="n">
        <v>2045</v>
      </c>
      <c r="F192" s="38" t="n">
        <v>367900</v>
      </c>
      <c r="G192" s="38" t="n">
        <v>438695</v>
      </c>
      <c r="H192" s="38" t="n">
        <v>400409</v>
      </c>
      <c r="I192" s="38" t="n">
        <v>438695</v>
      </c>
      <c r="J192" s="19">
        <f>(I192-H192)/1000</f>
        <v/>
      </c>
      <c r="K192" s="16" t="inlineStr">
        <is>
          <t>Yes</t>
        </is>
      </c>
      <c r="L192" s="16" t="n">
        <v>10</v>
      </c>
      <c r="M192" s="39" t="inlineStr">
        <is>
          <t>UTARSANDA, NADIAD, LC-278, GOTHAJ, LC-286, MAHEMDABAD AND KHEDA ROAD, LC-294, KANIJ, BAREJADI NANDEJ, GERATPUR, VATVA, KANKARIYA CABIN, AHMEDABAD Jn</t>
        </is>
      </c>
    </row>
    <row r="193" ht="49" customHeight="1">
      <c r="A193" s="16" t="inlineStr">
        <is>
          <t>5 Jun</t>
        </is>
      </c>
      <c r="B193" s="16" t="inlineStr">
        <is>
          <t>41909</t>
        </is>
      </c>
      <c r="C193" s="16" t="n">
        <v>3393</v>
      </c>
      <c r="D193" s="16" t="n">
        <v>3393</v>
      </c>
      <c r="E193" s="16" t="n">
        <v>3080</v>
      </c>
      <c r="F193" s="38" t="n">
        <v>398466</v>
      </c>
      <c r="G193" s="38" t="n">
        <v>437318</v>
      </c>
      <c r="H193" s="38" t="n">
        <v>400403</v>
      </c>
      <c r="I193" s="38" t="n">
        <v>437318</v>
      </c>
      <c r="J193" s="19">
        <f>(I193-H193)/1000</f>
        <v/>
      </c>
      <c r="K193" s="16" t="inlineStr">
        <is>
          <t>Yes</t>
        </is>
      </c>
      <c r="L193" s="16" t="n">
        <v>10</v>
      </c>
      <c r="M193" s="39" t="inlineStr">
        <is>
          <t>UTARSANDA, NADIAD, LC-278, GOTHAJ, LC-286, MAHEMDABAD AND KHEDA ROAD, LC-294, KANIJ, BAREJADI NANDEJ, GERATPUR, VATVA, KANKARIYA CABIN, AHMEDABAD Jn</t>
        </is>
      </c>
    </row>
    <row r="194" ht="49" customHeight="1">
      <c r="A194" s="16" t="inlineStr">
        <is>
          <t>5 Jun</t>
        </is>
      </c>
      <c r="B194" s="16" t="inlineStr">
        <is>
          <t>39046</t>
        </is>
      </c>
      <c r="C194" s="16" t="n">
        <v>1725</v>
      </c>
      <c r="D194" s="16" t="n">
        <v>1725</v>
      </c>
      <c r="E194" s="16" t="n">
        <v>787</v>
      </c>
      <c r="F194" s="38" t="n">
        <v>375543</v>
      </c>
      <c r="G194" s="38" t="n">
        <v>437102</v>
      </c>
      <c r="H194" s="38" t="n">
        <v>400497</v>
      </c>
      <c r="I194" s="38" t="n">
        <v>437102</v>
      </c>
      <c r="J194" s="19">
        <f>(I194-H194)/1000</f>
        <v/>
      </c>
      <c r="K194" s="16" t="inlineStr">
        <is>
          <t>Yes</t>
        </is>
      </c>
      <c r="L194" s="16" t="n">
        <v>10</v>
      </c>
      <c r="M194" s="39" t="inlineStr">
        <is>
          <t>UTARSANDA, NADIAD, LC-278, GOTHAJ, LC-286, MAHEMDABAD AND KHEDA ROAD, LC-294, KANIJ, BAREJADI NANDEJ, GERATPUR, VATVA, KANKARIYA CABIN, AHMEDABAD Jn</t>
        </is>
      </c>
    </row>
    <row r="195" ht="49" customHeight="1">
      <c r="A195" s="16" t="inlineStr">
        <is>
          <t>5 Jun</t>
        </is>
      </c>
      <c r="B195" s="16" t="inlineStr">
        <is>
          <t>39239</t>
        </is>
      </c>
      <c r="C195" s="16" t="n">
        <v>2321</v>
      </c>
      <c r="D195" s="16" t="n">
        <v>2321</v>
      </c>
      <c r="E195" s="16" t="n">
        <v>797</v>
      </c>
      <c r="F195" s="38" t="n">
        <v>363362</v>
      </c>
      <c r="G195" s="38" t="n">
        <v>436916</v>
      </c>
      <c r="H195" s="38" t="n">
        <v>400406</v>
      </c>
      <c r="I195" s="38" t="n">
        <v>436916</v>
      </c>
      <c r="J195" s="19">
        <f>(I195-H195)/1000</f>
        <v/>
      </c>
      <c r="K195" s="16" t="inlineStr">
        <is>
          <t>Yes</t>
        </is>
      </c>
      <c r="L195" s="16" t="n">
        <v>10</v>
      </c>
      <c r="M195" s="39" t="inlineStr">
        <is>
          <t>UTARSANDA, NADIAD, LC-278, GOTHAJ, LC-286, MAHEMDABAD AND KHEDA ROAD, LC-294, KANIJ, BAREJADI NANDEJ, GERATPUR, VATVA, KANKARIYA CABIN, AHMEDABAD Jn</t>
        </is>
      </c>
    </row>
    <row r="196" ht="64" customHeight="1">
      <c r="A196" s="16" t="inlineStr">
        <is>
          <t>5 Jun</t>
        </is>
      </c>
      <c r="B196" s="16" t="inlineStr">
        <is>
          <t>37337</t>
        </is>
      </c>
      <c r="C196" s="16" t="n">
        <v>1091</v>
      </c>
      <c r="D196" s="16" t="n">
        <v>1091</v>
      </c>
      <c r="E196" s="16" t="n">
        <v>268</v>
      </c>
      <c r="F196" s="38" t="n">
        <v>370055</v>
      </c>
      <c r="G196" s="38" t="n">
        <v>402382</v>
      </c>
      <c r="H196" s="38" t="n">
        <v>400401</v>
      </c>
      <c r="I196" s="38" t="n">
        <v>402382</v>
      </c>
      <c r="J196" s="19">
        <f>(I196-H196)/1000</f>
        <v/>
      </c>
      <c r="K196" s="16" t="inlineStr">
        <is>
          <t>Yes</t>
        </is>
      </c>
      <c r="L196" s="16" t="n">
        <v>1</v>
      </c>
      <c r="M196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97" ht="64" customHeight="1">
      <c r="A197" s="34" t="inlineStr">
        <is>
          <t>5 Jun</t>
        </is>
      </c>
      <c r="B197" s="34" t="inlineStr">
        <is>
          <t>30114</t>
        </is>
      </c>
      <c r="C197" s="34" t="n">
        <v>3</v>
      </c>
      <c r="D197" s="34" t="n">
        <v>0</v>
      </c>
      <c r="E197" s="34" t="n">
        <v>0</v>
      </c>
      <c r="F197" s="40" t="inlineStr">
        <is>
          <t>-</t>
        </is>
      </c>
      <c r="G197" s="40" t="inlineStr">
        <is>
          <t>-</t>
        </is>
      </c>
      <c r="H197" s="40" t="inlineStr">
        <is>
          <t>-</t>
        </is>
      </c>
      <c r="I197" s="40" t="inlineStr">
        <is>
          <t>-</t>
        </is>
      </c>
      <c r="J197" s="41" t="n">
        <v>0</v>
      </c>
      <c r="K197" s="34" t="inlineStr">
        <is>
          <t>No</t>
        </is>
      </c>
      <c r="L197" s="34" t="n">
        <v>0</v>
      </c>
      <c r="M19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98" ht="64" customHeight="1">
      <c r="A198" s="34" t="inlineStr">
        <is>
          <t>5 Jun</t>
        </is>
      </c>
      <c r="B198" s="34" t="inlineStr">
        <is>
          <t>30606</t>
        </is>
      </c>
      <c r="C198" s="34" t="n">
        <v>6</v>
      </c>
      <c r="D198" s="34" t="n">
        <v>0</v>
      </c>
      <c r="E198" s="34" t="n">
        <v>0</v>
      </c>
      <c r="F198" s="40" t="inlineStr">
        <is>
          <t>-</t>
        </is>
      </c>
      <c r="G198" s="40" t="inlineStr">
        <is>
          <t>-</t>
        </is>
      </c>
      <c r="H198" s="40" t="inlineStr">
        <is>
          <t>-</t>
        </is>
      </c>
      <c r="I198" s="40" t="inlineStr">
        <is>
          <t>-</t>
        </is>
      </c>
      <c r="J198" s="41" t="n">
        <v>0</v>
      </c>
      <c r="K198" s="34" t="inlineStr">
        <is>
          <t>No</t>
        </is>
      </c>
      <c r="L198" s="34" t="n">
        <v>0</v>
      </c>
      <c r="M19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99" ht="64" customHeight="1">
      <c r="A199" s="34" t="inlineStr">
        <is>
          <t>5 Jun</t>
        </is>
      </c>
      <c r="B199" s="34" t="inlineStr">
        <is>
          <t>32354</t>
        </is>
      </c>
      <c r="C199" s="34" t="n">
        <v>60</v>
      </c>
      <c r="D199" s="34" t="n">
        <v>60</v>
      </c>
      <c r="E199" s="34" t="n">
        <v>0</v>
      </c>
      <c r="F199" s="40" t="n">
        <v>294</v>
      </c>
      <c r="G199" s="40" t="n">
        <v>392397</v>
      </c>
      <c r="H199" s="40" t="inlineStr">
        <is>
          <t>-</t>
        </is>
      </c>
      <c r="I199" s="40" t="inlineStr">
        <is>
          <t>-</t>
        </is>
      </c>
      <c r="J199" s="41" t="n">
        <v>0</v>
      </c>
      <c r="K199" s="34" t="inlineStr">
        <is>
          <t>No</t>
        </is>
      </c>
      <c r="L199" s="34" t="n">
        <v>0</v>
      </c>
      <c r="M19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0" ht="64" customHeight="1">
      <c r="A200" s="34" t="inlineStr">
        <is>
          <t>5 Jun</t>
        </is>
      </c>
      <c r="B200" s="34" t="inlineStr">
        <is>
          <t>37072</t>
        </is>
      </c>
      <c r="C200" s="34" t="n">
        <v>185</v>
      </c>
      <c r="D200" s="34" t="n">
        <v>114</v>
      </c>
      <c r="E200" s="34" t="n">
        <v>0</v>
      </c>
      <c r="F200" s="40" t="n">
        <v>494817</v>
      </c>
      <c r="G200" s="40" t="n">
        <v>494902</v>
      </c>
      <c r="H200" s="40" t="inlineStr">
        <is>
          <t>-</t>
        </is>
      </c>
      <c r="I200" s="40" t="inlineStr">
        <is>
          <t>-</t>
        </is>
      </c>
      <c r="J200" s="41" t="n">
        <v>0</v>
      </c>
      <c r="K200" s="34" t="inlineStr">
        <is>
          <t>No</t>
        </is>
      </c>
      <c r="L200" s="34" t="n">
        <v>0</v>
      </c>
      <c r="M20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1" ht="64" customHeight="1">
      <c r="A201" s="34" t="inlineStr">
        <is>
          <t>5 Jun</t>
        </is>
      </c>
      <c r="B201" s="34" t="inlineStr">
        <is>
          <t>37627</t>
        </is>
      </c>
      <c r="C201" s="34" t="n">
        <v>761</v>
      </c>
      <c r="D201" s="34" t="n">
        <v>761</v>
      </c>
      <c r="E201" s="34" t="n">
        <v>0</v>
      </c>
      <c r="F201" s="40" t="n">
        <v>367877</v>
      </c>
      <c r="G201" s="40" t="n">
        <v>396636</v>
      </c>
      <c r="H201" s="40" t="inlineStr">
        <is>
          <t>-</t>
        </is>
      </c>
      <c r="I201" s="40" t="inlineStr">
        <is>
          <t>-</t>
        </is>
      </c>
      <c r="J201" s="41" t="n">
        <v>0</v>
      </c>
      <c r="K201" s="34" t="inlineStr">
        <is>
          <t>No</t>
        </is>
      </c>
      <c r="L201" s="34" t="n">
        <v>0</v>
      </c>
      <c r="M20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2" ht="64" customHeight="1">
      <c r="A202" s="34" t="inlineStr">
        <is>
          <t>5 Jun</t>
        </is>
      </c>
      <c r="B202" s="34" t="inlineStr">
        <is>
          <t>37746</t>
        </is>
      </c>
      <c r="C202" s="34" t="n">
        <v>246</v>
      </c>
      <c r="D202" s="34" t="n">
        <v>198</v>
      </c>
      <c r="E202" s="34" t="n">
        <v>0</v>
      </c>
      <c r="F202" s="40" t="n">
        <v>2500010</v>
      </c>
      <c r="G202" s="40" t="n">
        <v>2500596</v>
      </c>
      <c r="H202" s="40" t="inlineStr">
        <is>
          <t>-</t>
        </is>
      </c>
      <c r="I202" s="40" t="inlineStr">
        <is>
          <t>-</t>
        </is>
      </c>
      <c r="J202" s="41" t="n">
        <v>0</v>
      </c>
      <c r="K202" s="34" t="inlineStr">
        <is>
          <t>No</t>
        </is>
      </c>
      <c r="L202" s="34" t="n">
        <v>0</v>
      </c>
      <c r="M20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3" ht="64" customHeight="1">
      <c r="A203" s="34" t="inlineStr">
        <is>
          <t>5 Jun</t>
        </is>
      </c>
      <c r="B203" s="34" t="inlineStr">
        <is>
          <t>37830</t>
        </is>
      </c>
      <c r="C203" s="34" t="n">
        <v>548</v>
      </c>
      <c r="D203" s="34" t="n">
        <v>548</v>
      </c>
      <c r="E203" s="34" t="n">
        <v>0</v>
      </c>
      <c r="F203" s="40" t="n">
        <v>361161</v>
      </c>
      <c r="G203" s="40" t="n">
        <v>395943</v>
      </c>
      <c r="H203" s="40" t="inlineStr">
        <is>
          <t>-</t>
        </is>
      </c>
      <c r="I203" s="40" t="inlineStr">
        <is>
          <t>-</t>
        </is>
      </c>
      <c r="J203" s="41" t="n">
        <v>0</v>
      </c>
      <c r="K203" s="34" t="inlineStr">
        <is>
          <t>No</t>
        </is>
      </c>
      <c r="L203" s="34" t="n">
        <v>0</v>
      </c>
      <c r="M20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4" ht="64" customHeight="1">
      <c r="A204" s="34" t="inlineStr">
        <is>
          <t>5 Jun</t>
        </is>
      </c>
      <c r="B204" s="34" t="inlineStr">
        <is>
          <t>37943</t>
        </is>
      </c>
      <c r="C204" s="34" t="n">
        <v>375</v>
      </c>
      <c r="D204" s="34" t="n">
        <v>375</v>
      </c>
      <c r="E204" s="34" t="n">
        <v>0</v>
      </c>
      <c r="F204" s="40" t="n">
        <v>360567</v>
      </c>
      <c r="G204" s="40" t="n">
        <v>395404</v>
      </c>
      <c r="H204" s="40" t="inlineStr">
        <is>
          <t>-</t>
        </is>
      </c>
      <c r="I204" s="40" t="inlineStr">
        <is>
          <t>-</t>
        </is>
      </c>
      <c r="J204" s="41" t="n">
        <v>0</v>
      </c>
      <c r="K204" s="34" t="inlineStr">
        <is>
          <t>No</t>
        </is>
      </c>
      <c r="L204" s="34" t="n">
        <v>0</v>
      </c>
      <c r="M20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5" ht="64" customHeight="1">
      <c r="A205" s="34" t="inlineStr">
        <is>
          <t>5 Jun</t>
        </is>
      </c>
      <c r="B205" s="34" t="inlineStr">
        <is>
          <t>39089</t>
        </is>
      </c>
      <c r="C205" s="34" t="n">
        <v>512</v>
      </c>
      <c r="D205" s="34" t="n">
        <v>512</v>
      </c>
      <c r="E205" s="34" t="n">
        <v>0</v>
      </c>
      <c r="F205" s="40" t="n">
        <v>367919</v>
      </c>
      <c r="G205" s="40" t="n">
        <v>395900</v>
      </c>
      <c r="H205" s="40" t="inlineStr">
        <is>
          <t>-</t>
        </is>
      </c>
      <c r="I205" s="40" t="inlineStr">
        <is>
          <t>-</t>
        </is>
      </c>
      <c r="J205" s="41" t="n">
        <v>0</v>
      </c>
      <c r="K205" s="34" t="inlineStr">
        <is>
          <t>No</t>
        </is>
      </c>
      <c r="L205" s="34" t="n">
        <v>0</v>
      </c>
      <c r="M20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6" ht="64" customHeight="1">
      <c r="A206" s="34" t="inlineStr">
        <is>
          <t>5 Jun</t>
        </is>
      </c>
      <c r="B206" s="34" t="inlineStr">
        <is>
          <t>39194</t>
        </is>
      </c>
      <c r="C206" s="34" t="n">
        <v>9</v>
      </c>
      <c r="D206" s="34" t="n">
        <v>1</v>
      </c>
      <c r="E206" s="34" t="n">
        <v>0</v>
      </c>
      <c r="F206" s="40" t="n">
        <v>398663</v>
      </c>
      <c r="G206" s="40" t="n">
        <v>398663</v>
      </c>
      <c r="H206" s="40" t="inlineStr">
        <is>
          <t>-</t>
        </is>
      </c>
      <c r="I206" s="40" t="inlineStr">
        <is>
          <t>-</t>
        </is>
      </c>
      <c r="J206" s="41" t="n">
        <v>0</v>
      </c>
      <c r="K206" s="34" t="inlineStr">
        <is>
          <t>No</t>
        </is>
      </c>
      <c r="L206" s="34" t="n">
        <v>0</v>
      </c>
      <c r="M20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7" ht="64" customHeight="1">
      <c r="A207" s="34" t="inlineStr">
        <is>
          <t>5 Jun</t>
        </is>
      </c>
      <c r="B207" s="34" t="inlineStr">
        <is>
          <t>39236</t>
        </is>
      </c>
      <c r="C207" s="34" t="n">
        <v>396</v>
      </c>
      <c r="D207" s="34" t="n">
        <v>370</v>
      </c>
      <c r="E207" s="34" t="n">
        <v>0</v>
      </c>
      <c r="F207" s="40" t="n">
        <v>360757</v>
      </c>
      <c r="G207" s="40" t="n">
        <v>395920</v>
      </c>
      <c r="H207" s="40" t="inlineStr">
        <is>
          <t>-</t>
        </is>
      </c>
      <c r="I207" s="40" t="inlineStr">
        <is>
          <t>-</t>
        </is>
      </c>
      <c r="J207" s="41" t="n">
        <v>0</v>
      </c>
      <c r="K207" s="34" t="inlineStr">
        <is>
          <t>No</t>
        </is>
      </c>
      <c r="L207" s="34" t="n">
        <v>0</v>
      </c>
      <c r="M20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8" ht="64" customHeight="1">
      <c r="A208" s="34" t="inlineStr">
        <is>
          <t>5 Jun</t>
        </is>
      </c>
      <c r="B208" s="34" t="inlineStr">
        <is>
          <t>43535</t>
        </is>
      </c>
      <c r="C208" s="34" t="n">
        <v>29</v>
      </c>
      <c r="D208" s="34" t="n">
        <v>0</v>
      </c>
      <c r="E208" s="34" t="n">
        <v>0</v>
      </c>
      <c r="F208" s="40" t="inlineStr">
        <is>
          <t>-</t>
        </is>
      </c>
      <c r="G208" s="40" t="inlineStr">
        <is>
          <t>-</t>
        </is>
      </c>
      <c r="H208" s="40" t="inlineStr">
        <is>
          <t>-</t>
        </is>
      </c>
      <c r="I208" s="40" t="inlineStr">
        <is>
          <t>-</t>
        </is>
      </c>
      <c r="J208" s="41" t="n">
        <v>0</v>
      </c>
      <c r="K208" s="34" t="inlineStr">
        <is>
          <t>No</t>
        </is>
      </c>
      <c r="L208" s="34" t="n">
        <v>0</v>
      </c>
      <c r="M20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9" ht="64" customHeight="1">
      <c r="A209" s="34" t="inlineStr">
        <is>
          <t>5 Jun</t>
        </is>
      </c>
      <c r="B209" s="34" t="inlineStr">
        <is>
          <t>43560</t>
        </is>
      </c>
      <c r="C209" s="34" t="n">
        <v>272</v>
      </c>
      <c r="D209" s="34" t="n">
        <v>202</v>
      </c>
      <c r="E209" s="34" t="n">
        <v>0</v>
      </c>
      <c r="F209" s="40" t="n">
        <v>2499972</v>
      </c>
      <c r="G209" s="40" t="n">
        <v>2500547</v>
      </c>
      <c r="H209" s="40" t="inlineStr">
        <is>
          <t>-</t>
        </is>
      </c>
      <c r="I209" s="40" t="inlineStr">
        <is>
          <t>-</t>
        </is>
      </c>
      <c r="J209" s="41" t="n">
        <v>0</v>
      </c>
      <c r="K209" s="34" t="inlineStr">
        <is>
          <t>No</t>
        </is>
      </c>
      <c r="L209" s="34" t="n">
        <v>0</v>
      </c>
      <c r="M20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0" ht="64" customHeight="1">
      <c r="A210" s="34" t="inlineStr">
        <is>
          <t>5 Jun</t>
        </is>
      </c>
      <c r="B210" s="34" t="inlineStr">
        <is>
          <t>43652</t>
        </is>
      </c>
      <c r="C210" s="34" t="n">
        <v>8</v>
      </c>
      <c r="D210" s="34" t="n">
        <v>0</v>
      </c>
      <c r="E210" s="34" t="n">
        <v>0</v>
      </c>
      <c r="F210" s="40" t="inlineStr">
        <is>
          <t>-</t>
        </is>
      </c>
      <c r="G210" s="40" t="inlineStr">
        <is>
          <t>-</t>
        </is>
      </c>
      <c r="H210" s="40" t="inlineStr">
        <is>
          <t>-</t>
        </is>
      </c>
      <c r="I210" s="40" t="inlineStr">
        <is>
          <t>-</t>
        </is>
      </c>
      <c r="J210" s="41" t="n">
        <v>0</v>
      </c>
      <c r="K210" s="34" t="inlineStr">
        <is>
          <t>No</t>
        </is>
      </c>
      <c r="L210" s="34" t="n">
        <v>0</v>
      </c>
      <c r="M21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1" ht="64" customHeight="1">
      <c r="A211" s="34" t="inlineStr">
        <is>
          <t>5 Jun</t>
        </is>
      </c>
      <c r="B211" s="34" t="inlineStr">
        <is>
          <t>51111</t>
        </is>
      </c>
      <c r="C211" s="34" t="n">
        <v>12372</v>
      </c>
      <c r="D211" s="34" t="n">
        <v>12305</v>
      </c>
      <c r="E211" s="34" t="n">
        <v>0</v>
      </c>
      <c r="F211" s="40" t="n">
        <v>502466</v>
      </c>
      <c r="G211" s="40" t="n">
        <v>772321</v>
      </c>
      <c r="H211" s="40" t="inlineStr">
        <is>
          <t>-</t>
        </is>
      </c>
      <c r="I211" s="40" t="inlineStr">
        <is>
          <t>-</t>
        </is>
      </c>
      <c r="J211" s="41" t="n">
        <v>0</v>
      </c>
      <c r="K211" s="34" t="inlineStr">
        <is>
          <t>No</t>
        </is>
      </c>
      <c r="L211" s="34" t="n">
        <v>0</v>
      </c>
      <c r="M21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2" ht="64" customHeight="1">
      <c r="A212" s="34" t="inlineStr">
        <is>
          <t>5 Jun</t>
        </is>
      </c>
      <c r="B212" s="34" t="inlineStr">
        <is>
          <t>61111</t>
        </is>
      </c>
      <c r="C212" s="34" t="n">
        <v>961</v>
      </c>
      <c r="D212" s="34" t="n">
        <v>904</v>
      </c>
      <c r="E212" s="34" t="n">
        <v>0</v>
      </c>
      <c r="F212" s="40" t="n">
        <v>510424</v>
      </c>
      <c r="G212" s="40" t="n">
        <v>518946</v>
      </c>
      <c r="H212" s="40" t="inlineStr">
        <is>
          <t>-</t>
        </is>
      </c>
      <c r="I212" s="40" t="inlineStr">
        <is>
          <t>-</t>
        </is>
      </c>
      <c r="J212" s="41" t="n">
        <v>0</v>
      </c>
      <c r="K212" s="34" t="inlineStr">
        <is>
          <t>No</t>
        </is>
      </c>
      <c r="L212" s="34" t="n">
        <v>0</v>
      </c>
      <c r="M21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3">
      <c r="A213" s="16" t="inlineStr">
        <is>
          <t>6 Jun</t>
        </is>
      </c>
      <c r="B213" s="16" t="inlineStr">
        <is>
          <t>30757</t>
        </is>
      </c>
      <c r="C213" s="16" t="n">
        <v>11203</v>
      </c>
      <c r="D213" s="16" t="n">
        <v>11203</v>
      </c>
      <c r="E213" s="16" t="n">
        <v>8940</v>
      </c>
      <c r="F213" s="38" t="n">
        <v>361589</v>
      </c>
      <c r="G213" s="38" t="n">
        <v>495808</v>
      </c>
      <c r="H213" s="38" t="n">
        <v>400399</v>
      </c>
      <c r="I213" s="38" t="n">
        <v>494310</v>
      </c>
      <c r="J213" s="19">
        <f>(I213-H213)/1000</f>
        <v/>
      </c>
      <c r="K213" s="16" t="inlineStr">
        <is>
          <t>Yes</t>
        </is>
      </c>
      <c r="L213" s="16" t="n">
        <v>23</v>
      </c>
      <c r="M213" s="39" t="inlineStr">
        <is>
          <t>- (full trip)</t>
        </is>
      </c>
    </row>
    <row r="214">
      <c r="A214" s="16" t="inlineStr">
        <is>
          <t>6 Jun</t>
        </is>
      </c>
      <c r="B214" s="16" t="inlineStr">
        <is>
          <t>37279</t>
        </is>
      </c>
      <c r="C214" s="16" t="n">
        <v>7774</v>
      </c>
      <c r="D214" s="16" t="n">
        <v>7758</v>
      </c>
      <c r="E214" s="16" t="n">
        <v>7300</v>
      </c>
      <c r="F214" s="38" t="n">
        <v>398634</v>
      </c>
      <c r="G214" s="38" t="n">
        <v>494988</v>
      </c>
      <c r="H214" s="38" t="n">
        <v>400399</v>
      </c>
      <c r="I214" s="38" t="n">
        <v>494312</v>
      </c>
      <c r="J214" s="19">
        <f>(I214-H214)/1000</f>
        <v/>
      </c>
      <c r="K214" s="16" t="inlineStr">
        <is>
          <t>Yes</t>
        </is>
      </c>
      <c r="L214" s="16" t="n">
        <v>23</v>
      </c>
      <c r="M214" s="39" t="inlineStr">
        <is>
          <t>- (full trip)</t>
        </is>
      </c>
    </row>
    <row r="215">
      <c r="A215" s="16" t="inlineStr">
        <is>
          <t>6 Jun</t>
        </is>
      </c>
      <c r="B215" s="16" t="inlineStr">
        <is>
          <t>39204</t>
        </is>
      </c>
      <c r="C215" s="16" t="n">
        <v>4388</v>
      </c>
      <c r="D215" s="16" t="n">
        <v>4388</v>
      </c>
      <c r="E215" s="16" t="n">
        <v>3762</v>
      </c>
      <c r="F215" s="38" t="n">
        <v>368127</v>
      </c>
      <c r="G215" s="38" t="n">
        <v>494951</v>
      </c>
      <c r="H215" s="38" t="n">
        <v>400405</v>
      </c>
      <c r="I215" s="38" t="n">
        <v>494312</v>
      </c>
      <c r="J215" s="19">
        <f>(I215-H215)/1000</f>
        <v/>
      </c>
      <c r="K215" s="16" t="inlineStr">
        <is>
          <t>Yes</t>
        </is>
      </c>
      <c r="L215" s="16" t="n">
        <v>23</v>
      </c>
      <c r="M215" s="39" t="inlineStr">
        <is>
          <t>- (full trip)</t>
        </is>
      </c>
    </row>
    <row r="216">
      <c r="A216" s="16" t="inlineStr">
        <is>
          <t>6 Jun</t>
        </is>
      </c>
      <c r="B216" s="16" t="inlineStr">
        <is>
          <t>30484</t>
        </is>
      </c>
      <c r="C216" s="16" t="n">
        <v>5655</v>
      </c>
      <c r="D216" s="16" t="n">
        <v>5655</v>
      </c>
      <c r="E216" s="16" t="n">
        <v>4677</v>
      </c>
      <c r="F216" s="38" t="n">
        <v>360693</v>
      </c>
      <c r="G216" s="38" t="n">
        <v>494967</v>
      </c>
      <c r="H216" s="38" t="n">
        <v>400411</v>
      </c>
      <c r="I216" s="38" t="n">
        <v>494312</v>
      </c>
      <c r="J216" s="19">
        <f>(I216-H216)/1000</f>
        <v/>
      </c>
      <c r="K216" s="16" t="inlineStr">
        <is>
          <t>Yes</t>
        </is>
      </c>
      <c r="L216" s="16" t="n">
        <v>23</v>
      </c>
      <c r="M216" s="39" t="inlineStr">
        <is>
          <t>- (full trip)</t>
        </is>
      </c>
    </row>
    <row r="217">
      <c r="A217" s="16" t="inlineStr">
        <is>
          <t>6 Jun</t>
        </is>
      </c>
      <c r="B217" s="16" t="inlineStr">
        <is>
          <t>37566</t>
        </is>
      </c>
      <c r="C217" s="16" t="n">
        <v>11214</v>
      </c>
      <c r="D217" s="16" t="n">
        <v>11214</v>
      </c>
      <c r="E217" s="16" t="n">
        <v>9193</v>
      </c>
      <c r="F217" s="38" t="n">
        <v>360566</v>
      </c>
      <c r="G217" s="38" t="n">
        <v>495807</v>
      </c>
      <c r="H217" s="38" t="n">
        <v>400411</v>
      </c>
      <c r="I217" s="38" t="n">
        <v>494312</v>
      </c>
      <c r="J217" s="19">
        <f>(I217-H217)/1000</f>
        <v/>
      </c>
      <c r="K217" s="16" t="inlineStr">
        <is>
          <t>Yes</t>
        </is>
      </c>
      <c r="L217" s="16" t="n">
        <v>23</v>
      </c>
      <c r="M217" s="39" t="inlineStr">
        <is>
          <t>- (full trip)</t>
        </is>
      </c>
    </row>
    <row r="218">
      <c r="A218" s="16" t="inlineStr">
        <is>
          <t>6 Jun</t>
        </is>
      </c>
      <c r="B218" s="16" t="inlineStr">
        <is>
          <t>37577</t>
        </is>
      </c>
      <c r="C218" s="16" t="n">
        <v>6703</v>
      </c>
      <c r="D218" s="16" t="n">
        <v>6703</v>
      </c>
      <c r="E218" s="16" t="n">
        <v>4874</v>
      </c>
      <c r="F218" s="38" t="n">
        <v>361610</v>
      </c>
      <c r="G218" s="38" t="n">
        <v>494966</v>
      </c>
      <c r="H218" s="38" t="n">
        <v>400412</v>
      </c>
      <c r="I218" s="38" t="n">
        <v>494311</v>
      </c>
      <c r="J218" s="19">
        <f>(I218-H218)/1000</f>
        <v/>
      </c>
      <c r="K218" s="16" t="inlineStr">
        <is>
          <t>Yes</t>
        </is>
      </c>
      <c r="L218" s="16" t="n">
        <v>23</v>
      </c>
      <c r="M218" s="39" t="inlineStr">
        <is>
          <t>- (full trip)</t>
        </is>
      </c>
    </row>
    <row r="219">
      <c r="A219" s="16" t="inlineStr">
        <is>
          <t>6 Jun</t>
        </is>
      </c>
      <c r="B219" s="16" t="inlineStr">
        <is>
          <t>37582</t>
        </is>
      </c>
      <c r="C219" s="16" t="n">
        <v>8976</v>
      </c>
      <c r="D219" s="16" t="n">
        <v>8976</v>
      </c>
      <c r="E219" s="16" t="n">
        <v>7417</v>
      </c>
      <c r="F219" s="38" t="n">
        <v>380593</v>
      </c>
      <c r="G219" s="38" t="n">
        <v>495792</v>
      </c>
      <c r="H219" s="38" t="n">
        <v>400409</v>
      </c>
      <c r="I219" s="38" t="n">
        <v>494310</v>
      </c>
      <c r="J219" s="19">
        <f>(I219-H219)/1000</f>
        <v/>
      </c>
      <c r="K219" s="16" t="inlineStr">
        <is>
          <t>Yes</t>
        </is>
      </c>
      <c r="L219" s="16" t="n">
        <v>23</v>
      </c>
      <c r="M219" s="39" t="inlineStr">
        <is>
          <t>- (full trip)</t>
        </is>
      </c>
    </row>
    <row r="220">
      <c r="A220" s="16" t="inlineStr">
        <is>
          <t>6 Jun</t>
        </is>
      </c>
      <c r="B220" s="16" t="inlineStr">
        <is>
          <t>37670</t>
        </is>
      </c>
      <c r="C220" s="16" t="n">
        <v>5402</v>
      </c>
      <c r="D220" s="16" t="n">
        <v>5289</v>
      </c>
      <c r="E220" s="16" t="n">
        <v>4289</v>
      </c>
      <c r="F220" s="38" t="n">
        <v>370210</v>
      </c>
      <c r="G220" s="38" t="n">
        <v>494966</v>
      </c>
      <c r="H220" s="38" t="n">
        <v>400410</v>
      </c>
      <c r="I220" s="38" t="n">
        <v>494309</v>
      </c>
      <c r="J220" s="19">
        <f>(I220-H220)/1000</f>
        <v/>
      </c>
      <c r="K220" s="16" t="inlineStr">
        <is>
          <t>Yes</t>
        </is>
      </c>
      <c r="L220" s="16" t="n">
        <v>23</v>
      </c>
      <c r="M220" s="39" t="inlineStr">
        <is>
          <t>- (full trip)</t>
        </is>
      </c>
    </row>
    <row r="221">
      <c r="A221" s="16" t="inlineStr">
        <is>
          <t>6 Jun</t>
        </is>
      </c>
      <c r="B221" s="16" t="inlineStr">
        <is>
          <t>37548</t>
        </is>
      </c>
      <c r="C221" s="16" t="n">
        <v>5889</v>
      </c>
      <c r="D221" s="16" t="n">
        <v>5889</v>
      </c>
      <c r="E221" s="16" t="n">
        <v>3935</v>
      </c>
      <c r="F221" s="38" t="n">
        <v>361863</v>
      </c>
      <c r="G221" s="38" t="n">
        <v>495611</v>
      </c>
      <c r="H221" s="38" t="n">
        <v>400420</v>
      </c>
      <c r="I221" s="38" t="n">
        <v>494310</v>
      </c>
      <c r="J221" s="19">
        <f>(I221-H221)/1000</f>
        <v/>
      </c>
      <c r="K221" s="16" t="inlineStr">
        <is>
          <t>Yes</t>
        </is>
      </c>
      <c r="L221" s="16" t="n">
        <v>23</v>
      </c>
      <c r="M221" s="39" t="inlineStr">
        <is>
          <t>- (full trip)</t>
        </is>
      </c>
    </row>
    <row r="222">
      <c r="A222" s="16" t="inlineStr">
        <is>
          <t>6 Jun</t>
        </is>
      </c>
      <c r="B222" s="16" t="inlineStr">
        <is>
          <t>39514</t>
        </is>
      </c>
      <c r="C222" s="16" t="n">
        <v>5575</v>
      </c>
      <c r="D222" s="16" t="n">
        <v>5575</v>
      </c>
      <c r="E222" s="16" t="n">
        <v>4299</v>
      </c>
      <c r="F222" s="38" t="n">
        <v>363042</v>
      </c>
      <c r="G222" s="38" t="n">
        <v>494650</v>
      </c>
      <c r="H222" s="38" t="n">
        <v>400427</v>
      </c>
      <c r="I222" s="38" t="n">
        <v>494312</v>
      </c>
      <c r="J222" s="19">
        <f>(I222-H222)/1000</f>
        <v/>
      </c>
      <c r="K222" s="16" t="inlineStr">
        <is>
          <t>Yes</t>
        </is>
      </c>
      <c r="L222" s="16" t="n">
        <v>23</v>
      </c>
      <c r="M222" s="39" t="inlineStr">
        <is>
          <t>- (full trip)</t>
        </is>
      </c>
    </row>
    <row r="223">
      <c r="A223" s="16" t="inlineStr">
        <is>
          <t>6 Jun</t>
        </is>
      </c>
      <c r="B223" s="16" t="inlineStr">
        <is>
          <t>42012</t>
        </is>
      </c>
      <c r="C223" s="16" t="n">
        <v>5977</v>
      </c>
      <c r="D223" s="16" t="n">
        <v>5977</v>
      </c>
      <c r="E223" s="16" t="n">
        <v>5069</v>
      </c>
      <c r="F223" s="38" t="n">
        <v>370057</v>
      </c>
      <c r="G223" s="38" t="n">
        <v>495708</v>
      </c>
      <c r="H223" s="38" t="n">
        <v>400418</v>
      </c>
      <c r="I223" s="38" t="n">
        <v>494312</v>
      </c>
      <c r="J223" s="19">
        <f>(I223-H223)/1000</f>
        <v/>
      </c>
      <c r="K223" s="16" t="inlineStr">
        <is>
          <t>Yes</t>
        </is>
      </c>
      <c r="L223" s="16" t="n">
        <v>23</v>
      </c>
      <c r="M223" s="39" t="inlineStr">
        <is>
          <t>- (full trip)</t>
        </is>
      </c>
    </row>
    <row r="224">
      <c r="A224" s="16" t="inlineStr">
        <is>
          <t>6 Jun</t>
        </is>
      </c>
      <c r="B224" s="16" t="inlineStr">
        <is>
          <t>30472</t>
        </is>
      </c>
      <c r="C224" s="16" t="n">
        <v>5616</v>
      </c>
      <c r="D224" s="16" t="n">
        <v>5616</v>
      </c>
      <c r="E224" s="16" t="n">
        <v>5342</v>
      </c>
      <c r="F224" s="38" t="n">
        <v>400972</v>
      </c>
      <c r="G224" s="38" t="n">
        <v>494981</v>
      </c>
      <c r="H224" s="38" t="n">
        <v>400972</v>
      </c>
      <c r="I224" s="38" t="n">
        <v>494312</v>
      </c>
      <c r="J224" s="19">
        <f>(I224-H224)/1000</f>
        <v/>
      </c>
      <c r="K224" s="16" t="inlineStr">
        <is>
          <t>Yes</t>
        </is>
      </c>
      <c r="L224" s="16" t="n">
        <v>23</v>
      </c>
      <c r="M224" s="39" t="inlineStr">
        <is>
          <t>- (full trip)</t>
        </is>
      </c>
    </row>
    <row r="225">
      <c r="A225" s="16" t="inlineStr">
        <is>
          <t>6 Jun</t>
        </is>
      </c>
      <c r="B225" s="16" t="inlineStr">
        <is>
          <t>39194</t>
        </is>
      </c>
      <c r="C225" s="16" t="n">
        <v>6041</v>
      </c>
      <c r="D225" s="16" t="n">
        <v>6041</v>
      </c>
      <c r="E225" s="16" t="n">
        <v>5759</v>
      </c>
      <c r="F225" s="38" t="n">
        <v>400995</v>
      </c>
      <c r="G225" s="38" t="n">
        <v>494983</v>
      </c>
      <c r="H225" s="38" t="n">
        <v>400995</v>
      </c>
      <c r="I225" s="38" t="n">
        <v>494311</v>
      </c>
      <c r="J225" s="19">
        <f>(I225-H225)/1000</f>
        <v/>
      </c>
      <c r="K225" s="16" t="inlineStr">
        <is>
          <t>Yes</t>
        </is>
      </c>
      <c r="L225" s="16" t="n">
        <v>23</v>
      </c>
      <c r="M225" s="39" t="inlineStr">
        <is>
          <t>- (full trip)</t>
        </is>
      </c>
    </row>
    <row r="226" ht="49" customHeight="1">
      <c r="A226" s="16" t="inlineStr">
        <is>
          <t>6 Jun</t>
        </is>
      </c>
      <c r="B226" s="16" t="inlineStr">
        <is>
          <t>39243</t>
        </is>
      </c>
      <c r="C226" s="16" t="n">
        <v>2229</v>
      </c>
      <c r="D226" s="16" t="n">
        <v>2229</v>
      </c>
      <c r="E226" s="16" t="n">
        <v>1087</v>
      </c>
      <c r="F226" s="38" t="n">
        <v>368093</v>
      </c>
      <c r="G226" s="38" t="n">
        <v>454527</v>
      </c>
      <c r="H226" s="38" t="n">
        <v>400442</v>
      </c>
      <c r="I226" s="38" t="n">
        <v>454527</v>
      </c>
      <c r="J226" s="19">
        <f>(I226-H226)/1000</f>
        <v/>
      </c>
      <c r="K226" s="16" t="inlineStr">
        <is>
          <t>Yes</t>
        </is>
      </c>
      <c r="L226" s="16" t="n">
        <v>13</v>
      </c>
      <c r="M226" s="39" t="inlineStr">
        <is>
          <t>GOTHAJ, LC-286, MAHEMDABAD AND KHEDA ROAD, LC-294, KANIJ, BAREJADI NANDEJ, GERATPUR, VATVA, KANKARIYA CABIN, AHMEDABAD Jn</t>
        </is>
      </c>
    </row>
    <row r="227" ht="49" customHeight="1">
      <c r="A227" s="16" t="inlineStr">
        <is>
          <t>6 Jun</t>
        </is>
      </c>
      <c r="B227" s="16" t="inlineStr">
        <is>
          <t>37579</t>
        </is>
      </c>
      <c r="C227" s="16" t="n">
        <v>4940</v>
      </c>
      <c r="D227" s="16" t="n">
        <v>4940</v>
      </c>
      <c r="E227" s="16" t="n">
        <v>4940</v>
      </c>
      <c r="F227" s="38" t="n">
        <v>400998</v>
      </c>
      <c r="G227" s="38" t="n">
        <v>454549</v>
      </c>
      <c r="H227" s="38" t="n">
        <v>400998</v>
      </c>
      <c r="I227" s="38" t="n">
        <v>454549</v>
      </c>
      <c r="J227" s="19">
        <f>(I227-H227)/1000</f>
        <v/>
      </c>
      <c r="K227" s="16" t="inlineStr">
        <is>
          <t>Yes</t>
        </is>
      </c>
      <c r="L227" s="16" t="n">
        <v>13</v>
      </c>
      <c r="M227" s="39" t="inlineStr">
        <is>
          <t>GOTHAJ, LC-286, MAHEMDABAD AND KHEDA ROAD, LC-294, KANIJ, BAREJADI NANDEJ, GERATPUR, VATVA, KANKARIYA CABIN, AHMEDABAD Jn</t>
        </is>
      </c>
    </row>
    <row r="228" ht="34" customHeight="1">
      <c r="A228" s="16" t="inlineStr">
        <is>
          <t>6 Jun</t>
        </is>
      </c>
      <c r="B228" s="16" t="inlineStr">
        <is>
          <t>39030</t>
        </is>
      </c>
      <c r="C228" s="16" t="n">
        <v>2416</v>
      </c>
      <c r="D228" s="16" t="n">
        <v>2416</v>
      </c>
      <c r="E228" s="16" t="n">
        <v>2146</v>
      </c>
      <c r="F228" s="38" t="n">
        <v>440810</v>
      </c>
      <c r="G228" s="38" t="n">
        <v>494967</v>
      </c>
      <c r="H228" s="38" t="n">
        <v>440810</v>
      </c>
      <c r="I228" s="38" t="n">
        <v>494310</v>
      </c>
      <c r="J228" s="19">
        <f>(I228-H228)/1000</f>
        <v/>
      </c>
      <c r="K228" s="16" t="inlineStr">
        <is>
          <t>Yes</t>
        </is>
      </c>
      <c r="L228" s="16" t="n">
        <v>14</v>
      </c>
      <c r="M228" s="39" t="inlineStr">
        <is>
          <t>BAJWA, RANOLI, LC-246, VASAD, ADAS ROAD, VADOD, LC-258, ANAND Jn, LC-264</t>
        </is>
      </c>
    </row>
    <row r="229" ht="34" customHeight="1">
      <c r="A229" s="16" t="inlineStr">
        <is>
          <t>6 Jun</t>
        </is>
      </c>
      <c r="B229" s="16" t="inlineStr">
        <is>
          <t>30759</t>
        </is>
      </c>
      <c r="C229" s="16" t="n">
        <v>2672</v>
      </c>
      <c r="D229" s="16" t="n">
        <v>2672</v>
      </c>
      <c r="E229" s="16" t="n">
        <v>2382</v>
      </c>
      <c r="F229" s="38" t="n">
        <v>444410</v>
      </c>
      <c r="G229" s="38" t="n">
        <v>494980</v>
      </c>
      <c r="H229" s="38" t="n">
        <v>444410</v>
      </c>
      <c r="I229" s="38" t="n">
        <v>494312</v>
      </c>
      <c r="J229" s="19">
        <f>(I229-H229)/1000</f>
        <v/>
      </c>
      <c r="K229" s="16" t="inlineStr">
        <is>
          <t>Yes</t>
        </is>
      </c>
      <c r="L229" s="16" t="n">
        <v>13</v>
      </c>
      <c r="M229" s="39" t="inlineStr">
        <is>
          <t>BAJWA, RANOLI, LC-246, VASAD, ADAS ROAD, VADOD, LC-258, ANAND Jn, LC-264, KANJARI BORIYAVI</t>
        </is>
      </c>
    </row>
    <row r="230" ht="49" customHeight="1">
      <c r="A230" s="16" t="inlineStr">
        <is>
          <t>6 Jun</t>
        </is>
      </c>
      <c r="B230" s="16" t="inlineStr">
        <is>
          <t>30821</t>
        </is>
      </c>
      <c r="C230" s="16" t="n">
        <v>2436</v>
      </c>
      <c r="D230" s="16" t="n">
        <v>2436</v>
      </c>
      <c r="E230" s="16" t="n">
        <v>735</v>
      </c>
      <c r="F230" s="38" t="n">
        <v>380842</v>
      </c>
      <c r="G230" s="38" t="n">
        <v>441386</v>
      </c>
      <c r="H230" s="38" t="n">
        <v>400415</v>
      </c>
      <c r="I230" s="38" t="n">
        <v>441386</v>
      </c>
      <c r="J230" s="19">
        <f>(I230-H230)/1000</f>
        <v/>
      </c>
      <c r="K230" s="16" t="inlineStr">
        <is>
          <t>Yes</t>
        </is>
      </c>
      <c r="L230" s="16" t="n">
        <v>11</v>
      </c>
      <c r="M230" s="39" t="inlineStr">
        <is>
          <t>NADIAD, LC-278, GOTHAJ, LC-286, MAHEMDABAD AND KHEDA ROAD, LC-294, KANIJ, BAREJADI NANDEJ, GERATPUR, VATVA, KANKARIYA CABIN, AHMEDABAD Jn</t>
        </is>
      </c>
    </row>
    <row r="231" ht="49" customHeight="1">
      <c r="A231" s="16" t="inlineStr">
        <is>
          <t>6 Jun</t>
        </is>
      </c>
      <c r="B231" s="16" t="inlineStr">
        <is>
          <t>37383</t>
        </is>
      </c>
      <c r="C231" s="16" t="n">
        <v>5305</v>
      </c>
      <c r="D231" s="16" t="n">
        <v>5305</v>
      </c>
      <c r="E231" s="16" t="n">
        <v>2406</v>
      </c>
      <c r="F231" s="38" t="n">
        <v>363287</v>
      </c>
      <c r="G231" s="38" t="n">
        <v>440871</v>
      </c>
      <c r="H231" s="38" t="n">
        <v>400429</v>
      </c>
      <c r="I231" s="38" t="n">
        <v>440871</v>
      </c>
      <c r="J231" s="19">
        <f>(I231-H231)/1000</f>
        <v/>
      </c>
      <c r="K231" s="16" t="inlineStr">
        <is>
          <t>Yes</t>
        </is>
      </c>
      <c r="L231" s="16" t="n">
        <v>10</v>
      </c>
      <c r="M231" s="39" t="inlineStr">
        <is>
          <t>UTARSANDA, NADIAD, LC-278, GOTHAJ, LC-286, MAHEMDABAD AND KHEDA ROAD, LC-294, KANIJ, BAREJADI NANDEJ, GERATPUR, VATVA, KANKARIYA CABIN, AHMEDABAD Jn</t>
        </is>
      </c>
    </row>
    <row r="232" ht="49" customHeight="1">
      <c r="A232" s="16" t="inlineStr">
        <is>
          <t>6 Jun</t>
        </is>
      </c>
      <c r="B232" s="16" t="inlineStr">
        <is>
          <t>37397</t>
        </is>
      </c>
      <c r="C232" s="16" t="n">
        <v>1810</v>
      </c>
      <c r="D232" s="16" t="n">
        <v>1810</v>
      </c>
      <c r="E232" s="16" t="n">
        <v>601</v>
      </c>
      <c r="F232" s="38" t="n">
        <v>368147</v>
      </c>
      <c r="G232" s="38" t="n">
        <v>440807</v>
      </c>
      <c r="H232" s="38" t="n">
        <v>400520</v>
      </c>
      <c r="I232" s="38" t="n">
        <v>440807</v>
      </c>
      <c r="J232" s="19">
        <f>(I232-H232)/1000</f>
        <v/>
      </c>
      <c r="K232" s="16" t="inlineStr">
        <is>
          <t>Yes</t>
        </is>
      </c>
      <c r="L232" s="16" t="n">
        <v>10</v>
      </c>
      <c r="M232" s="39" t="inlineStr">
        <is>
          <t>UTARSANDA, NADIAD, LC-278, GOTHAJ, LC-286, MAHEMDABAD AND KHEDA ROAD, LC-294, KANIJ, BAREJADI NANDEJ, GERATPUR, VATVA, KANKARIYA CABIN, AHMEDABAD Jn</t>
        </is>
      </c>
    </row>
    <row r="233" ht="49" customHeight="1">
      <c r="A233" s="16" t="inlineStr">
        <is>
          <t>6 Jun</t>
        </is>
      </c>
      <c r="B233" s="16" t="inlineStr">
        <is>
          <t>39131</t>
        </is>
      </c>
      <c r="C233" s="16" t="n">
        <v>2296</v>
      </c>
      <c r="D233" s="16" t="n">
        <v>2296</v>
      </c>
      <c r="E233" s="16" t="n">
        <v>876</v>
      </c>
      <c r="F233" s="38" t="n">
        <v>360726</v>
      </c>
      <c r="G233" s="38" t="n">
        <v>438753</v>
      </c>
      <c r="H233" s="38" t="n">
        <v>400404</v>
      </c>
      <c r="I233" s="38" t="n">
        <v>438753</v>
      </c>
      <c r="J233" s="19">
        <f>(I233-H233)/1000</f>
        <v/>
      </c>
      <c r="K233" s="16" t="inlineStr">
        <is>
          <t>Yes</t>
        </is>
      </c>
      <c r="L233" s="16" t="n">
        <v>10</v>
      </c>
      <c r="M233" s="39" t="inlineStr">
        <is>
          <t>UTARSANDA, NADIAD, LC-278, GOTHAJ, LC-286, MAHEMDABAD AND KHEDA ROAD, LC-294, KANIJ, BAREJADI NANDEJ, GERATPUR, VATVA, KANKARIYA CABIN, AHMEDABAD Jn</t>
        </is>
      </c>
    </row>
    <row r="234" ht="49" customHeight="1">
      <c r="A234" s="16" t="inlineStr">
        <is>
          <t>6 Jun</t>
        </is>
      </c>
      <c r="B234" s="16" t="inlineStr">
        <is>
          <t>37424</t>
        </is>
      </c>
      <c r="C234" s="16" t="n">
        <v>1558</v>
      </c>
      <c r="D234" s="16" t="n">
        <v>1558</v>
      </c>
      <c r="E234" s="16" t="n">
        <v>710</v>
      </c>
      <c r="F234" s="38" t="n">
        <v>367941</v>
      </c>
      <c r="G234" s="38" t="n">
        <v>437371</v>
      </c>
      <c r="H234" s="38" t="n">
        <v>400412</v>
      </c>
      <c r="I234" s="38" t="n">
        <v>437371</v>
      </c>
      <c r="J234" s="19">
        <f>(I234-H234)/1000</f>
        <v/>
      </c>
      <c r="K234" s="16" t="inlineStr">
        <is>
          <t>Yes</t>
        </is>
      </c>
      <c r="L234" s="16" t="n">
        <v>10</v>
      </c>
      <c r="M234" s="39" t="inlineStr">
        <is>
          <t>UTARSANDA, NADIAD, LC-278, GOTHAJ, LC-286, MAHEMDABAD AND KHEDA ROAD, LC-294, KANIJ, BAREJADI NANDEJ, GERATPUR, VATVA, KANKARIYA CABIN, AHMEDABAD Jn</t>
        </is>
      </c>
    </row>
    <row r="235" ht="49" customHeight="1">
      <c r="A235" s="16" t="inlineStr">
        <is>
          <t>6 Jun</t>
        </is>
      </c>
      <c r="B235" s="16" t="inlineStr">
        <is>
          <t>37470</t>
        </is>
      </c>
      <c r="C235" s="16" t="n">
        <v>1890</v>
      </c>
      <c r="D235" s="16" t="n">
        <v>1890</v>
      </c>
      <c r="E235" s="16" t="n">
        <v>843</v>
      </c>
      <c r="F235" s="38" t="n">
        <v>369916</v>
      </c>
      <c r="G235" s="38" t="n">
        <v>437387</v>
      </c>
      <c r="H235" s="38" t="n">
        <v>400515</v>
      </c>
      <c r="I235" s="38" t="n">
        <v>437387</v>
      </c>
      <c r="J235" s="19">
        <f>(I235-H235)/1000</f>
        <v/>
      </c>
      <c r="K235" s="16" t="inlineStr">
        <is>
          <t>Yes</t>
        </is>
      </c>
      <c r="L235" s="16" t="n">
        <v>10</v>
      </c>
      <c r="M235" s="39" t="inlineStr">
        <is>
          <t>UTARSANDA, NADIAD, LC-278, GOTHAJ, LC-286, MAHEMDABAD AND KHEDA ROAD, LC-294, KANIJ, BAREJADI NANDEJ, GERATPUR, VATVA, KANKARIYA CABIN, AHMEDABAD Jn</t>
        </is>
      </c>
    </row>
    <row r="236" ht="49" customHeight="1">
      <c r="A236" s="16" t="inlineStr">
        <is>
          <t>6 Jun</t>
        </is>
      </c>
      <c r="B236" s="16" t="inlineStr">
        <is>
          <t>37277</t>
        </is>
      </c>
      <c r="C236" s="16" t="n">
        <v>1271</v>
      </c>
      <c r="D236" s="16" t="n">
        <v>1271</v>
      </c>
      <c r="E236" s="16" t="n">
        <v>866</v>
      </c>
      <c r="F236" s="38" t="n">
        <v>396349</v>
      </c>
      <c r="G236" s="38" t="n">
        <v>437234</v>
      </c>
      <c r="H236" s="38" t="n">
        <v>400399</v>
      </c>
      <c r="I236" s="38" t="n">
        <v>437234</v>
      </c>
      <c r="J236" s="19">
        <f>(I236-H236)/1000</f>
        <v/>
      </c>
      <c r="K236" s="16" t="inlineStr">
        <is>
          <t>Yes</t>
        </is>
      </c>
      <c r="L236" s="16" t="n">
        <v>10</v>
      </c>
      <c r="M236" s="39" t="inlineStr">
        <is>
          <t>UTARSANDA, NADIAD, LC-278, GOTHAJ, LC-286, MAHEMDABAD AND KHEDA ROAD, LC-294, KANIJ, BAREJADI NANDEJ, GERATPUR, VATVA, KANKARIYA CABIN, AHMEDABAD Jn</t>
        </is>
      </c>
    </row>
    <row r="237" ht="49" customHeight="1">
      <c r="A237" s="16" t="inlineStr">
        <is>
          <t>6 Jun</t>
        </is>
      </c>
      <c r="B237" s="16" t="inlineStr">
        <is>
          <t>39466</t>
        </is>
      </c>
      <c r="C237" s="16" t="n">
        <v>1805</v>
      </c>
      <c r="D237" s="16" t="n">
        <v>1805</v>
      </c>
      <c r="E237" s="16" t="n">
        <v>600</v>
      </c>
      <c r="F237" s="38" t="n">
        <v>375632</v>
      </c>
      <c r="G237" s="38" t="n">
        <v>437214</v>
      </c>
      <c r="H237" s="38" t="n">
        <v>400506</v>
      </c>
      <c r="I237" s="38" t="n">
        <v>437214</v>
      </c>
      <c r="J237" s="19">
        <f>(I237-H237)/1000</f>
        <v/>
      </c>
      <c r="K237" s="16" t="inlineStr">
        <is>
          <t>Yes</t>
        </is>
      </c>
      <c r="L237" s="16" t="n">
        <v>10</v>
      </c>
      <c r="M237" s="39" t="inlineStr">
        <is>
          <t>UTARSANDA, NADIAD, LC-278, GOTHAJ, LC-286, MAHEMDABAD AND KHEDA ROAD, LC-294, KANIJ, BAREJADI NANDEJ, GERATPUR, VATVA, KANKARIYA CABIN, AHMEDABAD Jn</t>
        </is>
      </c>
    </row>
    <row r="238" ht="49" customHeight="1">
      <c r="A238" s="16" t="inlineStr">
        <is>
          <t>6 Jun</t>
        </is>
      </c>
      <c r="B238" s="16" t="inlineStr">
        <is>
          <t>37513</t>
        </is>
      </c>
      <c r="C238" s="16" t="n">
        <v>1065</v>
      </c>
      <c r="D238" s="16" t="n">
        <v>1059</v>
      </c>
      <c r="E238" s="16" t="n">
        <v>636</v>
      </c>
      <c r="F238" s="38" t="n">
        <v>395426</v>
      </c>
      <c r="G238" s="38" t="n">
        <v>436740</v>
      </c>
      <c r="H238" s="38" t="n">
        <v>400446</v>
      </c>
      <c r="I238" s="38" t="n">
        <v>436740</v>
      </c>
      <c r="J238" s="19">
        <f>(I238-H238)/1000</f>
        <v/>
      </c>
      <c r="K238" s="16" t="inlineStr">
        <is>
          <t>Yes</t>
        </is>
      </c>
      <c r="L238" s="16" t="n">
        <v>9</v>
      </c>
      <c r="M238" s="39" t="inlineStr">
        <is>
          <t>KANJARI BORIYAVI, UTARSANDA, NADIAD, LC-278, GOTHAJ, LC-286, MAHEMDABAD AND KHEDA ROAD, LC-294, KANIJ, BAREJADI NANDEJ, GERATPUR, VATVA, KANKARIYA CABIN, AHMEDABAD Jn</t>
        </is>
      </c>
    </row>
    <row r="239" ht="49" customHeight="1">
      <c r="A239" s="16" t="inlineStr">
        <is>
          <t>6 Jun</t>
        </is>
      </c>
      <c r="B239" s="16" t="inlineStr">
        <is>
          <t>37286</t>
        </is>
      </c>
      <c r="C239" s="16" t="n">
        <v>3905</v>
      </c>
      <c r="D239" s="16" t="n">
        <v>3905</v>
      </c>
      <c r="E239" s="16" t="n">
        <v>2186</v>
      </c>
      <c r="F239" s="38" t="n">
        <v>370014</v>
      </c>
      <c r="G239" s="38" t="n">
        <v>435443</v>
      </c>
      <c r="H239" s="38" t="n">
        <v>400398</v>
      </c>
      <c r="I239" s="38" t="n">
        <v>435443</v>
      </c>
      <c r="J239" s="19">
        <f>(I239-H239)/1000</f>
        <v/>
      </c>
      <c r="K239" s="16" t="inlineStr">
        <is>
          <t>Yes</t>
        </is>
      </c>
      <c r="L239" s="16" t="n">
        <v>9</v>
      </c>
      <c r="M239" s="39" t="inlineStr">
        <is>
          <t>KANJARI BORIYAVI, UTARSANDA, NADIAD, LC-278, GOTHAJ, LC-286, MAHEMDABAD AND KHEDA ROAD, LC-294, KANIJ, BAREJADI NANDEJ, GERATPUR, VATVA, KANKARIYA CABIN, AHMEDABAD Jn</t>
        </is>
      </c>
    </row>
    <row r="240" ht="49" customHeight="1">
      <c r="A240" s="16" t="inlineStr">
        <is>
          <t>6 Jun</t>
        </is>
      </c>
      <c r="B240" s="16" t="inlineStr">
        <is>
          <t>30791</t>
        </is>
      </c>
      <c r="C240" s="16" t="n">
        <v>3080</v>
      </c>
      <c r="D240" s="16" t="n">
        <v>3080</v>
      </c>
      <c r="E240" s="16" t="n">
        <v>2251</v>
      </c>
      <c r="F240" s="38" t="n">
        <v>370417</v>
      </c>
      <c r="G240" s="38" t="n">
        <v>431833</v>
      </c>
      <c r="H240" s="38" t="n">
        <v>400399</v>
      </c>
      <c r="I240" s="38" t="n">
        <v>431833</v>
      </c>
      <c r="J240" s="19">
        <f>(I240-H240)/1000</f>
        <v/>
      </c>
      <c r="K240" s="16" t="inlineStr">
        <is>
          <t>Yes</t>
        </is>
      </c>
      <c r="L240" s="16" t="n">
        <v>8</v>
      </c>
      <c r="M240" s="39" t="inlineStr">
        <is>
          <t>LC-264, KANJARI BORIYAVI, UTARSANDA, NADIAD, LC-278, GOTHAJ, LC-286, MAHEMDABAD AND KHEDA ROAD, LC-294, KANIJ, BAREJADI NANDEJ, GERATPUR, VATVA, KANKARIYA CABIN, AHMEDABAD Jn</t>
        </is>
      </c>
    </row>
    <row r="241" ht="49" customHeight="1">
      <c r="A241" s="16" t="inlineStr">
        <is>
          <t>6 Jun</t>
        </is>
      </c>
      <c r="B241" s="16" t="inlineStr">
        <is>
          <t>37396</t>
        </is>
      </c>
      <c r="C241" s="16" t="n">
        <v>1796</v>
      </c>
      <c r="D241" s="16" t="n">
        <v>1791</v>
      </c>
      <c r="E241" s="16" t="n">
        <v>1791</v>
      </c>
      <c r="F241" s="38" t="n">
        <v>416938</v>
      </c>
      <c r="G241" s="38" t="n">
        <v>444948</v>
      </c>
      <c r="H241" s="38" t="n">
        <v>416938</v>
      </c>
      <c r="I241" s="38" t="n">
        <v>444948</v>
      </c>
      <c r="J241" s="19">
        <f>(I241-H241)/1000</f>
        <v/>
      </c>
      <c r="K241" s="16" t="inlineStr">
        <is>
          <t>Yes</t>
        </is>
      </c>
      <c r="L241" s="16" t="n">
        <v>8</v>
      </c>
      <c r="M241" s="39" t="inlineStr">
        <is>
          <t>BAJWA, RANOLI, LC-246, NADIAD, LC-278, GOTHAJ, LC-286, MAHEMDABAD AND KHEDA ROAD, LC-294, KANIJ, BAREJADI NANDEJ, GERATPUR, VATVA, KANKARIYA CABIN, AHMEDABAD Jn</t>
        </is>
      </c>
    </row>
    <row r="242" ht="64" customHeight="1">
      <c r="A242" s="16" t="inlineStr">
        <is>
          <t>6 Jun</t>
        </is>
      </c>
      <c r="B242" s="16" t="inlineStr">
        <is>
          <t>39334</t>
        </is>
      </c>
      <c r="C242" s="16" t="n">
        <v>121</v>
      </c>
      <c r="D242" s="16" t="n">
        <v>121</v>
      </c>
      <c r="E242" s="16" t="n">
        <v>121</v>
      </c>
      <c r="F242" s="38" t="n">
        <v>425163</v>
      </c>
      <c r="G242" s="38" t="n">
        <v>436611</v>
      </c>
      <c r="H242" s="38" t="n">
        <v>425163</v>
      </c>
      <c r="I242" s="38" t="n">
        <v>436611</v>
      </c>
      <c r="J242" s="19">
        <f>(I242-H242)/1000</f>
        <v/>
      </c>
      <c r="K242" s="16" t="inlineStr">
        <is>
          <t>Yes</t>
        </is>
      </c>
      <c r="L242" s="16" t="n">
        <v>4</v>
      </c>
      <c r="M242" s="39" t="inlineStr">
        <is>
          <t>BAJWA, RANOLI, LC-246, VASAD, ADAS ROAD, KANJARI BORIYAVI, UTARSANDA, NADIAD, LC-278, GOTHAJ, LC-286, MAHEMDABAD AND KHEDA ROAD, LC-294, KANIJ, BAREJADI NANDEJ, GERATPUR, VATVA, KANKARIYA CABIN, AHMEDABAD Jn</t>
        </is>
      </c>
    </row>
    <row r="243" ht="64" customHeight="1">
      <c r="A243" s="16" t="inlineStr">
        <is>
          <t>6 Jun</t>
        </is>
      </c>
      <c r="B243" s="16" t="inlineStr">
        <is>
          <t>30733</t>
        </is>
      </c>
      <c r="C243" s="16" t="n">
        <v>957</v>
      </c>
      <c r="D243" s="16" t="n">
        <v>794</v>
      </c>
      <c r="E243" s="16" t="n">
        <v>604</v>
      </c>
      <c r="F243" s="38" t="n">
        <v>486831</v>
      </c>
      <c r="G243" s="38" t="n">
        <v>494982</v>
      </c>
      <c r="H243" s="38" t="n">
        <v>486831</v>
      </c>
      <c r="I243" s="38" t="n">
        <v>494311</v>
      </c>
      <c r="J243" s="19">
        <f>(I243-H243)/1000</f>
        <v/>
      </c>
      <c r="K243" s="16" t="inlineStr">
        <is>
          <t>Yes</t>
        </is>
      </c>
      <c r="L243" s="16" t="n">
        <v>3</v>
      </c>
      <c r="M243" s="39" t="inlineStr">
        <is>
          <t>BAJWA, RANOLI, LC-246, VASAD, ADAS ROAD, VADOD, LC-258, ANAND Jn, LC-264, KANJARI BORIYAVI, UTARSANDA, NADIAD, LC-278, GOTHAJ, LC-286, MAHEMDABAD AND KHEDA ROAD, LC-294, KANIJ, BAREJADI NANDEJ, GERATPUR</t>
        </is>
      </c>
    </row>
    <row r="244" ht="64" customHeight="1">
      <c r="A244" s="16" t="inlineStr">
        <is>
          <t>6 Jun</t>
        </is>
      </c>
      <c r="B244" s="16" t="inlineStr">
        <is>
          <t>39308</t>
        </is>
      </c>
      <c r="C244" s="16" t="n">
        <v>1031</v>
      </c>
      <c r="D244" s="16" t="n">
        <v>1031</v>
      </c>
      <c r="E244" s="16" t="n">
        <v>331</v>
      </c>
      <c r="F244" s="38" t="n">
        <v>367829</v>
      </c>
      <c r="G244" s="38" t="n">
        <v>402383</v>
      </c>
      <c r="H244" s="38" t="n">
        <v>400401</v>
      </c>
      <c r="I244" s="38" t="n">
        <v>402383</v>
      </c>
      <c r="J244" s="19">
        <f>(I244-H244)/1000</f>
        <v/>
      </c>
      <c r="K244" s="16" t="inlineStr">
        <is>
          <t>Yes</t>
        </is>
      </c>
      <c r="L244" s="16" t="n">
        <v>1</v>
      </c>
      <c r="M244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45" ht="64" customHeight="1">
      <c r="A245" s="16" t="inlineStr">
        <is>
          <t>6 Jun</t>
        </is>
      </c>
      <c r="B245" s="16" t="inlineStr">
        <is>
          <t>43652</t>
        </is>
      </c>
      <c r="C245" s="16" t="n">
        <v>1156</v>
      </c>
      <c r="D245" s="16" t="n">
        <v>840</v>
      </c>
      <c r="E245" s="16" t="n">
        <v>78</v>
      </c>
      <c r="F245" s="38" t="n">
        <v>486005</v>
      </c>
      <c r="G245" s="38" t="n">
        <v>2500584</v>
      </c>
      <c r="H245" s="38" t="n">
        <v>486005</v>
      </c>
      <c r="I245" s="38" t="n">
        <v>486457</v>
      </c>
      <c r="J245" s="19">
        <f>(I245-H245)/1000</f>
        <v/>
      </c>
      <c r="K245" s="16" t="inlineStr">
        <is>
          <t>Yes</t>
        </is>
      </c>
      <c r="L245" s="16" t="n">
        <v>1</v>
      </c>
      <c r="M245" s="39" t="inlineStr">
        <is>
          <t>BAJWA, RANOLI, LC-246, VASAD, ADAS ROAD, VADOD, LC-258, ANAND Jn, LC-264, KANJARI BORIYAVI, UTARSANDA, NADIAD, LC-278, GOTHAJ, LC-286, MAHEMDABAD AND KHEDA ROAD, LC-294, KANIJ, BAREJADI NANDEJ, GERATPUR, KANKARIYA CABIN, AHMEDABAD Jn</t>
        </is>
      </c>
    </row>
    <row r="246" ht="64" customHeight="1">
      <c r="A246" s="34" t="inlineStr">
        <is>
          <t>6 Jun</t>
        </is>
      </c>
      <c r="B246" s="34" t="inlineStr">
        <is>
          <t>30177</t>
        </is>
      </c>
      <c r="C246" s="34" t="n">
        <v>269</v>
      </c>
      <c r="D246" s="34" t="n">
        <v>263</v>
      </c>
      <c r="E246" s="34" t="n">
        <v>0</v>
      </c>
      <c r="F246" s="40" t="n">
        <v>398465</v>
      </c>
      <c r="G246" s="40" t="n">
        <v>399300</v>
      </c>
      <c r="H246" s="40" t="inlineStr">
        <is>
          <t>-</t>
        </is>
      </c>
      <c r="I246" s="40" t="inlineStr">
        <is>
          <t>-</t>
        </is>
      </c>
      <c r="J246" s="41" t="n">
        <v>0</v>
      </c>
      <c r="K246" s="34" t="inlineStr">
        <is>
          <t>No</t>
        </is>
      </c>
      <c r="L246" s="34" t="n">
        <v>0</v>
      </c>
      <c r="M24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47" ht="64" customHeight="1">
      <c r="A247" s="34" t="inlineStr">
        <is>
          <t>6 Jun</t>
        </is>
      </c>
      <c r="B247" s="34" t="inlineStr">
        <is>
          <t>37429</t>
        </is>
      </c>
      <c r="C247" s="34" t="n">
        <v>1</v>
      </c>
      <c r="D247" s="34" t="n">
        <v>0</v>
      </c>
      <c r="E247" s="34" t="n">
        <v>0</v>
      </c>
      <c r="F247" s="40" t="inlineStr">
        <is>
          <t>-</t>
        </is>
      </c>
      <c r="G247" s="40" t="inlineStr">
        <is>
          <t>-</t>
        </is>
      </c>
      <c r="H247" s="40" t="inlineStr">
        <is>
          <t>-</t>
        </is>
      </c>
      <c r="I247" s="40" t="inlineStr">
        <is>
          <t>-</t>
        </is>
      </c>
      <c r="J247" s="41" t="n">
        <v>0</v>
      </c>
      <c r="K247" s="34" t="inlineStr">
        <is>
          <t>No</t>
        </is>
      </c>
      <c r="L247" s="34" t="n">
        <v>0</v>
      </c>
      <c r="M24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48" ht="64" customHeight="1">
      <c r="A248" s="34" t="inlineStr">
        <is>
          <t>6 Jun</t>
        </is>
      </c>
      <c r="B248" s="34" t="inlineStr">
        <is>
          <t>37746</t>
        </is>
      </c>
      <c r="C248" s="34" t="n">
        <v>4</v>
      </c>
      <c r="D248" s="34" t="n">
        <v>0</v>
      </c>
      <c r="E248" s="34" t="n">
        <v>0</v>
      </c>
      <c r="F248" s="40" t="inlineStr">
        <is>
          <t>-</t>
        </is>
      </c>
      <c r="G248" s="40" t="inlineStr">
        <is>
          <t>-</t>
        </is>
      </c>
      <c r="H248" s="40" t="inlineStr">
        <is>
          <t>-</t>
        </is>
      </c>
      <c r="I248" s="40" t="inlineStr">
        <is>
          <t>-</t>
        </is>
      </c>
      <c r="J248" s="41" t="n">
        <v>0</v>
      </c>
      <c r="K248" s="34" t="inlineStr">
        <is>
          <t>No</t>
        </is>
      </c>
      <c r="L248" s="34" t="n">
        <v>0</v>
      </c>
      <c r="M24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49" ht="64" customHeight="1">
      <c r="A249" s="34" t="inlineStr">
        <is>
          <t>6 Jun</t>
        </is>
      </c>
      <c r="B249" s="34" t="inlineStr">
        <is>
          <t>37943</t>
        </is>
      </c>
      <c r="C249" s="34" t="n">
        <v>257</v>
      </c>
      <c r="D249" s="34" t="n">
        <v>257</v>
      </c>
      <c r="E249" s="34" t="n">
        <v>0</v>
      </c>
      <c r="F249" s="40" t="n">
        <v>395426</v>
      </c>
      <c r="G249" s="40" t="n">
        <v>396072</v>
      </c>
      <c r="H249" s="40" t="inlineStr">
        <is>
          <t>-</t>
        </is>
      </c>
      <c r="I249" s="40" t="inlineStr">
        <is>
          <t>-</t>
        </is>
      </c>
      <c r="J249" s="41" t="n">
        <v>0</v>
      </c>
      <c r="K249" s="34" t="inlineStr">
        <is>
          <t>No</t>
        </is>
      </c>
      <c r="L249" s="34" t="n">
        <v>0</v>
      </c>
      <c r="M24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0" ht="64" customHeight="1">
      <c r="A250" s="34" t="inlineStr">
        <is>
          <t>6 Jun</t>
        </is>
      </c>
      <c r="B250" s="34" t="inlineStr">
        <is>
          <t>37947</t>
        </is>
      </c>
      <c r="C250" s="34" t="n">
        <v>1225</v>
      </c>
      <c r="D250" s="34" t="n">
        <v>1225</v>
      </c>
      <c r="E250" s="34" t="n">
        <v>0</v>
      </c>
      <c r="F250" s="40" t="n">
        <v>360547</v>
      </c>
      <c r="G250" s="40" t="n">
        <v>397564</v>
      </c>
      <c r="H250" s="40" t="inlineStr">
        <is>
          <t>-</t>
        </is>
      </c>
      <c r="I250" s="40" t="inlineStr">
        <is>
          <t>-</t>
        </is>
      </c>
      <c r="J250" s="41" t="n">
        <v>0</v>
      </c>
      <c r="K250" s="34" t="inlineStr">
        <is>
          <t>No</t>
        </is>
      </c>
      <c r="L250" s="34" t="n">
        <v>0</v>
      </c>
      <c r="M25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1" ht="64" customHeight="1">
      <c r="A251" s="34" t="inlineStr">
        <is>
          <t>6 Jun</t>
        </is>
      </c>
      <c r="B251" s="34" t="inlineStr">
        <is>
          <t>37957</t>
        </is>
      </c>
      <c r="C251" s="34" t="n">
        <v>11</v>
      </c>
      <c r="D251" s="34" t="n">
        <v>0</v>
      </c>
      <c r="E251" s="34" t="n">
        <v>0</v>
      </c>
      <c r="F251" s="40" t="inlineStr">
        <is>
          <t>-</t>
        </is>
      </c>
      <c r="G251" s="40" t="inlineStr">
        <is>
          <t>-</t>
        </is>
      </c>
      <c r="H251" s="40" t="inlineStr">
        <is>
          <t>-</t>
        </is>
      </c>
      <c r="I251" s="40" t="inlineStr">
        <is>
          <t>-</t>
        </is>
      </c>
      <c r="J251" s="41" t="n">
        <v>0</v>
      </c>
      <c r="K251" s="34" t="inlineStr">
        <is>
          <t>No</t>
        </is>
      </c>
      <c r="L251" s="34" t="n">
        <v>0</v>
      </c>
      <c r="M25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2" ht="64" customHeight="1">
      <c r="A252" s="34" t="inlineStr">
        <is>
          <t>6 Jun</t>
        </is>
      </c>
      <c r="B252" s="34" t="inlineStr">
        <is>
          <t>39089</t>
        </is>
      </c>
      <c r="C252" s="34" t="n">
        <v>760</v>
      </c>
      <c r="D252" s="34" t="n">
        <v>754</v>
      </c>
      <c r="E252" s="34" t="n">
        <v>0</v>
      </c>
      <c r="F252" s="40" t="n">
        <v>370223</v>
      </c>
      <c r="G252" s="40" t="n">
        <v>395904</v>
      </c>
      <c r="H252" s="40" t="inlineStr">
        <is>
          <t>-</t>
        </is>
      </c>
      <c r="I252" s="40" t="inlineStr">
        <is>
          <t>-</t>
        </is>
      </c>
      <c r="J252" s="41" t="n">
        <v>0</v>
      </c>
      <c r="K252" s="34" t="inlineStr">
        <is>
          <t>No</t>
        </is>
      </c>
      <c r="L252" s="34" t="n">
        <v>0</v>
      </c>
      <c r="M25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3" ht="64" customHeight="1">
      <c r="A253" s="34" t="inlineStr">
        <is>
          <t>6 Jun</t>
        </is>
      </c>
      <c r="B253" s="34" t="inlineStr">
        <is>
          <t>39314</t>
        </is>
      </c>
      <c r="C253" s="34" t="n">
        <v>568</v>
      </c>
      <c r="D253" s="34" t="n">
        <v>217</v>
      </c>
      <c r="E253" s="34" t="n">
        <v>0</v>
      </c>
      <c r="F253" s="40" t="n">
        <v>2500075</v>
      </c>
      <c r="G253" s="40" t="n">
        <v>2500627</v>
      </c>
      <c r="H253" s="40" t="inlineStr">
        <is>
          <t>-</t>
        </is>
      </c>
      <c r="I253" s="40" t="inlineStr">
        <is>
          <t>-</t>
        </is>
      </c>
      <c r="J253" s="41" t="n">
        <v>0</v>
      </c>
      <c r="K253" s="34" t="inlineStr">
        <is>
          <t>No</t>
        </is>
      </c>
      <c r="L253" s="34" t="n">
        <v>0</v>
      </c>
      <c r="M25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4" ht="64" customHeight="1">
      <c r="A254" s="34" t="inlineStr">
        <is>
          <t>6 Jun</t>
        </is>
      </c>
      <c r="B254" s="34" t="inlineStr">
        <is>
          <t>51111</t>
        </is>
      </c>
      <c r="C254" s="34" t="n">
        <v>674</v>
      </c>
      <c r="D254" s="34" t="n">
        <v>664</v>
      </c>
      <c r="E254" s="34" t="n">
        <v>0</v>
      </c>
      <c r="F254" s="40" t="n">
        <v>502493</v>
      </c>
      <c r="G254" s="40" t="n">
        <v>773215</v>
      </c>
      <c r="H254" s="40" t="inlineStr">
        <is>
          <t>-</t>
        </is>
      </c>
      <c r="I254" s="40" t="inlineStr">
        <is>
          <t>-</t>
        </is>
      </c>
      <c r="J254" s="41" t="n">
        <v>0</v>
      </c>
      <c r="K254" s="34" t="inlineStr">
        <is>
          <t>No</t>
        </is>
      </c>
      <c r="L254" s="34" t="n">
        <v>0</v>
      </c>
      <c r="M25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5">
      <c r="A255" s="16" t="inlineStr">
        <is>
          <t>7 Jun</t>
        </is>
      </c>
      <c r="B255" s="16" t="inlineStr">
        <is>
          <t>37019</t>
        </is>
      </c>
      <c r="C255" s="16" t="n">
        <v>5584</v>
      </c>
      <c r="D255" s="16" t="n">
        <v>5584</v>
      </c>
      <c r="E255" s="16" t="n">
        <v>4616</v>
      </c>
      <c r="F255" s="38" t="n">
        <v>370213</v>
      </c>
      <c r="G255" s="38" t="n">
        <v>495005</v>
      </c>
      <c r="H255" s="38" t="n">
        <v>400398</v>
      </c>
      <c r="I255" s="38" t="n">
        <v>494310</v>
      </c>
      <c r="J255" s="19">
        <f>(I255-H255)/1000</f>
        <v/>
      </c>
      <c r="K255" s="16" t="inlineStr">
        <is>
          <t>Yes</t>
        </is>
      </c>
      <c r="L255" s="16" t="n">
        <v>23</v>
      </c>
      <c r="M255" s="39" t="inlineStr">
        <is>
          <t>- (full trip)</t>
        </is>
      </c>
    </row>
    <row r="256">
      <c r="A256" s="16" t="inlineStr">
        <is>
          <t>7 Jun</t>
        </is>
      </c>
      <c r="B256" s="16" t="inlineStr">
        <is>
          <t>37399</t>
        </is>
      </c>
      <c r="C256" s="16" t="n">
        <v>4588</v>
      </c>
      <c r="D256" s="16" t="n">
        <v>4588</v>
      </c>
      <c r="E256" s="16" t="n">
        <v>3883</v>
      </c>
      <c r="F256" s="38" t="n">
        <v>395518</v>
      </c>
      <c r="G256" s="38" t="n">
        <v>494980</v>
      </c>
      <c r="H256" s="38" t="n">
        <v>400403</v>
      </c>
      <c r="I256" s="38" t="n">
        <v>494309</v>
      </c>
      <c r="J256" s="19">
        <f>(I256-H256)/1000</f>
        <v/>
      </c>
      <c r="K256" s="16" t="inlineStr">
        <is>
          <t>Yes</t>
        </is>
      </c>
      <c r="L256" s="16" t="n">
        <v>23</v>
      </c>
      <c r="M256" s="39" t="inlineStr">
        <is>
          <t>- (full trip)</t>
        </is>
      </c>
    </row>
    <row r="257">
      <c r="A257" s="16" t="inlineStr">
        <is>
          <t>7 Jun</t>
        </is>
      </c>
      <c r="B257" s="16" t="inlineStr">
        <is>
          <t>37956</t>
        </is>
      </c>
      <c r="C257" s="16" t="n">
        <v>5882</v>
      </c>
      <c r="D257" s="16" t="n">
        <v>5882</v>
      </c>
      <c r="E257" s="16" t="n">
        <v>4430</v>
      </c>
      <c r="F257" s="38" t="n">
        <v>369885</v>
      </c>
      <c r="G257" s="38" t="n">
        <v>494965</v>
      </c>
      <c r="H257" s="38" t="n">
        <v>400402</v>
      </c>
      <c r="I257" s="38" t="n">
        <v>494312</v>
      </c>
      <c r="J257" s="19">
        <f>(I257-H257)/1000</f>
        <v/>
      </c>
      <c r="K257" s="16" t="inlineStr">
        <is>
          <t>Yes</t>
        </is>
      </c>
      <c r="L257" s="16" t="n">
        <v>23</v>
      </c>
      <c r="M257" s="39" t="inlineStr">
        <is>
          <t>- (full trip)</t>
        </is>
      </c>
    </row>
    <row r="258">
      <c r="A258" s="16" t="inlineStr">
        <is>
          <t>7 Jun</t>
        </is>
      </c>
      <c r="B258" s="16" t="inlineStr">
        <is>
          <t>39027</t>
        </is>
      </c>
      <c r="C258" s="16" t="n">
        <v>10380</v>
      </c>
      <c r="D258" s="16" t="n">
        <v>10380</v>
      </c>
      <c r="E258" s="16" t="n">
        <v>8309</v>
      </c>
      <c r="F258" s="38" t="n">
        <v>370059</v>
      </c>
      <c r="G258" s="38" t="n">
        <v>495806</v>
      </c>
      <c r="H258" s="38" t="n">
        <v>400402</v>
      </c>
      <c r="I258" s="38" t="n">
        <v>494311</v>
      </c>
      <c r="J258" s="19">
        <f>(I258-H258)/1000</f>
        <v/>
      </c>
      <c r="K258" s="16" t="inlineStr">
        <is>
          <t>Yes</t>
        </is>
      </c>
      <c r="L258" s="16" t="n">
        <v>23</v>
      </c>
      <c r="M258" s="39" t="inlineStr">
        <is>
          <t>- (full trip)</t>
        </is>
      </c>
    </row>
    <row r="259">
      <c r="A259" s="16" t="inlineStr">
        <is>
          <t>7 Jun</t>
        </is>
      </c>
      <c r="B259" s="16" t="inlineStr">
        <is>
          <t>30153</t>
        </is>
      </c>
      <c r="C259" s="16" t="n">
        <v>3537</v>
      </c>
      <c r="D259" s="16" t="n">
        <v>3537</v>
      </c>
      <c r="E259" s="16" t="n">
        <v>2960</v>
      </c>
      <c r="F259" s="38" t="n">
        <v>370374</v>
      </c>
      <c r="G259" s="38" t="n">
        <v>494946</v>
      </c>
      <c r="H259" s="38" t="n">
        <v>400409</v>
      </c>
      <c r="I259" s="38" t="n">
        <v>494310</v>
      </c>
      <c r="J259" s="19">
        <f>(I259-H259)/1000</f>
        <v/>
      </c>
      <c r="K259" s="16" t="inlineStr">
        <is>
          <t>Yes</t>
        </is>
      </c>
      <c r="L259" s="16" t="n">
        <v>23</v>
      </c>
      <c r="M259" s="39" t="inlineStr">
        <is>
          <t>- (full trip)</t>
        </is>
      </c>
    </row>
    <row r="260">
      <c r="A260" s="16" t="inlineStr">
        <is>
          <t>7 Jun</t>
        </is>
      </c>
      <c r="B260" s="16" t="inlineStr">
        <is>
          <t>30637</t>
        </is>
      </c>
      <c r="C260" s="16" t="n">
        <v>6883</v>
      </c>
      <c r="D260" s="16" t="n">
        <v>6883</v>
      </c>
      <c r="E260" s="16" t="n">
        <v>5720</v>
      </c>
      <c r="F260" s="38" t="n">
        <v>368090</v>
      </c>
      <c r="G260" s="38" t="n">
        <v>494892</v>
      </c>
      <c r="H260" s="38" t="n">
        <v>400408</v>
      </c>
      <c r="I260" s="38" t="n">
        <v>494312</v>
      </c>
      <c r="J260" s="19">
        <f>(I260-H260)/1000</f>
        <v/>
      </c>
      <c r="K260" s="16" t="inlineStr">
        <is>
          <t>Yes</t>
        </is>
      </c>
      <c r="L260" s="16" t="n">
        <v>23</v>
      </c>
      <c r="M260" s="39" t="inlineStr">
        <is>
          <t>- (full trip)</t>
        </is>
      </c>
    </row>
    <row r="261">
      <c r="A261" s="16" t="inlineStr">
        <is>
          <t>7 Jun</t>
        </is>
      </c>
      <c r="B261" s="16" t="inlineStr">
        <is>
          <t>30821</t>
        </is>
      </c>
      <c r="C261" s="16" t="n">
        <v>2980</v>
      </c>
      <c r="D261" s="16" t="n">
        <v>2980</v>
      </c>
      <c r="E261" s="16" t="n">
        <v>2380</v>
      </c>
      <c r="F261" s="38" t="n">
        <v>369938</v>
      </c>
      <c r="G261" s="38" t="n">
        <v>495808</v>
      </c>
      <c r="H261" s="38" t="n">
        <v>400407</v>
      </c>
      <c r="I261" s="38" t="n">
        <v>494305</v>
      </c>
      <c r="J261" s="19">
        <f>(I261-H261)/1000</f>
        <v/>
      </c>
      <c r="K261" s="16" t="inlineStr">
        <is>
          <t>Yes</t>
        </is>
      </c>
      <c r="L261" s="16" t="n">
        <v>23</v>
      </c>
      <c r="M261" s="39" t="inlineStr">
        <is>
          <t>- (full trip)</t>
        </is>
      </c>
    </row>
    <row r="262">
      <c r="A262" s="16" t="inlineStr">
        <is>
          <t>7 Jun</t>
        </is>
      </c>
      <c r="B262" s="16" t="inlineStr">
        <is>
          <t>37507</t>
        </is>
      </c>
      <c r="C262" s="16" t="n">
        <v>5091</v>
      </c>
      <c r="D262" s="16" t="n">
        <v>5091</v>
      </c>
      <c r="E262" s="16" t="n">
        <v>3967</v>
      </c>
      <c r="F262" s="38" t="n">
        <v>370086</v>
      </c>
      <c r="G262" s="38" t="n">
        <v>494966</v>
      </c>
      <c r="H262" s="38" t="n">
        <v>400409</v>
      </c>
      <c r="I262" s="38" t="n">
        <v>494310</v>
      </c>
      <c r="J262" s="19">
        <f>(I262-H262)/1000</f>
        <v/>
      </c>
      <c r="K262" s="16" t="inlineStr">
        <is>
          <t>Yes</t>
        </is>
      </c>
      <c r="L262" s="16" t="n">
        <v>23</v>
      </c>
      <c r="M262" s="39" t="inlineStr">
        <is>
          <t>- (full trip)</t>
        </is>
      </c>
    </row>
    <row r="263">
      <c r="A263" s="16" t="inlineStr">
        <is>
          <t>7 Jun</t>
        </is>
      </c>
      <c r="B263" s="16" t="inlineStr">
        <is>
          <t>39080</t>
        </is>
      </c>
      <c r="C263" s="16" t="n">
        <v>4608</v>
      </c>
      <c r="D263" s="16" t="n">
        <v>4608</v>
      </c>
      <c r="E263" s="16" t="n">
        <v>3757</v>
      </c>
      <c r="F263" s="38" t="n">
        <v>370233</v>
      </c>
      <c r="G263" s="38" t="n">
        <v>494967</v>
      </c>
      <c r="H263" s="38" t="n">
        <v>400407</v>
      </c>
      <c r="I263" s="38" t="n">
        <v>494311</v>
      </c>
      <c r="J263" s="19">
        <f>(I263-H263)/1000</f>
        <v/>
      </c>
      <c r="K263" s="16" t="inlineStr">
        <is>
          <t>Yes</t>
        </is>
      </c>
      <c r="L263" s="16" t="n">
        <v>23</v>
      </c>
      <c r="M263" s="39" t="inlineStr">
        <is>
          <t>- (full trip)</t>
        </is>
      </c>
    </row>
    <row r="264">
      <c r="A264" s="16" t="inlineStr">
        <is>
          <t>7 Jun</t>
        </is>
      </c>
      <c r="B264" s="16" t="inlineStr">
        <is>
          <t>37163</t>
        </is>
      </c>
      <c r="C264" s="16" t="n">
        <v>6418</v>
      </c>
      <c r="D264" s="16" t="n">
        <v>6418</v>
      </c>
      <c r="E264" s="16" t="n">
        <v>4528</v>
      </c>
      <c r="F264" s="38" t="n">
        <v>369986</v>
      </c>
      <c r="G264" s="38" t="n">
        <v>495781</v>
      </c>
      <c r="H264" s="38" t="n">
        <v>400423</v>
      </c>
      <c r="I264" s="38" t="n">
        <v>494309</v>
      </c>
      <c r="J264" s="19">
        <f>(I264-H264)/1000</f>
        <v/>
      </c>
      <c r="K264" s="16" t="inlineStr">
        <is>
          <t>Yes</t>
        </is>
      </c>
      <c r="L264" s="16" t="n">
        <v>23</v>
      </c>
      <c r="M264" s="39" t="inlineStr">
        <is>
          <t>- (full trip)</t>
        </is>
      </c>
    </row>
    <row r="265">
      <c r="A265" s="16" t="inlineStr">
        <is>
          <t>7 Jun</t>
        </is>
      </c>
      <c r="B265" s="16" t="inlineStr">
        <is>
          <t>37947</t>
        </is>
      </c>
      <c r="C265" s="16" t="n">
        <v>4407</v>
      </c>
      <c r="D265" s="16" t="n">
        <v>4407</v>
      </c>
      <c r="E265" s="16" t="n">
        <v>4074</v>
      </c>
      <c r="F265" s="38" t="n">
        <v>397577</v>
      </c>
      <c r="G265" s="38" t="n">
        <v>495823</v>
      </c>
      <c r="H265" s="38" t="n">
        <v>400421</v>
      </c>
      <c r="I265" s="38" t="n">
        <v>494311</v>
      </c>
      <c r="J265" s="19">
        <f>(I265-H265)/1000</f>
        <v/>
      </c>
      <c r="K265" s="16" t="inlineStr">
        <is>
          <t>Yes</t>
        </is>
      </c>
      <c r="L265" s="16" t="n">
        <v>23</v>
      </c>
      <c r="M265" s="39" t="inlineStr">
        <is>
          <t>- (full trip)</t>
        </is>
      </c>
    </row>
    <row r="266">
      <c r="A266" s="16" t="inlineStr">
        <is>
          <t>7 Jun</t>
        </is>
      </c>
      <c r="B266" s="16" t="inlineStr">
        <is>
          <t>39015</t>
        </is>
      </c>
      <c r="C266" s="16" t="n">
        <v>5266</v>
      </c>
      <c r="D266" s="16" t="n">
        <v>5159</v>
      </c>
      <c r="E266" s="16" t="n">
        <v>3936</v>
      </c>
      <c r="F266" s="38" t="n">
        <v>370202</v>
      </c>
      <c r="G266" s="38" t="n">
        <v>494981</v>
      </c>
      <c r="H266" s="38" t="n">
        <v>400419</v>
      </c>
      <c r="I266" s="38" t="n">
        <v>494311</v>
      </c>
      <c r="J266" s="19">
        <f>(I266-H266)/1000</f>
        <v/>
      </c>
      <c r="K266" s="16" t="inlineStr">
        <is>
          <t>Yes</t>
        </is>
      </c>
      <c r="L266" s="16" t="n">
        <v>23</v>
      </c>
      <c r="M266" s="39" t="inlineStr">
        <is>
          <t>- (full trip)</t>
        </is>
      </c>
    </row>
    <row r="267">
      <c r="A267" s="16" t="inlineStr">
        <is>
          <t>7 Jun</t>
        </is>
      </c>
      <c r="B267" s="16" t="inlineStr">
        <is>
          <t>30484</t>
        </is>
      </c>
      <c r="C267" s="16" t="n">
        <v>6604</v>
      </c>
      <c r="D267" s="16" t="n">
        <v>6604</v>
      </c>
      <c r="E267" s="16" t="n">
        <v>5323</v>
      </c>
      <c r="F267" s="38" t="n">
        <v>363417</v>
      </c>
      <c r="G267" s="38" t="n">
        <v>495809</v>
      </c>
      <c r="H267" s="38" t="n">
        <v>400440</v>
      </c>
      <c r="I267" s="38" t="n">
        <v>494310</v>
      </c>
      <c r="J267" s="19">
        <f>(I267-H267)/1000</f>
        <v/>
      </c>
      <c r="K267" s="16" t="inlineStr">
        <is>
          <t>Yes</t>
        </is>
      </c>
      <c r="L267" s="16" t="n">
        <v>23</v>
      </c>
      <c r="M267" s="39" t="inlineStr">
        <is>
          <t>- (full trip)</t>
        </is>
      </c>
    </row>
    <row r="268">
      <c r="A268" s="16" t="inlineStr">
        <is>
          <t>7 Jun</t>
        </is>
      </c>
      <c r="B268" s="16" t="inlineStr">
        <is>
          <t>30496</t>
        </is>
      </c>
      <c r="C268" s="16" t="n">
        <v>5862</v>
      </c>
      <c r="D268" s="16" t="n">
        <v>5832</v>
      </c>
      <c r="E268" s="16" t="n">
        <v>5550</v>
      </c>
      <c r="F268" s="38" t="n">
        <v>400991</v>
      </c>
      <c r="G268" s="38" t="n">
        <v>495600</v>
      </c>
      <c r="H268" s="38" t="n">
        <v>400991</v>
      </c>
      <c r="I268" s="38" t="n">
        <v>494312</v>
      </c>
      <c r="J268" s="19">
        <f>(I268-H268)/1000</f>
        <v/>
      </c>
      <c r="K268" s="16" t="inlineStr">
        <is>
          <t>Yes</t>
        </is>
      </c>
      <c r="L268" s="16" t="n">
        <v>23</v>
      </c>
      <c r="M268" s="39" t="inlineStr">
        <is>
          <t>- (full trip)</t>
        </is>
      </c>
    </row>
    <row r="269">
      <c r="A269" s="16" t="inlineStr">
        <is>
          <t>7 Jun</t>
        </is>
      </c>
      <c r="B269" s="16" t="inlineStr">
        <is>
          <t>37287</t>
        </is>
      </c>
      <c r="C269" s="16" t="n">
        <v>7550</v>
      </c>
      <c r="D269" s="16" t="n">
        <v>7550</v>
      </c>
      <c r="E269" s="16" t="n">
        <v>7262</v>
      </c>
      <c r="F269" s="38" t="n">
        <v>400992</v>
      </c>
      <c r="G269" s="38" t="n">
        <v>495810</v>
      </c>
      <c r="H269" s="38" t="n">
        <v>400992</v>
      </c>
      <c r="I269" s="38" t="n">
        <v>494310</v>
      </c>
      <c r="J269" s="19">
        <f>(I269-H269)/1000</f>
        <v/>
      </c>
      <c r="K269" s="16" t="inlineStr">
        <is>
          <t>Yes</t>
        </is>
      </c>
      <c r="L269" s="16" t="n">
        <v>23</v>
      </c>
      <c r="M269" s="39" t="inlineStr">
        <is>
          <t>- (full trip)</t>
        </is>
      </c>
    </row>
    <row r="270">
      <c r="A270" s="16" t="inlineStr">
        <is>
          <t>7 Jun</t>
        </is>
      </c>
      <c r="B270" s="16" t="inlineStr">
        <is>
          <t>37398</t>
        </is>
      </c>
      <c r="C270" s="16" t="n">
        <v>6727</v>
      </c>
      <c r="D270" s="16" t="n">
        <v>6727</v>
      </c>
      <c r="E270" s="16" t="n">
        <v>6445</v>
      </c>
      <c r="F270" s="38" t="n">
        <v>400992</v>
      </c>
      <c r="G270" s="38" t="n">
        <v>494981</v>
      </c>
      <c r="H270" s="38" t="n">
        <v>400992</v>
      </c>
      <c r="I270" s="38" t="n">
        <v>494311</v>
      </c>
      <c r="J270" s="19">
        <f>(I270-H270)/1000</f>
        <v/>
      </c>
      <c r="K270" s="16" t="inlineStr">
        <is>
          <t>Yes</t>
        </is>
      </c>
      <c r="L270" s="16" t="n">
        <v>23</v>
      </c>
      <c r="M270" s="39" t="inlineStr">
        <is>
          <t>- (full trip)</t>
        </is>
      </c>
    </row>
    <row r="271">
      <c r="A271" s="16" t="inlineStr">
        <is>
          <t>7 Jun</t>
        </is>
      </c>
      <c r="B271" s="16" t="inlineStr">
        <is>
          <t>30098</t>
        </is>
      </c>
      <c r="C271" s="16" t="n">
        <v>3416</v>
      </c>
      <c r="D271" s="16" t="n">
        <v>3416</v>
      </c>
      <c r="E271" s="16" t="n">
        <v>3306</v>
      </c>
      <c r="F271" s="38" t="n">
        <v>404729</v>
      </c>
      <c r="G271" s="38" t="n">
        <v>494894</v>
      </c>
      <c r="H271" s="38" t="n">
        <v>404729</v>
      </c>
      <c r="I271" s="38" t="n">
        <v>494308</v>
      </c>
      <c r="J271" s="19">
        <f>(I271-H271)/1000</f>
        <v/>
      </c>
      <c r="K271" s="16" t="inlineStr">
        <is>
          <t>Yes</t>
        </is>
      </c>
      <c r="L271" s="16" t="n">
        <v>23</v>
      </c>
      <c r="M271" s="39" t="inlineStr">
        <is>
          <t>- (full trip)</t>
        </is>
      </c>
    </row>
    <row r="272">
      <c r="A272" s="16" t="inlineStr">
        <is>
          <t>7 Jun</t>
        </is>
      </c>
      <c r="B272" s="16" t="inlineStr">
        <is>
          <t>30606</t>
        </is>
      </c>
      <c r="C272" s="16" t="n">
        <v>4941</v>
      </c>
      <c r="D272" s="16" t="n">
        <v>4923</v>
      </c>
      <c r="E272" s="16" t="n">
        <v>4923</v>
      </c>
      <c r="F272" s="38" t="n">
        <v>403429</v>
      </c>
      <c r="G272" s="38" t="n">
        <v>487749</v>
      </c>
      <c r="H272" s="38" t="n">
        <v>403429</v>
      </c>
      <c r="I272" s="38" t="n">
        <v>487749</v>
      </c>
      <c r="J272" s="19">
        <f>(I272-H272)/1000</f>
        <v/>
      </c>
      <c r="K272" s="16" t="inlineStr">
        <is>
          <t>Yes</t>
        </is>
      </c>
      <c r="L272" s="16" t="n">
        <v>21</v>
      </c>
      <c r="M272" s="39" t="inlineStr">
        <is>
          <t>KANKARIYA CABIN, AHMEDABAD Jn</t>
        </is>
      </c>
    </row>
    <row r="273">
      <c r="A273" s="16" t="inlineStr">
        <is>
          <t>7 Jun</t>
        </is>
      </c>
      <c r="B273" s="16" t="inlineStr">
        <is>
          <t>39466</t>
        </is>
      </c>
      <c r="C273" s="16" t="n">
        <v>3410</v>
      </c>
      <c r="D273" s="16" t="n">
        <v>3410</v>
      </c>
      <c r="E273" s="16" t="n">
        <v>3186</v>
      </c>
      <c r="F273" s="38" t="n">
        <v>431213</v>
      </c>
      <c r="G273" s="38" t="n">
        <v>494894</v>
      </c>
      <c r="H273" s="38" t="n">
        <v>431213</v>
      </c>
      <c r="I273" s="38" t="n">
        <v>494311</v>
      </c>
      <c r="J273" s="19">
        <f>(I273-H273)/1000</f>
        <v/>
      </c>
      <c r="K273" s="16" t="inlineStr">
        <is>
          <t>Yes</t>
        </is>
      </c>
      <c r="L273" s="16" t="n">
        <v>16</v>
      </c>
      <c r="M273" s="39" t="inlineStr">
        <is>
          <t>BAJWA, RANOLI, LC-246, VASAD, ADAS ROAD, VADOD, LC-258</t>
        </is>
      </c>
    </row>
    <row r="274" ht="49" customHeight="1">
      <c r="A274" s="16" t="inlineStr">
        <is>
          <t>7 Jun</t>
        </is>
      </c>
      <c r="B274" s="16" t="inlineStr">
        <is>
          <t>39066</t>
        </is>
      </c>
      <c r="C274" s="16" t="n">
        <v>2122</v>
      </c>
      <c r="D274" s="16" t="n">
        <v>2122</v>
      </c>
      <c r="E274" s="16" t="n">
        <v>791</v>
      </c>
      <c r="F274" s="38" t="n">
        <v>361578</v>
      </c>
      <c r="G274" s="38" t="n">
        <v>454833</v>
      </c>
      <c r="H274" s="38" t="n">
        <v>400520</v>
      </c>
      <c r="I274" s="38" t="n">
        <v>454833</v>
      </c>
      <c r="J274" s="19">
        <f>(I274-H274)/1000</f>
        <v/>
      </c>
      <c r="K274" s="16" t="inlineStr">
        <is>
          <t>Yes</t>
        </is>
      </c>
      <c r="L274" s="16" t="n">
        <v>13</v>
      </c>
      <c r="M274" s="39" t="inlineStr">
        <is>
          <t>GOTHAJ, LC-286, MAHEMDABAD AND KHEDA ROAD, LC-294, KANIJ, BAREJADI NANDEJ, GERATPUR, VATVA, KANKARIYA CABIN, AHMEDABAD Jn</t>
        </is>
      </c>
    </row>
    <row r="275" ht="49" customHeight="1">
      <c r="A275" s="16" t="inlineStr">
        <is>
          <t>7 Jun</t>
        </is>
      </c>
      <c r="B275" s="16" t="inlineStr">
        <is>
          <t>37164</t>
        </is>
      </c>
      <c r="C275" s="16" t="n">
        <v>3021</v>
      </c>
      <c r="D275" s="16" t="n">
        <v>3021</v>
      </c>
      <c r="E275" s="16" t="n">
        <v>3021</v>
      </c>
      <c r="F275" s="38" t="n">
        <v>400997</v>
      </c>
      <c r="G275" s="38" t="n">
        <v>452320</v>
      </c>
      <c r="H275" s="38" t="n">
        <v>400997</v>
      </c>
      <c r="I275" s="38" t="n">
        <v>452320</v>
      </c>
      <c r="J275" s="19">
        <f>(I275-H275)/1000</f>
        <v/>
      </c>
      <c r="K275" s="16" t="inlineStr">
        <is>
          <t>Yes</t>
        </is>
      </c>
      <c r="L275" s="16" t="n">
        <v>12</v>
      </c>
      <c r="M275" s="39" t="inlineStr">
        <is>
          <t>LC-278, GOTHAJ, LC-286, MAHEMDABAD AND KHEDA ROAD, LC-294, KANIJ, BAREJADI NANDEJ, GERATPUR, VATVA, KANKARIYA CABIN, AHMEDABAD Jn</t>
        </is>
      </c>
    </row>
    <row r="276" ht="49" customHeight="1">
      <c r="A276" s="16" t="inlineStr">
        <is>
          <t>7 Jun</t>
        </is>
      </c>
      <c r="B276" s="16" t="inlineStr">
        <is>
          <t>30759</t>
        </is>
      </c>
      <c r="C276" s="16" t="n">
        <v>3101</v>
      </c>
      <c r="D276" s="16" t="n">
        <v>3101</v>
      </c>
      <c r="E276" s="16" t="n">
        <v>2373</v>
      </c>
      <c r="F276" s="38" t="n">
        <v>367601</v>
      </c>
      <c r="G276" s="38" t="n">
        <v>444290</v>
      </c>
      <c r="H276" s="38" t="n">
        <v>400425</v>
      </c>
      <c r="I276" s="38" t="n">
        <v>444290</v>
      </c>
      <c r="J276" s="19">
        <f>(I276-H276)/1000</f>
        <v/>
      </c>
      <c r="K276" s="16" t="inlineStr">
        <is>
          <t>Yes</t>
        </is>
      </c>
      <c r="L276" s="16" t="n">
        <v>11</v>
      </c>
      <c r="M276" s="39" t="inlineStr">
        <is>
          <t>NADIAD, LC-278, GOTHAJ, LC-286, MAHEMDABAD AND KHEDA ROAD, LC-294, KANIJ, BAREJADI NANDEJ, GERATPUR, VATVA, KANKARIYA CABIN, AHMEDABAD Jn</t>
        </is>
      </c>
    </row>
    <row r="277" ht="49" customHeight="1">
      <c r="A277" s="16" t="inlineStr">
        <is>
          <t>7 Jun</t>
        </is>
      </c>
      <c r="B277" s="16" t="inlineStr">
        <is>
          <t>37383</t>
        </is>
      </c>
      <c r="C277" s="16" t="n">
        <v>4045</v>
      </c>
      <c r="D277" s="16" t="n">
        <v>4045</v>
      </c>
      <c r="E277" s="16" t="n">
        <v>1977</v>
      </c>
      <c r="F277" s="38" t="n">
        <v>363324</v>
      </c>
      <c r="G277" s="38" t="n">
        <v>439968</v>
      </c>
      <c r="H277" s="38" t="n">
        <v>400443</v>
      </c>
      <c r="I277" s="38" t="n">
        <v>439968</v>
      </c>
      <c r="J277" s="19">
        <f>(I277-H277)/1000</f>
        <v/>
      </c>
      <c r="K277" s="16" t="inlineStr">
        <is>
          <t>Yes</t>
        </is>
      </c>
      <c r="L277" s="16" t="n">
        <v>10</v>
      </c>
      <c r="M277" s="39" t="inlineStr">
        <is>
          <t>UTARSANDA, NADIAD, LC-278, GOTHAJ, LC-286, MAHEMDABAD AND KHEDA ROAD, LC-294, KANIJ, BAREJADI NANDEJ, GERATPUR, VATVA, KANKARIYA CABIN, AHMEDABAD Jn</t>
        </is>
      </c>
    </row>
    <row r="278" ht="49" customHeight="1">
      <c r="A278" s="16" t="inlineStr">
        <is>
          <t>7 Jun</t>
        </is>
      </c>
      <c r="B278" s="16" t="inlineStr">
        <is>
          <t>39243</t>
        </is>
      </c>
      <c r="C278" s="16" t="n">
        <v>1692</v>
      </c>
      <c r="D278" s="16" t="n">
        <v>1692</v>
      </c>
      <c r="E278" s="16" t="n">
        <v>863</v>
      </c>
      <c r="F278" s="38" t="n">
        <v>389151</v>
      </c>
      <c r="G278" s="38" t="n">
        <v>438797</v>
      </c>
      <c r="H278" s="38" t="n">
        <v>400414</v>
      </c>
      <c r="I278" s="38" t="n">
        <v>438797</v>
      </c>
      <c r="J278" s="19">
        <f>(I278-H278)/1000</f>
        <v/>
      </c>
      <c r="K278" s="16" t="inlineStr">
        <is>
          <t>Yes</t>
        </is>
      </c>
      <c r="L278" s="16" t="n">
        <v>10</v>
      </c>
      <c r="M278" s="39" t="inlineStr">
        <is>
          <t>UTARSANDA, NADIAD, LC-278, GOTHAJ, LC-286, MAHEMDABAD AND KHEDA ROAD, LC-294, KANIJ, BAREJADI NANDEJ, GERATPUR, VATVA, KANKARIYA CABIN, AHMEDABAD Jn</t>
        </is>
      </c>
    </row>
    <row r="279" ht="49" customHeight="1">
      <c r="A279" s="16" t="inlineStr">
        <is>
          <t>7 Jun</t>
        </is>
      </c>
      <c r="B279" s="16" t="inlineStr">
        <is>
          <t>39014</t>
        </is>
      </c>
      <c r="C279" s="16" t="n">
        <v>3059</v>
      </c>
      <c r="D279" s="16" t="n">
        <v>3059</v>
      </c>
      <c r="E279" s="16" t="n">
        <v>740</v>
      </c>
      <c r="F279" s="38" t="n">
        <v>369985</v>
      </c>
      <c r="G279" s="38" t="n">
        <v>437434</v>
      </c>
      <c r="H279" s="38" t="n">
        <v>400482</v>
      </c>
      <c r="I279" s="38" t="n">
        <v>437434</v>
      </c>
      <c r="J279" s="19">
        <f>(I279-H279)/1000</f>
        <v/>
      </c>
      <c r="K279" s="16" t="inlineStr">
        <is>
          <t>Yes</t>
        </is>
      </c>
      <c r="L279" s="16" t="n">
        <v>10</v>
      </c>
      <c r="M279" s="39" t="inlineStr">
        <is>
          <t>UTARSANDA, NADIAD, LC-278, GOTHAJ, LC-286, MAHEMDABAD AND KHEDA ROAD, LC-294, KANIJ, BAREJADI NANDEJ, GERATPUR, VATVA, KANKARIYA CABIN, AHMEDABAD Jn</t>
        </is>
      </c>
    </row>
    <row r="280" ht="49" customHeight="1">
      <c r="A280" s="16" t="inlineStr">
        <is>
          <t>7 Jun</t>
        </is>
      </c>
      <c r="B280" s="16" t="inlineStr">
        <is>
          <t>37885</t>
        </is>
      </c>
      <c r="C280" s="16" t="n">
        <v>1846</v>
      </c>
      <c r="D280" s="16" t="n">
        <v>1846</v>
      </c>
      <c r="E280" s="16" t="n">
        <v>798</v>
      </c>
      <c r="F280" s="38" t="n">
        <v>369602</v>
      </c>
      <c r="G280" s="38" t="n">
        <v>437313</v>
      </c>
      <c r="H280" s="38" t="n">
        <v>400437</v>
      </c>
      <c r="I280" s="38" t="n">
        <v>437313</v>
      </c>
      <c r="J280" s="19">
        <f>(I280-H280)/1000</f>
        <v/>
      </c>
      <c r="K280" s="16" t="inlineStr">
        <is>
          <t>Yes</t>
        </is>
      </c>
      <c r="L280" s="16" t="n">
        <v>10</v>
      </c>
      <c r="M280" s="39" t="inlineStr">
        <is>
          <t>UTARSANDA, NADIAD, LC-278, GOTHAJ, LC-286, MAHEMDABAD AND KHEDA ROAD, LC-294, KANIJ, BAREJADI NANDEJ, GERATPUR, VATVA, KANKARIYA CABIN, AHMEDABAD Jn</t>
        </is>
      </c>
    </row>
    <row r="281" ht="49" customHeight="1">
      <c r="A281" s="16" t="inlineStr">
        <is>
          <t>7 Jun</t>
        </is>
      </c>
      <c r="B281" s="16" t="inlineStr">
        <is>
          <t>30307</t>
        </is>
      </c>
      <c r="C281" s="16" t="n">
        <v>1470</v>
      </c>
      <c r="D281" s="16" t="n">
        <v>1470</v>
      </c>
      <c r="E281" s="16" t="n">
        <v>680</v>
      </c>
      <c r="F281" s="38" t="n">
        <v>375738</v>
      </c>
      <c r="G281" s="38" t="n">
        <v>437284</v>
      </c>
      <c r="H281" s="38" t="n">
        <v>400459</v>
      </c>
      <c r="I281" s="38" t="n">
        <v>437284</v>
      </c>
      <c r="J281" s="19">
        <f>(I281-H281)/1000</f>
        <v/>
      </c>
      <c r="K281" s="16" t="inlineStr">
        <is>
          <t>Yes</t>
        </is>
      </c>
      <c r="L281" s="16" t="n">
        <v>10</v>
      </c>
      <c r="M281" s="39" t="inlineStr">
        <is>
          <t>UTARSANDA, NADIAD, LC-278, GOTHAJ, LC-286, MAHEMDABAD AND KHEDA ROAD, LC-294, KANIJ, BAREJADI NANDEJ, GERATPUR, VATVA, KANKARIYA CABIN, AHMEDABAD Jn</t>
        </is>
      </c>
    </row>
    <row r="282" ht="49" customHeight="1">
      <c r="A282" s="16" t="inlineStr">
        <is>
          <t>7 Jun</t>
        </is>
      </c>
      <c r="B282" s="16" t="inlineStr">
        <is>
          <t>37424</t>
        </is>
      </c>
      <c r="C282" s="16" t="n">
        <v>2463</v>
      </c>
      <c r="D282" s="16" t="n">
        <v>2463</v>
      </c>
      <c r="E282" s="16" t="n">
        <v>1276</v>
      </c>
      <c r="F282" s="38" t="n">
        <v>369949</v>
      </c>
      <c r="G282" s="38" t="n">
        <v>437200</v>
      </c>
      <c r="H282" s="38" t="n">
        <v>400398</v>
      </c>
      <c r="I282" s="38" t="n">
        <v>437200</v>
      </c>
      <c r="J282" s="19">
        <f>(I282-H282)/1000</f>
        <v/>
      </c>
      <c r="K282" s="16" t="inlineStr">
        <is>
          <t>Yes</t>
        </is>
      </c>
      <c r="L282" s="16" t="n">
        <v>10</v>
      </c>
      <c r="M282" s="39" t="inlineStr">
        <is>
          <t>UTARSANDA, NADIAD, LC-278, GOTHAJ, LC-286, MAHEMDABAD AND KHEDA ROAD, LC-294, KANIJ, BAREJADI NANDEJ, GERATPUR, VATVA, KANKARIYA CABIN, AHMEDABAD Jn</t>
        </is>
      </c>
    </row>
    <row r="283" ht="49" customHeight="1">
      <c r="A283" s="16" t="inlineStr">
        <is>
          <t>7 Jun</t>
        </is>
      </c>
      <c r="B283" s="16" t="inlineStr">
        <is>
          <t>37577</t>
        </is>
      </c>
      <c r="C283" s="16" t="n">
        <v>1724</v>
      </c>
      <c r="D283" s="16" t="n">
        <v>1724</v>
      </c>
      <c r="E283" s="16" t="n">
        <v>834</v>
      </c>
      <c r="F283" s="38" t="n">
        <v>361625</v>
      </c>
      <c r="G283" s="38" t="n">
        <v>436783</v>
      </c>
      <c r="H283" s="38" t="n">
        <v>400425</v>
      </c>
      <c r="I283" s="38" t="n">
        <v>436783</v>
      </c>
      <c r="J283" s="19">
        <f>(I283-H283)/1000</f>
        <v/>
      </c>
      <c r="K283" s="16" t="inlineStr">
        <is>
          <t>Yes</t>
        </is>
      </c>
      <c r="L283" s="16" t="n">
        <v>9</v>
      </c>
      <c r="M283" s="39" t="inlineStr">
        <is>
          <t>KANJARI BORIYAVI, UTARSANDA, NADIAD, LC-278, GOTHAJ, LC-286, MAHEMDABAD AND KHEDA ROAD, LC-294, KANIJ, BAREJADI NANDEJ, GERATPUR, VATVA, KANKARIYA CABIN, AHMEDABAD Jn</t>
        </is>
      </c>
    </row>
    <row r="284" ht="49" customHeight="1">
      <c r="A284" s="16" t="inlineStr">
        <is>
          <t>7 Jun</t>
        </is>
      </c>
      <c r="B284" s="16" t="inlineStr">
        <is>
          <t>30722</t>
        </is>
      </c>
      <c r="C284" s="16" t="n">
        <v>1560</v>
      </c>
      <c r="D284" s="16" t="n">
        <v>1543</v>
      </c>
      <c r="E284" s="16" t="n">
        <v>721</v>
      </c>
      <c r="F284" s="38" t="n">
        <v>381845</v>
      </c>
      <c r="G284" s="38" t="n">
        <v>436802</v>
      </c>
      <c r="H284" s="38" t="n">
        <v>400567</v>
      </c>
      <c r="I284" s="38" t="n">
        <v>436802</v>
      </c>
      <c r="J284" s="19">
        <f>(I284-H284)/1000</f>
        <v/>
      </c>
      <c r="K284" s="16" t="inlineStr">
        <is>
          <t>Yes</t>
        </is>
      </c>
      <c r="L284" s="16" t="n">
        <v>9</v>
      </c>
      <c r="M284" s="39" t="inlineStr">
        <is>
          <t>KANJARI BORIYAVI, UTARSANDA, NADIAD, LC-278, GOTHAJ, LC-286, MAHEMDABAD AND KHEDA ROAD, LC-294, KANIJ, BAREJADI NANDEJ, GERATPUR, VATVA, KANKARIYA CABIN, AHMEDABAD Jn</t>
        </is>
      </c>
    </row>
    <row r="285" ht="49" customHeight="1">
      <c r="A285" s="16" t="inlineStr">
        <is>
          <t>7 Jun</t>
        </is>
      </c>
      <c r="B285" s="16" t="inlineStr">
        <is>
          <t>37582</t>
        </is>
      </c>
      <c r="C285" s="16" t="n">
        <v>675</v>
      </c>
      <c r="D285" s="16" t="n">
        <v>675</v>
      </c>
      <c r="E285" s="16" t="n">
        <v>287</v>
      </c>
      <c r="F285" s="38" t="n">
        <v>380417</v>
      </c>
      <c r="G285" s="38" t="n">
        <v>432632</v>
      </c>
      <c r="H285" s="38" t="n">
        <v>400407</v>
      </c>
      <c r="I285" s="38" t="n">
        <v>432632</v>
      </c>
      <c r="J285" s="19">
        <f>(I285-H285)/1000</f>
        <v/>
      </c>
      <c r="K285" s="16" t="inlineStr">
        <is>
          <t>Yes</t>
        </is>
      </c>
      <c r="L285" s="16" t="n">
        <v>8</v>
      </c>
      <c r="M285" s="39" t="inlineStr">
        <is>
          <t>LC-264, KANJARI BORIYAVI, UTARSANDA, NADIAD, LC-278, GOTHAJ, LC-286, MAHEMDABAD AND KHEDA ROAD, LC-294, KANIJ, BAREJADI NANDEJ, GERATPUR, VATVA, KANKARIYA CABIN, AHMEDABAD Jn</t>
        </is>
      </c>
    </row>
    <row r="286" ht="49" customHeight="1">
      <c r="A286" s="16" t="inlineStr">
        <is>
          <t>7 Jun</t>
        </is>
      </c>
      <c r="B286" s="16" t="inlineStr">
        <is>
          <t>30472</t>
        </is>
      </c>
      <c r="C286" s="16" t="n">
        <v>220</v>
      </c>
      <c r="D286" s="16" t="n">
        <v>220</v>
      </c>
      <c r="E286" s="16" t="n">
        <v>220</v>
      </c>
      <c r="F286" s="38" t="n">
        <v>420735</v>
      </c>
      <c r="G286" s="38" t="n">
        <v>437421</v>
      </c>
      <c r="H286" s="38" t="n">
        <v>420735</v>
      </c>
      <c r="I286" s="38" t="n">
        <v>437421</v>
      </c>
      <c r="J286" s="19">
        <f>(I286-H286)/1000</f>
        <v/>
      </c>
      <c r="K286" s="16" t="inlineStr">
        <is>
          <t>Yes</t>
        </is>
      </c>
      <c r="L286" s="16" t="n">
        <v>6</v>
      </c>
      <c r="M286" s="39" t="inlineStr">
        <is>
          <t>BAJWA, RANOLI, LC-246, VASAD, UTARSANDA, NADIAD, LC-278, GOTHAJ, LC-286, MAHEMDABAD AND KHEDA ROAD, LC-294, KANIJ, BAREJADI NANDEJ, GERATPUR, VATVA, KANKARIYA CABIN, AHMEDABAD Jn</t>
        </is>
      </c>
    </row>
    <row r="287" ht="64" customHeight="1">
      <c r="A287" s="16" t="inlineStr">
        <is>
          <t>7 Jun</t>
        </is>
      </c>
      <c r="B287" s="16" t="inlineStr">
        <is>
          <t>39465</t>
        </is>
      </c>
      <c r="C287" s="16" t="n">
        <v>1210</v>
      </c>
      <c r="D287" s="16" t="n">
        <v>1210</v>
      </c>
      <c r="E287" s="16" t="n">
        <v>262</v>
      </c>
      <c r="F287" s="38" t="n">
        <v>370145</v>
      </c>
      <c r="G287" s="38" t="n">
        <v>402385</v>
      </c>
      <c r="H287" s="38" t="n">
        <v>400400</v>
      </c>
      <c r="I287" s="38" t="n">
        <v>402385</v>
      </c>
      <c r="J287" s="19">
        <f>(I287-H287)/1000</f>
        <v/>
      </c>
      <c r="K287" s="16" t="inlineStr">
        <is>
          <t>Yes</t>
        </is>
      </c>
      <c r="L287" s="16" t="n">
        <v>1</v>
      </c>
      <c r="M287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88" ht="64" customHeight="1">
      <c r="A288" s="34" t="inlineStr">
        <is>
          <t>7 Jun</t>
        </is>
      </c>
      <c r="B288" s="34" t="inlineStr">
        <is>
          <t>37385</t>
        </is>
      </c>
      <c r="C288" s="34" t="n">
        <v>19</v>
      </c>
      <c r="D288" s="34" t="n">
        <v>0</v>
      </c>
      <c r="E288" s="34" t="n">
        <v>0</v>
      </c>
      <c r="F288" s="40" t="inlineStr">
        <is>
          <t>-</t>
        </is>
      </c>
      <c r="G288" s="40" t="inlineStr">
        <is>
          <t>-</t>
        </is>
      </c>
      <c r="H288" s="40" t="inlineStr">
        <is>
          <t>-</t>
        </is>
      </c>
      <c r="I288" s="40" t="inlineStr">
        <is>
          <t>-</t>
        </is>
      </c>
      <c r="J288" s="41" t="n">
        <v>0</v>
      </c>
      <c r="K288" s="34" t="inlineStr">
        <is>
          <t>No</t>
        </is>
      </c>
      <c r="L288" s="34" t="n">
        <v>0</v>
      </c>
      <c r="M28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89" ht="64" customHeight="1">
      <c r="A289" s="34" t="inlineStr">
        <is>
          <t>7 Jun</t>
        </is>
      </c>
      <c r="B289" s="34" t="inlineStr">
        <is>
          <t>37656</t>
        </is>
      </c>
      <c r="C289" s="34" t="n">
        <v>264</v>
      </c>
      <c r="D289" s="34" t="n">
        <v>264</v>
      </c>
      <c r="E289" s="34" t="n">
        <v>0</v>
      </c>
      <c r="F289" s="40" t="n">
        <v>368126</v>
      </c>
      <c r="G289" s="40" t="n">
        <v>395171</v>
      </c>
      <c r="H289" s="40" t="inlineStr">
        <is>
          <t>-</t>
        </is>
      </c>
      <c r="I289" s="40" t="inlineStr">
        <is>
          <t>-</t>
        </is>
      </c>
      <c r="J289" s="41" t="n">
        <v>0</v>
      </c>
      <c r="K289" s="34" t="inlineStr">
        <is>
          <t>No</t>
        </is>
      </c>
      <c r="L289" s="34" t="n">
        <v>0</v>
      </c>
      <c r="M28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90" ht="64" customHeight="1">
      <c r="A290" s="34" t="inlineStr">
        <is>
          <t>7 Jun</t>
        </is>
      </c>
      <c r="B290" s="34" t="inlineStr">
        <is>
          <t>37830</t>
        </is>
      </c>
      <c r="C290" s="34" t="n">
        <v>438</v>
      </c>
      <c r="D290" s="34" t="n">
        <v>438</v>
      </c>
      <c r="E290" s="34" t="n">
        <v>0</v>
      </c>
      <c r="F290" s="40" t="n">
        <v>361743</v>
      </c>
      <c r="G290" s="40" t="n">
        <v>395931</v>
      </c>
      <c r="H290" s="40" t="inlineStr">
        <is>
          <t>-</t>
        </is>
      </c>
      <c r="I290" s="40" t="inlineStr">
        <is>
          <t>-</t>
        </is>
      </c>
      <c r="J290" s="41" t="n">
        <v>0</v>
      </c>
      <c r="K290" s="34" t="inlineStr">
        <is>
          <t>No</t>
        </is>
      </c>
      <c r="L290" s="34" t="n">
        <v>0</v>
      </c>
      <c r="M29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91" ht="64" customHeight="1">
      <c r="A291" s="34" t="inlineStr">
        <is>
          <t>7 Jun</t>
        </is>
      </c>
      <c r="B291" s="34" t="inlineStr">
        <is>
          <t>39089</t>
        </is>
      </c>
      <c r="C291" s="34" t="n">
        <v>527</v>
      </c>
      <c r="D291" s="34" t="n">
        <v>527</v>
      </c>
      <c r="E291" s="34" t="n">
        <v>0</v>
      </c>
      <c r="F291" s="40" t="n">
        <v>370254</v>
      </c>
      <c r="G291" s="40" t="n">
        <v>395844</v>
      </c>
      <c r="H291" s="40" t="inlineStr">
        <is>
          <t>-</t>
        </is>
      </c>
      <c r="I291" s="40" t="inlineStr">
        <is>
          <t>-</t>
        </is>
      </c>
      <c r="J291" s="41" t="n">
        <v>0</v>
      </c>
      <c r="K291" s="34" t="inlineStr">
        <is>
          <t>No</t>
        </is>
      </c>
      <c r="L291" s="34" t="n">
        <v>0</v>
      </c>
      <c r="M29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92" ht="64" customHeight="1">
      <c r="A292" s="34" t="inlineStr">
        <is>
          <t>7 Jun</t>
        </is>
      </c>
      <c r="B292" s="34" t="inlineStr">
        <is>
          <t>43560</t>
        </is>
      </c>
      <c r="C292" s="34" t="n">
        <v>6</v>
      </c>
      <c r="D292" s="34" t="n">
        <v>0</v>
      </c>
      <c r="E292" s="34" t="n">
        <v>0</v>
      </c>
      <c r="F292" s="40" t="inlineStr">
        <is>
          <t>-</t>
        </is>
      </c>
      <c r="G292" s="40" t="inlineStr">
        <is>
          <t>-</t>
        </is>
      </c>
      <c r="H292" s="40" t="inlineStr">
        <is>
          <t>-</t>
        </is>
      </c>
      <c r="I292" s="40" t="inlineStr">
        <is>
          <t>-</t>
        </is>
      </c>
      <c r="J292" s="41" t="n">
        <v>0</v>
      </c>
      <c r="K292" s="34" t="inlineStr">
        <is>
          <t>No</t>
        </is>
      </c>
      <c r="L292" s="34" t="n">
        <v>0</v>
      </c>
      <c r="M29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93" ht="64" customHeight="1">
      <c r="A293" s="34" t="inlineStr">
        <is>
          <t>7 Jun</t>
        </is>
      </c>
      <c r="B293" s="34" t="inlineStr">
        <is>
          <t>43652</t>
        </is>
      </c>
      <c r="C293" s="34" t="n">
        <v>16</v>
      </c>
      <c r="D293" s="34" t="n">
        <v>0</v>
      </c>
      <c r="E293" s="34" t="n">
        <v>0</v>
      </c>
      <c r="F293" s="40" t="inlineStr">
        <is>
          <t>-</t>
        </is>
      </c>
      <c r="G293" s="40" t="inlineStr">
        <is>
          <t>-</t>
        </is>
      </c>
      <c r="H293" s="40" t="inlineStr">
        <is>
          <t>-</t>
        </is>
      </c>
      <c r="I293" s="40" t="inlineStr">
        <is>
          <t>-</t>
        </is>
      </c>
      <c r="J293" s="41" t="n">
        <v>0</v>
      </c>
      <c r="K293" s="34" t="inlineStr">
        <is>
          <t>No</t>
        </is>
      </c>
      <c r="L293" s="34" t="n">
        <v>0</v>
      </c>
      <c r="M29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3" t="inlineStr">
        <is>
          <t>Methodology</t>
        </is>
      </c>
    </row>
    <row r="3" ht="34" customHeight="1">
      <c r="B3" s="44" t="inlineStr">
        <is>
          <t>Excluded</t>
        </is>
      </c>
      <c r="C3" s="45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44" t="inlineStr">
        <is>
          <t>No of Trips</t>
        </is>
      </c>
      <c r="C4" s="45" t="inlineStr">
        <is>
          <t>A direction-run covering within 5 km of its line length (DN 93.91 / UP 93.91 km) = one FULL trip; out-and-back = 2. A loco with &gt;=1 full trip is 'valid' (its EBs count as Valid). KM Verification lists each loco-day's stations passed / not passed.</t>
        </is>
      </c>
    </row>
    <row r="5" ht="49" customHeight="1">
      <c r="B5" s="44" t="inlineStr">
        <is>
          <t>Total KMs Run on Kavach</t>
        </is>
      </c>
      <c r="C5" s="45" t="inlineStr">
        <is>
          <t>Section coverage per loco = how far it travelled across the section = (max - min) of its abs within the section limits (400398-494312). Capped at the section length; 0 if the loco never reported inside the section.</t>
        </is>
      </c>
    </row>
    <row r="6">
      <c r="B6" s="44" t="inlineStr">
        <is>
          <t>Availability (FS+OS)</t>
        </is>
      </c>
      <c r="C6" s="45" t="inlineStr">
        <is>
          <t>Packets in FS or OnSight ÷ all packets (all modes) × 100.</t>
        </is>
      </c>
    </row>
    <row r="7" ht="34" customHeight="1">
      <c r="B7" s="44" t="inlineStr">
        <is>
          <t>Total EB</t>
        </is>
      </c>
      <c r="C7" s="45" t="inlineStr">
        <is>
          <t>EB events in LReg brake status; one continuous hold = 1 (lost-packet gaps bridged, new event only at a real release). Split into Valid (trip locos) / Non-Valid.</t>
        </is>
      </c>
    </row>
    <row r="8" ht="34" customHeight="1">
      <c r="B8" s="44" t="inlineStr">
        <is>
          <t>Mode Degradation</t>
        </is>
      </c>
      <c r="C8" s="45" t="inlineStr">
        <is>
          <t>FS→Trip/LS/SR/Standby &amp; OS→SR/Standby (every transition). Excluded: start-of-mission/re-init SR, NonLeading→SR, FS→SR at 0 km/h, boundary-station re-init (917-reverse).</t>
        </is>
      </c>
    </row>
    <row r="9" ht="49" customHeight="1">
      <c r="B9" s="44" t="inlineStr">
        <is>
          <t>EB diagnostics</t>
        </is>
      </c>
      <c r="C9" s="45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44" t="inlineStr">
        <is>
          <t>Ratios</t>
        </is>
      </c>
      <c r="C10" s="45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2026-06-23T08:41:22Z</dcterms:created>
  <dcterms:modified xmlns:dcterms="http://purl.org/dc/terms/" xmlns:xsi="http://www.w3.org/2001/XMLSchema-instance" xsi:type="dcterms:W3CDTF">2026-06-30T11:07:05Z</dcterms:modified>
</cp:coreProperties>
</file>
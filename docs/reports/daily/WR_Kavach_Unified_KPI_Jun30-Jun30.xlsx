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30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49" customHeight="1">
      <c r="A5" s="4" t="inlineStr">
        <is>
          <t>30 Jun 2026</t>
        </is>
      </c>
      <c r="B5" s="4" t="inlineStr">
        <is>
          <t>WR</t>
        </is>
      </c>
      <c r="C5" s="4" t="inlineStr">
        <is>
          <t>24000_ADI - 24223 (WR03, BRC excluded)</t>
        </is>
      </c>
      <c r="D5" s="5">
        <f>'Daily Breakdown'!C49</f>
        <v/>
      </c>
      <c r="E5" s="6">
        <f>'Daily Breakdown'!D49</f>
        <v/>
      </c>
      <c r="F5" s="7">
        <f>'Daily Breakdown'!G49</f>
        <v/>
      </c>
      <c r="G5" s="5">
        <f>'Daily Breakdown'!H49</f>
        <v/>
      </c>
      <c r="H5" s="8">
        <f>'Daily Breakdown'!I49</f>
        <v/>
      </c>
      <c r="I5" s="8">
        <f>'Daily Breakdown'!J49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Breakdown'!K49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30 Jun</t>
        </is>
      </c>
      <c r="B4" s="15" t="inlineStr">
        <is>
          <t>39015</t>
        </is>
      </c>
      <c r="C4" s="16" t="n">
        <v>2</v>
      </c>
      <c r="D4" s="49" t="n">
        <v>93.91</v>
      </c>
      <c r="E4" s="18" t="n">
        <v>8946</v>
      </c>
      <c r="F4" s="18" t="n">
        <v>10429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9</v>
      </c>
    </row>
    <row r="5">
      <c r="A5" s="15" t="inlineStr">
        <is>
          <t>30 Jun</t>
        </is>
      </c>
      <c r="B5" s="15" t="inlineStr">
        <is>
          <t>30484</t>
        </is>
      </c>
      <c r="C5" s="16" t="n">
        <v>1</v>
      </c>
      <c r="D5" s="49" t="n">
        <v>93.90000000000001</v>
      </c>
      <c r="E5" s="18" t="n">
        <v>5676</v>
      </c>
      <c r="F5" s="18" t="n">
        <v>7045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2</v>
      </c>
    </row>
    <row r="6">
      <c r="A6" s="15" t="inlineStr">
        <is>
          <t>30 Jun</t>
        </is>
      </c>
      <c r="B6" s="15" t="inlineStr">
        <is>
          <t>37505</t>
        </is>
      </c>
      <c r="C6" s="16" t="n">
        <v>1</v>
      </c>
      <c r="D6" s="49" t="n">
        <v>93.91</v>
      </c>
      <c r="E6" s="18" t="n">
        <v>4582</v>
      </c>
      <c r="F6" s="18" t="n">
        <v>6510</v>
      </c>
      <c r="G6" s="19">
        <f>IF(F6=0,0,E6/F6*100)</f>
        <v/>
      </c>
      <c r="H6" s="16" t="n">
        <v>1</v>
      </c>
      <c r="I6" s="16" t="n">
        <v>1</v>
      </c>
      <c r="J6" s="16" t="n">
        <v>0</v>
      </c>
      <c r="K6" s="16" t="n">
        <v>6</v>
      </c>
    </row>
    <row r="7">
      <c r="A7" s="15" t="inlineStr">
        <is>
          <t>30 Jun</t>
        </is>
      </c>
      <c r="B7" s="15" t="inlineStr">
        <is>
          <t>37303</t>
        </is>
      </c>
      <c r="C7" s="16" t="n">
        <v>1</v>
      </c>
      <c r="D7" s="49" t="n">
        <v>93.91</v>
      </c>
      <c r="E7" s="18" t="n">
        <v>4761</v>
      </c>
      <c r="F7" s="18" t="n">
        <v>6474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4</v>
      </c>
    </row>
    <row r="8">
      <c r="A8" s="15" t="inlineStr">
        <is>
          <t>30 Jun</t>
        </is>
      </c>
      <c r="B8" s="15" t="inlineStr">
        <is>
          <t>41529</t>
        </is>
      </c>
      <c r="C8" s="16" t="n">
        <v>1</v>
      </c>
      <c r="D8" s="49" t="n">
        <v>88.94</v>
      </c>
      <c r="E8" s="18" t="n">
        <v>5985</v>
      </c>
      <c r="F8" s="18" t="n">
        <v>6398</v>
      </c>
      <c r="G8" s="19">
        <f>IF(F8=0,0,E8/F8*100)</f>
        <v/>
      </c>
      <c r="H8" s="16" t="n">
        <v>1</v>
      </c>
      <c r="I8" s="16" t="n">
        <v>1</v>
      </c>
      <c r="J8" s="16" t="n">
        <v>0</v>
      </c>
      <c r="K8" s="16" t="n">
        <v>3</v>
      </c>
    </row>
    <row r="9">
      <c r="A9" s="15" t="inlineStr">
        <is>
          <t>30 Jun</t>
        </is>
      </c>
      <c r="B9" s="15" t="inlineStr">
        <is>
          <t>37020</t>
        </is>
      </c>
      <c r="C9" s="16" t="n">
        <v>1</v>
      </c>
      <c r="D9" s="49" t="n">
        <v>93.90000000000001</v>
      </c>
      <c r="E9" s="18" t="n">
        <v>5132</v>
      </c>
      <c r="F9" s="18" t="n">
        <v>6272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4</v>
      </c>
    </row>
    <row r="10">
      <c r="A10" s="15" t="inlineStr">
        <is>
          <t>30 Jun</t>
        </is>
      </c>
      <c r="B10" s="15" t="inlineStr">
        <is>
          <t>37793</t>
        </is>
      </c>
      <c r="C10" s="16" t="n">
        <v>1</v>
      </c>
      <c r="D10" s="49" t="n">
        <v>93.91</v>
      </c>
      <c r="E10" s="18" t="n">
        <v>4833</v>
      </c>
      <c r="F10" s="18" t="n">
        <v>6203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4</v>
      </c>
    </row>
    <row r="11">
      <c r="A11" s="15" t="inlineStr">
        <is>
          <t>30 Jun</t>
        </is>
      </c>
      <c r="B11" s="15" t="inlineStr">
        <is>
          <t>37086</t>
        </is>
      </c>
      <c r="C11" s="16" t="n">
        <v>1</v>
      </c>
      <c r="D11" s="49" t="n">
        <v>93.88</v>
      </c>
      <c r="E11" s="18" t="n">
        <v>5405</v>
      </c>
      <c r="F11" s="18" t="n">
        <v>6102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3</v>
      </c>
    </row>
    <row r="12">
      <c r="A12" s="15" t="inlineStr">
        <is>
          <t>30 Jun</t>
        </is>
      </c>
      <c r="B12" s="15" t="inlineStr">
        <is>
          <t>30814</t>
        </is>
      </c>
      <c r="C12" s="16" t="n">
        <v>1</v>
      </c>
      <c r="D12" s="49" t="n">
        <v>93.89</v>
      </c>
      <c r="E12" s="18" t="n">
        <v>5132</v>
      </c>
      <c r="F12" s="18" t="n">
        <v>5940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4</v>
      </c>
    </row>
    <row r="13">
      <c r="A13" s="15" t="inlineStr">
        <is>
          <t>30 Jun</t>
        </is>
      </c>
      <c r="B13" s="15" t="inlineStr">
        <is>
          <t>30606</t>
        </is>
      </c>
      <c r="C13" s="16" t="n">
        <v>1</v>
      </c>
      <c r="D13" s="49" t="n">
        <v>93.87</v>
      </c>
      <c r="E13" s="18" t="n">
        <v>4998</v>
      </c>
      <c r="F13" s="18" t="n">
        <v>5637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2</v>
      </c>
    </row>
    <row r="14">
      <c r="A14" s="15" t="inlineStr">
        <is>
          <t>30 Jun</t>
        </is>
      </c>
      <c r="B14" s="15" t="inlineStr">
        <is>
          <t>39030</t>
        </is>
      </c>
      <c r="C14" s="16" t="n">
        <v>1</v>
      </c>
      <c r="D14" s="49" t="n">
        <v>93.90000000000001</v>
      </c>
      <c r="E14" s="18" t="n">
        <v>4694</v>
      </c>
      <c r="F14" s="18" t="n">
        <v>5597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4</v>
      </c>
    </row>
    <row r="15">
      <c r="A15" s="15" t="inlineStr">
        <is>
          <t>30 Jun</t>
        </is>
      </c>
      <c r="B15" s="15" t="inlineStr">
        <is>
          <t>30634</t>
        </is>
      </c>
      <c r="C15" s="16" t="n">
        <v>1</v>
      </c>
      <c r="D15" s="49" t="n">
        <v>93.86</v>
      </c>
      <c r="E15" s="18" t="n">
        <v>4501</v>
      </c>
      <c r="F15" s="18" t="n">
        <v>5508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5</v>
      </c>
    </row>
    <row r="16">
      <c r="A16" s="15" t="inlineStr">
        <is>
          <t>30 Jun</t>
        </is>
      </c>
      <c r="B16" s="15" t="inlineStr">
        <is>
          <t>39066</t>
        </is>
      </c>
      <c r="C16" s="16" t="n">
        <v>1</v>
      </c>
      <c r="D16" s="49" t="n">
        <v>93.91</v>
      </c>
      <c r="E16" s="18" t="n">
        <v>4220</v>
      </c>
      <c r="F16" s="18" t="n">
        <v>5319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30 Jun</t>
        </is>
      </c>
      <c r="B17" s="15" t="inlineStr">
        <is>
          <t>39258</t>
        </is>
      </c>
      <c r="C17" s="16" t="n">
        <v>1</v>
      </c>
      <c r="D17" s="49" t="n">
        <v>93.31999999999999</v>
      </c>
      <c r="E17" s="18" t="n">
        <v>5080</v>
      </c>
      <c r="F17" s="18" t="n">
        <v>5318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3</v>
      </c>
    </row>
    <row r="18">
      <c r="A18" s="15" t="inlineStr">
        <is>
          <t>30 Jun</t>
        </is>
      </c>
      <c r="B18" s="15" t="inlineStr">
        <is>
          <t>37381</t>
        </is>
      </c>
      <c r="C18" s="16" t="n">
        <v>1</v>
      </c>
      <c r="D18" s="49" t="n">
        <v>93.91</v>
      </c>
      <c r="E18" s="18" t="n">
        <v>4061</v>
      </c>
      <c r="F18" s="18" t="n">
        <v>5073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6</v>
      </c>
    </row>
    <row r="19">
      <c r="A19" s="15" t="inlineStr">
        <is>
          <t>30 Jun</t>
        </is>
      </c>
      <c r="B19" s="15" t="inlineStr">
        <is>
          <t>39248</t>
        </is>
      </c>
      <c r="C19" s="16" t="n">
        <v>1</v>
      </c>
      <c r="D19" s="49" t="n">
        <v>93.88</v>
      </c>
      <c r="E19" s="18" t="n">
        <v>4478</v>
      </c>
      <c r="F19" s="18" t="n">
        <v>4980</v>
      </c>
      <c r="G19" s="19">
        <f>IF(F19=0,0,E19/F19*100)</f>
        <v/>
      </c>
      <c r="H19" s="16" t="n">
        <v>1</v>
      </c>
      <c r="I19" s="16" t="n">
        <v>1</v>
      </c>
      <c r="J19" s="16" t="n">
        <v>0</v>
      </c>
      <c r="K19" s="16" t="n">
        <v>5</v>
      </c>
    </row>
    <row r="20">
      <c r="A20" s="15" t="inlineStr">
        <is>
          <t>30 Jun</t>
        </is>
      </c>
      <c r="B20" s="15" t="inlineStr">
        <is>
          <t>37396</t>
        </is>
      </c>
      <c r="C20" s="16" t="n">
        <v>1</v>
      </c>
      <c r="D20" s="49" t="n">
        <v>93.81999999999999</v>
      </c>
      <c r="E20" s="18" t="n">
        <v>4069</v>
      </c>
      <c r="F20" s="18" t="n">
        <v>4697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3</v>
      </c>
    </row>
    <row r="21">
      <c r="A21" s="15" t="inlineStr">
        <is>
          <t>30 Jun</t>
        </is>
      </c>
      <c r="B21" s="15" t="inlineStr">
        <is>
          <t>39287</t>
        </is>
      </c>
      <c r="C21" s="16" t="n">
        <v>1</v>
      </c>
      <c r="D21" s="49" t="n">
        <v>93.89</v>
      </c>
      <c r="E21" s="18" t="n">
        <v>3677</v>
      </c>
      <c r="F21" s="18" t="n">
        <v>4582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5</v>
      </c>
    </row>
    <row r="22">
      <c r="A22" s="15" t="inlineStr">
        <is>
          <t>30 Jun</t>
        </is>
      </c>
      <c r="B22" s="15" t="inlineStr">
        <is>
          <t>30058</t>
        </is>
      </c>
      <c r="C22" s="16" t="n">
        <v>1</v>
      </c>
      <c r="D22" s="49" t="n">
        <v>93.90000000000001</v>
      </c>
      <c r="E22" s="18" t="n">
        <v>3524</v>
      </c>
      <c r="F22" s="18" t="n">
        <v>4512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5</v>
      </c>
    </row>
    <row r="23">
      <c r="A23" s="15" t="inlineStr">
        <is>
          <t>30 Jun</t>
        </is>
      </c>
      <c r="B23" s="15" t="inlineStr">
        <is>
          <t>39214</t>
        </is>
      </c>
      <c r="C23" s="16" t="n">
        <v>1</v>
      </c>
      <c r="D23" s="49" t="n">
        <v>93.84999999999999</v>
      </c>
      <c r="E23" s="18" t="n">
        <v>3986</v>
      </c>
      <c r="F23" s="18" t="n">
        <v>4436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30 Jun</t>
        </is>
      </c>
      <c r="B24" s="15" t="inlineStr">
        <is>
          <t>30088</t>
        </is>
      </c>
      <c r="C24" s="16" t="n">
        <v>1</v>
      </c>
      <c r="D24" s="49" t="n">
        <v>93.90000000000001</v>
      </c>
      <c r="E24" s="18" t="n">
        <v>4016</v>
      </c>
      <c r="F24" s="18" t="n">
        <v>4393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2</v>
      </c>
    </row>
    <row r="25">
      <c r="A25" s="15" t="inlineStr">
        <is>
          <t>30 Jun</t>
        </is>
      </c>
      <c r="B25" s="15" t="inlineStr">
        <is>
          <t>39259</t>
        </is>
      </c>
      <c r="C25" s="16" t="n">
        <v>1</v>
      </c>
      <c r="D25" s="49" t="n">
        <v>90.88</v>
      </c>
      <c r="E25" s="18" t="n">
        <v>4197</v>
      </c>
      <c r="F25" s="18" t="n">
        <v>4291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3</v>
      </c>
    </row>
    <row r="26">
      <c r="A26" s="15" t="inlineStr">
        <is>
          <t>30 Jun</t>
        </is>
      </c>
      <c r="B26" s="15" t="inlineStr">
        <is>
          <t>37812</t>
        </is>
      </c>
      <c r="C26" s="16" t="n">
        <v>1</v>
      </c>
      <c r="D26" s="49" t="n">
        <v>93.88</v>
      </c>
      <c r="E26" s="18" t="n">
        <v>3569</v>
      </c>
      <c r="F26" s="18" t="n">
        <v>4165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2</v>
      </c>
    </row>
    <row r="27">
      <c r="A27" s="15" t="inlineStr">
        <is>
          <t>30 Jun</t>
        </is>
      </c>
      <c r="B27" s="15" t="inlineStr">
        <is>
          <t>37112</t>
        </is>
      </c>
      <c r="C27" s="16" t="n">
        <v>1</v>
      </c>
      <c r="D27" s="49" t="n">
        <v>91.47</v>
      </c>
      <c r="E27" s="18" t="n">
        <v>3802</v>
      </c>
      <c r="F27" s="18" t="n">
        <v>3976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2</v>
      </c>
    </row>
    <row r="28">
      <c r="A28" s="15" t="inlineStr">
        <is>
          <t>30 Jun</t>
        </is>
      </c>
      <c r="B28" s="15" t="inlineStr">
        <is>
          <t>30480</t>
        </is>
      </c>
      <c r="C28" s="16" t="n">
        <v>0</v>
      </c>
      <c r="D28" s="49" t="n">
        <v>44.3</v>
      </c>
      <c r="E28" s="18" t="n">
        <v>4120</v>
      </c>
      <c r="F28" s="18" t="n">
        <v>5505</v>
      </c>
      <c r="G28" s="19">
        <f>IF(F28=0,0,E28/F28*100)</f>
        <v/>
      </c>
      <c r="H28" s="16" t="n">
        <v>2</v>
      </c>
      <c r="I28" s="16" t="n">
        <v>0</v>
      </c>
      <c r="J28" s="16" t="n">
        <v>2</v>
      </c>
      <c r="K28" s="16" t="n">
        <v>5</v>
      </c>
    </row>
    <row r="29">
      <c r="A29" s="15" t="inlineStr">
        <is>
          <t>30 Jun</t>
        </is>
      </c>
      <c r="B29" s="15" t="inlineStr">
        <is>
          <t>39487</t>
        </is>
      </c>
      <c r="C29" s="16" t="n">
        <v>0</v>
      </c>
      <c r="D29" s="49" t="n">
        <v>51.69</v>
      </c>
      <c r="E29" s="18" t="n">
        <v>5479</v>
      </c>
      <c r="F29" s="18" t="n">
        <v>5479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30 Jun</t>
        </is>
      </c>
      <c r="B30" s="15" t="inlineStr">
        <is>
          <t>43897</t>
        </is>
      </c>
      <c r="C30" s="16" t="n">
        <v>0</v>
      </c>
      <c r="D30" s="49" t="n">
        <v>84.33</v>
      </c>
      <c r="E30" s="18" t="n">
        <v>4227</v>
      </c>
      <c r="F30" s="18" t="n">
        <v>4710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30 Jun</t>
        </is>
      </c>
      <c r="B31" s="15" t="inlineStr">
        <is>
          <t>37504</t>
        </is>
      </c>
      <c r="C31" s="16" t="n">
        <v>0</v>
      </c>
      <c r="D31" s="49" t="n">
        <v>85.88</v>
      </c>
      <c r="E31" s="18" t="n">
        <v>3761</v>
      </c>
      <c r="F31" s="18" t="n">
        <v>4258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2</v>
      </c>
    </row>
    <row r="32">
      <c r="A32" s="15" t="inlineStr">
        <is>
          <t>30 Jun</t>
        </is>
      </c>
      <c r="B32" s="15" t="inlineStr">
        <is>
          <t>37489</t>
        </is>
      </c>
      <c r="C32" s="16" t="n">
        <v>0</v>
      </c>
      <c r="D32" s="49" t="n">
        <v>40.53</v>
      </c>
      <c r="E32" s="18" t="n">
        <v>2571</v>
      </c>
      <c r="F32" s="18" t="n">
        <v>3928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30 Jun</t>
        </is>
      </c>
      <c r="B33" s="15" t="inlineStr">
        <is>
          <t>45035</t>
        </is>
      </c>
      <c r="C33" s="16" t="n">
        <v>0</v>
      </c>
      <c r="D33" s="49" t="n">
        <v>59.14</v>
      </c>
      <c r="E33" s="18" t="n">
        <v>3144</v>
      </c>
      <c r="F33" s="18" t="n">
        <v>3253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4</v>
      </c>
    </row>
    <row r="34">
      <c r="A34" s="15" t="inlineStr">
        <is>
          <t>30 Jun</t>
        </is>
      </c>
      <c r="B34" s="15" t="inlineStr">
        <is>
          <t>30757</t>
        </is>
      </c>
      <c r="C34" s="16" t="n">
        <v>0</v>
      </c>
      <c r="D34" s="49" t="n">
        <v>36.87</v>
      </c>
      <c r="E34" s="18" t="n">
        <v>2228</v>
      </c>
      <c r="F34" s="18" t="n">
        <v>2818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30 Jun</t>
        </is>
      </c>
      <c r="B35" s="15" t="inlineStr">
        <is>
          <t>30770</t>
        </is>
      </c>
      <c r="C35" s="16" t="n">
        <v>0</v>
      </c>
      <c r="D35" s="49" t="n">
        <v>51.65</v>
      </c>
      <c r="E35" s="18" t="n">
        <v>2609</v>
      </c>
      <c r="F35" s="18" t="n">
        <v>2691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6</v>
      </c>
    </row>
    <row r="36">
      <c r="A36" s="15" t="inlineStr">
        <is>
          <t>30 Jun</t>
        </is>
      </c>
      <c r="B36" s="15" t="inlineStr">
        <is>
          <t>37388</t>
        </is>
      </c>
      <c r="C36" s="16" t="n">
        <v>0</v>
      </c>
      <c r="D36" s="49" t="n">
        <v>40.98</v>
      </c>
      <c r="E36" s="18" t="n">
        <v>2308</v>
      </c>
      <c r="F36" s="18" t="n">
        <v>2383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3</v>
      </c>
    </row>
    <row r="37">
      <c r="A37" s="15" t="inlineStr">
        <is>
          <t>30 Jun</t>
        </is>
      </c>
      <c r="B37" s="15" t="inlineStr">
        <is>
          <t>32763</t>
        </is>
      </c>
      <c r="C37" s="16" t="n">
        <v>0</v>
      </c>
      <c r="D37" s="49" t="n">
        <v>33.97</v>
      </c>
      <c r="E37" s="18" t="n">
        <v>2187</v>
      </c>
      <c r="F37" s="18" t="n">
        <v>2194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1</v>
      </c>
    </row>
    <row r="38">
      <c r="A38" s="15" t="inlineStr">
        <is>
          <t>30 Jun</t>
        </is>
      </c>
      <c r="B38" s="15" t="inlineStr">
        <is>
          <t>37839</t>
        </is>
      </c>
      <c r="C38" s="16" t="n">
        <v>0</v>
      </c>
      <c r="D38" s="49" t="n">
        <v>53.28</v>
      </c>
      <c r="E38" s="18" t="n">
        <v>1555</v>
      </c>
      <c r="F38" s="18" t="n">
        <v>2100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1</v>
      </c>
    </row>
    <row r="39">
      <c r="A39" s="15" t="inlineStr">
        <is>
          <t>30 Jun</t>
        </is>
      </c>
      <c r="B39" s="15" t="inlineStr">
        <is>
          <t>37660</t>
        </is>
      </c>
      <c r="C39" s="16" t="n">
        <v>0</v>
      </c>
      <c r="D39" s="49" t="n">
        <v>17.12</v>
      </c>
      <c r="E39" s="18" t="n">
        <v>1456</v>
      </c>
      <c r="F39" s="18" t="n">
        <v>1811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3</v>
      </c>
    </row>
    <row r="40">
      <c r="A40" s="15" t="inlineStr">
        <is>
          <t>30 Jun</t>
        </is>
      </c>
      <c r="B40" s="15" t="inlineStr">
        <is>
          <t>45026</t>
        </is>
      </c>
      <c r="C40" s="16" t="n">
        <v>0</v>
      </c>
      <c r="D40" s="49" t="n">
        <v>53.17</v>
      </c>
      <c r="E40" s="18" t="n">
        <v>804</v>
      </c>
      <c r="F40" s="18" t="n">
        <v>1681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1</v>
      </c>
    </row>
    <row r="41">
      <c r="A41" s="15" t="inlineStr">
        <is>
          <t>30 Jun</t>
        </is>
      </c>
      <c r="B41" s="15" t="inlineStr">
        <is>
          <t>39331</t>
        </is>
      </c>
      <c r="C41" s="16" t="n">
        <v>0</v>
      </c>
      <c r="D41" s="49" t="n">
        <v>36.89</v>
      </c>
      <c r="E41" s="18" t="n">
        <v>981</v>
      </c>
      <c r="F41" s="18" t="n">
        <v>1640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1</v>
      </c>
    </row>
    <row r="42">
      <c r="A42" s="15" t="inlineStr">
        <is>
          <t>30 Jun</t>
        </is>
      </c>
      <c r="B42" s="15" t="inlineStr">
        <is>
          <t>37569</t>
        </is>
      </c>
      <c r="C42" s="16" t="n">
        <v>0</v>
      </c>
      <c r="D42" s="49" t="n">
        <v>36.99</v>
      </c>
      <c r="E42" s="18" t="n">
        <v>707</v>
      </c>
      <c r="F42" s="18" t="n">
        <v>1289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0</v>
      </c>
    </row>
    <row r="43">
      <c r="A43" s="15" t="inlineStr">
        <is>
          <t>30 Jun</t>
        </is>
      </c>
      <c r="B43" s="15" t="inlineStr">
        <is>
          <t>37507</t>
        </is>
      </c>
      <c r="C43" s="16" t="n">
        <v>0</v>
      </c>
      <c r="D43" s="49" t="n">
        <v>1.98</v>
      </c>
      <c r="E43" s="18" t="n">
        <v>51</v>
      </c>
      <c r="F43" s="18" t="n">
        <v>1246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0</v>
      </c>
    </row>
    <row r="44">
      <c r="A44" s="15" t="inlineStr">
        <is>
          <t>30 Jun</t>
        </is>
      </c>
      <c r="B44" s="15" t="inlineStr">
        <is>
          <t>39522</t>
        </is>
      </c>
      <c r="C44" s="16" t="n">
        <v>0</v>
      </c>
      <c r="D44" s="49" t="n">
        <v>36.8</v>
      </c>
      <c r="E44" s="18" t="n">
        <v>777</v>
      </c>
      <c r="F44" s="18" t="n">
        <v>1149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15" t="inlineStr">
        <is>
          <t>30 Jun</t>
        </is>
      </c>
      <c r="B45" s="15" t="inlineStr">
        <is>
          <t>39053</t>
        </is>
      </c>
      <c r="C45" s="16" t="n">
        <v>0</v>
      </c>
      <c r="D45" s="49" t="n">
        <v>36.87</v>
      </c>
      <c r="E45" s="18" t="n">
        <v>489</v>
      </c>
      <c r="F45" s="18" t="n">
        <v>996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15" t="inlineStr">
        <is>
          <t>30 Jun</t>
        </is>
      </c>
      <c r="B46" s="15" t="inlineStr">
        <is>
          <t>39235</t>
        </is>
      </c>
      <c r="C46" s="16" t="n">
        <v>0</v>
      </c>
      <c r="D46" s="49" t="n">
        <v>34.14</v>
      </c>
      <c r="E46" s="18" t="n">
        <v>904</v>
      </c>
      <c r="F46" s="18" t="n">
        <v>904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0</v>
      </c>
    </row>
    <row r="47">
      <c r="A47" s="15" t="inlineStr">
        <is>
          <t>30 Jun</t>
        </is>
      </c>
      <c r="B47" s="15" t="inlineStr">
        <is>
          <t>37582</t>
        </is>
      </c>
      <c r="C47" s="16" t="n">
        <v>0</v>
      </c>
      <c r="D47" s="49" t="n">
        <v>36.7</v>
      </c>
      <c r="E47" s="18" t="n">
        <v>398</v>
      </c>
      <c r="F47" s="18" t="n">
        <v>818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0</v>
      </c>
    </row>
    <row r="48">
      <c r="A48" s="20" t="inlineStr">
        <is>
          <t>30 Jun</t>
        </is>
      </c>
      <c r="B48" s="20" t="inlineStr">
        <is>
          <t>Day Total</t>
        </is>
      </c>
      <c r="C48" s="21">
        <f>SUM(C4:C47)</f>
        <v/>
      </c>
      <c r="D48" s="50">
        <f>SUM(D4:D47)</f>
        <v/>
      </c>
      <c r="E48" s="23">
        <f>SUM(E4:E47)</f>
        <v/>
      </c>
      <c r="F48" s="23">
        <f>SUMIF(E4:E47,"&gt;0",F4:F47)</f>
        <v/>
      </c>
      <c r="G48" s="24">
        <f>IF(F48=0,0,E48/F48*100)</f>
        <v/>
      </c>
      <c r="H48" s="21">
        <f>SUM(H4:H47)</f>
        <v/>
      </c>
      <c r="I48" s="21">
        <f>SUM(I4:I47)</f>
        <v/>
      </c>
      <c r="J48" s="21">
        <f>SUM(J4:J47)</f>
        <v/>
      </c>
      <c r="K48" s="21">
        <f>SUM(K4:K47)</f>
        <v/>
      </c>
    </row>
    <row r="49">
      <c r="A49" s="25" t="inlineStr">
        <is>
          <t>GRAND TOTAL</t>
        </is>
      </c>
      <c r="B49" s="25" t="n"/>
      <c r="C49" s="26">
        <f>C48</f>
        <v/>
      </c>
      <c r="D49" s="51">
        <f>D48</f>
        <v/>
      </c>
      <c r="E49" s="28">
        <f>E48</f>
        <v/>
      </c>
      <c r="F49" s="28">
        <f>F48</f>
        <v/>
      </c>
      <c r="G49" s="29">
        <f>IF(F49=0,0,E49/F49*100)</f>
        <v/>
      </c>
      <c r="H49" s="26">
        <f>H48</f>
        <v/>
      </c>
      <c r="I49" s="26">
        <f>I48</f>
        <v/>
      </c>
      <c r="J49" s="26">
        <f>J48</f>
        <v/>
      </c>
      <c r="K49" s="26">
        <f>K48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5   ·   Valid trips = 3   ·   Non-valid trips = 2   ·   Undesirable = 4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31" t="inlineStr">
        <is>
          <t>30 Jun</t>
        </is>
      </c>
      <c r="B6" s="31" t="inlineStr">
        <is>
          <t>30480</t>
        </is>
      </c>
      <c r="C6" s="31" t="inlineStr">
        <is>
          <t>Non-Valid</t>
        </is>
      </c>
      <c r="D6" s="31" t="inlineStr">
        <is>
          <t>00:43:16</t>
        </is>
      </c>
      <c r="E6" s="31" t="inlineStr">
        <is>
          <t>00:43:30</t>
        </is>
      </c>
      <c r="F6" s="31" t="n">
        <v>14</v>
      </c>
      <c r="G6" s="31" t="n">
        <v>8</v>
      </c>
      <c r="H6" s="31" t="n">
        <v>9</v>
      </c>
      <c r="I6" s="31" t="inlineStr">
        <is>
          <t>TRIP</t>
        </is>
      </c>
      <c r="J6" s="32" t="n">
        <v>406.37</v>
      </c>
      <c r="K6" s="31" t="inlineStr">
        <is>
          <t>R</t>
        </is>
      </c>
      <c r="L6" s="31" t="inlineStr">
        <is>
          <t>BAJWA</t>
        </is>
      </c>
      <c r="M6" s="33" t="inlineStr">
        <is>
          <t>9 km/h</t>
        </is>
      </c>
      <c r="N6" s="33" t="inlineStr">
        <is>
          <t>200</t>
        </is>
      </c>
      <c r="O6" s="31" t="inlineStr">
        <is>
          <t>-</t>
        </is>
      </c>
      <c r="P6" s="34" t="inlineStr">
        <is>
          <t>Trip mode</t>
        </is>
      </c>
      <c r="Q6" s="31" t="inlineStr">
        <is>
          <t>Medha/Kernex</t>
        </is>
      </c>
    </row>
    <row r="7">
      <c r="A7" s="31" t="inlineStr">
        <is>
          <t>30 Jun</t>
        </is>
      </c>
      <c r="B7" s="31" t="inlineStr">
        <is>
          <t>30480</t>
        </is>
      </c>
      <c r="C7" s="31" t="inlineStr">
        <is>
          <t>Non-Valid</t>
        </is>
      </c>
      <c r="D7" s="31" t="inlineStr">
        <is>
          <t>00:44:36</t>
        </is>
      </c>
      <c r="E7" s="31" t="inlineStr">
        <is>
          <t>00:44:38</t>
        </is>
      </c>
      <c r="F7" s="31" t="n">
        <v>2</v>
      </c>
      <c r="G7" s="31" t="n">
        <v>2</v>
      </c>
      <c r="H7" s="31" t="n">
        <v>0</v>
      </c>
      <c r="I7" s="31" t="inlineStr">
        <is>
          <t>POSTTRIP</t>
        </is>
      </c>
      <c r="J7" s="32" t="n">
        <v>406.36</v>
      </c>
      <c r="K7" s="31" t="inlineStr">
        <is>
          <t>R</t>
        </is>
      </c>
      <c r="L7" s="31" t="inlineStr">
        <is>
          <t>BAJWA</t>
        </is>
      </c>
      <c r="M7" s="33" t="inlineStr">
        <is>
          <t>0 km/h</t>
        </is>
      </c>
      <c r="N7" s="33" t="inlineStr">
        <is>
          <t>0</t>
        </is>
      </c>
      <c r="O7" s="31" t="inlineStr">
        <is>
          <t>-</t>
        </is>
      </c>
      <c r="P7" s="34" t="inlineStr">
        <is>
          <t>EB at 0-1 km/h</t>
        </is>
      </c>
      <c r="Q7" s="31" t="inlineStr">
        <is>
          <t>Medha/Kernex</t>
        </is>
      </c>
    </row>
    <row r="8">
      <c r="A8" s="16" t="inlineStr">
        <is>
          <t>30 Jun</t>
        </is>
      </c>
      <c r="B8" s="16" t="inlineStr">
        <is>
          <t>37505</t>
        </is>
      </c>
      <c r="C8" s="16" t="inlineStr">
        <is>
          <t>Valid</t>
        </is>
      </c>
      <c r="D8" s="16" t="inlineStr">
        <is>
          <t>06:32:26</t>
        </is>
      </c>
      <c r="E8" s="16" t="inlineStr">
        <is>
          <t>06:32:32</t>
        </is>
      </c>
      <c r="F8" s="16" t="n">
        <v>6</v>
      </c>
      <c r="G8" s="16" t="n">
        <v>4</v>
      </c>
      <c r="H8" s="16" t="n">
        <v>8</v>
      </c>
      <c r="I8" s="16" t="inlineStr">
        <is>
          <t>SR</t>
        </is>
      </c>
      <c r="J8" s="35" t="n">
        <v>497.73</v>
      </c>
      <c r="K8" s="16" t="inlineStr">
        <is>
          <t>U</t>
        </is>
      </c>
      <c r="L8" s="16" t="inlineStr">
        <is>
          <t>AHMEDABAD Jn</t>
        </is>
      </c>
      <c r="M8" s="36" t="inlineStr">
        <is>
          <t>8 km/h</t>
        </is>
      </c>
      <c r="N8" s="36" t="inlineStr">
        <is>
          <t>894</t>
        </is>
      </c>
      <c r="O8" s="16" t="inlineStr">
        <is>
          <t>-</t>
        </is>
      </c>
      <c r="P8" s="34" t="inlineStr">
        <is>
          <t>FS-&gt;SR degradation + EB</t>
        </is>
      </c>
      <c r="Q8" s="16" t="inlineStr">
        <is>
          <t>Medha/Kernex</t>
        </is>
      </c>
    </row>
    <row r="9">
      <c r="A9" s="16" t="inlineStr">
        <is>
          <t>30 Jun</t>
        </is>
      </c>
      <c r="B9" s="16" t="inlineStr">
        <is>
          <t>39248</t>
        </is>
      </c>
      <c r="C9" s="16" t="inlineStr">
        <is>
          <t>Valid</t>
        </is>
      </c>
      <c r="D9" s="16" t="inlineStr">
        <is>
          <t>12:27:34</t>
        </is>
      </c>
      <c r="E9" s="16" t="inlineStr">
        <is>
          <t>12:27:42</t>
        </is>
      </c>
      <c r="F9" s="16" t="n">
        <v>8</v>
      </c>
      <c r="G9" s="16" t="n">
        <v>4</v>
      </c>
      <c r="H9" s="16" t="n">
        <v>97</v>
      </c>
      <c r="I9" s="16" t="inlineStr">
        <is>
          <t>SR</t>
        </is>
      </c>
      <c r="J9" s="35" t="n">
        <v>402.81</v>
      </c>
      <c r="K9" s="16" t="inlineStr">
        <is>
          <t>N</t>
        </is>
      </c>
      <c r="L9" s="16" t="inlineStr">
        <is>
          <t>BAJWA</t>
        </is>
      </c>
      <c r="M9" s="36" t="inlineStr">
        <is>
          <t>97 km/h</t>
        </is>
      </c>
      <c r="N9" s="36" t="inlineStr">
        <is>
          <t>5516</t>
        </is>
      </c>
      <c r="O9" s="16" t="inlineStr">
        <is>
          <t>-</t>
        </is>
      </c>
      <c r="P9" s="34" t="inlineStr">
        <is>
          <t>FS-&gt;SR degradation + EB</t>
        </is>
      </c>
      <c r="Q9" s="16" t="inlineStr">
        <is>
          <t>Medha/Kernex</t>
        </is>
      </c>
    </row>
    <row r="10" ht="34" customHeight="1">
      <c r="A10" s="16" t="inlineStr">
        <is>
          <t>30 Jun</t>
        </is>
      </c>
      <c r="B10" s="16" t="inlineStr">
        <is>
          <t>41529</t>
        </is>
      </c>
      <c r="C10" s="16" t="inlineStr">
        <is>
          <t>Valid</t>
        </is>
      </c>
      <c r="D10" s="16" t="inlineStr">
        <is>
          <t>14:26:56</t>
        </is>
      </c>
      <c r="E10" s="16" t="inlineStr">
        <is>
          <t>14:27:06</t>
        </is>
      </c>
      <c r="F10" s="16" t="n">
        <v>10</v>
      </c>
      <c r="G10" s="16" t="n">
        <v>6</v>
      </c>
      <c r="H10" s="16" t="n">
        <v>49</v>
      </c>
      <c r="I10" s="16" t="inlineStr">
        <is>
          <t>FS</t>
        </is>
      </c>
      <c r="J10" s="35" t="n">
        <v>479.15</v>
      </c>
      <c r="K10" s="16" t="inlineStr">
        <is>
          <t>R</t>
        </is>
      </c>
      <c r="L10" s="16" t="inlineStr">
        <is>
          <t>BAREJADI NANDEJ</t>
        </is>
      </c>
      <c r="M10" s="36" t="inlineStr">
        <is>
          <t>49 km/h</t>
        </is>
      </c>
      <c r="N10" s="36" t="inlineStr">
        <is>
          <t>752</t>
        </is>
      </c>
      <c r="O10" s="16" t="inlineStr">
        <is>
          <t>-</t>
        </is>
      </c>
      <c r="P10" s="36" t="inlineStr">
        <is>
          <t>-</t>
        </is>
      </c>
      <c r="Q10" s="16" t="inlineStr">
        <is>
          <t>Medha/Kernex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124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  <c r="M5" s="14" t="inlineStr">
        <is>
          <t>Loco Travel</t>
        </is>
      </c>
    </row>
    <row r="6">
      <c r="A6" s="31" t="inlineStr">
        <is>
          <t>30 Jun</t>
        </is>
      </c>
      <c r="B6" s="31" t="inlineStr">
        <is>
          <t>37388</t>
        </is>
      </c>
      <c r="C6" s="31" t="inlineStr">
        <is>
          <t>FS</t>
        </is>
      </c>
      <c r="D6" s="31" t="inlineStr">
        <is>
          <t>LS</t>
        </is>
      </c>
      <c r="E6" s="31" t="inlineStr">
        <is>
          <t>00:15:36</t>
        </is>
      </c>
      <c r="F6" s="31" t="inlineStr">
        <is>
          <t>00:16:32</t>
        </is>
      </c>
      <c r="G6" s="31" t="n">
        <v>56</v>
      </c>
      <c r="H6" s="31" t="n">
        <v>27</v>
      </c>
      <c r="I6" s="32" t="n">
        <v>478.03</v>
      </c>
      <c r="J6" s="31" t="inlineStr">
        <is>
          <t>BAREJADI NANDEJ</t>
        </is>
      </c>
      <c r="K6" s="31" t="inlineStr">
        <is>
          <t>N</t>
        </is>
      </c>
      <c r="L6" s="31" t="inlineStr">
        <is>
          <t>Non-Valid</t>
        </is>
      </c>
      <c r="M6" s="16" t="inlineStr"/>
    </row>
    <row r="7">
      <c r="A7" s="31" t="inlineStr">
        <is>
          <t>30 Jun</t>
        </is>
      </c>
      <c r="B7" s="31" t="inlineStr">
        <is>
          <t>37388</t>
        </is>
      </c>
      <c r="C7" s="31" t="inlineStr">
        <is>
          <t>LS</t>
        </is>
      </c>
      <c r="D7" s="31" t="inlineStr">
        <is>
          <t>SR</t>
        </is>
      </c>
      <c r="E7" s="31" t="inlineStr">
        <is>
          <t>00:16:34</t>
        </is>
      </c>
      <c r="F7" s="31" t="inlineStr">
        <is>
          <t>00:17:52</t>
        </is>
      </c>
      <c r="G7" s="31" t="n">
        <v>78</v>
      </c>
      <c r="H7" s="31" t="n">
        <v>40</v>
      </c>
      <c r="I7" s="32" t="n">
        <v>479.92</v>
      </c>
      <c r="J7" s="31" t="inlineStr">
        <is>
          <t>BAREJADI NANDEJ</t>
        </is>
      </c>
      <c r="K7" s="31" t="inlineStr">
        <is>
          <t>N</t>
        </is>
      </c>
      <c r="L7" s="31" t="inlineStr">
        <is>
          <t>Non-Valid</t>
        </is>
      </c>
      <c r="M7" s="16" t="inlineStr"/>
    </row>
    <row r="8">
      <c r="A8" s="31" t="inlineStr">
        <is>
          <t>30 Jun</t>
        </is>
      </c>
      <c r="B8" s="31" t="inlineStr">
        <is>
          <t>37388</t>
        </is>
      </c>
      <c r="C8" s="31" t="inlineStr">
        <is>
          <t>OS</t>
        </is>
      </c>
      <c r="D8" s="31" t="inlineStr">
        <is>
          <t>SR</t>
        </is>
      </c>
      <c r="E8" s="31" t="inlineStr">
        <is>
          <t>00:17:54</t>
        </is>
      </c>
      <c r="F8" s="31" t="inlineStr">
        <is>
          <t>00:17:54</t>
        </is>
      </c>
      <c r="G8" s="31" t="n">
        <v>0</v>
      </c>
      <c r="H8" s="31" t="n">
        <v>1</v>
      </c>
      <c r="I8" s="32" t="n">
        <v>482.06</v>
      </c>
      <c r="J8" s="31" t="inlineStr">
        <is>
          <t>GERATPUR</t>
        </is>
      </c>
      <c r="K8" s="31" t="inlineStr">
        <is>
          <t>N</t>
        </is>
      </c>
      <c r="L8" s="31" t="inlineStr">
        <is>
          <t>Non-Valid</t>
        </is>
      </c>
      <c r="M8" s="16" t="inlineStr"/>
    </row>
    <row r="9">
      <c r="A9" s="31" t="inlineStr">
        <is>
          <t>30 Jun</t>
        </is>
      </c>
      <c r="B9" s="31" t="inlineStr">
        <is>
          <t>37489</t>
        </is>
      </c>
      <c r="C9" s="31" t="inlineStr">
        <is>
          <t>FS</t>
        </is>
      </c>
      <c r="D9" s="31" t="inlineStr">
        <is>
          <t>SR</t>
        </is>
      </c>
      <c r="E9" s="31" t="inlineStr">
        <is>
          <t>00:27:02</t>
        </is>
      </c>
      <c r="F9" s="31" t="inlineStr">
        <is>
          <t>01:17:30</t>
        </is>
      </c>
      <c r="G9" s="31" t="n">
        <v>3028</v>
      </c>
      <c r="H9" s="31" t="n">
        <v>1264</v>
      </c>
      <c r="I9" s="32" t="n">
        <v>402.88</v>
      </c>
      <c r="J9" s="31" t="inlineStr">
        <is>
          <t>BAJWA</t>
        </is>
      </c>
      <c r="K9" s="31" t="inlineStr">
        <is>
          <t>R</t>
        </is>
      </c>
      <c r="L9" s="31" t="inlineStr">
        <is>
          <t>Non-Valid</t>
        </is>
      </c>
      <c r="M9" s="16" t="inlineStr"/>
    </row>
    <row r="10">
      <c r="A10" s="31" t="inlineStr">
        <is>
          <t>30 Jun</t>
        </is>
      </c>
      <c r="B10" s="31" t="inlineStr">
        <is>
          <t>30480</t>
        </is>
      </c>
      <c r="C10" s="31" t="inlineStr">
        <is>
          <t>FS</t>
        </is>
      </c>
      <c r="D10" s="31" t="inlineStr">
        <is>
          <t>SR</t>
        </is>
      </c>
      <c r="E10" s="31" t="inlineStr">
        <is>
          <t>00:30:08</t>
        </is>
      </c>
      <c r="F10" s="31" t="inlineStr">
        <is>
          <t>00:30:12</t>
        </is>
      </c>
      <c r="G10" s="31" t="n">
        <v>4</v>
      </c>
      <c r="H10" s="31" t="n">
        <v>5</v>
      </c>
      <c r="I10" s="32" t="n">
        <v>412.71</v>
      </c>
      <c r="J10" s="31" t="inlineStr">
        <is>
          <t>LC-246</t>
        </is>
      </c>
      <c r="K10" s="31" t="inlineStr">
        <is>
          <t>R</t>
        </is>
      </c>
      <c r="L10" s="31" t="inlineStr">
        <is>
          <t>Non-Valid</t>
        </is>
      </c>
      <c r="M10" s="16" t="inlineStr"/>
    </row>
    <row r="11">
      <c r="A11" s="31" t="inlineStr">
        <is>
          <t>30 Jun</t>
        </is>
      </c>
      <c r="B11" s="31" t="inlineStr">
        <is>
          <t>30480</t>
        </is>
      </c>
      <c r="C11" s="31" t="inlineStr">
        <is>
          <t>OS</t>
        </is>
      </c>
      <c r="D11" s="31" t="inlineStr">
        <is>
          <t>SR</t>
        </is>
      </c>
      <c r="E11" s="31" t="inlineStr">
        <is>
          <t>00:30:14</t>
        </is>
      </c>
      <c r="F11" s="31" t="inlineStr">
        <is>
          <t>00:30:14</t>
        </is>
      </c>
      <c r="G11" s="31" t="n">
        <v>0</v>
      </c>
      <c r="H11" s="31" t="n">
        <v>1</v>
      </c>
      <c r="I11" s="32" t="n">
        <v>412.57</v>
      </c>
      <c r="J11" s="31" t="inlineStr">
        <is>
          <t>LC-246</t>
        </is>
      </c>
      <c r="K11" s="31" t="inlineStr">
        <is>
          <t>R</t>
        </is>
      </c>
      <c r="L11" s="31" t="inlineStr">
        <is>
          <t>Non-Valid</t>
        </is>
      </c>
      <c r="M11" s="16" t="inlineStr"/>
    </row>
    <row r="12">
      <c r="A12" s="31" t="inlineStr">
        <is>
          <t>30 Jun</t>
        </is>
      </c>
      <c r="B12" s="31" t="inlineStr">
        <is>
          <t>30480</t>
        </is>
      </c>
      <c r="C12" s="31" t="inlineStr">
        <is>
          <t>FS</t>
        </is>
      </c>
      <c r="D12" s="31" t="inlineStr">
        <is>
          <t>SR</t>
        </is>
      </c>
      <c r="E12" s="31" t="inlineStr">
        <is>
          <t>00:31:38</t>
        </is>
      </c>
      <c r="F12" s="31" t="inlineStr">
        <is>
          <t>00:31:38</t>
        </is>
      </c>
      <c r="G12" s="31" t="n">
        <v>0</v>
      </c>
      <c r="H12" s="31" t="n">
        <v>1</v>
      </c>
      <c r="I12" s="32" t="n">
        <v>410.41</v>
      </c>
      <c r="J12" s="31" t="inlineStr">
        <is>
          <t>LC-246</t>
        </is>
      </c>
      <c r="K12" s="31" t="inlineStr">
        <is>
          <t>R</t>
        </is>
      </c>
      <c r="L12" s="31" t="inlineStr">
        <is>
          <t>Non-Valid</t>
        </is>
      </c>
      <c r="M12" s="16" t="inlineStr"/>
    </row>
    <row r="13">
      <c r="A13" s="31" t="inlineStr">
        <is>
          <t>30 Jun</t>
        </is>
      </c>
      <c r="B13" s="31" t="inlineStr">
        <is>
          <t>30480</t>
        </is>
      </c>
      <c r="C13" s="31" t="inlineStr">
        <is>
          <t>FS</t>
        </is>
      </c>
      <c r="D13" s="31" t="inlineStr">
        <is>
          <t>SR</t>
        </is>
      </c>
      <c r="E13" s="31" t="inlineStr">
        <is>
          <t>00:31:40</t>
        </is>
      </c>
      <c r="F13" s="31" t="inlineStr">
        <is>
          <t>00:31:50</t>
        </is>
      </c>
      <c r="G13" s="31" t="n">
        <v>10</v>
      </c>
      <c r="H13" s="31" t="n">
        <v>12</v>
      </c>
      <c r="I13" s="32" t="n">
        <v>410.36</v>
      </c>
      <c r="J13" s="31" t="inlineStr">
        <is>
          <t>LC-246</t>
        </is>
      </c>
      <c r="K13" s="31" t="inlineStr">
        <is>
          <t>R</t>
        </is>
      </c>
      <c r="L13" s="31" t="inlineStr">
        <is>
          <t>Non-Valid</t>
        </is>
      </c>
      <c r="M13" s="16" t="inlineStr"/>
    </row>
    <row r="14">
      <c r="A14" s="16" t="inlineStr">
        <is>
          <t>30 Jun</t>
        </is>
      </c>
      <c r="B14" s="16" t="inlineStr">
        <is>
          <t>37381</t>
        </is>
      </c>
      <c r="C14" s="16" t="inlineStr">
        <is>
          <t>OS</t>
        </is>
      </c>
      <c r="D14" s="16" t="inlineStr">
        <is>
          <t>SR</t>
        </is>
      </c>
      <c r="E14" s="16" t="inlineStr">
        <is>
          <t>00:39:00</t>
        </is>
      </c>
      <c r="F14" s="16" t="inlineStr">
        <is>
          <t>00:39:00</t>
        </is>
      </c>
      <c r="G14" s="16" t="n">
        <v>0</v>
      </c>
      <c r="H14" s="16" t="n">
        <v>1</v>
      </c>
      <c r="I14" s="35" t="n">
        <v>494.88</v>
      </c>
      <c r="J14" s="16" t="inlineStr">
        <is>
          <t>AHMEDABAD Jn</t>
        </is>
      </c>
      <c r="K14" s="16" t="inlineStr">
        <is>
          <t>R</t>
        </is>
      </c>
      <c r="L14" s="16" t="inlineStr">
        <is>
          <t>Valid</t>
        </is>
      </c>
      <c r="M14" s="16" t="inlineStr"/>
    </row>
    <row r="15">
      <c r="A15" s="16" t="inlineStr">
        <is>
          <t>30 Jun</t>
        </is>
      </c>
      <c r="B15" s="16" t="inlineStr">
        <is>
          <t>37381</t>
        </is>
      </c>
      <c r="C15" s="16" t="inlineStr">
        <is>
          <t>OS</t>
        </is>
      </c>
      <c r="D15" s="16" t="inlineStr">
        <is>
          <t>SR</t>
        </is>
      </c>
      <c r="E15" s="16" t="inlineStr">
        <is>
          <t>00:39:48</t>
        </is>
      </c>
      <c r="F15" s="16" t="inlineStr">
        <is>
          <t>00:39:48</t>
        </is>
      </c>
      <c r="G15" s="16" t="n">
        <v>0</v>
      </c>
      <c r="H15" s="16" t="n">
        <v>1</v>
      </c>
      <c r="I15" s="35" t="n">
        <v>494.77</v>
      </c>
      <c r="J15" s="16" t="inlineStr">
        <is>
          <t>AHMEDABAD Jn</t>
        </is>
      </c>
      <c r="K15" s="16" t="inlineStr">
        <is>
          <t>R</t>
        </is>
      </c>
      <c r="L15" s="16" t="inlineStr">
        <is>
          <t>Valid</t>
        </is>
      </c>
      <c r="M15" s="16" t="inlineStr"/>
    </row>
    <row r="16">
      <c r="A16" s="16" t="inlineStr">
        <is>
          <t>30 Jun</t>
        </is>
      </c>
      <c r="B16" s="16" t="inlineStr">
        <is>
          <t>37793</t>
        </is>
      </c>
      <c r="C16" s="16" t="inlineStr">
        <is>
          <t>FS</t>
        </is>
      </c>
      <c r="D16" s="16" t="inlineStr">
        <is>
          <t>LS</t>
        </is>
      </c>
      <c r="E16" s="16" t="inlineStr">
        <is>
          <t>01:01:08</t>
        </is>
      </c>
      <c r="F16" s="16" t="inlineStr">
        <is>
          <t>01:01:30</t>
        </is>
      </c>
      <c r="G16" s="16" t="n">
        <v>22</v>
      </c>
      <c r="H16" s="16" t="n">
        <v>12</v>
      </c>
      <c r="I16" s="35" t="n">
        <v>478.01</v>
      </c>
      <c r="J16" s="16" t="inlineStr">
        <is>
          <t>BAREJADI NANDEJ</t>
        </is>
      </c>
      <c r="K16" s="16" t="inlineStr">
        <is>
          <t>R</t>
        </is>
      </c>
      <c r="L16" s="16" t="inlineStr">
        <is>
          <t>Valid</t>
        </is>
      </c>
      <c r="M16" s="16" t="inlineStr"/>
    </row>
    <row r="17">
      <c r="A17" s="16" t="inlineStr">
        <is>
          <t>30 Jun</t>
        </is>
      </c>
      <c r="B17" s="16" t="inlineStr">
        <is>
          <t>37793</t>
        </is>
      </c>
      <c r="C17" s="16" t="inlineStr">
        <is>
          <t>LS</t>
        </is>
      </c>
      <c r="D17" s="16" t="inlineStr">
        <is>
          <t>SR</t>
        </is>
      </c>
      <c r="E17" s="16" t="inlineStr">
        <is>
          <t>01:01:32</t>
        </is>
      </c>
      <c r="F17" s="16" t="inlineStr">
        <is>
          <t>01:02:36</t>
        </is>
      </c>
      <c r="G17" s="16" t="n">
        <v>64</v>
      </c>
      <c r="H17" s="16" t="n">
        <v>41</v>
      </c>
      <c r="I17" s="35" t="n">
        <v>477.19</v>
      </c>
      <c r="J17" s="16" t="inlineStr">
        <is>
          <t>BAREJADI NANDEJ</t>
        </is>
      </c>
      <c r="K17" s="16" t="inlineStr">
        <is>
          <t>R</t>
        </is>
      </c>
      <c r="L17" s="16" t="inlineStr">
        <is>
          <t>Valid</t>
        </is>
      </c>
      <c r="M17" s="16" t="inlineStr"/>
    </row>
    <row r="18">
      <c r="A18" s="16" t="inlineStr">
        <is>
          <t>30 Jun</t>
        </is>
      </c>
      <c r="B18" s="16" t="inlineStr">
        <is>
          <t>37793</t>
        </is>
      </c>
      <c r="C18" s="16" t="inlineStr">
        <is>
          <t>OS</t>
        </is>
      </c>
      <c r="D18" s="16" t="inlineStr">
        <is>
          <t>SR</t>
        </is>
      </c>
      <c r="E18" s="16" t="inlineStr">
        <is>
          <t>01:02:38</t>
        </is>
      </c>
      <c r="F18" s="16" t="inlineStr">
        <is>
          <t>01:02:38</t>
        </is>
      </c>
      <c r="G18" s="16" t="n">
        <v>0</v>
      </c>
      <c r="H18" s="16" t="n">
        <v>1</v>
      </c>
      <c r="I18" s="35" t="n">
        <v>474.88</v>
      </c>
      <c r="J18" s="16" t="inlineStr">
        <is>
          <t>KANIJ</t>
        </is>
      </c>
      <c r="K18" s="16" t="inlineStr">
        <is>
          <t>R</t>
        </is>
      </c>
      <c r="L18" s="16" t="inlineStr">
        <is>
          <t>Valid</t>
        </is>
      </c>
      <c r="M18" s="16" t="inlineStr"/>
    </row>
    <row r="19">
      <c r="A19" s="31" t="inlineStr">
        <is>
          <t>30 Jun</t>
        </is>
      </c>
      <c r="B19" s="31" t="inlineStr">
        <is>
          <t>30480</t>
        </is>
      </c>
      <c r="C19" s="31" t="inlineStr">
        <is>
          <t>FS</t>
        </is>
      </c>
      <c r="D19" s="31" t="inlineStr">
        <is>
          <t>SR</t>
        </is>
      </c>
      <c r="E19" s="31" t="inlineStr">
        <is>
          <t>01:06:44</t>
        </is>
      </c>
      <c r="F19" s="31" t="inlineStr">
        <is>
          <t>01:31:48</t>
        </is>
      </c>
      <c r="G19" s="31" t="n">
        <v>1504</v>
      </c>
      <c r="H19" s="31" t="n">
        <v>659</v>
      </c>
      <c r="I19" s="32" t="n">
        <v>402.76</v>
      </c>
      <c r="J19" s="31" t="inlineStr">
        <is>
          <t>BAJWA</t>
        </is>
      </c>
      <c r="K19" s="31" t="inlineStr">
        <is>
          <t>R</t>
        </is>
      </c>
      <c r="L19" s="31" t="inlineStr">
        <is>
          <t>Non-Valid</t>
        </is>
      </c>
      <c r="M19" s="16" t="inlineStr"/>
    </row>
    <row r="20">
      <c r="A20" s="16" t="inlineStr">
        <is>
          <t>30 Jun</t>
        </is>
      </c>
      <c r="B20" s="16" t="inlineStr">
        <is>
          <t>37381</t>
        </is>
      </c>
      <c r="C20" s="16" t="inlineStr">
        <is>
          <t>FS</t>
        </is>
      </c>
      <c r="D20" s="16" t="inlineStr">
        <is>
          <t>LS</t>
        </is>
      </c>
      <c r="E20" s="16" t="inlineStr">
        <is>
          <t>01:06:56</t>
        </is>
      </c>
      <c r="F20" s="16" t="inlineStr">
        <is>
          <t>01:06:56</t>
        </is>
      </c>
      <c r="G20" s="16" t="n">
        <v>0</v>
      </c>
      <c r="H20" s="16" t="n">
        <v>1</v>
      </c>
      <c r="I20" s="35" t="n">
        <v>478.24</v>
      </c>
      <c r="J20" s="16" t="inlineStr">
        <is>
          <t>BAREJADI NANDEJ</t>
        </is>
      </c>
      <c r="K20" s="16" t="inlineStr">
        <is>
          <t>R</t>
        </is>
      </c>
      <c r="L20" s="16" t="inlineStr">
        <is>
          <t>Valid</t>
        </is>
      </c>
      <c r="M20" s="16" t="inlineStr"/>
    </row>
    <row r="21">
      <c r="A21" s="16" t="inlineStr">
        <is>
          <t>30 Jun</t>
        </is>
      </c>
      <c r="B21" s="16" t="inlineStr">
        <is>
          <t>37381</t>
        </is>
      </c>
      <c r="C21" s="16" t="inlineStr">
        <is>
          <t>FS</t>
        </is>
      </c>
      <c r="D21" s="16" t="inlineStr">
        <is>
          <t>LS</t>
        </is>
      </c>
      <c r="E21" s="16" t="inlineStr">
        <is>
          <t>01:06:58</t>
        </is>
      </c>
      <c r="F21" s="16" t="inlineStr">
        <is>
          <t>01:07:52</t>
        </is>
      </c>
      <c r="G21" s="16" t="n">
        <v>54</v>
      </c>
      <c r="H21" s="16" t="n">
        <v>27</v>
      </c>
      <c r="I21" s="35" t="n">
        <v>478.18</v>
      </c>
      <c r="J21" s="16" t="inlineStr">
        <is>
          <t>BAREJADI NANDEJ</t>
        </is>
      </c>
      <c r="K21" s="16" t="inlineStr">
        <is>
          <t>R</t>
        </is>
      </c>
      <c r="L21" s="16" t="inlineStr">
        <is>
          <t>Valid</t>
        </is>
      </c>
      <c r="M21" s="16" t="inlineStr"/>
    </row>
    <row r="22">
      <c r="A22" s="16" t="inlineStr">
        <is>
          <t>30 Jun</t>
        </is>
      </c>
      <c r="B22" s="16" t="inlineStr">
        <is>
          <t>37381</t>
        </is>
      </c>
      <c r="C22" s="16" t="inlineStr">
        <is>
          <t>LS</t>
        </is>
      </c>
      <c r="D22" s="16" t="inlineStr">
        <is>
          <t>SR</t>
        </is>
      </c>
      <c r="E22" s="16" t="inlineStr">
        <is>
          <t>01:07:54</t>
        </is>
      </c>
      <c r="F22" s="16" t="inlineStr">
        <is>
          <t>01:08:38</t>
        </is>
      </c>
      <c r="G22" s="16" t="n">
        <v>44</v>
      </c>
      <c r="H22" s="16" t="n">
        <v>31</v>
      </c>
      <c r="I22" s="35" t="n">
        <v>476.36</v>
      </c>
      <c r="J22" s="16" t="inlineStr">
        <is>
          <t>BAREJADI NANDEJ</t>
        </is>
      </c>
      <c r="K22" s="16" t="inlineStr">
        <is>
          <t>R</t>
        </is>
      </c>
      <c r="L22" s="16" t="inlineStr">
        <is>
          <t>Valid</t>
        </is>
      </c>
      <c r="M22" s="16" t="inlineStr"/>
    </row>
    <row r="23">
      <c r="A23" s="16" t="inlineStr">
        <is>
          <t>30 Jun</t>
        </is>
      </c>
      <c r="B23" s="16" t="inlineStr">
        <is>
          <t>30058</t>
        </is>
      </c>
      <c r="C23" s="16" t="inlineStr">
        <is>
          <t>FS</t>
        </is>
      </c>
      <c r="D23" s="16" t="inlineStr">
        <is>
          <t>LS</t>
        </is>
      </c>
      <c r="E23" s="16" t="inlineStr">
        <is>
          <t>01:49:54</t>
        </is>
      </c>
      <c r="F23" s="16" t="inlineStr">
        <is>
          <t>01:50:20</t>
        </is>
      </c>
      <c r="G23" s="16" t="n">
        <v>26</v>
      </c>
      <c r="H23" s="16" t="n">
        <v>15</v>
      </c>
      <c r="I23" s="35" t="n">
        <v>478.11</v>
      </c>
      <c r="J23" s="16" t="inlineStr">
        <is>
          <t>BAREJADI NANDEJ</t>
        </is>
      </c>
      <c r="K23" s="16" t="inlineStr">
        <is>
          <t>R</t>
        </is>
      </c>
      <c r="L23" s="16" t="inlineStr">
        <is>
          <t>Valid</t>
        </is>
      </c>
      <c r="M23" s="16" t="inlineStr"/>
    </row>
    <row r="24">
      <c r="A24" s="16" t="inlineStr">
        <is>
          <t>30 Jun</t>
        </is>
      </c>
      <c r="B24" s="16" t="inlineStr">
        <is>
          <t>30058</t>
        </is>
      </c>
      <c r="C24" s="16" t="inlineStr">
        <is>
          <t>LS</t>
        </is>
      </c>
      <c r="D24" s="16" t="inlineStr">
        <is>
          <t>SR</t>
        </is>
      </c>
      <c r="E24" s="16" t="inlineStr">
        <is>
          <t>01:50:22</t>
        </is>
      </c>
      <c r="F24" s="16" t="inlineStr">
        <is>
          <t>01:51:28</t>
        </is>
      </c>
      <c r="G24" s="16" t="n">
        <v>66</v>
      </c>
      <c r="H24" s="16" t="n">
        <v>41</v>
      </c>
      <c r="I24" s="35" t="n">
        <v>477.14</v>
      </c>
      <c r="J24" s="16" t="inlineStr">
        <is>
          <t>BAREJADI NANDEJ</t>
        </is>
      </c>
      <c r="K24" s="16" t="inlineStr">
        <is>
          <t>R</t>
        </is>
      </c>
      <c r="L24" s="16" t="inlineStr">
        <is>
          <t>Valid</t>
        </is>
      </c>
      <c r="M24" s="16" t="inlineStr"/>
    </row>
    <row r="25">
      <c r="A25" s="16" t="inlineStr">
        <is>
          <t>30 Jun</t>
        </is>
      </c>
      <c r="B25" s="16" t="inlineStr">
        <is>
          <t>30058</t>
        </is>
      </c>
      <c r="C25" s="16" t="inlineStr">
        <is>
          <t>OS</t>
        </is>
      </c>
      <c r="D25" s="16" t="inlineStr">
        <is>
          <t>SR</t>
        </is>
      </c>
      <c r="E25" s="16" t="inlineStr">
        <is>
          <t>01:51:30</t>
        </is>
      </c>
      <c r="F25" s="16" t="inlineStr">
        <is>
          <t>01:51:30</t>
        </is>
      </c>
      <c r="G25" s="16" t="n">
        <v>0</v>
      </c>
      <c r="H25" s="16" t="n">
        <v>1</v>
      </c>
      <c r="I25" s="35" t="n">
        <v>474.8</v>
      </c>
      <c r="J25" s="16" t="inlineStr">
        <is>
          <t>KANIJ</t>
        </is>
      </c>
      <c r="K25" s="16" t="inlineStr">
        <is>
          <t>R</t>
        </is>
      </c>
      <c r="L25" s="16" t="inlineStr">
        <is>
          <t>Valid</t>
        </is>
      </c>
      <c r="M25" s="16" t="inlineStr"/>
    </row>
    <row r="26">
      <c r="A26" s="16" t="inlineStr">
        <is>
          <t>30 Jun</t>
        </is>
      </c>
      <c r="B26" s="16" t="inlineStr">
        <is>
          <t>30058</t>
        </is>
      </c>
      <c r="C26" s="16" t="inlineStr">
        <is>
          <t>FS</t>
        </is>
      </c>
      <c r="D26" s="16" t="inlineStr">
        <is>
          <t>LS</t>
        </is>
      </c>
      <c r="E26" s="16" t="inlineStr">
        <is>
          <t>01:53:14</t>
        </is>
      </c>
      <c r="F26" s="16" t="inlineStr">
        <is>
          <t>01:53:50</t>
        </is>
      </c>
      <c r="G26" s="16" t="n">
        <v>36</v>
      </c>
      <c r="H26" s="16" t="n">
        <v>26</v>
      </c>
      <c r="I26" s="35" t="n">
        <v>471.1</v>
      </c>
      <c r="J26" s="16" t="inlineStr">
        <is>
          <t>LC-294</t>
        </is>
      </c>
      <c r="K26" s="16" t="inlineStr">
        <is>
          <t>R</t>
        </is>
      </c>
      <c r="L26" s="16" t="inlineStr">
        <is>
          <t>Valid</t>
        </is>
      </c>
      <c r="M26" s="16" t="inlineStr"/>
    </row>
    <row r="27">
      <c r="A27" s="16" t="inlineStr">
        <is>
          <t>30 Jun</t>
        </is>
      </c>
      <c r="B27" s="16" t="inlineStr">
        <is>
          <t>37381</t>
        </is>
      </c>
      <c r="C27" s="16" t="inlineStr">
        <is>
          <t>FS</t>
        </is>
      </c>
      <c r="D27" s="16" t="inlineStr">
        <is>
          <t>SR</t>
        </is>
      </c>
      <c r="E27" s="16" t="inlineStr">
        <is>
          <t>02:10:04</t>
        </is>
      </c>
      <c r="F27" s="16" t="inlineStr">
        <is>
          <t>02:46:28</t>
        </is>
      </c>
      <c r="G27" s="16" t="n">
        <v>2184</v>
      </c>
      <c r="H27" s="16" t="n">
        <v>913</v>
      </c>
      <c r="I27" s="35" t="n">
        <v>403.15</v>
      </c>
      <c r="J27" s="16" t="inlineStr">
        <is>
          <t>BAJWA</t>
        </is>
      </c>
      <c r="K27" s="16" t="inlineStr">
        <is>
          <t>R</t>
        </is>
      </c>
      <c r="L27" s="16" t="inlineStr">
        <is>
          <t>Valid</t>
        </is>
      </c>
      <c r="M27" s="16" t="inlineStr"/>
    </row>
    <row r="28">
      <c r="A28" s="16" t="inlineStr">
        <is>
          <t>30 Jun</t>
        </is>
      </c>
      <c r="B28" s="16" t="inlineStr">
        <is>
          <t>37793</t>
        </is>
      </c>
      <c r="C28" s="16" t="inlineStr">
        <is>
          <t>FS</t>
        </is>
      </c>
      <c r="D28" s="16" t="inlineStr">
        <is>
          <t>SR</t>
        </is>
      </c>
      <c r="E28" s="16" t="inlineStr">
        <is>
          <t>02:26:36</t>
        </is>
      </c>
      <c r="F28" s="16" t="inlineStr">
        <is>
          <t>03:08:52</t>
        </is>
      </c>
      <c r="G28" s="16" t="n">
        <v>2536</v>
      </c>
      <c r="H28" s="16" t="n">
        <v>1293</v>
      </c>
      <c r="I28" s="35" t="n">
        <v>402.58</v>
      </c>
      <c r="J28" s="16" t="inlineStr">
        <is>
          <t>BAJWA</t>
        </is>
      </c>
      <c r="K28" s="16" t="inlineStr">
        <is>
          <t>R</t>
        </is>
      </c>
      <c r="L28" s="16" t="inlineStr">
        <is>
          <t>Valid</t>
        </is>
      </c>
      <c r="M28" s="16" t="inlineStr"/>
    </row>
    <row r="29">
      <c r="A29" s="16" t="inlineStr">
        <is>
          <t>30 Jun</t>
        </is>
      </c>
      <c r="B29" s="16" t="inlineStr">
        <is>
          <t>30058</t>
        </is>
      </c>
      <c r="C29" s="16" t="inlineStr">
        <is>
          <t>FS</t>
        </is>
      </c>
      <c r="D29" s="16" t="inlineStr">
        <is>
          <t>SR</t>
        </is>
      </c>
      <c r="E29" s="16" t="inlineStr">
        <is>
          <t>02:40:48</t>
        </is>
      </c>
      <c r="F29" s="16" t="inlineStr">
        <is>
          <t>03:15:16</t>
        </is>
      </c>
      <c r="G29" s="16" t="n">
        <v>2068</v>
      </c>
      <c r="H29" s="16" t="n">
        <v>900</v>
      </c>
      <c r="I29" s="35" t="n">
        <v>402.6</v>
      </c>
      <c r="J29" s="16" t="inlineStr">
        <is>
          <t>BAJWA</t>
        </is>
      </c>
      <c r="K29" s="16" t="inlineStr">
        <is>
          <t>R</t>
        </is>
      </c>
      <c r="L29" s="16" t="inlineStr">
        <is>
          <t>Valid</t>
        </is>
      </c>
      <c r="M29" s="16" t="inlineStr"/>
    </row>
    <row r="30">
      <c r="A30" s="31" t="inlineStr">
        <is>
          <t>30 Jun</t>
        </is>
      </c>
      <c r="B30" s="31" t="inlineStr">
        <is>
          <t>39522</t>
        </is>
      </c>
      <c r="C30" s="31" t="inlineStr">
        <is>
          <t>FS</t>
        </is>
      </c>
      <c r="D30" s="31" t="inlineStr">
        <is>
          <t>SR</t>
        </is>
      </c>
      <c r="E30" s="31" t="inlineStr">
        <is>
          <t>03:26:28</t>
        </is>
      </c>
      <c r="F30" s="31" t="inlineStr">
        <is>
          <t>03:55:54</t>
        </is>
      </c>
      <c r="G30" s="31" t="n">
        <v>1766</v>
      </c>
      <c r="H30" s="31" t="n">
        <v>372</v>
      </c>
      <c r="I30" s="32" t="n">
        <v>403.12</v>
      </c>
      <c r="J30" s="31" t="inlineStr">
        <is>
          <t>BAJWA</t>
        </is>
      </c>
      <c r="K30" s="31" t="inlineStr">
        <is>
          <t>R</t>
        </is>
      </c>
      <c r="L30" s="31" t="inlineStr">
        <is>
          <t>Non-Valid</t>
        </is>
      </c>
      <c r="M30" s="16" t="inlineStr"/>
    </row>
    <row r="31">
      <c r="A31" s="16" t="inlineStr">
        <is>
          <t>30 Jun</t>
        </is>
      </c>
      <c r="B31" s="16" t="inlineStr">
        <is>
          <t>39066</t>
        </is>
      </c>
      <c r="C31" s="16" t="inlineStr">
        <is>
          <t>FS</t>
        </is>
      </c>
      <c r="D31" s="16" t="inlineStr">
        <is>
          <t>LS</t>
        </is>
      </c>
      <c r="E31" s="16" t="inlineStr">
        <is>
          <t>03:29:16</t>
        </is>
      </c>
      <c r="F31" s="16" t="inlineStr">
        <is>
          <t>03:29:44</t>
        </is>
      </c>
      <c r="G31" s="16" t="n">
        <v>28</v>
      </c>
      <c r="H31" s="16" t="n">
        <v>16</v>
      </c>
      <c r="I31" s="35" t="n">
        <v>478.08</v>
      </c>
      <c r="J31" s="16" t="inlineStr">
        <is>
          <t>BAREJADI NANDEJ</t>
        </is>
      </c>
      <c r="K31" s="16" t="inlineStr">
        <is>
          <t>R</t>
        </is>
      </c>
      <c r="L31" s="16" t="inlineStr">
        <is>
          <t>Valid</t>
        </is>
      </c>
      <c r="M31" s="16" t="inlineStr"/>
    </row>
    <row r="32">
      <c r="A32" s="16" t="inlineStr">
        <is>
          <t>30 Jun</t>
        </is>
      </c>
      <c r="B32" s="16" t="inlineStr">
        <is>
          <t>39066</t>
        </is>
      </c>
      <c r="C32" s="16" t="inlineStr">
        <is>
          <t>LS</t>
        </is>
      </c>
      <c r="D32" s="16" t="inlineStr">
        <is>
          <t>SR</t>
        </is>
      </c>
      <c r="E32" s="16" t="inlineStr">
        <is>
          <t>03:29:46</t>
        </is>
      </c>
      <c r="F32" s="16" t="inlineStr">
        <is>
          <t>03:31:04</t>
        </is>
      </c>
      <c r="G32" s="16" t="n">
        <v>78</v>
      </c>
      <c r="H32" s="16" t="n">
        <v>50</v>
      </c>
      <c r="I32" s="35" t="n">
        <v>477.19</v>
      </c>
      <c r="J32" s="16" t="inlineStr">
        <is>
          <t>BAREJADI NANDEJ</t>
        </is>
      </c>
      <c r="K32" s="16" t="inlineStr">
        <is>
          <t>R</t>
        </is>
      </c>
      <c r="L32" s="16" t="inlineStr">
        <is>
          <t>Valid</t>
        </is>
      </c>
      <c r="M32" s="16" t="inlineStr"/>
    </row>
    <row r="33">
      <c r="A33" s="16" t="inlineStr">
        <is>
          <t>30 Jun</t>
        </is>
      </c>
      <c r="B33" s="16" t="inlineStr">
        <is>
          <t>39066</t>
        </is>
      </c>
      <c r="C33" s="16" t="inlineStr">
        <is>
          <t>OS</t>
        </is>
      </c>
      <c r="D33" s="16" t="inlineStr">
        <is>
          <t>SR</t>
        </is>
      </c>
      <c r="E33" s="16" t="inlineStr">
        <is>
          <t>03:31:06</t>
        </is>
      </c>
      <c r="F33" s="16" t="inlineStr">
        <is>
          <t>03:31:06</t>
        </is>
      </c>
      <c r="G33" s="16" t="n">
        <v>0</v>
      </c>
      <c r="H33" s="16" t="n">
        <v>1</v>
      </c>
      <c r="I33" s="35" t="n">
        <v>474.84</v>
      </c>
      <c r="J33" s="16" t="inlineStr">
        <is>
          <t>KANIJ</t>
        </is>
      </c>
      <c r="K33" s="16" t="inlineStr">
        <is>
          <t>R</t>
        </is>
      </c>
      <c r="L33" s="16" t="inlineStr">
        <is>
          <t>Valid</t>
        </is>
      </c>
      <c r="M33" s="16" t="inlineStr"/>
    </row>
    <row r="34">
      <c r="A34" s="16" t="inlineStr">
        <is>
          <t>30 Jun</t>
        </is>
      </c>
      <c r="B34" s="16" t="inlineStr">
        <is>
          <t>39214</t>
        </is>
      </c>
      <c r="C34" s="16" t="inlineStr">
        <is>
          <t>FS</t>
        </is>
      </c>
      <c r="D34" s="16" t="inlineStr">
        <is>
          <t>LS</t>
        </is>
      </c>
      <c r="E34" s="16" t="inlineStr">
        <is>
          <t>04:05:08</t>
        </is>
      </c>
      <c r="F34" s="16" t="inlineStr">
        <is>
          <t>04:07:28</t>
        </is>
      </c>
      <c r="G34" s="16" t="n">
        <v>140</v>
      </c>
      <c r="H34" s="16" t="n">
        <v>72</v>
      </c>
      <c r="I34" s="35" t="n">
        <v>477.89</v>
      </c>
      <c r="J34" s="16" t="inlineStr">
        <is>
          <t>BAREJADI NANDEJ</t>
        </is>
      </c>
      <c r="K34" s="16" t="inlineStr">
        <is>
          <t>N</t>
        </is>
      </c>
      <c r="L34" s="16" t="inlineStr">
        <is>
          <t>Valid</t>
        </is>
      </c>
      <c r="M34" s="16" t="inlineStr"/>
    </row>
    <row r="35">
      <c r="A35" s="16" t="inlineStr">
        <is>
          <t>30 Jun</t>
        </is>
      </c>
      <c r="B35" s="16" t="inlineStr">
        <is>
          <t>39214</t>
        </is>
      </c>
      <c r="C35" s="16" t="inlineStr">
        <is>
          <t>LS</t>
        </is>
      </c>
      <c r="D35" s="16" t="inlineStr">
        <is>
          <t>SR</t>
        </is>
      </c>
      <c r="E35" s="16" t="inlineStr">
        <is>
          <t>04:07:30</t>
        </is>
      </c>
      <c r="F35" s="16" t="inlineStr">
        <is>
          <t>04:07:36</t>
        </is>
      </c>
      <c r="G35" s="16" t="n">
        <v>6</v>
      </c>
      <c r="H35" s="16" t="n">
        <v>7</v>
      </c>
      <c r="I35" s="35" t="n">
        <v>481.81</v>
      </c>
      <c r="J35" s="16" t="inlineStr">
        <is>
          <t>GERATPUR</t>
        </is>
      </c>
      <c r="K35" s="16" t="inlineStr">
        <is>
          <t>N</t>
        </is>
      </c>
      <c r="L35" s="16" t="inlineStr">
        <is>
          <t>Valid</t>
        </is>
      </c>
      <c r="M35" s="16" t="inlineStr"/>
    </row>
    <row r="36">
      <c r="A36" s="31" t="inlineStr">
        <is>
          <t>30 Jun</t>
        </is>
      </c>
      <c r="B36" s="31" t="inlineStr">
        <is>
          <t>39331</t>
        </is>
      </c>
      <c r="C36" s="31" t="inlineStr">
        <is>
          <t>OS</t>
        </is>
      </c>
      <c r="D36" s="31" t="inlineStr">
        <is>
          <t>SR</t>
        </is>
      </c>
      <c r="E36" s="31" t="inlineStr">
        <is>
          <t>04:28:10</t>
        </is>
      </c>
      <c r="F36" s="31" t="inlineStr">
        <is>
          <t>04:28:10</t>
        </is>
      </c>
      <c r="G36" s="31" t="n">
        <v>0</v>
      </c>
      <c r="H36" s="31" t="n">
        <v>1</v>
      </c>
      <c r="I36" s="32" t="n">
        <v>401.79</v>
      </c>
      <c r="J36" s="31" t="inlineStr">
        <is>
          <t>BAJWA</t>
        </is>
      </c>
      <c r="K36" s="31" t="inlineStr">
        <is>
          <t>N</t>
        </is>
      </c>
      <c r="L36" s="31" t="inlineStr">
        <is>
          <t>Non-Valid</t>
        </is>
      </c>
      <c r="M36" s="16" t="inlineStr"/>
    </row>
    <row r="37">
      <c r="A37" s="16" t="inlineStr">
        <is>
          <t>30 Jun</t>
        </is>
      </c>
      <c r="B37" s="16" t="inlineStr">
        <is>
          <t>30088</t>
        </is>
      </c>
      <c r="C37" s="16" t="inlineStr">
        <is>
          <t>FS</t>
        </is>
      </c>
      <c r="D37" s="16" t="inlineStr">
        <is>
          <t>LS</t>
        </is>
      </c>
      <c r="E37" s="16" t="inlineStr">
        <is>
          <t>04:34:46</t>
        </is>
      </c>
      <c r="F37" s="16" t="inlineStr">
        <is>
          <t>04:35:46</t>
        </is>
      </c>
      <c r="G37" s="16" t="n">
        <v>60</v>
      </c>
      <c r="H37" s="16" t="n">
        <v>29</v>
      </c>
      <c r="I37" s="35" t="n">
        <v>477.75</v>
      </c>
      <c r="J37" s="16" t="inlineStr">
        <is>
          <t>BAREJADI NANDEJ</t>
        </is>
      </c>
      <c r="K37" s="16" t="inlineStr">
        <is>
          <t>N</t>
        </is>
      </c>
      <c r="L37" s="16" t="inlineStr">
        <is>
          <t>Valid</t>
        </is>
      </c>
      <c r="M37" s="16" t="inlineStr"/>
    </row>
    <row r="38">
      <c r="A38" s="16" t="inlineStr">
        <is>
          <t>30 Jun</t>
        </is>
      </c>
      <c r="B38" s="16" t="inlineStr">
        <is>
          <t>30088</t>
        </is>
      </c>
      <c r="C38" s="16" t="inlineStr">
        <is>
          <t>LS</t>
        </is>
      </c>
      <c r="D38" s="16" t="inlineStr">
        <is>
          <t>SR</t>
        </is>
      </c>
      <c r="E38" s="16" t="inlineStr">
        <is>
          <t>04:35:48</t>
        </is>
      </c>
      <c r="F38" s="16" t="inlineStr">
        <is>
          <t>04:37:00</t>
        </is>
      </c>
      <c r="G38" s="16" t="n">
        <v>72</v>
      </c>
      <c r="H38" s="16" t="n">
        <v>42</v>
      </c>
      <c r="I38" s="35" t="n">
        <v>479.73</v>
      </c>
      <c r="J38" s="16" t="inlineStr">
        <is>
          <t>BAREJADI NANDEJ</t>
        </is>
      </c>
      <c r="K38" s="16" t="inlineStr">
        <is>
          <t>N</t>
        </is>
      </c>
      <c r="L38" s="16" t="inlineStr">
        <is>
          <t>Valid</t>
        </is>
      </c>
      <c r="M38" s="16" t="inlineStr"/>
    </row>
    <row r="39">
      <c r="A39" s="16" t="inlineStr">
        <is>
          <t>30 Jun</t>
        </is>
      </c>
      <c r="B39" s="16" t="inlineStr">
        <is>
          <t>30606</t>
        </is>
      </c>
      <c r="C39" s="16" t="inlineStr">
        <is>
          <t>FS</t>
        </is>
      </c>
      <c r="D39" s="16" t="inlineStr">
        <is>
          <t>LS</t>
        </is>
      </c>
      <c r="E39" s="16" t="inlineStr">
        <is>
          <t>04:38:30</t>
        </is>
      </c>
      <c r="F39" s="16" t="inlineStr">
        <is>
          <t>04:39:00</t>
        </is>
      </c>
      <c r="G39" s="16" t="n">
        <v>30</v>
      </c>
      <c r="H39" s="16" t="n">
        <v>15</v>
      </c>
      <c r="I39" s="35" t="n">
        <v>477.84</v>
      </c>
      <c r="J39" s="16" t="inlineStr">
        <is>
          <t>BAREJADI NANDEJ</t>
        </is>
      </c>
      <c r="K39" s="16" t="inlineStr">
        <is>
          <t>N</t>
        </is>
      </c>
      <c r="L39" s="16" t="inlineStr">
        <is>
          <t>Valid</t>
        </is>
      </c>
      <c r="M39" s="16" t="inlineStr"/>
    </row>
    <row r="40">
      <c r="A40" s="16" t="inlineStr">
        <is>
          <t>30 Jun</t>
        </is>
      </c>
      <c r="B40" s="16" t="inlineStr">
        <is>
          <t>30606</t>
        </is>
      </c>
      <c r="C40" s="16" t="inlineStr">
        <is>
          <t>LS</t>
        </is>
      </c>
      <c r="D40" s="16" t="inlineStr">
        <is>
          <t>SR</t>
        </is>
      </c>
      <c r="E40" s="16" t="inlineStr">
        <is>
          <t>04:39:02</t>
        </is>
      </c>
      <c r="F40" s="16" t="inlineStr">
        <is>
          <t>04:41:00</t>
        </is>
      </c>
      <c r="G40" s="16" t="n">
        <v>118</v>
      </c>
      <c r="H40" s="16" t="n">
        <v>65</v>
      </c>
      <c r="I40" s="35" t="n">
        <v>478.67</v>
      </c>
      <c r="J40" s="16" t="inlineStr">
        <is>
          <t>BAREJADI NANDEJ</t>
        </is>
      </c>
      <c r="K40" s="16" t="inlineStr">
        <is>
          <t>N</t>
        </is>
      </c>
      <c r="L40" s="16" t="inlineStr">
        <is>
          <t>Valid</t>
        </is>
      </c>
      <c r="M40" s="16" t="inlineStr"/>
    </row>
    <row r="41">
      <c r="A41" s="16" t="inlineStr">
        <is>
          <t>30 Jun</t>
        </is>
      </c>
      <c r="B41" s="16" t="inlineStr">
        <is>
          <t>39066</t>
        </is>
      </c>
      <c r="C41" s="16" t="inlineStr">
        <is>
          <t>FS</t>
        </is>
      </c>
      <c r="D41" s="16" t="inlineStr">
        <is>
          <t>SR</t>
        </is>
      </c>
      <c r="E41" s="16" t="inlineStr">
        <is>
          <t>04:41:26</t>
        </is>
      </c>
      <c r="F41" s="16" t="inlineStr">
        <is>
          <t>05:15:32</t>
        </is>
      </c>
      <c r="G41" s="16" t="n">
        <v>2046</v>
      </c>
      <c r="H41" s="16" t="n">
        <v>1015</v>
      </c>
      <c r="I41" s="35" t="n">
        <v>402.59</v>
      </c>
      <c r="J41" s="16" t="inlineStr">
        <is>
          <t>BAJWA</t>
        </is>
      </c>
      <c r="K41" s="16" t="inlineStr">
        <is>
          <t>R</t>
        </is>
      </c>
      <c r="L41" s="16" t="inlineStr">
        <is>
          <t>Valid</t>
        </is>
      </c>
      <c r="M41" s="16" t="inlineStr"/>
    </row>
    <row r="42">
      <c r="A42" s="16" t="inlineStr">
        <is>
          <t>30 Jun</t>
        </is>
      </c>
      <c r="B42" s="16" t="inlineStr">
        <is>
          <t>30814</t>
        </is>
      </c>
      <c r="C42" s="16" t="inlineStr">
        <is>
          <t>FS</t>
        </is>
      </c>
      <c r="D42" s="16" t="inlineStr">
        <is>
          <t>LS</t>
        </is>
      </c>
      <c r="E42" s="16" t="inlineStr">
        <is>
          <t>05:02:46</t>
        </is>
      </c>
      <c r="F42" s="16" t="inlineStr">
        <is>
          <t>05:03:14</t>
        </is>
      </c>
      <c r="G42" s="16" t="n">
        <v>28</v>
      </c>
      <c r="H42" s="16" t="n">
        <v>16</v>
      </c>
      <c r="I42" s="35" t="n">
        <v>478.07</v>
      </c>
      <c r="J42" s="16" t="inlineStr">
        <is>
          <t>BAREJADI NANDEJ</t>
        </is>
      </c>
      <c r="K42" s="16" t="inlineStr">
        <is>
          <t>R</t>
        </is>
      </c>
      <c r="L42" s="16" t="inlineStr">
        <is>
          <t>Valid</t>
        </is>
      </c>
      <c r="M42" s="16" t="inlineStr"/>
    </row>
    <row r="43">
      <c r="A43" s="16" t="inlineStr">
        <is>
          <t>30 Jun</t>
        </is>
      </c>
      <c r="B43" s="16" t="inlineStr">
        <is>
          <t>30814</t>
        </is>
      </c>
      <c r="C43" s="16" t="inlineStr">
        <is>
          <t>LS</t>
        </is>
      </c>
      <c r="D43" s="16" t="inlineStr">
        <is>
          <t>SR</t>
        </is>
      </c>
      <c r="E43" s="16" t="inlineStr">
        <is>
          <t>05:03:16</t>
        </is>
      </c>
      <c r="F43" s="16" t="inlineStr">
        <is>
          <t>05:04:32</t>
        </is>
      </c>
      <c r="G43" s="16" t="n">
        <v>76</v>
      </c>
      <c r="H43" s="16" t="n">
        <v>49</v>
      </c>
      <c r="I43" s="35" t="n">
        <v>477.17</v>
      </c>
      <c r="J43" s="16" t="inlineStr">
        <is>
          <t>BAREJADI NANDEJ</t>
        </is>
      </c>
      <c r="K43" s="16" t="inlineStr">
        <is>
          <t>R</t>
        </is>
      </c>
      <c r="L43" s="16" t="inlineStr">
        <is>
          <t>Valid</t>
        </is>
      </c>
      <c r="M43" s="16" t="inlineStr"/>
    </row>
    <row r="44">
      <c r="A44" s="16" t="inlineStr">
        <is>
          <t>30 Jun</t>
        </is>
      </c>
      <c r="B44" s="16" t="inlineStr">
        <is>
          <t>30814</t>
        </is>
      </c>
      <c r="C44" s="16" t="inlineStr">
        <is>
          <t>OS</t>
        </is>
      </c>
      <c r="D44" s="16" t="inlineStr">
        <is>
          <t>SR</t>
        </is>
      </c>
      <c r="E44" s="16" t="inlineStr">
        <is>
          <t>05:04:34</t>
        </is>
      </c>
      <c r="F44" s="16" t="inlineStr">
        <is>
          <t>05:04:34</t>
        </is>
      </c>
      <c r="G44" s="16" t="n">
        <v>0</v>
      </c>
      <c r="H44" s="16" t="n">
        <v>1</v>
      </c>
      <c r="I44" s="35" t="n">
        <v>474.85</v>
      </c>
      <c r="J44" s="16" t="inlineStr">
        <is>
          <t>KANIJ</t>
        </is>
      </c>
      <c r="K44" s="16" t="inlineStr">
        <is>
          <t>R</t>
        </is>
      </c>
      <c r="L44" s="16" t="inlineStr">
        <is>
          <t>Valid</t>
        </is>
      </c>
      <c r="M44" s="16" t="inlineStr"/>
    </row>
    <row r="45">
      <c r="A45" s="16" t="inlineStr">
        <is>
          <t>30 Jun</t>
        </is>
      </c>
      <c r="B45" s="16" t="inlineStr">
        <is>
          <t>37020</t>
        </is>
      </c>
      <c r="C45" s="16" t="inlineStr">
        <is>
          <t>FS</t>
        </is>
      </c>
      <c r="D45" s="16" t="inlineStr">
        <is>
          <t>LS</t>
        </is>
      </c>
      <c r="E45" s="16" t="inlineStr">
        <is>
          <t>05:40:40</t>
        </is>
      </c>
      <c r="F45" s="16" t="inlineStr">
        <is>
          <t>05:41:08</t>
        </is>
      </c>
      <c r="G45" s="16" t="n">
        <v>28</v>
      </c>
      <c r="H45" s="16" t="n">
        <v>16</v>
      </c>
      <c r="I45" s="35" t="n">
        <v>478.12</v>
      </c>
      <c r="J45" s="16" t="inlineStr">
        <is>
          <t>BAREJADI NANDEJ</t>
        </is>
      </c>
      <c r="K45" s="16" t="inlineStr">
        <is>
          <t>R</t>
        </is>
      </c>
      <c r="L45" s="16" t="inlineStr">
        <is>
          <t>Valid</t>
        </is>
      </c>
      <c r="M45" s="16" t="inlineStr"/>
    </row>
    <row r="46">
      <c r="A46" s="16" t="inlineStr">
        <is>
          <t>30 Jun</t>
        </is>
      </c>
      <c r="B46" s="16" t="inlineStr">
        <is>
          <t>37020</t>
        </is>
      </c>
      <c r="C46" s="16" t="inlineStr">
        <is>
          <t>LS</t>
        </is>
      </c>
      <c r="D46" s="16" t="inlineStr">
        <is>
          <t>SR</t>
        </is>
      </c>
      <c r="E46" s="16" t="inlineStr">
        <is>
          <t>05:41:10</t>
        </is>
      </c>
      <c r="F46" s="16" t="inlineStr">
        <is>
          <t>05:42:26</t>
        </is>
      </c>
      <c r="G46" s="16" t="n">
        <v>76</v>
      </c>
      <c r="H46" s="16" t="n">
        <v>47</v>
      </c>
      <c r="I46" s="35" t="n">
        <v>477.2</v>
      </c>
      <c r="J46" s="16" t="inlineStr">
        <is>
          <t>BAREJADI NANDEJ</t>
        </is>
      </c>
      <c r="K46" s="16" t="inlineStr">
        <is>
          <t>R</t>
        </is>
      </c>
      <c r="L46" s="16" t="inlineStr">
        <is>
          <t>Valid</t>
        </is>
      </c>
      <c r="M46" s="16" t="inlineStr"/>
    </row>
    <row r="47">
      <c r="A47" s="16" t="inlineStr">
        <is>
          <t>30 Jun</t>
        </is>
      </c>
      <c r="B47" s="16" t="inlineStr">
        <is>
          <t>37020</t>
        </is>
      </c>
      <c r="C47" s="16" t="inlineStr">
        <is>
          <t>OS</t>
        </is>
      </c>
      <c r="D47" s="16" t="inlineStr">
        <is>
          <t>SR</t>
        </is>
      </c>
      <c r="E47" s="16" t="inlineStr">
        <is>
          <t>05:42:28</t>
        </is>
      </c>
      <c r="F47" s="16" t="inlineStr">
        <is>
          <t>05:42:28</t>
        </is>
      </c>
      <c r="G47" s="16" t="n">
        <v>0</v>
      </c>
      <c r="H47" s="16" t="n">
        <v>1</v>
      </c>
      <c r="I47" s="35" t="n">
        <v>474.88</v>
      </c>
      <c r="J47" s="16" t="inlineStr">
        <is>
          <t>KANIJ</t>
        </is>
      </c>
      <c r="K47" s="16" t="inlineStr">
        <is>
          <t>R</t>
        </is>
      </c>
      <c r="L47" s="16" t="inlineStr">
        <is>
          <t>Valid</t>
        </is>
      </c>
      <c r="M47" s="16" t="inlineStr"/>
    </row>
    <row r="48">
      <c r="A48" s="16" t="inlineStr">
        <is>
          <t>30 Jun</t>
        </is>
      </c>
      <c r="B48" s="16" t="inlineStr">
        <is>
          <t>37396</t>
        </is>
      </c>
      <c r="C48" s="16" t="inlineStr">
        <is>
          <t>FS</t>
        </is>
      </c>
      <c r="D48" s="16" t="inlineStr">
        <is>
          <t>LS</t>
        </is>
      </c>
      <c r="E48" s="16" t="inlineStr">
        <is>
          <t>06:01:56</t>
        </is>
      </c>
      <c r="F48" s="16" t="inlineStr">
        <is>
          <t>06:01:56</t>
        </is>
      </c>
      <c r="G48" s="16" t="n">
        <v>0</v>
      </c>
      <c r="H48" s="16" t="n">
        <v>1</v>
      </c>
      <c r="I48" s="35" t="n">
        <v>477.95</v>
      </c>
      <c r="J48" s="16" t="inlineStr">
        <is>
          <t>BAREJADI NANDEJ</t>
        </is>
      </c>
      <c r="K48" s="16" t="inlineStr">
        <is>
          <t>N</t>
        </is>
      </c>
      <c r="L48" s="16" t="inlineStr">
        <is>
          <t>Valid</t>
        </is>
      </c>
      <c r="M48" s="16" t="inlineStr"/>
    </row>
    <row r="49">
      <c r="A49" s="16" t="inlineStr">
        <is>
          <t>30 Jun</t>
        </is>
      </c>
      <c r="B49" s="16" t="inlineStr">
        <is>
          <t>37396</t>
        </is>
      </c>
      <c r="C49" s="16" t="inlineStr">
        <is>
          <t>FS</t>
        </is>
      </c>
      <c r="D49" s="16" t="inlineStr">
        <is>
          <t>LS</t>
        </is>
      </c>
      <c r="E49" s="16" t="inlineStr">
        <is>
          <t>06:01:58</t>
        </is>
      </c>
      <c r="F49" s="16" t="inlineStr">
        <is>
          <t>06:05:16</t>
        </is>
      </c>
      <c r="G49" s="16" t="n">
        <v>198</v>
      </c>
      <c r="H49" s="16" t="n">
        <v>100</v>
      </c>
      <c r="I49" s="35" t="n">
        <v>478.02</v>
      </c>
      <c r="J49" s="16" t="inlineStr">
        <is>
          <t>BAREJADI NANDEJ</t>
        </is>
      </c>
      <c r="K49" s="16" t="inlineStr">
        <is>
          <t>N</t>
        </is>
      </c>
      <c r="L49" s="16" t="inlineStr">
        <is>
          <t>Valid</t>
        </is>
      </c>
      <c r="M49" s="16" t="inlineStr"/>
    </row>
    <row r="50">
      <c r="A50" s="16" t="inlineStr">
        <is>
          <t>30 Jun</t>
        </is>
      </c>
      <c r="B50" s="16" t="inlineStr">
        <is>
          <t>37396</t>
        </is>
      </c>
      <c r="C50" s="16" t="inlineStr">
        <is>
          <t>LS</t>
        </is>
      </c>
      <c r="D50" s="16" t="inlineStr">
        <is>
          <t>SR</t>
        </is>
      </c>
      <c r="E50" s="16" t="inlineStr">
        <is>
          <t>06:05:18</t>
        </is>
      </c>
      <c r="F50" s="16" t="inlineStr">
        <is>
          <t>06:05:36</t>
        </is>
      </c>
      <c r="G50" s="16" t="n">
        <v>18</v>
      </c>
      <c r="H50" s="16" t="n">
        <v>16</v>
      </c>
      <c r="I50" s="35" t="n">
        <v>481.67</v>
      </c>
      <c r="J50" s="16" t="inlineStr">
        <is>
          <t>GERATPUR</t>
        </is>
      </c>
      <c r="K50" s="16" t="inlineStr">
        <is>
          <t>N</t>
        </is>
      </c>
      <c r="L50" s="16" t="inlineStr">
        <is>
          <t>Valid</t>
        </is>
      </c>
      <c r="M50" s="16" t="inlineStr"/>
    </row>
    <row r="51">
      <c r="A51" s="16" t="inlineStr">
        <is>
          <t>30 Jun</t>
        </is>
      </c>
      <c r="B51" s="16" t="inlineStr">
        <is>
          <t>30814</t>
        </is>
      </c>
      <c r="C51" s="16" t="inlineStr">
        <is>
          <t>FS</t>
        </is>
      </c>
      <c r="D51" s="16" t="inlineStr">
        <is>
          <t>SR</t>
        </is>
      </c>
      <c r="E51" s="16" t="inlineStr">
        <is>
          <t>06:23:58</t>
        </is>
      </c>
      <c r="F51" s="16" t="inlineStr">
        <is>
          <t>06:48:48</t>
        </is>
      </c>
      <c r="G51" s="16" t="n">
        <v>1490</v>
      </c>
      <c r="H51" s="16" t="n">
        <v>736</v>
      </c>
      <c r="I51" s="35" t="n">
        <v>403.33</v>
      </c>
      <c r="J51" s="16" t="inlineStr">
        <is>
          <t>BAJWA</t>
        </is>
      </c>
      <c r="K51" s="16" t="inlineStr">
        <is>
          <t>R</t>
        </is>
      </c>
      <c r="L51" s="16" t="inlineStr">
        <is>
          <t>Valid</t>
        </is>
      </c>
      <c r="M51" s="16" t="inlineStr"/>
    </row>
    <row r="52">
      <c r="A52" s="16" t="inlineStr">
        <is>
          <t>30 Jun</t>
        </is>
      </c>
      <c r="B52" s="16" t="inlineStr">
        <is>
          <t>37505</t>
        </is>
      </c>
      <c r="C52" s="16" t="inlineStr">
        <is>
          <t>OS</t>
        </is>
      </c>
      <c r="D52" s="16" t="inlineStr">
        <is>
          <t>SR</t>
        </is>
      </c>
      <c r="E52" s="16" t="inlineStr">
        <is>
          <t>06:32:26</t>
        </is>
      </c>
      <c r="F52" s="16" t="inlineStr">
        <is>
          <t>06:33:26</t>
        </is>
      </c>
      <c r="G52" s="16" t="n">
        <v>60</v>
      </c>
      <c r="H52" s="16" t="n">
        <v>51</v>
      </c>
      <c r="I52" s="35" t="n">
        <v>497.73</v>
      </c>
      <c r="J52" s="16" t="inlineStr">
        <is>
          <t>AHMEDABAD Jn</t>
        </is>
      </c>
      <c r="K52" s="16" t="inlineStr">
        <is>
          <t>U</t>
        </is>
      </c>
      <c r="L52" s="16" t="inlineStr">
        <is>
          <t>Valid</t>
        </is>
      </c>
      <c r="M52" s="16" t="inlineStr"/>
    </row>
    <row r="53">
      <c r="A53" s="16" t="inlineStr">
        <is>
          <t>30 Jun</t>
        </is>
      </c>
      <c r="B53" s="16" t="inlineStr">
        <is>
          <t>37505</t>
        </is>
      </c>
      <c r="C53" s="16" t="inlineStr">
        <is>
          <t>StandBy</t>
        </is>
      </c>
      <c r="D53" s="16" t="inlineStr">
        <is>
          <t>SR</t>
        </is>
      </c>
      <c r="E53" s="16" t="inlineStr">
        <is>
          <t>06:52:14</t>
        </is>
      </c>
      <c r="F53" s="16" t="inlineStr">
        <is>
          <t>07:20:32</t>
        </is>
      </c>
      <c r="G53" s="16" t="n">
        <v>1698</v>
      </c>
      <c r="H53" s="16" t="n">
        <v>860</v>
      </c>
      <c r="I53" s="35" t="n">
        <v>494.88</v>
      </c>
      <c r="J53" s="16" t="inlineStr">
        <is>
          <t>AHMEDABAD Jn</t>
        </is>
      </c>
      <c r="K53" s="16" t="inlineStr">
        <is>
          <t>U</t>
        </is>
      </c>
      <c r="L53" s="16" t="inlineStr">
        <is>
          <t>Valid</t>
        </is>
      </c>
      <c r="M53" s="16" t="inlineStr"/>
    </row>
    <row r="54">
      <c r="A54" s="16" t="inlineStr">
        <is>
          <t>30 Jun</t>
        </is>
      </c>
      <c r="B54" s="16" t="inlineStr">
        <is>
          <t>30634</t>
        </is>
      </c>
      <c r="C54" s="16" t="inlineStr">
        <is>
          <t>FS</t>
        </is>
      </c>
      <c r="D54" s="16" t="inlineStr">
        <is>
          <t>LS</t>
        </is>
      </c>
      <c r="E54" s="16" t="inlineStr">
        <is>
          <t>07:14:00</t>
        </is>
      </c>
      <c r="F54" s="16" t="inlineStr">
        <is>
          <t>07:14:36</t>
        </is>
      </c>
      <c r="G54" s="16" t="n">
        <v>36</v>
      </c>
      <c r="H54" s="16" t="n">
        <v>20</v>
      </c>
      <c r="I54" s="35" t="n">
        <v>477.75</v>
      </c>
      <c r="J54" s="16" t="inlineStr">
        <is>
          <t>BAREJADI NANDEJ</t>
        </is>
      </c>
      <c r="K54" s="16" t="inlineStr">
        <is>
          <t>N</t>
        </is>
      </c>
      <c r="L54" s="16" t="inlineStr">
        <is>
          <t>Valid</t>
        </is>
      </c>
      <c r="M54" s="16" t="inlineStr"/>
    </row>
    <row r="55">
      <c r="A55" s="16" t="inlineStr">
        <is>
          <t>30 Jun</t>
        </is>
      </c>
      <c r="B55" s="16" t="inlineStr">
        <is>
          <t>30634</t>
        </is>
      </c>
      <c r="C55" s="16" t="inlineStr">
        <is>
          <t>LS</t>
        </is>
      </c>
      <c r="D55" s="16" t="inlineStr">
        <is>
          <t>SR</t>
        </is>
      </c>
      <c r="E55" s="16" t="inlineStr">
        <is>
          <t>07:14:38</t>
        </is>
      </c>
      <c r="F55" s="16" t="inlineStr">
        <is>
          <t>07:16:42</t>
        </is>
      </c>
      <c r="G55" s="16" t="n">
        <v>124</v>
      </c>
      <c r="H55" s="16" t="n">
        <v>69</v>
      </c>
      <c r="I55" s="35" t="n">
        <v>478.66</v>
      </c>
      <c r="J55" s="16" t="inlineStr">
        <is>
          <t>BAREJADI NANDEJ</t>
        </is>
      </c>
      <c r="K55" s="16" t="inlineStr">
        <is>
          <t>N</t>
        </is>
      </c>
      <c r="L55" s="16" t="inlineStr">
        <is>
          <t>Valid</t>
        </is>
      </c>
      <c r="M55" s="16" t="inlineStr"/>
    </row>
    <row r="56">
      <c r="A56" s="16" t="inlineStr">
        <is>
          <t>30 Jun</t>
        </is>
      </c>
      <c r="B56" s="16" t="inlineStr">
        <is>
          <t>37020</t>
        </is>
      </c>
      <c r="C56" s="16" t="inlineStr">
        <is>
          <t>FS</t>
        </is>
      </c>
      <c r="D56" s="16" t="inlineStr">
        <is>
          <t>SR</t>
        </is>
      </c>
      <c r="E56" s="16" t="inlineStr">
        <is>
          <t>07:15:42</t>
        </is>
      </c>
      <c r="F56" s="16" t="inlineStr">
        <is>
          <t>07:46:26</t>
        </is>
      </c>
      <c r="G56" s="16" t="n">
        <v>1844</v>
      </c>
      <c r="H56" s="16" t="n">
        <v>1028</v>
      </c>
      <c r="I56" s="35" t="n">
        <v>402.59</v>
      </c>
      <c r="J56" s="16" t="inlineStr">
        <is>
          <t>BAJWA</t>
        </is>
      </c>
      <c r="K56" s="16" t="inlineStr">
        <is>
          <t>R</t>
        </is>
      </c>
      <c r="L56" s="16" t="inlineStr">
        <is>
          <t>Valid</t>
        </is>
      </c>
      <c r="M56" s="16" t="inlineStr"/>
    </row>
    <row r="57">
      <c r="A57" s="31" t="inlineStr">
        <is>
          <t>30 Jun</t>
        </is>
      </c>
      <c r="B57" s="31" t="inlineStr">
        <is>
          <t>32763</t>
        </is>
      </c>
      <c r="C57" s="31" t="inlineStr">
        <is>
          <t>FS</t>
        </is>
      </c>
      <c r="D57" s="31" t="inlineStr">
        <is>
          <t>SR</t>
        </is>
      </c>
      <c r="E57" s="31" t="inlineStr">
        <is>
          <t>07:33:40</t>
        </is>
      </c>
      <c r="F57" s="31" t="inlineStr">
        <is>
          <t>07:33:48</t>
        </is>
      </c>
      <c r="G57" s="31" t="n">
        <v>8</v>
      </c>
      <c r="H57" s="31" t="n">
        <v>7</v>
      </c>
      <c r="I57" s="32" t="n">
        <v>403.82</v>
      </c>
      <c r="J57" s="31" t="inlineStr">
        <is>
          <t>BAJWA</t>
        </is>
      </c>
      <c r="K57" s="31" t="inlineStr">
        <is>
          <t>N</t>
        </is>
      </c>
      <c r="L57" s="31" t="inlineStr">
        <is>
          <t>Non-Valid</t>
        </is>
      </c>
      <c r="M57" s="16" t="inlineStr"/>
    </row>
    <row r="58">
      <c r="A58" s="16" t="inlineStr">
        <is>
          <t>30 Jun</t>
        </is>
      </c>
      <c r="B58" s="16" t="inlineStr">
        <is>
          <t>30634</t>
        </is>
      </c>
      <c r="C58" s="16" t="inlineStr">
        <is>
          <t>StandBy</t>
        </is>
      </c>
      <c r="D58" s="16" t="inlineStr">
        <is>
          <t>SR</t>
        </is>
      </c>
      <c r="E58" s="16" t="inlineStr">
        <is>
          <t>07:36:00</t>
        </is>
      </c>
      <c r="F58" s="16" t="inlineStr">
        <is>
          <t>07:36:58</t>
        </is>
      </c>
      <c r="G58" s="16" t="n">
        <v>58</v>
      </c>
      <c r="H58" s="16" t="n">
        <v>30</v>
      </c>
      <c r="I58" s="35" t="n">
        <v>494.29</v>
      </c>
      <c r="J58" s="16" t="inlineStr">
        <is>
          <t>KANKARIYA CABIN</t>
        </is>
      </c>
      <c r="K58" s="16" t="inlineStr">
        <is>
          <t>U</t>
        </is>
      </c>
      <c r="L58" s="16" t="inlineStr">
        <is>
          <t>Valid</t>
        </is>
      </c>
      <c r="M58" s="16" t="inlineStr"/>
    </row>
    <row r="59">
      <c r="A59" s="16" t="inlineStr">
        <is>
          <t>30 Jun</t>
        </is>
      </c>
      <c r="B59" s="16" t="inlineStr">
        <is>
          <t>30634</t>
        </is>
      </c>
      <c r="C59" s="16" t="inlineStr">
        <is>
          <t>StandBy</t>
        </is>
      </c>
      <c r="D59" s="16" t="inlineStr">
        <is>
          <t>SR</t>
        </is>
      </c>
      <c r="E59" s="16" t="inlineStr">
        <is>
          <t>07:37:32</t>
        </is>
      </c>
      <c r="F59" s="16" t="inlineStr">
        <is>
          <t>07:37:40</t>
        </is>
      </c>
      <c r="G59" s="16" t="n">
        <v>8</v>
      </c>
      <c r="H59" s="16" t="n">
        <v>5</v>
      </c>
      <c r="I59" s="35" t="n">
        <v>494.29</v>
      </c>
      <c r="J59" s="16" t="inlineStr">
        <is>
          <t>KANKARIYA CABIN</t>
        </is>
      </c>
      <c r="K59" s="16" t="inlineStr">
        <is>
          <t>U</t>
        </is>
      </c>
      <c r="L59" s="16" t="inlineStr">
        <is>
          <t>Valid</t>
        </is>
      </c>
      <c r="M59" s="16" t="inlineStr"/>
    </row>
    <row r="60">
      <c r="A60" s="16" t="inlineStr">
        <is>
          <t>30 Jun</t>
        </is>
      </c>
      <c r="B60" s="16" t="inlineStr">
        <is>
          <t>30634</t>
        </is>
      </c>
      <c r="C60" s="16" t="inlineStr">
        <is>
          <t>StandBy</t>
        </is>
      </c>
      <c r="D60" s="16" t="inlineStr">
        <is>
          <t>SR</t>
        </is>
      </c>
      <c r="E60" s="16" t="inlineStr">
        <is>
          <t>07:38:48</t>
        </is>
      </c>
      <c r="F60" s="16" t="inlineStr">
        <is>
          <t>07:47:16</t>
        </is>
      </c>
      <c r="G60" s="16" t="n">
        <v>508</v>
      </c>
      <c r="H60" s="16" t="n">
        <v>314</v>
      </c>
      <c r="I60" s="35" t="n">
        <v>494.56</v>
      </c>
      <c r="J60" s="16" t="inlineStr">
        <is>
          <t>AHMEDABAD Jn</t>
        </is>
      </c>
      <c r="K60" s="16" t="inlineStr">
        <is>
          <t>U</t>
        </is>
      </c>
      <c r="L60" s="16" t="inlineStr">
        <is>
          <t>Valid</t>
        </is>
      </c>
      <c r="M60" s="16" t="inlineStr"/>
    </row>
    <row r="61">
      <c r="A61" s="16" t="inlineStr">
        <is>
          <t>30 Jun</t>
        </is>
      </c>
      <c r="B61" s="16" t="inlineStr">
        <is>
          <t>37505</t>
        </is>
      </c>
      <c r="C61" s="16" t="inlineStr">
        <is>
          <t>FS</t>
        </is>
      </c>
      <c r="D61" s="16" t="inlineStr">
        <is>
          <t>LS</t>
        </is>
      </c>
      <c r="E61" s="16" t="inlineStr">
        <is>
          <t>07:53:40</t>
        </is>
      </c>
      <c r="F61" s="16" t="inlineStr">
        <is>
          <t>07:54:10</t>
        </is>
      </c>
      <c r="G61" s="16" t="n">
        <v>30</v>
      </c>
      <c r="H61" s="16" t="n">
        <v>17</v>
      </c>
      <c r="I61" s="35" t="n">
        <v>479.05</v>
      </c>
      <c r="J61" s="16" t="inlineStr">
        <is>
          <t>BAREJADI NANDEJ</t>
        </is>
      </c>
      <c r="K61" s="16" t="inlineStr">
        <is>
          <t>R</t>
        </is>
      </c>
      <c r="L61" s="16" t="inlineStr">
        <is>
          <t>Valid</t>
        </is>
      </c>
      <c r="M61" s="16" t="inlineStr"/>
    </row>
    <row r="62">
      <c r="A62" s="16" t="inlineStr">
        <is>
          <t>30 Jun</t>
        </is>
      </c>
      <c r="B62" s="16" t="inlineStr">
        <is>
          <t>37505</t>
        </is>
      </c>
      <c r="C62" s="16" t="inlineStr">
        <is>
          <t>LS</t>
        </is>
      </c>
      <c r="D62" s="16" t="inlineStr">
        <is>
          <t>SR</t>
        </is>
      </c>
      <c r="E62" s="16" t="inlineStr">
        <is>
          <t>07:54:12</t>
        </is>
      </c>
      <c r="F62" s="16" t="inlineStr">
        <is>
          <t>07:56:54</t>
        </is>
      </c>
      <c r="G62" s="16" t="n">
        <v>162</v>
      </c>
      <c r="H62" s="16" t="n">
        <v>92</v>
      </c>
      <c r="I62" s="35" t="n">
        <v>478.57</v>
      </c>
      <c r="J62" s="16" t="inlineStr">
        <is>
          <t>BAREJADI NANDEJ</t>
        </is>
      </c>
      <c r="K62" s="16" t="inlineStr">
        <is>
          <t>R</t>
        </is>
      </c>
      <c r="L62" s="16" t="inlineStr">
        <is>
          <t>Valid</t>
        </is>
      </c>
      <c r="M62" s="16" t="inlineStr"/>
    </row>
    <row r="63">
      <c r="A63" s="16" t="inlineStr">
        <is>
          <t>30 Jun</t>
        </is>
      </c>
      <c r="B63" s="16" t="inlineStr">
        <is>
          <t>37505</t>
        </is>
      </c>
      <c r="C63" s="16" t="inlineStr">
        <is>
          <t>OS</t>
        </is>
      </c>
      <c r="D63" s="16" t="inlineStr">
        <is>
          <t>SR</t>
        </is>
      </c>
      <c r="E63" s="16" t="inlineStr">
        <is>
          <t>07:56:56</t>
        </is>
      </c>
      <c r="F63" s="16" t="inlineStr">
        <is>
          <t>07:56:56</t>
        </is>
      </c>
      <c r="G63" s="16" t="n">
        <v>0</v>
      </c>
      <c r="H63" s="16" t="n">
        <v>1</v>
      </c>
      <c r="I63" s="35" t="n">
        <v>474.87</v>
      </c>
      <c r="J63" s="16" t="inlineStr">
        <is>
          <t>KANIJ</t>
        </is>
      </c>
      <c r="K63" s="16" t="inlineStr">
        <is>
          <t>R</t>
        </is>
      </c>
      <c r="L63" s="16" t="inlineStr">
        <is>
          <t>Valid</t>
        </is>
      </c>
      <c r="M63" s="16" t="inlineStr"/>
    </row>
    <row r="64">
      <c r="A64" s="16" t="inlineStr">
        <is>
          <t>30 Jun</t>
        </is>
      </c>
      <c r="B64" s="16" t="inlineStr">
        <is>
          <t>37112</t>
        </is>
      </c>
      <c r="C64" s="16" t="inlineStr">
        <is>
          <t>FS</t>
        </is>
      </c>
      <c r="D64" s="16" t="inlineStr">
        <is>
          <t>LS</t>
        </is>
      </c>
      <c r="E64" s="16" t="inlineStr">
        <is>
          <t>08:12:00</t>
        </is>
      </c>
      <c r="F64" s="16" t="inlineStr">
        <is>
          <t>08:12:28</t>
        </is>
      </c>
      <c r="G64" s="16" t="n">
        <v>28</v>
      </c>
      <c r="H64" s="16" t="n">
        <v>16</v>
      </c>
      <c r="I64" s="35" t="n">
        <v>478.25</v>
      </c>
      <c r="J64" s="16" t="inlineStr">
        <is>
          <t>BAREJADI NANDEJ</t>
        </is>
      </c>
      <c r="K64" s="16" t="inlineStr">
        <is>
          <t>R</t>
        </is>
      </c>
      <c r="L64" s="16" t="inlineStr">
        <is>
          <t>Valid</t>
        </is>
      </c>
      <c r="M64" s="16" t="inlineStr"/>
    </row>
    <row r="65">
      <c r="A65" s="16" t="inlineStr">
        <is>
          <t>30 Jun</t>
        </is>
      </c>
      <c r="B65" s="16" t="inlineStr">
        <is>
          <t>37112</t>
        </is>
      </c>
      <c r="C65" s="16" t="inlineStr">
        <is>
          <t>LS</t>
        </is>
      </c>
      <c r="D65" s="16" t="inlineStr">
        <is>
          <t>SR</t>
        </is>
      </c>
      <c r="E65" s="16" t="inlineStr">
        <is>
          <t>08:12:30</t>
        </is>
      </c>
      <c r="F65" s="16" t="inlineStr">
        <is>
          <t>08:13:38</t>
        </is>
      </c>
      <c r="G65" s="16" t="n">
        <v>68</v>
      </c>
      <c r="H65" s="16" t="n">
        <v>43</v>
      </c>
      <c r="I65" s="35" t="n">
        <v>477.21</v>
      </c>
      <c r="J65" s="16" t="inlineStr">
        <is>
          <t>BAREJADI NANDEJ</t>
        </is>
      </c>
      <c r="K65" s="16" t="inlineStr">
        <is>
          <t>R</t>
        </is>
      </c>
      <c r="L65" s="16" t="inlineStr">
        <is>
          <t>Valid</t>
        </is>
      </c>
      <c r="M65" s="16" t="inlineStr"/>
    </row>
    <row r="66">
      <c r="A66" s="31" t="inlineStr">
        <is>
          <t>30 Jun</t>
        </is>
      </c>
      <c r="B66" s="31" t="inlineStr">
        <is>
          <t>37839</t>
        </is>
      </c>
      <c r="C66" s="31" t="inlineStr">
        <is>
          <t>FS</t>
        </is>
      </c>
      <c r="D66" s="31" t="inlineStr">
        <is>
          <t>SR</t>
        </is>
      </c>
      <c r="E66" s="31" t="inlineStr">
        <is>
          <t>08:24:26</t>
        </is>
      </c>
      <c r="F66" s="31" t="inlineStr">
        <is>
          <t>08:45:50</t>
        </is>
      </c>
      <c r="G66" s="31" t="n">
        <v>1284</v>
      </c>
      <c r="H66" s="31" t="n">
        <v>545</v>
      </c>
      <c r="I66" s="32" t="n">
        <v>402.4</v>
      </c>
      <c r="J66" s="31" t="inlineStr">
        <is>
          <t>BAJWA</t>
        </is>
      </c>
      <c r="K66" s="31" t="inlineStr">
        <is>
          <t>R</t>
        </is>
      </c>
      <c r="L66" s="31" t="inlineStr">
        <is>
          <t>Non-Valid</t>
        </is>
      </c>
      <c r="M66" s="16" t="inlineStr"/>
    </row>
    <row r="67">
      <c r="A67" s="16" t="inlineStr">
        <is>
          <t>30 Jun</t>
        </is>
      </c>
      <c r="B67" s="16" t="inlineStr">
        <is>
          <t>37505</t>
        </is>
      </c>
      <c r="C67" s="16" t="inlineStr">
        <is>
          <t>FS</t>
        </is>
      </c>
      <c r="D67" s="16" t="inlineStr">
        <is>
          <t>SR</t>
        </is>
      </c>
      <c r="E67" s="16" t="inlineStr">
        <is>
          <t>08:52:44</t>
        </is>
      </c>
      <c r="F67" s="16" t="inlineStr">
        <is>
          <t>09:13:32</t>
        </is>
      </c>
      <c r="G67" s="16" t="n">
        <v>1248</v>
      </c>
      <c r="H67" s="16" t="n">
        <v>577</v>
      </c>
      <c r="I67" s="35" t="n">
        <v>403.51</v>
      </c>
      <c r="J67" s="16" t="inlineStr">
        <is>
          <t>BAJWA</t>
        </is>
      </c>
      <c r="K67" s="16" t="inlineStr">
        <is>
          <t>R</t>
        </is>
      </c>
      <c r="L67" s="16" t="inlineStr">
        <is>
          <t>Valid</t>
        </is>
      </c>
      <c r="M67" s="16" t="inlineStr"/>
    </row>
    <row r="68">
      <c r="A68" s="16" t="inlineStr">
        <is>
          <t>30 Jun</t>
        </is>
      </c>
      <c r="B68" s="16" t="inlineStr">
        <is>
          <t>39015</t>
        </is>
      </c>
      <c r="C68" s="16" t="inlineStr">
        <is>
          <t>FS</t>
        </is>
      </c>
      <c r="D68" s="16" t="inlineStr">
        <is>
          <t>LS</t>
        </is>
      </c>
      <c r="E68" s="16" t="inlineStr">
        <is>
          <t>09:47:32</t>
        </is>
      </c>
      <c r="F68" s="16" t="inlineStr">
        <is>
          <t>09:48:30</t>
        </is>
      </c>
      <c r="G68" s="16" t="n">
        <v>58</v>
      </c>
      <c r="H68" s="16" t="n">
        <v>31</v>
      </c>
      <c r="I68" s="35" t="n">
        <v>477.91</v>
      </c>
      <c r="J68" s="16" t="inlineStr">
        <is>
          <t>BAREJADI NANDEJ</t>
        </is>
      </c>
      <c r="K68" s="16" t="inlineStr">
        <is>
          <t>N</t>
        </is>
      </c>
      <c r="L68" s="16" t="inlineStr">
        <is>
          <t>Valid</t>
        </is>
      </c>
      <c r="M68" s="16" t="inlineStr"/>
    </row>
    <row r="69">
      <c r="A69" s="16" t="inlineStr">
        <is>
          <t>30 Jun</t>
        </is>
      </c>
      <c r="B69" s="16" t="inlineStr">
        <is>
          <t>39015</t>
        </is>
      </c>
      <c r="C69" s="16" t="inlineStr">
        <is>
          <t>LS</t>
        </is>
      </c>
      <c r="D69" s="16" t="inlineStr">
        <is>
          <t>SR</t>
        </is>
      </c>
      <c r="E69" s="16" t="inlineStr">
        <is>
          <t>09:48:32</t>
        </is>
      </c>
      <c r="F69" s="16" t="inlineStr">
        <is>
          <t>09:49:50</t>
        </is>
      </c>
      <c r="G69" s="16" t="n">
        <v>78</v>
      </c>
      <c r="H69" s="16" t="n">
        <v>45</v>
      </c>
      <c r="I69" s="35" t="n">
        <v>479.74</v>
      </c>
      <c r="J69" s="16" t="inlineStr">
        <is>
          <t>BAREJADI NANDEJ</t>
        </is>
      </c>
      <c r="K69" s="16" t="inlineStr">
        <is>
          <t>N</t>
        </is>
      </c>
      <c r="L69" s="16" t="inlineStr">
        <is>
          <t>Valid</t>
        </is>
      </c>
      <c r="M69" s="16" t="inlineStr"/>
    </row>
    <row r="70">
      <c r="A70" s="16" t="inlineStr">
        <is>
          <t>30 Jun</t>
        </is>
      </c>
      <c r="B70" s="16" t="inlineStr">
        <is>
          <t>39258</t>
        </is>
      </c>
      <c r="C70" s="16" t="inlineStr">
        <is>
          <t>FS</t>
        </is>
      </c>
      <c r="D70" s="16" t="inlineStr">
        <is>
          <t>SR</t>
        </is>
      </c>
      <c r="E70" s="16" t="inlineStr">
        <is>
          <t>11:07:58</t>
        </is>
      </c>
      <c r="F70" s="16" t="inlineStr">
        <is>
          <t>11:11:02</t>
        </is>
      </c>
      <c r="G70" s="16" t="n">
        <v>184</v>
      </c>
      <c r="H70" s="16" t="n">
        <v>165</v>
      </c>
      <c r="I70" s="35" t="n">
        <v>401.99</v>
      </c>
      <c r="J70" s="16" t="inlineStr">
        <is>
          <t>BAJWA</t>
        </is>
      </c>
      <c r="K70" s="16" t="inlineStr">
        <is>
          <t>R</t>
        </is>
      </c>
      <c r="L70" s="16" t="inlineStr">
        <is>
          <t>Valid</t>
        </is>
      </c>
      <c r="M70" s="16" t="inlineStr"/>
    </row>
    <row r="71">
      <c r="A71" s="16" t="inlineStr">
        <is>
          <t>30 Jun</t>
        </is>
      </c>
      <c r="B71" s="16" t="inlineStr">
        <is>
          <t>39258</t>
        </is>
      </c>
      <c r="C71" s="16" t="inlineStr">
        <is>
          <t>FS</t>
        </is>
      </c>
      <c r="D71" s="16" t="inlineStr">
        <is>
          <t>LS</t>
        </is>
      </c>
      <c r="E71" s="16" t="inlineStr">
        <is>
          <t>12:14:40</t>
        </is>
      </c>
      <c r="F71" s="16" t="inlineStr">
        <is>
          <t>12:15:32</t>
        </is>
      </c>
      <c r="G71" s="16" t="n">
        <v>52</v>
      </c>
      <c r="H71" s="16" t="n">
        <v>28</v>
      </c>
      <c r="I71" s="35" t="n">
        <v>478</v>
      </c>
      <c r="J71" s="16" t="inlineStr">
        <is>
          <t>BAREJADI NANDEJ</t>
        </is>
      </c>
      <c r="K71" s="16" t="inlineStr">
        <is>
          <t>N</t>
        </is>
      </c>
      <c r="L71" s="16" t="inlineStr">
        <is>
          <t>Valid</t>
        </is>
      </c>
      <c r="M71" s="16" t="inlineStr"/>
    </row>
    <row r="72">
      <c r="A72" s="16" t="inlineStr">
        <is>
          <t>30 Jun</t>
        </is>
      </c>
      <c r="B72" s="16" t="inlineStr">
        <is>
          <t>39258</t>
        </is>
      </c>
      <c r="C72" s="16" t="inlineStr">
        <is>
          <t>LS</t>
        </is>
      </c>
      <c r="D72" s="16" t="inlineStr">
        <is>
          <t>SR</t>
        </is>
      </c>
      <c r="E72" s="16" t="inlineStr">
        <is>
          <t>12:15:34</t>
        </is>
      </c>
      <c r="F72" s="16" t="inlineStr">
        <is>
          <t>12:16:52</t>
        </is>
      </c>
      <c r="G72" s="16" t="n">
        <v>78</v>
      </c>
      <c r="H72" s="16" t="n">
        <v>45</v>
      </c>
      <c r="I72" s="35" t="n">
        <v>479.75</v>
      </c>
      <c r="J72" s="16" t="inlineStr">
        <is>
          <t>BAREJADI NANDEJ</t>
        </is>
      </c>
      <c r="K72" s="16" t="inlineStr">
        <is>
          <t>N</t>
        </is>
      </c>
      <c r="L72" s="16" t="inlineStr">
        <is>
          <t>Valid</t>
        </is>
      </c>
      <c r="M72" s="16" t="inlineStr"/>
    </row>
    <row r="73">
      <c r="A73" s="16" t="inlineStr">
        <is>
          <t>30 Jun</t>
        </is>
      </c>
      <c r="B73" s="16" t="inlineStr">
        <is>
          <t>37812</t>
        </is>
      </c>
      <c r="C73" s="16" t="inlineStr">
        <is>
          <t>FS</t>
        </is>
      </c>
      <c r="D73" s="16" t="inlineStr">
        <is>
          <t>LS</t>
        </is>
      </c>
      <c r="E73" s="16" t="inlineStr">
        <is>
          <t>12:24:14</t>
        </is>
      </c>
      <c r="F73" s="16" t="inlineStr">
        <is>
          <t>12:24:58</t>
        </is>
      </c>
      <c r="G73" s="16" t="n">
        <v>44</v>
      </c>
      <c r="H73" s="16" t="n">
        <v>22</v>
      </c>
      <c r="I73" s="35" t="n">
        <v>478.1</v>
      </c>
      <c r="J73" s="16" t="inlineStr">
        <is>
          <t>BAREJADI NANDEJ</t>
        </is>
      </c>
      <c r="K73" s="16" t="inlineStr">
        <is>
          <t>N</t>
        </is>
      </c>
      <c r="L73" s="16" t="inlineStr">
        <is>
          <t>Valid</t>
        </is>
      </c>
      <c r="M73" s="16" t="inlineStr"/>
    </row>
    <row r="74">
      <c r="A74" s="16" t="inlineStr">
        <is>
          <t>30 Jun</t>
        </is>
      </c>
      <c r="B74" s="16" t="inlineStr">
        <is>
          <t>37812</t>
        </is>
      </c>
      <c r="C74" s="16" t="inlineStr">
        <is>
          <t>LS</t>
        </is>
      </c>
      <c r="D74" s="16" t="inlineStr">
        <is>
          <t>SR</t>
        </is>
      </c>
      <c r="E74" s="16" t="inlineStr">
        <is>
          <t>12:25:00</t>
        </is>
      </c>
      <c r="F74" s="16" t="inlineStr">
        <is>
          <t>12:26:08</t>
        </is>
      </c>
      <c r="G74" s="16" t="n">
        <v>68</v>
      </c>
      <c r="H74" s="16" t="n">
        <v>40</v>
      </c>
      <c r="I74" s="35" t="n">
        <v>479.75</v>
      </c>
      <c r="J74" s="16" t="inlineStr">
        <is>
          <t>BAREJADI NANDEJ</t>
        </is>
      </c>
      <c r="K74" s="16" t="inlineStr">
        <is>
          <t>N</t>
        </is>
      </c>
      <c r="L74" s="16" t="inlineStr">
        <is>
          <t>Valid</t>
        </is>
      </c>
      <c r="M74" s="16" t="inlineStr"/>
    </row>
    <row r="75">
      <c r="A75" s="16" t="inlineStr">
        <is>
          <t>30 Jun</t>
        </is>
      </c>
      <c r="B75" s="16" t="inlineStr">
        <is>
          <t>39248</t>
        </is>
      </c>
      <c r="C75" s="16" t="inlineStr">
        <is>
          <t>OS</t>
        </is>
      </c>
      <c r="D75" s="16" t="inlineStr">
        <is>
          <t>SR</t>
        </is>
      </c>
      <c r="E75" s="16" t="inlineStr">
        <is>
          <t>12:27:14</t>
        </is>
      </c>
      <c r="F75" s="16" t="inlineStr">
        <is>
          <t>12:27:54</t>
        </is>
      </c>
      <c r="G75" s="16" t="n">
        <v>40</v>
      </c>
      <c r="H75" s="16" t="n">
        <v>16</v>
      </c>
      <c r="I75" s="35" t="n">
        <v>402.25</v>
      </c>
      <c r="J75" s="16" t="inlineStr">
        <is>
          <t>BAJWA</t>
        </is>
      </c>
      <c r="K75" s="16" t="inlineStr">
        <is>
          <t>N</t>
        </is>
      </c>
      <c r="L75" s="16" t="inlineStr">
        <is>
          <t>Valid</t>
        </is>
      </c>
      <c r="M75" s="16" t="inlineStr"/>
    </row>
    <row r="76">
      <c r="A76" s="16" t="inlineStr">
        <is>
          <t>30 Jun</t>
        </is>
      </c>
      <c r="B76" s="16" t="inlineStr">
        <is>
          <t>39248</t>
        </is>
      </c>
      <c r="C76" s="16" t="inlineStr">
        <is>
          <t>FS</t>
        </is>
      </c>
      <c r="D76" s="16" t="inlineStr">
        <is>
          <t>LS</t>
        </is>
      </c>
      <c r="E76" s="16" t="inlineStr">
        <is>
          <t>12:31:02</t>
        </is>
      </c>
      <c r="F76" s="16" t="inlineStr">
        <is>
          <t>12:31:40</t>
        </is>
      </c>
      <c r="G76" s="16" t="n">
        <v>38</v>
      </c>
      <c r="H76" s="16" t="n">
        <v>22</v>
      </c>
      <c r="I76" s="35" t="n">
        <v>405.24</v>
      </c>
      <c r="J76" s="16" t="inlineStr">
        <is>
          <t>BAJWA</t>
        </is>
      </c>
      <c r="K76" s="16" t="inlineStr">
        <is>
          <t>N</t>
        </is>
      </c>
      <c r="L76" s="16" t="inlineStr">
        <is>
          <t>Valid</t>
        </is>
      </c>
      <c r="M76" s="16" t="inlineStr"/>
    </row>
    <row r="77">
      <c r="A77" s="16" t="inlineStr">
        <is>
          <t>30 Jun</t>
        </is>
      </c>
      <c r="B77" s="16" t="inlineStr">
        <is>
          <t>39248</t>
        </is>
      </c>
      <c r="C77" s="16" t="inlineStr">
        <is>
          <t>LS</t>
        </is>
      </c>
      <c r="D77" s="16" t="inlineStr">
        <is>
          <t>SR</t>
        </is>
      </c>
      <c r="E77" s="16" t="inlineStr">
        <is>
          <t>12:31:42</t>
        </is>
      </c>
      <c r="F77" s="16" t="inlineStr">
        <is>
          <t>12:31:42</t>
        </is>
      </c>
      <c r="G77" s="16" t="n">
        <v>0</v>
      </c>
      <c r="H77" s="16" t="n">
        <v>2</v>
      </c>
      <c r="I77" s="35" t="n">
        <v>406.15</v>
      </c>
      <c r="J77" s="16" t="inlineStr">
        <is>
          <t>BAJWA</t>
        </is>
      </c>
      <c r="K77" s="16" t="inlineStr">
        <is>
          <t>N</t>
        </is>
      </c>
      <c r="L77" s="16" t="inlineStr">
        <is>
          <t>Valid</t>
        </is>
      </c>
      <c r="M77" s="16" t="inlineStr"/>
    </row>
    <row r="78">
      <c r="A78" s="16" t="inlineStr">
        <is>
          <t>30 Jun</t>
        </is>
      </c>
      <c r="B78" s="16" t="inlineStr">
        <is>
          <t>39248</t>
        </is>
      </c>
      <c r="C78" s="16" t="inlineStr">
        <is>
          <t>FS</t>
        </is>
      </c>
      <c r="D78" s="16" t="inlineStr">
        <is>
          <t>LS</t>
        </is>
      </c>
      <c r="E78" s="16" t="inlineStr">
        <is>
          <t>13:29:58</t>
        </is>
      </c>
      <c r="F78" s="16" t="inlineStr">
        <is>
          <t>13:30:54</t>
        </is>
      </c>
      <c r="G78" s="16" t="n">
        <v>56</v>
      </c>
      <c r="H78" s="16" t="n">
        <v>30</v>
      </c>
      <c r="I78" s="35" t="n">
        <v>477.95</v>
      </c>
      <c r="J78" s="16" t="inlineStr">
        <is>
          <t>BAREJADI NANDEJ</t>
        </is>
      </c>
      <c r="K78" s="16" t="inlineStr">
        <is>
          <t>N</t>
        </is>
      </c>
      <c r="L78" s="16" t="inlineStr">
        <is>
          <t>Valid</t>
        </is>
      </c>
      <c r="M78" s="16" t="inlineStr"/>
    </row>
    <row r="79">
      <c r="A79" s="16" t="inlineStr">
        <is>
          <t>30 Jun</t>
        </is>
      </c>
      <c r="B79" s="16" t="inlineStr">
        <is>
          <t>39248</t>
        </is>
      </c>
      <c r="C79" s="16" t="inlineStr">
        <is>
          <t>LS</t>
        </is>
      </c>
      <c r="D79" s="16" t="inlineStr">
        <is>
          <t>SR</t>
        </is>
      </c>
      <c r="E79" s="16" t="inlineStr">
        <is>
          <t>13:30:56</t>
        </is>
      </c>
      <c r="F79" s="16" t="inlineStr">
        <is>
          <t>13:32:18</t>
        </is>
      </c>
      <c r="G79" s="16" t="n">
        <v>82</v>
      </c>
      <c r="H79" s="16" t="n">
        <v>49</v>
      </c>
      <c r="I79" s="35" t="n">
        <v>479.72</v>
      </c>
      <c r="J79" s="16" t="inlineStr">
        <is>
          <t>BAREJADI NANDEJ</t>
        </is>
      </c>
      <c r="K79" s="16" t="inlineStr">
        <is>
          <t>N</t>
        </is>
      </c>
      <c r="L79" s="16" t="inlineStr">
        <is>
          <t>Valid</t>
        </is>
      </c>
      <c r="M79" s="16" t="inlineStr"/>
    </row>
    <row r="80">
      <c r="A80" s="16" t="inlineStr">
        <is>
          <t>30 Jun</t>
        </is>
      </c>
      <c r="B80" s="16" t="inlineStr">
        <is>
          <t>41529</t>
        </is>
      </c>
      <c r="C80" s="16" t="inlineStr">
        <is>
          <t>OS</t>
        </is>
      </c>
      <c r="D80" s="16" t="inlineStr">
        <is>
          <t>SR</t>
        </is>
      </c>
      <c r="E80" s="16" t="inlineStr">
        <is>
          <t>14:12:16</t>
        </is>
      </c>
      <c r="F80" s="16" t="inlineStr">
        <is>
          <t>14:12:16</t>
        </is>
      </c>
      <c r="G80" s="16" t="n">
        <v>0</v>
      </c>
      <c r="H80" s="16" t="n">
        <v>1</v>
      </c>
      <c r="I80" s="35" t="n">
        <v>491.5</v>
      </c>
      <c r="J80" s="16" t="inlineStr">
        <is>
          <t>KANKARIYA CABIN</t>
        </is>
      </c>
      <c r="K80" s="16" t="inlineStr">
        <is>
          <t>R</t>
        </is>
      </c>
      <c r="L80" s="16" t="inlineStr">
        <is>
          <t>Valid</t>
        </is>
      </c>
      <c r="M80" s="16" t="inlineStr"/>
    </row>
    <row r="81">
      <c r="A81" s="16" t="inlineStr">
        <is>
          <t>30 Jun</t>
        </is>
      </c>
      <c r="B81" s="16" t="inlineStr">
        <is>
          <t>41529</t>
        </is>
      </c>
      <c r="C81" s="16" t="inlineStr">
        <is>
          <t>FS</t>
        </is>
      </c>
      <c r="D81" s="16" t="inlineStr">
        <is>
          <t>SR</t>
        </is>
      </c>
      <c r="E81" s="16" t="inlineStr">
        <is>
          <t>14:27:26</t>
        </is>
      </c>
      <c r="F81" s="16" t="inlineStr">
        <is>
          <t>14:37:02</t>
        </is>
      </c>
      <c r="G81" s="16" t="n">
        <v>576</v>
      </c>
      <c r="H81" s="16" t="n">
        <v>308</v>
      </c>
      <c r="I81" s="35" t="n">
        <v>479.05</v>
      </c>
      <c r="J81" s="16" t="inlineStr">
        <is>
          <t>BAREJADI NANDEJ</t>
        </is>
      </c>
      <c r="K81" s="16" t="inlineStr">
        <is>
          <t>R</t>
        </is>
      </c>
      <c r="L81" s="16" t="inlineStr">
        <is>
          <t>Valid</t>
        </is>
      </c>
      <c r="M81" s="16" t="inlineStr"/>
    </row>
    <row r="82">
      <c r="A82" s="16" t="inlineStr">
        <is>
          <t>30 Jun</t>
        </is>
      </c>
      <c r="B82" s="16" t="inlineStr">
        <is>
          <t>41529</t>
        </is>
      </c>
      <c r="C82" s="16" t="inlineStr">
        <is>
          <t>OS</t>
        </is>
      </c>
      <c r="D82" s="16" t="inlineStr">
        <is>
          <t>SR</t>
        </is>
      </c>
      <c r="E82" s="16" t="inlineStr">
        <is>
          <t>14:37:04</t>
        </is>
      </c>
      <c r="F82" s="16" t="inlineStr">
        <is>
          <t>14:37:04</t>
        </is>
      </c>
      <c r="G82" s="16" t="n">
        <v>0</v>
      </c>
      <c r="H82" s="16" t="n">
        <v>1</v>
      </c>
      <c r="I82" s="35" t="n">
        <v>474.9</v>
      </c>
      <c r="J82" s="16" t="inlineStr">
        <is>
          <t>KANIJ</t>
        </is>
      </c>
      <c r="K82" s="16" t="inlineStr">
        <is>
          <t>R</t>
        </is>
      </c>
      <c r="L82" s="16" t="inlineStr">
        <is>
          <t>Valid</t>
        </is>
      </c>
      <c r="M82" s="16" t="inlineStr"/>
    </row>
    <row r="83">
      <c r="A83" s="16" t="inlineStr">
        <is>
          <t>30 Jun</t>
        </is>
      </c>
      <c r="B83" s="16" t="inlineStr">
        <is>
          <t>39287</t>
        </is>
      </c>
      <c r="C83" s="16" t="inlineStr">
        <is>
          <t>FS</t>
        </is>
      </c>
      <c r="D83" s="16" t="inlineStr">
        <is>
          <t>SR</t>
        </is>
      </c>
      <c r="E83" s="16" t="inlineStr">
        <is>
          <t>15:18:34</t>
        </is>
      </c>
      <c r="F83" s="16" t="inlineStr">
        <is>
          <t>15:18:36</t>
        </is>
      </c>
      <c r="G83" s="16" t="n">
        <v>2</v>
      </c>
      <c r="H83" s="16" t="n">
        <v>2</v>
      </c>
      <c r="I83" s="35" t="n">
        <v>493.27</v>
      </c>
      <c r="J83" s="16" t="inlineStr">
        <is>
          <t>KANKARIYA CABIN</t>
        </is>
      </c>
      <c r="K83" s="16" t="inlineStr">
        <is>
          <t>R</t>
        </is>
      </c>
      <c r="L83" s="16" t="inlineStr">
        <is>
          <t>Valid</t>
        </is>
      </c>
      <c r="M83" s="16" t="inlineStr"/>
    </row>
    <row r="84">
      <c r="A84" s="16" t="inlineStr">
        <is>
          <t>30 Jun</t>
        </is>
      </c>
      <c r="B84" s="16" t="inlineStr">
        <is>
          <t>39287</t>
        </is>
      </c>
      <c r="C84" s="16" t="inlineStr">
        <is>
          <t>FS</t>
        </is>
      </c>
      <c r="D84" s="16" t="inlineStr">
        <is>
          <t>LS</t>
        </is>
      </c>
      <c r="E84" s="16" t="inlineStr">
        <is>
          <t>15:28:32</t>
        </is>
      </c>
      <c r="F84" s="16" t="inlineStr">
        <is>
          <t>15:28:54</t>
        </is>
      </c>
      <c r="G84" s="16" t="n">
        <v>22</v>
      </c>
      <c r="H84" s="16" t="n">
        <v>13</v>
      </c>
      <c r="I84" s="35" t="n">
        <v>478</v>
      </c>
      <c r="J84" s="16" t="inlineStr">
        <is>
          <t>BAREJADI NANDEJ</t>
        </is>
      </c>
      <c r="K84" s="16" t="inlineStr">
        <is>
          <t>R</t>
        </is>
      </c>
      <c r="L84" s="16" t="inlineStr">
        <is>
          <t>Valid</t>
        </is>
      </c>
      <c r="M84" s="16" t="inlineStr"/>
    </row>
    <row r="85">
      <c r="A85" s="16" t="inlineStr">
        <is>
          <t>30 Jun</t>
        </is>
      </c>
      <c r="B85" s="16" t="inlineStr">
        <is>
          <t>39287</t>
        </is>
      </c>
      <c r="C85" s="16" t="inlineStr">
        <is>
          <t>LS</t>
        </is>
      </c>
      <c r="D85" s="16" t="inlineStr">
        <is>
          <t>SR</t>
        </is>
      </c>
      <c r="E85" s="16" t="inlineStr">
        <is>
          <t>15:28:56</t>
        </is>
      </c>
      <c r="F85" s="16" t="inlineStr">
        <is>
          <t>15:30:00</t>
        </is>
      </c>
      <c r="G85" s="16" t="n">
        <v>64</v>
      </c>
      <c r="H85" s="16" t="n">
        <v>40</v>
      </c>
      <c r="I85" s="35" t="n">
        <v>477.17</v>
      </c>
      <c r="J85" s="16" t="inlineStr">
        <is>
          <t>BAREJADI NANDEJ</t>
        </is>
      </c>
      <c r="K85" s="16" t="inlineStr">
        <is>
          <t>R</t>
        </is>
      </c>
      <c r="L85" s="16" t="inlineStr">
        <is>
          <t>Valid</t>
        </is>
      </c>
      <c r="M85" s="16" t="inlineStr"/>
    </row>
    <row r="86">
      <c r="A86" s="16" t="inlineStr">
        <is>
          <t>30 Jun</t>
        </is>
      </c>
      <c r="B86" s="16" t="inlineStr">
        <is>
          <t>39287</t>
        </is>
      </c>
      <c r="C86" s="16" t="inlineStr">
        <is>
          <t>OS</t>
        </is>
      </c>
      <c r="D86" s="16" t="inlineStr">
        <is>
          <t>SR</t>
        </is>
      </c>
      <c r="E86" s="16" t="inlineStr">
        <is>
          <t>15:30:02</t>
        </is>
      </c>
      <c r="F86" s="16" t="inlineStr">
        <is>
          <t>15:30:02</t>
        </is>
      </c>
      <c r="G86" s="16" t="n">
        <v>0</v>
      </c>
      <c r="H86" s="16" t="n">
        <v>1</v>
      </c>
      <c r="I86" s="35" t="n">
        <v>474.87</v>
      </c>
      <c r="J86" s="16" t="inlineStr">
        <is>
          <t>KANIJ</t>
        </is>
      </c>
      <c r="K86" s="16" t="inlineStr">
        <is>
          <t>R</t>
        </is>
      </c>
      <c r="L86" s="16" t="inlineStr">
        <is>
          <t>Valid</t>
        </is>
      </c>
      <c r="M86" s="16" t="inlineStr"/>
    </row>
    <row r="87">
      <c r="A87" s="16" t="inlineStr">
        <is>
          <t>30 Jun</t>
        </is>
      </c>
      <c r="B87" s="16" t="inlineStr">
        <is>
          <t>37303</t>
        </is>
      </c>
      <c r="C87" s="16" t="inlineStr">
        <is>
          <t>FS</t>
        </is>
      </c>
      <c r="D87" s="16" t="inlineStr">
        <is>
          <t>LS</t>
        </is>
      </c>
      <c r="E87" s="16" t="inlineStr">
        <is>
          <t>15:53:12</t>
        </is>
      </c>
      <c r="F87" s="16" t="inlineStr">
        <is>
          <t>15:53:38</t>
        </is>
      </c>
      <c r="G87" s="16" t="n">
        <v>26</v>
      </c>
      <c r="H87" s="16" t="n">
        <v>15</v>
      </c>
      <c r="I87" s="35" t="n">
        <v>478.03</v>
      </c>
      <c r="J87" s="16" t="inlineStr">
        <is>
          <t>BAREJADI NANDEJ</t>
        </is>
      </c>
      <c r="K87" s="16" t="inlineStr">
        <is>
          <t>R</t>
        </is>
      </c>
      <c r="L87" s="16" t="inlineStr">
        <is>
          <t>Valid</t>
        </is>
      </c>
      <c r="M87" s="16" t="inlineStr"/>
    </row>
    <row r="88">
      <c r="A88" s="16" t="inlineStr">
        <is>
          <t>30 Jun</t>
        </is>
      </c>
      <c r="B88" s="16" t="inlineStr">
        <is>
          <t>37303</t>
        </is>
      </c>
      <c r="C88" s="16" t="inlineStr">
        <is>
          <t>LS</t>
        </is>
      </c>
      <c r="D88" s="16" t="inlineStr">
        <is>
          <t>SR</t>
        </is>
      </c>
      <c r="E88" s="16" t="inlineStr">
        <is>
          <t>15:53:40</t>
        </is>
      </c>
      <c r="F88" s="16" t="inlineStr">
        <is>
          <t>15:54:56</t>
        </is>
      </c>
      <c r="G88" s="16" t="n">
        <v>76</v>
      </c>
      <c r="H88" s="16" t="n">
        <v>48</v>
      </c>
      <c r="I88" s="35" t="n">
        <v>477.18</v>
      </c>
      <c r="J88" s="16" t="inlineStr">
        <is>
          <t>BAREJADI NANDEJ</t>
        </is>
      </c>
      <c r="K88" s="16" t="inlineStr">
        <is>
          <t>R</t>
        </is>
      </c>
      <c r="L88" s="16" t="inlineStr">
        <is>
          <t>Valid</t>
        </is>
      </c>
      <c r="M88" s="16" t="inlineStr"/>
    </row>
    <row r="89">
      <c r="A89" s="16" t="inlineStr">
        <is>
          <t>30 Jun</t>
        </is>
      </c>
      <c r="B89" s="16" t="inlineStr">
        <is>
          <t>37303</t>
        </is>
      </c>
      <c r="C89" s="16" t="inlineStr">
        <is>
          <t>OS</t>
        </is>
      </c>
      <c r="D89" s="16" t="inlineStr">
        <is>
          <t>SR</t>
        </is>
      </c>
      <c r="E89" s="16" t="inlineStr">
        <is>
          <t>15:54:58</t>
        </is>
      </c>
      <c r="F89" s="16" t="inlineStr">
        <is>
          <t>15:54:58</t>
        </is>
      </c>
      <c r="G89" s="16" t="n">
        <v>0</v>
      </c>
      <c r="H89" s="16" t="n">
        <v>1</v>
      </c>
      <c r="I89" s="35" t="n">
        <v>474.85</v>
      </c>
      <c r="J89" s="16" t="inlineStr">
        <is>
          <t>KANIJ</t>
        </is>
      </c>
      <c r="K89" s="16" t="inlineStr">
        <is>
          <t>R</t>
        </is>
      </c>
      <c r="L89" s="16" t="inlineStr">
        <is>
          <t>Valid</t>
        </is>
      </c>
      <c r="M89" s="16" t="inlineStr"/>
    </row>
    <row r="90">
      <c r="A90" s="16" t="inlineStr">
        <is>
          <t>30 Jun</t>
        </is>
      </c>
      <c r="B90" s="16" t="inlineStr">
        <is>
          <t>39259</t>
        </is>
      </c>
      <c r="C90" s="16" t="inlineStr">
        <is>
          <t>FS</t>
        </is>
      </c>
      <c r="D90" s="16" t="inlineStr">
        <is>
          <t>SR</t>
        </is>
      </c>
      <c r="E90" s="16" t="inlineStr">
        <is>
          <t>15:55:48</t>
        </is>
      </c>
      <c r="F90" s="16" t="inlineStr">
        <is>
          <t>15:55:50</t>
        </is>
      </c>
      <c r="G90" s="16" t="n">
        <v>2</v>
      </c>
      <c r="H90" s="16" t="n">
        <v>3</v>
      </c>
      <c r="I90" s="35" t="n">
        <v>403.43</v>
      </c>
      <c r="J90" s="16" t="inlineStr">
        <is>
          <t>BAJWA</t>
        </is>
      </c>
      <c r="K90" s="16" t="inlineStr">
        <is>
          <t>N</t>
        </is>
      </c>
      <c r="L90" s="16" t="inlineStr">
        <is>
          <t>Valid</t>
        </is>
      </c>
      <c r="M90" s="16" t="inlineStr"/>
    </row>
    <row r="91">
      <c r="A91" s="16" t="inlineStr">
        <is>
          <t>30 Jun</t>
        </is>
      </c>
      <c r="B91" s="16" t="inlineStr">
        <is>
          <t>39287</t>
        </is>
      </c>
      <c r="C91" s="16" t="inlineStr">
        <is>
          <t>FS</t>
        </is>
      </c>
      <c r="D91" s="16" t="inlineStr">
        <is>
          <t>SR</t>
        </is>
      </c>
      <c r="E91" s="16" t="inlineStr">
        <is>
          <t>16:26:52</t>
        </is>
      </c>
      <c r="F91" s="16" t="inlineStr">
        <is>
          <t>16:54:38</t>
        </is>
      </c>
      <c r="G91" s="16" t="n">
        <v>1666</v>
      </c>
      <c r="H91" s="16" t="n">
        <v>846</v>
      </c>
      <c r="I91" s="35" t="n">
        <v>403.44</v>
      </c>
      <c r="J91" s="16" t="inlineStr">
        <is>
          <t>BAJWA</t>
        </is>
      </c>
      <c r="K91" s="16" t="inlineStr">
        <is>
          <t>R</t>
        </is>
      </c>
      <c r="L91" s="16" t="inlineStr">
        <is>
          <t>Valid</t>
        </is>
      </c>
      <c r="M91" s="16" t="inlineStr"/>
    </row>
    <row r="92">
      <c r="A92" s="16" t="inlineStr">
        <is>
          <t>30 Jun</t>
        </is>
      </c>
      <c r="B92" s="16" t="inlineStr">
        <is>
          <t>39259</t>
        </is>
      </c>
      <c r="C92" s="16" t="inlineStr">
        <is>
          <t>FS</t>
        </is>
      </c>
      <c r="D92" s="16" t="inlineStr">
        <is>
          <t>LS</t>
        </is>
      </c>
      <c r="E92" s="16" t="inlineStr">
        <is>
          <t>16:55:24</t>
        </is>
      </c>
      <c r="F92" s="16" t="inlineStr">
        <is>
          <t>16:55:42</t>
        </is>
      </c>
      <c r="G92" s="16" t="n">
        <v>18</v>
      </c>
      <c r="H92" s="16" t="n">
        <v>11</v>
      </c>
      <c r="I92" s="35" t="n">
        <v>478.02</v>
      </c>
      <c r="J92" s="16" t="inlineStr">
        <is>
          <t>BAREJADI NANDEJ</t>
        </is>
      </c>
      <c r="K92" s="16" t="inlineStr">
        <is>
          <t>N</t>
        </is>
      </c>
      <c r="L92" s="16" t="inlineStr">
        <is>
          <t>Valid</t>
        </is>
      </c>
      <c r="M92" s="16" t="inlineStr"/>
    </row>
    <row r="93">
      <c r="A93" s="16" t="inlineStr">
        <is>
          <t>30 Jun</t>
        </is>
      </c>
      <c r="B93" s="16" t="inlineStr">
        <is>
          <t>39259</t>
        </is>
      </c>
      <c r="C93" s="16" t="inlineStr">
        <is>
          <t>LS</t>
        </is>
      </c>
      <c r="D93" s="16" t="inlineStr">
        <is>
          <t>SR</t>
        </is>
      </c>
      <c r="E93" s="16" t="inlineStr">
        <is>
          <t>16:55:44</t>
        </is>
      </c>
      <c r="F93" s="16" t="inlineStr">
        <is>
          <t>16:57:58</t>
        </is>
      </c>
      <c r="G93" s="16" t="n">
        <v>134</v>
      </c>
      <c r="H93" s="16" t="n">
        <v>75</v>
      </c>
      <c r="I93" s="35" t="n">
        <v>478.72</v>
      </c>
      <c r="J93" s="16" t="inlineStr">
        <is>
          <t>BAREJADI NANDEJ</t>
        </is>
      </c>
      <c r="K93" s="16" t="inlineStr">
        <is>
          <t>N</t>
        </is>
      </c>
      <c r="L93" s="16" t="inlineStr">
        <is>
          <t>Valid</t>
        </is>
      </c>
      <c r="M93" s="16" t="inlineStr"/>
    </row>
    <row r="94">
      <c r="A94" s="16" t="inlineStr">
        <is>
          <t>30 Jun</t>
        </is>
      </c>
      <c r="B94" s="16" t="inlineStr">
        <is>
          <t>37303</t>
        </is>
      </c>
      <c r="C94" s="16" t="inlineStr">
        <is>
          <t>FS</t>
        </is>
      </c>
      <c r="D94" s="16" t="inlineStr">
        <is>
          <t>SR</t>
        </is>
      </c>
      <c r="E94" s="16" t="inlineStr">
        <is>
          <t>17:13:14</t>
        </is>
      </c>
      <c r="F94" s="16" t="inlineStr">
        <is>
          <t>18:04:58</t>
        </is>
      </c>
      <c r="G94" s="16" t="n">
        <v>3104</v>
      </c>
      <c r="H94" s="16" t="n">
        <v>1644</v>
      </c>
      <c r="I94" s="35" t="n">
        <v>403.11</v>
      </c>
      <c r="J94" s="16" t="inlineStr">
        <is>
          <t>BAJWA</t>
        </is>
      </c>
      <c r="K94" s="16" t="inlineStr">
        <is>
          <t>R</t>
        </is>
      </c>
      <c r="L94" s="16" t="inlineStr">
        <is>
          <t>Valid</t>
        </is>
      </c>
      <c r="M94" s="16" t="inlineStr"/>
    </row>
    <row r="95">
      <c r="A95" s="16" t="inlineStr">
        <is>
          <t>30 Jun</t>
        </is>
      </c>
      <c r="B95" s="16" t="inlineStr">
        <is>
          <t>39015</t>
        </is>
      </c>
      <c r="C95" s="16" t="inlineStr">
        <is>
          <t>StandBy</t>
        </is>
      </c>
      <c r="D95" s="16" t="inlineStr">
        <is>
          <t>SR</t>
        </is>
      </c>
      <c r="E95" s="16" t="inlineStr">
        <is>
          <t>19:36:28</t>
        </is>
      </c>
      <c r="F95" s="16" t="inlineStr">
        <is>
          <t>19:36:52</t>
        </is>
      </c>
      <c r="G95" s="16" t="n">
        <v>24</v>
      </c>
      <c r="H95" s="16" t="n">
        <v>22</v>
      </c>
      <c r="I95" s="35" t="n">
        <v>494.96</v>
      </c>
      <c r="J95" s="16" t="inlineStr">
        <is>
          <t>AHMEDABAD Jn</t>
        </is>
      </c>
      <c r="K95" s="16" t="inlineStr">
        <is>
          <t>R</t>
        </is>
      </c>
      <c r="L95" s="16" t="inlineStr">
        <is>
          <t>Valid</t>
        </is>
      </c>
      <c r="M95" s="16" t="inlineStr"/>
    </row>
    <row r="96">
      <c r="A96" s="16" t="inlineStr">
        <is>
          <t>30 Jun</t>
        </is>
      </c>
      <c r="B96" s="16" t="inlineStr">
        <is>
          <t>39015</t>
        </is>
      </c>
      <c r="C96" s="16" t="inlineStr">
        <is>
          <t>FS</t>
        </is>
      </c>
      <c r="D96" s="16" t="inlineStr">
        <is>
          <t>LS</t>
        </is>
      </c>
      <c r="E96" s="16" t="inlineStr">
        <is>
          <t>19:47:52</t>
        </is>
      </c>
      <c r="F96" s="16" t="inlineStr">
        <is>
          <t>19:48:24</t>
        </is>
      </c>
      <c r="G96" s="16" t="n">
        <v>32</v>
      </c>
      <c r="H96" s="16" t="n">
        <v>23</v>
      </c>
      <c r="I96" s="35" t="n">
        <v>490.14</v>
      </c>
      <c r="J96" s="16" t="inlineStr">
        <is>
          <t>VATVA</t>
        </is>
      </c>
      <c r="K96" s="16" t="inlineStr">
        <is>
          <t>R</t>
        </is>
      </c>
      <c r="L96" s="16" t="inlineStr">
        <is>
          <t>Valid</t>
        </is>
      </c>
      <c r="M96" s="16" t="inlineStr"/>
    </row>
    <row r="97">
      <c r="A97" s="16" t="inlineStr">
        <is>
          <t>30 Jun</t>
        </is>
      </c>
      <c r="B97" s="16" t="inlineStr">
        <is>
          <t>39015</t>
        </is>
      </c>
      <c r="C97" s="16" t="inlineStr">
        <is>
          <t>OS</t>
        </is>
      </c>
      <c r="D97" s="16" t="inlineStr">
        <is>
          <t>SR</t>
        </is>
      </c>
      <c r="E97" s="16" t="inlineStr">
        <is>
          <t>19:48:28</t>
        </is>
      </c>
      <c r="F97" s="16" t="inlineStr">
        <is>
          <t>19:48:30</t>
        </is>
      </c>
      <c r="G97" s="16" t="n">
        <v>2</v>
      </c>
      <c r="H97" s="16" t="n">
        <v>3</v>
      </c>
      <c r="I97" s="35" t="n">
        <v>489.25</v>
      </c>
      <c r="J97" s="16" t="inlineStr">
        <is>
          <t>VATVA</t>
        </is>
      </c>
      <c r="K97" s="16" t="inlineStr">
        <is>
          <t>R</t>
        </is>
      </c>
      <c r="L97" s="16" t="inlineStr">
        <is>
          <t>Valid</t>
        </is>
      </c>
      <c r="M97" s="16" t="inlineStr"/>
    </row>
    <row r="98">
      <c r="A98" s="31" t="inlineStr">
        <is>
          <t>30 Jun</t>
        </is>
      </c>
      <c r="B98" s="31" t="inlineStr">
        <is>
          <t>43897</t>
        </is>
      </c>
      <c r="C98" s="31" t="inlineStr">
        <is>
          <t>FS</t>
        </is>
      </c>
      <c r="D98" s="31" t="inlineStr">
        <is>
          <t>LS</t>
        </is>
      </c>
      <c r="E98" s="31" t="inlineStr">
        <is>
          <t>19:50:50</t>
        </is>
      </c>
      <c r="F98" s="31" t="inlineStr">
        <is>
          <t>19:50:50</t>
        </is>
      </c>
      <c r="G98" s="31" t="n">
        <v>0</v>
      </c>
      <c r="H98" s="31" t="n">
        <v>1</v>
      </c>
      <c r="I98" s="32" t="n">
        <v>477.5</v>
      </c>
      <c r="J98" s="31" t="inlineStr">
        <is>
          <t>BAREJADI NANDEJ</t>
        </is>
      </c>
      <c r="K98" s="31" t="inlineStr">
        <is>
          <t>N</t>
        </is>
      </c>
      <c r="L98" s="31" t="inlineStr">
        <is>
          <t>Non-Valid</t>
        </is>
      </c>
      <c r="M98" s="16" t="inlineStr"/>
    </row>
    <row r="99">
      <c r="A99" s="31" t="inlineStr">
        <is>
          <t>30 Jun</t>
        </is>
      </c>
      <c r="B99" s="31" t="inlineStr">
        <is>
          <t>43897</t>
        </is>
      </c>
      <c r="C99" s="31" t="inlineStr">
        <is>
          <t>FS</t>
        </is>
      </c>
      <c r="D99" s="31" t="inlineStr">
        <is>
          <t>LS</t>
        </is>
      </c>
      <c r="E99" s="31" t="inlineStr">
        <is>
          <t>19:50:52</t>
        </is>
      </c>
      <c r="F99" s="31" t="inlineStr">
        <is>
          <t>19:57:26</t>
        </is>
      </c>
      <c r="G99" s="31" t="n">
        <v>394</v>
      </c>
      <c r="H99" s="31" t="n">
        <v>186</v>
      </c>
      <c r="I99" s="32" t="n">
        <v>477.51</v>
      </c>
      <c r="J99" s="31" t="inlineStr">
        <is>
          <t>BAREJADI NANDEJ</t>
        </is>
      </c>
      <c r="K99" s="31" t="inlineStr">
        <is>
          <t>N</t>
        </is>
      </c>
      <c r="L99" s="31" t="inlineStr">
        <is>
          <t>Non-Valid</t>
        </is>
      </c>
      <c r="M99" s="16" t="inlineStr"/>
    </row>
    <row r="100">
      <c r="A100" s="31" t="inlineStr">
        <is>
          <t>30 Jun</t>
        </is>
      </c>
      <c r="B100" s="31" t="inlineStr">
        <is>
          <t>43897</t>
        </is>
      </c>
      <c r="C100" s="31" t="inlineStr">
        <is>
          <t>LS</t>
        </is>
      </c>
      <c r="D100" s="31" t="inlineStr">
        <is>
          <t>SR</t>
        </is>
      </c>
      <c r="E100" s="31" t="inlineStr">
        <is>
          <t>19:57:28</t>
        </is>
      </c>
      <c r="F100" s="31" t="inlineStr">
        <is>
          <t>20:04:22</t>
        </is>
      </c>
      <c r="G100" s="31" t="n">
        <v>414</v>
      </c>
      <c r="H100" s="31" t="n">
        <v>199</v>
      </c>
      <c r="I100" s="32" t="n">
        <v>478.12</v>
      </c>
      <c r="J100" s="31" t="inlineStr">
        <is>
          <t>BAREJADI NANDEJ</t>
        </is>
      </c>
      <c r="K100" s="31" t="inlineStr">
        <is>
          <t>N</t>
        </is>
      </c>
      <c r="L100" s="31" t="inlineStr">
        <is>
          <t>Non-Valid</t>
        </is>
      </c>
      <c r="M100" s="16" t="inlineStr"/>
    </row>
    <row r="101">
      <c r="A101" s="16" t="inlineStr">
        <is>
          <t>30 Jun</t>
        </is>
      </c>
      <c r="B101" s="16" t="inlineStr">
        <is>
          <t>39015</t>
        </is>
      </c>
      <c r="C101" s="16" t="inlineStr">
        <is>
          <t>FS</t>
        </is>
      </c>
      <c r="D101" s="16" t="inlineStr">
        <is>
          <t>LS</t>
        </is>
      </c>
      <c r="E101" s="16" t="inlineStr">
        <is>
          <t>20:08:10</t>
        </is>
      </c>
      <c r="F101" s="16" t="inlineStr">
        <is>
          <t>20:09:32</t>
        </is>
      </c>
      <c r="G101" s="16" t="n">
        <v>82</v>
      </c>
      <c r="H101" s="16" t="n">
        <v>43</v>
      </c>
      <c r="I101" s="35" t="n">
        <v>478.77</v>
      </c>
      <c r="J101" s="16" t="inlineStr">
        <is>
          <t>BAREJADI NANDEJ</t>
        </is>
      </c>
      <c r="K101" s="16" t="inlineStr">
        <is>
          <t>R</t>
        </is>
      </c>
      <c r="L101" s="16" t="inlineStr">
        <is>
          <t>Valid</t>
        </is>
      </c>
      <c r="M101" s="16" t="inlineStr"/>
    </row>
    <row r="102">
      <c r="A102" s="16" t="inlineStr">
        <is>
          <t>30 Jun</t>
        </is>
      </c>
      <c r="B102" s="16" t="inlineStr">
        <is>
          <t>39015</t>
        </is>
      </c>
      <c r="C102" s="16" t="inlineStr">
        <is>
          <t>LS</t>
        </is>
      </c>
      <c r="D102" s="16" t="inlineStr">
        <is>
          <t>SR</t>
        </is>
      </c>
      <c r="E102" s="16" t="inlineStr">
        <is>
          <t>20:09:34</t>
        </is>
      </c>
      <c r="F102" s="16" t="inlineStr">
        <is>
          <t>20:11:00</t>
        </is>
      </c>
      <c r="G102" s="16" t="n">
        <v>86</v>
      </c>
      <c r="H102" s="16" t="n">
        <v>51</v>
      </c>
      <c r="I102" s="35" t="n">
        <v>477.19</v>
      </c>
      <c r="J102" s="16" t="inlineStr">
        <is>
          <t>BAREJADI NANDEJ</t>
        </is>
      </c>
      <c r="K102" s="16" t="inlineStr">
        <is>
          <t>R</t>
        </is>
      </c>
      <c r="L102" s="16" t="inlineStr">
        <is>
          <t>Valid</t>
        </is>
      </c>
      <c r="M102" s="16" t="inlineStr"/>
    </row>
    <row r="103">
      <c r="A103" s="16" t="inlineStr">
        <is>
          <t>30 Jun</t>
        </is>
      </c>
      <c r="B103" s="16" t="inlineStr">
        <is>
          <t>39015</t>
        </is>
      </c>
      <c r="C103" s="16" t="inlineStr">
        <is>
          <t>OS</t>
        </is>
      </c>
      <c r="D103" s="16" t="inlineStr">
        <is>
          <t>SR</t>
        </is>
      </c>
      <c r="E103" s="16" t="inlineStr">
        <is>
          <t>20:11:02</t>
        </is>
      </c>
      <c r="F103" s="16" t="inlineStr">
        <is>
          <t>20:11:02</t>
        </is>
      </c>
      <c r="G103" s="16" t="n">
        <v>0</v>
      </c>
      <c r="H103" s="16" t="n">
        <v>1</v>
      </c>
      <c r="I103" s="35" t="n">
        <v>474.85</v>
      </c>
      <c r="J103" s="16" t="inlineStr">
        <is>
          <t>KANIJ</t>
        </is>
      </c>
      <c r="K103" s="16" t="inlineStr">
        <is>
          <t>R</t>
        </is>
      </c>
      <c r="L103" s="16" t="inlineStr">
        <is>
          <t>Valid</t>
        </is>
      </c>
      <c r="M103" s="16" t="inlineStr"/>
    </row>
    <row r="104">
      <c r="A104" s="16" t="inlineStr">
        <is>
          <t>30 Jun</t>
        </is>
      </c>
      <c r="B104" s="16" t="inlineStr">
        <is>
          <t>37086</t>
        </is>
      </c>
      <c r="C104" s="16" t="inlineStr">
        <is>
          <t>FS</t>
        </is>
      </c>
      <c r="D104" s="16" t="inlineStr">
        <is>
          <t>LS</t>
        </is>
      </c>
      <c r="E104" s="16" t="inlineStr">
        <is>
          <t>20:15:54</t>
        </is>
      </c>
      <c r="F104" s="16" t="inlineStr">
        <is>
          <t>20:15:54</t>
        </is>
      </c>
      <c r="G104" s="16" t="n">
        <v>0</v>
      </c>
      <c r="H104" s="16" t="n">
        <v>1</v>
      </c>
      <c r="I104" s="35" t="n">
        <v>477.96</v>
      </c>
      <c r="J104" s="16" t="inlineStr">
        <is>
          <t>BAREJADI NANDEJ</t>
        </is>
      </c>
      <c r="K104" s="16" t="inlineStr">
        <is>
          <t>N</t>
        </is>
      </c>
      <c r="L104" s="16" t="inlineStr">
        <is>
          <t>Valid</t>
        </is>
      </c>
      <c r="M104" s="16" t="inlineStr"/>
    </row>
    <row r="105">
      <c r="A105" s="16" t="inlineStr">
        <is>
          <t>30 Jun</t>
        </is>
      </c>
      <c r="B105" s="16" t="inlineStr">
        <is>
          <t>37086</t>
        </is>
      </c>
      <c r="C105" s="16" t="inlineStr">
        <is>
          <t>FS</t>
        </is>
      </c>
      <c r="D105" s="16" t="inlineStr">
        <is>
          <t>LS</t>
        </is>
      </c>
      <c r="E105" s="16" t="inlineStr">
        <is>
          <t>20:15:56</t>
        </is>
      </c>
      <c r="F105" s="16" t="inlineStr">
        <is>
          <t>20:16:52</t>
        </is>
      </c>
      <c r="G105" s="16" t="n">
        <v>56</v>
      </c>
      <c r="H105" s="16" t="n">
        <v>29</v>
      </c>
      <c r="I105" s="35" t="n">
        <v>478.02</v>
      </c>
      <c r="J105" s="16" t="inlineStr">
        <is>
          <t>BAREJADI NANDEJ</t>
        </is>
      </c>
      <c r="K105" s="16" t="inlineStr">
        <is>
          <t>N</t>
        </is>
      </c>
      <c r="L105" s="16" t="inlineStr">
        <is>
          <t>Valid</t>
        </is>
      </c>
      <c r="M105" s="16" t="inlineStr"/>
    </row>
    <row r="106">
      <c r="A106" s="16" t="inlineStr">
        <is>
          <t>30 Jun</t>
        </is>
      </c>
      <c r="B106" s="16" t="inlineStr">
        <is>
          <t>37086</t>
        </is>
      </c>
      <c r="C106" s="16" t="inlineStr">
        <is>
          <t>LS</t>
        </is>
      </c>
      <c r="D106" s="16" t="inlineStr">
        <is>
          <t>SR</t>
        </is>
      </c>
      <c r="E106" s="16" t="inlineStr">
        <is>
          <t>20:16:54</t>
        </is>
      </c>
      <c r="F106" s="16" t="inlineStr">
        <is>
          <t>20:18:16</t>
        </is>
      </c>
      <c r="G106" s="16" t="n">
        <v>82</v>
      </c>
      <c r="H106" s="16" t="n">
        <v>47</v>
      </c>
      <c r="I106" s="35" t="n">
        <v>479.74</v>
      </c>
      <c r="J106" s="16" t="inlineStr">
        <is>
          <t>BAREJADI NANDEJ</t>
        </is>
      </c>
      <c r="K106" s="16" t="inlineStr">
        <is>
          <t>N</t>
        </is>
      </c>
      <c r="L106" s="16" t="inlineStr">
        <is>
          <t>Valid</t>
        </is>
      </c>
      <c r="M106" s="16" t="inlineStr"/>
    </row>
    <row r="107">
      <c r="A107" s="16" t="inlineStr">
        <is>
          <t>30 Jun</t>
        </is>
      </c>
      <c r="B107" s="16" t="inlineStr">
        <is>
          <t>30484</t>
        </is>
      </c>
      <c r="C107" s="16" t="inlineStr">
        <is>
          <t>FS</t>
        </is>
      </c>
      <c r="D107" s="16" t="inlineStr">
        <is>
          <t>LS</t>
        </is>
      </c>
      <c r="E107" s="16" t="inlineStr">
        <is>
          <t>20:33:54</t>
        </is>
      </c>
      <c r="F107" s="16" t="inlineStr">
        <is>
          <t>20:34:18</t>
        </is>
      </c>
      <c r="G107" s="16" t="n">
        <v>24</v>
      </c>
      <c r="H107" s="16" t="n">
        <v>14</v>
      </c>
      <c r="I107" s="35" t="n">
        <v>477.97</v>
      </c>
      <c r="J107" s="16" t="inlineStr">
        <is>
          <t>BAREJADI NANDEJ</t>
        </is>
      </c>
      <c r="K107" s="16" t="inlineStr">
        <is>
          <t>N</t>
        </is>
      </c>
      <c r="L107" s="16" t="inlineStr">
        <is>
          <t>Valid</t>
        </is>
      </c>
      <c r="M107" s="16" t="inlineStr"/>
    </row>
    <row r="108">
      <c r="A108" s="16" t="inlineStr">
        <is>
          <t>30 Jun</t>
        </is>
      </c>
      <c r="B108" s="16" t="inlineStr">
        <is>
          <t>30484</t>
        </is>
      </c>
      <c r="C108" s="16" t="inlineStr">
        <is>
          <t>LS</t>
        </is>
      </c>
      <c r="D108" s="16" t="inlineStr">
        <is>
          <t>SR</t>
        </is>
      </c>
      <c r="E108" s="16" t="inlineStr">
        <is>
          <t>20:34:20</t>
        </is>
      </c>
      <c r="F108" s="16" t="inlineStr">
        <is>
          <t>20:37:42</t>
        </is>
      </c>
      <c r="G108" s="16" t="n">
        <v>202</v>
      </c>
      <c r="H108" s="16" t="n">
        <v>110</v>
      </c>
      <c r="I108" s="35" t="n">
        <v>478.67</v>
      </c>
      <c r="J108" s="16" t="inlineStr">
        <is>
          <t>BAREJADI NANDEJ</t>
        </is>
      </c>
      <c r="K108" s="16" t="inlineStr">
        <is>
          <t>N</t>
        </is>
      </c>
      <c r="L108" s="16" t="inlineStr">
        <is>
          <t>Valid</t>
        </is>
      </c>
      <c r="M108" s="16" t="inlineStr"/>
    </row>
    <row r="109">
      <c r="A109" s="16" t="inlineStr">
        <is>
          <t>30 Jun</t>
        </is>
      </c>
      <c r="B109" s="16" t="inlineStr">
        <is>
          <t>39030</t>
        </is>
      </c>
      <c r="C109" s="16" t="inlineStr">
        <is>
          <t>FS</t>
        </is>
      </c>
      <c r="D109" s="16" t="inlineStr">
        <is>
          <t>LS</t>
        </is>
      </c>
      <c r="E109" s="16" t="inlineStr">
        <is>
          <t>20:55:02</t>
        </is>
      </c>
      <c r="F109" s="16" t="inlineStr">
        <is>
          <t>20:55:30</t>
        </is>
      </c>
      <c r="G109" s="16" t="n">
        <v>28</v>
      </c>
      <c r="H109" s="16" t="n">
        <v>16</v>
      </c>
      <c r="I109" s="35" t="n">
        <v>478.11</v>
      </c>
      <c r="J109" s="16" t="inlineStr">
        <is>
          <t>BAREJADI NANDEJ</t>
        </is>
      </c>
      <c r="K109" s="16" t="inlineStr">
        <is>
          <t>R</t>
        </is>
      </c>
      <c r="L109" s="16" t="inlineStr">
        <is>
          <t>Valid</t>
        </is>
      </c>
      <c r="M109" s="16" t="inlineStr"/>
    </row>
    <row r="110">
      <c r="A110" s="16" t="inlineStr">
        <is>
          <t>30 Jun</t>
        </is>
      </c>
      <c r="B110" s="16" t="inlineStr">
        <is>
          <t>39030</t>
        </is>
      </c>
      <c r="C110" s="16" t="inlineStr">
        <is>
          <t>LS</t>
        </is>
      </c>
      <c r="D110" s="16" t="inlineStr">
        <is>
          <t>SR</t>
        </is>
      </c>
      <c r="E110" s="16" t="inlineStr">
        <is>
          <t>20:55:32</t>
        </is>
      </c>
      <c r="F110" s="16" t="inlineStr">
        <is>
          <t>20:56:48</t>
        </is>
      </c>
      <c r="G110" s="16" t="n">
        <v>76</v>
      </c>
      <c r="H110" s="16" t="n">
        <v>48</v>
      </c>
      <c r="I110" s="35" t="n">
        <v>477.19</v>
      </c>
      <c r="J110" s="16" t="inlineStr">
        <is>
          <t>BAREJADI NANDEJ</t>
        </is>
      </c>
      <c r="K110" s="16" t="inlineStr">
        <is>
          <t>R</t>
        </is>
      </c>
      <c r="L110" s="16" t="inlineStr">
        <is>
          <t>Valid</t>
        </is>
      </c>
      <c r="M110" s="16" t="inlineStr"/>
    </row>
    <row r="111">
      <c r="A111" s="16" t="inlineStr">
        <is>
          <t>30 Jun</t>
        </is>
      </c>
      <c r="B111" s="16" t="inlineStr">
        <is>
          <t>39030</t>
        </is>
      </c>
      <c r="C111" s="16" t="inlineStr">
        <is>
          <t>OS</t>
        </is>
      </c>
      <c r="D111" s="16" t="inlineStr">
        <is>
          <t>SR</t>
        </is>
      </c>
      <c r="E111" s="16" t="inlineStr">
        <is>
          <t>20:56:50</t>
        </is>
      </c>
      <c r="F111" s="16" t="inlineStr">
        <is>
          <t>20:56:50</t>
        </is>
      </c>
      <c r="G111" s="16" t="n">
        <v>0</v>
      </c>
      <c r="H111" s="16" t="n">
        <v>1</v>
      </c>
      <c r="I111" s="35" t="n">
        <v>474.89</v>
      </c>
      <c r="J111" s="16" t="inlineStr">
        <is>
          <t>KANIJ</t>
        </is>
      </c>
      <c r="K111" s="16" t="inlineStr">
        <is>
          <t>R</t>
        </is>
      </c>
      <c r="L111" s="16" t="inlineStr">
        <is>
          <t>Valid</t>
        </is>
      </c>
      <c r="M111" s="16" t="inlineStr"/>
    </row>
    <row r="112">
      <c r="A112" s="16" t="inlineStr">
        <is>
          <t>30 Jun</t>
        </is>
      </c>
      <c r="B112" s="16" t="inlineStr">
        <is>
          <t>39015</t>
        </is>
      </c>
      <c r="C112" s="16" t="inlineStr">
        <is>
          <t>FS</t>
        </is>
      </c>
      <c r="D112" s="16" t="inlineStr">
        <is>
          <t>SR</t>
        </is>
      </c>
      <c r="E112" s="16" t="inlineStr">
        <is>
          <t>21:11:46</t>
        </is>
      </c>
      <c r="F112" s="16" t="inlineStr">
        <is>
          <t>21:38:40</t>
        </is>
      </c>
      <c r="G112" s="16" t="n">
        <v>1614</v>
      </c>
      <c r="H112" s="16" t="n">
        <v>790</v>
      </c>
      <c r="I112" s="35" t="n">
        <v>403.08</v>
      </c>
      <c r="J112" s="16" t="inlineStr">
        <is>
          <t>BAJWA</t>
        </is>
      </c>
      <c r="K112" s="16" t="inlineStr">
        <is>
          <t>R</t>
        </is>
      </c>
      <c r="L112" s="16" t="inlineStr">
        <is>
          <t>Valid</t>
        </is>
      </c>
      <c r="M112" s="16" t="inlineStr"/>
    </row>
    <row r="113">
      <c r="A113" s="16" t="inlineStr">
        <is>
          <t>30 Jun</t>
        </is>
      </c>
      <c r="B113" s="16" t="inlineStr">
        <is>
          <t>39030</t>
        </is>
      </c>
      <c r="C113" s="16" t="inlineStr">
        <is>
          <t>FS</t>
        </is>
      </c>
      <c r="D113" s="16" t="inlineStr">
        <is>
          <t>SR</t>
        </is>
      </c>
      <c r="E113" s="16" t="inlineStr">
        <is>
          <t>22:15:12</t>
        </is>
      </c>
      <c r="F113" s="16" t="inlineStr">
        <is>
          <t>22:39:12</t>
        </is>
      </c>
      <c r="G113" s="16" t="n">
        <v>1440</v>
      </c>
      <c r="H113" s="16" t="n">
        <v>823</v>
      </c>
      <c r="I113" s="35" t="n">
        <v>402.58</v>
      </c>
      <c r="J113" s="16" t="inlineStr">
        <is>
          <t>BAJWA</t>
        </is>
      </c>
      <c r="K113" s="16" t="inlineStr">
        <is>
          <t>R</t>
        </is>
      </c>
      <c r="L113" s="16" t="inlineStr">
        <is>
          <t>Valid</t>
        </is>
      </c>
      <c r="M113" s="16" t="inlineStr"/>
    </row>
    <row r="114">
      <c r="A114" s="31" t="inlineStr">
        <is>
          <t>30 Jun</t>
        </is>
      </c>
      <c r="B114" s="31" t="inlineStr">
        <is>
          <t>37660</t>
        </is>
      </c>
      <c r="C114" s="31" t="inlineStr">
        <is>
          <t>LS</t>
        </is>
      </c>
      <c r="D114" s="31" t="inlineStr">
        <is>
          <t>SR</t>
        </is>
      </c>
      <c r="E114" s="31" t="inlineStr">
        <is>
          <t>23:15:42</t>
        </is>
      </c>
      <c r="F114" s="31" t="inlineStr">
        <is>
          <t>23:16:48</t>
        </is>
      </c>
      <c r="G114" s="31" t="n">
        <v>66</v>
      </c>
      <c r="H114" s="31" t="n">
        <v>24</v>
      </c>
      <c r="I114" s="32" t="n">
        <v>494.97</v>
      </c>
      <c r="J114" s="31" t="inlineStr">
        <is>
          <t>AHMEDABAD Jn</t>
        </is>
      </c>
      <c r="K114" s="31" t="inlineStr">
        <is>
          <t>U</t>
        </is>
      </c>
      <c r="L114" s="31" t="inlineStr">
        <is>
          <t>Non-Valid</t>
        </is>
      </c>
      <c r="M114" s="16" t="inlineStr"/>
    </row>
    <row r="115">
      <c r="A115" s="31" t="inlineStr">
        <is>
          <t>30 Jun</t>
        </is>
      </c>
      <c r="B115" s="31" t="inlineStr">
        <is>
          <t>45035</t>
        </is>
      </c>
      <c r="C115" s="31" t="inlineStr">
        <is>
          <t>FS</t>
        </is>
      </c>
      <c r="D115" s="31" t="inlineStr">
        <is>
          <t>SR</t>
        </is>
      </c>
      <c r="E115" s="31" t="inlineStr">
        <is>
          <t>23:16:14</t>
        </is>
      </c>
      <c r="F115" s="31" t="inlineStr">
        <is>
          <t>23:16:14</t>
        </is>
      </c>
      <c r="G115" s="31" t="n">
        <v>0</v>
      </c>
      <c r="H115" s="31" t="n">
        <v>1</v>
      </c>
      <c r="I115" s="32" t="n">
        <v>485.26</v>
      </c>
      <c r="J115" s="31" t="inlineStr">
        <is>
          <t>VATVA</t>
        </is>
      </c>
      <c r="K115" s="31" t="inlineStr">
        <is>
          <t>R</t>
        </is>
      </c>
      <c r="L115" s="31" t="inlineStr">
        <is>
          <t>Non-Valid</t>
        </is>
      </c>
      <c r="M115" s="16" t="inlineStr"/>
    </row>
    <row r="116">
      <c r="A116" s="31" t="inlineStr">
        <is>
          <t>30 Jun</t>
        </is>
      </c>
      <c r="B116" s="31" t="inlineStr">
        <is>
          <t>45035</t>
        </is>
      </c>
      <c r="C116" s="31" t="inlineStr">
        <is>
          <t>FS</t>
        </is>
      </c>
      <c r="D116" s="31" t="inlineStr">
        <is>
          <t>SR</t>
        </is>
      </c>
      <c r="E116" s="31" t="inlineStr">
        <is>
          <t>23:16:16</t>
        </is>
      </c>
      <c r="F116" s="31" t="inlineStr">
        <is>
          <t>23:16:20</t>
        </is>
      </c>
      <c r="G116" s="31" t="n">
        <v>4</v>
      </c>
      <c r="H116" s="31" t="n">
        <v>6</v>
      </c>
      <c r="I116" s="32" t="n">
        <v>485.2</v>
      </c>
      <c r="J116" s="31" t="inlineStr">
        <is>
          <t>VATVA</t>
        </is>
      </c>
      <c r="K116" s="31" t="inlineStr">
        <is>
          <t>R</t>
        </is>
      </c>
      <c r="L116" s="31" t="inlineStr">
        <is>
          <t>Non-Valid</t>
        </is>
      </c>
      <c r="M116" s="16" t="inlineStr"/>
    </row>
    <row r="117">
      <c r="A117" s="31" t="inlineStr">
        <is>
          <t>30 Jun</t>
        </is>
      </c>
      <c r="B117" s="31" t="inlineStr">
        <is>
          <t>45035</t>
        </is>
      </c>
      <c r="C117" s="31" t="inlineStr">
        <is>
          <t>OS</t>
        </is>
      </c>
      <c r="D117" s="31" t="inlineStr">
        <is>
          <t>SR</t>
        </is>
      </c>
      <c r="E117" s="31" t="inlineStr">
        <is>
          <t>23:16:22</t>
        </is>
      </c>
      <c r="F117" s="31" t="inlineStr">
        <is>
          <t>23:16:22</t>
        </is>
      </c>
      <c r="G117" s="31" t="n">
        <v>0</v>
      </c>
      <c r="H117" s="31" t="n">
        <v>1</v>
      </c>
      <c r="I117" s="32" t="n">
        <v>485.08</v>
      </c>
      <c r="J117" s="31" t="inlineStr">
        <is>
          <t>VATVA</t>
        </is>
      </c>
      <c r="K117" s="31" t="inlineStr">
        <is>
          <t>R</t>
        </is>
      </c>
      <c r="L117" s="31" t="inlineStr">
        <is>
          <t>Non-Valid</t>
        </is>
      </c>
      <c r="M117" s="16" t="inlineStr"/>
    </row>
    <row r="118">
      <c r="A118" s="31" t="inlineStr">
        <is>
          <t>30 Jun</t>
        </is>
      </c>
      <c r="B118" s="31" t="inlineStr">
        <is>
          <t>45035</t>
        </is>
      </c>
      <c r="C118" s="31" t="inlineStr">
        <is>
          <t>FS</t>
        </is>
      </c>
      <c r="D118" s="31" t="inlineStr">
        <is>
          <t>LS</t>
        </is>
      </c>
      <c r="E118" s="31" t="inlineStr">
        <is>
          <t>23:20:08</t>
        </is>
      </c>
      <c r="F118" s="31" t="inlineStr">
        <is>
          <t>23:21:36</t>
        </is>
      </c>
      <c r="G118" s="31" t="n">
        <v>88</v>
      </c>
      <c r="H118" s="31" t="n">
        <v>52</v>
      </c>
      <c r="I118" s="32" t="n">
        <v>477.97</v>
      </c>
      <c r="J118" s="31" t="inlineStr">
        <is>
          <t>BAREJADI NANDEJ</t>
        </is>
      </c>
      <c r="K118" s="31" t="inlineStr">
        <is>
          <t>R</t>
        </is>
      </c>
      <c r="L118" s="31" t="inlineStr">
        <is>
          <t>Non-Valid</t>
        </is>
      </c>
      <c r="M118" s="16" t="inlineStr"/>
    </row>
    <row r="119">
      <c r="A119" s="31" t="inlineStr">
        <is>
          <t>30 Jun</t>
        </is>
      </c>
      <c r="B119" s="31" t="inlineStr">
        <is>
          <t>30770</t>
        </is>
      </c>
      <c r="C119" s="31" t="inlineStr">
        <is>
          <t>FS</t>
        </is>
      </c>
      <c r="D119" s="31" t="inlineStr">
        <is>
          <t>LS</t>
        </is>
      </c>
      <c r="E119" s="31" t="inlineStr">
        <is>
          <t>23:24:58</t>
        </is>
      </c>
      <c r="F119" s="31" t="inlineStr">
        <is>
          <t>23:25:36</t>
        </is>
      </c>
      <c r="G119" s="31" t="n">
        <v>38</v>
      </c>
      <c r="H119" s="31" t="n">
        <v>21</v>
      </c>
      <c r="I119" s="32" t="n">
        <v>478.31</v>
      </c>
      <c r="J119" s="31" t="inlineStr">
        <is>
          <t>BAREJADI NANDEJ</t>
        </is>
      </c>
      <c r="K119" s="31" t="inlineStr">
        <is>
          <t>R</t>
        </is>
      </c>
      <c r="L119" s="31" t="inlineStr">
        <is>
          <t>Non-Valid</t>
        </is>
      </c>
      <c r="M119" s="16" t="inlineStr"/>
    </row>
    <row r="120">
      <c r="A120" s="31" t="inlineStr">
        <is>
          <t>30 Jun</t>
        </is>
      </c>
      <c r="B120" s="31" t="inlineStr">
        <is>
          <t>30770</t>
        </is>
      </c>
      <c r="C120" s="31" t="inlineStr">
        <is>
          <t>LS</t>
        </is>
      </c>
      <c r="D120" s="31" t="inlineStr">
        <is>
          <t>SR</t>
        </is>
      </c>
      <c r="E120" s="31" t="inlineStr">
        <is>
          <t>23:25:38</t>
        </is>
      </c>
      <c r="F120" s="31" t="inlineStr">
        <is>
          <t>23:26:56</t>
        </is>
      </c>
      <c r="G120" s="31" t="n">
        <v>78</v>
      </c>
      <c r="H120" s="31" t="n">
        <v>49</v>
      </c>
      <c r="I120" s="32" t="n">
        <v>477.18</v>
      </c>
      <c r="J120" s="31" t="inlineStr">
        <is>
          <t>BAREJADI NANDEJ</t>
        </is>
      </c>
      <c r="K120" s="31" t="inlineStr">
        <is>
          <t>R</t>
        </is>
      </c>
      <c r="L120" s="31" t="inlineStr">
        <is>
          <t>Non-Valid</t>
        </is>
      </c>
      <c r="M120" s="16" t="inlineStr"/>
    </row>
    <row r="121">
      <c r="A121" s="31" t="inlineStr">
        <is>
          <t>30 Jun</t>
        </is>
      </c>
      <c r="B121" s="31" t="inlineStr">
        <is>
          <t>30770</t>
        </is>
      </c>
      <c r="C121" s="31" t="inlineStr">
        <is>
          <t>OS</t>
        </is>
      </c>
      <c r="D121" s="31" t="inlineStr">
        <is>
          <t>SR</t>
        </is>
      </c>
      <c r="E121" s="31" t="inlineStr">
        <is>
          <t>23:26:58</t>
        </is>
      </c>
      <c r="F121" s="31" t="inlineStr">
        <is>
          <t>23:26:58</t>
        </is>
      </c>
      <c r="G121" s="31" t="n">
        <v>0</v>
      </c>
      <c r="H121" s="31" t="n">
        <v>1</v>
      </c>
      <c r="I121" s="32" t="n">
        <v>474.82</v>
      </c>
      <c r="J121" s="31" t="inlineStr">
        <is>
          <t>KANIJ</t>
        </is>
      </c>
      <c r="K121" s="31" t="inlineStr">
        <is>
          <t>R</t>
        </is>
      </c>
      <c r="L121" s="31" t="inlineStr">
        <is>
          <t>Non-Valid</t>
        </is>
      </c>
      <c r="M121" s="16" t="inlineStr"/>
    </row>
    <row r="122">
      <c r="A122" s="31" t="inlineStr">
        <is>
          <t>30 Jun</t>
        </is>
      </c>
      <c r="B122" s="31" t="inlineStr">
        <is>
          <t>45026</t>
        </is>
      </c>
      <c r="C122" s="31" t="inlineStr">
        <is>
          <t>FS</t>
        </is>
      </c>
      <c r="D122" s="31" t="inlineStr">
        <is>
          <t>SR</t>
        </is>
      </c>
      <c r="E122" s="31" t="inlineStr">
        <is>
          <t>23:29:04</t>
        </is>
      </c>
      <c r="F122" s="31" t="inlineStr">
        <is>
          <t>23:59:58</t>
        </is>
      </c>
      <c r="G122" s="31" t="n">
        <v>1854</v>
      </c>
      <c r="H122" s="31" t="n">
        <v>877</v>
      </c>
      <c r="I122" s="32" t="n">
        <v>402.88</v>
      </c>
      <c r="J122" s="31" t="inlineStr">
        <is>
          <t>BAJWA</t>
        </is>
      </c>
      <c r="K122" s="31" t="inlineStr">
        <is>
          <t>R</t>
        </is>
      </c>
      <c r="L122" s="31" t="inlineStr">
        <is>
          <t>Non-Valid</t>
        </is>
      </c>
      <c r="M122" s="16" t="inlineStr"/>
    </row>
    <row r="123">
      <c r="A123" s="31" t="inlineStr">
        <is>
          <t>30 Jun</t>
        </is>
      </c>
      <c r="B123" s="31" t="inlineStr">
        <is>
          <t>30770</t>
        </is>
      </c>
      <c r="C123" s="31" t="inlineStr">
        <is>
          <t>FS</t>
        </is>
      </c>
      <c r="D123" s="31" t="inlineStr">
        <is>
          <t>SR</t>
        </is>
      </c>
      <c r="E123" s="31" t="inlineStr">
        <is>
          <t>23:36:54</t>
        </is>
      </c>
      <c r="F123" s="31" t="inlineStr">
        <is>
          <t>23:36:54</t>
        </is>
      </c>
      <c r="G123" s="31" t="n">
        <v>0</v>
      </c>
      <c r="H123" s="31" t="n">
        <v>1</v>
      </c>
      <c r="I123" s="32" t="n">
        <v>461.9</v>
      </c>
      <c r="J123" s="31" t="inlineStr">
        <is>
          <t>LC-286</t>
        </is>
      </c>
      <c r="K123" s="31" t="inlineStr">
        <is>
          <t>R</t>
        </is>
      </c>
      <c r="L123" s="31" t="inlineStr">
        <is>
          <t>Non-Valid</t>
        </is>
      </c>
      <c r="M123" s="16" t="inlineStr"/>
    </row>
    <row r="124">
      <c r="A124" s="31" t="inlineStr">
        <is>
          <t>30 Jun</t>
        </is>
      </c>
      <c r="B124" s="31" t="inlineStr">
        <is>
          <t>30770</t>
        </is>
      </c>
      <c r="C124" s="31" t="inlineStr">
        <is>
          <t>FS</t>
        </is>
      </c>
      <c r="D124" s="31" t="inlineStr">
        <is>
          <t>SR</t>
        </is>
      </c>
      <c r="E124" s="31" t="inlineStr">
        <is>
          <t>23:36:56</t>
        </is>
      </c>
      <c r="F124" s="31" t="inlineStr">
        <is>
          <t>23:37:00</t>
        </is>
      </c>
      <c r="G124" s="31" t="n">
        <v>4</v>
      </c>
      <c r="H124" s="31" t="n">
        <v>5</v>
      </c>
      <c r="I124" s="32" t="n">
        <v>461.89</v>
      </c>
      <c r="J124" s="31" t="inlineStr">
        <is>
          <t>LC-286</t>
        </is>
      </c>
      <c r="K124" s="31" t="inlineStr">
        <is>
          <t>R</t>
        </is>
      </c>
      <c r="L124" s="31" t="inlineStr">
        <is>
          <t>Non-Valid</t>
        </is>
      </c>
      <c r="M124" s="16" t="inlineStr"/>
    </row>
    <row r="125">
      <c r="A125" s="31" t="inlineStr">
        <is>
          <t>30 Jun</t>
        </is>
      </c>
      <c r="B125" s="31" t="inlineStr">
        <is>
          <t>30770</t>
        </is>
      </c>
      <c r="C125" s="31" t="inlineStr">
        <is>
          <t>OS</t>
        </is>
      </c>
      <c r="D125" s="31" t="inlineStr">
        <is>
          <t>SR</t>
        </is>
      </c>
      <c r="E125" s="31" t="inlineStr">
        <is>
          <t>23:37:02</t>
        </is>
      </c>
      <c r="F125" s="31" t="inlineStr">
        <is>
          <t>23:37:02</t>
        </is>
      </c>
      <c r="G125" s="31" t="n">
        <v>0</v>
      </c>
      <c r="H125" s="31" t="n">
        <v>1</v>
      </c>
      <c r="I125" s="32" t="n">
        <v>461.71</v>
      </c>
      <c r="J125" s="31" t="inlineStr">
        <is>
          <t>LC-286</t>
        </is>
      </c>
      <c r="K125" s="31" t="inlineStr">
        <is>
          <t>R</t>
        </is>
      </c>
      <c r="L125" s="31" t="inlineStr">
        <is>
          <t>Non-Valid</t>
        </is>
      </c>
      <c r="M125" s="16" t="inlineStr"/>
    </row>
    <row r="126">
      <c r="A126" s="31" t="inlineStr">
        <is>
          <t>30 Jun</t>
        </is>
      </c>
      <c r="B126" s="31" t="inlineStr">
        <is>
          <t>37660</t>
        </is>
      </c>
      <c r="C126" s="31" t="inlineStr">
        <is>
          <t>FS</t>
        </is>
      </c>
      <c r="D126" s="31" t="inlineStr">
        <is>
          <t>LS</t>
        </is>
      </c>
      <c r="E126" s="31" t="inlineStr">
        <is>
          <t>23:48:14</t>
        </is>
      </c>
      <c r="F126" s="31" t="inlineStr">
        <is>
          <t>23:48:14</t>
        </is>
      </c>
      <c r="G126" s="31" t="n">
        <v>0</v>
      </c>
      <c r="H126" s="31" t="n">
        <v>1</v>
      </c>
      <c r="I126" s="32" t="n">
        <v>478.26</v>
      </c>
      <c r="J126" s="31" t="inlineStr">
        <is>
          <t>BAREJADI NANDEJ</t>
        </is>
      </c>
      <c r="K126" s="31" t="inlineStr">
        <is>
          <t>R</t>
        </is>
      </c>
      <c r="L126" s="31" t="inlineStr">
        <is>
          <t>Non-Valid</t>
        </is>
      </c>
      <c r="M126" s="16" t="inlineStr"/>
    </row>
    <row r="127">
      <c r="A127" s="31" t="inlineStr">
        <is>
          <t>30 Jun</t>
        </is>
      </c>
      <c r="B127" s="31" t="inlineStr">
        <is>
          <t>37660</t>
        </is>
      </c>
      <c r="C127" s="31" t="inlineStr">
        <is>
          <t>FS</t>
        </is>
      </c>
      <c r="D127" s="31" t="inlineStr">
        <is>
          <t>LS</t>
        </is>
      </c>
      <c r="E127" s="31" t="inlineStr">
        <is>
          <t>23:48:16</t>
        </is>
      </c>
      <c r="F127" s="31" t="inlineStr">
        <is>
          <t>23:59:58</t>
        </is>
      </c>
      <c r="G127" s="31" t="n">
        <v>702</v>
      </c>
      <c r="H127" s="31" t="n">
        <v>329</v>
      </c>
      <c r="I127" s="32" t="n">
        <v>478.2</v>
      </c>
      <c r="J127" s="31" t="inlineStr">
        <is>
          <t>BAREJADI NANDEJ</t>
        </is>
      </c>
      <c r="K127" s="31" t="inlineStr">
        <is>
          <t>R</t>
        </is>
      </c>
      <c r="L127" s="31" t="inlineStr">
        <is>
          <t>Non-Valid</t>
        </is>
      </c>
      <c r="M127" s="16" t="inlineStr"/>
    </row>
    <row r="128">
      <c r="A128" s="31" t="inlineStr">
        <is>
          <t>30 Jun</t>
        </is>
      </c>
      <c r="B128" s="31" t="inlineStr">
        <is>
          <t>37504</t>
        </is>
      </c>
      <c r="C128" s="31" t="inlineStr">
        <is>
          <t>FS</t>
        </is>
      </c>
      <c r="D128" s="31" t="inlineStr">
        <is>
          <t>LS</t>
        </is>
      </c>
      <c r="E128" s="31" t="inlineStr">
        <is>
          <t>23:53:30</t>
        </is>
      </c>
      <c r="F128" s="31" t="inlineStr">
        <is>
          <t>23:53:52</t>
        </is>
      </c>
      <c r="G128" s="31" t="n">
        <v>22</v>
      </c>
      <c r="H128" s="31" t="n">
        <v>13</v>
      </c>
      <c r="I128" s="32" t="n">
        <v>477.95</v>
      </c>
      <c r="J128" s="31" t="inlineStr">
        <is>
          <t>BAREJADI NANDEJ</t>
        </is>
      </c>
      <c r="K128" s="31" t="inlineStr">
        <is>
          <t>N</t>
        </is>
      </c>
      <c r="L128" s="31" t="inlineStr">
        <is>
          <t>Non-Valid</t>
        </is>
      </c>
      <c r="M128" s="16" t="inlineStr"/>
    </row>
    <row r="129">
      <c r="A129" s="31" t="inlineStr">
        <is>
          <t>30 Jun</t>
        </is>
      </c>
      <c r="B129" s="31" t="inlineStr">
        <is>
          <t>37504</t>
        </is>
      </c>
      <c r="C129" s="31" t="inlineStr">
        <is>
          <t>LS</t>
        </is>
      </c>
      <c r="D129" s="31" t="inlineStr">
        <is>
          <t>SR</t>
        </is>
      </c>
      <c r="E129" s="31" t="inlineStr">
        <is>
          <t>23:53:54</t>
        </is>
      </c>
      <c r="F129" s="31" t="inlineStr">
        <is>
          <t>23:56:34</t>
        </is>
      </c>
      <c r="G129" s="31" t="n">
        <v>160</v>
      </c>
      <c r="H129" s="31" t="n">
        <v>87</v>
      </c>
      <c r="I129" s="32" t="n">
        <v>478.67</v>
      </c>
      <c r="J129" s="31" t="inlineStr">
        <is>
          <t>BAREJADI NANDEJ</t>
        </is>
      </c>
      <c r="K129" s="31" t="inlineStr">
        <is>
          <t>N</t>
        </is>
      </c>
      <c r="L129" s="31" t="inlineStr">
        <is>
          <t>Non-Valid</t>
        </is>
      </c>
      <c r="M129" s="16" t="inlineStr"/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- 24223 (WR03, BRC excluded)).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30 Jun</t>
        </is>
      </c>
      <c r="B5" s="16" t="inlineStr">
        <is>
          <t>37303</t>
        </is>
      </c>
      <c r="C5" s="16" t="n">
        <v>6474</v>
      </c>
      <c r="D5" s="16" t="n">
        <v>6474</v>
      </c>
      <c r="E5" s="16" t="n">
        <v>5233</v>
      </c>
      <c r="F5" s="38" t="n">
        <v>369942</v>
      </c>
      <c r="G5" s="38" t="n">
        <v>495008</v>
      </c>
      <c r="H5" s="38" t="n">
        <v>400399</v>
      </c>
      <c r="I5" s="38" t="n">
        <v>494310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30 Jun</t>
        </is>
      </c>
      <c r="B6" s="16" t="inlineStr">
        <is>
          <t>37381</t>
        </is>
      </c>
      <c r="C6" s="16" t="n">
        <v>5073</v>
      </c>
      <c r="D6" s="16" t="n">
        <v>5055</v>
      </c>
      <c r="E6" s="16" t="n">
        <v>4064</v>
      </c>
      <c r="F6" s="38" t="n">
        <v>384141</v>
      </c>
      <c r="G6" s="38" t="n">
        <v>494970</v>
      </c>
      <c r="H6" s="38" t="n">
        <v>400406</v>
      </c>
      <c r="I6" s="38" t="n">
        <v>494311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30 Jun</t>
        </is>
      </c>
      <c r="B7" s="16" t="inlineStr">
        <is>
          <t>37505</t>
        </is>
      </c>
      <c r="C7" s="16" t="n">
        <v>6510</v>
      </c>
      <c r="D7" s="16" t="n">
        <v>5546</v>
      </c>
      <c r="E7" s="16" t="n">
        <v>4436</v>
      </c>
      <c r="F7" s="38" t="n">
        <v>367982</v>
      </c>
      <c r="G7" s="38" t="n">
        <v>501049</v>
      </c>
      <c r="H7" s="38" t="n">
        <v>400398</v>
      </c>
      <c r="I7" s="38" t="n">
        <v>494309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30 Jun</t>
        </is>
      </c>
      <c r="B8" s="16" t="inlineStr">
        <is>
          <t>37793</t>
        </is>
      </c>
      <c r="C8" s="16" t="n">
        <v>6203</v>
      </c>
      <c r="D8" s="16" t="n">
        <v>6203</v>
      </c>
      <c r="E8" s="16" t="n">
        <v>5073</v>
      </c>
      <c r="F8" s="38" t="n">
        <v>367915</v>
      </c>
      <c r="G8" s="38" t="n">
        <v>494894</v>
      </c>
      <c r="H8" s="38" t="n">
        <v>400398</v>
      </c>
      <c r="I8" s="38" t="n">
        <v>494311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30 Jun</t>
        </is>
      </c>
      <c r="B9" s="16" t="inlineStr">
        <is>
          <t>39015</t>
        </is>
      </c>
      <c r="C9" s="16" t="n">
        <v>10429</v>
      </c>
      <c r="D9" s="16" t="n">
        <v>10429</v>
      </c>
      <c r="E9" s="16" t="n">
        <v>8499</v>
      </c>
      <c r="F9" s="38" t="n">
        <v>363251</v>
      </c>
      <c r="G9" s="38" t="n">
        <v>495805</v>
      </c>
      <c r="H9" s="38" t="n">
        <v>400403</v>
      </c>
      <c r="I9" s="38" t="n">
        <v>494310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30 Jun</t>
        </is>
      </c>
      <c r="B10" s="16" t="inlineStr">
        <is>
          <t>39066</t>
        </is>
      </c>
      <c r="C10" s="16" t="n">
        <v>5319</v>
      </c>
      <c r="D10" s="16" t="n">
        <v>5319</v>
      </c>
      <c r="E10" s="16" t="n">
        <v>4308</v>
      </c>
      <c r="F10" s="38" t="n">
        <v>361855</v>
      </c>
      <c r="G10" s="38" t="n">
        <v>494960</v>
      </c>
      <c r="H10" s="38" t="n">
        <v>400402</v>
      </c>
      <c r="I10" s="38" t="n">
        <v>494311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30 Jun</t>
        </is>
      </c>
      <c r="B11" s="16" t="inlineStr">
        <is>
          <t>30058</t>
        </is>
      </c>
      <c r="C11" s="16" t="n">
        <v>4512</v>
      </c>
      <c r="D11" s="16" t="n">
        <v>4512</v>
      </c>
      <c r="E11" s="16" t="n">
        <v>3410</v>
      </c>
      <c r="F11" s="38" t="n">
        <v>381771</v>
      </c>
      <c r="G11" s="38" t="n">
        <v>495011</v>
      </c>
      <c r="H11" s="38" t="n">
        <v>400414</v>
      </c>
      <c r="I11" s="38" t="n">
        <v>494312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30 Jun</t>
        </is>
      </c>
      <c r="B12" s="16" t="inlineStr">
        <is>
          <t>30088</t>
        </is>
      </c>
      <c r="C12" s="16" t="n">
        <v>4393</v>
      </c>
      <c r="D12" s="16" t="n">
        <v>4393</v>
      </c>
      <c r="E12" s="16" t="n">
        <v>3817</v>
      </c>
      <c r="F12" s="38" t="n">
        <v>380754</v>
      </c>
      <c r="G12" s="38" t="n">
        <v>495470</v>
      </c>
      <c r="H12" s="38" t="n">
        <v>400412</v>
      </c>
      <c r="I12" s="38" t="n">
        <v>494311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30 Jun</t>
        </is>
      </c>
      <c r="B13" s="16" t="inlineStr">
        <is>
          <t>30484</t>
        </is>
      </c>
      <c r="C13" s="16" t="n">
        <v>7045</v>
      </c>
      <c r="D13" s="16" t="n">
        <v>7045</v>
      </c>
      <c r="E13" s="16" t="n">
        <v>4736</v>
      </c>
      <c r="F13" s="38" t="n">
        <v>369701</v>
      </c>
      <c r="G13" s="38" t="n">
        <v>495809</v>
      </c>
      <c r="H13" s="38" t="n">
        <v>400415</v>
      </c>
      <c r="I13" s="38" t="n">
        <v>494312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30 Jun</t>
        </is>
      </c>
      <c r="B14" s="16" t="inlineStr">
        <is>
          <t>37020</t>
        </is>
      </c>
      <c r="C14" s="16" t="n">
        <v>6272</v>
      </c>
      <c r="D14" s="16" t="n">
        <v>6272</v>
      </c>
      <c r="E14" s="16" t="n">
        <v>5150</v>
      </c>
      <c r="F14" s="38" t="n">
        <v>370427</v>
      </c>
      <c r="G14" s="38" t="n">
        <v>494967</v>
      </c>
      <c r="H14" s="38" t="n">
        <v>400407</v>
      </c>
      <c r="I14" s="38" t="n">
        <v>494310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30 Jun</t>
        </is>
      </c>
      <c r="B15" s="16" t="inlineStr">
        <is>
          <t>39030</t>
        </is>
      </c>
      <c r="C15" s="16" t="n">
        <v>5597</v>
      </c>
      <c r="D15" s="16" t="n">
        <v>5597</v>
      </c>
      <c r="E15" s="16" t="n">
        <v>4835</v>
      </c>
      <c r="F15" s="38" t="n">
        <v>370208</v>
      </c>
      <c r="G15" s="38" t="n">
        <v>494960</v>
      </c>
      <c r="H15" s="38" t="n">
        <v>400407</v>
      </c>
      <c r="I15" s="38" t="n">
        <v>494309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30 Jun</t>
        </is>
      </c>
      <c r="B16" s="16" t="inlineStr">
        <is>
          <t>30814</t>
        </is>
      </c>
      <c r="C16" s="16" t="n">
        <v>5940</v>
      </c>
      <c r="D16" s="16" t="n">
        <v>5940</v>
      </c>
      <c r="E16" s="16" t="n">
        <v>4913</v>
      </c>
      <c r="F16" s="38" t="n">
        <v>363313</v>
      </c>
      <c r="G16" s="38" t="n">
        <v>494979</v>
      </c>
      <c r="H16" s="38" t="n">
        <v>400418</v>
      </c>
      <c r="I16" s="38" t="n">
        <v>494312</v>
      </c>
      <c r="J16" s="19">
        <f>(I16-H16)/1000</f>
        <v/>
      </c>
      <c r="K16" s="16" t="inlineStr">
        <is>
          <t>Yes</t>
        </is>
      </c>
      <c r="L16" s="16" t="n">
        <v>23</v>
      </c>
      <c r="M16" s="39" t="inlineStr">
        <is>
          <t>- (full trip)</t>
        </is>
      </c>
    </row>
    <row r="17">
      <c r="A17" s="16" t="inlineStr">
        <is>
          <t>30 Jun</t>
        </is>
      </c>
      <c r="B17" s="16" t="inlineStr">
        <is>
          <t>39287</t>
        </is>
      </c>
      <c r="C17" s="16" t="n">
        <v>4582</v>
      </c>
      <c r="D17" s="16" t="n">
        <v>4582</v>
      </c>
      <c r="E17" s="16" t="n">
        <v>3598</v>
      </c>
      <c r="F17" s="38" t="n">
        <v>375727</v>
      </c>
      <c r="G17" s="38" t="n">
        <v>495048</v>
      </c>
      <c r="H17" s="38" t="n">
        <v>400418</v>
      </c>
      <c r="I17" s="38" t="n">
        <v>494310</v>
      </c>
      <c r="J17" s="19">
        <f>(I17-H17)/1000</f>
        <v/>
      </c>
      <c r="K17" s="16" t="inlineStr">
        <is>
          <t>Yes</t>
        </is>
      </c>
      <c r="L17" s="16" t="n">
        <v>23</v>
      </c>
      <c r="M17" s="39" t="inlineStr">
        <is>
          <t>- (full trip)</t>
        </is>
      </c>
    </row>
    <row r="18">
      <c r="A18" s="16" t="inlineStr">
        <is>
          <t>30 Jun</t>
        </is>
      </c>
      <c r="B18" s="16" t="inlineStr">
        <is>
          <t>37086</t>
        </is>
      </c>
      <c r="C18" s="16" t="n">
        <v>6102</v>
      </c>
      <c r="D18" s="16" t="n">
        <v>6102</v>
      </c>
      <c r="E18" s="16" t="n">
        <v>4596</v>
      </c>
      <c r="F18" s="38" t="n">
        <v>361574</v>
      </c>
      <c r="G18" s="38" t="n">
        <v>495780</v>
      </c>
      <c r="H18" s="38" t="n">
        <v>400428</v>
      </c>
      <c r="I18" s="38" t="n">
        <v>494311</v>
      </c>
      <c r="J18" s="19">
        <f>(I18-H18)/1000</f>
        <v/>
      </c>
      <c r="K18" s="16" t="inlineStr">
        <is>
          <t>Yes</t>
        </is>
      </c>
      <c r="L18" s="16" t="n">
        <v>23</v>
      </c>
      <c r="M18" s="39" t="inlineStr">
        <is>
          <t>- (full trip)</t>
        </is>
      </c>
    </row>
    <row r="19">
      <c r="A19" s="16" t="inlineStr">
        <is>
          <t>30 Jun</t>
        </is>
      </c>
      <c r="B19" s="16" t="inlineStr">
        <is>
          <t>37812</t>
        </is>
      </c>
      <c r="C19" s="16" t="n">
        <v>4165</v>
      </c>
      <c r="D19" s="16" t="n">
        <v>4165</v>
      </c>
      <c r="E19" s="16" t="n">
        <v>3256</v>
      </c>
      <c r="F19" s="38" t="n">
        <v>360712</v>
      </c>
      <c r="G19" s="38" t="n">
        <v>495797</v>
      </c>
      <c r="H19" s="38" t="n">
        <v>400432</v>
      </c>
      <c r="I19" s="38" t="n">
        <v>494307</v>
      </c>
      <c r="J19" s="19">
        <f>(I19-H19)/1000</f>
        <v/>
      </c>
      <c r="K19" s="16" t="inlineStr">
        <is>
          <t>Yes</t>
        </is>
      </c>
      <c r="L19" s="16" t="n">
        <v>23</v>
      </c>
      <c r="M19" s="39" t="inlineStr">
        <is>
          <t>- (full trip)</t>
        </is>
      </c>
    </row>
    <row r="20">
      <c r="A20" s="16" t="inlineStr">
        <is>
          <t>30 Jun</t>
        </is>
      </c>
      <c r="B20" s="16" t="inlineStr">
        <is>
          <t>39248</t>
        </is>
      </c>
      <c r="C20" s="16" t="n">
        <v>4980</v>
      </c>
      <c r="D20" s="16" t="n">
        <v>4980</v>
      </c>
      <c r="E20" s="16" t="n">
        <v>4006</v>
      </c>
      <c r="F20" s="38" t="n">
        <v>355674</v>
      </c>
      <c r="G20" s="38" t="n">
        <v>495732</v>
      </c>
      <c r="H20" s="38" t="n">
        <v>400428</v>
      </c>
      <c r="I20" s="38" t="n">
        <v>494310</v>
      </c>
      <c r="J20" s="19">
        <f>(I20-H20)/1000</f>
        <v/>
      </c>
      <c r="K20" s="16" t="inlineStr">
        <is>
          <t>Yes</t>
        </is>
      </c>
      <c r="L20" s="16" t="n">
        <v>23</v>
      </c>
      <c r="M20" s="39" t="inlineStr">
        <is>
          <t>- (full trip)</t>
        </is>
      </c>
    </row>
    <row r="21">
      <c r="A21" s="16" t="inlineStr">
        <is>
          <t>30 Jun</t>
        </is>
      </c>
      <c r="B21" s="16" t="inlineStr">
        <is>
          <t>30606</t>
        </is>
      </c>
      <c r="C21" s="16" t="n">
        <v>5637</v>
      </c>
      <c r="D21" s="16" t="n">
        <v>5637</v>
      </c>
      <c r="E21" s="16" t="n">
        <v>4713</v>
      </c>
      <c r="F21" s="38" t="n">
        <v>370124</v>
      </c>
      <c r="G21" s="38" t="n">
        <v>495810</v>
      </c>
      <c r="H21" s="38" t="n">
        <v>400442</v>
      </c>
      <c r="I21" s="38" t="n">
        <v>494309</v>
      </c>
      <c r="J21" s="19">
        <f>(I21-H21)/1000</f>
        <v/>
      </c>
      <c r="K21" s="16" t="inlineStr">
        <is>
          <t>Yes</t>
        </is>
      </c>
      <c r="L21" s="16" t="n">
        <v>23</v>
      </c>
      <c r="M21" s="39" t="inlineStr">
        <is>
          <t>- (full trip)</t>
        </is>
      </c>
    </row>
    <row r="22">
      <c r="A22" s="16" t="inlineStr">
        <is>
          <t>30 Jun</t>
        </is>
      </c>
      <c r="B22" s="16" t="inlineStr">
        <is>
          <t>30634</t>
        </is>
      </c>
      <c r="C22" s="16" t="n">
        <v>5508</v>
      </c>
      <c r="D22" s="16" t="n">
        <v>5193</v>
      </c>
      <c r="E22" s="16" t="n">
        <v>4223</v>
      </c>
      <c r="F22" s="38" t="n">
        <v>361630</v>
      </c>
      <c r="G22" s="38" t="n">
        <v>495718</v>
      </c>
      <c r="H22" s="38" t="n">
        <v>400429</v>
      </c>
      <c r="I22" s="38" t="n">
        <v>494292</v>
      </c>
      <c r="J22" s="19">
        <f>(I22-H22)/1000</f>
        <v/>
      </c>
      <c r="K22" s="16" t="inlineStr">
        <is>
          <t>Yes</t>
        </is>
      </c>
      <c r="L22" s="16" t="n">
        <v>23</v>
      </c>
      <c r="M22" s="39" t="inlineStr">
        <is>
          <t>- (full trip)</t>
        </is>
      </c>
    </row>
    <row r="23">
      <c r="A23" s="16" t="inlineStr">
        <is>
          <t>30 Jun</t>
        </is>
      </c>
      <c r="B23" s="16" t="inlineStr">
        <is>
          <t>39214</t>
        </is>
      </c>
      <c r="C23" s="16" t="n">
        <v>4436</v>
      </c>
      <c r="D23" s="16" t="n">
        <v>4434</v>
      </c>
      <c r="E23" s="16" t="n">
        <v>3824</v>
      </c>
      <c r="F23" s="38" t="n">
        <v>370246</v>
      </c>
      <c r="G23" s="38" t="n">
        <v>495779</v>
      </c>
      <c r="H23" s="38" t="n">
        <v>400452</v>
      </c>
      <c r="I23" s="38" t="n">
        <v>494300</v>
      </c>
      <c r="J23" s="19">
        <f>(I23-H23)/1000</f>
        <v/>
      </c>
      <c r="K23" s="16" t="inlineStr">
        <is>
          <t>Yes</t>
        </is>
      </c>
      <c r="L23" s="16" t="n">
        <v>23</v>
      </c>
      <c r="M23" s="39" t="inlineStr">
        <is>
          <t>- (full trip)</t>
        </is>
      </c>
    </row>
    <row r="24">
      <c r="A24" s="16" t="inlineStr">
        <is>
          <t>30 Jun</t>
        </is>
      </c>
      <c r="B24" s="16" t="inlineStr">
        <is>
          <t>37396</t>
        </is>
      </c>
      <c r="C24" s="16" t="n">
        <v>4697</v>
      </c>
      <c r="D24" s="16" t="n">
        <v>4692</v>
      </c>
      <c r="E24" s="16" t="n">
        <v>4126</v>
      </c>
      <c r="F24" s="38" t="n">
        <v>363462</v>
      </c>
      <c r="G24" s="38" t="n">
        <v>494251</v>
      </c>
      <c r="H24" s="38" t="n">
        <v>400435</v>
      </c>
      <c r="I24" s="38" t="n">
        <v>494251</v>
      </c>
      <c r="J24" s="19">
        <f>(I24-H24)/1000</f>
        <v/>
      </c>
      <c r="K24" s="16" t="inlineStr">
        <is>
          <t>Yes</t>
        </is>
      </c>
      <c r="L24" s="16" t="n">
        <v>23</v>
      </c>
      <c r="M24" s="39" t="inlineStr">
        <is>
          <t>- (full trip)</t>
        </is>
      </c>
    </row>
    <row r="25">
      <c r="A25" s="16" t="inlineStr">
        <is>
          <t>30 Jun</t>
        </is>
      </c>
      <c r="B25" s="16" t="inlineStr">
        <is>
          <t>39258</t>
        </is>
      </c>
      <c r="C25" s="16" t="n">
        <v>5318</v>
      </c>
      <c r="D25" s="16" t="n">
        <v>5318</v>
      </c>
      <c r="E25" s="16" t="n">
        <v>5063</v>
      </c>
      <c r="F25" s="38" t="n">
        <v>400992</v>
      </c>
      <c r="G25" s="38" t="n">
        <v>495778</v>
      </c>
      <c r="H25" s="38" t="n">
        <v>400992</v>
      </c>
      <c r="I25" s="38" t="n">
        <v>494310</v>
      </c>
      <c r="J25" s="19">
        <f>(I25-H25)/1000</f>
        <v/>
      </c>
      <c r="K25" s="16" t="inlineStr">
        <is>
          <t>Yes</t>
        </is>
      </c>
      <c r="L25" s="16" t="n">
        <v>23</v>
      </c>
      <c r="M25" s="39" t="inlineStr">
        <is>
          <t>- (full trip)</t>
        </is>
      </c>
    </row>
    <row r="26">
      <c r="A26" s="16" t="inlineStr">
        <is>
          <t>30 Jun</t>
        </is>
      </c>
      <c r="B26" s="16" t="inlineStr">
        <is>
          <t>37112</t>
        </is>
      </c>
      <c r="C26" s="16" t="n">
        <v>3976</v>
      </c>
      <c r="D26" s="16" t="n">
        <v>3976</v>
      </c>
      <c r="E26" s="16" t="n">
        <v>3748</v>
      </c>
      <c r="F26" s="38" t="n">
        <v>402835</v>
      </c>
      <c r="G26" s="38" t="n">
        <v>494976</v>
      </c>
      <c r="H26" s="38" t="n">
        <v>402835</v>
      </c>
      <c r="I26" s="38" t="n">
        <v>494310</v>
      </c>
      <c r="J26" s="19">
        <f>(I26-H26)/1000</f>
        <v/>
      </c>
      <c r="K26" s="16" t="inlineStr">
        <is>
          <t>Yes</t>
        </is>
      </c>
      <c r="L26" s="16" t="n">
        <v>23</v>
      </c>
      <c r="M26" s="39" t="inlineStr">
        <is>
          <t>- (full trip)</t>
        </is>
      </c>
    </row>
    <row r="27">
      <c r="A27" s="16" t="inlineStr">
        <is>
          <t>30 Jun</t>
        </is>
      </c>
      <c r="B27" s="16" t="inlineStr">
        <is>
          <t>39259</t>
        </is>
      </c>
      <c r="C27" s="16" t="n">
        <v>4291</v>
      </c>
      <c r="D27" s="16" t="n">
        <v>4291</v>
      </c>
      <c r="E27" s="16" t="n">
        <v>3941</v>
      </c>
      <c r="F27" s="38" t="n">
        <v>361907</v>
      </c>
      <c r="G27" s="38" t="n">
        <v>495775</v>
      </c>
      <c r="H27" s="38" t="n">
        <v>403432</v>
      </c>
      <c r="I27" s="38" t="n">
        <v>494308</v>
      </c>
      <c r="J27" s="19">
        <f>(I27-H27)/1000</f>
        <v/>
      </c>
      <c r="K27" s="16" t="inlineStr">
        <is>
          <t>Yes</t>
        </is>
      </c>
      <c r="L27" s="16" t="n">
        <v>23</v>
      </c>
      <c r="M27" s="39" t="inlineStr">
        <is>
          <t>- (full trip)</t>
        </is>
      </c>
    </row>
    <row r="28">
      <c r="A28" s="16" t="inlineStr">
        <is>
          <t>30 Jun</t>
        </is>
      </c>
      <c r="B28" s="16" t="inlineStr">
        <is>
          <t>41529</t>
        </is>
      </c>
      <c r="C28" s="16" t="n">
        <v>6398</v>
      </c>
      <c r="D28" s="16" t="n">
        <v>6308</v>
      </c>
      <c r="E28" s="16" t="n">
        <v>6308</v>
      </c>
      <c r="F28" s="38" t="n">
        <v>402592</v>
      </c>
      <c r="G28" s="38" t="n">
        <v>491530</v>
      </c>
      <c r="H28" s="38" t="n">
        <v>402592</v>
      </c>
      <c r="I28" s="38" t="n">
        <v>491530</v>
      </c>
      <c r="J28" s="19">
        <f>(I28-H28)/1000</f>
        <v/>
      </c>
      <c r="K28" s="16" t="inlineStr">
        <is>
          <t>Yes</t>
        </is>
      </c>
      <c r="L28" s="16" t="n">
        <v>22</v>
      </c>
      <c r="M28" s="39" t="inlineStr">
        <is>
          <t>- (full trip)</t>
        </is>
      </c>
    </row>
    <row r="29">
      <c r="A29" s="16" t="inlineStr">
        <is>
          <t>30 Jun</t>
        </is>
      </c>
      <c r="B29" s="16" t="inlineStr">
        <is>
          <t>37504</t>
        </is>
      </c>
      <c r="C29" s="16" t="n">
        <v>4258</v>
      </c>
      <c r="D29" s="16" t="n">
        <v>4258</v>
      </c>
      <c r="E29" s="16" t="n">
        <v>3452</v>
      </c>
      <c r="F29" s="38" t="n">
        <v>380689</v>
      </c>
      <c r="G29" s="38" t="n">
        <v>486351</v>
      </c>
      <c r="H29" s="38" t="n">
        <v>400470</v>
      </c>
      <c r="I29" s="38" t="n">
        <v>486351</v>
      </c>
      <c r="J29" s="19">
        <f>(I29-H29)/1000</f>
        <v/>
      </c>
      <c r="K29" s="16" t="inlineStr">
        <is>
          <t>Yes</t>
        </is>
      </c>
      <c r="L29" s="16" t="n">
        <v>21</v>
      </c>
      <c r="M29" s="39" t="inlineStr">
        <is>
          <t>KANKARIYA CABIN, AHMEDABAD Jn</t>
        </is>
      </c>
    </row>
    <row r="30">
      <c r="A30" s="16" t="inlineStr">
        <is>
          <t>30 Jun</t>
        </is>
      </c>
      <c r="B30" s="16" t="inlineStr">
        <is>
          <t>43897</t>
        </is>
      </c>
      <c r="C30" s="16" t="n">
        <v>4710</v>
      </c>
      <c r="D30" s="16" t="n">
        <v>4668</v>
      </c>
      <c r="E30" s="16" t="n">
        <v>4668</v>
      </c>
      <c r="F30" s="38" t="n">
        <v>403416</v>
      </c>
      <c r="G30" s="38" t="n">
        <v>487744</v>
      </c>
      <c r="H30" s="38" t="n">
        <v>403416</v>
      </c>
      <c r="I30" s="38" t="n">
        <v>487744</v>
      </c>
      <c r="J30" s="19">
        <f>(I30-H30)/1000</f>
        <v/>
      </c>
      <c r="K30" s="16" t="inlineStr">
        <is>
          <t>Yes</t>
        </is>
      </c>
      <c r="L30" s="16" t="n">
        <v>21</v>
      </c>
      <c r="M30" s="39" t="inlineStr">
        <is>
          <t>KANKARIYA CABIN, AHMEDABAD Jn</t>
        </is>
      </c>
    </row>
    <row r="31" ht="34" customHeight="1">
      <c r="A31" s="16" t="inlineStr">
        <is>
          <t>30 Jun</t>
        </is>
      </c>
      <c r="B31" s="16" t="inlineStr">
        <is>
          <t>45035</t>
        </is>
      </c>
      <c r="C31" s="16" t="n">
        <v>3253</v>
      </c>
      <c r="D31" s="16" t="n">
        <v>3217</v>
      </c>
      <c r="E31" s="16" t="n">
        <v>3015</v>
      </c>
      <c r="F31" s="38" t="n">
        <v>435174</v>
      </c>
      <c r="G31" s="38" t="n">
        <v>494901</v>
      </c>
      <c r="H31" s="38" t="n">
        <v>435174</v>
      </c>
      <c r="I31" s="38" t="n">
        <v>494311</v>
      </c>
      <c r="J31" s="19">
        <f>(I31-H31)/1000</f>
        <v/>
      </c>
      <c r="K31" s="16" t="inlineStr">
        <is>
          <t>Yes</t>
        </is>
      </c>
      <c r="L31" s="16" t="n">
        <v>15</v>
      </c>
      <c r="M31" s="39" t="inlineStr">
        <is>
          <t>BAJWA, RANOLI, LC-246, VASAD, ADAS ROAD, VADOD, LC-258, ANAND Jn</t>
        </is>
      </c>
    </row>
    <row r="32" ht="49" customHeight="1">
      <c r="A32" s="16" t="inlineStr">
        <is>
          <t>30 Jun</t>
        </is>
      </c>
      <c r="B32" s="16" t="inlineStr">
        <is>
          <t>37839</t>
        </is>
      </c>
      <c r="C32" s="16" t="n">
        <v>2100</v>
      </c>
      <c r="D32" s="16" t="n">
        <v>2100</v>
      </c>
      <c r="E32" s="16" t="n">
        <v>1526</v>
      </c>
      <c r="F32" s="38" t="n">
        <v>362932</v>
      </c>
      <c r="G32" s="38" t="n">
        <v>453789</v>
      </c>
      <c r="H32" s="38" t="n">
        <v>400512</v>
      </c>
      <c r="I32" s="38" t="n">
        <v>453789</v>
      </c>
      <c r="J32" s="19">
        <f>(I32-H32)/1000</f>
        <v/>
      </c>
      <c r="K32" s="16" t="inlineStr">
        <is>
          <t>Yes</t>
        </is>
      </c>
      <c r="L32" s="16" t="n">
        <v>13</v>
      </c>
      <c r="M32" s="39" t="inlineStr">
        <is>
          <t>GOTHAJ, LC-286, MAHEMDABAD AND KHEDA ROAD, LC-294, KANIJ, BAREJADI NANDEJ, GERATPUR, VATVA, KANKARIYA CABIN, AHMEDABAD Jn</t>
        </is>
      </c>
    </row>
    <row r="33" ht="49" customHeight="1">
      <c r="A33" s="16" t="inlineStr">
        <is>
          <t>30 Jun</t>
        </is>
      </c>
      <c r="B33" s="16" t="inlineStr">
        <is>
          <t>45026</t>
        </is>
      </c>
      <c r="C33" s="16" t="n">
        <v>1681</v>
      </c>
      <c r="D33" s="16" t="n">
        <v>1681</v>
      </c>
      <c r="E33" s="16" t="n">
        <v>1336</v>
      </c>
      <c r="F33" s="38" t="n">
        <v>397493</v>
      </c>
      <c r="G33" s="38" t="n">
        <v>453569</v>
      </c>
      <c r="H33" s="38" t="n">
        <v>400401</v>
      </c>
      <c r="I33" s="38" t="n">
        <v>453569</v>
      </c>
      <c r="J33" s="19">
        <f>(I33-H33)/1000</f>
        <v/>
      </c>
      <c r="K33" s="16" t="inlineStr">
        <is>
          <t>Yes</t>
        </is>
      </c>
      <c r="L33" s="16" t="n">
        <v>13</v>
      </c>
      <c r="M33" s="39" t="inlineStr">
        <is>
          <t>GOTHAJ, LC-286, MAHEMDABAD AND KHEDA ROAD, LC-294, KANIJ, BAREJADI NANDEJ, GERATPUR, VATVA, KANKARIYA CABIN, AHMEDABAD Jn</t>
        </is>
      </c>
    </row>
    <row r="34" ht="49" customHeight="1">
      <c r="A34" s="16" t="inlineStr">
        <is>
          <t>30 Jun</t>
        </is>
      </c>
      <c r="B34" s="16" t="inlineStr">
        <is>
          <t>39487</t>
        </is>
      </c>
      <c r="C34" s="16" t="n">
        <v>5479</v>
      </c>
      <c r="D34" s="16" t="n">
        <v>5479</v>
      </c>
      <c r="E34" s="16" t="n">
        <v>5479</v>
      </c>
      <c r="F34" s="38" t="n">
        <v>400991</v>
      </c>
      <c r="G34" s="38" t="n">
        <v>452677</v>
      </c>
      <c r="H34" s="38" t="n">
        <v>400991</v>
      </c>
      <c r="I34" s="38" t="n">
        <v>452677</v>
      </c>
      <c r="J34" s="19">
        <f>(I34-H34)/1000</f>
        <v/>
      </c>
      <c r="K34" s="16" t="inlineStr">
        <is>
          <t>Yes</t>
        </is>
      </c>
      <c r="L34" s="16" t="n">
        <v>12</v>
      </c>
      <c r="M34" s="39" t="inlineStr">
        <is>
          <t>LC-278, GOTHAJ, LC-286, MAHEMDABAD AND KHEDA ROAD, LC-294, KANIJ, BAREJADI NANDEJ, GERATPUR, VATVA, KANKARIYA CABIN, AHMEDABAD Jn</t>
        </is>
      </c>
    </row>
    <row r="35" ht="34" customHeight="1">
      <c r="A35" s="16" t="inlineStr">
        <is>
          <t>30 Jun</t>
        </is>
      </c>
      <c r="B35" s="16" t="inlineStr">
        <is>
          <t>30770</t>
        </is>
      </c>
      <c r="C35" s="16" t="n">
        <v>2691</v>
      </c>
      <c r="D35" s="16" t="n">
        <v>2691</v>
      </c>
      <c r="E35" s="16" t="n">
        <v>2439</v>
      </c>
      <c r="F35" s="38" t="n">
        <v>442660</v>
      </c>
      <c r="G35" s="38" t="n">
        <v>494975</v>
      </c>
      <c r="H35" s="38" t="n">
        <v>442660</v>
      </c>
      <c r="I35" s="38" t="n">
        <v>494311</v>
      </c>
      <c r="J35" s="19">
        <f>(I35-H35)/1000</f>
        <v/>
      </c>
      <c r="K35" s="16" t="inlineStr">
        <is>
          <t>Yes</t>
        </is>
      </c>
      <c r="L35" s="16" t="n">
        <v>13</v>
      </c>
      <c r="M35" s="39" t="inlineStr">
        <is>
          <t>BAJWA, RANOLI, LC-246, VASAD, ADAS ROAD, VADOD, LC-258, ANAND Jn, LC-264, KANJARI BORIYAVI</t>
        </is>
      </c>
    </row>
    <row r="36" ht="49" customHeight="1">
      <c r="A36" s="16" t="inlineStr">
        <is>
          <t>30 Jun</t>
        </is>
      </c>
      <c r="B36" s="16" t="inlineStr">
        <is>
          <t>30480</t>
        </is>
      </c>
      <c r="C36" s="16" t="n">
        <v>5505</v>
      </c>
      <c r="D36" s="16" t="n">
        <v>5505</v>
      </c>
      <c r="E36" s="16" t="n">
        <v>4179</v>
      </c>
      <c r="F36" s="38" t="n">
        <v>363326</v>
      </c>
      <c r="G36" s="38" t="n">
        <v>444700</v>
      </c>
      <c r="H36" s="38" t="n">
        <v>400399</v>
      </c>
      <c r="I36" s="38" t="n">
        <v>444700</v>
      </c>
      <c r="J36" s="19">
        <f>(I36-H36)/1000</f>
        <v/>
      </c>
      <c r="K36" s="16" t="inlineStr">
        <is>
          <t>Yes</t>
        </is>
      </c>
      <c r="L36" s="16" t="n">
        <v>11</v>
      </c>
      <c r="M36" s="39" t="inlineStr">
        <is>
          <t>NADIAD, LC-278, GOTHAJ, LC-286, MAHEMDABAD AND KHEDA ROAD, LC-294, KANIJ, BAREJADI NANDEJ, GERATPUR, VATVA, KANKARIYA CABIN, AHMEDABAD Jn</t>
        </is>
      </c>
    </row>
    <row r="37" ht="34" customHeight="1">
      <c r="A37" s="16" t="inlineStr">
        <is>
          <t>30 Jun</t>
        </is>
      </c>
      <c r="B37" s="16" t="inlineStr">
        <is>
          <t>37388</t>
        </is>
      </c>
      <c r="C37" s="16" t="n">
        <v>2383</v>
      </c>
      <c r="D37" s="16" t="n">
        <v>2383</v>
      </c>
      <c r="E37" s="16" t="n">
        <v>2083</v>
      </c>
      <c r="F37" s="38" t="n">
        <v>453333</v>
      </c>
      <c r="G37" s="38" t="n">
        <v>495708</v>
      </c>
      <c r="H37" s="38" t="n">
        <v>453333</v>
      </c>
      <c r="I37" s="38" t="n">
        <v>494310</v>
      </c>
      <c r="J37" s="19">
        <f>(I37-H37)/1000</f>
        <v/>
      </c>
      <c r="K37" s="16" t="inlineStr">
        <is>
          <t>Yes</t>
        </is>
      </c>
      <c r="L37" s="16" t="n">
        <v>12</v>
      </c>
      <c r="M37" s="39" t="inlineStr">
        <is>
          <t>BAJWA, RANOLI, LC-246, VASAD, ADAS ROAD, VADOD, LC-258, ANAND Jn, LC-264, KANJARI BORIYAVI, UTARSANDA</t>
        </is>
      </c>
    </row>
    <row r="38" ht="49" customHeight="1">
      <c r="A38" s="16" t="inlineStr">
        <is>
          <t>30 Jun</t>
        </is>
      </c>
      <c r="B38" s="16" t="inlineStr">
        <is>
          <t>37489</t>
        </is>
      </c>
      <c r="C38" s="16" t="n">
        <v>3928</v>
      </c>
      <c r="D38" s="16" t="n">
        <v>3928</v>
      </c>
      <c r="E38" s="16" t="n">
        <v>1036</v>
      </c>
      <c r="F38" s="38" t="n">
        <v>363413</v>
      </c>
      <c r="G38" s="38" t="n">
        <v>440966</v>
      </c>
      <c r="H38" s="38" t="n">
        <v>400439</v>
      </c>
      <c r="I38" s="38" t="n">
        <v>440966</v>
      </c>
      <c r="J38" s="19">
        <f>(I38-H38)/1000</f>
        <v/>
      </c>
      <c r="K38" s="16" t="inlineStr">
        <is>
          <t>Yes</t>
        </is>
      </c>
      <c r="L38" s="16" t="n">
        <v>10</v>
      </c>
      <c r="M38" s="39" t="inlineStr">
        <is>
          <t>UTARSANDA, NADIAD, LC-278, GOTHAJ, LC-286, MAHEMDABAD AND KHEDA ROAD, LC-294, KANIJ, BAREJADI NANDEJ, GERATPUR, VATVA, KANKARIYA CABIN, AHMEDABAD Jn</t>
        </is>
      </c>
    </row>
    <row r="39" ht="49" customHeight="1">
      <c r="A39" s="16" t="inlineStr">
        <is>
          <t>30 Jun</t>
        </is>
      </c>
      <c r="B39" s="16" t="inlineStr">
        <is>
          <t>37569</t>
        </is>
      </c>
      <c r="C39" s="16" t="n">
        <v>1289</v>
      </c>
      <c r="D39" s="16" t="n">
        <v>1289</v>
      </c>
      <c r="E39" s="16" t="n">
        <v>687</v>
      </c>
      <c r="F39" s="38" t="n">
        <v>370047</v>
      </c>
      <c r="G39" s="38" t="n">
        <v>437387</v>
      </c>
      <c r="H39" s="38" t="n">
        <v>400401</v>
      </c>
      <c r="I39" s="38" t="n">
        <v>437387</v>
      </c>
      <c r="J39" s="19">
        <f>(I39-H39)/1000</f>
        <v/>
      </c>
      <c r="K39" s="16" t="inlineStr">
        <is>
          <t>Yes</t>
        </is>
      </c>
      <c r="L39" s="16" t="n">
        <v>10</v>
      </c>
      <c r="M39" s="39" t="inlineStr">
        <is>
          <t>UTARSANDA, NADIAD, LC-278, GOTHAJ, LC-286, MAHEMDABAD AND KHEDA ROAD, LC-294, KANIJ, BAREJADI NANDEJ, GERATPUR, VATVA, KANKARIYA CABIN, AHMEDABAD Jn</t>
        </is>
      </c>
    </row>
    <row r="40" ht="49" customHeight="1">
      <c r="A40" s="16" t="inlineStr">
        <is>
          <t>30 Jun</t>
        </is>
      </c>
      <c r="B40" s="16" t="inlineStr">
        <is>
          <t>39331</t>
        </is>
      </c>
      <c r="C40" s="16" t="n">
        <v>1640</v>
      </c>
      <c r="D40" s="16" t="n">
        <v>1640</v>
      </c>
      <c r="E40" s="16" t="n">
        <v>847</v>
      </c>
      <c r="F40" s="38" t="n">
        <v>361480</v>
      </c>
      <c r="G40" s="38" t="n">
        <v>437291</v>
      </c>
      <c r="H40" s="38" t="n">
        <v>400400</v>
      </c>
      <c r="I40" s="38" t="n">
        <v>437291</v>
      </c>
      <c r="J40" s="19">
        <f>(I40-H40)/1000</f>
        <v/>
      </c>
      <c r="K40" s="16" t="inlineStr">
        <is>
          <t>Yes</t>
        </is>
      </c>
      <c r="L40" s="16" t="n">
        <v>10</v>
      </c>
      <c r="M40" s="39" t="inlineStr">
        <is>
          <t>UTARSANDA, NADIAD, LC-278, GOTHAJ, LC-286, MAHEMDABAD AND KHEDA ROAD, LC-294, KANIJ, BAREJADI NANDEJ, GERATPUR, VATVA, KANKARIYA CABIN, AHMEDABAD Jn</t>
        </is>
      </c>
    </row>
    <row r="41" ht="49" customHeight="1">
      <c r="A41" s="16" t="inlineStr">
        <is>
          <t>30 Jun</t>
        </is>
      </c>
      <c r="B41" s="16" t="inlineStr">
        <is>
          <t>30757</t>
        </is>
      </c>
      <c r="C41" s="16" t="n">
        <v>2818</v>
      </c>
      <c r="D41" s="16" t="n">
        <v>2818</v>
      </c>
      <c r="E41" s="16" t="n">
        <v>737</v>
      </c>
      <c r="F41" s="38" t="n">
        <v>361625</v>
      </c>
      <c r="G41" s="38" t="n">
        <v>437272</v>
      </c>
      <c r="H41" s="38" t="n">
        <v>400405</v>
      </c>
      <c r="I41" s="38" t="n">
        <v>437272</v>
      </c>
      <c r="J41" s="19">
        <f>(I41-H41)/1000</f>
        <v/>
      </c>
      <c r="K41" s="16" t="inlineStr">
        <is>
          <t>Yes</t>
        </is>
      </c>
      <c r="L41" s="16" t="n">
        <v>10</v>
      </c>
      <c r="M41" s="39" t="inlineStr">
        <is>
          <t>UTARSANDA, NADIAD, LC-278, GOTHAJ, LC-286, MAHEMDABAD AND KHEDA ROAD, LC-294, KANIJ, BAREJADI NANDEJ, GERATPUR, VATVA, KANKARIYA CABIN, AHMEDABAD Jn</t>
        </is>
      </c>
    </row>
    <row r="42" ht="49" customHeight="1">
      <c r="A42" s="16" t="inlineStr">
        <is>
          <t>30 Jun</t>
        </is>
      </c>
      <c r="B42" s="16" t="inlineStr">
        <is>
          <t>39053</t>
        </is>
      </c>
      <c r="C42" s="16" t="n">
        <v>996</v>
      </c>
      <c r="D42" s="16" t="n">
        <v>996</v>
      </c>
      <c r="E42" s="16" t="n">
        <v>539</v>
      </c>
      <c r="F42" s="38" t="n">
        <v>395886</v>
      </c>
      <c r="G42" s="38" t="n">
        <v>437271</v>
      </c>
      <c r="H42" s="38" t="n">
        <v>400404</v>
      </c>
      <c r="I42" s="38" t="n">
        <v>437271</v>
      </c>
      <c r="J42" s="19">
        <f>(I42-H42)/1000</f>
        <v/>
      </c>
      <c r="K42" s="16" t="inlineStr">
        <is>
          <t>Yes</t>
        </is>
      </c>
      <c r="L42" s="16" t="n">
        <v>10</v>
      </c>
      <c r="M42" s="39" t="inlineStr">
        <is>
          <t>UTARSANDA, NADIAD, LC-278, GOTHAJ, LC-286, MAHEMDABAD AND KHEDA ROAD, LC-294, KANIJ, BAREJADI NANDEJ, GERATPUR, VATVA, KANKARIYA CABIN, AHMEDABAD Jn</t>
        </is>
      </c>
    </row>
    <row r="43" ht="49" customHeight="1">
      <c r="A43" s="16" t="inlineStr">
        <is>
          <t>30 Jun</t>
        </is>
      </c>
      <c r="B43" s="16" t="inlineStr">
        <is>
          <t>39522</t>
        </is>
      </c>
      <c r="C43" s="16" t="n">
        <v>1149</v>
      </c>
      <c r="D43" s="16" t="n">
        <v>1149</v>
      </c>
      <c r="E43" s="16" t="n">
        <v>621</v>
      </c>
      <c r="F43" s="38" t="n">
        <v>370228</v>
      </c>
      <c r="G43" s="38" t="n">
        <v>437383</v>
      </c>
      <c r="H43" s="38" t="n">
        <v>400581</v>
      </c>
      <c r="I43" s="38" t="n">
        <v>437383</v>
      </c>
      <c r="J43" s="19">
        <f>(I43-H43)/1000</f>
        <v/>
      </c>
      <c r="K43" s="16" t="inlineStr">
        <is>
          <t>Yes</t>
        </is>
      </c>
      <c r="L43" s="16" t="n">
        <v>10</v>
      </c>
      <c r="M43" s="39" t="inlineStr">
        <is>
          <t>UTARSANDA, NADIAD, LC-278, GOTHAJ, LC-286, MAHEMDABAD AND KHEDA ROAD, LC-294, KANIJ, BAREJADI NANDEJ, GERATPUR, VATVA, KANKARIYA CABIN, AHMEDABAD Jn</t>
        </is>
      </c>
    </row>
    <row r="44" ht="49" customHeight="1">
      <c r="A44" s="16" t="inlineStr">
        <is>
          <t>30 Jun</t>
        </is>
      </c>
      <c r="B44" s="16" t="inlineStr">
        <is>
          <t>37582</t>
        </is>
      </c>
      <c r="C44" s="16" t="n">
        <v>818</v>
      </c>
      <c r="D44" s="16" t="n">
        <v>818</v>
      </c>
      <c r="E44" s="16" t="n">
        <v>367</v>
      </c>
      <c r="F44" s="38" t="n">
        <v>369856</v>
      </c>
      <c r="G44" s="38" t="n">
        <v>437097</v>
      </c>
      <c r="H44" s="38" t="n">
        <v>400399</v>
      </c>
      <c r="I44" s="38" t="n">
        <v>437097</v>
      </c>
      <c r="J44" s="19">
        <f>(I44-H44)/1000</f>
        <v/>
      </c>
      <c r="K44" s="16" t="inlineStr">
        <is>
          <t>Yes</t>
        </is>
      </c>
      <c r="L44" s="16" t="n">
        <v>10</v>
      </c>
      <c r="M44" s="39" t="inlineStr">
        <is>
          <t>UTARSANDA, NADIAD, LC-278, GOTHAJ, LC-286, MAHEMDABAD AND KHEDA ROAD, LC-294, KANIJ, BAREJADI NANDEJ, GERATPUR, VATVA, KANKARIYA CABIN, AHMEDABAD Jn</t>
        </is>
      </c>
    </row>
    <row r="45" ht="49" customHeight="1">
      <c r="A45" s="16" t="inlineStr">
        <is>
          <t>30 Jun</t>
        </is>
      </c>
      <c r="B45" s="16" t="inlineStr">
        <is>
          <t>39235</t>
        </is>
      </c>
      <c r="C45" s="16" t="n">
        <v>904</v>
      </c>
      <c r="D45" s="16" t="n">
        <v>904</v>
      </c>
      <c r="E45" s="16" t="n">
        <v>904</v>
      </c>
      <c r="F45" s="38" t="n">
        <v>403197</v>
      </c>
      <c r="G45" s="38" t="n">
        <v>437335</v>
      </c>
      <c r="H45" s="38" t="n">
        <v>403197</v>
      </c>
      <c r="I45" s="38" t="n">
        <v>437335</v>
      </c>
      <c r="J45" s="19">
        <f>(I45-H45)/1000</f>
        <v/>
      </c>
      <c r="K45" s="16" t="inlineStr">
        <is>
          <t>Yes</t>
        </is>
      </c>
      <c r="L45" s="16" t="n">
        <v>10</v>
      </c>
      <c r="M45" s="39" t="inlineStr">
        <is>
          <t>UTARSANDA, NADIAD, LC-278, GOTHAJ, LC-286, MAHEMDABAD AND KHEDA ROAD, LC-294, KANIJ, BAREJADI NANDEJ, GERATPUR, VATVA, KANKARIYA CABIN, AHMEDABAD Jn</t>
        </is>
      </c>
    </row>
    <row r="46" ht="49" customHeight="1">
      <c r="A46" s="16" t="inlineStr">
        <is>
          <t>30 Jun</t>
        </is>
      </c>
      <c r="B46" s="16" t="inlineStr">
        <is>
          <t>32763</t>
        </is>
      </c>
      <c r="C46" s="16" t="n">
        <v>2194</v>
      </c>
      <c r="D46" s="16" t="n">
        <v>2194</v>
      </c>
      <c r="E46" s="16" t="n">
        <v>2194</v>
      </c>
      <c r="F46" s="38" t="n">
        <v>403303</v>
      </c>
      <c r="G46" s="38" t="n">
        <v>437273</v>
      </c>
      <c r="H46" s="38" t="n">
        <v>403303</v>
      </c>
      <c r="I46" s="38" t="n">
        <v>437273</v>
      </c>
      <c r="J46" s="19">
        <f>(I46-H46)/1000</f>
        <v/>
      </c>
      <c r="K46" s="16" t="inlineStr">
        <is>
          <t>Yes</t>
        </is>
      </c>
      <c r="L46" s="16" t="n">
        <v>10</v>
      </c>
      <c r="M46" s="39" t="inlineStr">
        <is>
          <t>UTARSANDA, NADIAD, LC-278, GOTHAJ, LC-286, MAHEMDABAD AND KHEDA ROAD, LC-294, KANIJ, BAREJADI NANDEJ, GERATPUR, VATVA, KANKARIYA CABIN, AHMEDABAD Jn</t>
        </is>
      </c>
    </row>
    <row r="47" ht="49" customHeight="1">
      <c r="A47" s="16" t="inlineStr">
        <is>
          <t>30 Jun</t>
        </is>
      </c>
      <c r="B47" s="16" t="inlineStr">
        <is>
          <t>37660</t>
        </is>
      </c>
      <c r="C47" s="16" t="n">
        <v>1811</v>
      </c>
      <c r="D47" s="16" t="n">
        <v>1804</v>
      </c>
      <c r="E47" s="16" t="n">
        <v>1583</v>
      </c>
      <c r="F47" s="38" t="n">
        <v>477187</v>
      </c>
      <c r="G47" s="38" t="n">
        <v>494973</v>
      </c>
      <c r="H47" s="38" t="n">
        <v>477187</v>
      </c>
      <c r="I47" s="38" t="n">
        <v>494312</v>
      </c>
      <c r="J47" s="19">
        <f>(I47-H47)/1000</f>
        <v/>
      </c>
      <c r="K47" s="16" t="inlineStr">
        <is>
          <t>Yes</t>
        </is>
      </c>
      <c r="L47" s="16" t="n">
        <v>5</v>
      </c>
      <c r="M47" s="39" t="inlineStr">
        <is>
          <t>BAJWA, RANOLI, LC-246, VASAD, ADAS ROAD, VADOD, LC-258, ANAND Jn, LC-264, KANJARI BORIYAVI, UTARSANDA, NADIAD, LC-278, GOTHAJ, LC-286, MAHEMDABAD AND KHEDA ROAD, LC-294, KANIJ</t>
        </is>
      </c>
    </row>
    <row r="48" ht="64" customHeight="1">
      <c r="A48" s="16" t="inlineStr">
        <is>
          <t>30 Jun</t>
        </is>
      </c>
      <c r="B48" s="16" t="inlineStr">
        <is>
          <t>37507</t>
        </is>
      </c>
      <c r="C48" s="16" t="n">
        <v>1246</v>
      </c>
      <c r="D48" s="16" t="n">
        <v>1246</v>
      </c>
      <c r="E48" s="16" t="n">
        <v>277</v>
      </c>
      <c r="F48" s="38" t="n">
        <v>381542</v>
      </c>
      <c r="G48" s="38" t="n">
        <v>402381</v>
      </c>
      <c r="H48" s="38" t="n">
        <v>400405</v>
      </c>
      <c r="I48" s="38" t="n">
        <v>402381</v>
      </c>
      <c r="J48" s="19">
        <f>(I48-H48)/1000</f>
        <v/>
      </c>
      <c r="K48" s="16" t="inlineStr">
        <is>
          <t>Yes</t>
        </is>
      </c>
      <c r="L48" s="16" t="n">
        <v>1</v>
      </c>
      <c r="M48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 ht="64" customHeight="1">
      <c r="A49" s="31" t="inlineStr">
        <is>
          <t>30 Jun</t>
        </is>
      </c>
      <c r="B49" s="31" t="inlineStr">
        <is>
          <t>120850</t>
        </is>
      </c>
      <c r="C49" s="31" t="n">
        <v>279</v>
      </c>
      <c r="D49" s="31" t="n">
        <v>266</v>
      </c>
      <c r="E49" s="31" t="n">
        <v>0</v>
      </c>
      <c r="F49" s="40" t="n">
        <v>497733</v>
      </c>
      <c r="G49" s="40" t="n">
        <v>503755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 ht="64" customHeight="1">
      <c r="A50" s="31" t="inlineStr">
        <is>
          <t>30 Jun</t>
        </is>
      </c>
      <c r="B50" s="31" t="inlineStr">
        <is>
          <t>30166</t>
        </is>
      </c>
      <c r="C50" s="31" t="n">
        <v>12</v>
      </c>
      <c r="D50" s="31" t="n">
        <v>0</v>
      </c>
      <c r="E50" s="31" t="n">
        <v>0</v>
      </c>
      <c r="F50" s="40" t="inlineStr">
        <is>
          <t>-</t>
        </is>
      </c>
      <c r="G50" s="40" t="inlineStr">
        <is>
          <t>-</t>
        </is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 ht="64" customHeight="1">
      <c r="A51" s="31" t="inlineStr">
        <is>
          <t>30 Jun</t>
        </is>
      </c>
      <c r="B51" s="31" t="inlineStr">
        <is>
          <t>30300</t>
        </is>
      </c>
      <c r="C51" s="31" t="n">
        <v>1</v>
      </c>
      <c r="D51" s="31" t="n">
        <v>1</v>
      </c>
      <c r="E51" s="31" t="n">
        <v>0</v>
      </c>
      <c r="F51" s="40" t="n">
        <v>361467</v>
      </c>
      <c r="G51" s="40" t="n">
        <v>361467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 ht="64" customHeight="1">
      <c r="A52" s="31" t="inlineStr">
        <is>
          <t>30 Jun</t>
        </is>
      </c>
      <c r="B52" s="31" t="inlineStr">
        <is>
          <t>37196</t>
        </is>
      </c>
      <c r="C52" s="31" t="n">
        <v>1</v>
      </c>
      <c r="D52" s="31" t="n">
        <v>0</v>
      </c>
      <c r="E52" s="31" t="n">
        <v>0</v>
      </c>
      <c r="F52" s="40" t="inlineStr">
        <is>
          <t>-</t>
        </is>
      </c>
      <c r="G52" s="40" t="inlineStr">
        <is>
          <t>-</t>
        </is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 ht="64" customHeight="1">
      <c r="A53" s="31" t="inlineStr">
        <is>
          <t>30 Jun</t>
        </is>
      </c>
      <c r="B53" s="31" t="inlineStr">
        <is>
          <t>37279</t>
        </is>
      </c>
      <c r="C53" s="31" t="n">
        <v>766</v>
      </c>
      <c r="D53" s="31" t="n">
        <v>766</v>
      </c>
      <c r="E53" s="31" t="n">
        <v>0</v>
      </c>
      <c r="F53" s="40" t="n">
        <v>369972</v>
      </c>
      <c r="G53" s="40" t="n">
        <v>392954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1" t="inlineStr">
        <is>
          <t>No</t>
        </is>
      </c>
      <c r="L53" s="31" t="n">
        <v>0</v>
      </c>
      <c r="M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 ht="64" customHeight="1">
      <c r="A54" s="31" t="inlineStr">
        <is>
          <t>30 Jun</t>
        </is>
      </c>
      <c r="B54" s="31" t="inlineStr">
        <is>
          <t>37286</t>
        </is>
      </c>
      <c r="C54" s="31" t="n">
        <v>45</v>
      </c>
      <c r="D54" s="31" t="n">
        <v>0</v>
      </c>
      <c r="E54" s="31" t="n">
        <v>0</v>
      </c>
      <c r="F54" s="40" t="inlineStr">
        <is>
          <t>-</t>
        </is>
      </c>
      <c r="G54" s="40" t="inlineStr">
        <is>
          <t>-</t>
        </is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1" t="inlineStr">
        <is>
          <t>No</t>
        </is>
      </c>
      <c r="L54" s="31" t="n">
        <v>0</v>
      </c>
      <c r="M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 ht="64" customHeight="1">
      <c r="A55" s="31" t="inlineStr">
        <is>
          <t>30 Jun</t>
        </is>
      </c>
      <c r="B55" s="31" t="inlineStr">
        <is>
          <t>37471</t>
        </is>
      </c>
      <c r="C55" s="31" t="n">
        <v>17</v>
      </c>
      <c r="D55" s="31" t="n">
        <v>0</v>
      </c>
      <c r="E55" s="31" t="n">
        <v>0</v>
      </c>
      <c r="F55" s="40" t="inlineStr">
        <is>
          <t>-</t>
        </is>
      </c>
      <c r="G55" s="40" t="inlineStr">
        <is>
          <t>-</t>
        </is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1" t="inlineStr">
        <is>
          <t>No</t>
        </is>
      </c>
      <c r="L55" s="31" t="n">
        <v>0</v>
      </c>
      <c r="M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 ht="64" customHeight="1">
      <c r="A56" s="31" t="inlineStr">
        <is>
          <t>30 Jun</t>
        </is>
      </c>
      <c r="B56" s="31" t="inlineStr">
        <is>
          <t>37492</t>
        </is>
      </c>
      <c r="C56" s="31" t="n">
        <v>696</v>
      </c>
      <c r="D56" s="31" t="n">
        <v>696</v>
      </c>
      <c r="E56" s="31" t="n">
        <v>0</v>
      </c>
      <c r="F56" s="40" t="n">
        <v>361620</v>
      </c>
      <c r="G56" s="40" t="n">
        <v>385492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1" t="inlineStr">
        <is>
          <t>No</t>
        </is>
      </c>
      <c r="L56" s="31" t="n">
        <v>0</v>
      </c>
      <c r="M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 ht="64" customHeight="1">
      <c r="A57" s="31" t="inlineStr">
        <is>
          <t>30 Jun</t>
        </is>
      </c>
      <c r="B57" s="31" t="inlineStr">
        <is>
          <t>37746</t>
        </is>
      </c>
      <c r="C57" s="31" t="n">
        <v>131</v>
      </c>
      <c r="D57" s="31" t="n">
        <v>124</v>
      </c>
      <c r="E57" s="31" t="n">
        <v>0</v>
      </c>
      <c r="F57" s="40" t="n">
        <v>375055</v>
      </c>
      <c r="G57" s="40" t="n">
        <v>395293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1" t="inlineStr">
        <is>
          <t>No</t>
        </is>
      </c>
      <c r="L57" s="31" t="n">
        <v>0</v>
      </c>
      <c r="M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 ht="64" customHeight="1">
      <c r="A58" s="31" t="inlineStr">
        <is>
          <t>30 Jun</t>
        </is>
      </c>
      <c r="B58" s="31" t="inlineStr">
        <is>
          <t>37853</t>
        </is>
      </c>
      <c r="C58" s="31" t="n">
        <v>384</v>
      </c>
      <c r="D58" s="31" t="n">
        <v>384</v>
      </c>
      <c r="E58" s="31" t="n">
        <v>0</v>
      </c>
      <c r="F58" s="40" t="n">
        <v>361621</v>
      </c>
      <c r="G58" s="40" t="n">
        <v>395923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1" t="inlineStr">
        <is>
          <t>No</t>
        </is>
      </c>
      <c r="L58" s="31" t="n">
        <v>0</v>
      </c>
      <c r="M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 ht="64" customHeight="1">
      <c r="A59" s="31" t="inlineStr">
        <is>
          <t>30 Jun</t>
        </is>
      </c>
      <c r="B59" s="31" t="inlineStr">
        <is>
          <t>38805</t>
        </is>
      </c>
      <c r="C59" s="31" t="n">
        <v>325</v>
      </c>
      <c r="D59" s="31" t="n">
        <v>287</v>
      </c>
      <c r="E59" s="31" t="n">
        <v>0</v>
      </c>
      <c r="F59" s="40" t="n">
        <v>2499986</v>
      </c>
      <c r="G59" s="40" t="n">
        <v>2500596</v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1" t="inlineStr">
        <is>
          <t>No</t>
        </is>
      </c>
      <c r="L59" s="31" t="n">
        <v>0</v>
      </c>
      <c r="M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0" ht="64" customHeight="1">
      <c r="A60" s="31" t="inlineStr">
        <is>
          <t>30 Jun</t>
        </is>
      </c>
      <c r="B60" s="31" t="inlineStr">
        <is>
          <t>41668</t>
        </is>
      </c>
      <c r="C60" s="31" t="n">
        <v>6</v>
      </c>
      <c r="D60" s="31" t="n">
        <v>0</v>
      </c>
      <c r="E60" s="31" t="n">
        <v>0</v>
      </c>
      <c r="F60" s="40" t="inlineStr">
        <is>
          <t>-</t>
        </is>
      </c>
      <c r="G60" s="40" t="inlineStr">
        <is>
          <t>-</t>
        </is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1" t="inlineStr">
        <is>
          <t>No</t>
        </is>
      </c>
      <c r="L60" s="31" t="n">
        <v>0</v>
      </c>
      <c r="M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2026-07-01T01:32:41Z</dcterms:created>
  <dcterms:modified xsi:type="dcterms:W3CDTF">2026-07-01T07:13:44Z</dcterms:modified>
</cp:coreProperties>
</file>
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ER — Kavach Unified KPI</t>
        </is>
      </c>
    </row>
    <row r="2">
      <c r="A2" s="2" t="inlineStr">
        <is>
          <t>Period: Jun1 - Jun7 (custom)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Jun1 - Jun7 (custom)</t>
        </is>
      </c>
      <c r="B5" s="4" t="inlineStr">
        <is>
          <t>ER</t>
        </is>
      </c>
      <c r="C5" s="4" t="inlineStr">
        <is>
          <t>12000_HWH to 12062_CAM</t>
        </is>
      </c>
      <c r="D5" s="5">
        <f>'Daily Breakdown'!C223</f>
        <v/>
      </c>
      <c r="E5" s="6">
        <f>'Daily Breakdown'!D223</f>
        <v/>
      </c>
      <c r="F5" s="7">
        <f>'Daily Breakdown'!G223</f>
        <v/>
      </c>
      <c r="G5" s="5">
        <f>'Daily Breakdown'!H223</f>
        <v/>
      </c>
      <c r="H5" s="8">
        <f>'Daily Breakdown'!I223</f>
        <v/>
      </c>
      <c r="I5" s="8">
        <f>'Daily Breakdown'!J223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Breakdown'!K223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44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 Jun</t>
        </is>
      </c>
      <c r="B4" s="15" t="inlineStr">
        <is>
          <t>37585</t>
        </is>
      </c>
      <c r="C4" s="16" t="n">
        <v>1</v>
      </c>
      <c r="D4" s="17" t="n">
        <v>243.75</v>
      </c>
      <c r="E4" s="18" t="n">
        <v>11948</v>
      </c>
      <c r="F4" s="18" t="n">
        <v>12680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13</v>
      </c>
    </row>
    <row r="5">
      <c r="A5" s="15" t="inlineStr">
        <is>
          <t>1 Jun</t>
        </is>
      </c>
      <c r="B5" s="15" t="inlineStr">
        <is>
          <t>37042</t>
        </is>
      </c>
      <c r="C5" s="16" t="n">
        <v>1</v>
      </c>
      <c r="D5" s="17" t="n">
        <v>243.61</v>
      </c>
      <c r="E5" s="18" t="n">
        <v>9463</v>
      </c>
      <c r="F5" s="18" t="n">
        <v>9910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12</v>
      </c>
    </row>
    <row r="6">
      <c r="A6" s="15" t="inlineStr">
        <is>
          <t>1 Jun</t>
        </is>
      </c>
      <c r="B6" s="15" t="inlineStr">
        <is>
          <t>39411</t>
        </is>
      </c>
      <c r="C6" s="16" t="n">
        <v>1</v>
      </c>
      <c r="D6" s="17" t="n">
        <v>243.65</v>
      </c>
      <c r="E6" s="18" t="n">
        <v>8318</v>
      </c>
      <c r="F6" s="18" t="n">
        <v>8711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8</v>
      </c>
    </row>
    <row r="7">
      <c r="A7" s="15" t="inlineStr">
        <is>
          <t>1 Jun</t>
        </is>
      </c>
      <c r="B7" s="15" t="inlineStr">
        <is>
          <t>30487</t>
        </is>
      </c>
      <c r="C7" s="16" t="n">
        <v>0</v>
      </c>
      <c r="D7" s="17" t="n">
        <v>232.24</v>
      </c>
      <c r="E7" s="18" t="n">
        <v>11270</v>
      </c>
      <c r="F7" s="18" t="n">
        <v>11739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9</v>
      </c>
    </row>
    <row r="8">
      <c r="A8" s="15" t="inlineStr">
        <is>
          <t>1 Jun</t>
        </is>
      </c>
      <c r="B8" s="15" t="inlineStr">
        <is>
          <t>39195</t>
        </is>
      </c>
      <c r="C8" s="16" t="n">
        <v>0</v>
      </c>
      <c r="D8" s="17" t="n">
        <v>199.18</v>
      </c>
      <c r="E8" s="18" t="n">
        <v>8891</v>
      </c>
      <c r="F8" s="18" t="n">
        <v>9257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1 Jun</t>
        </is>
      </c>
      <c r="B9" s="15" t="inlineStr">
        <is>
          <t>37025</t>
        </is>
      </c>
      <c r="C9" s="16" t="n">
        <v>0</v>
      </c>
      <c r="D9" s="17" t="n">
        <v>94.26000000000001</v>
      </c>
      <c r="E9" s="18" t="n">
        <v>9082</v>
      </c>
      <c r="F9" s="18" t="n">
        <v>9190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2</v>
      </c>
    </row>
    <row r="10">
      <c r="A10" s="15" t="inlineStr">
        <is>
          <t>1 Jun</t>
        </is>
      </c>
      <c r="B10" s="15" t="inlineStr">
        <is>
          <t>39111</t>
        </is>
      </c>
      <c r="C10" s="16" t="n">
        <v>0</v>
      </c>
      <c r="D10" s="17" t="n">
        <v>231.97</v>
      </c>
      <c r="E10" s="18" t="n">
        <v>8330</v>
      </c>
      <c r="F10" s="18" t="n">
        <v>9102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26</v>
      </c>
    </row>
    <row r="11">
      <c r="A11" s="15" t="inlineStr">
        <is>
          <t>1 Jun</t>
        </is>
      </c>
      <c r="B11" s="15" t="inlineStr">
        <is>
          <t>30370</t>
        </is>
      </c>
      <c r="C11" s="16" t="n">
        <v>0</v>
      </c>
      <c r="D11" s="17" t="n">
        <v>198.59</v>
      </c>
      <c r="E11" s="18" t="n">
        <v>8467</v>
      </c>
      <c r="F11" s="18" t="n">
        <v>8918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4</v>
      </c>
    </row>
    <row r="12">
      <c r="A12" s="15" t="inlineStr">
        <is>
          <t>1 Jun</t>
        </is>
      </c>
      <c r="B12" s="15" t="inlineStr">
        <is>
          <t>37898</t>
        </is>
      </c>
      <c r="C12" s="16" t="n">
        <v>0</v>
      </c>
      <c r="D12" s="17" t="n">
        <v>94.40000000000001</v>
      </c>
      <c r="E12" s="18" t="n">
        <v>8372</v>
      </c>
      <c r="F12" s="18" t="n">
        <v>8739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5</v>
      </c>
    </row>
    <row r="13">
      <c r="A13" s="15" t="inlineStr">
        <is>
          <t>1 Jun</t>
        </is>
      </c>
      <c r="B13" s="15" t="inlineStr">
        <is>
          <t>37168</t>
        </is>
      </c>
      <c r="C13" s="16" t="n">
        <v>0</v>
      </c>
      <c r="D13" s="17" t="n">
        <v>199.73</v>
      </c>
      <c r="E13" s="18" t="n">
        <v>8213</v>
      </c>
      <c r="F13" s="18" t="n">
        <v>8648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1 Jun</t>
        </is>
      </c>
      <c r="B14" s="15" t="inlineStr">
        <is>
          <t>37609</t>
        </is>
      </c>
      <c r="C14" s="16" t="n">
        <v>0</v>
      </c>
      <c r="D14" s="17" t="n">
        <v>232.25</v>
      </c>
      <c r="E14" s="18" t="n">
        <v>8173</v>
      </c>
      <c r="F14" s="18" t="n">
        <v>8527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5</v>
      </c>
    </row>
    <row r="15">
      <c r="A15" s="15" t="inlineStr">
        <is>
          <t>1 Jun</t>
        </is>
      </c>
      <c r="B15" s="15" t="inlineStr">
        <is>
          <t>39409</t>
        </is>
      </c>
      <c r="C15" s="16" t="n">
        <v>0</v>
      </c>
      <c r="D15" s="17" t="n">
        <v>199.4</v>
      </c>
      <c r="E15" s="18" t="n">
        <v>8257</v>
      </c>
      <c r="F15" s="18" t="n">
        <v>8492</v>
      </c>
      <c r="G15" s="19">
        <f>IF(F15=0,0,E15/F15*100)</f>
        <v/>
      </c>
      <c r="H15" s="16" t="n">
        <v>1</v>
      </c>
      <c r="I15" s="16" t="n">
        <v>0</v>
      </c>
      <c r="J15" s="16" t="n">
        <v>1</v>
      </c>
      <c r="K15" s="16" t="n">
        <v>1</v>
      </c>
    </row>
    <row r="16">
      <c r="A16" s="15" t="inlineStr">
        <is>
          <t>1 Jun</t>
        </is>
      </c>
      <c r="B16" s="15" t="inlineStr">
        <is>
          <t>30692</t>
        </is>
      </c>
      <c r="C16" s="16" t="n">
        <v>0</v>
      </c>
      <c r="D16" s="17" t="n">
        <v>94.28</v>
      </c>
      <c r="E16" s="18" t="n">
        <v>7884</v>
      </c>
      <c r="F16" s="18" t="n">
        <v>8276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2</v>
      </c>
    </row>
    <row r="17">
      <c r="A17" s="15" t="inlineStr">
        <is>
          <t>1 Jun</t>
        </is>
      </c>
      <c r="B17" s="15" t="inlineStr">
        <is>
          <t>37894</t>
        </is>
      </c>
      <c r="C17" s="16" t="n">
        <v>0</v>
      </c>
      <c r="D17" s="17" t="n">
        <v>174.62</v>
      </c>
      <c r="E17" s="18" t="n">
        <v>5831</v>
      </c>
      <c r="F17" s="18" t="n">
        <v>6272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4</v>
      </c>
    </row>
    <row r="18">
      <c r="A18" s="15" t="inlineStr">
        <is>
          <t>1 Jun</t>
        </is>
      </c>
      <c r="B18" s="15" t="inlineStr">
        <is>
          <t>37246</t>
        </is>
      </c>
      <c r="C18" s="16" t="n">
        <v>0</v>
      </c>
      <c r="D18" s="17" t="n">
        <v>93.77</v>
      </c>
      <c r="E18" s="18" t="n">
        <v>6029</v>
      </c>
      <c r="F18" s="18" t="n">
        <v>6080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3</v>
      </c>
    </row>
    <row r="19">
      <c r="A19" s="15" t="inlineStr">
        <is>
          <t>1 Jun</t>
        </is>
      </c>
      <c r="B19" s="15" t="inlineStr">
        <is>
          <t>30327</t>
        </is>
      </c>
      <c r="C19" s="16" t="n">
        <v>0</v>
      </c>
      <c r="D19" s="17" t="n">
        <v>82.5</v>
      </c>
      <c r="E19" s="18" t="n">
        <v>5830</v>
      </c>
      <c r="F19" s="18" t="n">
        <v>5850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1</v>
      </c>
    </row>
    <row r="20">
      <c r="A20" s="15" t="inlineStr">
        <is>
          <t>1 Jun</t>
        </is>
      </c>
      <c r="B20" s="15" t="inlineStr">
        <is>
          <t>39133</t>
        </is>
      </c>
      <c r="C20" s="16" t="n">
        <v>0</v>
      </c>
      <c r="D20" s="17" t="n">
        <v>170.2</v>
      </c>
      <c r="E20" s="18" t="n">
        <v>5144</v>
      </c>
      <c r="F20" s="18" t="n">
        <v>5655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11</v>
      </c>
    </row>
    <row r="21">
      <c r="A21" s="15" t="inlineStr">
        <is>
          <t>1 Jun</t>
        </is>
      </c>
      <c r="B21" s="15" t="inlineStr">
        <is>
          <t>37777</t>
        </is>
      </c>
      <c r="C21" s="16" t="n">
        <v>0</v>
      </c>
      <c r="D21" s="17" t="n">
        <v>93.77</v>
      </c>
      <c r="E21" s="18" t="n">
        <v>5438</v>
      </c>
      <c r="F21" s="18" t="n">
        <v>5477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0</v>
      </c>
    </row>
    <row r="22">
      <c r="A22" s="15" t="inlineStr">
        <is>
          <t>1 Jun</t>
        </is>
      </c>
      <c r="B22" s="15" t="inlineStr">
        <is>
          <t>37244</t>
        </is>
      </c>
      <c r="C22" s="16" t="n">
        <v>0</v>
      </c>
      <c r="D22" s="17" t="n">
        <v>93.77</v>
      </c>
      <c r="E22" s="18" t="n">
        <v>5131</v>
      </c>
      <c r="F22" s="18" t="n">
        <v>5161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1 Jun</t>
        </is>
      </c>
      <c r="B23" s="15" t="inlineStr">
        <is>
          <t>30191</t>
        </is>
      </c>
      <c r="C23" s="16" t="n">
        <v>0</v>
      </c>
      <c r="D23" s="17" t="n">
        <v>93.77</v>
      </c>
      <c r="E23" s="18" t="n">
        <v>4958</v>
      </c>
      <c r="F23" s="18" t="n">
        <v>5002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1</v>
      </c>
    </row>
    <row r="24">
      <c r="A24" s="15" t="inlineStr">
        <is>
          <t>1 Jun</t>
        </is>
      </c>
      <c r="B24" s="15" t="inlineStr">
        <is>
          <t>37481</t>
        </is>
      </c>
      <c r="C24" s="16" t="n">
        <v>0</v>
      </c>
      <c r="D24" s="17" t="n">
        <v>199.4</v>
      </c>
      <c r="E24" s="18" t="n">
        <v>4634</v>
      </c>
      <c r="F24" s="18" t="n">
        <v>4783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1 Jun</t>
        </is>
      </c>
      <c r="B25" s="15" t="inlineStr">
        <is>
          <t>30329</t>
        </is>
      </c>
      <c r="C25" s="16" t="n">
        <v>0</v>
      </c>
      <c r="D25" s="17" t="n">
        <v>82.51000000000001</v>
      </c>
      <c r="E25" s="18" t="n">
        <v>4144</v>
      </c>
      <c r="F25" s="18" t="n">
        <v>4594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13</v>
      </c>
    </row>
    <row r="26">
      <c r="A26" s="15" t="inlineStr">
        <is>
          <t>1 Jun</t>
        </is>
      </c>
      <c r="B26" s="15" t="inlineStr">
        <is>
          <t>30371</t>
        </is>
      </c>
      <c r="C26" s="16" t="n">
        <v>0</v>
      </c>
      <c r="D26" s="17" t="n">
        <v>81.38</v>
      </c>
      <c r="E26" s="18" t="n">
        <v>3393</v>
      </c>
      <c r="F26" s="18" t="n">
        <v>3513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5</v>
      </c>
    </row>
    <row r="27">
      <c r="A27" s="15" t="inlineStr">
        <is>
          <t>1 Jun</t>
        </is>
      </c>
      <c r="B27" s="15" t="inlineStr">
        <is>
          <t>30300</t>
        </is>
      </c>
      <c r="C27" s="16" t="n">
        <v>0</v>
      </c>
      <c r="D27" s="17" t="n">
        <v>82.65000000000001</v>
      </c>
      <c r="E27" s="18" t="n">
        <v>3395</v>
      </c>
      <c r="F27" s="18" t="n">
        <v>3402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0</v>
      </c>
    </row>
    <row r="28">
      <c r="A28" s="15" t="inlineStr">
        <is>
          <t>1 Jun</t>
        </is>
      </c>
      <c r="B28" s="15" t="inlineStr">
        <is>
          <t>30112</t>
        </is>
      </c>
      <c r="C28" s="16" t="n">
        <v>0</v>
      </c>
      <c r="D28" s="17" t="n">
        <v>93.95</v>
      </c>
      <c r="E28" s="18" t="n">
        <v>2957</v>
      </c>
      <c r="F28" s="18" t="n">
        <v>3321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13</v>
      </c>
    </row>
    <row r="29">
      <c r="A29" s="15" t="inlineStr">
        <is>
          <t>1 Jun</t>
        </is>
      </c>
      <c r="B29" s="15" t="inlineStr">
        <is>
          <t>37720</t>
        </is>
      </c>
      <c r="C29" s="16" t="n">
        <v>0</v>
      </c>
      <c r="D29" s="17" t="n">
        <v>82.62</v>
      </c>
      <c r="E29" s="18" t="n">
        <v>3004</v>
      </c>
      <c r="F29" s="18" t="n">
        <v>3209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8</v>
      </c>
    </row>
    <row r="30">
      <c r="A30" s="15" t="inlineStr">
        <is>
          <t>1 Jun</t>
        </is>
      </c>
      <c r="B30" s="15" t="inlineStr">
        <is>
          <t>37034</t>
        </is>
      </c>
      <c r="C30" s="16" t="n">
        <v>0</v>
      </c>
      <c r="D30" s="17" t="n">
        <v>91.61</v>
      </c>
      <c r="E30" s="18" t="n">
        <v>3099</v>
      </c>
      <c r="F30" s="18" t="n">
        <v>3127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1 Jun</t>
        </is>
      </c>
      <c r="B31" s="15" t="inlineStr">
        <is>
          <t>30455</t>
        </is>
      </c>
      <c r="C31" s="16" t="n">
        <v>0</v>
      </c>
      <c r="D31" s="17" t="n">
        <v>81.67</v>
      </c>
      <c r="E31" s="18" t="n">
        <v>2983</v>
      </c>
      <c r="F31" s="18" t="n">
        <v>3001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2</v>
      </c>
    </row>
    <row r="32">
      <c r="A32" s="15" t="inlineStr">
        <is>
          <t>1 Jun</t>
        </is>
      </c>
      <c r="B32" s="15" t="inlineStr">
        <is>
          <t>37401</t>
        </is>
      </c>
      <c r="C32" s="16" t="n">
        <v>0</v>
      </c>
      <c r="D32" s="17" t="n">
        <v>42.83</v>
      </c>
      <c r="E32" s="18" t="n">
        <v>1705</v>
      </c>
      <c r="F32" s="18" t="n">
        <v>1710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1 Jun</t>
        </is>
      </c>
      <c r="B33" s="15" t="inlineStr">
        <is>
          <t>30568</t>
        </is>
      </c>
      <c r="C33" s="16" t="n">
        <v>0</v>
      </c>
      <c r="D33" s="17" t="n">
        <v>28.79</v>
      </c>
      <c r="E33" s="18" t="n">
        <v>1590</v>
      </c>
      <c r="F33" s="18" t="n">
        <v>1632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1 Jun</t>
        </is>
      </c>
      <c r="B34" s="15" t="inlineStr">
        <is>
          <t>37719</t>
        </is>
      </c>
      <c r="C34" s="16" t="n">
        <v>0</v>
      </c>
      <c r="D34" s="17" t="n">
        <v>14.5</v>
      </c>
      <c r="E34" s="18" t="n">
        <v>1024</v>
      </c>
      <c r="F34" s="18" t="n">
        <v>1437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1 Jun</t>
        </is>
      </c>
      <c r="B35" s="15" t="inlineStr">
        <is>
          <t>39615</t>
        </is>
      </c>
      <c r="C35" s="16" t="n">
        <v>0</v>
      </c>
      <c r="D35" s="17" t="n">
        <v>0.06</v>
      </c>
      <c r="E35" s="18" t="n">
        <v>260</v>
      </c>
      <c r="F35" s="18" t="n">
        <v>381</v>
      </c>
      <c r="G35" s="19">
        <f>IF(F35=0,0,E35/F35*100)</f>
        <v/>
      </c>
      <c r="H35" s="16" t="n">
        <v>1</v>
      </c>
      <c r="I35" s="16" t="n">
        <v>0</v>
      </c>
      <c r="J35" s="16" t="n">
        <v>1</v>
      </c>
      <c r="K35" s="16" t="n">
        <v>2</v>
      </c>
    </row>
    <row r="36">
      <c r="A36" s="20" t="inlineStr">
        <is>
          <t>1 Jun</t>
        </is>
      </c>
      <c r="B36" s="20" t="inlineStr">
        <is>
          <t>Day Total</t>
        </is>
      </c>
      <c r="C36" s="21">
        <f>SUM(C4:C35)</f>
        <v/>
      </c>
      <c r="D36" s="22">
        <f>SUM(D4:D35)</f>
        <v/>
      </c>
      <c r="E36" s="23">
        <f>SUM(E4:E35)</f>
        <v/>
      </c>
      <c r="F36" s="23">
        <f>SUM(F4:F35)</f>
        <v/>
      </c>
      <c r="G36" s="24">
        <f>IF(F36=0,0,E36/F36*100)</f>
        <v/>
      </c>
      <c r="H36" s="21">
        <f>SUM(H4:H35)</f>
        <v/>
      </c>
      <c r="I36" s="21">
        <f>SUM(I4:I35)</f>
        <v/>
      </c>
      <c r="J36" s="21">
        <f>SUM(J4:J35)</f>
        <v/>
      </c>
      <c r="K36" s="21">
        <f>SUM(K4:K35)</f>
        <v/>
      </c>
    </row>
    <row r="37">
      <c r="A37" s="15" t="inlineStr">
        <is>
          <t>2 Jun</t>
        </is>
      </c>
      <c r="B37" s="15" t="inlineStr">
        <is>
          <t>37168</t>
        </is>
      </c>
      <c r="C37" s="16" t="n">
        <v>0</v>
      </c>
      <c r="D37" s="17" t="n">
        <v>199.19</v>
      </c>
      <c r="E37" s="18" t="n">
        <v>16556</v>
      </c>
      <c r="F37" s="18" t="n">
        <v>17165</v>
      </c>
      <c r="G37" s="19">
        <f>IF(F37=0,0,E37/F37*100)</f>
        <v/>
      </c>
      <c r="H37" s="16" t="n">
        <v>1</v>
      </c>
      <c r="I37" s="16" t="n">
        <v>0</v>
      </c>
      <c r="J37" s="16" t="n">
        <v>1</v>
      </c>
      <c r="K37" s="16" t="n">
        <v>14</v>
      </c>
    </row>
    <row r="38">
      <c r="A38" s="15" t="inlineStr">
        <is>
          <t>2 Jun</t>
        </is>
      </c>
      <c r="B38" s="15" t="inlineStr">
        <is>
          <t>37585</t>
        </is>
      </c>
      <c r="C38" s="16" t="n">
        <v>0</v>
      </c>
      <c r="D38" s="17" t="n">
        <v>198.7</v>
      </c>
      <c r="E38" s="18" t="n">
        <v>14478</v>
      </c>
      <c r="F38" s="18" t="n">
        <v>15159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23</v>
      </c>
    </row>
    <row r="39">
      <c r="A39" s="15" t="inlineStr">
        <is>
          <t>2 Jun</t>
        </is>
      </c>
      <c r="B39" s="15" t="inlineStr">
        <is>
          <t>37025</t>
        </is>
      </c>
      <c r="C39" s="16" t="n">
        <v>0</v>
      </c>
      <c r="D39" s="17" t="n">
        <v>94.26000000000001</v>
      </c>
      <c r="E39" s="18" t="n">
        <v>13048</v>
      </c>
      <c r="F39" s="18" t="n">
        <v>13286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3</v>
      </c>
    </row>
    <row r="40">
      <c r="A40" s="15" t="inlineStr">
        <is>
          <t>2 Jun</t>
        </is>
      </c>
      <c r="B40" s="15" t="inlineStr">
        <is>
          <t>37502</t>
        </is>
      </c>
      <c r="C40" s="16" t="n">
        <v>0</v>
      </c>
      <c r="D40" s="17" t="n">
        <v>94.29000000000001</v>
      </c>
      <c r="E40" s="18" t="n">
        <v>9545</v>
      </c>
      <c r="F40" s="18" t="n">
        <v>9821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4</v>
      </c>
    </row>
    <row r="41">
      <c r="A41" s="15" t="inlineStr">
        <is>
          <t>2 Jun</t>
        </is>
      </c>
      <c r="B41" s="15" t="inlineStr">
        <is>
          <t>30568</t>
        </is>
      </c>
      <c r="C41" s="16" t="n">
        <v>0</v>
      </c>
      <c r="D41" s="17" t="n">
        <v>215.25</v>
      </c>
      <c r="E41" s="18" t="n">
        <v>8083</v>
      </c>
      <c r="F41" s="18" t="n">
        <v>8541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15</v>
      </c>
    </row>
    <row r="42">
      <c r="A42" s="15" t="inlineStr">
        <is>
          <t>2 Jun</t>
        </is>
      </c>
      <c r="B42" s="15" t="inlineStr">
        <is>
          <t>37452</t>
        </is>
      </c>
      <c r="C42" s="16" t="n">
        <v>0</v>
      </c>
      <c r="D42" s="17" t="n">
        <v>199.47</v>
      </c>
      <c r="E42" s="18" t="n">
        <v>7364</v>
      </c>
      <c r="F42" s="18" t="n">
        <v>7658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4</v>
      </c>
    </row>
    <row r="43">
      <c r="A43" s="15" t="inlineStr">
        <is>
          <t>2 Jun</t>
        </is>
      </c>
      <c r="B43" s="15" t="inlineStr">
        <is>
          <t>30692</t>
        </is>
      </c>
      <c r="C43" s="16" t="n">
        <v>0</v>
      </c>
      <c r="D43" s="17" t="n">
        <v>93.77</v>
      </c>
      <c r="E43" s="18" t="n">
        <v>5732</v>
      </c>
      <c r="F43" s="18" t="n">
        <v>5850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2</v>
      </c>
    </row>
    <row r="44">
      <c r="A44" s="15" t="inlineStr">
        <is>
          <t>2 Jun</t>
        </is>
      </c>
      <c r="B44" s="15" t="inlineStr">
        <is>
          <t>37908</t>
        </is>
      </c>
      <c r="C44" s="16" t="n">
        <v>0</v>
      </c>
      <c r="D44" s="17" t="n">
        <v>93.77</v>
      </c>
      <c r="E44" s="18" t="n">
        <v>5686</v>
      </c>
      <c r="F44" s="18" t="n">
        <v>5825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0</v>
      </c>
    </row>
    <row r="45">
      <c r="A45" s="15" t="inlineStr">
        <is>
          <t>2 Jun</t>
        </is>
      </c>
      <c r="B45" s="15" t="inlineStr">
        <is>
          <t>37401</t>
        </is>
      </c>
      <c r="C45" s="16" t="n">
        <v>0</v>
      </c>
      <c r="D45" s="17" t="n">
        <v>139.61</v>
      </c>
      <c r="E45" s="18" t="n">
        <v>5492</v>
      </c>
      <c r="F45" s="18" t="n">
        <v>5561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1</v>
      </c>
    </row>
    <row r="46">
      <c r="A46" s="15" t="inlineStr">
        <is>
          <t>2 Jun</t>
        </is>
      </c>
      <c r="B46" s="15" t="inlineStr">
        <is>
          <t>30567</t>
        </is>
      </c>
      <c r="C46" s="16" t="n">
        <v>0</v>
      </c>
      <c r="D46" s="17" t="n">
        <v>136.75</v>
      </c>
      <c r="E46" s="18" t="n">
        <v>5096</v>
      </c>
      <c r="F46" s="18" t="n">
        <v>5161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1</v>
      </c>
    </row>
    <row r="47">
      <c r="A47" s="15" t="inlineStr">
        <is>
          <t>2 Jun</t>
        </is>
      </c>
      <c r="B47" s="15" t="inlineStr">
        <is>
          <t>39178</t>
        </is>
      </c>
      <c r="C47" s="16" t="n">
        <v>0</v>
      </c>
      <c r="D47" s="17" t="n">
        <v>138.68</v>
      </c>
      <c r="E47" s="18" t="n">
        <v>5022</v>
      </c>
      <c r="F47" s="18" t="n">
        <v>5074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2</v>
      </c>
    </row>
    <row r="48">
      <c r="A48" s="15" t="inlineStr">
        <is>
          <t>2 Jun</t>
        </is>
      </c>
      <c r="B48" s="15" t="inlineStr">
        <is>
          <t>39170</t>
        </is>
      </c>
      <c r="C48" s="16" t="n">
        <v>0</v>
      </c>
      <c r="D48" s="17" t="n">
        <v>139.24</v>
      </c>
      <c r="E48" s="18" t="n">
        <v>4699</v>
      </c>
      <c r="F48" s="18" t="n">
        <v>4765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3</v>
      </c>
    </row>
    <row r="49">
      <c r="A49" s="15" t="inlineStr">
        <is>
          <t>2 Jun</t>
        </is>
      </c>
      <c r="B49" s="15" t="inlineStr">
        <is>
          <t>35001</t>
        </is>
      </c>
      <c r="C49" s="16" t="n">
        <v>0</v>
      </c>
      <c r="D49" s="17" t="n">
        <v>139.63</v>
      </c>
      <c r="E49" s="18" t="n">
        <v>4353</v>
      </c>
      <c r="F49" s="18" t="n">
        <v>4475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8</v>
      </c>
    </row>
    <row r="50">
      <c r="A50" s="15" t="inlineStr">
        <is>
          <t>2 Jun</t>
        </is>
      </c>
      <c r="B50" s="15" t="inlineStr">
        <is>
          <t>37657</t>
        </is>
      </c>
      <c r="C50" s="16" t="n">
        <v>0</v>
      </c>
      <c r="D50" s="17" t="n">
        <v>93.77</v>
      </c>
      <c r="E50" s="18" t="n">
        <v>3743</v>
      </c>
      <c r="F50" s="18" t="n">
        <v>3908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13</v>
      </c>
    </row>
    <row r="51">
      <c r="A51" s="15" t="inlineStr">
        <is>
          <t>2 Jun</t>
        </is>
      </c>
      <c r="B51" s="15" t="inlineStr">
        <is>
          <t>30305</t>
        </is>
      </c>
      <c r="C51" s="16" t="n">
        <v>0</v>
      </c>
      <c r="D51" s="17" t="n">
        <v>82.51000000000001</v>
      </c>
      <c r="E51" s="18" t="n">
        <v>3728</v>
      </c>
      <c r="F51" s="18" t="n">
        <v>3737</v>
      </c>
      <c r="G51" s="19">
        <f>IF(F51=0,0,E51/F51*100)</f>
        <v/>
      </c>
      <c r="H51" s="16" t="n">
        <v>1</v>
      </c>
      <c r="I51" s="16" t="n">
        <v>0</v>
      </c>
      <c r="J51" s="16" t="n">
        <v>1</v>
      </c>
      <c r="K51" s="16" t="n">
        <v>0</v>
      </c>
    </row>
    <row r="52">
      <c r="A52" s="15" t="inlineStr">
        <is>
          <t>2 Jun</t>
        </is>
      </c>
      <c r="B52" s="15" t="inlineStr">
        <is>
          <t>37244</t>
        </is>
      </c>
      <c r="C52" s="16" t="n">
        <v>0</v>
      </c>
      <c r="D52" s="17" t="n">
        <v>94.25</v>
      </c>
      <c r="E52" s="18" t="n">
        <v>3618</v>
      </c>
      <c r="F52" s="18" t="n">
        <v>3736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0</v>
      </c>
    </row>
    <row r="53">
      <c r="A53" s="15" t="inlineStr">
        <is>
          <t>2 Jun</t>
        </is>
      </c>
      <c r="B53" s="15" t="inlineStr">
        <is>
          <t>30322</t>
        </is>
      </c>
      <c r="C53" s="16" t="n">
        <v>0</v>
      </c>
      <c r="D53" s="17" t="n">
        <v>82.52</v>
      </c>
      <c r="E53" s="18" t="n">
        <v>3410</v>
      </c>
      <c r="F53" s="18" t="n">
        <v>3536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6</v>
      </c>
    </row>
    <row r="54">
      <c r="A54" s="15" t="inlineStr">
        <is>
          <t>2 Jun</t>
        </is>
      </c>
      <c r="B54" s="15" t="inlineStr">
        <is>
          <t>30321</t>
        </is>
      </c>
      <c r="C54" s="16" t="n">
        <v>0</v>
      </c>
      <c r="D54" s="17" t="n">
        <v>82.61</v>
      </c>
      <c r="E54" s="18" t="n">
        <v>3490</v>
      </c>
      <c r="F54" s="18" t="n">
        <v>3511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3</v>
      </c>
    </row>
    <row r="55">
      <c r="A55" s="15" t="inlineStr">
        <is>
          <t>2 Jun</t>
        </is>
      </c>
      <c r="B55" s="15" t="inlineStr">
        <is>
          <t>30203</t>
        </is>
      </c>
      <c r="C55" s="16" t="n">
        <v>0</v>
      </c>
      <c r="D55" s="17" t="n">
        <v>81.41</v>
      </c>
      <c r="E55" s="18" t="n">
        <v>3340</v>
      </c>
      <c r="F55" s="18" t="n">
        <v>3499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3</v>
      </c>
    </row>
    <row r="56">
      <c r="A56" s="15" t="inlineStr">
        <is>
          <t>2 Jun</t>
        </is>
      </c>
      <c r="B56" s="15" t="inlineStr">
        <is>
          <t>37907</t>
        </is>
      </c>
      <c r="C56" s="16" t="n">
        <v>0</v>
      </c>
      <c r="D56" s="17" t="n">
        <v>91.89</v>
      </c>
      <c r="E56" s="18" t="n">
        <v>3402</v>
      </c>
      <c r="F56" s="18" t="n">
        <v>3450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1</v>
      </c>
    </row>
    <row r="57">
      <c r="A57" s="15" t="inlineStr">
        <is>
          <t>2 Jun</t>
        </is>
      </c>
      <c r="B57" s="15" t="inlineStr">
        <is>
          <t>30455</t>
        </is>
      </c>
      <c r="C57" s="16" t="n">
        <v>0</v>
      </c>
      <c r="D57" s="17" t="n">
        <v>81.40000000000001</v>
      </c>
      <c r="E57" s="18" t="n">
        <v>2954</v>
      </c>
      <c r="F57" s="18" t="n">
        <v>3317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12</v>
      </c>
    </row>
    <row r="58">
      <c r="A58" s="15" t="inlineStr">
        <is>
          <t>2 Jun</t>
        </is>
      </c>
      <c r="B58" s="15" t="inlineStr">
        <is>
          <t>39263</t>
        </is>
      </c>
      <c r="C58" s="16" t="n">
        <v>0</v>
      </c>
      <c r="D58" s="17" t="n">
        <v>55.73</v>
      </c>
      <c r="E58" s="18" t="n">
        <v>1769</v>
      </c>
      <c r="F58" s="18" t="n">
        <v>1783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2</v>
      </c>
    </row>
    <row r="59">
      <c r="A59" s="15" t="inlineStr">
        <is>
          <t>2 Jun</t>
        </is>
      </c>
      <c r="B59" s="15" t="inlineStr">
        <is>
          <t>37778</t>
        </is>
      </c>
      <c r="C59" s="16" t="n">
        <v>0</v>
      </c>
      <c r="D59" s="17" t="n">
        <v>10.6</v>
      </c>
      <c r="E59" s="18" t="n">
        <v>930</v>
      </c>
      <c r="F59" s="18" t="n">
        <v>992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0</v>
      </c>
    </row>
    <row r="60">
      <c r="A60" s="15" t="inlineStr">
        <is>
          <t>2 Jun</t>
        </is>
      </c>
      <c r="B60" s="15" t="inlineStr">
        <is>
          <t>30084</t>
        </is>
      </c>
      <c r="C60" s="16" t="n">
        <v>0</v>
      </c>
      <c r="D60" s="17" t="n">
        <v>5.16</v>
      </c>
      <c r="E60" s="18" t="n">
        <v>466</v>
      </c>
      <c r="F60" s="18" t="n">
        <v>868</v>
      </c>
      <c r="G60" s="19">
        <f>IF(F60=0,0,E60/F60*100)</f>
        <v/>
      </c>
      <c r="H60" s="16" t="n">
        <v>6</v>
      </c>
      <c r="I60" s="16" t="n">
        <v>0</v>
      </c>
      <c r="J60" s="16" t="n">
        <v>6</v>
      </c>
      <c r="K60" s="16" t="n">
        <v>1</v>
      </c>
    </row>
    <row r="61">
      <c r="A61" s="15" t="inlineStr">
        <is>
          <t>2 Jun</t>
        </is>
      </c>
      <c r="B61" s="15" t="inlineStr">
        <is>
          <t>39132</t>
        </is>
      </c>
      <c r="C61" s="16" t="n">
        <v>0</v>
      </c>
      <c r="D61" s="17" t="n">
        <v>0.51</v>
      </c>
      <c r="E61" s="18" t="n">
        <v>666</v>
      </c>
      <c r="F61" s="18" t="n">
        <v>839</v>
      </c>
      <c r="G61" s="19">
        <f>IF(F61=0,0,E61/F61*100)</f>
        <v/>
      </c>
      <c r="H61" s="16" t="n">
        <v>2</v>
      </c>
      <c r="I61" s="16" t="n">
        <v>0</v>
      </c>
      <c r="J61" s="16" t="n">
        <v>2</v>
      </c>
      <c r="K61" s="16" t="n">
        <v>7</v>
      </c>
    </row>
    <row r="62">
      <c r="A62" s="15" t="inlineStr">
        <is>
          <t>2 Jun</t>
        </is>
      </c>
      <c r="B62" s="15" t="inlineStr">
        <is>
          <t>39571</t>
        </is>
      </c>
      <c r="C62" s="16" t="n">
        <v>0</v>
      </c>
      <c r="D62" s="17" t="n">
        <v>0.51</v>
      </c>
      <c r="E62" s="18" t="n">
        <v>645</v>
      </c>
      <c r="F62" s="18" t="n">
        <v>731</v>
      </c>
      <c r="G62" s="19">
        <f>IF(F62=0,0,E62/F62*100)</f>
        <v/>
      </c>
      <c r="H62" s="16" t="n">
        <v>4</v>
      </c>
      <c r="I62" s="16" t="n">
        <v>0</v>
      </c>
      <c r="J62" s="16" t="n">
        <v>4</v>
      </c>
      <c r="K62" s="16" t="n">
        <v>1</v>
      </c>
    </row>
    <row r="63">
      <c r="A63" s="15" t="inlineStr">
        <is>
          <t>2 Jun</t>
        </is>
      </c>
      <c r="B63" s="15" t="inlineStr">
        <is>
          <t>37719</t>
        </is>
      </c>
      <c r="C63" s="16" t="n">
        <v>0</v>
      </c>
      <c r="D63" s="17" t="n">
        <v>16.79</v>
      </c>
      <c r="E63" s="18" t="n">
        <v>561</v>
      </c>
      <c r="F63" s="18" t="n">
        <v>683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2</v>
      </c>
    </row>
    <row r="64">
      <c r="A64" s="15" t="inlineStr">
        <is>
          <t>2 Jun</t>
        </is>
      </c>
      <c r="B64" s="15" t="inlineStr">
        <is>
          <t>37185</t>
        </is>
      </c>
      <c r="C64" s="16" t="n">
        <v>0</v>
      </c>
      <c r="D64" s="17" t="n">
        <v>0.51</v>
      </c>
      <c r="E64" s="18" t="n">
        <v>459</v>
      </c>
      <c r="F64" s="18" t="n">
        <v>540</v>
      </c>
      <c r="G64" s="19">
        <f>IF(F64=0,0,E64/F64*100)</f>
        <v/>
      </c>
      <c r="H64" s="16" t="n">
        <v>2</v>
      </c>
      <c r="I64" s="16" t="n">
        <v>0</v>
      </c>
      <c r="J64" s="16" t="n">
        <v>2</v>
      </c>
      <c r="K64" s="16" t="n">
        <v>5</v>
      </c>
    </row>
    <row r="65">
      <c r="A65" s="15" t="inlineStr">
        <is>
          <t>2 Jun</t>
        </is>
      </c>
      <c r="B65" s="15" t="inlineStr">
        <is>
          <t>39195</t>
        </is>
      </c>
      <c r="C65" s="16" t="n">
        <v>0</v>
      </c>
      <c r="D65" s="17" t="n">
        <v>0.01</v>
      </c>
      <c r="E65" s="18" t="n">
        <v>108</v>
      </c>
      <c r="F65" s="18" t="n">
        <v>121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0</v>
      </c>
    </row>
    <row r="66">
      <c r="A66" s="20" t="inlineStr">
        <is>
          <t>2 Jun</t>
        </is>
      </c>
      <c r="B66" s="20" t="inlineStr">
        <is>
          <t>Day Total</t>
        </is>
      </c>
      <c r="C66" s="21">
        <f>SUM(C37:C65)</f>
        <v/>
      </c>
      <c r="D66" s="22">
        <f>SUM(D37:D65)</f>
        <v/>
      </c>
      <c r="E66" s="23">
        <f>SUM(E37:E65)</f>
        <v/>
      </c>
      <c r="F66" s="23">
        <f>SUM(F37:F65)</f>
        <v/>
      </c>
      <c r="G66" s="24">
        <f>IF(F66=0,0,E66/F66*100)</f>
        <v/>
      </c>
      <c r="H66" s="21">
        <f>SUM(H37:H65)</f>
        <v/>
      </c>
      <c r="I66" s="21">
        <f>SUM(I37:I65)</f>
        <v/>
      </c>
      <c r="J66" s="21">
        <f>SUM(J37:J65)</f>
        <v/>
      </c>
      <c r="K66" s="21">
        <f>SUM(K37:K65)</f>
        <v/>
      </c>
    </row>
    <row r="67">
      <c r="A67" s="15" t="inlineStr">
        <is>
          <t>3 Jun</t>
        </is>
      </c>
      <c r="B67" s="15" t="inlineStr">
        <is>
          <t>35001</t>
        </is>
      </c>
      <c r="C67" s="16" t="n">
        <v>2</v>
      </c>
      <c r="D67" s="17" t="n">
        <v>244.03</v>
      </c>
      <c r="E67" s="18" t="n">
        <v>22058</v>
      </c>
      <c r="F67" s="18" t="n">
        <v>23445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18</v>
      </c>
    </row>
    <row r="68">
      <c r="A68" s="15" t="inlineStr">
        <is>
          <t>3 Jun</t>
        </is>
      </c>
      <c r="B68" s="15" t="inlineStr">
        <is>
          <t>30508</t>
        </is>
      </c>
      <c r="C68" s="16" t="n">
        <v>1</v>
      </c>
      <c r="D68" s="17" t="n">
        <v>243.69</v>
      </c>
      <c r="E68" s="18" t="n">
        <v>9921</v>
      </c>
      <c r="F68" s="18" t="n">
        <v>10692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11</v>
      </c>
    </row>
    <row r="69">
      <c r="A69" s="15" t="inlineStr">
        <is>
          <t>3 Jun</t>
        </is>
      </c>
      <c r="B69" s="15" t="inlineStr">
        <is>
          <t>30112</t>
        </is>
      </c>
      <c r="C69" s="16" t="n">
        <v>0</v>
      </c>
      <c r="D69" s="17" t="n">
        <v>94.23</v>
      </c>
      <c r="E69" s="18" t="n">
        <v>11850</v>
      </c>
      <c r="F69" s="18" t="n">
        <v>12510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16</v>
      </c>
    </row>
    <row r="70">
      <c r="A70" s="15" t="inlineStr">
        <is>
          <t>3 Jun</t>
        </is>
      </c>
      <c r="B70" s="15" t="inlineStr">
        <is>
          <t>30639</t>
        </is>
      </c>
      <c r="C70" s="16" t="n">
        <v>0</v>
      </c>
      <c r="D70" s="17" t="n">
        <v>199.19</v>
      </c>
      <c r="E70" s="18" t="n">
        <v>10850</v>
      </c>
      <c r="F70" s="18" t="n">
        <v>11861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22</v>
      </c>
    </row>
    <row r="71">
      <c r="A71" s="15" t="inlineStr">
        <is>
          <t>3 Jun</t>
        </is>
      </c>
      <c r="B71" s="15" t="inlineStr">
        <is>
          <t>37859</t>
        </is>
      </c>
      <c r="C71" s="16" t="n">
        <v>0</v>
      </c>
      <c r="D71" s="17" t="n">
        <v>199.04</v>
      </c>
      <c r="E71" s="18" t="n">
        <v>11387</v>
      </c>
      <c r="F71" s="18" t="n">
        <v>11647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5</v>
      </c>
    </row>
    <row r="72">
      <c r="A72" s="15" t="inlineStr">
        <is>
          <t>3 Jun</t>
        </is>
      </c>
      <c r="B72" s="15" t="inlineStr">
        <is>
          <t>37034</t>
        </is>
      </c>
      <c r="C72" s="16" t="n">
        <v>0</v>
      </c>
      <c r="D72" s="17" t="n">
        <v>199.2</v>
      </c>
      <c r="E72" s="18" t="n">
        <v>10675</v>
      </c>
      <c r="F72" s="18" t="n">
        <v>11551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1</v>
      </c>
    </row>
    <row r="73">
      <c r="A73" s="15" t="inlineStr">
        <is>
          <t>3 Jun</t>
        </is>
      </c>
      <c r="B73" s="15" t="inlineStr">
        <is>
          <t>37898</t>
        </is>
      </c>
      <c r="C73" s="16" t="n">
        <v>0</v>
      </c>
      <c r="D73" s="17" t="n">
        <v>199.73</v>
      </c>
      <c r="E73" s="18" t="n">
        <v>9308</v>
      </c>
      <c r="F73" s="18" t="n">
        <v>10395</v>
      </c>
      <c r="G73" s="19">
        <f>IF(F73=0,0,E73/F73*100)</f>
        <v/>
      </c>
      <c r="H73" s="16" t="n">
        <v>3</v>
      </c>
      <c r="I73" s="16" t="n">
        <v>0</v>
      </c>
      <c r="J73" s="16" t="n">
        <v>3</v>
      </c>
      <c r="K73" s="16" t="n">
        <v>11</v>
      </c>
    </row>
    <row r="74">
      <c r="A74" s="15" t="inlineStr">
        <is>
          <t>3 Jun</t>
        </is>
      </c>
      <c r="B74" s="15" t="inlineStr">
        <is>
          <t>37586</t>
        </is>
      </c>
      <c r="C74" s="16" t="n">
        <v>0</v>
      </c>
      <c r="D74" s="17" t="n">
        <v>199.19</v>
      </c>
      <c r="E74" s="18" t="n">
        <v>9276</v>
      </c>
      <c r="F74" s="18" t="n">
        <v>9654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5</v>
      </c>
    </row>
    <row r="75">
      <c r="A75" s="15" t="inlineStr">
        <is>
          <t>3 Jun</t>
        </is>
      </c>
      <c r="B75" s="15" t="inlineStr">
        <is>
          <t>37720</t>
        </is>
      </c>
      <c r="C75" s="16" t="n">
        <v>0</v>
      </c>
      <c r="D75" s="17" t="n">
        <v>214.26</v>
      </c>
      <c r="E75" s="18" t="n">
        <v>8630</v>
      </c>
      <c r="F75" s="18" t="n">
        <v>9639</v>
      </c>
      <c r="G75" s="19">
        <f>IF(F75=0,0,E75/F75*100)</f>
        <v/>
      </c>
      <c r="H75" s="16" t="n">
        <v>2</v>
      </c>
      <c r="I75" s="16" t="n">
        <v>0</v>
      </c>
      <c r="J75" s="16" t="n">
        <v>2</v>
      </c>
      <c r="K75" s="16" t="n">
        <v>41</v>
      </c>
    </row>
    <row r="76">
      <c r="A76" s="15" t="inlineStr">
        <is>
          <t>3 Jun</t>
        </is>
      </c>
      <c r="B76" s="15" t="inlineStr">
        <is>
          <t>37778</t>
        </is>
      </c>
      <c r="C76" s="16" t="n">
        <v>0</v>
      </c>
      <c r="D76" s="17" t="n">
        <v>232.92</v>
      </c>
      <c r="E76" s="18" t="n">
        <v>8349</v>
      </c>
      <c r="F76" s="18" t="n">
        <v>9314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20</v>
      </c>
    </row>
    <row r="77">
      <c r="A77" s="15" t="inlineStr">
        <is>
          <t>3 Jun</t>
        </is>
      </c>
      <c r="B77" s="15" t="inlineStr">
        <is>
          <t>37081</t>
        </is>
      </c>
      <c r="C77" s="16" t="n">
        <v>0</v>
      </c>
      <c r="D77" s="17" t="n">
        <v>94.28</v>
      </c>
      <c r="E77" s="18" t="n">
        <v>8384</v>
      </c>
      <c r="F77" s="18" t="n">
        <v>8511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1</v>
      </c>
    </row>
    <row r="78">
      <c r="A78" s="15" t="inlineStr">
        <is>
          <t>3 Jun</t>
        </is>
      </c>
      <c r="B78" s="15" t="inlineStr">
        <is>
          <t>30692</t>
        </is>
      </c>
      <c r="C78" s="16" t="n">
        <v>0</v>
      </c>
      <c r="D78" s="17" t="n">
        <v>220.01</v>
      </c>
      <c r="E78" s="18" t="n">
        <v>7397</v>
      </c>
      <c r="F78" s="18" t="n">
        <v>8186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21</v>
      </c>
    </row>
    <row r="79">
      <c r="A79" s="15" t="inlineStr">
        <is>
          <t>3 Jun</t>
        </is>
      </c>
      <c r="B79" s="15" t="inlineStr">
        <is>
          <t>37168</t>
        </is>
      </c>
      <c r="C79" s="16" t="n">
        <v>0</v>
      </c>
      <c r="D79" s="17" t="n">
        <v>199.19</v>
      </c>
      <c r="E79" s="18" t="n">
        <v>6833</v>
      </c>
      <c r="F79" s="18" t="n">
        <v>7553</v>
      </c>
      <c r="G79" s="19">
        <f>IF(F79=0,0,E79/F79*100)</f>
        <v/>
      </c>
      <c r="H79" s="16" t="n">
        <v>1</v>
      </c>
      <c r="I79" s="16" t="n">
        <v>0</v>
      </c>
      <c r="J79" s="16" t="n">
        <v>1</v>
      </c>
      <c r="K79" s="16" t="n">
        <v>11</v>
      </c>
    </row>
    <row r="80">
      <c r="A80" s="15" t="inlineStr">
        <is>
          <t>3 Jun</t>
        </is>
      </c>
      <c r="B80" s="15" t="inlineStr">
        <is>
          <t>37502</t>
        </is>
      </c>
      <c r="C80" s="16" t="n">
        <v>0</v>
      </c>
      <c r="D80" s="17" t="n">
        <v>199.4</v>
      </c>
      <c r="E80" s="18" t="n">
        <v>7320</v>
      </c>
      <c r="F80" s="18" t="n">
        <v>7527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2</v>
      </c>
    </row>
    <row r="81">
      <c r="A81" s="15" t="inlineStr">
        <is>
          <t>3 Jun</t>
        </is>
      </c>
      <c r="B81" s="15" t="inlineStr">
        <is>
          <t>39060</t>
        </is>
      </c>
      <c r="C81" s="16" t="n">
        <v>0</v>
      </c>
      <c r="D81" s="17" t="n">
        <v>199.75</v>
      </c>
      <c r="E81" s="18" t="n">
        <v>6995</v>
      </c>
      <c r="F81" s="18" t="n">
        <v>7455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9</v>
      </c>
    </row>
    <row r="82">
      <c r="A82" s="15" t="inlineStr">
        <is>
          <t>3 Jun</t>
        </is>
      </c>
      <c r="B82" s="15" t="inlineStr">
        <is>
          <t>39263</t>
        </is>
      </c>
      <c r="C82" s="16" t="n">
        <v>0</v>
      </c>
      <c r="D82" s="17" t="n">
        <v>176.53</v>
      </c>
      <c r="E82" s="18" t="n">
        <v>6560</v>
      </c>
      <c r="F82" s="18" t="n">
        <v>7140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20</v>
      </c>
    </row>
    <row r="83">
      <c r="A83" s="15" t="inlineStr">
        <is>
          <t>3 Jun</t>
        </is>
      </c>
      <c r="B83" s="15" t="inlineStr">
        <is>
          <t>39195</t>
        </is>
      </c>
      <c r="C83" s="16" t="n">
        <v>0</v>
      </c>
      <c r="D83" s="17" t="n">
        <v>196.56</v>
      </c>
      <c r="E83" s="18" t="n">
        <v>6252</v>
      </c>
      <c r="F83" s="18" t="n">
        <v>6716</v>
      </c>
      <c r="G83" s="19">
        <f>IF(F83=0,0,E83/F83*100)</f>
        <v/>
      </c>
      <c r="H83" s="16" t="n">
        <v>1</v>
      </c>
      <c r="I83" s="16" t="n">
        <v>0</v>
      </c>
      <c r="J83" s="16" t="n">
        <v>1</v>
      </c>
      <c r="K83" s="16" t="n">
        <v>22</v>
      </c>
    </row>
    <row r="84">
      <c r="A84" s="15" t="inlineStr">
        <is>
          <t>3 Jun</t>
        </is>
      </c>
      <c r="B84" s="15" t="inlineStr">
        <is>
          <t>37481</t>
        </is>
      </c>
      <c r="C84" s="16" t="n">
        <v>0</v>
      </c>
      <c r="D84" s="17" t="n">
        <v>199.74</v>
      </c>
      <c r="E84" s="18" t="n">
        <v>5329</v>
      </c>
      <c r="F84" s="18" t="n">
        <v>5559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5</v>
      </c>
    </row>
    <row r="85">
      <c r="A85" s="15" t="inlineStr">
        <is>
          <t>3 Jun</t>
        </is>
      </c>
      <c r="B85" s="15" t="inlineStr">
        <is>
          <t>30487</t>
        </is>
      </c>
      <c r="C85" s="16" t="n">
        <v>0</v>
      </c>
      <c r="D85" s="17" t="n">
        <v>95.19</v>
      </c>
      <c r="E85" s="18" t="n">
        <v>4901</v>
      </c>
      <c r="F85" s="18" t="n">
        <v>5010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5</v>
      </c>
    </row>
    <row r="86">
      <c r="A86" s="15" t="inlineStr">
        <is>
          <t>3 Jun</t>
        </is>
      </c>
      <c r="B86" s="15" t="inlineStr">
        <is>
          <t>37585</t>
        </is>
      </c>
      <c r="C86" s="16" t="n">
        <v>0</v>
      </c>
      <c r="D86" s="17" t="n">
        <v>123.35</v>
      </c>
      <c r="E86" s="18" t="n">
        <v>4407</v>
      </c>
      <c r="F86" s="18" t="n">
        <v>4717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8</v>
      </c>
    </row>
    <row r="87">
      <c r="A87" s="15" t="inlineStr">
        <is>
          <t>3 Jun</t>
        </is>
      </c>
      <c r="B87" s="15" t="inlineStr">
        <is>
          <t>30329</t>
        </is>
      </c>
      <c r="C87" s="16" t="n">
        <v>0</v>
      </c>
      <c r="D87" s="17" t="n">
        <v>82</v>
      </c>
      <c r="E87" s="18" t="n">
        <v>3903</v>
      </c>
      <c r="F87" s="18" t="n">
        <v>4174</v>
      </c>
      <c r="G87" s="19">
        <f>IF(F87=0,0,E87/F87*100)</f>
        <v/>
      </c>
      <c r="H87" s="16" t="n">
        <v>1</v>
      </c>
      <c r="I87" s="16" t="n">
        <v>0</v>
      </c>
      <c r="J87" s="16" t="n">
        <v>1</v>
      </c>
      <c r="K87" s="16" t="n">
        <v>18</v>
      </c>
    </row>
    <row r="88">
      <c r="A88" s="15" t="inlineStr">
        <is>
          <t>3 Jun</t>
        </is>
      </c>
      <c r="B88" s="15" t="inlineStr">
        <is>
          <t>30468</t>
        </is>
      </c>
      <c r="C88" s="16" t="n">
        <v>0</v>
      </c>
      <c r="D88" s="17" t="n">
        <v>232.16</v>
      </c>
      <c r="E88" s="18" t="n">
        <v>3633</v>
      </c>
      <c r="F88" s="18" t="n">
        <v>3956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18</v>
      </c>
    </row>
    <row r="89">
      <c r="A89" s="15" t="inlineStr">
        <is>
          <t>3 Jun</t>
        </is>
      </c>
      <c r="B89" s="15" t="inlineStr">
        <is>
          <t>37908</t>
        </is>
      </c>
      <c r="C89" s="16" t="n">
        <v>0</v>
      </c>
      <c r="D89" s="17" t="n">
        <v>94.02</v>
      </c>
      <c r="E89" s="18" t="n">
        <v>3640</v>
      </c>
      <c r="F89" s="18" t="n">
        <v>3798</v>
      </c>
      <c r="G89" s="19">
        <f>IF(F89=0,0,E89/F89*100)</f>
        <v/>
      </c>
      <c r="H89" s="16" t="n">
        <v>1</v>
      </c>
      <c r="I89" s="16" t="n">
        <v>0</v>
      </c>
      <c r="J89" s="16" t="n">
        <v>1</v>
      </c>
      <c r="K89" s="16" t="n">
        <v>3</v>
      </c>
    </row>
    <row r="90">
      <c r="A90" s="15" t="inlineStr">
        <is>
          <t>3 Jun</t>
        </is>
      </c>
      <c r="B90" s="15" t="inlineStr">
        <is>
          <t>39132</t>
        </is>
      </c>
      <c r="C90" s="16" t="n">
        <v>0</v>
      </c>
      <c r="D90" s="17" t="n">
        <v>94.39</v>
      </c>
      <c r="E90" s="18" t="n">
        <v>3059</v>
      </c>
      <c r="F90" s="18" t="n">
        <v>3490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1</v>
      </c>
    </row>
    <row r="91">
      <c r="A91" s="15" t="inlineStr">
        <is>
          <t>3 Jun</t>
        </is>
      </c>
      <c r="B91" s="15" t="inlineStr">
        <is>
          <t>37244</t>
        </is>
      </c>
      <c r="C91" s="16" t="n">
        <v>0</v>
      </c>
      <c r="D91" s="17" t="n">
        <v>92.64</v>
      </c>
      <c r="E91" s="18" t="n">
        <v>3296</v>
      </c>
      <c r="F91" s="18" t="n">
        <v>3333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2</v>
      </c>
    </row>
    <row r="92">
      <c r="A92" s="15" t="inlineStr">
        <is>
          <t>3 Jun</t>
        </is>
      </c>
      <c r="B92" s="15" t="inlineStr">
        <is>
          <t>30457</t>
        </is>
      </c>
      <c r="C92" s="16" t="n">
        <v>0</v>
      </c>
      <c r="D92" s="17" t="n">
        <v>82.63</v>
      </c>
      <c r="E92" s="18" t="n">
        <v>3216</v>
      </c>
      <c r="F92" s="18" t="n">
        <v>3246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4</v>
      </c>
    </row>
    <row r="93">
      <c r="A93" s="15" t="inlineStr">
        <is>
          <t>3 Jun</t>
        </is>
      </c>
      <c r="B93" s="15" t="inlineStr">
        <is>
          <t>39411</t>
        </is>
      </c>
      <c r="C93" s="16" t="n">
        <v>0</v>
      </c>
      <c r="D93" s="17" t="n">
        <v>95.88</v>
      </c>
      <c r="E93" s="18" t="n">
        <v>2723</v>
      </c>
      <c r="F93" s="18" t="n">
        <v>3130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9</v>
      </c>
    </row>
    <row r="94">
      <c r="A94" s="15" t="inlineStr">
        <is>
          <t>3 Jun</t>
        </is>
      </c>
      <c r="B94" s="15" t="inlineStr">
        <is>
          <t>30328</t>
        </is>
      </c>
      <c r="C94" s="16" t="n">
        <v>0</v>
      </c>
      <c r="D94" s="17" t="n">
        <v>82.62</v>
      </c>
      <c r="E94" s="18" t="n">
        <v>2694</v>
      </c>
      <c r="F94" s="18" t="n">
        <v>2934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7</v>
      </c>
    </row>
    <row r="95">
      <c r="A95" s="15" t="inlineStr">
        <is>
          <t>3 Jun</t>
        </is>
      </c>
      <c r="B95" s="15" t="inlineStr">
        <is>
          <t>42336</t>
        </is>
      </c>
      <c r="C95" s="16" t="n">
        <v>0</v>
      </c>
      <c r="D95" s="17" t="n">
        <v>0.23</v>
      </c>
      <c r="E95" s="18" t="n">
        <v>357</v>
      </c>
      <c r="F95" s="18" t="n">
        <v>2759</v>
      </c>
      <c r="G95" s="19">
        <f>IF(F95=0,0,E95/F95*100)</f>
        <v/>
      </c>
      <c r="H95" s="16" t="n">
        <v>4</v>
      </c>
      <c r="I95" s="16" t="n">
        <v>0</v>
      </c>
      <c r="J95" s="16" t="n">
        <v>4</v>
      </c>
      <c r="K95" s="16" t="n">
        <v>4</v>
      </c>
    </row>
    <row r="96">
      <c r="A96" s="15" t="inlineStr">
        <is>
          <t>3 Jun</t>
        </is>
      </c>
      <c r="B96" s="15" t="inlineStr">
        <is>
          <t>30327</t>
        </is>
      </c>
      <c r="C96" s="16" t="n">
        <v>0</v>
      </c>
      <c r="D96" s="17" t="n">
        <v>82</v>
      </c>
      <c r="E96" s="18" t="n">
        <v>1637</v>
      </c>
      <c r="F96" s="18" t="n">
        <v>1856</v>
      </c>
      <c r="G96" s="19">
        <f>IF(F96=0,0,E96/F96*100)</f>
        <v/>
      </c>
      <c r="H96" s="16" t="n">
        <v>1</v>
      </c>
      <c r="I96" s="16" t="n">
        <v>0</v>
      </c>
      <c r="J96" s="16" t="n">
        <v>1</v>
      </c>
      <c r="K96" s="16" t="n">
        <v>9</v>
      </c>
    </row>
    <row r="97">
      <c r="A97" s="15" t="inlineStr">
        <is>
          <t>3 Jun</t>
        </is>
      </c>
      <c r="B97" s="15" t="inlineStr">
        <is>
          <t>37246</t>
        </is>
      </c>
      <c r="C97" s="16" t="n">
        <v>0</v>
      </c>
      <c r="D97" s="17" t="n">
        <v>0.52</v>
      </c>
      <c r="E97" s="18" t="n">
        <v>383</v>
      </c>
      <c r="F97" s="18" t="n">
        <v>466</v>
      </c>
      <c r="G97" s="19">
        <f>IF(F97=0,0,E97/F97*100)</f>
        <v/>
      </c>
      <c r="H97" s="16" t="n">
        <v>2</v>
      </c>
      <c r="I97" s="16" t="n">
        <v>0</v>
      </c>
      <c r="J97" s="16" t="n">
        <v>2</v>
      </c>
      <c r="K97" s="16" t="n">
        <v>7</v>
      </c>
    </row>
    <row r="98">
      <c r="A98" s="20" t="inlineStr">
        <is>
          <t>3 Jun</t>
        </is>
      </c>
      <c r="B98" s="20" t="inlineStr">
        <is>
          <t>Day Total</t>
        </is>
      </c>
      <c r="C98" s="21">
        <f>SUM(C67:C97)</f>
        <v/>
      </c>
      <c r="D98" s="22">
        <f>SUM(D67:D97)</f>
        <v/>
      </c>
      <c r="E98" s="23">
        <f>SUM(E67:E97)</f>
        <v/>
      </c>
      <c r="F98" s="23">
        <f>SUM(F67:F97)</f>
        <v/>
      </c>
      <c r="G98" s="24">
        <f>IF(F98=0,0,E98/F98*100)</f>
        <v/>
      </c>
      <c r="H98" s="21">
        <f>SUM(H67:H97)</f>
        <v/>
      </c>
      <c r="I98" s="21">
        <f>SUM(I67:I97)</f>
        <v/>
      </c>
      <c r="J98" s="21">
        <f>SUM(J67:J97)</f>
        <v/>
      </c>
      <c r="K98" s="21">
        <f>SUM(K67:K97)</f>
        <v/>
      </c>
    </row>
    <row r="99">
      <c r="A99" s="15" t="inlineStr">
        <is>
          <t>4 Jun</t>
        </is>
      </c>
      <c r="B99" s="15" t="inlineStr">
        <is>
          <t>35001</t>
        </is>
      </c>
      <c r="C99" s="16" t="n">
        <v>1</v>
      </c>
      <c r="D99" s="17" t="n">
        <v>243.75</v>
      </c>
      <c r="E99" s="18" t="n">
        <v>18813</v>
      </c>
      <c r="F99" s="18" t="n">
        <v>19777</v>
      </c>
      <c r="G99" s="19">
        <f>IF(F99=0,0,E99/F99*100)</f>
        <v/>
      </c>
      <c r="H99" s="16" t="n">
        <v>2</v>
      </c>
      <c r="I99" s="16" t="n">
        <v>2</v>
      </c>
      <c r="J99" s="16" t="n">
        <v>0</v>
      </c>
      <c r="K99" s="16" t="n">
        <v>11</v>
      </c>
    </row>
    <row r="100">
      <c r="A100" s="15" t="inlineStr">
        <is>
          <t>4 Jun</t>
        </is>
      </c>
      <c r="B100" s="15" t="inlineStr">
        <is>
          <t>37246</t>
        </is>
      </c>
      <c r="C100" s="16" t="n">
        <v>1</v>
      </c>
      <c r="D100" s="17" t="n">
        <v>243.66</v>
      </c>
      <c r="E100" s="18" t="n">
        <v>10926</v>
      </c>
      <c r="F100" s="18" t="n">
        <v>11113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3</v>
      </c>
    </row>
    <row r="101">
      <c r="A101" s="15" t="inlineStr">
        <is>
          <t>4 Jun</t>
        </is>
      </c>
      <c r="B101" s="15" t="inlineStr">
        <is>
          <t>37358</t>
        </is>
      </c>
      <c r="C101" s="16" t="n">
        <v>1</v>
      </c>
      <c r="D101" s="17" t="n">
        <v>243.67</v>
      </c>
      <c r="E101" s="18" t="n">
        <v>8189</v>
      </c>
      <c r="F101" s="18" t="n">
        <v>8421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5</v>
      </c>
    </row>
    <row r="102">
      <c r="A102" s="15" t="inlineStr">
        <is>
          <t>4 Jun</t>
        </is>
      </c>
      <c r="B102" s="15" t="inlineStr">
        <is>
          <t>39060</t>
        </is>
      </c>
      <c r="C102" s="16" t="n">
        <v>0</v>
      </c>
      <c r="D102" s="17" t="n">
        <v>199.75</v>
      </c>
      <c r="E102" s="18" t="n">
        <v>16763</v>
      </c>
      <c r="F102" s="18" t="n">
        <v>17522</v>
      </c>
      <c r="G102" s="19">
        <f>IF(F102=0,0,E102/F102*100)</f>
        <v/>
      </c>
      <c r="H102" s="16" t="n">
        <v>1</v>
      </c>
      <c r="I102" s="16" t="n">
        <v>0</v>
      </c>
      <c r="J102" s="16" t="n">
        <v>1</v>
      </c>
      <c r="K102" s="16" t="n">
        <v>23</v>
      </c>
    </row>
    <row r="103">
      <c r="A103" s="15" t="inlineStr">
        <is>
          <t>4 Jun</t>
        </is>
      </c>
      <c r="B103" s="15" t="inlineStr">
        <is>
          <t>39410</t>
        </is>
      </c>
      <c r="C103" s="16" t="n">
        <v>0</v>
      </c>
      <c r="D103" s="17" t="n">
        <v>199.05</v>
      </c>
      <c r="E103" s="18" t="n">
        <v>14920</v>
      </c>
      <c r="F103" s="18" t="n">
        <v>15398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23</v>
      </c>
    </row>
    <row r="104">
      <c r="A104" s="15" t="inlineStr">
        <is>
          <t>4 Jun</t>
        </is>
      </c>
      <c r="B104" s="15" t="inlineStr">
        <is>
          <t>39178</t>
        </is>
      </c>
      <c r="C104" s="16" t="n">
        <v>0</v>
      </c>
      <c r="D104" s="17" t="n">
        <v>199.05</v>
      </c>
      <c r="E104" s="18" t="n">
        <v>10630</v>
      </c>
      <c r="F104" s="18" t="n">
        <v>11410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34</v>
      </c>
    </row>
    <row r="105">
      <c r="A105" s="15" t="inlineStr">
        <is>
          <t>4 Jun</t>
        </is>
      </c>
      <c r="B105" s="15" t="inlineStr">
        <is>
          <t>30112</t>
        </is>
      </c>
      <c r="C105" s="16" t="n">
        <v>0</v>
      </c>
      <c r="D105" s="17" t="n">
        <v>94.27</v>
      </c>
      <c r="E105" s="18" t="n">
        <v>9414</v>
      </c>
      <c r="F105" s="18" t="n">
        <v>9516</v>
      </c>
      <c r="G105" s="19">
        <f>IF(F105=0,0,E105/F105*100)</f>
        <v/>
      </c>
      <c r="H105" s="16" t="n">
        <v>1</v>
      </c>
      <c r="I105" s="16" t="n">
        <v>0</v>
      </c>
      <c r="J105" s="16" t="n">
        <v>1</v>
      </c>
      <c r="K105" s="16" t="n">
        <v>8</v>
      </c>
    </row>
    <row r="106">
      <c r="A106" s="15" t="inlineStr">
        <is>
          <t>4 Jun</t>
        </is>
      </c>
      <c r="B106" s="15" t="inlineStr">
        <is>
          <t>37081</t>
        </is>
      </c>
      <c r="C106" s="16" t="n">
        <v>0</v>
      </c>
      <c r="D106" s="17" t="n">
        <v>110.05</v>
      </c>
      <c r="E106" s="18" t="n">
        <v>8229</v>
      </c>
      <c r="F106" s="18" t="n">
        <v>8312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4 Jun</t>
        </is>
      </c>
      <c r="B107" s="15" t="inlineStr">
        <is>
          <t>37860</t>
        </is>
      </c>
      <c r="C107" s="16" t="n">
        <v>0</v>
      </c>
      <c r="D107" s="17" t="n">
        <v>199.62</v>
      </c>
      <c r="E107" s="18" t="n">
        <v>7827</v>
      </c>
      <c r="F107" s="18" t="n">
        <v>7960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2</v>
      </c>
    </row>
    <row r="108">
      <c r="A108" s="15" t="inlineStr">
        <is>
          <t>4 Jun</t>
        </is>
      </c>
      <c r="B108" s="15" t="inlineStr">
        <is>
          <t>37034</t>
        </is>
      </c>
      <c r="C108" s="16" t="n">
        <v>0</v>
      </c>
      <c r="D108" s="17" t="n">
        <v>219.23</v>
      </c>
      <c r="E108" s="18" t="n">
        <v>7328</v>
      </c>
      <c r="F108" s="18" t="n">
        <v>7706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14</v>
      </c>
    </row>
    <row r="109">
      <c r="A109" s="15" t="inlineStr">
        <is>
          <t>4 Jun</t>
        </is>
      </c>
      <c r="B109" s="15" t="inlineStr">
        <is>
          <t>30327</t>
        </is>
      </c>
      <c r="C109" s="16" t="n">
        <v>0</v>
      </c>
      <c r="D109" s="17" t="n">
        <v>183.96</v>
      </c>
      <c r="E109" s="18" t="n">
        <v>6764</v>
      </c>
      <c r="F109" s="18" t="n">
        <v>7119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7</v>
      </c>
    </row>
    <row r="110">
      <c r="A110" s="15" t="inlineStr">
        <is>
          <t>4 Jun</t>
        </is>
      </c>
      <c r="B110" s="15" t="inlineStr">
        <is>
          <t>30305</t>
        </is>
      </c>
      <c r="C110" s="16" t="n">
        <v>0</v>
      </c>
      <c r="D110" s="17" t="n">
        <v>82.53</v>
      </c>
      <c r="E110" s="18" t="n">
        <v>5129</v>
      </c>
      <c r="F110" s="18" t="n">
        <v>5595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16</v>
      </c>
    </row>
    <row r="111">
      <c r="A111" s="15" t="inlineStr">
        <is>
          <t>4 Jun</t>
        </is>
      </c>
      <c r="B111" s="15" t="inlineStr">
        <is>
          <t>39133</t>
        </is>
      </c>
      <c r="C111" s="16" t="n">
        <v>0</v>
      </c>
      <c r="D111" s="17" t="n">
        <v>94.39</v>
      </c>
      <c r="E111" s="18" t="n">
        <v>4919</v>
      </c>
      <c r="F111" s="18" t="n">
        <v>5127</v>
      </c>
      <c r="G111" s="19">
        <f>IF(F111=0,0,E111/F111*100)</f>
        <v/>
      </c>
      <c r="H111" s="16" t="n">
        <v>2</v>
      </c>
      <c r="I111" s="16" t="n">
        <v>0</v>
      </c>
      <c r="J111" s="16" t="n">
        <v>2</v>
      </c>
      <c r="K111" s="16" t="n">
        <v>5</v>
      </c>
    </row>
    <row r="112">
      <c r="A112" s="15" t="inlineStr">
        <is>
          <t>4 Jun</t>
        </is>
      </c>
      <c r="B112" s="15" t="inlineStr">
        <is>
          <t>37025</t>
        </is>
      </c>
      <c r="C112" s="16" t="n">
        <v>0</v>
      </c>
      <c r="D112" s="17" t="n">
        <v>93.76000000000001</v>
      </c>
      <c r="E112" s="18" t="n">
        <v>4639</v>
      </c>
      <c r="F112" s="18" t="n">
        <v>4843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10</v>
      </c>
    </row>
    <row r="113">
      <c r="A113" s="15" t="inlineStr">
        <is>
          <t>4 Jun</t>
        </is>
      </c>
      <c r="B113" s="15" t="inlineStr">
        <is>
          <t>30321</t>
        </is>
      </c>
      <c r="C113" s="16" t="n">
        <v>0</v>
      </c>
      <c r="D113" s="17" t="n">
        <v>82.51000000000001</v>
      </c>
      <c r="E113" s="18" t="n">
        <v>4424</v>
      </c>
      <c r="F113" s="18" t="n">
        <v>4433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1</v>
      </c>
    </row>
    <row r="114">
      <c r="A114" s="15" t="inlineStr">
        <is>
          <t>4 Jun</t>
        </is>
      </c>
      <c r="B114" s="15" t="inlineStr">
        <is>
          <t>39179</t>
        </is>
      </c>
      <c r="C114" s="16" t="n">
        <v>0</v>
      </c>
      <c r="D114" s="17" t="n">
        <v>93.77</v>
      </c>
      <c r="E114" s="18" t="n">
        <v>3940</v>
      </c>
      <c r="F114" s="18" t="n">
        <v>4102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4</v>
      </c>
    </row>
    <row r="115">
      <c r="A115" s="15" t="inlineStr">
        <is>
          <t>4 Jun</t>
        </is>
      </c>
      <c r="B115" s="15" t="inlineStr">
        <is>
          <t>37168</t>
        </is>
      </c>
      <c r="C115" s="16" t="n">
        <v>0</v>
      </c>
      <c r="D115" s="17" t="n">
        <v>93.77</v>
      </c>
      <c r="E115" s="18" t="n">
        <v>3753</v>
      </c>
      <c r="F115" s="18" t="n">
        <v>3780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0</v>
      </c>
    </row>
    <row r="116">
      <c r="A116" s="15" t="inlineStr">
        <is>
          <t>4 Jun</t>
        </is>
      </c>
      <c r="B116" s="15" t="inlineStr">
        <is>
          <t>37401</t>
        </is>
      </c>
      <c r="C116" s="16" t="n">
        <v>0</v>
      </c>
      <c r="D116" s="17" t="n">
        <v>94.26000000000001</v>
      </c>
      <c r="E116" s="18" t="n">
        <v>3297</v>
      </c>
      <c r="F116" s="18" t="n">
        <v>3615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0</v>
      </c>
    </row>
    <row r="117">
      <c r="A117" s="15" t="inlineStr">
        <is>
          <t>4 Jun</t>
        </is>
      </c>
      <c r="B117" s="15" t="inlineStr">
        <is>
          <t>39111</t>
        </is>
      </c>
      <c r="C117" s="16" t="n">
        <v>0</v>
      </c>
      <c r="D117" s="17" t="n">
        <v>94.42</v>
      </c>
      <c r="E117" s="18" t="n">
        <v>3568</v>
      </c>
      <c r="F117" s="18" t="n">
        <v>3613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0</v>
      </c>
    </row>
    <row r="118">
      <c r="A118" s="15" t="inlineStr">
        <is>
          <t>4 Jun</t>
        </is>
      </c>
      <c r="B118" s="15" t="inlineStr">
        <is>
          <t>30329</t>
        </is>
      </c>
      <c r="C118" s="16" t="n">
        <v>0</v>
      </c>
      <c r="D118" s="17" t="n">
        <v>81.67</v>
      </c>
      <c r="E118" s="18" t="n">
        <v>2815</v>
      </c>
      <c r="F118" s="18" t="n">
        <v>2909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8</v>
      </c>
    </row>
    <row r="119">
      <c r="A119" s="15" t="inlineStr">
        <is>
          <t>4 Jun</t>
        </is>
      </c>
      <c r="B119" s="15" t="inlineStr">
        <is>
          <t>30552</t>
        </is>
      </c>
      <c r="C119" s="16" t="n">
        <v>0</v>
      </c>
      <c r="D119" s="17" t="n">
        <v>95.33</v>
      </c>
      <c r="E119" s="18" t="n">
        <v>0</v>
      </c>
      <c r="F119" s="18" t="n">
        <v>2328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4 Jun</t>
        </is>
      </c>
      <c r="B120" s="15" t="inlineStr">
        <is>
          <t>30639</t>
        </is>
      </c>
      <c r="C120" s="16" t="n">
        <v>0</v>
      </c>
      <c r="D120" s="17" t="n">
        <v>42.07</v>
      </c>
      <c r="E120" s="18" t="n">
        <v>2089</v>
      </c>
      <c r="F120" s="18" t="n">
        <v>2094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4 Jun</t>
        </is>
      </c>
      <c r="B121" s="15" t="inlineStr">
        <is>
          <t>37268</t>
        </is>
      </c>
      <c r="C121" s="16" t="n">
        <v>0</v>
      </c>
      <c r="D121" s="17" t="n">
        <v>0.52</v>
      </c>
      <c r="E121" s="18" t="n">
        <v>269</v>
      </c>
      <c r="F121" s="18" t="n">
        <v>329</v>
      </c>
      <c r="G121" s="19">
        <f>IF(F121=0,0,E121/F121*100)</f>
        <v/>
      </c>
      <c r="H121" s="16" t="n">
        <v>2</v>
      </c>
      <c r="I121" s="16" t="n">
        <v>0</v>
      </c>
      <c r="J121" s="16" t="n">
        <v>2</v>
      </c>
      <c r="K121" s="16" t="n">
        <v>5</v>
      </c>
    </row>
    <row r="122">
      <c r="A122" s="15" t="inlineStr">
        <is>
          <t>4 Jun</t>
        </is>
      </c>
      <c r="B122" s="15" t="inlineStr">
        <is>
          <t>43741</t>
        </is>
      </c>
      <c r="C122" s="16" t="n">
        <v>0</v>
      </c>
      <c r="D122" s="17" t="n">
        <v>0.23</v>
      </c>
      <c r="E122" s="18" t="n">
        <v>262</v>
      </c>
      <c r="F122" s="18" t="n">
        <v>328</v>
      </c>
      <c r="G122" s="19">
        <f>IF(F122=0,0,E122/F122*100)</f>
        <v/>
      </c>
      <c r="H122" s="16" t="n">
        <v>5</v>
      </c>
      <c r="I122" s="16" t="n">
        <v>0</v>
      </c>
      <c r="J122" s="16" t="n">
        <v>5</v>
      </c>
      <c r="K122" s="16" t="n">
        <v>4</v>
      </c>
    </row>
    <row r="123">
      <c r="A123" s="15" t="inlineStr">
        <is>
          <t>4 Jun</t>
        </is>
      </c>
      <c r="B123" s="15" t="inlineStr">
        <is>
          <t>30742</t>
        </is>
      </c>
      <c r="C123" s="16" t="n">
        <v>0</v>
      </c>
      <c r="D123" s="17" t="n">
        <v>0.07000000000000001</v>
      </c>
      <c r="E123" s="18" t="n">
        <v>114</v>
      </c>
      <c r="F123" s="18" t="n">
        <v>203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1</v>
      </c>
    </row>
    <row r="124">
      <c r="A124" s="15" t="inlineStr">
        <is>
          <t>4 Jun</t>
        </is>
      </c>
      <c r="B124" s="15" t="inlineStr">
        <is>
          <t>30455</t>
        </is>
      </c>
      <c r="C124" s="16" t="n">
        <v>0</v>
      </c>
      <c r="D124" s="17" t="n">
        <v>3.62</v>
      </c>
      <c r="E124" s="18" t="n">
        <v>193</v>
      </c>
      <c r="F124" s="18" t="n">
        <v>197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0</v>
      </c>
    </row>
    <row r="125">
      <c r="A125" s="20" t="inlineStr">
        <is>
          <t>4 Jun</t>
        </is>
      </c>
      <c r="B125" s="20" t="inlineStr">
        <is>
          <t>Day Total</t>
        </is>
      </c>
      <c r="C125" s="21">
        <f>SUM(C99:C124)</f>
        <v/>
      </c>
      <c r="D125" s="22">
        <f>SUM(D99:D124)</f>
        <v/>
      </c>
      <c r="E125" s="23">
        <f>SUM(E99:E124)</f>
        <v/>
      </c>
      <c r="F125" s="23">
        <f>SUM(F99:F124)</f>
        <v/>
      </c>
      <c r="G125" s="24">
        <f>IF(F125=0,0,E125/F125*100)</f>
        <v/>
      </c>
      <c r="H125" s="21">
        <f>SUM(H99:H124)</f>
        <v/>
      </c>
      <c r="I125" s="21">
        <f>SUM(I99:I124)</f>
        <v/>
      </c>
      <c r="J125" s="21">
        <f>SUM(J99:J124)</f>
        <v/>
      </c>
      <c r="K125" s="21">
        <f>SUM(K99:K124)</f>
        <v/>
      </c>
    </row>
    <row r="126">
      <c r="A126" s="15" t="inlineStr">
        <is>
          <t>5 Jun</t>
        </is>
      </c>
      <c r="B126" s="15" t="inlineStr">
        <is>
          <t>30568</t>
        </is>
      </c>
      <c r="C126" s="16" t="n">
        <v>1</v>
      </c>
      <c r="D126" s="17" t="n">
        <v>244.03</v>
      </c>
      <c r="E126" s="18" t="n">
        <v>12255</v>
      </c>
      <c r="F126" s="18" t="n">
        <v>13073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29</v>
      </c>
    </row>
    <row r="127">
      <c r="A127" s="15" t="inlineStr">
        <is>
          <t>5 Jun</t>
        </is>
      </c>
      <c r="B127" s="15" t="inlineStr">
        <is>
          <t>35001</t>
        </is>
      </c>
      <c r="C127" s="16" t="n">
        <v>1</v>
      </c>
      <c r="D127" s="17" t="n">
        <v>244.02</v>
      </c>
      <c r="E127" s="18" t="n">
        <v>11969</v>
      </c>
      <c r="F127" s="18" t="n">
        <v>12544</v>
      </c>
      <c r="G127" s="19">
        <f>IF(F127=0,0,E127/F127*100)</f>
        <v/>
      </c>
      <c r="H127" s="16" t="n">
        <v>1</v>
      </c>
      <c r="I127" s="16" t="n">
        <v>1</v>
      </c>
      <c r="J127" s="16" t="n">
        <v>0</v>
      </c>
      <c r="K127" s="16" t="n">
        <v>9</v>
      </c>
    </row>
    <row r="128">
      <c r="A128" s="15" t="inlineStr">
        <is>
          <t>5 Jun</t>
        </is>
      </c>
      <c r="B128" s="15" t="inlineStr">
        <is>
          <t>37480</t>
        </is>
      </c>
      <c r="C128" s="16" t="n">
        <v>1</v>
      </c>
      <c r="D128" s="17" t="n">
        <v>244.03</v>
      </c>
      <c r="E128" s="18" t="n">
        <v>8178</v>
      </c>
      <c r="F128" s="18" t="n">
        <v>8824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13</v>
      </c>
    </row>
    <row r="129">
      <c r="A129" s="15" t="inlineStr">
        <is>
          <t>5 Jun</t>
        </is>
      </c>
      <c r="B129" s="15" t="inlineStr">
        <is>
          <t>37777</t>
        </is>
      </c>
      <c r="C129" s="16" t="n">
        <v>1</v>
      </c>
      <c r="D129" s="17" t="n">
        <v>243.69</v>
      </c>
      <c r="E129" s="18" t="n">
        <v>7820</v>
      </c>
      <c r="F129" s="18" t="n">
        <v>8145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12</v>
      </c>
    </row>
    <row r="130">
      <c r="A130" s="15" t="inlineStr">
        <is>
          <t>5 Jun</t>
        </is>
      </c>
      <c r="B130" s="15" t="inlineStr">
        <is>
          <t>37401</t>
        </is>
      </c>
      <c r="C130" s="16" t="n">
        <v>0</v>
      </c>
      <c r="D130" s="17" t="n">
        <v>199.75</v>
      </c>
      <c r="E130" s="18" t="n">
        <v>10951</v>
      </c>
      <c r="F130" s="18" t="n">
        <v>11540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24</v>
      </c>
    </row>
    <row r="131">
      <c r="A131" s="15" t="inlineStr">
        <is>
          <t>5 Jun</t>
        </is>
      </c>
      <c r="B131" s="15" t="inlineStr">
        <is>
          <t>39263</t>
        </is>
      </c>
      <c r="C131" s="16" t="n">
        <v>0</v>
      </c>
      <c r="D131" s="17" t="n">
        <v>231.65</v>
      </c>
      <c r="E131" s="18" t="n">
        <v>9902</v>
      </c>
      <c r="F131" s="18" t="n">
        <v>10406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10</v>
      </c>
    </row>
    <row r="132">
      <c r="A132" s="15" t="inlineStr">
        <is>
          <t>5 Jun</t>
        </is>
      </c>
      <c r="B132" s="15" t="inlineStr">
        <is>
          <t>37452</t>
        </is>
      </c>
      <c r="C132" s="16" t="n">
        <v>0</v>
      </c>
      <c r="D132" s="17" t="n">
        <v>182.14</v>
      </c>
      <c r="E132" s="18" t="n">
        <v>8302</v>
      </c>
      <c r="F132" s="18" t="n">
        <v>9213</v>
      </c>
      <c r="G132" s="19">
        <f>IF(F132=0,0,E132/F132*100)</f>
        <v/>
      </c>
      <c r="H132" s="16" t="n">
        <v>1</v>
      </c>
      <c r="I132" s="16" t="n">
        <v>0</v>
      </c>
      <c r="J132" s="16" t="n">
        <v>1</v>
      </c>
      <c r="K132" s="16" t="n">
        <v>20</v>
      </c>
    </row>
    <row r="133">
      <c r="A133" s="15" t="inlineStr">
        <is>
          <t>5 Jun</t>
        </is>
      </c>
      <c r="B133" s="15" t="inlineStr">
        <is>
          <t>30112</t>
        </is>
      </c>
      <c r="C133" s="16" t="n">
        <v>0</v>
      </c>
      <c r="D133" s="17" t="n">
        <v>94.27</v>
      </c>
      <c r="E133" s="18" t="n">
        <v>8322</v>
      </c>
      <c r="F133" s="18" t="n">
        <v>8689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10</v>
      </c>
    </row>
    <row r="134">
      <c r="A134" s="15" t="inlineStr">
        <is>
          <t>5 Jun</t>
        </is>
      </c>
      <c r="B134" s="15" t="inlineStr">
        <is>
          <t>37502</t>
        </is>
      </c>
      <c r="C134" s="16" t="n">
        <v>0</v>
      </c>
      <c r="D134" s="17" t="n">
        <v>199.05</v>
      </c>
      <c r="E134" s="18" t="n">
        <v>7958</v>
      </c>
      <c r="F134" s="18" t="n">
        <v>8516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11</v>
      </c>
    </row>
    <row r="135">
      <c r="A135" s="15" t="inlineStr">
        <is>
          <t>5 Jun</t>
        </is>
      </c>
      <c r="B135" s="15" t="inlineStr">
        <is>
          <t>37609</t>
        </is>
      </c>
      <c r="C135" s="16" t="n">
        <v>0</v>
      </c>
      <c r="D135" s="17" t="n">
        <v>231.61</v>
      </c>
      <c r="E135" s="18" t="n">
        <v>6772</v>
      </c>
      <c r="F135" s="18" t="n">
        <v>7626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16</v>
      </c>
    </row>
    <row r="136">
      <c r="A136" s="15" t="inlineStr">
        <is>
          <t>5 Jun</t>
        </is>
      </c>
      <c r="B136" s="15" t="inlineStr">
        <is>
          <t>37879</t>
        </is>
      </c>
      <c r="C136" s="16" t="n">
        <v>0</v>
      </c>
      <c r="D136" s="17" t="n">
        <v>199.61</v>
      </c>
      <c r="E136" s="18" t="n">
        <v>7058</v>
      </c>
      <c r="F136" s="18" t="n">
        <v>7595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7</v>
      </c>
    </row>
    <row r="137">
      <c r="A137" s="15" t="inlineStr">
        <is>
          <t>5 Jun</t>
        </is>
      </c>
      <c r="B137" s="15" t="inlineStr">
        <is>
          <t>37081</t>
        </is>
      </c>
      <c r="C137" s="16" t="n">
        <v>0</v>
      </c>
      <c r="D137" s="17" t="n">
        <v>94.26000000000001</v>
      </c>
      <c r="E137" s="18" t="n">
        <v>7232</v>
      </c>
      <c r="F137" s="18" t="n">
        <v>7393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6</v>
      </c>
    </row>
    <row r="138">
      <c r="A138" s="15" t="inlineStr">
        <is>
          <t>5 Jun</t>
        </is>
      </c>
      <c r="B138" s="15" t="inlineStr">
        <is>
          <t>30328</t>
        </is>
      </c>
      <c r="C138" s="16" t="n">
        <v>0</v>
      </c>
      <c r="D138" s="17" t="n">
        <v>82.53</v>
      </c>
      <c r="E138" s="18" t="n">
        <v>6690</v>
      </c>
      <c r="F138" s="18" t="n">
        <v>7273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18</v>
      </c>
    </row>
    <row r="139">
      <c r="A139" s="15" t="inlineStr">
        <is>
          <t>5 Jun</t>
        </is>
      </c>
      <c r="B139" s="15" t="inlineStr">
        <is>
          <t>30329</t>
        </is>
      </c>
      <c r="C139" s="16" t="n">
        <v>0</v>
      </c>
      <c r="D139" s="17" t="n">
        <v>82.5</v>
      </c>
      <c r="E139" s="18" t="n">
        <v>6439</v>
      </c>
      <c r="F139" s="18" t="n">
        <v>7087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28</v>
      </c>
    </row>
    <row r="140">
      <c r="A140" s="15" t="inlineStr">
        <is>
          <t>5 Jun</t>
        </is>
      </c>
      <c r="B140" s="15" t="inlineStr">
        <is>
          <t>37116</t>
        </is>
      </c>
      <c r="C140" s="16" t="n">
        <v>0</v>
      </c>
      <c r="D140" s="17" t="n">
        <v>199.4</v>
      </c>
      <c r="E140" s="18" t="n">
        <v>6287</v>
      </c>
      <c r="F140" s="18" t="n">
        <v>6875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9</v>
      </c>
    </row>
    <row r="141">
      <c r="A141" s="15" t="inlineStr">
        <is>
          <t>5 Jun</t>
        </is>
      </c>
      <c r="B141" s="15" t="inlineStr">
        <is>
          <t>39132</t>
        </is>
      </c>
      <c r="C141" s="16" t="n">
        <v>0</v>
      </c>
      <c r="D141" s="17" t="n">
        <v>160.24</v>
      </c>
      <c r="E141" s="18" t="n">
        <v>5938</v>
      </c>
      <c r="F141" s="18" t="n">
        <v>6379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4</v>
      </c>
    </row>
    <row r="142">
      <c r="A142" s="15" t="inlineStr">
        <is>
          <t>5 Jun</t>
        </is>
      </c>
      <c r="B142" s="15" t="inlineStr">
        <is>
          <t>30487</t>
        </is>
      </c>
      <c r="C142" s="16" t="n">
        <v>0</v>
      </c>
      <c r="D142" s="17" t="n">
        <v>148.61</v>
      </c>
      <c r="E142" s="18" t="n">
        <v>5949</v>
      </c>
      <c r="F142" s="18" t="n">
        <v>6330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9</v>
      </c>
    </row>
    <row r="143">
      <c r="A143" s="15" t="inlineStr">
        <is>
          <t>5 Jun</t>
        </is>
      </c>
      <c r="B143" s="15" t="inlineStr">
        <is>
          <t>37400</t>
        </is>
      </c>
      <c r="C143" s="16" t="n">
        <v>0</v>
      </c>
      <c r="D143" s="17" t="n">
        <v>92.69</v>
      </c>
      <c r="E143" s="18" t="n">
        <v>5644</v>
      </c>
      <c r="F143" s="18" t="n">
        <v>5819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4</v>
      </c>
    </row>
    <row r="144">
      <c r="A144" s="15" t="inlineStr">
        <is>
          <t>5 Jun</t>
        </is>
      </c>
      <c r="B144" s="15" t="inlineStr">
        <is>
          <t>37025</t>
        </is>
      </c>
      <c r="C144" s="16" t="n">
        <v>0</v>
      </c>
      <c r="D144" s="17" t="n">
        <v>168.13</v>
      </c>
      <c r="E144" s="18" t="n">
        <v>5685</v>
      </c>
      <c r="F144" s="18" t="n">
        <v>5689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0</v>
      </c>
    </row>
    <row r="145">
      <c r="A145" s="15" t="inlineStr">
        <is>
          <t>5 Jun</t>
        </is>
      </c>
      <c r="B145" s="15" t="inlineStr">
        <is>
          <t>37859</t>
        </is>
      </c>
      <c r="C145" s="16" t="n">
        <v>0</v>
      </c>
      <c r="D145" s="17" t="n">
        <v>92.67</v>
      </c>
      <c r="E145" s="18" t="n">
        <v>4418</v>
      </c>
      <c r="F145" s="18" t="n">
        <v>4494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4</v>
      </c>
    </row>
    <row r="146">
      <c r="A146" s="15" t="inlineStr">
        <is>
          <t>5 Jun</t>
        </is>
      </c>
      <c r="B146" s="15" t="inlineStr">
        <is>
          <t>30350</t>
        </is>
      </c>
      <c r="C146" s="16" t="n">
        <v>0</v>
      </c>
      <c r="D146" s="17" t="n">
        <v>199.4</v>
      </c>
      <c r="E146" s="18" t="n">
        <v>0</v>
      </c>
      <c r="F146" s="18" t="n">
        <v>4455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0</v>
      </c>
    </row>
    <row r="147">
      <c r="A147" s="15" t="inlineStr">
        <is>
          <t>5 Jun</t>
        </is>
      </c>
      <c r="B147" s="15" t="inlineStr">
        <is>
          <t>39482</t>
        </is>
      </c>
      <c r="C147" s="16" t="n">
        <v>0</v>
      </c>
      <c r="D147" s="17" t="n">
        <v>160.14</v>
      </c>
      <c r="E147" s="18" t="n">
        <v>3926</v>
      </c>
      <c r="F147" s="18" t="n">
        <v>4451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18</v>
      </c>
    </row>
    <row r="148">
      <c r="A148" s="15" t="inlineStr">
        <is>
          <t>5 Jun</t>
        </is>
      </c>
      <c r="B148" s="15" t="inlineStr">
        <is>
          <t>39410</t>
        </is>
      </c>
      <c r="C148" s="16" t="n">
        <v>0</v>
      </c>
      <c r="D148" s="17" t="n">
        <v>81.06999999999999</v>
      </c>
      <c r="E148" s="18" t="n">
        <v>3708</v>
      </c>
      <c r="F148" s="18" t="n">
        <v>3838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5</v>
      </c>
    </row>
    <row r="149">
      <c r="A149" s="15" t="inlineStr">
        <is>
          <t>5 Jun</t>
        </is>
      </c>
      <c r="B149" s="15" t="inlineStr">
        <is>
          <t>39135</t>
        </is>
      </c>
      <c r="C149" s="16" t="n">
        <v>0</v>
      </c>
      <c r="D149" s="17" t="n">
        <v>97.89</v>
      </c>
      <c r="E149" s="18" t="n">
        <v>3096</v>
      </c>
      <c r="F149" s="18" t="n">
        <v>3626</v>
      </c>
      <c r="G149" s="19">
        <f>IF(F149=0,0,E149/F149*100)</f>
        <v/>
      </c>
      <c r="H149" s="16" t="n">
        <v>1</v>
      </c>
      <c r="I149" s="16" t="n">
        <v>0</v>
      </c>
      <c r="J149" s="16" t="n">
        <v>1</v>
      </c>
      <c r="K149" s="16" t="n">
        <v>10</v>
      </c>
    </row>
    <row r="150">
      <c r="A150" s="15" t="inlineStr">
        <is>
          <t>5 Jun</t>
        </is>
      </c>
      <c r="B150" s="15" t="inlineStr">
        <is>
          <t>30493</t>
        </is>
      </c>
      <c r="C150" s="16" t="n">
        <v>0</v>
      </c>
      <c r="D150" s="17" t="n">
        <v>82.63</v>
      </c>
      <c r="E150" s="18" t="n">
        <v>3354</v>
      </c>
      <c r="F150" s="18" t="n">
        <v>3374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2</v>
      </c>
    </row>
    <row r="151">
      <c r="A151" s="15" t="inlineStr">
        <is>
          <t>5 Jun</t>
        </is>
      </c>
      <c r="B151" s="15" t="inlineStr">
        <is>
          <t>39560</t>
        </is>
      </c>
      <c r="C151" s="16" t="n">
        <v>0</v>
      </c>
      <c r="D151" s="17" t="n">
        <v>82.62</v>
      </c>
      <c r="E151" s="18" t="n">
        <v>3086</v>
      </c>
      <c r="F151" s="18" t="n">
        <v>3170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8</v>
      </c>
    </row>
    <row r="152">
      <c r="A152" s="15" t="inlineStr">
        <is>
          <t>5 Jun</t>
        </is>
      </c>
      <c r="B152" s="15" t="inlineStr">
        <is>
          <t>30455</t>
        </is>
      </c>
      <c r="C152" s="16" t="n">
        <v>0</v>
      </c>
      <c r="D152" s="17" t="n">
        <v>79.01000000000001</v>
      </c>
      <c r="E152" s="18" t="n">
        <v>3161</v>
      </c>
      <c r="F152" s="18" t="n">
        <v>3166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15" t="inlineStr">
        <is>
          <t>5 Jun</t>
        </is>
      </c>
      <c r="B153" s="15" t="inlineStr">
        <is>
          <t>30322</t>
        </is>
      </c>
      <c r="C153" s="16" t="n">
        <v>0</v>
      </c>
      <c r="D153" s="17" t="n">
        <v>82.63</v>
      </c>
      <c r="E153" s="18" t="n">
        <v>2897</v>
      </c>
      <c r="F153" s="18" t="n">
        <v>2938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3</v>
      </c>
    </row>
    <row r="154">
      <c r="A154" s="15" t="inlineStr">
        <is>
          <t>5 Jun</t>
        </is>
      </c>
      <c r="B154" s="15" t="inlineStr">
        <is>
          <t>37014</t>
        </is>
      </c>
      <c r="C154" s="16" t="n">
        <v>0</v>
      </c>
      <c r="D154" s="17" t="n">
        <v>27.28</v>
      </c>
      <c r="E154" s="18" t="n">
        <v>1378</v>
      </c>
      <c r="F154" s="18" t="n">
        <v>1464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3</v>
      </c>
    </row>
    <row r="155">
      <c r="A155" s="15" t="inlineStr">
        <is>
          <t>5 Jun</t>
        </is>
      </c>
      <c r="B155" s="15" t="inlineStr">
        <is>
          <t>37244</t>
        </is>
      </c>
      <c r="C155" s="16" t="n">
        <v>0</v>
      </c>
      <c r="D155" s="17" t="n">
        <v>8.27</v>
      </c>
      <c r="E155" s="18" t="n">
        <v>752</v>
      </c>
      <c r="F155" s="18" t="n">
        <v>807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0</v>
      </c>
    </row>
    <row r="156">
      <c r="A156" s="15" t="inlineStr">
        <is>
          <t>5 Jun</t>
        </is>
      </c>
      <c r="B156" s="15" t="inlineStr">
        <is>
          <t>37005</t>
        </is>
      </c>
      <c r="C156" s="16" t="n">
        <v>0</v>
      </c>
      <c r="D156" s="17" t="n">
        <v>0.51</v>
      </c>
      <c r="E156" s="18" t="n">
        <v>254</v>
      </c>
      <c r="F156" s="18" t="n">
        <v>375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4</v>
      </c>
    </row>
    <row r="157">
      <c r="A157" s="15" t="inlineStr">
        <is>
          <t>5 Jun</t>
        </is>
      </c>
      <c r="B157" s="15" t="inlineStr">
        <is>
          <t>43767</t>
        </is>
      </c>
      <c r="C157" s="16" t="n">
        <v>0</v>
      </c>
      <c r="D157" s="17" t="n">
        <v>0.21</v>
      </c>
      <c r="E157" s="18" t="n">
        <v>289</v>
      </c>
      <c r="F157" s="18" t="n">
        <v>325</v>
      </c>
      <c r="G157" s="19">
        <f>IF(F157=0,0,E157/F157*100)</f>
        <v/>
      </c>
      <c r="H157" s="16" t="n">
        <v>3</v>
      </c>
      <c r="I157" s="16" t="n">
        <v>0</v>
      </c>
      <c r="J157" s="16" t="n">
        <v>3</v>
      </c>
      <c r="K157" s="16" t="n">
        <v>3</v>
      </c>
    </row>
    <row r="158">
      <c r="A158" s="15" t="inlineStr">
        <is>
          <t>5 Jun</t>
        </is>
      </c>
      <c r="B158" s="15" t="inlineStr">
        <is>
          <t>37720</t>
        </is>
      </c>
      <c r="C158" s="16" t="n">
        <v>0</v>
      </c>
      <c r="D158" s="17" t="n">
        <v>0.92</v>
      </c>
      <c r="E158" s="18" t="n">
        <v>260</v>
      </c>
      <c r="F158" s="18" t="n">
        <v>264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0</v>
      </c>
    </row>
    <row r="159">
      <c r="A159" s="15" t="inlineStr">
        <is>
          <t>5 Jun</t>
        </is>
      </c>
      <c r="B159" s="15" t="inlineStr">
        <is>
          <t>37268</t>
        </is>
      </c>
      <c r="C159" s="16" t="n">
        <v>0</v>
      </c>
      <c r="D159" s="17" t="n">
        <v>0.17</v>
      </c>
      <c r="E159" s="18" t="n">
        <v>0</v>
      </c>
      <c r="F159" s="18" t="n">
        <v>156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0</v>
      </c>
    </row>
    <row r="160">
      <c r="A160" s="15" t="inlineStr">
        <is>
          <t>5 Jun</t>
        </is>
      </c>
      <c r="B160" s="15" t="inlineStr">
        <is>
          <t>37504</t>
        </is>
      </c>
      <c r="C160" s="16" t="n">
        <v>0</v>
      </c>
      <c r="D160" s="17" t="n">
        <v>233.19</v>
      </c>
      <c r="E160" s="18" t="n">
        <v>0</v>
      </c>
      <c r="F160" s="18" t="n">
        <v>102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0</v>
      </c>
    </row>
    <row r="161">
      <c r="A161" s="20" t="inlineStr">
        <is>
          <t>5 Jun</t>
        </is>
      </c>
      <c r="B161" s="20" t="inlineStr">
        <is>
          <t>Day Total</t>
        </is>
      </c>
      <c r="C161" s="21">
        <f>SUM(C126:C160)</f>
        <v/>
      </c>
      <c r="D161" s="22">
        <f>SUM(D126:D160)</f>
        <v/>
      </c>
      <c r="E161" s="23">
        <f>SUM(E126:E160)</f>
        <v/>
      </c>
      <c r="F161" s="23">
        <f>SUM(F126:F160)</f>
        <v/>
      </c>
      <c r="G161" s="24">
        <f>IF(F161=0,0,E161/F161*100)</f>
        <v/>
      </c>
      <c r="H161" s="21">
        <f>SUM(H126:H160)</f>
        <v/>
      </c>
      <c r="I161" s="21">
        <f>SUM(I126:I160)</f>
        <v/>
      </c>
      <c r="J161" s="21">
        <f>SUM(J126:J160)</f>
        <v/>
      </c>
      <c r="K161" s="21">
        <f>SUM(K126:K160)</f>
        <v/>
      </c>
    </row>
    <row r="162">
      <c r="A162" s="15" t="inlineStr">
        <is>
          <t>6 Jun</t>
        </is>
      </c>
      <c r="B162" s="15" t="inlineStr">
        <is>
          <t>39409</t>
        </is>
      </c>
      <c r="C162" s="16" t="n">
        <v>1</v>
      </c>
      <c r="D162" s="17" t="n">
        <v>244.01</v>
      </c>
      <c r="E162" s="18" t="n">
        <v>22285</v>
      </c>
      <c r="F162" s="18" t="n">
        <v>22720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12</v>
      </c>
    </row>
    <row r="163">
      <c r="A163" s="15" t="inlineStr">
        <is>
          <t>6 Jun</t>
        </is>
      </c>
      <c r="B163" s="15" t="inlineStr">
        <is>
          <t>39132</t>
        </is>
      </c>
      <c r="C163" s="16" t="n">
        <v>1</v>
      </c>
      <c r="D163" s="17" t="n">
        <v>244</v>
      </c>
      <c r="E163" s="18" t="n">
        <v>14750</v>
      </c>
      <c r="F163" s="18" t="n">
        <v>15042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16</v>
      </c>
    </row>
    <row r="164">
      <c r="A164" s="15" t="inlineStr">
        <is>
          <t>6 Jun</t>
        </is>
      </c>
      <c r="B164" s="15" t="inlineStr">
        <is>
          <t>30112</t>
        </is>
      </c>
      <c r="C164" s="16" t="n">
        <v>1</v>
      </c>
      <c r="D164" s="17" t="n">
        <v>244.02</v>
      </c>
      <c r="E164" s="18" t="n">
        <v>11496</v>
      </c>
      <c r="F164" s="18" t="n">
        <v>12273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13</v>
      </c>
    </row>
    <row r="165">
      <c r="A165" s="15" t="inlineStr">
        <is>
          <t>6 Jun</t>
        </is>
      </c>
      <c r="B165" s="15" t="inlineStr">
        <is>
          <t>37042</t>
        </is>
      </c>
      <c r="C165" s="16" t="n">
        <v>1</v>
      </c>
      <c r="D165" s="17" t="n">
        <v>243.91</v>
      </c>
      <c r="E165" s="18" t="n">
        <v>8405</v>
      </c>
      <c r="F165" s="18" t="n">
        <v>8660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10</v>
      </c>
    </row>
    <row r="166">
      <c r="A166" s="15" t="inlineStr">
        <is>
          <t>6 Jun</t>
        </is>
      </c>
      <c r="B166" s="15" t="inlineStr">
        <is>
          <t>39178</t>
        </is>
      </c>
      <c r="C166" s="16" t="n">
        <v>1</v>
      </c>
      <c r="D166" s="17" t="n">
        <v>243.68</v>
      </c>
      <c r="E166" s="18" t="n">
        <v>8008</v>
      </c>
      <c r="F166" s="18" t="n">
        <v>8386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6</v>
      </c>
    </row>
    <row r="167">
      <c r="A167" s="15" t="inlineStr">
        <is>
          <t>6 Jun</t>
        </is>
      </c>
      <c r="B167" s="15" t="inlineStr">
        <is>
          <t>30692</t>
        </is>
      </c>
      <c r="C167" s="16" t="n">
        <v>0</v>
      </c>
      <c r="D167" s="17" t="n">
        <v>199.73</v>
      </c>
      <c r="E167" s="18" t="n">
        <v>16597</v>
      </c>
      <c r="F167" s="18" t="n">
        <v>17125</v>
      </c>
      <c r="G167" s="19">
        <f>IF(F167=0,0,E167/F167*100)</f>
        <v/>
      </c>
      <c r="H167" s="16" t="n">
        <v>1</v>
      </c>
      <c r="I167" s="16" t="n">
        <v>0</v>
      </c>
      <c r="J167" s="16" t="n">
        <v>1</v>
      </c>
      <c r="K167" s="16" t="n">
        <v>12</v>
      </c>
    </row>
    <row r="168">
      <c r="A168" s="15" t="inlineStr">
        <is>
          <t>6 Jun</t>
        </is>
      </c>
      <c r="B168" s="15" t="inlineStr">
        <is>
          <t>37081</t>
        </is>
      </c>
      <c r="C168" s="16" t="n">
        <v>0</v>
      </c>
      <c r="D168" s="17" t="n">
        <v>157.55</v>
      </c>
      <c r="E168" s="18" t="n">
        <v>14236</v>
      </c>
      <c r="F168" s="18" t="n">
        <v>14693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16</v>
      </c>
    </row>
    <row r="169">
      <c r="A169" s="15" t="inlineStr">
        <is>
          <t>6 Jun</t>
        </is>
      </c>
      <c r="B169" s="15" t="inlineStr">
        <is>
          <t>39111</t>
        </is>
      </c>
      <c r="C169" s="16" t="n">
        <v>0</v>
      </c>
      <c r="D169" s="17" t="n">
        <v>199.75</v>
      </c>
      <c r="E169" s="18" t="n">
        <v>12542</v>
      </c>
      <c r="F169" s="18" t="n">
        <v>12788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4</v>
      </c>
    </row>
    <row r="170">
      <c r="A170" s="15" t="inlineStr">
        <is>
          <t>6 Jun</t>
        </is>
      </c>
      <c r="B170" s="15" t="inlineStr">
        <is>
          <t>39195</t>
        </is>
      </c>
      <c r="C170" s="16" t="n">
        <v>0</v>
      </c>
      <c r="D170" s="17" t="n">
        <v>199.05</v>
      </c>
      <c r="E170" s="18" t="n">
        <v>10191</v>
      </c>
      <c r="F170" s="18" t="n">
        <v>10241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3</v>
      </c>
    </row>
    <row r="171">
      <c r="A171" s="15" t="inlineStr">
        <is>
          <t>6 Jun</t>
        </is>
      </c>
      <c r="B171" s="15" t="inlineStr">
        <is>
          <t>39482</t>
        </is>
      </c>
      <c r="C171" s="16" t="n">
        <v>0</v>
      </c>
      <c r="D171" s="17" t="n">
        <v>199.19</v>
      </c>
      <c r="E171" s="18" t="n">
        <v>9744</v>
      </c>
      <c r="F171" s="18" t="n">
        <v>9766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0</v>
      </c>
    </row>
    <row r="172">
      <c r="A172" s="15" t="inlineStr">
        <is>
          <t>6 Jun</t>
        </is>
      </c>
      <c r="B172" s="15" t="inlineStr">
        <is>
          <t>37778</t>
        </is>
      </c>
      <c r="C172" s="16" t="n">
        <v>0</v>
      </c>
      <c r="D172" s="17" t="n">
        <v>208.78</v>
      </c>
      <c r="E172" s="18" t="n">
        <v>8282</v>
      </c>
      <c r="F172" s="18" t="n">
        <v>8818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10</v>
      </c>
    </row>
    <row r="173">
      <c r="A173" s="15" t="inlineStr">
        <is>
          <t>6 Jun</t>
        </is>
      </c>
      <c r="B173" s="15" t="inlineStr">
        <is>
          <t>39133</t>
        </is>
      </c>
      <c r="C173" s="16" t="n">
        <v>0</v>
      </c>
      <c r="D173" s="17" t="n">
        <v>94.39</v>
      </c>
      <c r="E173" s="18" t="n">
        <v>8450</v>
      </c>
      <c r="F173" s="18" t="n">
        <v>8527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3</v>
      </c>
    </row>
    <row r="174">
      <c r="A174" s="15" t="inlineStr">
        <is>
          <t>6 Jun</t>
        </is>
      </c>
      <c r="B174" s="15" t="inlineStr">
        <is>
          <t>37014</t>
        </is>
      </c>
      <c r="C174" s="16" t="n">
        <v>0</v>
      </c>
      <c r="D174" s="17" t="n">
        <v>216.37</v>
      </c>
      <c r="E174" s="18" t="n">
        <v>7774</v>
      </c>
      <c r="F174" s="18" t="n">
        <v>7953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5</v>
      </c>
    </row>
    <row r="175">
      <c r="A175" s="15" t="inlineStr">
        <is>
          <t>6 Jun</t>
        </is>
      </c>
      <c r="B175" s="15" t="inlineStr">
        <is>
          <t>37898</t>
        </is>
      </c>
      <c r="C175" s="16" t="n">
        <v>0</v>
      </c>
      <c r="D175" s="17" t="n">
        <v>199.45</v>
      </c>
      <c r="E175" s="18" t="n">
        <v>7703</v>
      </c>
      <c r="F175" s="18" t="n">
        <v>7828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1</v>
      </c>
    </row>
    <row r="176">
      <c r="A176" s="15" t="inlineStr">
        <is>
          <t>6 Jun</t>
        </is>
      </c>
      <c r="B176" s="15" t="inlineStr">
        <is>
          <t>30805</t>
        </is>
      </c>
      <c r="C176" s="16" t="n">
        <v>0</v>
      </c>
      <c r="D176" s="17" t="n">
        <v>94.13</v>
      </c>
      <c r="E176" s="18" t="n">
        <v>4806</v>
      </c>
      <c r="F176" s="18" t="n">
        <v>7742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3</v>
      </c>
    </row>
    <row r="177">
      <c r="A177" s="15" t="inlineStr">
        <is>
          <t>6 Jun</t>
        </is>
      </c>
      <c r="B177" s="15" t="inlineStr">
        <is>
          <t>30508</t>
        </is>
      </c>
      <c r="C177" s="16" t="n">
        <v>0</v>
      </c>
      <c r="D177" s="17" t="n">
        <v>199.74</v>
      </c>
      <c r="E177" s="18" t="n">
        <v>7540</v>
      </c>
      <c r="F177" s="18" t="n">
        <v>7587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1</v>
      </c>
    </row>
    <row r="178">
      <c r="A178" s="15" t="inlineStr">
        <is>
          <t>6 Jun</t>
        </is>
      </c>
      <c r="B178" s="15" t="inlineStr">
        <is>
          <t>37502</t>
        </is>
      </c>
      <c r="C178" s="16" t="n">
        <v>0</v>
      </c>
      <c r="D178" s="17" t="n">
        <v>199.44</v>
      </c>
      <c r="E178" s="18" t="n">
        <v>7419</v>
      </c>
      <c r="F178" s="18" t="n">
        <v>7436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0</v>
      </c>
    </row>
    <row r="179">
      <c r="A179" s="15" t="inlineStr">
        <is>
          <t>6 Jun</t>
        </is>
      </c>
      <c r="B179" s="15" t="inlineStr">
        <is>
          <t>37244</t>
        </is>
      </c>
      <c r="C179" s="16" t="n">
        <v>0</v>
      </c>
      <c r="D179" s="17" t="n">
        <v>190.91</v>
      </c>
      <c r="E179" s="18" t="n">
        <v>6661</v>
      </c>
      <c r="F179" s="18" t="n">
        <v>6666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0</v>
      </c>
    </row>
    <row r="180">
      <c r="A180" s="15" t="inlineStr">
        <is>
          <t>6 Jun</t>
        </is>
      </c>
      <c r="B180" s="15" t="inlineStr">
        <is>
          <t>132073</t>
        </is>
      </c>
      <c r="C180" s="16" t="n">
        <v>0</v>
      </c>
      <c r="D180" s="17" t="n">
        <v>57.3</v>
      </c>
      <c r="E180" s="18" t="n">
        <v>5807</v>
      </c>
      <c r="F180" s="18" t="n">
        <v>5831</v>
      </c>
      <c r="G180" s="19">
        <f>IF(F180=0,0,E180/F180*100)</f>
        <v/>
      </c>
      <c r="H180" s="16" t="n">
        <v>2</v>
      </c>
      <c r="I180" s="16" t="n">
        <v>0</v>
      </c>
      <c r="J180" s="16" t="n">
        <v>2</v>
      </c>
      <c r="K180" s="16" t="n">
        <v>2</v>
      </c>
    </row>
    <row r="181">
      <c r="A181" s="15" t="inlineStr">
        <is>
          <t>6 Jun</t>
        </is>
      </c>
      <c r="B181" s="15" t="inlineStr">
        <is>
          <t>128519</t>
        </is>
      </c>
      <c r="C181" s="16" t="n">
        <v>0</v>
      </c>
      <c r="D181" s="17" t="n">
        <v>56.86</v>
      </c>
      <c r="E181" s="18" t="n">
        <v>5580</v>
      </c>
      <c r="F181" s="18" t="n">
        <v>5695</v>
      </c>
      <c r="G181" s="19">
        <f>IF(F181=0,0,E181/F181*100)</f>
        <v/>
      </c>
      <c r="H181" s="16" t="n">
        <v>1</v>
      </c>
      <c r="I181" s="16" t="n">
        <v>0</v>
      </c>
      <c r="J181" s="16" t="n">
        <v>1</v>
      </c>
      <c r="K181" s="16" t="n">
        <v>1</v>
      </c>
    </row>
    <row r="182">
      <c r="A182" s="15" t="inlineStr">
        <is>
          <t>6 Jun</t>
        </is>
      </c>
      <c r="B182" s="15" t="inlineStr">
        <is>
          <t>30321</t>
        </is>
      </c>
      <c r="C182" s="16" t="n">
        <v>0</v>
      </c>
      <c r="D182" s="17" t="n">
        <v>81.39</v>
      </c>
      <c r="E182" s="18" t="n">
        <v>5008</v>
      </c>
      <c r="F182" s="18" t="n">
        <v>5178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2</v>
      </c>
    </row>
    <row r="183">
      <c r="A183" s="15" t="inlineStr">
        <is>
          <t>6 Jun</t>
        </is>
      </c>
      <c r="B183" s="15" t="inlineStr">
        <is>
          <t>30455</t>
        </is>
      </c>
      <c r="C183" s="16" t="n">
        <v>0</v>
      </c>
      <c r="D183" s="17" t="n">
        <v>82.52</v>
      </c>
      <c r="E183" s="18" t="n">
        <v>4562</v>
      </c>
      <c r="F183" s="18" t="n">
        <v>4589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2</v>
      </c>
    </row>
    <row r="184">
      <c r="A184" s="15" t="inlineStr">
        <is>
          <t>6 Jun</t>
        </is>
      </c>
      <c r="B184" s="15" t="inlineStr">
        <is>
          <t>30204</t>
        </is>
      </c>
      <c r="C184" s="16" t="n">
        <v>0</v>
      </c>
      <c r="D184" s="17" t="n">
        <v>82.61</v>
      </c>
      <c r="E184" s="18" t="n">
        <v>4247</v>
      </c>
      <c r="F184" s="18" t="n">
        <v>4266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2</v>
      </c>
    </row>
    <row r="185">
      <c r="A185" s="15" t="inlineStr">
        <is>
          <t>6 Jun</t>
        </is>
      </c>
      <c r="B185" s="15" t="inlineStr">
        <is>
          <t>37720</t>
        </is>
      </c>
      <c r="C185" s="16" t="n">
        <v>0</v>
      </c>
      <c r="D185" s="17" t="n">
        <v>81.68000000000001</v>
      </c>
      <c r="E185" s="18" t="n">
        <v>3128</v>
      </c>
      <c r="F185" s="18" t="n">
        <v>3132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0</v>
      </c>
    </row>
    <row r="186">
      <c r="A186" s="15" t="inlineStr">
        <is>
          <t>6 Jun</t>
        </is>
      </c>
      <c r="B186" s="15" t="inlineStr">
        <is>
          <t>30305</t>
        </is>
      </c>
      <c r="C186" s="16" t="n">
        <v>0</v>
      </c>
      <c r="D186" s="17" t="n">
        <v>79.97</v>
      </c>
      <c r="E186" s="18" t="n">
        <v>2709</v>
      </c>
      <c r="F186" s="18" t="n">
        <v>2849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7</v>
      </c>
    </row>
    <row r="187">
      <c r="A187" s="15" t="inlineStr">
        <is>
          <t>6 Jun</t>
        </is>
      </c>
      <c r="B187" s="15" t="inlineStr">
        <is>
          <t>37609</t>
        </is>
      </c>
      <c r="C187" s="16" t="n">
        <v>0</v>
      </c>
      <c r="D187" s="17" t="n">
        <v>82.63</v>
      </c>
      <c r="E187" s="18" t="n">
        <v>2551</v>
      </c>
      <c r="F187" s="18" t="n">
        <v>2690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10</v>
      </c>
    </row>
    <row r="188">
      <c r="A188" s="15" t="inlineStr">
        <is>
          <t>6 Jun</t>
        </is>
      </c>
      <c r="B188" s="15" t="inlineStr">
        <is>
          <t>30686</t>
        </is>
      </c>
      <c r="C188" s="16" t="n">
        <v>0</v>
      </c>
      <c r="D188" s="17" t="n">
        <v>141.95</v>
      </c>
      <c r="E188" s="18" t="n">
        <v>2549</v>
      </c>
      <c r="F188" s="18" t="n">
        <v>2682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7</v>
      </c>
    </row>
    <row r="189">
      <c r="A189" s="15" t="inlineStr">
        <is>
          <t>6 Jun</t>
        </is>
      </c>
      <c r="B189" s="15" t="inlineStr">
        <is>
          <t>39263</t>
        </is>
      </c>
      <c r="C189" s="16" t="n">
        <v>0</v>
      </c>
      <c r="D189" s="17" t="n">
        <v>52.27</v>
      </c>
      <c r="E189" s="18" t="n">
        <v>1398</v>
      </c>
      <c r="F189" s="18" t="n">
        <v>1448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5</v>
      </c>
    </row>
    <row r="190">
      <c r="A190" s="15" t="inlineStr">
        <is>
          <t>6 Jun</t>
        </is>
      </c>
      <c r="B190" s="15" t="inlineStr">
        <is>
          <t>30084</t>
        </is>
      </c>
      <c r="C190" s="16" t="n">
        <v>0</v>
      </c>
      <c r="D190" s="17" t="n">
        <v>5.9</v>
      </c>
      <c r="E190" s="18" t="n">
        <v>709</v>
      </c>
      <c r="F190" s="18" t="n">
        <v>1391</v>
      </c>
      <c r="G190" s="19">
        <f>IF(F190=0,0,E190/F190*100)</f>
        <v/>
      </c>
      <c r="H190" s="16" t="n">
        <v>14</v>
      </c>
      <c r="I190" s="16" t="n">
        <v>0</v>
      </c>
      <c r="J190" s="16" t="n">
        <v>14</v>
      </c>
      <c r="K190" s="16" t="n">
        <v>4</v>
      </c>
    </row>
    <row r="191">
      <c r="A191" s="15" t="inlineStr">
        <is>
          <t>6 Jun</t>
        </is>
      </c>
      <c r="B191" s="15" t="inlineStr">
        <is>
          <t>37779</t>
        </is>
      </c>
      <c r="C191" s="16" t="n">
        <v>0</v>
      </c>
      <c r="D191" s="17" t="n">
        <v>0.51</v>
      </c>
      <c r="E191" s="18" t="n">
        <v>567</v>
      </c>
      <c r="F191" s="18" t="n">
        <v>676</v>
      </c>
      <c r="G191" s="19">
        <f>IF(F191=0,0,E191/F191*100)</f>
        <v/>
      </c>
      <c r="H191" s="16" t="n">
        <v>2</v>
      </c>
      <c r="I191" s="16" t="n">
        <v>0</v>
      </c>
      <c r="J191" s="16" t="n">
        <v>2</v>
      </c>
      <c r="K191" s="16" t="n">
        <v>8</v>
      </c>
    </row>
    <row r="192">
      <c r="A192" s="15" t="inlineStr">
        <is>
          <t>6 Jun</t>
        </is>
      </c>
      <c r="B192" s="15" t="inlineStr">
        <is>
          <t>39411</t>
        </is>
      </c>
      <c r="C192" s="16" t="n">
        <v>0</v>
      </c>
      <c r="D192" s="17" t="n">
        <v>0.49</v>
      </c>
      <c r="E192" s="18" t="n">
        <v>552</v>
      </c>
      <c r="F192" s="18" t="n">
        <v>616</v>
      </c>
      <c r="G192" s="19">
        <f>IF(F192=0,0,E192/F192*100)</f>
        <v/>
      </c>
      <c r="H192" s="16" t="n">
        <v>2</v>
      </c>
      <c r="I192" s="16" t="n">
        <v>0</v>
      </c>
      <c r="J192" s="16" t="n">
        <v>2</v>
      </c>
      <c r="K192" s="16" t="n">
        <v>4</v>
      </c>
    </row>
    <row r="193">
      <c r="A193" s="15" t="inlineStr">
        <is>
          <t>6 Jun</t>
        </is>
      </c>
      <c r="B193" s="15" t="inlineStr">
        <is>
          <t>37974</t>
        </is>
      </c>
      <c r="C193" s="16" t="n">
        <v>0</v>
      </c>
      <c r="D193" s="17" t="n">
        <v>0.52</v>
      </c>
      <c r="E193" s="18" t="n">
        <v>526</v>
      </c>
      <c r="F193" s="18" t="n">
        <v>591</v>
      </c>
      <c r="G193" s="19">
        <f>IF(F193=0,0,E193/F193*100)</f>
        <v/>
      </c>
      <c r="H193" s="16" t="n">
        <v>4</v>
      </c>
      <c r="I193" s="16" t="n">
        <v>0</v>
      </c>
      <c r="J193" s="16" t="n">
        <v>4</v>
      </c>
      <c r="K193" s="16" t="n">
        <v>2</v>
      </c>
    </row>
    <row r="194">
      <c r="A194" s="15" t="inlineStr">
        <is>
          <t>6 Jun</t>
        </is>
      </c>
      <c r="B194" s="15" t="inlineStr">
        <is>
          <t>42487</t>
        </is>
      </c>
      <c r="C194" s="16" t="n">
        <v>0</v>
      </c>
      <c r="D194" s="17" t="n">
        <v>0.23</v>
      </c>
      <c r="E194" s="18" t="n">
        <v>437</v>
      </c>
      <c r="F194" s="18" t="n">
        <v>507</v>
      </c>
      <c r="G194" s="19">
        <f>IF(F194=0,0,E194/F194*100)</f>
        <v/>
      </c>
      <c r="H194" s="16" t="n">
        <v>4</v>
      </c>
      <c r="I194" s="16" t="n">
        <v>0</v>
      </c>
      <c r="J194" s="16" t="n">
        <v>4</v>
      </c>
      <c r="K194" s="16" t="n">
        <v>5</v>
      </c>
    </row>
    <row r="195">
      <c r="A195" s="20" t="inlineStr">
        <is>
          <t>6 Jun</t>
        </is>
      </c>
      <c r="B195" s="20" t="inlineStr">
        <is>
          <t>Day Total</t>
        </is>
      </c>
      <c r="C195" s="21">
        <f>SUM(C162:C194)</f>
        <v/>
      </c>
      <c r="D195" s="22">
        <f>SUM(D162:D194)</f>
        <v/>
      </c>
      <c r="E195" s="23">
        <f>SUM(E162:E194)</f>
        <v/>
      </c>
      <c r="F195" s="23">
        <f>SUM(F162:F194)</f>
        <v/>
      </c>
      <c r="G195" s="24">
        <f>IF(F195=0,0,E195/F195*100)</f>
        <v/>
      </c>
      <c r="H195" s="21">
        <f>SUM(H162:H194)</f>
        <v/>
      </c>
      <c r="I195" s="21">
        <f>SUM(I162:I194)</f>
        <v/>
      </c>
      <c r="J195" s="21">
        <f>SUM(J162:J194)</f>
        <v/>
      </c>
      <c r="K195" s="21">
        <f>SUM(K162:K194)</f>
        <v/>
      </c>
    </row>
    <row r="196">
      <c r="A196" s="15" t="inlineStr">
        <is>
          <t>7 Jun</t>
        </is>
      </c>
      <c r="B196" s="15" t="inlineStr">
        <is>
          <t>30112</t>
        </is>
      </c>
      <c r="C196" s="16" t="n">
        <v>2</v>
      </c>
      <c r="D196" s="17" t="n">
        <v>244.03</v>
      </c>
      <c r="E196" s="18" t="n">
        <v>26098</v>
      </c>
      <c r="F196" s="18" t="n">
        <v>26388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9</v>
      </c>
    </row>
    <row r="197">
      <c r="A197" s="15" t="inlineStr">
        <is>
          <t>7 Jun</t>
        </is>
      </c>
      <c r="B197" s="15" t="inlineStr">
        <is>
          <t>37034</t>
        </is>
      </c>
      <c r="C197" s="16" t="n">
        <v>1</v>
      </c>
      <c r="D197" s="17" t="n">
        <v>244.03</v>
      </c>
      <c r="E197" s="18" t="n">
        <v>9698</v>
      </c>
      <c r="F197" s="18" t="n">
        <v>10002</v>
      </c>
      <c r="G197" s="19">
        <f>IF(F197=0,0,E197/F197*100)</f>
        <v/>
      </c>
      <c r="H197" s="16" t="n">
        <v>1</v>
      </c>
      <c r="I197" s="16" t="n">
        <v>1</v>
      </c>
      <c r="J197" s="16" t="n">
        <v>0</v>
      </c>
      <c r="K197" s="16" t="n">
        <v>3</v>
      </c>
    </row>
    <row r="198">
      <c r="A198" s="15" t="inlineStr">
        <is>
          <t>7 Jun</t>
        </is>
      </c>
      <c r="B198" s="15" t="inlineStr">
        <is>
          <t>39411</t>
        </is>
      </c>
      <c r="C198" s="16" t="n">
        <v>1</v>
      </c>
      <c r="D198" s="17" t="n">
        <v>243.67</v>
      </c>
      <c r="E198" s="18" t="n">
        <v>8997</v>
      </c>
      <c r="F198" s="18" t="n">
        <v>9171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3</v>
      </c>
    </row>
    <row r="199">
      <c r="A199" s="15" t="inlineStr">
        <is>
          <t>7 Jun</t>
        </is>
      </c>
      <c r="B199" s="15" t="inlineStr">
        <is>
          <t>30692</t>
        </is>
      </c>
      <c r="C199" s="16" t="n">
        <v>0</v>
      </c>
      <c r="D199" s="17" t="n">
        <v>199.76</v>
      </c>
      <c r="E199" s="18" t="n">
        <v>17346</v>
      </c>
      <c r="F199" s="18" t="n">
        <v>17610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8</v>
      </c>
    </row>
    <row r="200">
      <c r="A200" s="15" t="inlineStr">
        <is>
          <t>7 Jun</t>
        </is>
      </c>
      <c r="B200" s="15" t="inlineStr">
        <is>
          <t>37860</t>
        </is>
      </c>
      <c r="C200" s="16" t="n">
        <v>0</v>
      </c>
      <c r="D200" s="17" t="n">
        <v>200.02</v>
      </c>
      <c r="E200" s="18" t="n">
        <v>16699</v>
      </c>
      <c r="F200" s="18" t="n">
        <v>17232</v>
      </c>
      <c r="G200" s="19">
        <f>IF(F200=0,0,E200/F200*100)</f>
        <v/>
      </c>
      <c r="H200" s="16" t="n">
        <v>2</v>
      </c>
      <c r="I200" s="16" t="n">
        <v>0</v>
      </c>
      <c r="J200" s="16" t="n">
        <v>2</v>
      </c>
      <c r="K200" s="16" t="n">
        <v>12</v>
      </c>
    </row>
    <row r="201">
      <c r="A201" s="15" t="inlineStr">
        <is>
          <t>7 Jun</t>
        </is>
      </c>
      <c r="B201" s="15" t="inlineStr">
        <is>
          <t>37042</t>
        </is>
      </c>
      <c r="C201" s="16" t="n">
        <v>0</v>
      </c>
      <c r="D201" s="17" t="n">
        <v>164.68</v>
      </c>
      <c r="E201" s="18" t="n">
        <v>13897</v>
      </c>
      <c r="F201" s="18" t="n">
        <v>14100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6</v>
      </c>
    </row>
    <row r="202">
      <c r="A202" s="15" t="inlineStr">
        <is>
          <t>7 Jun</t>
        </is>
      </c>
      <c r="B202" s="15" t="inlineStr">
        <is>
          <t>30328</t>
        </is>
      </c>
      <c r="C202" s="16" t="n">
        <v>0</v>
      </c>
      <c r="D202" s="17" t="n">
        <v>232.26</v>
      </c>
      <c r="E202" s="18" t="n">
        <v>10726</v>
      </c>
      <c r="F202" s="18" t="n">
        <v>10923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4</v>
      </c>
    </row>
    <row r="203">
      <c r="A203" s="15" t="inlineStr">
        <is>
          <t>7 Jun</t>
        </is>
      </c>
      <c r="B203" s="15" t="inlineStr">
        <is>
          <t>37610</t>
        </is>
      </c>
      <c r="C203" s="16" t="n">
        <v>0</v>
      </c>
      <c r="D203" s="17" t="n">
        <v>232.25</v>
      </c>
      <c r="E203" s="18" t="n">
        <v>9971</v>
      </c>
      <c r="F203" s="18" t="n">
        <v>10405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5</v>
      </c>
    </row>
    <row r="204">
      <c r="A204" s="15" t="inlineStr">
        <is>
          <t>7 Jun</t>
        </is>
      </c>
      <c r="B204" s="15" t="inlineStr">
        <is>
          <t>37719</t>
        </is>
      </c>
      <c r="C204" s="16" t="n">
        <v>0</v>
      </c>
      <c r="D204" s="17" t="n">
        <v>94.26000000000001</v>
      </c>
      <c r="E204" s="18" t="n">
        <v>8176</v>
      </c>
      <c r="F204" s="18" t="n">
        <v>8274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5</v>
      </c>
    </row>
    <row r="205">
      <c r="A205" s="15" t="inlineStr">
        <is>
          <t>7 Jun</t>
        </is>
      </c>
      <c r="B205" s="15" t="inlineStr">
        <is>
          <t>39263</t>
        </is>
      </c>
      <c r="C205" s="16" t="n">
        <v>0</v>
      </c>
      <c r="D205" s="17" t="n">
        <v>179.84</v>
      </c>
      <c r="E205" s="18" t="n">
        <v>7052</v>
      </c>
      <c r="F205" s="18" t="n">
        <v>7341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10</v>
      </c>
    </row>
    <row r="206">
      <c r="A206" s="15" t="inlineStr">
        <is>
          <t>7 Jun</t>
        </is>
      </c>
      <c r="B206" s="15" t="inlineStr">
        <is>
          <t>37907</t>
        </is>
      </c>
      <c r="C206" s="16" t="n">
        <v>0</v>
      </c>
      <c r="D206" s="17" t="n">
        <v>199.74</v>
      </c>
      <c r="E206" s="18" t="n">
        <v>7062</v>
      </c>
      <c r="F206" s="18" t="n">
        <v>7150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3</v>
      </c>
    </row>
    <row r="207">
      <c r="A207" s="15" t="inlineStr">
        <is>
          <t>7 Jun</t>
        </is>
      </c>
      <c r="B207" s="15" t="inlineStr">
        <is>
          <t>30620</t>
        </is>
      </c>
      <c r="C207" s="16" t="n">
        <v>0</v>
      </c>
      <c r="D207" s="17" t="n">
        <v>199.36</v>
      </c>
      <c r="E207" s="18" t="n">
        <v>6907</v>
      </c>
      <c r="F207" s="18" t="n">
        <v>7093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3</v>
      </c>
    </row>
    <row r="208">
      <c r="A208" s="15" t="inlineStr">
        <is>
          <t>7 Jun</t>
        </is>
      </c>
      <c r="B208" s="15" t="inlineStr">
        <is>
          <t>37452</t>
        </is>
      </c>
      <c r="C208" s="16" t="n">
        <v>0</v>
      </c>
      <c r="D208" s="17" t="n">
        <v>199.45</v>
      </c>
      <c r="E208" s="18" t="n">
        <v>6498</v>
      </c>
      <c r="F208" s="18" t="n">
        <v>6914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7</v>
      </c>
    </row>
    <row r="209">
      <c r="A209" s="15" t="inlineStr">
        <is>
          <t>7 Jun</t>
        </is>
      </c>
      <c r="B209" s="15" t="inlineStr">
        <is>
          <t>37894</t>
        </is>
      </c>
      <c r="C209" s="16" t="n">
        <v>0</v>
      </c>
      <c r="D209" s="17" t="n">
        <v>199.04</v>
      </c>
      <c r="E209" s="18" t="n">
        <v>6619</v>
      </c>
      <c r="F209" s="18" t="n">
        <v>6709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3</v>
      </c>
    </row>
    <row r="210">
      <c r="A210" s="15" t="inlineStr">
        <is>
          <t>7 Jun</t>
        </is>
      </c>
      <c r="B210" s="15" t="inlineStr">
        <is>
          <t>37016</t>
        </is>
      </c>
      <c r="C210" s="16" t="n">
        <v>0</v>
      </c>
      <c r="D210" s="17" t="n">
        <v>94.28</v>
      </c>
      <c r="E210" s="18" t="n">
        <v>4084</v>
      </c>
      <c r="F210" s="18" t="n">
        <v>4257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7 Jun</t>
        </is>
      </c>
      <c r="B211" s="15" t="inlineStr">
        <is>
          <t>39170</t>
        </is>
      </c>
      <c r="C211" s="16" t="n">
        <v>0</v>
      </c>
      <c r="D211" s="17" t="n">
        <v>93.77</v>
      </c>
      <c r="E211" s="18" t="n">
        <v>4180</v>
      </c>
      <c r="F211" s="18" t="n">
        <v>4214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7 Jun</t>
        </is>
      </c>
      <c r="B212" s="15" t="inlineStr">
        <is>
          <t>39560</t>
        </is>
      </c>
      <c r="C212" s="16" t="n">
        <v>0</v>
      </c>
      <c r="D212" s="17" t="n">
        <v>95.09</v>
      </c>
      <c r="E212" s="18" t="n">
        <v>3691</v>
      </c>
      <c r="F212" s="18" t="n">
        <v>3880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9</v>
      </c>
    </row>
    <row r="213">
      <c r="A213" s="15" t="inlineStr">
        <is>
          <t>7 Jun</t>
        </is>
      </c>
      <c r="B213" s="15" t="inlineStr">
        <is>
          <t>37720</t>
        </is>
      </c>
      <c r="C213" s="16" t="n">
        <v>0</v>
      </c>
      <c r="D213" s="17" t="n">
        <v>82</v>
      </c>
      <c r="E213" s="18" t="n">
        <v>3695</v>
      </c>
      <c r="F213" s="18" t="n">
        <v>3857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2</v>
      </c>
    </row>
    <row r="214">
      <c r="A214" s="15" t="inlineStr">
        <is>
          <t>7 Jun</t>
        </is>
      </c>
      <c r="B214" s="15" t="inlineStr">
        <is>
          <t>37779</t>
        </is>
      </c>
      <c r="C214" s="16" t="n">
        <v>0</v>
      </c>
      <c r="D214" s="17" t="n">
        <v>94.41</v>
      </c>
      <c r="E214" s="18" t="n">
        <v>3404</v>
      </c>
      <c r="F214" s="18" t="n">
        <v>3466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2</v>
      </c>
    </row>
    <row r="215">
      <c r="A215" s="15" t="inlineStr">
        <is>
          <t>7 Jun</t>
        </is>
      </c>
      <c r="B215" s="15" t="inlineStr">
        <is>
          <t>30487</t>
        </is>
      </c>
      <c r="C215" s="16" t="n">
        <v>0</v>
      </c>
      <c r="D215" s="17" t="n">
        <v>80.61</v>
      </c>
      <c r="E215" s="18" t="n">
        <v>3043</v>
      </c>
      <c r="F215" s="18" t="n">
        <v>3053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0</v>
      </c>
    </row>
    <row r="216">
      <c r="A216" s="15" t="inlineStr">
        <is>
          <t>7 Jun</t>
        </is>
      </c>
      <c r="B216" s="15" t="inlineStr">
        <is>
          <t>30329</t>
        </is>
      </c>
      <c r="C216" s="16" t="n">
        <v>0</v>
      </c>
      <c r="D216" s="17" t="n">
        <v>81.34</v>
      </c>
      <c r="E216" s="18" t="n">
        <v>2871</v>
      </c>
      <c r="F216" s="18" t="n">
        <v>2983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1</v>
      </c>
    </row>
    <row r="217">
      <c r="A217" s="15" t="inlineStr">
        <is>
          <t>7 Jun</t>
        </is>
      </c>
      <c r="B217" s="15" t="inlineStr">
        <is>
          <t>30203</t>
        </is>
      </c>
      <c r="C217" s="16" t="n">
        <v>0</v>
      </c>
      <c r="D217" s="17" t="n">
        <v>45.75</v>
      </c>
      <c r="E217" s="18" t="n">
        <v>2055</v>
      </c>
      <c r="F217" s="18" t="n">
        <v>2112</v>
      </c>
      <c r="G217" s="19">
        <f>IF(F217=0,0,E217/F217*100)</f>
        <v/>
      </c>
      <c r="H217" s="16" t="n">
        <v>1</v>
      </c>
      <c r="I217" s="16" t="n">
        <v>0</v>
      </c>
      <c r="J217" s="16" t="n">
        <v>1</v>
      </c>
      <c r="K217" s="16" t="n">
        <v>1</v>
      </c>
    </row>
    <row r="218">
      <c r="A218" s="15" t="inlineStr">
        <is>
          <t>7 Jun</t>
        </is>
      </c>
      <c r="B218" s="15" t="inlineStr">
        <is>
          <t>30327</t>
        </is>
      </c>
      <c r="C218" s="16" t="n">
        <v>0</v>
      </c>
      <c r="D218" s="17" t="n">
        <v>54.41</v>
      </c>
      <c r="E218" s="18" t="n">
        <v>1766</v>
      </c>
      <c r="F218" s="18" t="n">
        <v>1769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7 Jun</t>
        </is>
      </c>
      <c r="B219" s="15" t="inlineStr">
        <is>
          <t>37081</t>
        </is>
      </c>
      <c r="C219" s="16" t="n">
        <v>0</v>
      </c>
      <c r="D219" s="17" t="n">
        <v>42.17</v>
      </c>
      <c r="E219" s="18" t="n">
        <v>1758</v>
      </c>
      <c r="F219" s="18" t="n">
        <v>1763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0</v>
      </c>
    </row>
    <row r="220">
      <c r="A220" s="15" t="inlineStr">
        <is>
          <t>7 Jun</t>
        </is>
      </c>
      <c r="B220" s="15" t="inlineStr">
        <is>
          <t>30469</t>
        </is>
      </c>
      <c r="C220" s="16" t="n">
        <v>0</v>
      </c>
      <c r="D220" s="17" t="n">
        <v>2.87</v>
      </c>
      <c r="E220" s="18" t="n">
        <v>514</v>
      </c>
      <c r="F220" s="18" t="n">
        <v>635</v>
      </c>
      <c r="G220" s="19">
        <f>IF(F220=0,0,E220/F220*100)</f>
        <v/>
      </c>
      <c r="H220" s="16" t="n">
        <v>2</v>
      </c>
      <c r="I220" s="16" t="n">
        <v>0</v>
      </c>
      <c r="J220" s="16" t="n">
        <v>2</v>
      </c>
      <c r="K220" s="16" t="n">
        <v>1</v>
      </c>
    </row>
    <row r="221">
      <c r="A221" s="15" t="inlineStr">
        <is>
          <t>7 Jun</t>
        </is>
      </c>
      <c r="B221" s="15" t="inlineStr">
        <is>
          <t>30676</t>
        </is>
      </c>
      <c r="C221" s="16" t="n">
        <v>0</v>
      </c>
      <c r="D221" s="17" t="n">
        <v>0.04</v>
      </c>
      <c r="E221" s="18" t="n">
        <v>116</v>
      </c>
      <c r="F221" s="18" t="n">
        <v>179</v>
      </c>
      <c r="G221" s="19">
        <f>IF(F221=0,0,E221/F221*100)</f>
        <v/>
      </c>
      <c r="H221" s="16" t="n">
        <v>2</v>
      </c>
      <c r="I221" s="16" t="n">
        <v>0</v>
      </c>
      <c r="J221" s="16" t="n">
        <v>2</v>
      </c>
      <c r="K221" s="16" t="n">
        <v>1</v>
      </c>
    </row>
    <row r="222">
      <c r="A222" s="20" t="inlineStr">
        <is>
          <t>7 Jun</t>
        </is>
      </c>
      <c r="B222" s="20" t="inlineStr">
        <is>
          <t>Day Total</t>
        </is>
      </c>
      <c r="C222" s="21">
        <f>SUM(C196:C221)</f>
        <v/>
      </c>
      <c r="D222" s="22">
        <f>SUM(D196:D221)</f>
        <v/>
      </c>
      <c r="E222" s="23">
        <f>SUM(E196:E221)</f>
        <v/>
      </c>
      <c r="F222" s="23">
        <f>SUM(F196:F221)</f>
        <v/>
      </c>
      <c r="G222" s="24">
        <f>IF(F222=0,0,E222/F222*100)</f>
        <v/>
      </c>
      <c r="H222" s="21">
        <f>SUM(H196:H221)</f>
        <v/>
      </c>
      <c r="I222" s="21">
        <f>SUM(I196:I221)</f>
        <v/>
      </c>
      <c r="J222" s="21">
        <f>SUM(J196:J221)</f>
        <v/>
      </c>
      <c r="K222" s="21">
        <f>SUM(K196:K221)</f>
        <v/>
      </c>
    </row>
    <row r="223">
      <c r="A223" s="25" t="inlineStr">
        <is>
          <t>GRAND TOTAL</t>
        </is>
      </c>
      <c r="B223" s="25" t="n"/>
      <c r="C223" s="26">
        <f>C36+C66+C98+C125+C161+C195+C222</f>
        <v/>
      </c>
      <c r="D223" s="27">
        <f>D36+D66+D98+D125+D161+D195+D222</f>
        <v/>
      </c>
      <c r="E223" s="28">
        <f>E36+E66+E98+E125+E161+E195+E222</f>
        <v/>
      </c>
      <c r="F223" s="28">
        <f>F36+F66+F98+F125+F161+F195+F222</f>
        <v/>
      </c>
      <c r="G223" s="29">
        <f>IF(F223=0,0,E223/F223*100)</f>
        <v/>
      </c>
      <c r="H223" s="26">
        <f>H36+H66+H98+H125+H161+H195+H222</f>
        <v/>
      </c>
      <c r="I223" s="26">
        <f>I36+I66+I98+I125+I161+I195+I222</f>
        <v/>
      </c>
      <c r="J223" s="26">
        <f>J36+J66+J98+J125+J161+J195+J222</f>
        <v/>
      </c>
      <c r="K223" s="26">
        <f>K36+K66+K98+K125+K161+K195+K222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91   ·   Valid trips = 4   ·   Non-valid trips = 87   ·   Undesirable = 44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</row>
    <row r="6">
      <c r="A6" s="31" t="inlineStr">
        <is>
          <t>1 Jun</t>
        </is>
      </c>
      <c r="B6" s="31" t="inlineStr">
        <is>
          <t>39615</t>
        </is>
      </c>
      <c r="C6" s="31" t="inlineStr">
        <is>
          <t>Non-Valid</t>
        </is>
      </c>
      <c r="D6" s="31" t="inlineStr">
        <is>
          <t>18:43:50</t>
        </is>
      </c>
      <c r="E6" s="31" t="inlineStr">
        <is>
          <t>18:43:50</t>
        </is>
      </c>
      <c r="F6" s="31" t="n">
        <v>0</v>
      </c>
      <c r="G6" s="31" t="n">
        <v>1</v>
      </c>
      <c r="H6" s="31" t="n">
        <v>1</v>
      </c>
      <c r="I6" s="31" t="inlineStr">
        <is>
          <t>OS</t>
        </is>
      </c>
      <c r="J6" s="32" t="n">
        <v>0.17</v>
      </c>
      <c r="K6" s="31" t="inlineStr">
        <is>
          <t>R</t>
        </is>
      </c>
      <c r="L6" s="31" t="inlineStr">
        <is>
          <t>Howrah</t>
        </is>
      </c>
      <c r="M6" s="33" t="inlineStr">
        <is>
          <t>1 km/h</t>
        </is>
      </c>
      <c r="N6" s="33" t="inlineStr">
        <is>
          <t>n/a</t>
        </is>
      </c>
      <c r="O6" s="31" t="inlineStr">
        <is>
          <t>-</t>
        </is>
      </c>
      <c r="P6" s="34" t="inlineStr">
        <is>
          <t>EB at 0-1 km/h</t>
        </is>
      </c>
    </row>
    <row r="7">
      <c r="A7" s="31" t="inlineStr">
        <is>
          <t>1 Jun</t>
        </is>
      </c>
      <c r="B7" s="31" t="inlineStr">
        <is>
          <t>39409</t>
        </is>
      </c>
      <c r="C7" s="31" t="inlineStr">
        <is>
          <t>Non-Valid</t>
        </is>
      </c>
      <c r="D7" s="31" t="inlineStr">
        <is>
          <t>19:41:44</t>
        </is>
      </c>
      <c r="E7" s="31" t="inlineStr">
        <is>
          <t>19:41:44</t>
        </is>
      </c>
      <c r="F7" s="31" t="n">
        <v>0</v>
      </c>
      <c r="G7" s="31" t="n">
        <v>1</v>
      </c>
      <c r="H7" s="31" t="n">
        <v>128</v>
      </c>
      <c r="I7" s="31" t="inlineStr">
        <is>
          <t>FS</t>
        </is>
      </c>
      <c r="J7" s="32" t="n">
        <v>20.21</v>
      </c>
      <c r="K7" s="31" t="inlineStr">
        <is>
          <t>N</t>
        </is>
      </c>
      <c r="L7" s="31" t="inlineStr">
        <is>
          <t>Janai Road</t>
        </is>
      </c>
      <c r="M7" s="33" t="inlineStr">
        <is>
          <t>128 km/h</t>
        </is>
      </c>
      <c r="N7" s="33" t="inlineStr">
        <is>
          <t>5992</t>
        </is>
      </c>
      <c r="O7" s="31" t="inlineStr">
        <is>
          <t>-</t>
        </is>
      </c>
      <c r="P7" s="33" t="inlineStr">
        <is>
          <t>-</t>
        </is>
      </c>
    </row>
    <row r="8">
      <c r="A8" s="31" t="inlineStr">
        <is>
          <t>2 Jun</t>
        </is>
      </c>
      <c r="B8" s="31" t="inlineStr">
        <is>
          <t>39571</t>
        </is>
      </c>
      <c r="C8" s="31" t="inlineStr">
        <is>
          <t>Non-Valid</t>
        </is>
      </c>
      <c r="D8" s="31" t="inlineStr">
        <is>
          <t>00:39:18</t>
        </is>
      </c>
      <c r="E8" s="31" t="inlineStr">
        <is>
          <t>00:39:22</t>
        </is>
      </c>
      <c r="F8" s="31" t="n">
        <v>4</v>
      </c>
      <c r="G8" s="31" t="n">
        <v>3</v>
      </c>
      <c r="H8" s="31" t="n">
        <v>6</v>
      </c>
      <c r="I8" s="31" t="inlineStr">
        <is>
          <t>FS</t>
        </is>
      </c>
      <c r="J8" s="32" t="n">
        <v>0.45</v>
      </c>
      <c r="K8" s="31" t="inlineStr">
        <is>
          <t>R</t>
        </is>
      </c>
      <c r="L8" s="31" t="inlineStr">
        <is>
          <t>Howrah</t>
        </is>
      </c>
      <c r="M8" s="33" t="inlineStr">
        <is>
          <t>6 km/h</t>
        </is>
      </c>
      <c r="N8" s="33" t="inlineStr">
        <is>
          <t>n/a</t>
        </is>
      </c>
      <c r="O8" s="31" t="inlineStr">
        <is>
          <t>-</t>
        </is>
      </c>
      <c r="P8" s="33" t="inlineStr">
        <is>
          <t>-</t>
        </is>
      </c>
    </row>
    <row r="9">
      <c r="A9" s="31" t="inlineStr">
        <is>
          <t>2 Jun</t>
        </is>
      </c>
      <c r="B9" s="31" t="inlineStr">
        <is>
          <t>39571</t>
        </is>
      </c>
      <c r="C9" s="31" t="inlineStr">
        <is>
          <t>Non-Valid</t>
        </is>
      </c>
      <c r="D9" s="31" t="inlineStr">
        <is>
          <t>00:39:58</t>
        </is>
      </c>
      <c r="E9" s="31" t="inlineStr">
        <is>
          <t>00:39:58</t>
        </is>
      </c>
      <c r="F9" s="31" t="n">
        <v>0</v>
      </c>
      <c r="G9" s="31" t="n">
        <v>1</v>
      </c>
      <c r="H9" s="31" t="n">
        <v>2</v>
      </c>
      <c r="I9" s="31" t="inlineStr">
        <is>
          <t>FS</t>
        </is>
      </c>
      <c r="J9" s="32" t="n">
        <v>0.44</v>
      </c>
      <c r="K9" s="31" t="inlineStr">
        <is>
          <t>R</t>
        </is>
      </c>
      <c r="L9" s="31" t="inlineStr">
        <is>
          <t>Howrah</t>
        </is>
      </c>
      <c r="M9" s="33" t="inlineStr">
        <is>
          <t>2 km/h</t>
        </is>
      </c>
      <c r="N9" s="33" t="inlineStr">
        <is>
          <t>n/a</t>
        </is>
      </c>
      <c r="O9" s="31" t="inlineStr">
        <is>
          <t>-</t>
        </is>
      </c>
      <c r="P9" s="33" t="inlineStr">
        <is>
          <t>-</t>
        </is>
      </c>
    </row>
    <row r="10">
      <c r="A10" s="31" t="inlineStr">
        <is>
          <t>2 Jun</t>
        </is>
      </c>
      <c r="B10" s="31" t="inlineStr">
        <is>
          <t>39571</t>
        </is>
      </c>
      <c r="C10" s="31" t="inlineStr">
        <is>
          <t>Non-Valid</t>
        </is>
      </c>
      <c r="D10" s="31" t="inlineStr">
        <is>
          <t>00:40:02</t>
        </is>
      </c>
      <c r="E10" s="31" t="inlineStr">
        <is>
          <t>00:40:02</t>
        </is>
      </c>
      <c r="F10" s="31" t="n">
        <v>0</v>
      </c>
      <c r="G10" s="31" t="n">
        <v>1</v>
      </c>
      <c r="H10" s="31" t="n">
        <v>1</v>
      </c>
      <c r="I10" s="31" t="inlineStr">
        <is>
          <t>FS</t>
        </is>
      </c>
      <c r="J10" s="32" t="n">
        <v>0.44</v>
      </c>
      <c r="K10" s="31" t="inlineStr">
        <is>
          <t>R</t>
        </is>
      </c>
      <c r="L10" s="31" t="inlineStr">
        <is>
          <t>Howrah</t>
        </is>
      </c>
      <c r="M10" s="33" t="inlineStr">
        <is>
          <t>1 km/h</t>
        </is>
      </c>
      <c r="N10" s="33" t="inlineStr">
        <is>
          <t>n/a</t>
        </is>
      </c>
      <c r="O10" s="31" t="inlineStr">
        <is>
          <t>-</t>
        </is>
      </c>
      <c r="P10" s="34" t="inlineStr">
        <is>
          <t>EB at 0-1 km/h</t>
        </is>
      </c>
    </row>
    <row r="11">
      <c r="A11" s="31" t="inlineStr">
        <is>
          <t>2 Jun</t>
        </is>
      </c>
      <c r="B11" s="31" t="inlineStr">
        <is>
          <t>39571</t>
        </is>
      </c>
      <c r="C11" s="31" t="inlineStr">
        <is>
          <t>Non-Valid</t>
        </is>
      </c>
      <c r="D11" s="31" t="inlineStr">
        <is>
          <t>00:40:10</t>
        </is>
      </c>
      <c r="E11" s="31" t="inlineStr">
        <is>
          <t>00:41:18</t>
        </is>
      </c>
      <c r="F11" s="31" t="n">
        <v>68</v>
      </c>
      <c r="G11" s="31" t="n">
        <v>19</v>
      </c>
      <c r="H11" s="31" t="n">
        <v>0</v>
      </c>
      <c r="I11" s="31" t="inlineStr">
        <is>
          <t>FS</t>
        </is>
      </c>
      <c r="J11" s="32" t="n">
        <v>0.44</v>
      </c>
      <c r="K11" s="31" t="inlineStr">
        <is>
          <t>R</t>
        </is>
      </c>
      <c r="L11" s="31" t="inlineStr">
        <is>
          <t>Howrah</t>
        </is>
      </c>
      <c r="M11" s="33" t="inlineStr">
        <is>
          <t>0 km/h</t>
        </is>
      </c>
      <c r="N11" s="33" t="inlineStr">
        <is>
          <t>n/a</t>
        </is>
      </c>
      <c r="O11" s="31" t="inlineStr">
        <is>
          <t>-</t>
        </is>
      </c>
      <c r="P11" s="34" t="inlineStr">
        <is>
          <t>EB at 0-1 km/h</t>
        </is>
      </c>
    </row>
    <row r="12">
      <c r="A12" s="31" t="inlineStr">
        <is>
          <t>2 Jun</t>
        </is>
      </c>
      <c r="B12" s="31" t="inlineStr">
        <is>
          <t>39132</t>
        </is>
      </c>
      <c r="C12" s="31" t="inlineStr">
        <is>
          <t>Non-Valid</t>
        </is>
      </c>
      <c r="D12" s="31" t="inlineStr">
        <is>
          <t>00:56:50</t>
        </is>
      </c>
      <c r="E12" s="31" t="inlineStr">
        <is>
          <t>00:56:54</t>
        </is>
      </c>
      <c r="F12" s="31" t="n">
        <v>4</v>
      </c>
      <c r="G12" s="31" t="n">
        <v>2</v>
      </c>
      <c r="H12" s="31" t="n">
        <v>5</v>
      </c>
      <c r="I12" s="31" t="inlineStr">
        <is>
          <t>TRIP</t>
        </is>
      </c>
      <c r="J12" s="32" t="n">
        <v>0.5</v>
      </c>
      <c r="K12" s="31" t="inlineStr">
        <is>
          <t>N</t>
        </is>
      </c>
      <c r="L12" s="31" t="inlineStr">
        <is>
          <t>Howrah</t>
        </is>
      </c>
      <c r="M12" s="33" t="inlineStr">
        <is>
          <t>5 km/h</t>
        </is>
      </c>
      <c r="N12" s="33" t="inlineStr">
        <is>
          <t>n/a</t>
        </is>
      </c>
      <c r="O12" s="31" t="inlineStr">
        <is>
          <t>RearEnd</t>
        </is>
      </c>
      <c r="P12" s="34" t="inlineStr">
        <is>
          <t>Emergency: RearEnd; Trip mode</t>
        </is>
      </c>
    </row>
    <row r="13">
      <c r="A13" s="31" t="inlineStr">
        <is>
          <t>2 Jun</t>
        </is>
      </c>
      <c r="B13" s="31" t="inlineStr">
        <is>
          <t>39132</t>
        </is>
      </c>
      <c r="C13" s="31" t="inlineStr">
        <is>
          <t>Non-Valid</t>
        </is>
      </c>
      <c r="D13" s="31" t="inlineStr">
        <is>
          <t>01:09:20</t>
        </is>
      </c>
      <c r="E13" s="31" t="inlineStr">
        <is>
          <t>01:09:22</t>
        </is>
      </c>
      <c r="F13" s="31" t="n">
        <v>2</v>
      </c>
      <c r="G13" s="31" t="n">
        <v>2</v>
      </c>
      <c r="H13" s="31" t="n">
        <v>3</v>
      </c>
      <c r="I13" s="31" t="inlineStr">
        <is>
          <t>FS</t>
        </is>
      </c>
      <c r="J13" s="32" t="n">
        <v>0.73</v>
      </c>
      <c r="K13" s="31" t="inlineStr">
        <is>
          <t>N</t>
        </is>
      </c>
      <c r="L13" s="31" t="inlineStr">
        <is>
          <t>Howrah</t>
        </is>
      </c>
      <c r="M13" s="33" t="inlineStr">
        <is>
          <t>3 km/h</t>
        </is>
      </c>
      <c r="N13" s="33" t="inlineStr">
        <is>
          <t>n/a</t>
        </is>
      </c>
      <c r="O13" s="31" t="inlineStr">
        <is>
          <t>-</t>
        </is>
      </c>
      <c r="P13" s="33" t="inlineStr">
        <is>
          <t>-</t>
        </is>
      </c>
    </row>
    <row r="14" ht="49" customHeight="1">
      <c r="A14" s="31" t="inlineStr">
        <is>
          <t>2 Jun</t>
        </is>
      </c>
      <c r="B14" s="31" t="inlineStr">
        <is>
          <t>30084</t>
        </is>
      </c>
      <c r="C14" s="31" t="inlineStr">
        <is>
          <t>Non-Valid</t>
        </is>
      </c>
      <c r="D14" s="31" t="inlineStr">
        <is>
          <t>16:04:48</t>
        </is>
      </c>
      <c r="E14" s="31" t="inlineStr">
        <is>
          <t>16:04:50</t>
        </is>
      </c>
      <c r="F14" s="31" t="n">
        <v>2</v>
      </c>
      <c r="G14" s="31" t="n">
        <v>2</v>
      </c>
      <c r="H14" s="31" t="n">
        <v>127</v>
      </c>
      <c r="I14" s="31" t="inlineStr">
        <is>
          <t>FS</t>
        </is>
      </c>
      <c r="J14" s="32" t="n">
        <v>113.2</v>
      </c>
      <c r="K14" s="31" t="inlineStr">
        <is>
          <t>R</t>
        </is>
      </c>
      <c r="L14" s="31" t="inlineStr">
        <is>
          <t>Khana Link</t>
        </is>
      </c>
      <c r="M14" s="33" t="inlineStr">
        <is>
          <t>127 km/h
There was an abnormal speed fluctuation of 10 kmph (from 117 to 127 km/h). Possible suspect: PG issue.</t>
        </is>
      </c>
      <c r="N14" s="33" t="inlineStr">
        <is>
          <t>n/a</t>
        </is>
      </c>
      <c r="O14" s="31" t="inlineStr">
        <is>
          <t>-</t>
        </is>
      </c>
      <c r="P14" s="34" t="inlineStr">
        <is>
          <t>PG issue (speed fluctuation)</t>
        </is>
      </c>
    </row>
    <row r="15">
      <c r="A15" s="31" t="inlineStr">
        <is>
          <t>2 Jun</t>
        </is>
      </c>
      <c r="B15" s="31" t="inlineStr">
        <is>
          <t>30084</t>
        </is>
      </c>
      <c r="C15" s="31" t="inlineStr">
        <is>
          <t>Non-Valid</t>
        </is>
      </c>
      <c r="D15" s="31" t="inlineStr">
        <is>
          <t>16:18:24</t>
        </is>
      </c>
      <c r="E15" s="31" t="inlineStr">
        <is>
          <t>16:18:40</t>
        </is>
      </c>
      <c r="F15" s="31" t="n">
        <v>16</v>
      </c>
      <c r="G15" s="31" t="n">
        <v>9</v>
      </c>
      <c r="H15" s="31" t="n">
        <v>29</v>
      </c>
      <c r="I15" s="31" t="inlineStr">
        <is>
          <t>OS</t>
        </is>
      </c>
      <c r="J15" s="32" t="n">
        <v>114.78</v>
      </c>
      <c r="K15" s="31" t="inlineStr">
        <is>
          <t>R</t>
        </is>
      </c>
      <c r="L15" s="31" t="inlineStr">
        <is>
          <t>Khana Link</t>
        </is>
      </c>
      <c r="M15" s="33" t="inlineStr">
        <is>
          <t>29 km/h</t>
        </is>
      </c>
      <c r="N15" s="33" t="inlineStr">
        <is>
          <t>n/a</t>
        </is>
      </c>
      <c r="O15" s="31" t="inlineStr">
        <is>
          <t>SOS</t>
        </is>
      </c>
      <c r="P15" s="34" t="inlineStr">
        <is>
          <t>Emergency: SOS</t>
        </is>
      </c>
    </row>
    <row r="16" ht="49" customHeight="1">
      <c r="A16" s="31" t="inlineStr">
        <is>
          <t>2 Jun</t>
        </is>
      </c>
      <c r="B16" s="31" t="inlineStr">
        <is>
          <t>30084</t>
        </is>
      </c>
      <c r="C16" s="31" t="inlineStr">
        <is>
          <t>Non-Valid</t>
        </is>
      </c>
      <c r="D16" s="31" t="inlineStr">
        <is>
          <t>16:26:44</t>
        </is>
      </c>
      <c r="E16" s="31" t="inlineStr">
        <is>
          <t>16:26:44</t>
        </is>
      </c>
      <c r="F16" s="31" t="n">
        <v>0</v>
      </c>
      <c r="G16" s="31" t="n">
        <v>1</v>
      </c>
      <c r="H16" s="31" t="n">
        <v>28</v>
      </c>
      <c r="I16" s="31" t="inlineStr">
        <is>
          <t>Shunting</t>
        </is>
      </c>
      <c r="J16" s="32" t="n">
        <v>113.91</v>
      </c>
      <c r="K16" s="31" t="inlineStr">
        <is>
          <t>R</t>
        </is>
      </c>
      <c r="L16" s="31" t="inlineStr">
        <is>
          <t>Khana Link</t>
        </is>
      </c>
      <c r="M16" s="33" t="inlineStr">
        <is>
          <t>28 km/h
There was an abnormal speed fluctuation of 7 kmph (from 35 to 28 km/h). Possible suspect: PG issue.</t>
        </is>
      </c>
      <c r="N16" s="33" t="inlineStr">
        <is>
          <t>n/a</t>
        </is>
      </c>
      <c r="O16" s="31" t="inlineStr">
        <is>
          <t>-</t>
        </is>
      </c>
      <c r="P16" s="34" t="inlineStr">
        <is>
          <t>PG issue (speed fluctuation); Shunting mode</t>
        </is>
      </c>
    </row>
    <row r="17">
      <c r="A17" s="31" t="inlineStr">
        <is>
          <t>2 Jun</t>
        </is>
      </c>
      <c r="B17" s="31" t="inlineStr">
        <is>
          <t>30084</t>
        </is>
      </c>
      <c r="C17" s="31" t="inlineStr">
        <is>
          <t>Non-Valid</t>
        </is>
      </c>
      <c r="D17" s="31" t="inlineStr">
        <is>
          <t>16:27:24</t>
        </is>
      </c>
      <c r="E17" s="31" t="inlineStr">
        <is>
          <t>16:27:38</t>
        </is>
      </c>
      <c r="F17" s="31" t="n">
        <v>14</v>
      </c>
      <c r="G17" s="31" t="n">
        <v>7</v>
      </c>
      <c r="H17" s="31" t="n">
        <v>59</v>
      </c>
      <c r="I17" s="31" t="inlineStr">
        <is>
          <t>Shunting</t>
        </is>
      </c>
      <c r="J17" s="32" t="n">
        <v>113.86</v>
      </c>
      <c r="K17" s="31" t="inlineStr">
        <is>
          <t>R</t>
        </is>
      </c>
      <c r="L17" s="31" t="inlineStr">
        <is>
          <t>Khana Link</t>
        </is>
      </c>
      <c r="M17" s="33" t="inlineStr">
        <is>
          <t>27 km/h</t>
        </is>
      </c>
      <c r="N17" s="33" t="inlineStr">
        <is>
          <t>n/a</t>
        </is>
      </c>
      <c r="O17" s="31" t="inlineStr">
        <is>
          <t>-</t>
        </is>
      </c>
      <c r="P17" s="34" t="inlineStr">
        <is>
          <t>Shunting mode</t>
        </is>
      </c>
    </row>
    <row r="18" ht="49" customHeight="1">
      <c r="A18" s="31" t="inlineStr">
        <is>
          <t>2 Jun</t>
        </is>
      </c>
      <c r="B18" s="31" t="inlineStr">
        <is>
          <t>30084</t>
        </is>
      </c>
      <c r="C18" s="31" t="inlineStr">
        <is>
          <t>Non-Valid</t>
        </is>
      </c>
      <c r="D18" s="31" t="inlineStr">
        <is>
          <t>16:48:34</t>
        </is>
      </c>
      <c r="E18" s="31" t="inlineStr">
        <is>
          <t>16:49:00</t>
        </is>
      </c>
      <c r="F18" s="31" t="n">
        <v>26</v>
      </c>
      <c r="G18" s="31" t="n">
        <v>14</v>
      </c>
      <c r="H18" s="31" t="n">
        <v>251</v>
      </c>
      <c r="I18" s="31" t="inlineStr">
        <is>
          <t>OS</t>
        </is>
      </c>
      <c r="J18" s="32" t="n">
        <v>114.56</v>
      </c>
      <c r="K18" s="31" t="inlineStr">
        <is>
          <t>R</t>
        </is>
      </c>
      <c r="L18" s="31" t="inlineStr">
        <is>
          <t>Khana Link</t>
        </is>
      </c>
      <c r="M18" s="33" t="inlineStr">
        <is>
          <t>134 km/h
There was an abnormal speed fluctuation of 19 kmph (from 115 to 134 km/h). Possible suspect: PG issue.</t>
        </is>
      </c>
      <c r="N18" s="33" t="inlineStr">
        <is>
          <t>n/a</t>
        </is>
      </c>
      <c r="O18" s="31" t="inlineStr">
        <is>
          <t>-</t>
        </is>
      </c>
      <c r="P18" s="34" t="inlineStr">
        <is>
          <t>PG issue (speed fluctuation)</t>
        </is>
      </c>
    </row>
    <row r="19" ht="49" customHeight="1">
      <c r="A19" s="31" t="inlineStr">
        <is>
          <t>2 Jun</t>
        </is>
      </c>
      <c r="B19" s="31" t="inlineStr">
        <is>
          <t>30084</t>
        </is>
      </c>
      <c r="C19" s="31" t="inlineStr">
        <is>
          <t>Non-Valid</t>
        </is>
      </c>
      <c r="D19" s="31" t="inlineStr">
        <is>
          <t>16:49:26</t>
        </is>
      </c>
      <c r="E19" s="31" t="inlineStr">
        <is>
          <t>16:49:26</t>
        </is>
      </c>
      <c r="F19" s="31" t="n">
        <v>0</v>
      </c>
      <c r="G19" s="31" t="n">
        <v>1</v>
      </c>
      <c r="H19" s="31" t="n">
        <v>112</v>
      </c>
      <c r="I19" s="31" t="inlineStr">
        <is>
          <t>FS</t>
        </is>
      </c>
      <c r="J19" s="32" t="n">
        <v>112.34</v>
      </c>
      <c r="K19" s="31" t="inlineStr">
        <is>
          <t>R</t>
        </is>
      </c>
      <c r="L19" s="31" t="inlineStr">
        <is>
          <t>Khana Link</t>
        </is>
      </c>
      <c r="M19" s="33" t="inlineStr">
        <is>
          <t>112 km/h
There was an abnormal speed fluctuation of 10 kmph (from 102 to 112 km/h). Possible suspect: PG issue.</t>
        </is>
      </c>
      <c r="N19" s="33" t="inlineStr">
        <is>
          <t>n/a</t>
        </is>
      </c>
      <c r="O19" s="31" t="inlineStr">
        <is>
          <t>-</t>
        </is>
      </c>
      <c r="P19" s="34" t="inlineStr">
        <is>
          <t>PG issue (speed fluctuation)</t>
        </is>
      </c>
    </row>
    <row r="20" ht="49" customHeight="1">
      <c r="A20" s="31" t="inlineStr">
        <is>
          <t>2 Jun</t>
        </is>
      </c>
      <c r="B20" s="31" t="inlineStr">
        <is>
          <t>37168</t>
        </is>
      </c>
      <c r="C20" s="31" t="inlineStr">
        <is>
          <t>Non-Valid</t>
        </is>
      </c>
      <c r="D20" s="31" t="inlineStr">
        <is>
          <t>19:53:28</t>
        </is>
      </c>
      <c r="E20" s="31" t="inlineStr">
        <is>
          <t>19:53:28</t>
        </is>
      </c>
      <c r="F20" s="31" t="n">
        <v>0</v>
      </c>
      <c r="G20" s="31" t="n">
        <v>1</v>
      </c>
      <c r="H20" s="31" t="n">
        <v>127</v>
      </c>
      <c r="I20" s="31" t="inlineStr">
        <is>
          <t>FS</t>
        </is>
      </c>
      <c r="J20" s="32" t="n">
        <v>106.94</v>
      </c>
      <c r="K20" s="31" t="inlineStr">
        <is>
          <t>N</t>
        </is>
      </c>
      <c r="L20" s="31" t="inlineStr">
        <is>
          <t>Khana Jn</t>
        </is>
      </c>
      <c r="M20" s="33" t="inlineStr">
        <is>
          <t>127 km/h</t>
        </is>
      </c>
      <c r="N20" s="33" t="inlineStr">
        <is>
          <t>1357
MA dropped from 3789 to 1357.</t>
        </is>
      </c>
      <c r="O20" s="31" t="inlineStr">
        <is>
          <t>-</t>
        </is>
      </c>
      <c r="P20" s="34" t="inlineStr">
        <is>
          <t>Sudden MA drop</t>
        </is>
      </c>
    </row>
    <row r="21" ht="49" customHeight="1">
      <c r="A21" s="31" t="inlineStr">
        <is>
          <t>2 Jun</t>
        </is>
      </c>
      <c r="B21" s="31" t="inlineStr">
        <is>
          <t>30305</t>
        </is>
      </c>
      <c r="C21" s="31" t="inlineStr">
        <is>
          <t>Non-Valid</t>
        </is>
      </c>
      <c r="D21" s="31" t="inlineStr">
        <is>
          <t>20:55:00</t>
        </is>
      </c>
      <c r="E21" s="31" t="inlineStr">
        <is>
          <t>20:55:00</t>
        </is>
      </c>
      <c r="F21" s="31" t="n">
        <v>0</v>
      </c>
      <c r="G21" s="31" t="n">
        <v>1</v>
      </c>
      <c r="H21" s="31" t="n">
        <v>92</v>
      </c>
      <c r="I21" s="31" t="inlineStr">
        <is>
          <t>FS</t>
        </is>
      </c>
      <c r="J21" s="32" t="n">
        <v>62.57</v>
      </c>
      <c r="K21" s="31" t="inlineStr">
        <is>
          <t>N</t>
        </is>
      </c>
      <c r="L21" s="31" t="inlineStr">
        <is>
          <t>Jaugram</t>
        </is>
      </c>
      <c r="M21" s="33" t="inlineStr">
        <is>
          <t>92 km/h</t>
        </is>
      </c>
      <c r="N21" s="33" t="inlineStr">
        <is>
          <t>2450
MA dropped from 3263 to 2450.</t>
        </is>
      </c>
      <c r="O21" s="31" t="inlineStr">
        <is>
          <t>RearEnd</t>
        </is>
      </c>
      <c r="P21" s="34" t="inlineStr">
        <is>
          <t>Sudden MA drop; Emergency: RearEnd</t>
        </is>
      </c>
    </row>
    <row r="22">
      <c r="A22" s="31" t="inlineStr">
        <is>
          <t>2 Jun</t>
        </is>
      </c>
      <c r="B22" s="31" t="inlineStr">
        <is>
          <t>37185</t>
        </is>
      </c>
      <c r="C22" s="31" t="inlineStr">
        <is>
          <t>Non-Valid</t>
        </is>
      </c>
      <c r="D22" s="31" t="inlineStr">
        <is>
          <t>23:23:14</t>
        </is>
      </c>
      <c r="E22" s="31" t="inlineStr">
        <is>
          <t>23:23:16</t>
        </is>
      </c>
      <c r="F22" s="31" t="n">
        <v>2</v>
      </c>
      <c r="G22" s="31" t="n">
        <v>2</v>
      </c>
      <c r="H22" s="31" t="n">
        <v>4</v>
      </c>
      <c r="I22" s="31" t="inlineStr">
        <is>
          <t>FS</t>
        </is>
      </c>
      <c r="J22" s="32" t="n">
        <v>0.73</v>
      </c>
      <c r="K22" s="31" t="inlineStr">
        <is>
          <t>N</t>
        </is>
      </c>
      <c r="L22" s="31" t="inlineStr">
        <is>
          <t>Howrah</t>
        </is>
      </c>
      <c r="M22" s="33" t="inlineStr">
        <is>
          <t>4 km/h</t>
        </is>
      </c>
      <c r="N22" s="33" t="inlineStr">
        <is>
          <t>n/a</t>
        </is>
      </c>
      <c r="O22" s="31" t="inlineStr">
        <is>
          <t>-</t>
        </is>
      </c>
      <c r="P22" s="33" t="inlineStr">
        <is>
          <t>-</t>
        </is>
      </c>
    </row>
    <row r="23">
      <c r="A23" s="31" t="inlineStr">
        <is>
          <t>2 Jun</t>
        </is>
      </c>
      <c r="B23" s="31" t="inlineStr">
        <is>
          <t>37185</t>
        </is>
      </c>
      <c r="C23" s="31" t="inlineStr">
        <is>
          <t>Non-Valid</t>
        </is>
      </c>
      <c r="D23" s="31" t="inlineStr">
        <is>
          <t>23:23:32</t>
        </is>
      </c>
      <c r="E23" s="31" t="inlineStr">
        <is>
          <t>23:23:34</t>
        </is>
      </c>
      <c r="F23" s="31" t="n">
        <v>2</v>
      </c>
      <c r="G23" s="31" t="n">
        <v>2</v>
      </c>
      <c r="H23" s="31" t="n">
        <v>4</v>
      </c>
      <c r="I23" s="31" t="inlineStr">
        <is>
          <t>FS</t>
        </is>
      </c>
      <c r="J23" s="32" t="n">
        <v>0.73</v>
      </c>
      <c r="K23" s="31" t="inlineStr">
        <is>
          <t>N</t>
        </is>
      </c>
      <c r="L23" s="31" t="inlineStr">
        <is>
          <t>Howrah</t>
        </is>
      </c>
      <c r="M23" s="33" t="inlineStr">
        <is>
          <t>4 km/h</t>
        </is>
      </c>
      <c r="N23" s="33" t="inlineStr">
        <is>
          <t>n/a</t>
        </is>
      </c>
      <c r="O23" s="31" t="inlineStr">
        <is>
          <t>-</t>
        </is>
      </c>
      <c r="P23" s="33" t="inlineStr">
        <is>
          <t>-</t>
        </is>
      </c>
    </row>
    <row r="24">
      <c r="A24" s="31" t="inlineStr">
        <is>
          <t>3 Jun</t>
        </is>
      </c>
      <c r="B24" s="31" t="inlineStr">
        <is>
          <t>37246</t>
        </is>
      </c>
      <c r="C24" s="31" t="inlineStr">
        <is>
          <t>Non-Valid</t>
        </is>
      </c>
      <c r="D24" s="31" t="inlineStr">
        <is>
          <t>00:18:26</t>
        </is>
      </c>
      <c r="E24" s="31" t="inlineStr">
        <is>
          <t>00:18:28</t>
        </is>
      </c>
      <c r="F24" s="31" t="n">
        <v>2</v>
      </c>
      <c r="G24" s="31" t="n">
        <v>2</v>
      </c>
      <c r="H24" s="31" t="n">
        <v>3</v>
      </c>
      <c r="I24" s="31" t="inlineStr">
        <is>
          <t>FS</t>
        </is>
      </c>
      <c r="J24" s="32" t="n">
        <v>0.74</v>
      </c>
      <c r="K24" s="31" t="inlineStr">
        <is>
          <t>N</t>
        </is>
      </c>
      <c r="L24" s="31" t="inlineStr">
        <is>
          <t>Howrah</t>
        </is>
      </c>
      <c r="M24" s="33" t="inlineStr">
        <is>
          <t>3 km/h</t>
        </is>
      </c>
      <c r="N24" s="33" t="inlineStr">
        <is>
          <t>n/a</t>
        </is>
      </c>
      <c r="O24" s="31" t="inlineStr">
        <is>
          <t>-</t>
        </is>
      </c>
      <c r="P24" s="33" t="inlineStr">
        <is>
          <t>-</t>
        </is>
      </c>
    </row>
    <row r="25">
      <c r="A25" s="31" t="inlineStr">
        <is>
          <t>3 Jun</t>
        </is>
      </c>
      <c r="B25" s="31" t="inlineStr">
        <is>
          <t>37246</t>
        </is>
      </c>
      <c r="C25" s="31" t="inlineStr">
        <is>
          <t>Non-Valid</t>
        </is>
      </c>
      <c r="D25" s="31" t="inlineStr">
        <is>
          <t>00:19:22</t>
        </is>
      </c>
      <c r="E25" s="31" t="inlineStr">
        <is>
          <t>00:19:24</t>
        </is>
      </c>
      <c r="F25" s="31" t="n">
        <v>2</v>
      </c>
      <c r="G25" s="31" t="n">
        <v>2</v>
      </c>
      <c r="H25" s="31" t="n">
        <v>3</v>
      </c>
      <c r="I25" s="31" t="inlineStr">
        <is>
          <t>FS</t>
        </is>
      </c>
      <c r="J25" s="32" t="n">
        <v>0.74</v>
      </c>
      <c r="K25" s="31" t="inlineStr">
        <is>
          <t>N</t>
        </is>
      </c>
      <c r="L25" s="31" t="inlineStr">
        <is>
          <t>Howrah</t>
        </is>
      </c>
      <c r="M25" s="33" t="inlineStr">
        <is>
          <t>3 km/h</t>
        </is>
      </c>
      <c r="N25" s="33" t="inlineStr">
        <is>
          <t>n/a</t>
        </is>
      </c>
      <c r="O25" s="31" t="inlineStr">
        <is>
          <t>-</t>
        </is>
      </c>
      <c r="P25" s="33" t="inlineStr">
        <is>
          <t>-</t>
        </is>
      </c>
    </row>
    <row r="26">
      <c r="A26" s="31" t="inlineStr">
        <is>
          <t>3 Jun</t>
        </is>
      </c>
      <c r="B26" s="31" t="inlineStr">
        <is>
          <t>39195</t>
        </is>
      </c>
      <c r="C26" s="31" t="inlineStr">
        <is>
          <t>Non-Valid</t>
        </is>
      </c>
      <c r="D26" s="31" t="inlineStr">
        <is>
          <t>02:31:48</t>
        </is>
      </c>
      <c r="E26" s="31" t="inlineStr">
        <is>
          <t>02:31:56</t>
        </is>
      </c>
      <c r="F26" s="31" t="n">
        <v>8</v>
      </c>
      <c r="G26" s="31" t="n">
        <v>5</v>
      </c>
      <c r="H26" s="31" t="n">
        <v>12</v>
      </c>
      <c r="I26" s="31" t="inlineStr">
        <is>
          <t>FS</t>
        </is>
      </c>
      <c r="J26" s="32" t="n">
        <v>197.21</v>
      </c>
      <c r="K26" s="31" t="inlineStr">
        <is>
          <t>N</t>
        </is>
      </c>
      <c r="L26" s="31" t="inlineStr">
        <is>
          <t>Asansol</t>
        </is>
      </c>
      <c r="M26" s="33" t="inlineStr">
        <is>
          <t>12 km/h</t>
        </is>
      </c>
      <c r="N26" s="33" t="inlineStr">
        <is>
          <t>694</t>
        </is>
      </c>
      <c r="O26" s="31" t="inlineStr">
        <is>
          <t>-</t>
        </is>
      </c>
      <c r="P26" s="33" t="inlineStr">
        <is>
          <t>-</t>
        </is>
      </c>
    </row>
    <row r="27">
      <c r="A27" s="31" t="inlineStr">
        <is>
          <t>3 Jun</t>
        </is>
      </c>
      <c r="B27" s="31" t="inlineStr">
        <is>
          <t>30327</t>
        </is>
      </c>
      <c r="C27" s="31" t="inlineStr">
        <is>
          <t>Non-Valid</t>
        </is>
      </c>
      <c r="D27" s="31" t="inlineStr">
        <is>
          <t>02:55:42</t>
        </is>
      </c>
      <c r="E27" s="31" t="inlineStr">
        <is>
          <t>02:56:14</t>
        </is>
      </c>
      <c r="F27" s="31" t="n">
        <v>32</v>
      </c>
      <c r="G27" s="31" t="n">
        <v>17</v>
      </c>
      <c r="H27" s="31" t="n">
        <v>88</v>
      </c>
      <c r="I27" s="31" t="inlineStr">
        <is>
          <t>TRIP</t>
        </is>
      </c>
      <c r="J27" s="32" t="n">
        <v>80.51000000000001</v>
      </c>
      <c r="K27" s="31" t="inlineStr">
        <is>
          <t>R</t>
        </is>
      </c>
      <c r="L27" s="31" t="inlineStr">
        <is>
          <t>Palla Road</t>
        </is>
      </c>
      <c r="M27" s="33" t="inlineStr">
        <is>
          <t>88 km/h</t>
        </is>
      </c>
      <c r="N27" s="33" t="inlineStr">
        <is>
          <t>3282</t>
        </is>
      </c>
      <c r="O27" s="31" t="inlineStr">
        <is>
          <t>-</t>
        </is>
      </c>
      <c r="P27" s="34" t="inlineStr">
        <is>
          <t>Trip mode</t>
        </is>
      </c>
    </row>
    <row r="28">
      <c r="A28" s="31" t="inlineStr">
        <is>
          <t>3 Jun</t>
        </is>
      </c>
      <c r="B28" s="31" t="inlineStr">
        <is>
          <t>37898</t>
        </is>
      </c>
      <c r="C28" s="31" t="inlineStr">
        <is>
          <t>Non-Valid</t>
        </is>
      </c>
      <c r="D28" s="31" t="inlineStr">
        <is>
          <t>06:18:14</t>
        </is>
      </c>
      <c r="E28" s="31" t="inlineStr">
        <is>
          <t>06:18:26</t>
        </is>
      </c>
      <c r="F28" s="31" t="n">
        <v>12</v>
      </c>
      <c r="G28" s="31" t="n">
        <v>7</v>
      </c>
      <c r="H28" s="31" t="n">
        <v>29</v>
      </c>
      <c r="I28" s="31" t="inlineStr">
        <is>
          <t>TRIP</t>
        </is>
      </c>
      <c r="J28" s="32" t="n">
        <v>29.32</v>
      </c>
      <c r="K28" s="31" t="inlineStr">
        <is>
          <t>R</t>
        </is>
      </c>
      <c r="L28" s="31" t="inlineStr">
        <is>
          <t>Baruipara</t>
        </is>
      </c>
      <c r="M28" s="33" t="inlineStr">
        <is>
          <t>29 km/h</t>
        </is>
      </c>
      <c r="N28" s="33" t="inlineStr">
        <is>
          <t>5738</t>
        </is>
      </c>
      <c r="O28" s="31" t="inlineStr">
        <is>
          <t>-</t>
        </is>
      </c>
      <c r="P28" s="34" t="inlineStr">
        <is>
          <t>Trip mode</t>
        </is>
      </c>
    </row>
    <row r="29">
      <c r="A29" s="31" t="inlineStr">
        <is>
          <t>3 Jun</t>
        </is>
      </c>
      <c r="B29" s="31" t="inlineStr">
        <is>
          <t>37898</t>
        </is>
      </c>
      <c r="C29" s="31" t="inlineStr">
        <is>
          <t>Non-Valid</t>
        </is>
      </c>
      <c r="D29" s="31" t="inlineStr">
        <is>
          <t>06:19:48</t>
        </is>
      </c>
      <c r="E29" s="31" t="inlineStr">
        <is>
          <t>06:19:50</t>
        </is>
      </c>
      <c r="F29" s="31" t="n">
        <v>2</v>
      </c>
      <c r="G29" s="31" t="n">
        <v>2</v>
      </c>
      <c r="H29" s="31" t="n">
        <v>1</v>
      </c>
      <c r="I29" s="31" t="inlineStr">
        <is>
          <t>TRIP</t>
        </is>
      </c>
      <c r="J29" s="32" t="n">
        <v>29.24</v>
      </c>
      <c r="K29" s="31" t="inlineStr">
        <is>
          <t>R</t>
        </is>
      </c>
      <c r="L29" s="31" t="inlineStr">
        <is>
          <t>Baruipara</t>
        </is>
      </c>
      <c r="M29" s="33" t="inlineStr">
        <is>
          <t>1 km/h</t>
        </is>
      </c>
      <c r="N29" s="33" t="inlineStr">
        <is>
          <t>5035</t>
        </is>
      </c>
      <c r="O29" s="31" t="inlineStr">
        <is>
          <t>-</t>
        </is>
      </c>
      <c r="P29" s="34" t="inlineStr">
        <is>
          <t>EB at 0-1 km/h; Trip mode</t>
        </is>
      </c>
    </row>
    <row r="30">
      <c r="A30" s="31" t="inlineStr">
        <is>
          <t>3 Jun</t>
        </is>
      </c>
      <c r="B30" s="31" t="inlineStr">
        <is>
          <t>37898</t>
        </is>
      </c>
      <c r="C30" s="31" t="inlineStr">
        <is>
          <t>Non-Valid</t>
        </is>
      </c>
      <c r="D30" s="31" t="inlineStr">
        <is>
          <t>06:20:42</t>
        </is>
      </c>
      <c r="E30" s="31" t="inlineStr">
        <is>
          <t>06:20:42</t>
        </is>
      </c>
      <c r="F30" s="31" t="n">
        <v>0</v>
      </c>
      <c r="G30" s="31" t="n">
        <v>1</v>
      </c>
      <c r="H30" s="31" t="n">
        <v>1</v>
      </c>
      <c r="I30" s="31" t="inlineStr">
        <is>
          <t>POSTTRIP</t>
        </is>
      </c>
      <c r="J30" s="32" t="n">
        <v>29.24</v>
      </c>
      <c r="K30" s="31" t="inlineStr">
        <is>
          <t>R</t>
        </is>
      </c>
      <c r="L30" s="31" t="inlineStr">
        <is>
          <t>Baruipara</t>
        </is>
      </c>
      <c r="M30" s="33" t="inlineStr">
        <is>
          <t>1 km/h</t>
        </is>
      </c>
      <c r="N30" s="33" t="inlineStr">
        <is>
          <t>5035</t>
        </is>
      </c>
      <c r="O30" s="31" t="inlineStr">
        <is>
          <t>-</t>
        </is>
      </c>
      <c r="P30" s="34" t="inlineStr">
        <is>
          <t>EB at 0-1 km/h</t>
        </is>
      </c>
    </row>
    <row r="31">
      <c r="A31" s="31" t="inlineStr">
        <is>
          <t>3 Jun</t>
        </is>
      </c>
      <c r="B31" s="31" t="inlineStr">
        <is>
          <t>30329</t>
        </is>
      </c>
      <c r="C31" s="31" t="inlineStr">
        <is>
          <t>Non-Valid</t>
        </is>
      </c>
      <c r="D31" s="31" t="inlineStr">
        <is>
          <t>06:21:08</t>
        </is>
      </c>
      <c r="E31" s="31" t="inlineStr">
        <is>
          <t>06:21:08</t>
        </is>
      </c>
      <c r="F31" s="31" t="n">
        <v>0</v>
      </c>
      <c r="G31" s="31" t="n">
        <v>1</v>
      </c>
      <c r="H31" s="31" t="n">
        <v>26</v>
      </c>
      <c r="I31" s="31" t="inlineStr">
        <is>
          <t>FS</t>
        </is>
      </c>
      <c r="J31" s="32" t="n">
        <v>82.73</v>
      </c>
      <c r="K31" s="31" t="inlineStr">
        <is>
          <t>R</t>
        </is>
      </c>
      <c r="L31" s="31" t="inlineStr">
        <is>
          <t>Saktigarh</t>
        </is>
      </c>
      <c r="M31" s="33" t="inlineStr">
        <is>
          <t>26 km/h</t>
        </is>
      </c>
      <c r="N31" s="33" t="inlineStr">
        <is>
          <t>4595</t>
        </is>
      </c>
      <c r="O31" s="31" t="inlineStr">
        <is>
          <t>-</t>
        </is>
      </c>
      <c r="P31" s="33" t="inlineStr">
        <is>
          <t>-</t>
        </is>
      </c>
    </row>
    <row r="32">
      <c r="A32" s="31" t="inlineStr">
        <is>
          <t>3 Jun</t>
        </is>
      </c>
      <c r="B32" s="31" t="inlineStr">
        <is>
          <t>37168</t>
        </is>
      </c>
      <c r="C32" s="31" t="inlineStr">
        <is>
          <t>Non-Valid</t>
        </is>
      </c>
      <c r="D32" s="31" t="inlineStr">
        <is>
          <t>07:29:42</t>
        </is>
      </c>
      <c r="E32" s="31" t="inlineStr">
        <is>
          <t>07:30:16</t>
        </is>
      </c>
      <c r="F32" s="31" t="n">
        <v>34</v>
      </c>
      <c r="G32" s="31" t="n">
        <v>17</v>
      </c>
      <c r="H32" s="31" t="n">
        <v>98</v>
      </c>
      <c r="I32" s="31" t="inlineStr">
        <is>
          <t>TRIP</t>
        </is>
      </c>
      <c r="J32" s="32" t="n">
        <v>90.17</v>
      </c>
      <c r="K32" s="31" t="inlineStr">
        <is>
          <t>R</t>
        </is>
      </c>
      <c r="L32" s="31" t="inlineStr">
        <is>
          <t>Gangpur</t>
        </is>
      </c>
      <c r="M32" s="33" t="inlineStr">
        <is>
          <t>97 km/h</t>
        </is>
      </c>
      <c r="N32" s="33" t="inlineStr">
        <is>
          <t>3129</t>
        </is>
      </c>
      <c r="O32" s="31" t="inlineStr">
        <is>
          <t>-</t>
        </is>
      </c>
      <c r="P32" s="34" t="inlineStr">
        <is>
          <t>Trip mode</t>
        </is>
      </c>
    </row>
    <row r="33">
      <c r="A33" s="31" t="inlineStr">
        <is>
          <t>3 Jun</t>
        </is>
      </c>
      <c r="B33" s="31" t="inlineStr">
        <is>
          <t>42336</t>
        </is>
      </c>
      <c r="C33" s="31" t="inlineStr">
        <is>
          <t>Non-Valid</t>
        </is>
      </c>
      <c r="D33" s="31" t="inlineStr">
        <is>
          <t>12:46:42</t>
        </is>
      </c>
      <c r="E33" s="31" t="inlineStr">
        <is>
          <t>12:46:44</t>
        </is>
      </c>
      <c r="F33" s="31" t="n">
        <v>2</v>
      </c>
      <c r="G33" s="31" t="n">
        <v>2</v>
      </c>
      <c r="H33" s="31" t="n">
        <v>3</v>
      </c>
      <c r="I33" s="31" t="inlineStr">
        <is>
          <t>FS</t>
        </is>
      </c>
      <c r="J33" s="32" t="n">
        <v>0.46</v>
      </c>
      <c r="K33" s="31" t="inlineStr">
        <is>
          <t>N</t>
        </is>
      </c>
      <c r="L33" s="31" t="inlineStr">
        <is>
          <t>Howrah</t>
        </is>
      </c>
      <c r="M33" s="33" t="inlineStr">
        <is>
          <t>3 km/h</t>
        </is>
      </c>
      <c r="N33" s="33" t="inlineStr">
        <is>
          <t>n/a</t>
        </is>
      </c>
      <c r="O33" s="31" t="inlineStr">
        <is>
          <t>-</t>
        </is>
      </c>
      <c r="P33" s="33" t="inlineStr">
        <is>
          <t>-</t>
        </is>
      </c>
    </row>
    <row r="34">
      <c r="A34" s="31" t="inlineStr">
        <is>
          <t>3 Jun</t>
        </is>
      </c>
      <c r="B34" s="31" t="inlineStr">
        <is>
          <t>42336</t>
        </is>
      </c>
      <c r="C34" s="31" t="inlineStr">
        <is>
          <t>Non-Valid</t>
        </is>
      </c>
      <c r="D34" s="31" t="inlineStr">
        <is>
          <t>12:47:08</t>
        </is>
      </c>
      <c r="E34" s="31" t="inlineStr">
        <is>
          <t>12:47:32</t>
        </is>
      </c>
      <c r="F34" s="31" t="n">
        <v>24</v>
      </c>
      <c r="G34" s="31" t="n">
        <v>12</v>
      </c>
      <c r="H34" s="31" t="n">
        <v>3</v>
      </c>
      <c r="I34" s="31" t="inlineStr">
        <is>
          <t>TRIP</t>
        </is>
      </c>
      <c r="J34" s="32" t="n">
        <v>0.46</v>
      </c>
      <c r="K34" s="31" t="inlineStr">
        <is>
          <t>N</t>
        </is>
      </c>
      <c r="L34" s="31" t="inlineStr">
        <is>
          <t>Howrah</t>
        </is>
      </c>
      <c r="M34" s="33" t="inlineStr">
        <is>
          <t>3 km/h</t>
        </is>
      </c>
      <c r="N34" s="33" t="inlineStr">
        <is>
          <t>n/a</t>
        </is>
      </c>
      <c r="O34" s="31" t="inlineStr">
        <is>
          <t>-</t>
        </is>
      </c>
      <c r="P34" s="34" t="inlineStr">
        <is>
          <t>Trip mode</t>
        </is>
      </c>
    </row>
    <row r="35">
      <c r="A35" s="31" t="inlineStr">
        <is>
          <t>3 Jun</t>
        </is>
      </c>
      <c r="B35" s="31" t="inlineStr">
        <is>
          <t>42336</t>
        </is>
      </c>
      <c r="C35" s="31" t="inlineStr">
        <is>
          <t>Non-Valid</t>
        </is>
      </c>
      <c r="D35" s="31" t="inlineStr">
        <is>
          <t>12:56:44</t>
        </is>
      </c>
      <c r="E35" s="31" t="inlineStr">
        <is>
          <t>12:56:48</t>
        </is>
      </c>
      <c r="F35" s="31" t="n">
        <v>4</v>
      </c>
      <c r="G35" s="31" t="n">
        <v>3</v>
      </c>
      <c r="H35" s="31" t="n">
        <v>3</v>
      </c>
      <c r="I35" s="31" t="inlineStr">
        <is>
          <t>FS</t>
        </is>
      </c>
      <c r="J35" s="32" t="n">
        <v>0.17</v>
      </c>
      <c r="K35" s="31" t="inlineStr">
        <is>
          <t>R</t>
        </is>
      </c>
      <c r="L35" s="31" t="inlineStr">
        <is>
          <t>Howrah</t>
        </is>
      </c>
      <c r="M35" s="33" t="inlineStr">
        <is>
          <t>3 km/h</t>
        </is>
      </c>
      <c r="N35" s="33" t="inlineStr">
        <is>
          <t>n/a</t>
        </is>
      </c>
      <c r="O35" s="31" t="inlineStr">
        <is>
          <t>-</t>
        </is>
      </c>
      <c r="P35" s="33" t="inlineStr">
        <is>
          <t>-</t>
        </is>
      </c>
    </row>
    <row r="36">
      <c r="A36" s="31" t="inlineStr">
        <is>
          <t>3 Jun</t>
        </is>
      </c>
      <c r="B36" s="31" t="inlineStr">
        <is>
          <t>42336</t>
        </is>
      </c>
      <c r="C36" s="31" t="inlineStr">
        <is>
          <t>Non-Valid</t>
        </is>
      </c>
      <c r="D36" s="31" t="inlineStr">
        <is>
          <t>12:57:16</t>
        </is>
      </c>
      <c r="E36" s="31" t="inlineStr">
        <is>
          <t>12:57:34</t>
        </is>
      </c>
      <c r="F36" s="31" t="n">
        <v>18</v>
      </c>
      <c r="G36" s="31" t="n">
        <v>9</v>
      </c>
      <c r="H36" s="31" t="n">
        <v>4</v>
      </c>
      <c r="I36" s="31" t="inlineStr">
        <is>
          <t>TRIP</t>
        </is>
      </c>
      <c r="J36" s="32" t="n">
        <v>0.15</v>
      </c>
      <c r="K36" s="31" t="inlineStr">
        <is>
          <t>R</t>
        </is>
      </c>
      <c r="L36" s="31" t="inlineStr">
        <is>
          <t>Howrah</t>
        </is>
      </c>
      <c r="M36" s="33" t="inlineStr">
        <is>
          <t>3 km/h</t>
        </is>
      </c>
      <c r="N36" s="33" t="inlineStr">
        <is>
          <t>n/a</t>
        </is>
      </c>
      <c r="O36" s="31" t="inlineStr">
        <is>
          <t>-</t>
        </is>
      </c>
      <c r="P36" s="34" t="inlineStr">
        <is>
          <t>Trip mode</t>
        </is>
      </c>
    </row>
    <row r="37">
      <c r="A37" s="31" t="inlineStr">
        <is>
          <t>3 Jun</t>
        </is>
      </c>
      <c r="B37" s="31" t="inlineStr">
        <is>
          <t>37908</t>
        </is>
      </c>
      <c r="C37" s="31" t="inlineStr">
        <is>
          <t>Non-Valid</t>
        </is>
      </c>
      <c r="D37" s="31" t="inlineStr">
        <is>
          <t>19:05:08</t>
        </is>
      </c>
      <c r="E37" s="31" t="inlineStr">
        <is>
          <t>19:05:08</t>
        </is>
      </c>
      <c r="F37" s="31" t="n">
        <v>0</v>
      </c>
      <c r="G37" s="31" t="n">
        <v>1</v>
      </c>
      <c r="H37" s="31" t="n">
        <v>17</v>
      </c>
      <c r="I37" s="31" t="inlineStr">
        <is>
          <t>TRIP</t>
        </is>
      </c>
      <c r="J37" s="32" t="n">
        <v>94.36</v>
      </c>
      <c r="K37" s="31" t="inlineStr">
        <is>
          <t>N</t>
        </is>
      </c>
      <c r="L37" s="31" t="inlineStr">
        <is>
          <t>Barddhaman Jn</t>
        </is>
      </c>
      <c r="M37" s="33" t="inlineStr">
        <is>
          <t>17 km/h</t>
        </is>
      </c>
      <c r="N37" s="33" t="inlineStr">
        <is>
          <t>792</t>
        </is>
      </c>
      <c r="O37" s="31" t="inlineStr">
        <is>
          <t>-</t>
        </is>
      </c>
      <c r="P37" s="34" t="inlineStr">
        <is>
          <t>Trip mode</t>
        </is>
      </c>
    </row>
    <row r="38" ht="34" customHeight="1">
      <c r="A38" s="31" t="inlineStr">
        <is>
          <t>3 Jun</t>
        </is>
      </c>
      <c r="B38" s="31" t="inlineStr">
        <is>
          <t>37720</t>
        </is>
      </c>
      <c r="C38" s="31" t="inlineStr">
        <is>
          <t>Non-Valid</t>
        </is>
      </c>
      <c r="D38" s="31" t="inlineStr">
        <is>
          <t>19:49:48</t>
        </is>
      </c>
      <c r="E38" s="31" t="inlineStr">
        <is>
          <t>19:49:56</t>
        </is>
      </c>
      <c r="F38" s="31" t="n">
        <v>8</v>
      </c>
      <c r="G38" s="31" t="n">
        <v>5</v>
      </c>
      <c r="H38" s="31" t="n">
        <v>14</v>
      </c>
      <c r="I38" s="31" t="inlineStr">
        <is>
          <t>TRIP</t>
        </is>
      </c>
      <c r="J38" s="32" t="n">
        <v>226.37</v>
      </c>
      <c r="K38" s="31" t="inlineStr">
        <is>
          <t>N</t>
        </is>
      </c>
      <c r="L38" s="31" t="inlineStr">
        <is>
          <t>Mugma</t>
        </is>
      </c>
      <c r="M38" s="33" t="inlineStr">
        <is>
          <t>14 km/h</t>
        </is>
      </c>
      <c r="N38" s="33" t="inlineStr">
        <is>
          <t>0
MA dropped from 840 to 0.</t>
        </is>
      </c>
      <c r="O38" s="31" t="inlineStr">
        <is>
          <t>-</t>
        </is>
      </c>
      <c r="P38" s="34" t="inlineStr">
        <is>
          <t>Sudden MA drop; Trip mode</t>
        </is>
      </c>
    </row>
    <row r="39">
      <c r="A39" s="31" t="inlineStr">
        <is>
          <t>3 Jun</t>
        </is>
      </c>
      <c r="B39" s="31" t="inlineStr">
        <is>
          <t>37720</t>
        </is>
      </c>
      <c r="C39" s="31" t="inlineStr">
        <is>
          <t>Non-Valid</t>
        </is>
      </c>
      <c r="D39" s="31" t="inlineStr">
        <is>
          <t>19:51:22</t>
        </is>
      </c>
      <c r="E39" s="31" t="inlineStr">
        <is>
          <t>19:51:22</t>
        </is>
      </c>
      <c r="F39" s="31" t="n">
        <v>0</v>
      </c>
      <c r="G39" s="31" t="n">
        <v>1</v>
      </c>
      <c r="H39" s="31" t="n">
        <v>1</v>
      </c>
      <c r="I39" s="31" t="inlineStr">
        <is>
          <t>POSTTRIP</t>
        </is>
      </c>
      <c r="J39" s="32" t="n">
        <v>226.39</v>
      </c>
      <c r="K39" s="31" t="inlineStr">
        <is>
          <t>N</t>
        </is>
      </c>
      <c r="L39" s="31" t="inlineStr">
        <is>
          <t>Mugma</t>
        </is>
      </c>
      <c r="M39" s="33" t="inlineStr">
        <is>
          <t>1 km/h</t>
        </is>
      </c>
      <c r="N39" s="33" t="inlineStr">
        <is>
          <t>0</t>
        </is>
      </c>
      <c r="O39" s="31" t="inlineStr">
        <is>
          <t>-</t>
        </is>
      </c>
      <c r="P39" s="34" t="inlineStr">
        <is>
          <t>EB at 0-1 km/h</t>
        </is>
      </c>
    </row>
    <row r="40">
      <c r="A40" s="31" t="inlineStr">
        <is>
          <t>4 Jun</t>
        </is>
      </c>
      <c r="B40" s="31" t="inlineStr">
        <is>
          <t>37268</t>
        </is>
      </c>
      <c r="C40" s="31" t="inlineStr">
        <is>
          <t>Non-Valid</t>
        </is>
      </c>
      <c r="D40" s="31" t="inlineStr">
        <is>
          <t>00:30:52</t>
        </is>
      </c>
      <c r="E40" s="31" t="inlineStr">
        <is>
          <t>00:30:52</t>
        </is>
      </c>
      <c r="F40" s="31" t="n">
        <v>0</v>
      </c>
      <c r="G40" s="31" t="n">
        <v>1</v>
      </c>
      <c r="H40" s="31" t="n">
        <v>2</v>
      </c>
      <c r="I40" s="31" t="inlineStr">
        <is>
          <t>FS</t>
        </is>
      </c>
      <c r="J40" s="32" t="n">
        <v>0.73</v>
      </c>
      <c r="K40" s="31" t="inlineStr">
        <is>
          <t>N</t>
        </is>
      </c>
      <c r="L40" s="31" t="inlineStr">
        <is>
          <t>Howrah</t>
        </is>
      </c>
      <c r="M40" s="33" t="inlineStr">
        <is>
          <t>2 km/h</t>
        </is>
      </c>
      <c r="N40" s="33" t="inlineStr">
        <is>
          <t>n/a</t>
        </is>
      </c>
      <c r="O40" s="31" t="inlineStr">
        <is>
          <t>-</t>
        </is>
      </c>
      <c r="P40" s="33" t="inlineStr">
        <is>
          <t>-</t>
        </is>
      </c>
    </row>
    <row r="41">
      <c r="A41" s="31" t="inlineStr">
        <is>
          <t>4 Jun</t>
        </is>
      </c>
      <c r="B41" s="31" t="inlineStr">
        <is>
          <t>37268</t>
        </is>
      </c>
      <c r="C41" s="31" t="inlineStr">
        <is>
          <t>Non-Valid</t>
        </is>
      </c>
      <c r="D41" s="31" t="inlineStr">
        <is>
          <t>00:31:14</t>
        </is>
      </c>
      <c r="E41" s="31" t="inlineStr">
        <is>
          <t>00:31:14</t>
        </is>
      </c>
      <c r="F41" s="31" t="n">
        <v>0</v>
      </c>
      <c r="G41" s="31" t="n">
        <v>1</v>
      </c>
      <c r="H41" s="31" t="n">
        <v>4</v>
      </c>
      <c r="I41" s="31" t="inlineStr">
        <is>
          <t>FS</t>
        </is>
      </c>
      <c r="J41" s="32" t="n">
        <v>0.74</v>
      </c>
      <c r="K41" s="31" t="inlineStr">
        <is>
          <t>N</t>
        </is>
      </c>
      <c r="L41" s="31" t="inlineStr">
        <is>
          <t>Howrah</t>
        </is>
      </c>
      <c r="M41" s="33" t="inlineStr">
        <is>
          <t>4 km/h</t>
        </is>
      </c>
      <c r="N41" s="33" t="inlineStr">
        <is>
          <t>n/a</t>
        </is>
      </c>
      <c r="O41" s="31" t="inlineStr">
        <is>
          <t>-</t>
        </is>
      </c>
      <c r="P41" s="33" t="inlineStr">
        <is>
          <t>-</t>
        </is>
      </c>
    </row>
    <row r="42">
      <c r="A42" s="31" t="inlineStr">
        <is>
          <t>4 Jun</t>
        </is>
      </c>
      <c r="B42" s="31" t="inlineStr">
        <is>
          <t>39133</t>
        </is>
      </c>
      <c r="C42" s="31" t="inlineStr">
        <is>
          <t>Non-Valid</t>
        </is>
      </c>
      <c r="D42" s="31" t="inlineStr">
        <is>
          <t>04:08:58</t>
        </is>
      </c>
      <c r="E42" s="31" t="inlineStr">
        <is>
          <t>04:09:06</t>
        </is>
      </c>
      <c r="F42" s="31" t="n">
        <v>8</v>
      </c>
      <c r="G42" s="31" t="n">
        <v>5</v>
      </c>
      <c r="H42" s="31" t="n">
        <v>13</v>
      </c>
      <c r="I42" s="31" t="inlineStr">
        <is>
          <t>OS</t>
        </is>
      </c>
      <c r="J42" s="32" t="n">
        <v>61.9</v>
      </c>
      <c r="K42" s="31" t="inlineStr">
        <is>
          <t>R</t>
        </is>
      </c>
      <c r="L42" s="31" t="inlineStr">
        <is>
          <t>Jaugram</t>
        </is>
      </c>
      <c r="M42" s="33" t="inlineStr">
        <is>
          <t>11 km/h</t>
        </is>
      </c>
      <c r="N42" s="33" t="inlineStr">
        <is>
          <t>197</t>
        </is>
      </c>
      <c r="O42" s="31" t="inlineStr">
        <is>
          <t>-</t>
        </is>
      </c>
      <c r="P42" s="33" t="inlineStr">
        <is>
          <t>-</t>
        </is>
      </c>
    </row>
    <row r="43">
      <c r="A43" s="31" t="inlineStr">
        <is>
          <t>4 Jun</t>
        </is>
      </c>
      <c r="B43" s="31" t="inlineStr">
        <is>
          <t>39133</t>
        </is>
      </c>
      <c r="C43" s="31" t="inlineStr">
        <is>
          <t>Non-Valid</t>
        </is>
      </c>
      <c r="D43" s="31" t="inlineStr">
        <is>
          <t>04:10:02</t>
        </is>
      </c>
      <c r="E43" s="31" t="inlineStr">
        <is>
          <t>04:10:02</t>
        </is>
      </c>
      <c r="F43" s="31" t="n">
        <v>0</v>
      </c>
      <c r="G43" s="31" t="n">
        <v>1</v>
      </c>
      <c r="H43" s="31" t="n">
        <v>1</v>
      </c>
      <c r="I43" s="31" t="inlineStr">
        <is>
          <t>POSTTRIP</t>
        </is>
      </c>
      <c r="J43" s="32" t="n">
        <v>61.88</v>
      </c>
      <c r="K43" s="31" t="inlineStr">
        <is>
          <t>R</t>
        </is>
      </c>
      <c r="L43" s="31" t="inlineStr">
        <is>
          <t>Jaugram</t>
        </is>
      </c>
      <c r="M43" s="33" t="inlineStr">
        <is>
          <t>1 km/h</t>
        </is>
      </c>
      <c r="N43" s="33" t="inlineStr">
        <is>
          <t>n/a</t>
        </is>
      </c>
      <c r="O43" s="31" t="inlineStr">
        <is>
          <t>-</t>
        </is>
      </c>
      <c r="P43" s="34" t="inlineStr">
        <is>
          <t>EB at 0-1 km/h</t>
        </is>
      </c>
    </row>
    <row r="44">
      <c r="A44" s="31" t="inlineStr">
        <is>
          <t>4 Jun</t>
        </is>
      </c>
      <c r="B44" s="31" t="inlineStr">
        <is>
          <t>39060</t>
        </is>
      </c>
      <c r="C44" s="31" t="inlineStr">
        <is>
          <t>Non-Valid</t>
        </is>
      </c>
      <c r="D44" s="31" t="inlineStr">
        <is>
          <t>07:06:08</t>
        </is>
      </c>
      <c r="E44" s="31" t="inlineStr">
        <is>
          <t>07:06:12</t>
        </is>
      </c>
      <c r="F44" s="31" t="n">
        <v>4</v>
      </c>
      <c r="G44" s="31" t="n">
        <v>3</v>
      </c>
      <c r="H44" s="31" t="n">
        <v>7</v>
      </c>
      <c r="I44" s="31" t="inlineStr">
        <is>
          <t>FS</t>
        </is>
      </c>
      <c r="J44" s="32" t="n">
        <v>108.3</v>
      </c>
      <c r="K44" s="31" t="inlineStr">
        <is>
          <t>R</t>
        </is>
      </c>
      <c r="L44" s="31" t="inlineStr">
        <is>
          <t>Khana Jn</t>
        </is>
      </c>
      <c r="M44" s="33" t="inlineStr">
        <is>
          <t>7 km/h</t>
        </is>
      </c>
      <c r="N44" s="33" t="inlineStr">
        <is>
          <t>64</t>
        </is>
      </c>
      <c r="O44" s="31" t="inlineStr">
        <is>
          <t>-</t>
        </is>
      </c>
      <c r="P44" s="33" t="inlineStr">
        <is>
          <t>-</t>
        </is>
      </c>
    </row>
    <row r="45" ht="34" customHeight="1">
      <c r="A45" s="16" t="inlineStr">
        <is>
          <t>4 Jun</t>
        </is>
      </c>
      <c r="B45" s="16" t="inlineStr">
        <is>
          <t>35001</t>
        </is>
      </c>
      <c r="C45" s="16" t="inlineStr">
        <is>
          <t>Valid</t>
        </is>
      </c>
      <c r="D45" s="16" t="inlineStr">
        <is>
          <t>09:24:58</t>
        </is>
      </c>
      <c r="E45" s="16" t="inlineStr">
        <is>
          <t>09:25:28</t>
        </is>
      </c>
      <c r="F45" s="16" t="n">
        <v>30</v>
      </c>
      <c r="G45" s="16" t="n">
        <v>16</v>
      </c>
      <c r="H45" s="16" t="n">
        <v>90</v>
      </c>
      <c r="I45" s="16" t="inlineStr">
        <is>
          <t>TRIP</t>
        </is>
      </c>
      <c r="J45" s="35" t="n">
        <v>79.38</v>
      </c>
      <c r="K45" s="16" t="inlineStr">
        <is>
          <t>R</t>
        </is>
      </c>
      <c r="L45" s="16" t="inlineStr">
        <is>
          <t>Palla Road</t>
        </is>
      </c>
      <c r="M45" s="36" t="inlineStr">
        <is>
          <t>90 km/h</t>
        </is>
      </c>
      <c r="N45" s="36" t="inlineStr">
        <is>
          <t>0
MA dropped from 1225 to 0.</t>
        </is>
      </c>
      <c r="O45" s="16" t="inlineStr">
        <is>
          <t>-</t>
        </is>
      </c>
      <c r="P45" s="34" t="inlineStr">
        <is>
          <t>Sudden MA drop; Trip mode</t>
        </is>
      </c>
    </row>
    <row r="46">
      <c r="A46" s="16" t="inlineStr">
        <is>
          <t>4 Jun</t>
        </is>
      </c>
      <c r="B46" s="16" t="inlineStr">
        <is>
          <t>35001</t>
        </is>
      </c>
      <c r="C46" s="16" t="inlineStr">
        <is>
          <t>Valid</t>
        </is>
      </c>
      <c r="D46" s="16" t="inlineStr">
        <is>
          <t>09:27:12</t>
        </is>
      </c>
      <c r="E46" s="16" t="inlineStr">
        <is>
          <t>09:27:14</t>
        </is>
      </c>
      <c r="F46" s="16" t="n">
        <v>2</v>
      </c>
      <c r="G46" s="16" t="n">
        <v>2</v>
      </c>
      <c r="H46" s="16" t="n">
        <v>1</v>
      </c>
      <c r="I46" s="16" t="inlineStr">
        <is>
          <t>POSTTRIP</t>
        </is>
      </c>
      <c r="J46" s="35" t="n">
        <v>78.95999999999999</v>
      </c>
      <c r="K46" s="16" t="inlineStr">
        <is>
          <t>R</t>
        </is>
      </c>
      <c r="L46" s="16" t="inlineStr">
        <is>
          <t>Palla Road</t>
        </is>
      </c>
      <c r="M46" s="36" t="inlineStr">
        <is>
          <t>1 km/h</t>
        </is>
      </c>
      <c r="N46" s="36" t="inlineStr">
        <is>
          <t>0</t>
        </is>
      </c>
      <c r="O46" s="16" t="inlineStr">
        <is>
          <t>-</t>
        </is>
      </c>
      <c r="P46" s="34" t="inlineStr">
        <is>
          <t>EB at 0-1 km/h</t>
        </is>
      </c>
    </row>
    <row r="47">
      <c r="A47" s="31" t="inlineStr">
        <is>
          <t>4 Jun</t>
        </is>
      </c>
      <c r="B47" s="31" t="inlineStr">
        <is>
          <t>43741</t>
        </is>
      </c>
      <c r="C47" s="31" t="inlineStr">
        <is>
          <t>Non-Valid</t>
        </is>
      </c>
      <c r="D47" s="31" t="inlineStr">
        <is>
          <t>12:18:40</t>
        </is>
      </c>
      <c r="E47" s="31" t="inlineStr">
        <is>
          <t>12:18:42</t>
        </is>
      </c>
      <c r="F47" s="31" t="n">
        <v>2</v>
      </c>
      <c r="G47" s="31" t="n">
        <v>2</v>
      </c>
      <c r="H47" s="31" t="n">
        <v>9</v>
      </c>
      <c r="I47" s="31" t="inlineStr">
        <is>
          <t>FS</t>
        </is>
      </c>
      <c r="J47" s="32" t="n">
        <v>0.44</v>
      </c>
      <c r="K47" s="31" t="inlineStr">
        <is>
          <t>N</t>
        </is>
      </c>
      <c r="L47" s="31" t="inlineStr">
        <is>
          <t>Howrah</t>
        </is>
      </c>
      <c r="M47" s="33" t="inlineStr">
        <is>
          <t>9 km/h</t>
        </is>
      </c>
      <c r="N47" s="33" t="inlineStr">
        <is>
          <t>n/a</t>
        </is>
      </c>
      <c r="O47" s="31" t="inlineStr">
        <is>
          <t>-</t>
        </is>
      </c>
      <c r="P47" s="33" t="inlineStr">
        <is>
          <t>-</t>
        </is>
      </c>
    </row>
    <row r="48">
      <c r="A48" s="31" t="inlineStr">
        <is>
          <t>4 Jun</t>
        </is>
      </c>
      <c r="B48" s="31" t="inlineStr">
        <is>
          <t>43741</t>
        </is>
      </c>
      <c r="C48" s="31" t="inlineStr">
        <is>
          <t>Non-Valid</t>
        </is>
      </c>
      <c r="D48" s="31" t="inlineStr">
        <is>
          <t>12:19:14</t>
        </is>
      </c>
      <c r="E48" s="31" t="inlineStr">
        <is>
          <t>12:19:18</t>
        </is>
      </c>
      <c r="F48" s="31" t="n">
        <v>4</v>
      </c>
      <c r="G48" s="31" t="n">
        <v>3</v>
      </c>
      <c r="H48" s="31" t="n">
        <v>7</v>
      </c>
      <c r="I48" s="31" t="inlineStr">
        <is>
          <t>FS</t>
        </is>
      </c>
      <c r="J48" s="32" t="n">
        <v>0.45</v>
      </c>
      <c r="K48" s="31" t="inlineStr">
        <is>
          <t>N</t>
        </is>
      </c>
      <c r="L48" s="31" t="inlineStr">
        <is>
          <t>Howrah</t>
        </is>
      </c>
      <c r="M48" s="33" t="inlineStr">
        <is>
          <t>7 km/h</t>
        </is>
      </c>
      <c r="N48" s="33" t="inlineStr">
        <is>
          <t>n/a</t>
        </is>
      </c>
      <c r="O48" s="31" t="inlineStr">
        <is>
          <t>-</t>
        </is>
      </c>
      <c r="P48" s="33" t="inlineStr">
        <is>
          <t>-</t>
        </is>
      </c>
    </row>
    <row r="49">
      <c r="A49" s="31" t="inlineStr">
        <is>
          <t>4 Jun</t>
        </is>
      </c>
      <c r="B49" s="31" t="inlineStr">
        <is>
          <t>43741</t>
        </is>
      </c>
      <c r="C49" s="31" t="inlineStr">
        <is>
          <t>Non-Valid</t>
        </is>
      </c>
      <c r="D49" s="31" t="inlineStr">
        <is>
          <t>12:19:52</t>
        </is>
      </c>
      <c r="E49" s="31" t="inlineStr">
        <is>
          <t>12:20:08</t>
        </is>
      </c>
      <c r="F49" s="31" t="n">
        <v>16</v>
      </c>
      <c r="G49" s="31" t="n">
        <v>9</v>
      </c>
      <c r="H49" s="31" t="n">
        <v>5</v>
      </c>
      <c r="I49" s="31" t="inlineStr">
        <is>
          <t>TRIP</t>
        </is>
      </c>
      <c r="J49" s="32" t="n">
        <v>0.47</v>
      </c>
      <c r="K49" s="31" t="inlineStr">
        <is>
          <t>N</t>
        </is>
      </c>
      <c r="L49" s="31" t="inlineStr">
        <is>
          <t>Howrah</t>
        </is>
      </c>
      <c r="M49" s="33" t="inlineStr">
        <is>
          <t>3 km/h</t>
        </is>
      </c>
      <c r="N49" s="33" t="inlineStr">
        <is>
          <t>n/a</t>
        </is>
      </c>
      <c r="O49" s="31" t="inlineStr">
        <is>
          <t>-</t>
        </is>
      </c>
      <c r="P49" s="34" t="inlineStr">
        <is>
          <t>Trip mode</t>
        </is>
      </c>
    </row>
    <row r="50">
      <c r="A50" s="31" t="inlineStr">
        <is>
          <t>4 Jun</t>
        </is>
      </c>
      <c r="B50" s="31" t="inlineStr">
        <is>
          <t>43741</t>
        </is>
      </c>
      <c r="C50" s="31" t="inlineStr">
        <is>
          <t>Non-Valid</t>
        </is>
      </c>
      <c r="D50" s="31" t="inlineStr">
        <is>
          <t>12:26:36</t>
        </is>
      </c>
      <c r="E50" s="31" t="inlineStr">
        <is>
          <t>12:26:38</t>
        </is>
      </c>
      <c r="F50" s="31" t="n">
        <v>2</v>
      </c>
      <c r="G50" s="31" t="n">
        <v>2</v>
      </c>
      <c r="H50" s="31" t="n">
        <v>9</v>
      </c>
      <c r="I50" s="31" t="inlineStr">
        <is>
          <t>FS</t>
        </is>
      </c>
      <c r="J50" s="32" t="n">
        <v>0.17</v>
      </c>
      <c r="K50" s="31" t="inlineStr">
        <is>
          <t>R</t>
        </is>
      </c>
      <c r="L50" s="31" t="inlineStr">
        <is>
          <t>Howrah</t>
        </is>
      </c>
      <c r="M50" s="33" t="inlineStr">
        <is>
          <t>8 km/h</t>
        </is>
      </c>
      <c r="N50" s="33" t="inlineStr">
        <is>
          <t>n/a</t>
        </is>
      </c>
      <c r="O50" s="31" t="inlineStr">
        <is>
          <t>-</t>
        </is>
      </c>
      <c r="P50" s="33" t="inlineStr">
        <is>
          <t>-</t>
        </is>
      </c>
    </row>
    <row r="51">
      <c r="A51" s="31" t="inlineStr">
        <is>
          <t>4 Jun</t>
        </is>
      </c>
      <c r="B51" s="31" t="inlineStr">
        <is>
          <t>43741</t>
        </is>
      </c>
      <c r="C51" s="31" t="inlineStr">
        <is>
          <t>Non-Valid</t>
        </is>
      </c>
      <c r="D51" s="31" t="inlineStr">
        <is>
          <t>12:26:46</t>
        </is>
      </c>
      <c r="E51" s="31" t="inlineStr">
        <is>
          <t>12:26:48</t>
        </is>
      </c>
      <c r="F51" s="31" t="n">
        <v>2</v>
      </c>
      <c r="G51" s="31" t="n">
        <v>2</v>
      </c>
      <c r="H51" s="31" t="n">
        <v>0</v>
      </c>
      <c r="I51" s="31" t="inlineStr">
        <is>
          <t>TRIP</t>
        </is>
      </c>
      <c r="J51" s="32" t="n">
        <v>0.16</v>
      </c>
      <c r="K51" s="31" t="inlineStr">
        <is>
          <t>R</t>
        </is>
      </c>
      <c r="L51" s="31" t="inlineStr">
        <is>
          <t>Howrah</t>
        </is>
      </c>
      <c r="M51" s="33" t="inlineStr">
        <is>
          <t>0 km/h</t>
        </is>
      </c>
      <c r="N51" s="33" t="inlineStr">
        <is>
          <t>n/a</t>
        </is>
      </c>
      <c r="O51" s="31" t="inlineStr">
        <is>
          <t>-</t>
        </is>
      </c>
      <c r="P51" s="34" t="inlineStr">
        <is>
          <t>EB at 0-1 km/h; Trip mode</t>
        </is>
      </c>
    </row>
    <row r="52">
      <c r="A52" s="31" t="inlineStr">
        <is>
          <t>4 Jun</t>
        </is>
      </c>
      <c r="B52" s="31" t="inlineStr">
        <is>
          <t>30112</t>
        </is>
      </c>
      <c r="C52" s="31" t="inlineStr">
        <is>
          <t>Non-Valid</t>
        </is>
      </c>
      <c r="D52" s="31" t="inlineStr">
        <is>
          <t>20:11:34</t>
        </is>
      </c>
      <c r="E52" s="31" t="inlineStr">
        <is>
          <t>20:12:00</t>
        </is>
      </c>
      <c r="F52" s="31" t="n">
        <v>26</v>
      </c>
      <c r="G52" s="31" t="n">
        <v>13</v>
      </c>
      <c r="H52" s="31" t="n">
        <v>79</v>
      </c>
      <c r="I52" s="31" t="inlineStr">
        <is>
          <t>FS</t>
        </is>
      </c>
      <c r="J52" s="32" t="n">
        <v>8.81</v>
      </c>
      <c r="K52" s="31" t="inlineStr">
        <is>
          <t>R</t>
        </is>
      </c>
      <c r="L52" s="31" t="inlineStr">
        <is>
          <t>Bally</t>
        </is>
      </c>
      <c r="M52" s="33" t="inlineStr">
        <is>
          <t>79 km/h</t>
        </is>
      </c>
      <c r="N52" s="33" t="inlineStr">
        <is>
          <t>3003</t>
        </is>
      </c>
      <c r="O52" s="31" t="inlineStr">
        <is>
          <t>-</t>
        </is>
      </c>
      <c r="P52" s="33" t="inlineStr">
        <is>
          <t>-</t>
        </is>
      </c>
    </row>
    <row r="53">
      <c r="A53" s="31" t="inlineStr">
        <is>
          <t>5 Jun</t>
        </is>
      </c>
      <c r="B53" s="31" t="inlineStr">
        <is>
          <t>37452</t>
        </is>
      </c>
      <c r="C53" s="31" t="inlineStr">
        <is>
          <t>Non-Valid</t>
        </is>
      </c>
      <c r="D53" s="31" t="inlineStr">
        <is>
          <t>06:29:14</t>
        </is>
      </c>
      <c r="E53" s="31" t="inlineStr">
        <is>
          <t>06:29:18</t>
        </is>
      </c>
      <c r="F53" s="31" t="n">
        <v>4</v>
      </c>
      <c r="G53" s="31" t="n">
        <v>3</v>
      </c>
      <c r="H53" s="31" t="n">
        <v>5</v>
      </c>
      <c r="I53" s="31" t="inlineStr">
        <is>
          <t>FS</t>
        </is>
      </c>
      <c r="J53" s="32" t="n">
        <v>17.41</v>
      </c>
      <c r="K53" s="31" t="inlineStr">
        <is>
          <t>R</t>
        </is>
      </c>
      <c r="L53" s="31" t="inlineStr">
        <is>
          <t>Janai Road</t>
        </is>
      </c>
      <c r="M53" s="33" t="inlineStr">
        <is>
          <t>5 km/h</t>
        </is>
      </c>
      <c r="N53" s="33" t="inlineStr">
        <is>
          <t>5318</t>
        </is>
      </c>
      <c r="O53" s="31" t="inlineStr">
        <is>
          <t>-</t>
        </is>
      </c>
      <c r="P53" s="33" t="inlineStr">
        <is>
          <t>-</t>
        </is>
      </c>
    </row>
    <row r="54">
      <c r="A54" s="16" t="inlineStr">
        <is>
          <t>5 Jun</t>
        </is>
      </c>
      <c r="B54" s="16" t="inlineStr">
        <is>
          <t>35001</t>
        </is>
      </c>
      <c r="C54" s="16" t="inlineStr">
        <is>
          <t>Valid</t>
        </is>
      </c>
      <c r="D54" s="16" t="inlineStr">
        <is>
          <t>08:50:26</t>
        </is>
      </c>
      <c r="E54" s="16" t="inlineStr">
        <is>
          <t>08:50:42</t>
        </is>
      </c>
      <c r="F54" s="16" t="n">
        <v>16</v>
      </c>
      <c r="G54" s="16" t="n">
        <v>9</v>
      </c>
      <c r="H54" s="16" t="n">
        <v>50</v>
      </c>
      <c r="I54" s="16" t="inlineStr">
        <is>
          <t>SR</t>
        </is>
      </c>
      <c r="J54" s="35" t="n">
        <v>144.1</v>
      </c>
      <c r="K54" s="16" t="inlineStr">
        <is>
          <t>U</t>
        </is>
      </c>
      <c r="L54" s="16" t="inlineStr">
        <is>
          <t>LC-105</t>
        </is>
      </c>
      <c r="M54" s="36" t="inlineStr">
        <is>
          <t>50 km/h</t>
        </is>
      </c>
      <c r="N54" s="36" t="inlineStr">
        <is>
          <t>0</t>
        </is>
      </c>
      <c r="O54" s="16" t="inlineStr">
        <is>
          <t>-</t>
        </is>
      </c>
      <c r="P54" s="34" t="inlineStr">
        <is>
          <t>FS-&gt;SR degradation + EB</t>
        </is>
      </c>
    </row>
    <row r="55">
      <c r="A55" s="31" t="inlineStr">
        <is>
          <t>5 Jun</t>
        </is>
      </c>
      <c r="B55" s="31" t="inlineStr">
        <is>
          <t>43767</t>
        </is>
      </c>
      <c r="C55" s="31" t="inlineStr">
        <is>
          <t>Non-Valid</t>
        </is>
      </c>
      <c r="D55" s="31" t="inlineStr">
        <is>
          <t>17:11:48</t>
        </is>
      </c>
      <c r="E55" s="31" t="inlineStr">
        <is>
          <t>17:12:08</t>
        </is>
      </c>
      <c r="F55" s="31" t="n">
        <v>20</v>
      </c>
      <c r="G55" s="31" t="n">
        <v>11</v>
      </c>
      <c r="H55" s="31" t="n">
        <v>6</v>
      </c>
      <c r="I55" s="31" t="inlineStr">
        <is>
          <t>TRIP</t>
        </is>
      </c>
      <c r="J55" s="32" t="n">
        <v>0.15</v>
      </c>
      <c r="K55" s="31" t="inlineStr">
        <is>
          <t>R</t>
        </is>
      </c>
      <c r="L55" s="31" t="inlineStr">
        <is>
          <t>Howrah</t>
        </is>
      </c>
      <c r="M55" s="33" t="inlineStr">
        <is>
          <t>5 km/h</t>
        </is>
      </c>
      <c r="N55" s="33" t="inlineStr">
        <is>
          <t>n/a</t>
        </is>
      </c>
      <c r="O55" s="31" t="inlineStr">
        <is>
          <t>-</t>
        </is>
      </c>
      <c r="P55" s="34" t="inlineStr">
        <is>
          <t>Trip mode</t>
        </is>
      </c>
    </row>
    <row r="56">
      <c r="A56" s="31" t="inlineStr">
        <is>
          <t>5 Jun</t>
        </is>
      </c>
      <c r="B56" s="31" t="inlineStr">
        <is>
          <t>43767</t>
        </is>
      </c>
      <c r="C56" s="31" t="inlineStr">
        <is>
          <t>Non-Valid</t>
        </is>
      </c>
      <c r="D56" s="31" t="inlineStr">
        <is>
          <t>17:21:42</t>
        </is>
      </c>
      <c r="E56" s="31" t="inlineStr">
        <is>
          <t>17:21:46</t>
        </is>
      </c>
      <c r="F56" s="31" t="n">
        <v>4</v>
      </c>
      <c r="G56" s="31" t="n">
        <v>3</v>
      </c>
      <c r="H56" s="31" t="n">
        <v>8</v>
      </c>
      <c r="I56" s="31" t="inlineStr">
        <is>
          <t>FS</t>
        </is>
      </c>
      <c r="J56" s="32" t="n">
        <v>0.45</v>
      </c>
      <c r="K56" s="31" t="inlineStr">
        <is>
          <t>N</t>
        </is>
      </c>
      <c r="L56" s="31" t="inlineStr">
        <is>
          <t>Howrah</t>
        </is>
      </c>
      <c r="M56" s="33" t="inlineStr">
        <is>
          <t>8 km/h</t>
        </is>
      </c>
      <c r="N56" s="33" t="inlineStr">
        <is>
          <t>n/a</t>
        </is>
      </c>
      <c r="O56" s="31" t="inlineStr">
        <is>
          <t>-</t>
        </is>
      </c>
      <c r="P56" s="33" t="inlineStr">
        <is>
          <t>-</t>
        </is>
      </c>
    </row>
    <row r="57">
      <c r="A57" s="31" t="inlineStr">
        <is>
          <t>5 Jun</t>
        </is>
      </c>
      <c r="B57" s="31" t="inlineStr">
        <is>
          <t>43767</t>
        </is>
      </c>
      <c r="C57" s="31" t="inlineStr">
        <is>
          <t>Non-Valid</t>
        </is>
      </c>
      <c r="D57" s="31" t="inlineStr">
        <is>
          <t>17:21:50</t>
        </is>
      </c>
      <c r="E57" s="31" t="inlineStr">
        <is>
          <t>17:22:14</t>
        </is>
      </c>
      <c r="F57" s="31" t="n">
        <v>24</v>
      </c>
      <c r="G57" s="31" t="n">
        <v>13</v>
      </c>
      <c r="H57" s="31" t="n">
        <v>0</v>
      </c>
      <c r="I57" s="31" t="inlineStr">
        <is>
          <t>FS</t>
        </is>
      </c>
      <c r="J57" s="32" t="n">
        <v>0.46</v>
      </c>
      <c r="K57" s="31" t="inlineStr">
        <is>
          <t>N</t>
        </is>
      </c>
      <c r="L57" s="31" t="inlineStr">
        <is>
          <t>Howrah</t>
        </is>
      </c>
      <c r="M57" s="33" t="inlineStr">
        <is>
          <t>0 km/h</t>
        </is>
      </c>
      <c r="N57" s="33" t="inlineStr">
        <is>
          <t>n/a</t>
        </is>
      </c>
      <c r="O57" s="31" t="inlineStr">
        <is>
          <t>-</t>
        </is>
      </c>
      <c r="P57" s="34" t="inlineStr">
        <is>
          <t>EB at 0-1 km/h</t>
        </is>
      </c>
    </row>
    <row r="58">
      <c r="A58" s="31" t="inlineStr">
        <is>
          <t>5 Jun</t>
        </is>
      </c>
      <c r="B58" s="31" t="inlineStr">
        <is>
          <t>39135</t>
        </is>
      </c>
      <c r="C58" s="31" t="inlineStr">
        <is>
          <t>Non-Valid</t>
        </is>
      </c>
      <c r="D58" s="31" t="inlineStr">
        <is>
          <t>21:19:06</t>
        </is>
      </c>
      <c r="E58" s="31" t="inlineStr">
        <is>
          <t>21:19:32</t>
        </is>
      </c>
      <c r="F58" s="31" t="n">
        <v>26</v>
      </c>
      <c r="G58" s="31" t="n">
        <v>3</v>
      </c>
      <c r="H58" s="31" t="n">
        <v>77</v>
      </c>
      <c r="I58" s="31" t="inlineStr">
        <is>
          <t>TRIP</t>
        </is>
      </c>
      <c r="J58" s="32" t="n">
        <v>98.11</v>
      </c>
      <c r="K58" s="31" t="inlineStr">
        <is>
          <t>N</t>
        </is>
      </c>
      <c r="L58" s="31" t="inlineStr">
        <is>
          <t>Talit</t>
        </is>
      </c>
      <c r="M58" s="33" t="inlineStr">
        <is>
          <t>77 km/h</t>
        </is>
      </c>
      <c r="N58" s="33" t="inlineStr">
        <is>
          <t>4529</t>
        </is>
      </c>
      <c r="O58" s="31" t="inlineStr">
        <is>
          <t>-</t>
        </is>
      </c>
      <c r="P58" s="34" t="inlineStr">
        <is>
          <t>Trip mode</t>
        </is>
      </c>
    </row>
    <row r="59">
      <c r="A59" s="31" t="inlineStr">
        <is>
          <t>6 Jun</t>
        </is>
      </c>
      <c r="B59" s="31" t="inlineStr">
        <is>
          <t>132073</t>
        </is>
      </c>
      <c r="C59" s="31" t="inlineStr">
        <is>
          <t>Non-Valid</t>
        </is>
      </c>
      <c r="D59" s="31" t="inlineStr">
        <is>
          <t>02:11:06</t>
        </is>
      </c>
      <c r="E59" s="31" t="inlineStr">
        <is>
          <t>02:11:12</t>
        </is>
      </c>
      <c r="F59" s="31" t="n">
        <v>6</v>
      </c>
      <c r="G59" s="31" t="n">
        <v>4</v>
      </c>
      <c r="H59" s="31" t="n">
        <v>13</v>
      </c>
      <c r="I59" s="31" t="inlineStr">
        <is>
          <t>FS</t>
        </is>
      </c>
      <c r="J59" s="32" t="n">
        <v>18.86</v>
      </c>
      <c r="K59" s="31" t="inlineStr">
        <is>
          <t>N</t>
        </is>
      </c>
      <c r="L59" s="31" t="inlineStr">
        <is>
          <t>Janai Road</t>
        </is>
      </c>
      <c r="M59" s="33" t="inlineStr">
        <is>
          <t>13 km/h</t>
        </is>
      </c>
      <c r="N59" s="33" t="inlineStr">
        <is>
          <t>2713</t>
        </is>
      </c>
      <c r="O59" s="31" t="inlineStr">
        <is>
          <t>-</t>
        </is>
      </c>
      <c r="P59" s="33" t="inlineStr">
        <is>
          <t>-</t>
        </is>
      </c>
    </row>
    <row r="60">
      <c r="A60" s="31" t="inlineStr">
        <is>
          <t>6 Jun</t>
        </is>
      </c>
      <c r="B60" s="31" t="inlineStr">
        <is>
          <t>132073</t>
        </is>
      </c>
      <c r="C60" s="31" t="inlineStr">
        <is>
          <t>Non-Valid</t>
        </is>
      </c>
      <c r="D60" s="31" t="inlineStr">
        <is>
          <t>02:11:56</t>
        </is>
      </c>
      <c r="E60" s="31" t="inlineStr">
        <is>
          <t>02:11:58</t>
        </is>
      </c>
      <c r="F60" s="31" t="n">
        <v>2</v>
      </c>
      <c r="G60" s="31" t="n">
        <v>2</v>
      </c>
      <c r="H60" s="31" t="n">
        <v>2</v>
      </c>
      <c r="I60" s="31" t="inlineStr">
        <is>
          <t>FS</t>
        </is>
      </c>
      <c r="J60" s="32" t="n">
        <v>18.87</v>
      </c>
      <c r="K60" s="31" t="inlineStr">
        <is>
          <t>N</t>
        </is>
      </c>
      <c r="L60" s="31" t="inlineStr">
        <is>
          <t>Janai Road</t>
        </is>
      </c>
      <c r="M60" s="33" t="inlineStr">
        <is>
          <t>2 km/h</t>
        </is>
      </c>
      <c r="N60" s="33" t="inlineStr">
        <is>
          <t>2713</t>
        </is>
      </c>
      <c r="O60" s="31" t="inlineStr">
        <is>
          <t>-</t>
        </is>
      </c>
      <c r="P60" s="33" t="inlineStr">
        <is>
          <t>-</t>
        </is>
      </c>
    </row>
    <row r="61">
      <c r="A61" s="31" t="inlineStr">
        <is>
          <t>6 Jun</t>
        </is>
      </c>
      <c r="B61" s="31" t="inlineStr">
        <is>
          <t>128519</t>
        </is>
      </c>
      <c r="C61" s="31" t="inlineStr">
        <is>
          <t>Non-Valid</t>
        </is>
      </c>
      <c r="D61" s="31" t="inlineStr">
        <is>
          <t>04:07:48</t>
        </is>
      </c>
      <c r="E61" s="31" t="inlineStr">
        <is>
          <t>04:07:54</t>
        </is>
      </c>
      <c r="F61" s="31" t="n">
        <v>6</v>
      </c>
      <c r="G61" s="31" t="n">
        <v>3</v>
      </c>
      <c r="H61" s="31" t="n">
        <v>14</v>
      </c>
      <c r="I61" s="31" t="inlineStr">
        <is>
          <t>FS</t>
        </is>
      </c>
      <c r="J61" s="32" t="n">
        <v>54.13</v>
      </c>
      <c r="K61" s="31" t="inlineStr">
        <is>
          <t>R</t>
        </is>
      </c>
      <c r="L61" s="31" t="inlineStr">
        <is>
          <t>LC-41</t>
        </is>
      </c>
      <c r="M61" s="33" t="inlineStr">
        <is>
          <t>14 km/h</t>
        </is>
      </c>
      <c r="N61" s="33" t="inlineStr">
        <is>
          <t>150</t>
        </is>
      </c>
      <c r="O61" s="31" t="inlineStr">
        <is>
          <t>-</t>
        </is>
      </c>
      <c r="P61" s="33" t="inlineStr">
        <is>
          <t>-</t>
        </is>
      </c>
    </row>
    <row r="62">
      <c r="A62" s="31" t="inlineStr">
        <is>
          <t>6 Jun</t>
        </is>
      </c>
      <c r="B62" s="31" t="inlineStr">
        <is>
          <t>30692</t>
        </is>
      </c>
      <c r="C62" s="31" t="inlineStr">
        <is>
          <t>Non-Valid</t>
        </is>
      </c>
      <c r="D62" s="31" t="inlineStr">
        <is>
          <t>05:45:14</t>
        </is>
      </c>
      <c r="E62" s="31" t="inlineStr">
        <is>
          <t>05:45:16</t>
        </is>
      </c>
      <c r="F62" s="31" t="n">
        <v>2</v>
      </c>
      <c r="G62" s="31" t="n">
        <v>2</v>
      </c>
      <c r="H62" s="31" t="n">
        <v>130</v>
      </c>
      <c r="I62" s="31" t="inlineStr">
        <is>
          <t>FS</t>
        </is>
      </c>
      <c r="J62" s="32" t="n">
        <v>61.06</v>
      </c>
      <c r="K62" s="31" t="inlineStr">
        <is>
          <t>R</t>
        </is>
      </c>
      <c r="L62" s="31" t="inlineStr">
        <is>
          <t>Jaugram</t>
        </is>
      </c>
      <c r="M62" s="33" t="inlineStr">
        <is>
          <t>130 km/h</t>
        </is>
      </c>
      <c r="N62" s="33" t="inlineStr">
        <is>
          <t>2205</t>
        </is>
      </c>
      <c r="O62" s="31" t="inlineStr">
        <is>
          <t>-</t>
        </is>
      </c>
      <c r="P62" s="33" t="inlineStr">
        <is>
          <t>-</t>
        </is>
      </c>
    </row>
    <row r="63">
      <c r="A63" s="31" t="inlineStr">
        <is>
          <t>6 Jun</t>
        </is>
      </c>
      <c r="B63" s="31" t="inlineStr">
        <is>
          <t>30084</t>
        </is>
      </c>
      <c r="C63" s="31" t="inlineStr">
        <is>
          <t>Non-Valid</t>
        </is>
      </c>
      <c r="D63" s="31" t="inlineStr">
        <is>
          <t>11:51:22</t>
        </is>
      </c>
      <c r="E63" s="31" t="inlineStr">
        <is>
          <t>11:51:58</t>
        </is>
      </c>
      <c r="F63" s="31" t="n">
        <v>36</v>
      </c>
      <c r="G63" s="31" t="n">
        <v>19</v>
      </c>
      <c r="H63" s="31" t="n">
        <v>60</v>
      </c>
      <c r="I63" s="31" t="inlineStr">
        <is>
          <t>FS</t>
        </is>
      </c>
      <c r="J63" s="32" t="n">
        <v>111.59</v>
      </c>
      <c r="K63" s="31" t="inlineStr">
        <is>
          <t>R</t>
        </is>
      </c>
      <c r="L63" s="31" t="inlineStr">
        <is>
          <t>Khana Link</t>
        </is>
      </c>
      <c r="M63" s="33" t="inlineStr">
        <is>
          <t>60 km/h</t>
        </is>
      </c>
      <c r="N63" s="33" t="inlineStr">
        <is>
          <t>n/a</t>
        </is>
      </c>
      <c r="O63" s="31" t="inlineStr">
        <is>
          <t>SOS</t>
        </is>
      </c>
      <c r="P63" s="34" t="inlineStr">
        <is>
          <t>Emergency: SOS</t>
        </is>
      </c>
    </row>
    <row r="64">
      <c r="A64" s="31" t="inlineStr">
        <is>
          <t>6 Jun</t>
        </is>
      </c>
      <c r="B64" s="31" t="inlineStr">
        <is>
          <t>30084</t>
        </is>
      </c>
      <c r="C64" s="31" t="inlineStr">
        <is>
          <t>Non-Valid</t>
        </is>
      </c>
      <c r="D64" s="31" t="inlineStr">
        <is>
          <t>11:58:28</t>
        </is>
      </c>
      <c r="E64" s="31" t="inlineStr">
        <is>
          <t>11:58:48</t>
        </is>
      </c>
      <c r="F64" s="31" t="n">
        <v>20</v>
      </c>
      <c r="G64" s="31" t="n">
        <v>9</v>
      </c>
      <c r="H64" s="31" t="n">
        <v>144</v>
      </c>
      <c r="I64" s="31" t="inlineStr">
        <is>
          <t>OS</t>
        </is>
      </c>
      <c r="J64" s="32" t="n">
        <v>113.81</v>
      </c>
      <c r="K64" s="31" t="inlineStr">
        <is>
          <t>R</t>
        </is>
      </c>
      <c r="L64" s="31" t="inlineStr">
        <is>
          <t>Khana Link</t>
        </is>
      </c>
      <c r="M64" s="33" t="inlineStr">
        <is>
          <t>125 km/h</t>
        </is>
      </c>
      <c r="N64" s="33" t="inlineStr">
        <is>
          <t>n/a</t>
        </is>
      </c>
      <c r="O64" s="31" t="inlineStr">
        <is>
          <t>-</t>
        </is>
      </c>
      <c r="P64" s="33" t="inlineStr">
        <is>
          <t>-</t>
        </is>
      </c>
    </row>
    <row r="65">
      <c r="A65" s="31" t="inlineStr">
        <is>
          <t>6 Jun</t>
        </is>
      </c>
      <c r="B65" s="31" t="inlineStr">
        <is>
          <t>30084</t>
        </is>
      </c>
      <c r="C65" s="31" t="inlineStr">
        <is>
          <t>Non-Valid</t>
        </is>
      </c>
      <c r="D65" s="31" t="inlineStr">
        <is>
          <t>11:59:18</t>
        </is>
      </c>
      <c r="E65" s="31" t="inlineStr">
        <is>
          <t>11:59:34</t>
        </is>
      </c>
      <c r="F65" s="31" t="n">
        <v>16</v>
      </c>
      <c r="G65" s="31" t="n">
        <v>9</v>
      </c>
      <c r="H65" s="31" t="n">
        <v>51</v>
      </c>
      <c r="I65" s="31" t="inlineStr">
        <is>
          <t>FS</t>
        </is>
      </c>
      <c r="J65" s="32" t="n">
        <v>112.34</v>
      </c>
      <c r="K65" s="31" t="inlineStr">
        <is>
          <t>R</t>
        </is>
      </c>
      <c r="L65" s="31" t="inlineStr">
        <is>
          <t>Khana Link</t>
        </is>
      </c>
      <c r="M65" s="33" t="inlineStr">
        <is>
          <t>51 km/h</t>
        </is>
      </c>
      <c r="N65" s="33" t="inlineStr">
        <is>
          <t>n/a</t>
        </is>
      </c>
      <c r="O65" s="31" t="inlineStr">
        <is>
          <t>-</t>
        </is>
      </c>
      <c r="P65" s="33" t="inlineStr">
        <is>
          <t>-</t>
        </is>
      </c>
    </row>
    <row r="66">
      <c r="A66" s="31" t="inlineStr">
        <is>
          <t>6 Jun</t>
        </is>
      </c>
      <c r="B66" s="31" t="inlineStr">
        <is>
          <t>30084</t>
        </is>
      </c>
      <c r="C66" s="31" t="inlineStr">
        <is>
          <t>Non-Valid</t>
        </is>
      </c>
      <c r="D66" s="31" t="inlineStr">
        <is>
          <t>12:02:52</t>
        </is>
      </c>
      <c r="E66" s="31" t="inlineStr">
        <is>
          <t>12:03:48</t>
        </is>
      </c>
      <c r="F66" s="31" t="n">
        <v>56</v>
      </c>
      <c r="G66" s="31" t="n">
        <v>27</v>
      </c>
      <c r="H66" s="31" t="n">
        <v>119</v>
      </c>
      <c r="I66" s="31" t="inlineStr">
        <is>
          <t>FS</t>
        </is>
      </c>
      <c r="J66" s="32" t="n">
        <v>111.47</v>
      </c>
      <c r="K66" s="31" t="inlineStr">
        <is>
          <t>R</t>
        </is>
      </c>
      <c r="L66" s="31" t="inlineStr">
        <is>
          <t>Khana Link</t>
        </is>
      </c>
      <c r="M66" s="33" t="inlineStr">
        <is>
          <t>110 km/h</t>
        </is>
      </c>
      <c r="N66" s="33" t="inlineStr">
        <is>
          <t>n/a</t>
        </is>
      </c>
      <c r="O66" s="31" t="inlineStr">
        <is>
          <t>-</t>
        </is>
      </c>
      <c r="P66" s="33" t="inlineStr">
        <is>
          <t>-</t>
        </is>
      </c>
    </row>
    <row r="67">
      <c r="A67" s="31" t="inlineStr">
        <is>
          <t>6 Jun</t>
        </is>
      </c>
      <c r="B67" s="31" t="inlineStr">
        <is>
          <t>30084</t>
        </is>
      </c>
      <c r="C67" s="31" t="inlineStr">
        <is>
          <t>Non-Valid</t>
        </is>
      </c>
      <c r="D67" s="31" t="inlineStr">
        <is>
          <t>12:06:00</t>
        </is>
      </c>
      <c r="E67" s="31" t="inlineStr">
        <is>
          <t>12:06:20</t>
        </is>
      </c>
      <c r="F67" s="31" t="n">
        <v>20</v>
      </c>
      <c r="G67" s="31" t="n">
        <v>10</v>
      </c>
      <c r="H67" s="31" t="n">
        <v>32</v>
      </c>
      <c r="I67" s="31" t="inlineStr">
        <is>
          <t>TRIP</t>
        </is>
      </c>
      <c r="J67" s="32" t="n">
        <v>110.39</v>
      </c>
      <c r="K67" s="31" t="inlineStr">
        <is>
          <t>R</t>
        </is>
      </c>
      <c r="L67" s="31" t="inlineStr">
        <is>
          <t>Khana Link</t>
        </is>
      </c>
      <c r="M67" s="33" t="inlineStr">
        <is>
          <t>14 km/h</t>
        </is>
      </c>
      <c r="N67" s="33" t="inlineStr">
        <is>
          <t>n/a</t>
        </is>
      </c>
      <c r="O67" s="31" t="inlineStr">
        <is>
          <t>-</t>
        </is>
      </c>
      <c r="P67" s="34" t="inlineStr">
        <is>
          <t>Trip mode</t>
        </is>
      </c>
    </row>
    <row r="68">
      <c r="A68" s="31" t="inlineStr">
        <is>
          <t>6 Jun</t>
        </is>
      </c>
      <c r="B68" s="31" t="inlineStr">
        <is>
          <t>30084</t>
        </is>
      </c>
      <c r="C68" s="31" t="inlineStr">
        <is>
          <t>Non-Valid</t>
        </is>
      </c>
      <c r="D68" s="31" t="inlineStr">
        <is>
          <t>12:22:14</t>
        </is>
      </c>
      <c r="E68" s="31" t="inlineStr">
        <is>
          <t>12:22:20</t>
        </is>
      </c>
      <c r="F68" s="31" t="n">
        <v>6</v>
      </c>
      <c r="G68" s="31" t="n">
        <v>4</v>
      </c>
      <c r="H68" s="31" t="n">
        <v>125</v>
      </c>
      <c r="I68" s="31" t="inlineStr">
        <is>
          <t>SR</t>
        </is>
      </c>
      <c r="J68" s="32" t="n">
        <v>111.91</v>
      </c>
      <c r="K68" s="31" t="inlineStr">
        <is>
          <t>R</t>
        </is>
      </c>
      <c r="L68" s="31" t="inlineStr">
        <is>
          <t>Khana Link</t>
        </is>
      </c>
      <c r="M68" s="33" t="inlineStr">
        <is>
          <t>125 km/h</t>
        </is>
      </c>
      <c r="N68" s="33" t="inlineStr">
        <is>
          <t>n/a</t>
        </is>
      </c>
      <c r="O68" s="31" t="inlineStr">
        <is>
          <t>-</t>
        </is>
      </c>
      <c r="P68" s="34" t="inlineStr">
        <is>
          <t>FS-&gt;SR degradation + EB</t>
        </is>
      </c>
    </row>
    <row r="69">
      <c r="A69" s="31" t="inlineStr">
        <is>
          <t>6 Jun</t>
        </is>
      </c>
      <c r="B69" s="31" t="inlineStr">
        <is>
          <t>30084</t>
        </is>
      </c>
      <c r="C69" s="31" t="inlineStr">
        <is>
          <t>Non-Valid</t>
        </is>
      </c>
      <c r="D69" s="31" t="inlineStr">
        <is>
          <t>12:22:48</t>
        </is>
      </c>
      <c r="E69" s="31" t="inlineStr">
        <is>
          <t>12:24:24</t>
        </is>
      </c>
      <c r="F69" s="31" t="n">
        <v>96</v>
      </c>
      <c r="G69" s="31" t="n">
        <v>49</v>
      </c>
      <c r="H69" s="31" t="n">
        <v>69</v>
      </c>
      <c r="I69" s="31" t="inlineStr">
        <is>
          <t>OS</t>
        </is>
      </c>
      <c r="J69" s="32" t="n">
        <v>111.07</v>
      </c>
      <c r="K69" s="31" t="inlineStr">
        <is>
          <t>R</t>
        </is>
      </c>
      <c r="L69" s="31" t="inlineStr">
        <is>
          <t>Khana Link</t>
        </is>
      </c>
      <c r="M69" s="33" t="inlineStr">
        <is>
          <t>69 km/h</t>
        </is>
      </c>
      <c r="N69" s="33" t="inlineStr">
        <is>
          <t>n/a</t>
        </is>
      </c>
      <c r="O69" s="31" t="inlineStr">
        <is>
          <t>-</t>
        </is>
      </c>
      <c r="P69" s="33" t="inlineStr">
        <is>
          <t>-</t>
        </is>
      </c>
    </row>
    <row r="70">
      <c r="A70" s="31" t="inlineStr">
        <is>
          <t>6 Jun</t>
        </is>
      </c>
      <c r="B70" s="31" t="inlineStr">
        <is>
          <t>30084</t>
        </is>
      </c>
      <c r="C70" s="31" t="inlineStr">
        <is>
          <t>Non-Valid</t>
        </is>
      </c>
      <c r="D70" s="31" t="inlineStr">
        <is>
          <t>12:24:46</t>
        </is>
      </c>
      <c r="E70" s="31" t="inlineStr">
        <is>
          <t>12:24:52</t>
        </is>
      </c>
      <c r="F70" s="31" t="n">
        <v>6</v>
      </c>
      <c r="G70" s="31" t="n">
        <v>4</v>
      </c>
      <c r="H70" s="31" t="n">
        <v>7</v>
      </c>
      <c r="I70" s="31" t="inlineStr">
        <is>
          <t>POSTTRIP</t>
        </is>
      </c>
      <c r="J70" s="32" t="n">
        <v>109.49</v>
      </c>
      <c r="K70" s="31" t="inlineStr">
        <is>
          <t>R</t>
        </is>
      </c>
      <c r="L70" s="31" t="inlineStr">
        <is>
          <t>Khana Jn</t>
        </is>
      </c>
      <c r="M70" s="33" t="inlineStr">
        <is>
          <t>1 km/h</t>
        </is>
      </c>
      <c r="N70" s="33" t="inlineStr">
        <is>
          <t>n/a</t>
        </is>
      </c>
      <c r="O70" s="31" t="inlineStr">
        <is>
          <t>-</t>
        </is>
      </c>
      <c r="P70" s="34" t="inlineStr">
        <is>
          <t>EB at 0-1 km/h</t>
        </is>
      </c>
    </row>
    <row r="71">
      <c r="A71" s="31" t="inlineStr">
        <is>
          <t>6 Jun</t>
        </is>
      </c>
      <c r="B71" s="31" t="inlineStr">
        <is>
          <t>30084</t>
        </is>
      </c>
      <c r="C71" s="31" t="inlineStr">
        <is>
          <t>Non-Valid</t>
        </is>
      </c>
      <c r="D71" s="31" t="inlineStr">
        <is>
          <t>12:25:08</t>
        </is>
      </c>
      <c r="E71" s="31" t="inlineStr">
        <is>
          <t>12:25:42</t>
        </is>
      </c>
      <c r="F71" s="31" t="n">
        <v>34</v>
      </c>
      <c r="G71" s="31" t="n">
        <v>17</v>
      </c>
      <c r="H71" s="31" t="n">
        <v>41</v>
      </c>
      <c r="I71" s="31" t="inlineStr">
        <is>
          <t>POSTTRIP</t>
        </is>
      </c>
      <c r="J71" s="32" t="n">
        <v>109.48</v>
      </c>
      <c r="K71" s="31" t="inlineStr">
        <is>
          <t>R</t>
        </is>
      </c>
      <c r="L71" s="31" t="inlineStr">
        <is>
          <t>Khana Jn</t>
        </is>
      </c>
      <c r="M71" s="33" t="inlineStr">
        <is>
          <t>7 km/h</t>
        </is>
      </c>
      <c r="N71" s="33" t="inlineStr">
        <is>
          <t>n/a</t>
        </is>
      </c>
      <c r="O71" s="31" t="inlineStr">
        <is>
          <t>-</t>
        </is>
      </c>
      <c r="P71" s="33" t="inlineStr">
        <is>
          <t>-</t>
        </is>
      </c>
    </row>
    <row r="72">
      <c r="A72" s="31" t="inlineStr">
        <is>
          <t>6 Jun</t>
        </is>
      </c>
      <c r="B72" s="31" t="inlineStr">
        <is>
          <t>30084</t>
        </is>
      </c>
      <c r="C72" s="31" t="inlineStr">
        <is>
          <t>Non-Valid</t>
        </is>
      </c>
      <c r="D72" s="31" t="inlineStr">
        <is>
          <t>12:30:00</t>
        </is>
      </c>
      <c r="E72" s="31" t="inlineStr">
        <is>
          <t>12:30:56</t>
        </is>
      </c>
      <c r="F72" s="31" t="n">
        <v>56</v>
      </c>
      <c r="G72" s="31" t="n">
        <v>29</v>
      </c>
      <c r="H72" s="31" t="n">
        <v>112</v>
      </c>
      <c r="I72" s="31" t="inlineStr">
        <is>
          <t>OS</t>
        </is>
      </c>
      <c r="J72" s="32" t="n">
        <v>111.47</v>
      </c>
      <c r="K72" s="31" t="inlineStr">
        <is>
          <t>R</t>
        </is>
      </c>
      <c r="L72" s="31" t="inlineStr">
        <is>
          <t>Khana Link</t>
        </is>
      </c>
      <c r="M72" s="33" t="inlineStr">
        <is>
          <t>93 km/h</t>
        </is>
      </c>
      <c r="N72" s="33" t="inlineStr">
        <is>
          <t>n/a</t>
        </is>
      </c>
      <c r="O72" s="31" t="inlineStr">
        <is>
          <t>-</t>
        </is>
      </c>
      <c r="P72" s="33" t="inlineStr">
        <is>
          <t>-</t>
        </is>
      </c>
    </row>
    <row r="73">
      <c r="A73" s="31" t="inlineStr">
        <is>
          <t>6 Jun</t>
        </is>
      </c>
      <c r="B73" s="31" t="inlineStr">
        <is>
          <t>30084</t>
        </is>
      </c>
      <c r="C73" s="31" t="inlineStr">
        <is>
          <t>Non-Valid</t>
        </is>
      </c>
      <c r="D73" s="31" t="inlineStr">
        <is>
          <t>12:31:20</t>
        </is>
      </c>
      <c r="E73" s="31" t="inlineStr">
        <is>
          <t>12:31:28</t>
        </is>
      </c>
      <c r="F73" s="31" t="n">
        <v>8</v>
      </c>
      <c r="G73" s="31" t="n">
        <v>5</v>
      </c>
      <c r="H73" s="31" t="n">
        <v>10</v>
      </c>
      <c r="I73" s="31" t="inlineStr">
        <is>
          <t>POSTTRIP</t>
        </is>
      </c>
      <c r="J73" s="32" t="n">
        <v>110.41</v>
      </c>
      <c r="K73" s="31" t="inlineStr">
        <is>
          <t>R</t>
        </is>
      </c>
      <c r="L73" s="31" t="inlineStr">
        <is>
          <t>Khana Link</t>
        </is>
      </c>
      <c r="M73" s="33" t="inlineStr">
        <is>
          <t>2 km/h</t>
        </is>
      </c>
      <c r="N73" s="33" t="inlineStr">
        <is>
          <t>n/a</t>
        </is>
      </c>
      <c r="O73" s="31" t="inlineStr">
        <is>
          <t>-</t>
        </is>
      </c>
      <c r="P73" s="33" t="inlineStr">
        <is>
          <t>-</t>
        </is>
      </c>
    </row>
    <row r="74">
      <c r="A74" s="31" t="inlineStr">
        <is>
          <t>6 Jun</t>
        </is>
      </c>
      <c r="B74" s="31" t="inlineStr">
        <is>
          <t>30084</t>
        </is>
      </c>
      <c r="C74" s="31" t="inlineStr">
        <is>
          <t>Non-Valid</t>
        </is>
      </c>
      <c r="D74" s="31" t="inlineStr">
        <is>
          <t>12:32:14</t>
        </is>
      </c>
      <c r="E74" s="31" t="inlineStr">
        <is>
          <t>12:32:14</t>
        </is>
      </c>
      <c r="F74" s="31" t="n">
        <v>0</v>
      </c>
      <c r="G74" s="31" t="n">
        <v>1</v>
      </c>
      <c r="H74" s="31" t="n">
        <v>4</v>
      </c>
      <c r="I74" s="31" t="inlineStr">
        <is>
          <t>POSTTRIP</t>
        </is>
      </c>
      <c r="J74" s="32" t="n">
        <v>110.39</v>
      </c>
      <c r="K74" s="31" t="inlineStr">
        <is>
          <t>R</t>
        </is>
      </c>
      <c r="L74" s="31" t="inlineStr">
        <is>
          <t>Khana Link</t>
        </is>
      </c>
      <c r="M74" s="33" t="inlineStr">
        <is>
          <t>4 km/h</t>
        </is>
      </c>
      <c r="N74" s="33" t="inlineStr">
        <is>
          <t>n/a</t>
        </is>
      </c>
      <c r="O74" s="31" t="inlineStr">
        <is>
          <t>-</t>
        </is>
      </c>
      <c r="P74" s="33" t="inlineStr">
        <is>
          <t>-</t>
        </is>
      </c>
    </row>
    <row r="75">
      <c r="A75" s="31" t="inlineStr">
        <is>
          <t>6 Jun</t>
        </is>
      </c>
      <c r="B75" s="31" t="inlineStr">
        <is>
          <t>30084</t>
        </is>
      </c>
      <c r="C75" s="31" t="inlineStr">
        <is>
          <t>Non-Valid</t>
        </is>
      </c>
      <c r="D75" s="31" t="inlineStr">
        <is>
          <t>12:32:34</t>
        </is>
      </c>
      <c r="E75" s="31" t="inlineStr">
        <is>
          <t>12:32:48</t>
        </is>
      </c>
      <c r="F75" s="31" t="n">
        <v>14</v>
      </c>
      <c r="G75" s="31" t="n">
        <v>8</v>
      </c>
      <c r="H75" s="31" t="n">
        <v>17</v>
      </c>
      <c r="I75" s="31" t="inlineStr">
        <is>
          <t>POSTTRIP</t>
        </is>
      </c>
      <c r="J75" s="32" t="n">
        <v>110.39</v>
      </c>
      <c r="K75" s="31" t="inlineStr">
        <is>
          <t>R</t>
        </is>
      </c>
      <c r="L75" s="31" t="inlineStr">
        <is>
          <t>Khana Link</t>
        </is>
      </c>
      <c r="M75" s="33" t="inlineStr">
        <is>
          <t>3 km/h</t>
        </is>
      </c>
      <c r="N75" s="33" t="inlineStr">
        <is>
          <t>n/a</t>
        </is>
      </c>
      <c r="O75" s="31" t="inlineStr">
        <is>
          <t>-</t>
        </is>
      </c>
      <c r="P75" s="33" t="inlineStr">
        <is>
          <t>-</t>
        </is>
      </c>
    </row>
    <row r="76">
      <c r="A76" s="31" t="inlineStr">
        <is>
          <t>6 Jun</t>
        </is>
      </c>
      <c r="B76" s="31" t="inlineStr">
        <is>
          <t>30084</t>
        </is>
      </c>
      <c r="C76" s="31" t="inlineStr">
        <is>
          <t>Non-Valid</t>
        </is>
      </c>
      <c r="D76" s="31" t="inlineStr">
        <is>
          <t>12:33:54</t>
        </is>
      </c>
      <c r="E76" s="31" t="inlineStr">
        <is>
          <t>12:35:00</t>
        </is>
      </c>
      <c r="F76" s="31" t="n">
        <v>66</v>
      </c>
      <c r="G76" s="31" t="n">
        <v>18</v>
      </c>
      <c r="H76" s="31" t="n">
        <v>111</v>
      </c>
      <c r="I76" s="31" t="inlineStr">
        <is>
          <t>TRIP</t>
        </is>
      </c>
      <c r="J76" s="32" t="n">
        <v>111.59</v>
      </c>
      <c r="K76" s="31" t="inlineStr">
        <is>
          <t>R</t>
        </is>
      </c>
      <c r="L76" s="31" t="inlineStr">
        <is>
          <t>Khana Link</t>
        </is>
      </c>
      <c r="M76" s="33" t="inlineStr">
        <is>
          <t>111 km/h</t>
        </is>
      </c>
      <c r="N76" s="33" t="inlineStr">
        <is>
          <t>n/a</t>
        </is>
      </c>
      <c r="O76" s="31" t="inlineStr">
        <is>
          <t>-</t>
        </is>
      </c>
      <c r="P76" s="34" t="inlineStr">
        <is>
          <t>Trip mode</t>
        </is>
      </c>
    </row>
    <row r="77">
      <c r="A77" s="31" t="inlineStr">
        <is>
          <t>6 Jun</t>
        </is>
      </c>
      <c r="B77" s="31" t="inlineStr">
        <is>
          <t>42487</t>
        </is>
      </c>
      <c r="C77" s="31" t="inlineStr">
        <is>
          <t>Non-Valid</t>
        </is>
      </c>
      <c r="D77" s="31" t="inlineStr">
        <is>
          <t>13:00:18</t>
        </is>
      </c>
      <c r="E77" s="31" t="inlineStr">
        <is>
          <t>13:00:22</t>
        </is>
      </c>
      <c r="F77" s="31" t="n">
        <v>4</v>
      </c>
      <c r="G77" s="31" t="n">
        <v>3</v>
      </c>
      <c r="H77" s="31" t="n">
        <v>3</v>
      </c>
      <c r="I77" s="31" t="inlineStr">
        <is>
          <t>FS</t>
        </is>
      </c>
      <c r="J77" s="32" t="n">
        <v>0.17</v>
      </c>
      <c r="K77" s="31" t="inlineStr">
        <is>
          <t>R</t>
        </is>
      </c>
      <c r="L77" s="31" t="inlineStr">
        <is>
          <t>Howrah</t>
        </is>
      </c>
      <c r="M77" s="33" t="inlineStr">
        <is>
          <t>3 km/h</t>
        </is>
      </c>
      <c r="N77" s="33" t="inlineStr">
        <is>
          <t>n/a</t>
        </is>
      </c>
      <c r="O77" s="31" t="inlineStr">
        <is>
          <t>-</t>
        </is>
      </c>
      <c r="P77" s="33" t="inlineStr">
        <is>
          <t>-</t>
        </is>
      </c>
    </row>
    <row r="78" ht="49" customHeight="1">
      <c r="A78" s="31" t="inlineStr">
        <is>
          <t>6 Jun</t>
        </is>
      </c>
      <c r="B78" s="31" t="inlineStr">
        <is>
          <t>42487</t>
        </is>
      </c>
      <c r="C78" s="31" t="inlineStr">
        <is>
          <t>Non-Valid</t>
        </is>
      </c>
      <c r="D78" s="31" t="inlineStr">
        <is>
          <t>13:00:52</t>
        </is>
      </c>
      <c r="E78" s="31" t="inlineStr">
        <is>
          <t>13:01:00</t>
        </is>
      </c>
      <c r="F78" s="31" t="n">
        <v>8</v>
      </c>
      <c r="G78" s="31" t="n">
        <v>5</v>
      </c>
      <c r="H78" s="31" t="n">
        <v>7</v>
      </c>
      <c r="I78" s="31" t="inlineStr">
        <is>
          <t>FS</t>
        </is>
      </c>
      <c r="J78" s="32" t="n">
        <v>0.16</v>
      </c>
      <c r="K78" s="31" t="inlineStr">
        <is>
          <t>R</t>
        </is>
      </c>
      <c r="L78" s="31" t="inlineStr">
        <is>
          <t>Howrah</t>
        </is>
      </c>
      <c r="M78" s="33" t="inlineStr">
        <is>
          <t>7 km/h
There was an abnormal speed fluctuation of 6 kmph (from 1 to 7 km/h). Possible suspect: PG issue.</t>
        </is>
      </c>
      <c r="N78" s="33" t="inlineStr">
        <is>
          <t>n/a</t>
        </is>
      </c>
      <c r="O78" s="31" t="inlineStr">
        <is>
          <t>-</t>
        </is>
      </c>
      <c r="P78" s="34" t="inlineStr">
        <is>
          <t>PG issue (speed fluctuation)</t>
        </is>
      </c>
    </row>
    <row r="79">
      <c r="A79" s="31" t="inlineStr">
        <is>
          <t>6 Jun</t>
        </is>
      </c>
      <c r="B79" s="31" t="inlineStr">
        <is>
          <t>42487</t>
        </is>
      </c>
      <c r="C79" s="31" t="inlineStr">
        <is>
          <t>Non-Valid</t>
        </is>
      </c>
      <c r="D79" s="31" t="inlineStr">
        <is>
          <t>13:10:04</t>
        </is>
      </c>
      <c r="E79" s="31" t="inlineStr">
        <is>
          <t>13:10:06</t>
        </is>
      </c>
      <c r="F79" s="31" t="n">
        <v>2</v>
      </c>
      <c r="G79" s="31" t="n">
        <v>2</v>
      </c>
      <c r="H79" s="31" t="n">
        <v>5</v>
      </c>
      <c r="I79" s="31" t="inlineStr">
        <is>
          <t>FS</t>
        </is>
      </c>
      <c r="J79" s="32" t="n">
        <v>0.45</v>
      </c>
      <c r="K79" s="31" t="inlineStr">
        <is>
          <t>N</t>
        </is>
      </c>
      <c r="L79" s="31" t="inlineStr">
        <is>
          <t>Howrah</t>
        </is>
      </c>
      <c r="M79" s="33" t="inlineStr">
        <is>
          <t>5 km/h</t>
        </is>
      </c>
      <c r="N79" s="33" t="inlineStr">
        <is>
          <t>n/a</t>
        </is>
      </c>
      <c r="O79" s="31" t="inlineStr">
        <is>
          <t>-</t>
        </is>
      </c>
      <c r="P79" s="33" t="inlineStr">
        <is>
          <t>-</t>
        </is>
      </c>
    </row>
    <row r="80">
      <c r="A80" s="31" t="inlineStr">
        <is>
          <t>6 Jun</t>
        </is>
      </c>
      <c r="B80" s="31" t="inlineStr">
        <is>
          <t>42487</t>
        </is>
      </c>
      <c r="C80" s="31" t="inlineStr">
        <is>
          <t>Non-Valid</t>
        </is>
      </c>
      <c r="D80" s="31" t="inlineStr">
        <is>
          <t>13:10:38</t>
        </is>
      </c>
      <c r="E80" s="31" t="inlineStr">
        <is>
          <t>13:10:58</t>
        </is>
      </c>
      <c r="F80" s="31" t="n">
        <v>20</v>
      </c>
      <c r="G80" s="31" t="n">
        <v>11</v>
      </c>
      <c r="H80" s="31" t="n">
        <v>3</v>
      </c>
      <c r="I80" s="31" t="inlineStr">
        <is>
          <t>FS</t>
        </is>
      </c>
      <c r="J80" s="32" t="n">
        <v>0.46</v>
      </c>
      <c r="K80" s="31" t="inlineStr">
        <is>
          <t>N</t>
        </is>
      </c>
      <c r="L80" s="31" t="inlineStr">
        <is>
          <t>Howrah</t>
        </is>
      </c>
      <c r="M80" s="33" t="inlineStr">
        <is>
          <t>3 km/h</t>
        </is>
      </c>
      <c r="N80" s="33" t="inlineStr">
        <is>
          <t>n/a</t>
        </is>
      </c>
      <c r="O80" s="31" t="inlineStr">
        <is>
          <t>-</t>
        </is>
      </c>
      <c r="P80" s="33" t="inlineStr">
        <is>
          <t>-</t>
        </is>
      </c>
    </row>
    <row r="81">
      <c r="A81" s="31" t="inlineStr">
        <is>
          <t>6 Jun</t>
        </is>
      </c>
      <c r="B81" s="31" t="inlineStr">
        <is>
          <t>37974</t>
        </is>
      </c>
      <c r="C81" s="31" t="inlineStr">
        <is>
          <t>Non-Valid</t>
        </is>
      </c>
      <c r="D81" s="31" t="inlineStr">
        <is>
          <t>19:14:28</t>
        </is>
      </c>
      <c r="E81" s="31" t="inlineStr">
        <is>
          <t>19:14:28</t>
        </is>
      </c>
      <c r="F81" s="31" t="n">
        <v>0</v>
      </c>
      <c r="G81" s="31" t="n">
        <v>1</v>
      </c>
      <c r="H81" s="31" t="n">
        <v>1</v>
      </c>
      <c r="I81" s="31" t="inlineStr">
        <is>
          <t>FS</t>
        </is>
      </c>
      <c r="J81" s="32" t="n">
        <v>0.73</v>
      </c>
      <c r="K81" s="31" t="inlineStr">
        <is>
          <t>N</t>
        </is>
      </c>
      <c r="L81" s="31" t="inlineStr">
        <is>
          <t>Howrah</t>
        </is>
      </c>
      <c r="M81" s="33" t="inlineStr">
        <is>
          <t>1 km/h</t>
        </is>
      </c>
      <c r="N81" s="33" t="inlineStr">
        <is>
          <t>n/a</t>
        </is>
      </c>
      <c r="O81" s="31" t="inlineStr">
        <is>
          <t>-</t>
        </is>
      </c>
      <c r="P81" s="34" t="inlineStr">
        <is>
          <t>EB at 0-1 km/h</t>
        </is>
      </c>
    </row>
    <row r="82">
      <c r="A82" s="31" t="inlineStr">
        <is>
          <t>6 Jun</t>
        </is>
      </c>
      <c r="B82" s="31" t="inlineStr">
        <is>
          <t>37974</t>
        </is>
      </c>
      <c r="C82" s="31" t="inlineStr">
        <is>
          <t>Non-Valid</t>
        </is>
      </c>
      <c r="D82" s="31" t="inlineStr">
        <is>
          <t>19:25:00</t>
        </is>
      </c>
      <c r="E82" s="31" t="inlineStr">
        <is>
          <t>19:25:04</t>
        </is>
      </c>
      <c r="F82" s="31" t="n">
        <v>4</v>
      </c>
      <c r="G82" s="31" t="n">
        <v>2</v>
      </c>
      <c r="H82" s="31" t="n">
        <v>2</v>
      </c>
      <c r="I82" s="31" t="inlineStr">
        <is>
          <t>FS</t>
        </is>
      </c>
      <c r="J82" s="32" t="n">
        <v>0.44</v>
      </c>
      <c r="K82" s="31" t="inlineStr">
        <is>
          <t>R</t>
        </is>
      </c>
      <c r="L82" s="31" t="inlineStr">
        <is>
          <t>Howrah</t>
        </is>
      </c>
      <c r="M82" s="33" t="inlineStr">
        <is>
          <t>2 km/h</t>
        </is>
      </c>
      <c r="N82" s="33" t="inlineStr">
        <is>
          <t>n/a</t>
        </is>
      </c>
      <c r="O82" s="31" t="inlineStr">
        <is>
          <t>-</t>
        </is>
      </c>
      <c r="P82" s="33" t="inlineStr">
        <is>
          <t>-</t>
        </is>
      </c>
    </row>
    <row r="83">
      <c r="A83" s="31" t="inlineStr">
        <is>
          <t>6 Jun</t>
        </is>
      </c>
      <c r="B83" s="31" t="inlineStr">
        <is>
          <t>37974</t>
        </is>
      </c>
      <c r="C83" s="31" t="inlineStr">
        <is>
          <t>Non-Valid</t>
        </is>
      </c>
      <c r="D83" s="31" t="inlineStr">
        <is>
          <t>19:25:12</t>
        </is>
      </c>
      <c r="E83" s="31" t="inlineStr">
        <is>
          <t>19:31:20</t>
        </is>
      </c>
      <c r="F83" s="31" t="n">
        <v>368</v>
      </c>
      <c r="G83" s="31" t="n">
        <v>91</v>
      </c>
      <c r="H83" s="31" t="n">
        <v>0</v>
      </c>
      <c r="I83" s="31" t="inlineStr">
        <is>
          <t>FS</t>
        </is>
      </c>
      <c r="J83" s="32" t="n">
        <v>0.44</v>
      </c>
      <c r="K83" s="31" t="inlineStr">
        <is>
          <t>R</t>
        </is>
      </c>
      <c r="L83" s="31" t="inlineStr">
        <is>
          <t>Howrah</t>
        </is>
      </c>
      <c r="M83" s="33" t="inlineStr">
        <is>
          <t>0 km/h</t>
        </is>
      </c>
      <c r="N83" s="33" t="inlineStr">
        <is>
          <t>n/a</t>
        </is>
      </c>
      <c r="O83" s="31" t="inlineStr">
        <is>
          <t>-</t>
        </is>
      </c>
      <c r="P83" s="34" t="inlineStr">
        <is>
          <t>EB at 0-1 km/h</t>
        </is>
      </c>
    </row>
    <row r="84">
      <c r="A84" s="31" t="inlineStr">
        <is>
          <t>6 Jun</t>
        </is>
      </c>
      <c r="B84" s="31" t="inlineStr">
        <is>
          <t>37974</t>
        </is>
      </c>
      <c r="C84" s="31" t="inlineStr">
        <is>
          <t>Non-Valid</t>
        </is>
      </c>
      <c r="D84" s="31" t="inlineStr">
        <is>
          <t>19:42:08</t>
        </is>
      </c>
      <c r="E84" s="31" t="inlineStr">
        <is>
          <t>19:42:16</t>
        </is>
      </c>
      <c r="F84" s="31" t="n">
        <v>8</v>
      </c>
      <c r="G84" s="31" t="n">
        <v>3</v>
      </c>
      <c r="H84" s="31" t="n">
        <v>0</v>
      </c>
      <c r="I84" s="31" t="inlineStr">
        <is>
          <t>TRIP</t>
        </is>
      </c>
      <c r="J84" s="32" t="n">
        <v>0.75</v>
      </c>
      <c r="K84" s="31" t="inlineStr">
        <is>
          <t>N</t>
        </is>
      </c>
      <c r="L84" s="31" t="inlineStr">
        <is>
          <t>Howrah</t>
        </is>
      </c>
      <c r="M84" s="33" t="inlineStr">
        <is>
          <t>0 km/h</t>
        </is>
      </c>
      <c r="N84" s="33" t="inlineStr">
        <is>
          <t>n/a</t>
        </is>
      </c>
      <c r="O84" s="31" t="inlineStr">
        <is>
          <t>-</t>
        </is>
      </c>
      <c r="P84" s="34" t="inlineStr">
        <is>
          <t>EB at 0-1 km/h; Trip mode</t>
        </is>
      </c>
    </row>
    <row r="85">
      <c r="A85" s="31" t="inlineStr">
        <is>
          <t>6 Jun</t>
        </is>
      </c>
      <c r="B85" s="31" t="inlineStr">
        <is>
          <t>37779</t>
        </is>
      </c>
      <c r="C85" s="31" t="inlineStr">
        <is>
          <t>Non-Valid</t>
        </is>
      </c>
      <c r="D85" s="31" t="inlineStr">
        <is>
          <t>22:54:26</t>
        </is>
      </c>
      <c r="E85" s="31" t="inlineStr">
        <is>
          <t>22:54:26</t>
        </is>
      </c>
      <c r="F85" s="31" t="n">
        <v>0</v>
      </c>
      <c r="G85" s="31" t="n">
        <v>1</v>
      </c>
      <c r="H85" s="31" t="n">
        <v>2</v>
      </c>
      <c r="I85" s="31" t="inlineStr">
        <is>
          <t>FS</t>
        </is>
      </c>
      <c r="J85" s="32" t="n">
        <v>0.73</v>
      </c>
      <c r="K85" s="31" t="inlineStr">
        <is>
          <t>N</t>
        </is>
      </c>
      <c r="L85" s="31" t="inlineStr">
        <is>
          <t>Howrah</t>
        </is>
      </c>
      <c r="M85" s="33" t="inlineStr">
        <is>
          <t>2 km/h</t>
        </is>
      </c>
      <c r="N85" s="33" t="inlineStr">
        <is>
          <t>n/a</t>
        </is>
      </c>
      <c r="O85" s="31" t="inlineStr">
        <is>
          <t>-</t>
        </is>
      </c>
      <c r="P85" s="33" t="inlineStr">
        <is>
          <t>-</t>
        </is>
      </c>
    </row>
    <row r="86">
      <c r="A86" s="31" t="inlineStr">
        <is>
          <t>6 Jun</t>
        </is>
      </c>
      <c r="B86" s="31" t="inlineStr">
        <is>
          <t>37779</t>
        </is>
      </c>
      <c r="C86" s="31" t="inlineStr">
        <is>
          <t>Non-Valid</t>
        </is>
      </c>
      <c r="D86" s="31" t="inlineStr">
        <is>
          <t>22:54:56</t>
        </is>
      </c>
      <c r="E86" s="31" t="inlineStr">
        <is>
          <t>22:54:58</t>
        </is>
      </c>
      <c r="F86" s="31" t="n">
        <v>2</v>
      </c>
      <c r="G86" s="31" t="n">
        <v>2</v>
      </c>
      <c r="H86" s="31" t="n">
        <v>2</v>
      </c>
      <c r="I86" s="31" t="inlineStr">
        <is>
          <t>TRIP</t>
        </is>
      </c>
      <c r="J86" s="32" t="n">
        <v>0.75</v>
      </c>
      <c r="K86" s="31" t="inlineStr">
        <is>
          <t>N</t>
        </is>
      </c>
      <c r="L86" s="31" t="inlineStr">
        <is>
          <t>Howrah</t>
        </is>
      </c>
      <c r="M86" s="33" t="inlineStr">
        <is>
          <t>2 km/h</t>
        </is>
      </c>
      <c r="N86" s="33" t="inlineStr">
        <is>
          <t>n/a</t>
        </is>
      </c>
      <c r="O86" s="31" t="inlineStr">
        <is>
          <t>-</t>
        </is>
      </c>
      <c r="P86" s="34" t="inlineStr">
        <is>
          <t>Trip mode</t>
        </is>
      </c>
    </row>
    <row r="87">
      <c r="A87" s="31" t="inlineStr">
        <is>
          <t>6 Jun</t>
        </is>
      </c>
      <c r="B87" s="31" t="inlineStr">
        <is>
          <t>39411</t>
        </is>
      </c>
      <c r="C87" s="31" t="inlineStr">
        <is>
          <t>Non-Valid</t>
        </is>
      </c>
      <c r="D87" s="31" t="inlineStr">
        <is>
          <t>23:58:16</t>
        </is>
      </c>
      <c r="E87" s="31" t="inlineStr">
        <is>
          <t>23:58:16</t>
        </is>
      </c>
      <c r="F87" s="31" t="n">
        <v>0</v>
      </c>
      <c r="G87" s="31" t="n">
        <v>1</v>
      </c>
      <c r="H87" s="31" t="n">
        <v>3</v>
      </c>
      <c r="I87" s="31" t="inlineStr">
        <is>
          <t>FS</t>
        </is>
      </c>
      <c r="J87" s="32" t="n">
        <v>0.73</v>
      </c>
      <c r="K87" s="31" t="inlineStr">
        <is>
          <t>N</t>
        </is>
      </c>
      <c r="L87" s="31" t="inlineStr">
        <is>
          <t>Howrah</t>
        </is>
      </c>
      <c r="M87" s="33" t="inlineStr">
        <is>
          <t>3 km/h</t>
        </is>
      </c>
      <c r="N87" s="33" t="inlineStr">
        <is>
          <t>n/a</t>
        </is>
      </c>
      <c r="O87" s="31" t="inlineStr">
        <is>
          <t>-</t>
        </is>
      </c>
      <c r="P87" s="33" t="inlineStr">
        <is>
          <t>-</t>
        </is>
      </c>
    </row>
    <row r="88">
      <c r="A88" s="31" t="inlineStr">
        <is>
          <t>6 Jun</t>
        </is>
      </c>
      <c r="B88" s="31" t="inlineStr">
        <is>
          <t>39411</t>
        </is>
      </c>
      <c r="C88" s="31" t="inlineStr">
        <is>
          <t>Non-Valid</t>
        </is>
      </c>
      <c r="D88" s="31" t="inlineStr">
        <is>
          <t>23:58:38</t>
        </is>
      </c>
      <c r="E88" s="31" t="inlineStr">
        <is>
          <t>23:58:38</t>
        </is>
      </c>
      <c r="F88" s="31" t="n">
        <v>0</v>
      </c>
      <c r="G88" s="31" t="n">
        <v>1</v>
      </c>
      <c r="H88" s="31" t="n">
        <v>2</v>
      </c>
      <c r="I88" s="31" t="inlineStr">
        <is>
          <t>FS</t>
        </is>
      </c>
      <c r="J88" s="32" t="n">
        <v>0.75</v>
      </c>
      <c r="K88" s="31" t="inlineStr">
        <is>
          <t>N</t>
        </is>
      </c>
      <c r="L88" s="31" t="inlineStr">
        <is>
          <t>Howrah</t>
        </is>
      </c>
      <c r="M88" s="33" t="inlineStr">
        <is>
          <t>2 km/h</t>
        </is>
      </c>
      <c r="N88" s="33" t="inlineStr">
        <is>
          <t>n/a</t>
        </is>
      </c>
      <c r="O88" s="31" t="inlineStr">
        <is>
          <t>-</t>
        </is>
      </c>
      <c r="P88" s="33" t="inlineStr">
        <is>
          <t>-</t>
        </is>
      </c>
    </row>
    <row r="89">
      <c r="A89" s="31" t="inlineStr">
        <is>
          <t>7 Jun</t>
        </is>
      </c>
      <c r="B89" s="31" t="inlineStr">
        <is>
          <t>30676</t>
        </is>
      </c>
      <c r="C89" s="31" t="inlineStr">
        <is>
          <t>Non-Valid</t>
        </is>
      </c>
      <c r="D89" s="31" t="inlineStr">
        <is>
          <t>00:09:04</t>
        </is>
      </c>
      <c r="E89" s="31" t="inlineStr">
        <is>
          <t>00:09:04</t>
        </is>
      </c>
      <c r="F89" s="31" t="n">
        <v>0</v>
      </c>
      <c r="G89" s="31" t="n">
        <v>1</v>
      </c>
      <c r="H89" s="31" t="n">
        <v>2</v>
      </c>
      <c r="I89" s="31" t="inlineStr">
        <is>
          <t>OS</t>
        </is>
      </c>
      <c r="J89" s="32" t="n">
        <v>0.16</v>
      </c>
      <c r="K89" s="31" t="inlineStr">
        <is>
          <t>R</t>
        </is>
      </c>
      <c r="L89" s="31" t="inlineStr">
        <is>
          <t>Howrah</t>
        </is>
      </c>
      <c r="M89" s="33" t="inlineStr">
        <is>
          <t>2 km/h</t>
        </is>
      </c>
      <c r="N89" s="33" t="inlineStr">
        <is>
          <t>n/a</t>
        </is>
      </c>
      <c r="O89" s="31" t="inlineStr">
        <is>
          <t>-</t>
        </is>
      </c>
      <c r="P89" s="33" t="inlineStr">
        <is>
          <t>-</t>
        </is>
      </c>
    </row>
    <row r="90">
      <c r="A90" s="31" t="inlineStr">
        <is>
          <t>7 Jun</t>
        </is>
      </c>
      <c r="B90" s="31" t="inlineStr">
        <is>
          <t>30676</t>
        </is>
      </c>
      <c r="C90" s="31" t="inlineStr">
        <is>
          <t>Non-Valid</t>
        </is>
      </c>
      <c r="D90" s="31" t="inlineStr">
        <is>
          <t>00:09:24</t>
        </is>
      </c>
      <c r="E90" s="31" t="inlineStr">
        <is>
          <t>00:09:28</t>
        </is>
      </c>
      <c r="F90" s="31" t="n">
        <v>4</v>
      </c>
      <c r="G90" s="31" t="n">
        <v>2</v>
      </c>
      <c r="H90" s="31" t="n">
        <v>2</v>
      </c>
      <c r="I90" s="31" t="inlineStr">
        <is>
          <t>OS</t>
        </is>
      </c>
      <c r="J90" s="32" t="n">
        <v>0.16</v>
      </c>
      <c r="K90" s="31" t="inlineStr">
        <is>
          <t>R</t>
        </is>
      </c>
      <c r="L90" s="31" t="inlineStr">
        <is>
          <t>Howrah</t>
        </is>
      </c>
      <c r="M90" s="33" t="inlineStr">
        <is>
          <t>2 km/h</t>
        </is>
      </c>
      <c r="N90" s="33" t="inlineStr">
        <is>
          <t>n/a</t>
        </is>
      </c>
      <c r="O90" s="31" t="inlineStr">
        <is>
          <t>-</t>
        </is>
      </c>
      <c r="P90" s="33" t="inlineStr">
        <is>
          <t>-</t>
        </is>
      </c>
    </row>
    <row r="91">
      <c r="A91" s="31" t="inlineStr">
        <is>
          <t>7 Jun</t>
        </is>
      </c>
      <c r="B91" s="31" t="inlineStr">
        <is>
          <t>30469</t>
        </is>
      </c>
      <c r="C91" s="31" t="inlineStr">
        <is>
          <t>Non-Valid</t>
        </is>
      </c>
      <c r="D91" s="31" t="inlineStr">
        <is>
          <t>00:20:46</t>
        </is>
      </c>
      <c r="E91" s="31" t="inlineStr">
        <is>
          <t>00:20:50</t>
        </is>
      </c>
      <c r="F91" s="31" t="n">
        <v>4</v>
      </c>
      <c r="G91" s="31" t="n">
        <v>3</v>
      </c>
      <c r="H91" s="31" t="n">
        <v>4</v>
      </c>
      <c r="I91" s="31" t="inlineStr">
        <is>
          <t>FS</t>
        </is>
      </c>
      <c r="J91" s="32" t="n">
        <v>14.99</v>
      </c>
      <c r="K91" s="31" t="inlineStr">
        <is>
          <t>N</t>
        </is>
      </c>
      <c r="L91" s="31" t="inlineStr">
        <is>
          <t>Dankuni</t>
        </is>
      </c>
      <c r="M91" s="33" t="inlineStr">
        <is>
          <t>4 km/h</t>
        </is>
      </c>
      <c r="N91" s="33" t="inlineStr">
        <is>
          <t>200</t>
        </is>
      </c>
      <c r="O91" s="31" t="inlineStr">
        <is>
          <t>-</t>
        </is>
      </c>
      <c r="P91" s="33" t="inlineStr">
        <is>
          <t>-</t>
        </is>
      </c>
    </row>
    <row r="92">
      <c r="A92" s="31" t="inlineStr">
        <is>
          <t>7 Jun</t>
        </is>
      </c>
      <c r="B92" s="31" t="inlineStr">
        <is>
          <t>30469</t>
        </is>
      </c>
      <c r="C92" s="31" t="inlineStr">
        <is>
          <t>Non-Valid</t>
        </is>
      </c>
      <c r="D92" s="31" t="inlineStr">
        <is>
          <t>00:24:22</t>
        </is>
      </c>
      <c r="E92" s="31" t="inlineStr">
        <is>
          <t>00:24:28</t>
        </is>
      </c>
      <c r="F92" s="31" t="n">
        <v>6</v>
      </c>
      <c r="G92" s="31" t="n">
        <v>4</v>
      </c>
      <c r="H92" s="31" t="n">
        <v>1</v>
      </c>
      <c r="I92" s="31" t="inlineStr">
        <is>
          <t>StandBy</t>
        </is>
      </c>
      <c r="J92" s="32" t="n">
        <v>14.99</v>
      </c>
      <c r="K92" s="31" t="inlineStr">
        <is>
          <t>N</t>
        </is>
      </c>
      <c r="L92" s="31" t="inlineStr">
        <is>
          <t>Dankuni</t>
        </is>
      </c>
      <c r="M92" s="33" t="inlineStr">
        <is>
          <t>1 km/h</t>
        </is>
      </c>
      <c r="N92" s="33" t="inlineStr">
        <is>
          <t>1613</t>
        </is>
      </c>
      <c r="O92" s="31" t="inlineStr">
        <is>
          <t>-</t>
        </is>
      </c>
      <c r="P92" s="34" t="inlineStr">
        <is>
          <t>EB at 0-1 km/h (Standby)</t>
        </is>
      </c>
    </row>
    <row r="93">
      <c r="A93" s="16" t="inlineStr">
        <is>
          <t>7 Jun</t>
        </is>
      </c>
      <c r="B93" s="16" t="inlineStr">
        <is>
          <t>37034</t>
        </is>
      </c>
      <c r="C93" s="16" t="inlineStr">
        <is>
          <t>Valid</t>
        </is>
      </c>
      <c r="D93" s="16" t="inlineStr">
        <is>
          <t>03:57:26</t>
        </is>
      </c>
      <c r="E93" s="16" t="inlineStr">
        <is>
          <t>03:57:42</t>
        </is>
      </c>
      <c r="F93" s="16" t="n">
        <v>16</v>
      </c>
      <c r="G93" s="16" t="n">
        <v>9</v>
      </c>
      <c r="H93" s="16" t="n">
        <v>51</v>
      </c>
      <c r="I93" s="16" t="inlineStr">
        <is>
          <t>Failure</t>
        </is>
      </c>
      <c r="J93" s="35" t="n">
        <v>141.05</v>
      </c>
      <c r="K93" s="16" t="inlineStr">
        <is>
          <t>R</t>
        </is>
      </c>
      <c r="L93" s="16" t="inlineStr">
        <is>
          <t>Panagarh</t>
        </is>
      </c>
      <c r="M93" s="36" t="inlineStr">
        <is>
          <t>51 km/h</t>
        </is>
      </c>
      <c r="N93" s="36" t="inlineStr">
        <is>
          <t>3976</t>
        </is>
      </c>
      <c r="O93" s="16" t="inlineStr">
        <is>
          <t>-</t>
        </is>
      </c>
      <c r="P93" s="34" t="inlineStr">
        <is>
          <t>Failure mode</t>
        </is>
      </c>
    </row>
    <row r="94">
      <c r="A94" s="31" t="inlineStr">
        <is>
          <t>7 Jun</t>
        </is>
      </c>
      <c r="B94" s="31" t="inlineStr">
        <is>
          <t>30203</t>
        </is>
      </c>
      <c r="C94" s="31" t="inlineStr">
        <is>
          <t>Non-Valid</t>
        </is>
      </c>
      <c r="D94" s="31" t="inlineStr">
        <is>
          <t>08:23:16</t>
        </is>
      </c>
      <c r="E94" s="31" t="inlineStr">
        <is>
          <t>08:23:22</t>
        </is>
      </c>
      <c r="F94" s="31" t="n">
        <v>6</v>
      </c>
      <c r="G94" s="31" t="n">
        <v>4</v>
      </c>
      <c r="H94" s="31" t="n">
        <v>4</v>
      </c>
      <c r="I94" s="31" t="inlineStr">
        <is>
          <t>FS</t>
        </is>
      </c>
      <c r="J94" s="32" t="n">
        <v>57.85</v>
      </c>
      <c r="K94" s="31" t="inlineStr">
        <is>
          <t>N</t>
        </is>
      </c>
      <c r="L94" s="31" t="inlineStr">
        <is>
          <t>Gurap</t>
        </is>
      </c>
      <c r="M94" s="33" t="inlineStr">
        <is>
          <t>4 km/h</t>
        </is>
      </c>
      <c r="N94" s="33" t="inlineStr">
        <is>
          <t>150</t>
        </is>
      </c>
      <c r="O94" s="31" t="inlineStr">
        <is>
          <t>-</t>
        </is>
      </c>
      <c r="P94" s="33" t="inlineStr">
        <is>
          <t>-</t>
        </is>
      </c>
    </row>
    <row r="95">
      <c r="A95" s="31" t="inlineStr">
        <is>
          <t>7 Jun</t>
        </is>
      </c>
      <c r="B95" s="31" t="inlineStr">
        <is>
          <t>37860</t>
        </is>
      </c>
      <c r="C95" s="31" t="inlineStr">
        <is>
          <t>Non-Valid</t>
        </is>
      </c>
      <c r="D95" s="31" t="inlineStr">
        <is>
          <t>09:18:50</t>
        </is>
      </c>
      <c r="E95" s="31" t="inlineStr">
        <is>
          <t>09:18:54</t>
        </is>
      </c>
      <c r="F95" s="31" t="n">
        <v>4</v>
      </c>
      <c r="G95" s="31" t="n">
        <v>3</v>
      </c>
      <c r="H95" s="31" t="n">
        <v>4</v>
      </c>
      <c r="I95" s="31" t="inlineStr">
        <is>
          <t>FS</t>
        </is>
      </c>
      <c r="J95" s="32" t="n">
        <v>0.06</v>
      </c>
      <c r="K95" s="31" t="inlineStr">
        <is>
          <t>R</t>
        </is>
      </c>
      <c r="L95" s="31" t="inlineStr">
        <is>
          <t>Howrah</t>
        </is>
      </c>
      <c r="M95" s="33" t="inlineStr">
        <is>
          <t>4 km/h</t>
        </is>
      </c>
      <c r="N95" s="33" t="inlineStr">
        <is>
          <t>384</t>
        </is>
      </c>
      <c r="O95" s="31" t="inlineStr">
        <is>
          <t>-</t>
        </is>
      </c>
      <c r="P95" s="33" t="inlineStr">
        <is>
          <t>-</t>
        </is>
      </c>
    </row>
    <row r="96" ht="49" customHeight="1">
      <c r="A96" s="31" t="inlineStr">
        <is>
          <t>7 Jun</t>
        </is>
      </c>
      <c r="B96" s="31" t="inlineStr">
        <is>
          <t>37860</t>
        </is>
      </c>
      <c r="C96" s="31" t="inlineStr">
        <is>
          <t>Non-Valid</t>
        </is>
      </c>
      <c r="D96" s="31" t="inlineStr">
        <is>
          <t>20:46:32</t>
        </is>
      </c>
      <c r="E96" s="31" t="inlineStr">
        <is>
          <t>20:46:34</t>
        </is>
      </c>
      <c r="F96" s="31" t="n">
        <v>2</v>
      </c>
      <c r="G96" s="31" t="n">
        <v>2</v>
      </c>
      <c r="H96" s="31" t="n">
        <v>121</v>
      </c>
      <c r="I96" s="31" t="inlineStr">
        <is>
          <t>FS</t>
        </is>
      </c>
      <c r="J96" s="32" t="n">
        <v>62.53</v>
      </c>
      <c r="K96" s="31" t="inlineStr">
        <is>
          <t>N</t>
        </is>
      </c>
      <c r="L96" s="31" t="inlineStr">
        <is>
          <t>Jaugram</t>
        </is>
      </c>
      <c r="M96" s="33" t="inlineStr">
        <is>
          <t>121 km/h</t>
        </is>
      </c>
      <c r="N96" s="33" t="inlineStr">
        <is>
          <t>1221
MA dropped from 4960 to 1221.</t>
        </is>
      </c>
      <c r="O96" s="31" t="inlineStr">
        <is>
          <t>-</t>
        </is>
      </c>
      <c r="P96" s="34" t="inlineStr">
        <is>
          <t>Sudden MA drop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60)</t>
        </is>
      </c>
      <c r="M4" s="14" t="inlineStr">
        <is>
          <t>Stations Not Passed (if &lt; full trip)</t>
        </is>
      </c>
    </row>
    <row r="5">
      <c r="A5" s="16" t="inlineStr">
        <is>
          <t>1 Jun</t>
        </is>
      </c>
      <c r="B5" s="16" t="inlineStr">
        <is>
          <t>37585</t>
        </is>
      </c>
      <c r="C5" s="16" t="n">
        <v>12680</v>
      </c>
      <c r="D5" s="16" t="n">
        <v>12600</v>
      </c>
      <c r="E5" s="16" t="n">
        <v>12594</v>
      </c>
      <c r="F5" s="38" t="n">
        <v>621</v>
      </c>
      <c r="G5" s="38" t="n">
        <v>244536</v>
      </c>
      <c r="H5" s="38" t="n">
        <v>621</v>
      </c>
      <c r="I5" s="38" t="n">
        <v>244368</v>
      </c>
      <c r="J5" s="19">
        <f>(I5-H5)/1000</f>
        <v/>
      </c>
      <c r="K5" s="16" t="inlineStr">
        <is>
          <t>Yes</t>
        </is>
      </c>
      <c r="L5" s="16" t="n">
        <v>60</v>
      </c>
      <c r="M5" s="39" t="inlineStr">
        <is>
          <t>- (full trip)</t>
        </is>
      </c>
    </row>
    <row r="6">
      <c r="A6" s="16" t="inlineStr">
        <is>
          <t>1 Jun</t>
        </is>
      </c>
      <c r="B6" s="16" t="inlineStr">
        <is>
          <t>39411</t>
        </is>
      </c>
      <c r="C6" s="16" t="n">
        <v>8711</v>
      </c>
      <c r="D6" s="16" t="n">
        <v>8683</v>
      </c>
      <c r="E6" s="16" t="n">
        <v>8674</v>
      </c>
      <c r="F6" s="38" t="n">
        <v>688</v>
      </c>
      <c r="G6" s="38" t="n">
        <v>244613</v>
      </c>
      <c r="H6" s="38" t="n">
        <v>688</v>
      </c>
      <c r="I6" s="38" t="n">
        <v>244336</v>
      </c>
      <c r="J6" s="19">
        <f>(I6-H6)/1000</f>
        <v/>
      </c>
      <c r="K6" s="16" t="inlineStr">
        <is>
          <t>Yes</t>
        </is>
      </c>
      <c r="L6" s="16" t="n">
        <v>60</v>
      </c>
      <c r="M6" s="39" t="inlineStr">
        <is>
          <t>- (full trip)</t>
        </is>
      </c>
    </row>
    <row r="7">
      <c r="A7" s="16" t="inlineStr">
        <is>
          <t>1 Jun</t>
        </is>
      </c>
      <c r="B7" s="16" t="inlineStr">
        <is>
          <t>37042</t>
        </is>
      </c>
      <c r="C7" s="16" t="n">
        <v>9910</v>
      </c>
      <c r="D7" s="16" t="n">
        <v>9892</v>
      </c>
      <c r="E7" s="16" t="n">
        <v>9883</v>
      </c>
      <c r="F7" s="38" t="n">
        <v>738</v>
      </c>
      <c r="G7" s="38" t="n">
        <v>244616</v>
      </c>
      <c r="H7" s="38" t="n">
        <v>738</v>
      </c>
      <c r="I7" s="38" t="n">
        <v>244352</v>
      </c>
      <c r="J7" s="19">
        <f>(I7-H7)/1000</f>
        <v/>
      </c>
      <c r="K7" s="16" t="inlineStr">
        <is>
          <t>Yes</t>
        </is>
      </c>
      <c r="L7" s="16" t="n">
        <v>60</v>
      </c>
      <c r="M7" s="39" t="inlineStr">
        <is>
          <t>- (full trip)</t>
        </is>
      </c>
    </row>
    <row r="8">
      <c r="A8" s="16" t="inlineStr">
        <is>
          <t>1 Jun</t>
        </is>
      </c>
      <c r="B8" s="16" t="inlineStr">
        <is>
          <t>37609</t>
        </is>
      </c>
      <c r="C8" s="16" t="n">
        <v>8527</v>
      </c>
      <c r="D8" s="16" t="n">
        <v>8516</v>
      </c>
      <c r="E8" s="16" t="n">
        <v>8509</v>
      </c>
      <c r="F8" s="38" t="n">
        <v>12113</v>
      </c>
      <c r="G8" s="38" t="n">
        <v>244574</v>
      </c>
      <c r="H8" s="38" t="n">
        <v>12113</v>
      </c>
      <c r="I8" s="38" t="n">
        <v>244366</v>
      </c>
      <c r="J8" s="19">
        <f>(I8-H8)/1000</f>
        <v/>
      </c>
      <c r="K8" s="16" t="inlineStr">
        <is>
          <t>Yes</t>
        </is>
      </c>
      <c r="L8" s="16" t="n">
        <v>55</v>
      </c>
      <c r="M8" s="39" t="inlineStr">
        <is>
          <t>Howrah, Howrah Sorting Yard, Liluah, Belur, Bally</t>
        </is>
      </c>
    </row>
    <row r="9">
      <c r="A9" s="16" t="inlineStr">
        <is>
          <t>1 Jun</t>
        </is>
      </c>
      <c r="B9" s="16" t="inlineStr">
        <is>
          <t>30487</t>
        </is>
      </c>
      <c r="C9" s="16" t="n">
        <v>11739</v>
      </c>
      <c r="D9" s="16" t="n">
        <v>11718</v>
      </c>
      <c r="E9" s="16" t="n">
        <v>11710</v>
      </c>
      <c r="F9" s="38" t="n">
        <v>12120</v>
      </c>
      <c r="G9" s="38" t="n">
        <v>244605</v>
      </c>
      <c r="H9" s="38" t="n">
        <v>12120</v>
      </c>
      <c r="I9" s="38" t="n">
        <v>244356</v>
      </c>
      <c r="J9" s="19">
        <f>(I9-H9)/1000</f>
        <v/>
      </c>
      <c r="K9" s="16" t="inlineStr">
        <is>
          <t>Yes</t>
        </is>
      </c>
      <c r="L9" s="16" t="n">
        <v>55</v>
      </c>
      <c r="M9" s="39" t="inlineStr">
        <is>
          <t>Howrah, Howrah Sorting Yard, Liluah, Belur, Bally</t>
        </is>
      </c>
    </row>
    <row r="10">
      <c r="A10" s="16" t="inlineStr">
        <is>
          <t>1 Jun</t>
        </is>
      </c>
      <c r="B10" s="16" t="inlineStr">
        <is>
          <t>39111</t>
        </is>
      </c>
      <c r="C10" s="16" t="n">
        <v>9102</v>
      </c>
      <c r="D10" s="16" t="n">
        <v>9097</v>
      </c>
      <c r="E10" s="16" t="n">
        <v>9087</v>
      </c>
      <c r="F10" s="38" t="n">
        <v>12400</v>
      </c>
      <c r="G10" s="38" t="n">
        <v>244621</v>
      </c>
      <c r="H10" s="38" t="n">
        <v>12400</v>
      </c>
      <c r="I10" s="38" t="n">
        <v>244365</v>
      </c>
      <c r="J10" s="19">
        <f>(I10-H10)/1000</f>
        <v/>
      </c>
      <c r="K10" s="16" t="inlineStr">
        <is>
          <t>Yes</t>
        </is>
      </c>
      <c r="L10" s="16" t="n">
        <v>55</v>
      </c>
      <c r="M10" s="39" t="inlineStr">
        <is>
          <t>Howrah, Howrah Sorting Yard, Liluah, Belur, Bally</t>
        </is>
      </c>
    </row>
    <row r="11" ht="34" customHeight="1">
      <c r="A11" s="16" t="inlineStr">
        <is>
          <t>1 Jun</t>
        </is>
      </c>
      <c r="B11" s="16" t="inlineStr">
        <is>
          <t>37168</t>
        </is>
      </c>
      <c r="C11" s="16" t="n">
        <v>8648</v>
      </c>
      <c r="D11" s="16" t="n">
        <v>8620</v>
      </c>
      <c r="E11" s="16" t="n">
        <v>8620</v>
      </c>
      <c r="F11" s="38" t="n">
        <v>350</v>
      </c>
      <c r="G11" s="38" t="n">
        <v>200084</v>
      </c>
      <c r="H11" s="38" t="n">
        <v>350</v>
      </c>
      <c r="I11" s="38" t="n">
        <v>200084</v>
      </c>
      <c r="J11" s="19">
        <f>(I11-H11)/1000</f>
        <v/>
      </c>
      <c r="K11" s="16" t="inlineStr">
        <is>
          <t>Yes</t>
        </is>
      </c>
      <c r="L11" s="16" t="n">
        <v>50</v>
      </c>
      <c r="M11" s="39" t="inlineStr">
        <is>
          <t>Barachak Jn, Sitarampur Central, Kulti, Barakar, Kumardubi, Mugma, Thaparnagar, Kalubathan, Chhota Ambana</t>
        </is>
      </c>
    </row>
    <row r="12" ht="34" customHeight="1">
      <c r="A12" s="16" t="inlineStr">
        <is>
          <t>1 Jun</t>
        </is>
      </c>
      <c r="B12" s="16" t="inlineStr">
        <is>
          <t>37481</t>
        </is>
      </c>
      <c r="C12" s="16" t="n">
        <v>4783</v>
      </c>
      <c r="D12" s="16" t="n">
        <v>4759</v>
      </c>
      <c r="E12" s="16" t="n">
        <v>4759</v>
      </c>
      <c r="F12" s="38" t="n">
        <v>690</v>
      </c>
      <c r="G12" s="38" t="n">
        <v>200088</v>
      </c>
      <c r="H12" s="38" t="n">
        <v>690</v>
      </c>
      <c r="I12" s="38" t="n">
        <v>200088</v>
      </c>
      <c r="J12" s="19">
        <f>(I12-H12)/1000</f>
        <v/>
      </c>
      <c r="K12" s="16" t="inlineStr">
        <is>
          <t>Yes</t>
        </is>
      </c>
      <c r="L12" s="16" t="n">
        <v>50</v>
      </c>
      <c r="M12" s="39" t="inlineStr">
        <is>
          <t>Barachak Jn, Sitarampur Central, Kulti, Barakar, Kumardubi, Mugma, Thaparnagar, Kalubathan, Chhota Ambana</t>
        </is>
      </c>
    </row>
    <row r="13" ht="34" customHeight="1">
      <c r="A13" s="16" t="inlineStr">
        <is>
          <t>1 Jun</t>
        </is>
      </c>
      <c r="B13" s="16" t="inlineStr">
        <is>
          <t>39409</t>
        </is>
      </c>
      <c r="C13" s="16" t="n">
        <v>8492</v>
      </c>
      <c r="D13" s="16" t="n">
        <v>8469</v>
      </c>
      <c r="E13" s="16" t="n">
        <v>8469</v>
      </c>
      <c r="F13" s="38" t="n">
        <v>688</v>
      </c>
      <c r="G13" s="38" t="n">
        <v>200088</v>
      </c>
      <c r="H13" s="38" t="n">
        <v>688</v>
      </c>
      <c r="I13" s="38" t="n">
        <v>200088</v>
      </c>
      <c r="J13" s="19">
        <f>(I13-H13)/1000</f>
        <v/>
      </c>
      <c r="K13" s="16" t="inlineStr">
        <is>
          <t>Yes</t>
        </is>
      </c>
      <c r="L13" s="16" t="n">
        <v>50</v>
      </c>
      <c r="M13" s="39" t="inlineStr">
        <is>
          <t>Barachak Jn, Sitarampur Central, Kulti, Barakar, Kumardubi, Mugma, Thaparnagar, Kalubathan, Chhota Ambana</t>
        </is>
      </c>
    </row>
    <row r="14" ht="34" customHeight="1">
      <c r="A14" s="16" t="inlineStr">
        <is>
          <t>1 Jun</t>
        </is>
      </c>
      <c r="B14" s="16" t="inlineStr">
        <is>
          <t>39195</t>
        </is>
      </c>
      <c r="C14" s="16" t="n">
        <v>9257</v>
      </c>
      <c r="D14" s="16" t="n">
        <v>9252</v>
      </c>
      <c r="E14" s="16" t="n">
        <v>9115</v>
      </c>
      <c r="F14" s="38" t="n">
        <v>39</v>
      </c>
      <c r="G14" s="38" t="n">
        <v>199520</v>
      </c>
      <c r="H14" s="38" t="n">
        <v>342</v>
      </c>
      <c r="I14" s="38" t="n">
        <v>199520</v>
      </c>
      <c r="J14" s="19">
        <f>(I14-H14)/1000</f>
        <v/>
      </c>
      <c r="K14" s="16" t="inlineStr">
        <is>
          <t>Yes</t>
        </is>
      </c>
      <c r="L14" s="16" t="n">
        <v>50</v>
      </c>
      <c r="M14" s="39" t="inlineStr">
        <is>
          <t>Barachak Jn, Sitarampur Central, Kulti, Barakar, Kumardubi, Mugma, Thaparnagar, Kalubathan, Chhota Ambana</t>
        </is>
      </c>
    </row>
    <row r="15" ht="34" customHeight="1">
      <c r="A15" s="16" t="inlineStr">
        <is>
          <t>1 Jun</t>
        </is>
      </c>
      <c r="B15" s="16" t="inlineStr">
        <is>
          <t>30370</t>
        </is>
      </c>
      <c r="C15" s="16" t="n">
        <v>8918</v>
      </c>
      <c r="D15" s="16" t="n">
        <v>8906</v>
      </c>
      <c r="E15" s="16" t="n">
        <v>8906</v>
      </c>
      <c r="F15" s="38" t="n">
        <v>688</v>
      </c>
      <c r="G15" s="38" t="n">
        <v>199274</v>
      </c>
      <c r="H15" s="38" t="n">
        <v>688</v>
      </c>
      <c r="I15" s="38" t="n">
        <v>199274</v>
      </c>
      <c r="J15" s="19">
        <f>(I15-H15)/1000</f>
        <v/>
      </c>
      <c r="K15" s="16" t="inlineStr">
        <is>
          <t>Yes</t>
        </is>
      </c>
      <c r="L15" s="16" t="n">
        <v>50</v>
      </c>
      <c r="M15" s="39" t="inlineStr">
        <is>
          <t>Barachak Jn, Sitarampur Central, Kulti, Barakar, Kumardubi, Mugma, Thaparnagar, Kalubathan, Chhota Ambana</t>
        </is>
      </c>
    </row>
    <row r="16" ht="49" customHeight="1">
      <c r="A16" s="16" t="inlineStr">
        <is>
          <t>1 Jun</t>
        </is>
      </c>
      <c r="B16" s="16" t="inlineStr">
        <is>
          <t>37894</t>
        </is>
      </c>
      <c r="C16" s="16" t="n">
        <v>6272</v>
      </c>
      <c r="D16" s="16" t="n">
        <v>6243</v>
      </c>
      <c r="E16" s="16" t="n">
        <v>6243</v>
      </c>
      <c r="F16" s="38" t="n">
        <v>350</v>
      </c>
      <c r="G16" s="38" t="n">
        <v>174974</v>
      </c>
      <c r="H16" s="38" t="n">
        <v>350</v>
      </c>
      <c r="I16" s="38" t="n">
        <v>174974</v>
      </c>
      <c r="J16" s="19">
        <f>(I16-H16)/1000</f>
        <v/>
      </c>
      <c r="K16" s="16" t="inlineStr">
        <is>
          <t>Yes</t>
        </is>
      </c>
      <c r="L16" s="16" t="n">
        <v>44</v>
      </c>
      <c r="M16" s="39" t="inlineStr">
        <is>
          <t>Baktarnagar B H, Raniganj, Nimcha B H, Ratibati, Kaliphari, Asansol, Barachak Jn, Sitarampur Central, Kulti, Barakar, Kumardubi, Mugma, Thaparnagar, Kalubathan, Chhota Ambana</t>
        </is>
      </c>
    </row>
    <row r="17" ht="64" customHeight="1">
      <c r="A17" s="16" t="inlineStr">
        <is>
          <t>1 Jun</t>
        </is>
      </c>
      <c r="B17" s="16" t="inlineStr">
        <is>
          <t>39133</t>
        </is>
      </c>
      <c r="C17" s="16" t="n">
        <v>5655</v>
      </c>
      <c r="D17" s="16" t="n">
        <v>5650</v>
      </c>
      <c r="E17" s="16" t="n">
        <v>5650</v>
      </c>
      <c r="F17" s="38" t="n">
        <v>29887</v>
      </c>
      <c r="G17" s="38" t="n">
        <v>200086</v>
      </c>
      <c r="H17" s="38" t="n">
        <v>29887</v>
      </c>
      <c r="I17" s="38" t="n">
        <v>200086</v>
      </c>
      <c r="J17" s="19">
        <f>(I17-H17)/1000</f>
        <v/>
      </c>
      <c r="K17" s="16" t="inlineStr">
        <is>
          <t>Yes</t>
        </is>
      </c>
      <c r="L17" s="16" t="n">
        <v>40</v>
      </c>
      <c r="M17" s="39" t="inlineStr">
        <is>
          <t>Howrah, Howrah Sorting Yard, Liluah, Belur, Bally, Belanagar, Dankuni, LC-12, Janai Road, Baruipara, Barachak Jn, Sitarampur Central, Kulti, Barakar, Kumardubi, Mugma, Thaparnagar, Kalubathan, LC-12, Chhota Ambana</t>
        </is>
      </c>
    </row>
    <row r="18" ht="94" customHeight="1">
      <c r="A18" s="16" t="inlineStr">
        <is>
          <t>1 Jun</t>
        </is>
      </c>
      <c r="B18" s="16" t="inlineStr">
        <is>
          <t>37898</t>
        </is>
      </c>
      <c r="C18" s="16" t="n">
        <v>8739</v>
      </c>
      <c r="D18" s="16" t="n">
        <v>8619</v>
      </c>
      <c r="E18" s="16" t="n">
        <v>8307</v>
      </c>
      <c r="F18" s="38" t="n">
        <v>33</v>
      </c>
      <c r="G18" s="38" t="n">
        <v>94745</v>
      </c>
      <c r="H18" s="38" t="n">
        <v>343</v>
      </c>
      <c r="I18" s="38" t="n">
        <v>94745</v>
      </c>
      <c r="J18" s="19">
        <f>(I18-H18)/1000</f>
        <v/>
      </c>
      <c r="K18" s="16" t="inlineStr">
        <is>
          <t>Yes</t>
        </is>
      </c>
      <c r="L18" s="16" t="n">
        <v>26</v>
      </c>
      <c r="M18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9" ht="94" customHeight="1">
      <c r="A19" s="16" t="inlineStr">
        <is>
          <t>1 Jun</t>
        </is>
      </c>
      <c r="B19" s="16" t="inlineStr">
        <is>
          <t>30692</t>
        </is>
      </c>
      <c r="C19" s="16" t="n">
        <v>8276</v>
      </c>
      <c r="D19" s="16" t="n">
        <v>7929</v>
      </c>
      <c r="E19" s="16" t="n">
        <v>7786</v>
      </c>
      <c r="F19" s="38" t="n">
        <v>23</v>
      </c>
      <c r="G19" s="38" t="n">
        <v>94622</v>
      </c>
      <c r="H19" s="38" t="n">
        <v>342</v>
      </c>
      <c r="I19" s="38" t="n">
        <v>94622</v>
      </c>
      <c r="J19" s="19">
        <f>(I19-H19)/1000</f>
        <v/>
      </c>
      <c r="K19" s="16" t="inlineStr">
        <is>
          <t>Yes</t>
        </is>
      </c>
      <c r="L19" s="16" t="n">
        <v>26</v>
      </c>
      <c r="M1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" ht="94" customHeight="1">
      <c r="A20" s="16" t="inlineStr">
        <is>
          <t>1 Jun</t>
        </is>
      </c>
      <c r="B20" s="16" t="inlineStr">
        <is>
          <t>37025</t>
        </is>
      </c>
      <c r="C20" s="16" t="n">
        <v>9190</v>
      </c>
      <c r="D20" s="16" t="n">
        <v>9153</v>
      </c>
      <c r="E20" s="16" t="n">
        <v>9027</v>
      </c>
      <c r="F20" s="38" t="n">
        <v>43</v>
      </c>
      <c r="G20" s="38" t="n">
        <v>94606</v>
      </c>
      <c r="H20" s="38" t="n">
        <v>342</v>
      </c>
      <c r="I20" s="38" t="n">
        <v>94606</v>
      </c>
      <c r="J20" s="19">
        <f>(I20-H20)/1000</f>
        <v/>
      </c>
      <c r="K20" s="16" t="inlineStr">
        <is>
          <t>Yes</t>
        </is>
      </c>
      <c r="L20" s="16" t="n">
        <v>26</v>
      </c>
      <c r="M2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" ht="94" customHeight="1">
      <c r="A21" s="16" t="inlineStr">
        <is>
          <t>1 Jun</t>
        </is>
      </c>
      <c r="B21" s="16" t="inlineStr">
        <is>
          <t>30112</t>
        </is>
      </c>
      <c r="C21" s="16" t="n">
        <v>3321</v>
      </c>
      <c r="D21" s="16" t="n">
        <v>3301</v>
      </c>
      <c r="E21" s="16" t="n">
        <v>3301</v>
      </c>
      <c r="F21" s="38" t="n">
        <v>738</v>
      </c>
      <c r="G21" s="38" t="n">
        <v>94686</v>
      </c>
      <c r="H21" s="38" t="n">
        <v>738</v>
      </c>
      <c r="I21" s="38" t="n">
        <v>94686</v>
      </c>
      <c r="J21" s="19">
        <f>(I21-H21)/1000</f>
        <v/>
      </c>
      <c r="K21" s="16" t="inlineStr">
        <is>
          <t>Yes</t>
        </is>
      </c>
      <c r="L21" s="16" t="n">
        <v>26</v>
      </c>
      <c r="M2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" ht="94" customHeight="1">
      <c r="A22" s="16" t="inlineStr">
        <is>
          <t>1 Jun</t>
        </is>
      </c>
      <c r="B22" s="16" t="inlineStr">
        <is>
          <t>30191</t>
        </is>
      </c>
      <c r="C22" s="16" t="n">
        <v>5002</v>
      </c>
      <c r="D22" s="16" t="n">
        <v>4980</v>
      </c>
      <c r="E22" s="16" t="n">
        <v>4852</v>
      </c>
      <c r="F22" s="38" t="n">
        <v>62</v>
      </c>
      <c r="G22" s="38" t="n">
        <v>94115</v>
      </c>
      <c r="H22" s="38" t="n">
        <v>342</v>
      </c>
      <c r="I22" s="38" t="n">
        <v>94115</v>
      </c>
      <c r="J22" s="19">
        <f>(I22-H22)/1000</f>
        <v/>
      </c>
      <c r="K22" s="16" t="inlineStr">
        <is>
          <t>Yes</t>
        </is>
      </c>
      <c r="L22" s="16" t="n">
        <v>26</v>
      </c>
      <c r="M2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" ht="94" customHeight="1">
      <c r="A23" s="16" t="inlineStr">
        <is>
          <t>1 Jun</t>
        </is>
      </c>
      <c r="B23" s="16" t="inlineStr">
        <is>
          <t>37244</t>
        </is>
      </c>
      <c r="C23" s="16" t="n">
        <v>5161</v>
      </c>
      <c r="D23" s="16" t="n">
        <v>5141</v>
      </c>
      <c r="E23" s="16" t="n">
        <v>4976</v>
      </c>
      <c r="F23" s="38" t="n">
        <v>31</v>
      </c>
      <c r="G23" s="38" t="n">
        <v>94113</v>
      </c>
      <c r="H23" s="38" t="n">
        <v>343</v>
      </c>
      <c r="I23" s="38" t="n">
        <v>94113</v>
      </c>
      <c r="J23" s="19">
        <f>(I23-H23)/1000</f>
        <v/>
      </c>
      <c r="K23" s="16" t="inlineStr">
        <is>
          <t>Yes</t>
        </is>
      </c>
      <c r="L23" s="16" t="n">
        <v>26</v>
      </c>
      <c r="M2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" ht="94" customHeight="1">
      <c r="A24" s="16" t="inlineStr">
        <is>
          <t>1 Jun</t>
        </is>
      </c>
      <c r="B24" s="16" t="inlineStr">
        <is>
          <t>37246</t>
        </is>
      </c>
      <c r="C24" s="16" t="n">
        <v>6080</v>
      </c>
      <c r="D24" s="16" t="n">
        <v>6056</v>
      </c>
      <c r="E24" s="16" t="n">
        <v>5868</v>
      </c>
      <c r="F24" s="38" t="n">
        <v>34</v>
      </c>
      <c r="G24" s="38" t="n">
        <v>94113</v>
      </c>
      <c r="H24" s="38" t="n">
        <v>344</v>
      </c>
      <c r="I24" s="38" t="n">
        <v>94113</v>
      </c>
      <c r="J24" s="19">
        <f>(I24-H24)/1000</f>
        <v/>
      </c>
      <c r="K24" s="16" t="inlineStr">
        <is>
          <t>Yes</t>
        </is>
      </c>
      <c r="L24" s="16" t="n">
        <v>26</v>
      </c>
      <c r="M2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" ht="94" customHeight="1">
      <c r="A25" s="16" t="inlineStr">
        <is>
          <t>1 Jun</t>
        </is>
      </c>
      <c r="B25" s="16" t="inlineStr">
        <is>
          <t>37777</t>
        </is>
      </c>
      <c r="C25" s="16" t="n">
        <v>5477</v>
      </c>
      <c r="D25" s="16" t="n">
        <v>5457</v>
      </c>
      <c r="E25" s="16" t="n">
        <v>5246</v>
      </c>
      <c r="F25" s="38" t="n">
        <v>32</v>
      </c>
      <c r="G25" s="38" t="n">
        <v>94109</v>
      </c>
      <c r="H25" s="38" t="n">
        <v>343</v>
      </c>
      <c r="I25" s="38" t="n">
        <v>94109</v>
      </c>
      <c r="J25" s="19">
        <f>(I25-H25)/1000</f>
        <v/>
      </c>
      <c r="K25" s="16" t="inlineStr">
        <is>
          <t>Yes</t>
        </is>
      </c>
      <c r="L25" s="16" t="n">
        <v>26</v>
      </c>
      <c r="M2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" ht="94" customHeight="1">
      <c r="A26" s="16" t="inlineStr">
        <is>
          <t>1 Jun</t>
        </is>
      </c>
      <c r="B26" s="16" t="inlineStr">
        <is>
          <t>37034</t>
        </is>
      </c>
      <c r="C26" s="16" t="n">
        <v>3127</v>
      </c>
      <c r="D26" s="16" t="n">
        <v>3109</v>
      </c>
      <c r="E26" s="16" t="n">
        <v>3109</v>
      </c>
      <c r="F26" s="38" t="n">
        <v>2496</v>
      </c>
      <c r="G26" s="38" t="n">
        <v>94110</v>
      </c>
      <c r="H26" s="38" t="n">
        <v>2496</v>
      </c>
      <c r="I26" s="38" t="n">
        <v>94110</v>
      </c>
      <c r="J26" s="19">
        <f>(I26-H26)/1000</f>
        <v/>
      </c>
      <c r="K26" s="16" t="inlineStr">
        <is>
          <t>Yes</t>
        </is>
      </c>
      <c r="L26" s="16" t="n">
        <v>26</v>
      </c>
      <c r="M2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" ht="109" customHeight="1">
      <c r="A27" s="16" t="inlineStr">
        <is>
          <t>1 Jun</t>
        </is>
      </c>
      <c r="B27" s="16" t="inlineStr">
        <is>
          <t>30300</t>
        </is>
      </c>
      <c r="C27" s="16" t="n">
        <v>3402</v>
      </c>
      <c r="D27" s="16" t="n">
        <v>3397</v>
      </c>
      <c r="E27" s="16" t="n">
        <v>3397</v>
      </c>
      <c r="F27" s="38" t="n">
        <v>12113</v>
      </c>
      <c r="G27" s="38" t="n">
        <v>94761</v>
      </c>
      <c r="H27" s="38" t="n">
        <v>12113</v>
      </c>
      <c r="I27" s="38" t="n">
        <v>94761</v>
      </c>
      <c r="J27" s="19">
        <f>(I27-H27)/1000</f>
        <v/>
      </c>
      <c r="K27" s="16" t="inlineStr">
        <is>
          <t>Yes</t>
        </is>
      </c>
      <c r="L27" s="16" t="n">
        <v>21</v>
      </c>
      <c r="M2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8" ht="109" customHeight="1">
      <c r="A28" s="16" t="inlineStr">
        <is>
          <t>1 Jun</t>
        </is>
      </c>
      <c r="B28" s="16" t="inlineStr">
        <is>
          <t>37720</t>
        </is>
      </c>
      <c r="C28" s="16" t="n">
        <v>3209</v>
      </c>
      <c r="D28" s="16" t="n">
        <v>3203</v>
      </c>
      <c r="E28" s="16" t="n">
        <v>3203</v>
      </c>
      <c r="F28" s="38" t="n">
        <v>12125</v>
      </c>
      <c r="G28" s="38" t="n">
        <v>94750</v>
      </c>
      <c r="H28" s="38" t="n">
        <v>12125</v>
      </c>
      <c r="I28" s="38" t="n">
        <v>94750</v>
      </c>
      <c r="J28" s="19">
        <f>(I28-H28)/1000</f>
        <v/>
      </c>
      <c r="K28" s="16" t="inlineStr">
        <is>
          <t>Yes</t>
        </is>
      </c>
      <c r="L28" s="16" t="n">
        <v>21</v>
      </c>
      <c r="M2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" ht="109" customHeight="1">
      <c r="A29" s="16" t="inlineStr">
        <is>
          <t>1 Jun</t>
        </is>
      </c>
      <c r="B29" s="16" t="inlineStr">
        <is>
          <t>30329</t>
        </is>
      </c>
      <c r="C29" s="16" t="n">
        <v>4594</v>
      </c>
      <c r="D29" s="16" t="n">
        <v>4526</v>
      </c>
      <c r="E29" s="16" t="n">
        <v>4526</v>
      </c>
      <c r="F29" s="38" t="n">
        <v>12121</v>
      </c>
      <c r="G29" s="38" t="n">
        <v>94629</v>
      </c>
      <c r="H29" s="38" t="n">
        <v>12121</v>
      </c>
      <c r="I29" s="38" t="n">
        <v>94629</v>
      </c>
      <c r="J29" s="19">
        <f>(I29-H29)/1000</f>
        <v/>
      </c>
      <c r="K29" s="16" t="inlineStr">
        <is>
          <t>Yes</t>
        </is>
      </c>
      <c r="L29" s="16" t="n">
        <v>21</v>
      </c>
      <c r="M2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" ht="109" customHeight="1">
      <c r="A30" s="16" t="inlineStr">
        <is>
          <t>1 Jun</t>
        </is>
      </c>
      <c r="B30" s="16" t="inlineStr">
        <is>
          <t>30327</t>
        </is>
      </c>
      <c r="C30" s="16" t="n">
        <v>5850</v>
      </c>
      <c r="D30" s="16" t="n">
        <v>5841</v>
      </c>
      <c r="E30" s="16" t="n">
        <v>5841</v>
      </c>
      <c r="F30" s="38" t="n">
        <v>12113</v>
      </c>
      <c r="G30" s="38" t="n">
        <v>94615</v>
      </c>
      <c r="H30" s="38" t="n">
        <v>12113</v>
      </c>
      <c r="I30" s="38" t="n">
        <v>94615</v>
      </c>
      <c r="J30" s="19">
        <f>(I30-H30)/1000</f>
        <v/>
      </c>
      <c r="K30" s="16" t="inlineStr">
        <is>
          <t>Yes</t>
        </is>
      </c>
      <c r="L30" s="16" t="n">
        <v>21</v>
      </c>
      <c r="M3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" ht="109" customHeight="1">
      <c r="A31" s="16" t="inlineStr">
        <is>
          <t>1 Jun</t>
        </is>
      </c>
      <c r="B31" s="16" t="inlineStr">
        <is>
          <t>30455</t>
        </is>
      </c>
      <c r="C31" s="16" t="n">
        <v>3001</v>
      </c>
      <c r="D31" s="16" t="n">
        <v>2996</v>
      </c>
      <c r="E31" s="16" t="n">
        <v>2996</v>
      </c>
      <c r="F31" s="38" t="n">
        <v>13084</v>
      </c>
      <c r="G31" s="38" t="n">
        <v>94759</v>
      </c>
      <c r="H31" s="38" t="n">
        <v>13084</v>
      </c>
      <c r="I31" s="38" t="n">
        <v>94759</v>
      </c>
      <c r="J31" s="19">
        <f>(I31-H31)/1000</f>
        <v/>
      </c>
      <c r="K31" s="16" t="inlineStr">
        <is>
          <t>Yes</t>
        </is>
      </c>
      <c r="L31" s="16" t="n">
        <v>20</v>
      </c>
      <c r="M31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109" customHeight="1">
      <c r="A32" s="16" t="inlineStr">
        <is>
          <t>1 Jun</t>
        </is>
      </c>
      <c r="B32" s="16" t="inlineStr">
        <is>
          <t>30371</t>
        </is>
      </c>
      <c r="C32" s="16" t="n">
        <v>3513</v>
      </c>
      <c r="D32" s="16" t="n">
        <v>3497</v>
      </c>
      <c r="E32" s="16" t="n">
        <v>3497</v>
      </c>
      <c r="F32" s="38" t="n">
        <v>12729</v>
      </c>
      <c r="G32" s="38" t="n">
        <v>94113</v>
      </c>
      <c r="H32" s="38" t="n">
        <v>12729</v>
      </c>
      <c r="I32" s="38" t="n">
        <v>94113</v>
      </c>
      <c r="J32" s="19">
        <f>(I32-H32)/1000</f>
        <v/>
      </c>
      <c r="K32" s="16" t="inlineStr">
        <is>
          <t>Yes</t>
        </is>
      </c>
      <c r="L32" s="16" t="n">
        <v>21</v>
      </c>
      <c r="M3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124" customHeight="1">
      <c r="A33" s="16" t="inlineStr">
        <is>
          <t>1 Jun</t>
        </is>
      </c>
      <c r="B33" s="16" t="inlineStr">
        <is>
          <t>37401</t>
        </is>
      </c>
      <c r="C33" s="16" t="n">
        <v>1710</v>
      </c>
      <c r="D33" s="16" t="n">
        <v>1705</v>
      </c>
      <c r="E33" s="16" t="n">
        <v>1705</v>
      </c>
      <c r="F33" s="38" t="n">
        <v>157252</v>
      </c>
      <c r="G33" s="38" t="n">
        <v>200086</v>
      </c>
      <c r="H33" s="38" t="n">
        <v>157252</v>
      </c>
      <c r="I33" s="38" t="n">
        <v>200086</v>
      </c>
      <c r="J33" s="19">
        <f>(I33-H33)/1000</f>
        <v/>
      </c>
      <c r="K33" s="16" t="inlineStr">
        <is>
          <t>Yes</t>
        </is>
      </c>
      <c r="L33" s="16" t="n">
        <v>11</v>
      </c>
      <c r="M33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34" ht="139" customHeight="1">
      <c r="A34" s="16" t="inlineStr">
        <is>
          <t>1 Jun</t>
        </is>
      </c>
      <c r="B34" s="16" t="inlineStr">
        <is>
          <t>30568</t>
        </is>
      </c>
      <c r="C34" s="16" t="n">
        <v>1632</v>
      </c>
      <c r="D34" s="16" t="n">
        <v>1606</v>
      </c>
      <c r="E34" s="16" t="n">
        <v>1606</v>
      </c>
      <c r="F34" s="38" t="n">
        <v>350</v>
      </c>
      <c r="G34" s="38" t="n">
        <v>29144</v>
      </c>
      <c r="H34" s="38" t="n">
        <v>350</v>
      </c>
      <c r="I34" s="38" t="n">
        <v>29144</v>
      </c>
      <c r="J34" s="19">
        <f>(I34-H34)/1000</f>
        <v/>
      </c>
      <c r="K34" s="16" t="inlineStr">
        <is>
          <t>Yes</t>
        </is>
      </c>
      <c r="L34" s="16" t="n">
        <v>10</v>
      </c>
      <c r="M34" s="39" t="inlineStr">
        <is>
          <t>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139" customHeight="1">
      <c r="A35" s="16" t="inlineStr">
        <is>
          <t>1 Jun</t>
        </is>
      </c>
      <c r="B35" s="16" t="inlineStr">
        <is>
          <t>37719</t>
        </is>
      </c>
      <c r="C35" s="16" t="n">
        <v>1437</v>
      </c>
      <c r="D35" s="16" t="n">
        <v>1026</v>
      </c>
      <c r="E35" s="16" t="n">
        <v>1026</v>
      </c>
      <c r="F35" s="38" t="n">
        <v>610</v>
      </c>
      <c r="G35" s="38" t="n">
        <v>15114</v>
      </c>
      <c r="H35" s="38" t="n">
        <v>610</v>
      </c>
      <c r="I35" s="38" t="n">
        <v>15114</v>
      </c>
      <c r="J35" s="19">
        <f>(I35-H35)/1000</f>
        <v/>
      </c>
      <c r="K35" s="16" t="inlineStr">
        <is>
          <t>Yes</t>
        </is>
      </c>
      <c r="L35" s="16" t="n">
        <v>7</v>
      </c>
      <c r="M35" s="39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36" ht="139" customHeight="1">
      <c r="A36" s="16" t="inlineStr">
        <is>
          <t>1 Jun</t>
        </is>
      </c>
      <c r="B36" s="16" t="inlineStr">
        <is>
          <t>39615</t>
        </is>
      </c>
      <c r="C36" s="16" t="n">
        <v>381</v>
      </c>
      <c r="D36" s="16" t="n">
        <v>292</v>
      </c>
      <c r="E36" s="16" t="n">
        <v>28</v>
      </c>
      <c r="F36" s="38" t="n">
        <v>22</v>
      </c>
      <c r="G36" s="38" t="n">
        <v>399</v>
      </c>
      <c r="H36" s="38" t="n">
        <v>344</v>
      </c>
      <c r="I36" s="38" t="n">
        <v>399</v>
      </c>
      <c r="J36" s="19">
        <f>(I36-H36)/1000</f>
        <v/>
      </c>
      <c r="K36" s="16" t="inlineStr">
        <is>
          <t>Yes</t>
        </is>
      </c>
      <c r="L36" s="16" t="n">
        <v>1</v>
      </c>
      <c r="M36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7" ht="139" customHeight="1">
      <c r="A37" s="31" t="inlineStr">
        <is>
          <t>1 Jun</t>
        </is>
      </c>
      <c r="B37" s="31" t="inlineStr">
        <is>
          <t>11055</t>
        </is>
      </c>
      <c r="C37" s="31" t="n">
        <v>1</v>
      </c>
      <c r="D37" s="31" t="n">
        <v>0</v>
      </c>
      <c r="E37" s="31" t="n">
        <v>0</v>
      </c>
      <c r="F37" s="40" t="inlineStr">
        <is>
          <t>-</t>
        </is>
      </c>
      <c r="G37" s="40" t="inlineStr">
        <is>
          <t>-</t>
        </is>
      </c>
      <c r="H37" s="40" t="inlineStr">
        <is>
          <t>-</t>
        </is>
      </c>
      <c r="I37" s="40" t="inlineStr">
        <is>
          <t>-</t>
        </is>
      </c>
      <c r="J37" s="41" t="n">
        <v>0</v>
      </c>
      <c r="K37" s="31" t="inlineStr">
        <is>
          <t>No</t>
        </is>
      </c>
      <c r="L37" s="31" t="n">
        <v>0</v>
      </c>
      <c r="M3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8" ht="139" customHeight="1">
      <c r="A38" s="31" t="inlineStr">
        <is>
          <t>1 Jun</t>
        </is>
      </c>
      <c r="B38" s="31" t="inlineStr">
        <is>
          <t>39571</t>
        </is>
      </c>
      <c r="C38" s="31" t="n">
        <v>1</v>
      </c>
      <c r="D38" s="31" t="n">
        <v>0</v>
      </c>
      <c r="E38" s="31" t="n">
        <v>0</v>
      </c>
      <c r="F38" s="40" t="inlineStr">
        <is>
          <t>-</t>
        </is>
      </c>
      <c r="G38" s="40" t="inlineStr">
        <is>
          <t>-</t>
        </is>
      </c>
      <c r="H38" s="40" t="inlineStr">
        <is>
          <t>-</t>
        </is>
      </c>
      <c r="I38" s="40" t="inlineStr">
        <is>
          <t>-</t>
        </is>
      </c>
      <c r="J38" s="41" t="n">
        <v>0</v>
      </c>
      <c r="K38" s="31" t="inlineStr">
        <is>
          <t>No</t>
        </is>
      </c>
      <c r="L38" s="31" t="n">
        <v>0</v>
      </c>
      <c r="M3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9" ht="139" customHeight="1">
      <c r="A39" s="31" t="inlineStr">
        <is>
          <t>1 Jun</t>
        </is>
      </c>
      <c r="B39" s="31" t="inlineStr">
        <is>
          <t>39598</t>
        </is>
      </c>
      <c r="C39" s="31" t="n">
        <v>1</v>
      </c>
      <c r="D39" s="31" t="n">
        <v>0</v>
      </c>
      <c r="E39" s="31" t="n">
        <v>0</v>
      </c>
      <c r="F39" s="40" t="inlineStr">
        <is>
          <t>-</t>
        </is>
      </c>
      <c r="G39" s="40" t="inlineStr">
        <is>
          <t>-</t>
        </is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1" t="inlineStr">
        <is>
          <t>No</t>
        </is>
      </c>
      <c r="L39" s="31" t="n">
        <v>0</v>
      </c>
      <c r="M3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0" ht="139" customHeight="1">
      <c r="A40" s="31" t="inlineStr">
        <is>
          <t>1 Jun</t>
        </is>
      </c>
      <c r="B40" s="31" t="inlineStr">
        <is>
          <t>45025</t>
        </is>
      </c>
      <c r="C40" s="31" t="n">
        <v>1148</v>
      </c>
      <c r="D40" s="31" t="n">
        <v>629</v>
      </c>
      <c r="E40" s="31" t="n">
        <v>0</v>
      </c>
      <c r="F40" s="40" t="n">
        <v>2499976</v>
      </c>
      <c r="G40" s="40" t="n">
        <v>2500308</v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1" t="inlineStr">
        <is>
          <t>No</t>
        </is>
      </c>
      <c r="L40" s="31" t="n">
        <v>0</v>
      </c>
      <c r="M4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1" ht="34" customHeight="1">
      <c r="A41" s="16" t="inlineStr">
        <is>
          <t>2 Jun</t>
        </is>
      </c>
      <c r="B41" s="16" t="inlineStr">
        <is>
          <t>30568</t>
        </is>
      </c>
      <c r="C41" s="16" t="n">
        <v>8541</v>
      </c>
      <c r="D41" s="16" t="n">
        <v>8536</v>
      </c>
      <c r="E41" s="16" t="n">
        <v>8527</v>
      </c>
      <c r="F41" s="38" t="n">
        <v>29116</v>
      </c>
      <c r="G41" s="38" t="n">
        <v>244629</v>
      </c>
      <c r="H41" s="38" t="n">
        <v>29116</v>
      </c>
      <c r="I41" s="38" t="n">
        <v>244361</v>
      </c>
      <c r="J41" s="19">
        <f>(I41-H41)/1000</f>
        <v/>
      </c>
      <c r="K41" s="16" t="inlineStr">
        <is>
          <t>Yes</t>
        </is>
      </c>
      <c r="L41" s="16" t="n">
        <v>51</v>
      </c>
      <c r="M41" s="39" t="inlineStr">
        <is>
          <t>Howrah, Howrah Sorting Yard, Liluah, Belur, Bally, Belanagar, Dankuni, Janai Road</t>
        </is>
      </c>
    </row>
    <row r="42" ht="34" customHeight="1">
      <c r="A42" s="16" t="inlineStr">
        <is>
          <t>2 Jun</t>
        </is>
      </c>
      <c r="B42" s="16" t="inlineStr">
        <is>
          <t>37452</t>
        </is>
      </c>
      <c r="C42" s="16" t="n">
        <v>7658</v>
      </c>
      <c r="D42" s="16" t="n">
        <v>7608</v>
      </c>
      <c r="E42" s="16" t="n">
        <v>7608</v>
      </c>
      <c r="F42" s="38" t="n">
        <v>606</v>
      </c>
      <c r="G42" s="38" t="n">
        <v>200075</v>
      </c>
      <c r="H42" s="38" t="n">
        <v>606</v>
      </c>
      <c r="I42" s="38" t="n">
        <v>200075</v>
      </c>
      <c r="J42" s="19">
        <f>(I42-H42)/1000</f>
        <v/>
      </c>
      <c r="K42" s="16" t="inlineStr">
        <is>
          <t>Yes</t>
        </is>
      </c>
      <c r="L42" s="16" t="n">
        <v>50</v>
      </c>
      <c r="M42" s="39" t="inlineStr">
        <is>
          <t>Barachak Jn, Sitarampur Central, Kulti, Barakar, Kumardubi, Mugma, Thaparnagar, Kalubathan, Chhota Ambana</t>
        </is>
      </c>
    </row>
    <row r="43" ht="34" customHeight="1">
      <c r="A43" s="16" t="inlineStr">
        <is>
          <t>2 Jun</t>
        </is>
      </c>
      <c r="B43" s="16" t="inlineStr">
        <is>
          <t>37168</t>
        </is>
      </c>
      <c r="C43" s="16" t="n">
        <v>17165</v>
      </c>
      <c r="D43" s="16" t="n">
        <v>17128</v>
      </c>
      <c r="E43" s="16" t="n">
        <v>16995</v>
      </c>
      <c r="F43" s="38" t="n">
        <v>43</v>
      </c>
      <c r="G43" s="38" t="n">
        <v>199537</v>
      </c>
      <c r="H43" s="38" t="n">
        <v>344</v>
      </c>
      <c r="I43" s="38" t="n">
        <v>199537</v>
      </c>
      <c r="J43" s="19">
        <f>(I43-H43)/1000</f>
        <v/>
      </c>
      <c r="K43" s="16" t="inlineStr">
        <is>
          <t>Yes</t>
        </is>
      </c>
      <c r="L43" s="16" t="n">
        <v>50</v>
      </c>
      <c r="M43" s="39" t="inlineStr">
        <is>
          <t>Barachak Jn, Sitarampur Central, Kulti, Barakar, Kumardubi, Mugma, Thaparnagar, Kalubathan, Chhota Ambana</t>
        </is>
      </c>
    </row>
    <row r="44" ht="34" customHeight="1">
      <c r="A44" s="16" t="inlineStr">
        <is>
          <t>2 Jun</t>
        </is>
      </c>
      <c r="B44" s="16" t="inlineStr">
        <is>
          <t>37585</t>
        </is>
      </c>
      <c r="C44" s="16" t="n">
        <v>15159</v>
      </c>
      <c r="D44" s="16" t="n">
        <v>15107</v>
      </c>
      <c r="E44" s="16" t="n">
        <v>15107</v>
      </c>
      <c r="F44" s="38" t="n">
        <v>689</v>
      </c>
      <c r="G44" s="38" t="n">
        <v>199392</v>
      </c>
      <c r="H44" s="38" t="n">
        <v>689</v>
      </c>
      <c r="I44" s="38" t="n">
        <v>199392</v>
      </c>
      <c r="J44" s="19">
        <f>(I44-H44)/1000</f>
        <v/>
      </c>
      <c r="K44" s="16" t="inlineStr">
        <is>
          <t>Yes</t>
        </is>
      </c>
      <c r="L44" s="16" t="n">
        <v>50</v>
      </c>
      <c r="M44" s="39" t="inlineStr">
        <is>
          <t>Barachak Jn, Sitarampur Central, Kulti, Barakar, Kumardubi, Mugma, Thaparnagar, Kalubathan, Chhota Ambana</t>
        </is>
      </c>
    </row>
    <row r="45" ht="79" customHeight="1">
      <c r="A45" s="16" t="inlineStr">
        <is>
          <t>2 Jun</t>
        </is>
      </c>
      <c r="B45" s="16" t="inlineStr">
        <is>
          <t>35001</t>
        </is>
      </c>
      <c r="C45" s="16" t="n">
        <v>4475</v>
      </c>
      <c r="D45" s="16" t="n">
        <v>4455</v>
      </c>
      <c r="E45" s="16" t="n">
        <v>4455</v>
      </c>
      <c r="F45" s="38" t="n">
        <v>350</v>
      </c>
      <c r="G45" s="38" t="n">
        <v>139978</v>
      </c>
      <c r="H45" s="38" t="n">
        <v>350</v>
      </c>
      <c r="I45" s="38" t="n">
        <v>139978</v>
      </c>
      <c r="J45" s="19">
        <f>(I45-H45)/1000</f>
        <v/>
      </c>
      <c r="K45" s="16" t="inlineStr">
        <is>
          <t>Yes</t>
        </is>
      </c>
      <c r="L45" s="16" t="n">
        <v>36</v>
      </c>
      <c r="M45" s="39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6" ht="79" customHeight="1">
      <c r="A46" s="16" t="inlineStr">
        <is>
          <t>2 Jun</t>
        </is>
      </c>
      <c r="B46" s="16" t="inlineStr">
        <is>
          <t>37401</t>
        </is>
      </c>
      <c r="C46" s="16" t="n">
        <v>5561</v>
      </c>
      <c r="D46" s="16" t="n">
        <v>5537</v>
      </c>
      <c r="E46" s="16" t="n">
        <v>5537</v>
      </c>
      <c r="F46" s="38" t="n">
        <v>350</v>
      </c>
      <c r="G46" s="38" t="n">
        <v>139960</v>
      </c>
      <c r="H46" s="38" t="n">
        <v>350</v>
      </c>
      <c r="I46" s="38" t="n">
        <v>139960</v>
      </c>
      <c r="J46" s="19">
        <f>(I46-H46)/1000</f>
        <v/>
      </c>
      <c r="K46" s="16" t="inlineStr">
        <is>
          <t>Yes</t>
        </is>
      </c>
      <c r="L46" s="16" t="n">
        <v>36</v>
      </c>
      <c r="M46" s="39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7" ht="79" customHeight="1">
      <c r="A47" s="16" t="inlineStr">
        <is>
          <t>2 Jun</t>
        </is>
      </c>
      <c r="B47" s="16" t="inlineStr">
        <is>
          <t>39170</t>
        </is>
      </c>
      <c r="C47" s="16" t="n">
        <v>4765</v>
      </c>
      <c r="D47" s="16" t="n">
        <v>4745</v>
      </c>
      <c r="E47" s="16" t="n">
        <v>4745</v>
      </c>
      <c r="F47" s="38" t="n">
        <v>688</v>
      </c>
      <c r="G47" s="38" t="n">
        <v>139932</v>
      </c>
      <c r="H47" s="38" t="n">
        <v>688</v>
      </c>
      <c r="I47" s="38" t="n">
        <v>139932</v>
      </c>
      <c r="J47" s="19">
        <f>(I47-H47)/1000</f>
        <v/>
      </c>
      <c r="K47" s="16" t="inlineStr">
        <is>
          <t>Yes</t>
        </is>
      </c>
      <c r="L47" s="16" t="n">
        <v>36</v>
      </c>
      <c r="M47" s="39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8" ht="79" customHeight="1">
      <c r="A48" s="16" t="inlineStr">
        <is>
          <t>2 Jun</t>
        </is>
      </c>
      <c r="B48" s="16" t="inlineStr">
        <is>
          <t>39178</t>
        </is>
      </c>
      <c r="C48" s="16" t="n">
        <v>5074</v>
      </c>
      <c r="D48" s="16" t="n">
        <v>5052</v>
      </c>
      <c r="E48" s="16" t="n">
        <v>5052</v>
      </c>
      <c r="F48" s="38" t="n">
        <v>688</v>
      </c>
      <c r="G48" s="38" t="n">
        <v>139367</v>
      </c>
      <c r="H48" s="38" t="n">
        <v>688</v>
      </c>
      <c r="I48" s="38" t="n">
        <v>139367</v>
      </c>
      <c r="J48" s="19">
        <f>(I48-H48)/1000</f>
        <v/>
      </c>
      <c r="K48" s="16" t="inlineStr">
        <is>
          <t>Yes</t>
        </is>
      </c>
      <c r="L48" s="16" t="n">
        <v>36</v>
      </c>
      <c r="M48" s="39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9" ht="79" customHeight="1">
      <c r="A49" s="16" t="inlineStr">
        <is>
          <t>2 Jun</t>
        </is>
      </c>
      <c r="B49" s="16" t="inlineStr">
        <is>
          <t>30567</t>
        </is>
      </c>
      <c r="C49" s="16" t="n">
        <v>5161</v>
      </c>
      <c r="D49" s="16" t="n">
        <v>5099</v>
      </c>
      <c r="E49" s="16" t="n">
        <v>5099</v>
      </c>
      <c r="F49" s="38" t="n">
        <v>849</v>
      </c>
      <c r="G49" s="38" t="n">
        <v>137599</v>
      </c>
      <c r="H49" s="38" t="n">
        <v>849</v>
      </c>
      <c r="I49" s="38" t="n">
        <v>137599</v>
      </c>
      <c r="J49" s="19">
        <f>(I49-H49)/1000</f>
        <v/>
      </c>
      <c r="K49" s="16" t="inlineStr">
        <is>
          <t>Yes</t>
        </is>
      </c>
      <c r="L49" s="16" t="n">
        <v>35</v>
      </c>
      <c r="M49" s="39" t="inlineStr">
        <is>
          <t>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0" ht="94" customHeight="1">
      <c r="A50" s="16" t="inlineStr">
        <is>
          <t>2 Jun</t>
        </is>
      </c>
      <c r="B50" s="16" t="inlineStr">
        <is>
          <t>37502</t>
        </is>
      </c>
      <c r="C50" s="16" t="n">
        <v>9821</v>
      </c>
      <c r="D50" s="16" t="n">
        <v>9789</v>
      </c>
      <c r="E50" s="16" t="n">
        <v>9622</v>
      </c>
      <c r="F50" s="38" t="n">
        <v>86</v>
      </c>
      <c r="G50" s="38" t="n">
        <v>94633</v>
      </c>
      <c r="H50" s="38" t="n">
        <v>342</v>
      </c>
      <c r="I50" s="38" t="n">
        <v>94633</v>
      </c>
      <c r="J50" s="19">
        <f>(I50-H50)/1000</f>
        <v/>
      </c>
      <c r="K50" s="16" t="inlineStr">
        <is>
          <t>Yes</t>
        </is>
      </c>
      <c r="L50" s="16" t="n">
        <v>26</v>
      </c>
      <c r="M5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1" ht="94" customHeight="1">
      <c r="A51" s="16" t="inlineStr">
        <is>
          <t>2 Jun</t>
        </is>
      </c>
      <c r="B51" s="16" t="inlineStr">
        <is>
          <t>37025</t>
        </is>
      </c>
      <c r="C51" s="16" t="n">
        <v>13286</v>
      </c>
      <c r="D51" s="16" t="n">
        <v>13236</v>
      </c>
      <c r="E51" s="16" t="n">
        <v>13084</v>
      </c>
      <c r="F51" s="38" t="n">
        <v>38</v>
      </c>
      <c r="G51" s="38" t="n">
        <v>94605</v>
      </c>
      <c r="H51" s="38" t="n">
        <v>344</v>
      </c>
      <c r="I51" s="38" t="n">
        <v>94605</v>
      </c>
      <c r="J51" s="19">
        <f>(I51-H51)/1000</f>
        <v/>
      </c>
      <c r="K51" s="16" t="inlineStr">
        <is>
          <t>Yes</t>
        </is>
      </c>
      <c r="L51" s="16" t="n">
        <v>26</v>
      </c>
      <c r="M5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2" ht="94" customHeight="1">
      <c r="A52" s="16" t="inlineStr">
        <is>
          <t>2 Jun</t>
        </is>
      </c>
      <c r="B52" s="16" t="inlineStr">
        <is>
          <t>37244</t>
        </is>
      </c>
      <c r="C52" s="16" t="n">
        <v>3736</v>
      </c>
      <c r="D52" s="16" t="n">
        <v>3718</v>
      </c>
      <c r="E52" s="16" t="n">
        <v>3718</v>
      </c>
      <c r="F52" s="38" t="n">
        <v>350</v>
      </c>
      <c r="G52" s="38" t="n">
        <v>94603</v>
      </c>
      <c r="H52" s="38" t="n">
        <v>350</v>
      </c>
      <c r="I52" s="38" t="n">
        <v>94603</v>
      </c>
      <c r="J52" s="19">
        <f>(I52-H52)/1000</f>
        <v/>
      </c>
      <c r="K52" s="16" t="inlineStr">
        <is>
          <t>Yes</t>
        </is>
      </c>
      <c r="L52" s="16" t="n">
        <v>26</v>
      </c>
      <c r="M5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3" ht="94" customHeight="1">
      <c r="A53" s="16" t="inlineStr">
        <is>
          <t>2 Jun</t>
        </is>
      </c>
      <c r="B53" s="16" t="inlineStr">
        <is>
          <t>30692</t>
        </is>
      </c>
      <c r="C53" s="16" t="n">
        <v>5850</v>
      </c>
      <c r="D53" s="16" t="n">
        <v>5803</v>
      </c>
      <c r="E53" s="16" t="n">
        <v>5648</v>
      </c>
      <c r="F53" s="38" t="n">
        <v>38</v>
      </c>
      <c r="G53" s="38" t="n">
        <v>94115</v>
      </c>
      <c r="H53" s="38" t="n">
        <v>342</v>
      </c>
      <c r="I53" s="38" t="n">
        <v>94115</v>
      </c>
      <c r="J53" s="19">
        <f>(I53-H53)/1000</f>
        <v/>
      </c>
      <c r="K53" s="16" t="inlineStr">
        <is>
          <t>Yes</t>
        </is>
      </c>
      <c r="L53" s="16" t="n">
        <v>26</v>
      </c>
      <c r="M5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4" ht="94" customHeight="1">
      <c r="A54" s="16" t="inlineStr">
        <is>
          <t>2 Jun</t>
        </is>
      </c>
      <c r="B54" s="16" t="inlineStr">
        <is>
          <t>37657</t>
        </is>
      </c>
      <c r="C54" s="16" t="n">
        <v>3908</v>
      </c>
      <c r="D54" s="16" t="n">
        <v>3886</v>
      </c>
      <c r="E54" s="16" t="n">
        <v>3795</v>
      </c>
      <c r="F54" s="38" t="n">
        <v>41</v>
      </c>
      <c r="G54" s="38" t="n">
        <v>94113</v>
      </c>
      <c r="H54" s="38" t="n">
        <v>344</v>
      </c>
      <c r="I54" s="38" t="n">
        <v>94113</v>
      </c>
      <c r="J54" s="19">
        <f>(I54-H54)/1000</f>
        <v/>
      </c>
      <c r="K54" s="16" t="inlineStr">
        <is>
          <t>Yes</t>
        </is>
      </c>
      <c r="L54" s="16" t="n">
        <v>26</v>
      </c>
      <c r="M5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5" ht="94" customHeight="1">
      <c r="A55" s="16" t="inlineStr">
        <is>
          <t>2 Jun</t>
        </is>
      </c>
      <c r="B55" s="16" t="inlineStr">
        <is>
          <t>37908</t>
        </is>
      </c>
      <c r="C55" s="16" t="n">
        <v>5825</v>
      </c>
      <c r="D55" s="16" t="n">
        <v>5754</v>
      </c>
      <c r="E55" s="16" t="n">
        <v>5569</v>
      </c>
      <c r="F55" s="38" t="n">
        <v>21</v>
      </c>
      <c r="G55" s="38" t="n">
        <v>94114</v>
      </c>
      <c r="H55" s="38" t="n">
        <v>343</v>
      </c>
      <c r="I55" s="38" t="n">
        <v>94114</v>
      </c>
      <c r="J55" s="19">
        <f>(I55-H55)/1000</f>
        <v/>
      </c>
      <c r="K55" s="16" t="inlineStr">
        <is>
          <t>Yes</t>
        </is>
      </c>
      <c r="L55" s="16" t="n">
        <v>26</v>
      </c>
      <c r="M5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6" ht="94" customHeight="1">
      <c r="A56" s="16" t="inlineStr">
        <is>
          <t>2 Jun</t>
        </is>
      </c>
      <c r="B56" s="16" t="inlineStr">
        <is>
          <t>37907</t>
        </is>
      </c>
      <c r="C56" s="16" t="n">
        <v>3450</v>
      </c>
      <c r="D56" s="16" t="n">
        <v>3433</v>
      </c>
      <c r="E56" s="16" t="n">
        <v>3433</v>
      </c>
      <c r="F56" s="38" t="n">
        <v>2224</v>
      </c>
      <c r="G56" s="38" t="n">
        <v>94112</v>
      </c>
      <c r="H56" s="38" t="n">
        <v>2224</v>
      </c>
      <c r="I56" s="38" t="n">
        <v>94112</v>
      </c>
      <c r="J56" s="19">
        <f>(I56-H56)/1000</f>
        <v/>
      </c>
      <c r="K56" s="16" t="inlineStr">
        <is>
          <t>Yes</t>
        </is>
      </c>
      <c r="L56" s="16" t="n">
        <v>26</v>
      </c>
      <c r="M5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7" ht="109" customHeight="1">
      <c r="A57" s="16" t="inlineStr">
        <is>
          <t>2 Jun</t>
        </is>
      </c>
      <c r="B57" s="16" t="inlineStr">
        <is>
          <t>30321</t>
        </is>
      </c>
      <c r="C57" s="16" t="n">
        <v>3511</v>
      </c>
      <c r="D57" s="16" t="n">
        <v>3510</v>
      </c>
      <c r="E57" s="16" t="n">
        <v>3510</v>
      </c>
      <c r="F57" s="38" t="n">
        <v>12125</v>
      </c>
      <c r="G57" s="38" t="n">
        <v>94739</v>
      </c>
      <c r="H57" s="38" t="n">
        <v>12125</v>
      </c>
      <c r="I57" s="38" t="n">
        <v>94739</v>
      </c>
      <c r="J57" s="19">
        <f>(I57-H57)/1000</f>
        <v/>
      </c>
      <c r="K57" s="16" t="inlineStr">
        <is>
          <t>Yes</t>
        </is>
      </c>
      <c r="L57" s="16" t="n">
        <v>21</v>
      </c>
      <c r="M5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8" ht="109" customHeight="1">
      <c r="A58" s="16" t="inlineStr">
        <is>
          <t>2 Jun</t>
        </is>
      </c>
      <c r="B58" s="16" t="inlineStr">
        <is>
          <t>30322</t>
        </is>
      </c>
      <c r="C58" s="16" t="n">
        <v>3536</v>
      </c>
      <c r="D58" s="16" t="n">
        <v>3531</v>
      </c>
      <c r="E58" s="16" t="n">
        <v>3531</v>
      </c>
      <c r="F58" s="38" t="n">
        <v>12113</v>
      </c>
      <c r="G58" s="38" t="n">
        <v>94635</v>
      </c>
      <c r="H58" s="38" t="n">
        <v>12113</v>
      </c>
      <c r="I58" s="38" t="n">
        <v>94635</v>
      </c>
      <c r="J58" s="19">
        <f>(I58-H58)/1000</f>
        <v/>
      </c>
      <c r="K58" s="16" t="inlineStr">
        <is>
          <t>Yes</t>
        </is>
      </c>
      <c r="L58" s="16" t="n">
        <v>21</v>
      </c>
      <c r="M5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59" ht="109" customHeight="1">
      <c r="A59" s="16" t="inlineStr">
        <is>
          <t>2 Jun</t>
        </is>
      </c>
      <c r="B59" s="16" t="inlineStr">
        <is>
          <t>30305</t>
        </is>
      </c>
      <c r="C59" s="16" t="n">
        <v>3737</v>
      </c>
      <c r="D59" s="16" t="n">
        <v>3731</v>
      </c>
      <c r="E59" s="16" t="n">
        <v>3731</v>
      </c>
      <c r="F59" s="38" t="n">
        <v>12113</v>
      </c>
      <c r="G59" s="38" t="n">
        <v>94619</v>
      </c>
      <c r="H59" s="38" t="n">
        <v>12113</v>
      </c>
      <c r="I59" s="38" t="n">
        <v>94619</v>
      </c>
      <c r="J59" s="19">
        <f>(I59-H59)/1000</f>
        <v/>
      </c>
      <c r="K59" s="16" t="inlineStr">
        <is>
          <t>Yes</t>
        </is>
      </c>
      <c r="L59" s="16" t="n">
        <v>21</v>
      </c>
      <c r="M5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0" ht="109" customHeight="1">
      <c r="A60" s="16" t="inlineStr">
        <is>
          <t>2 Jun</t>
        </is>
      </c>
      <c r="B60" s="16" t="inlineStr">
        <is>
          <t>30203</t>
        </is>
      </c>
      <c r="C60" s="16" t="n">
        <v>3499</v>
      </c>
      <c r="D60" s="16" t="n">
        <v>3484</v>
      </c>
      <c r="E60" s="16" t="n">
        <v>3484</v>
      </c>
      <c r="F60" s="38" t="n">
        <v>12705</v>
      </c>
      <c r="G60" s="38" t="n">
        <v>94111</v>
      </c>
      <c r="H60" s="38" t="n">
        <v>12705</v>
      </c>
      <c r="I60" s="38" t="n">
        <v>94111</v>
      </c>
      <c r="J60" s="19">
        <f>(I60-H60)/1000</f>
        <v/>
      </c>
      <c r="K60" s="16" t="inlineStr">
        <is>
          <t>Yes</t>
        </is>
      </c>
      <c r="L60" s="16" t="n">
        <v>21</v>
      </c>
      <c r="M6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1" ht="109" customHeight="1">
      <c r="A61" s="16" t="inlineStr">
        <is>
          <t>2 Jun</t>
        </is>
      </c>
      <c r="B61" s="16" t="inlineStr">
        <is>
          <t>30455</t>
        </is>
      </c>
      <c r="C61" s="16" t="n">
        <v>3317</v>
      </c>
      <c r="D61" s="16" t="n">
        <v>3303</v>
      </c>
      <c r="E61" s="16" t="n">
        <v>3303</v>
      </c>
      <c r="F61" s="38" t="n">
        <v>12714</v>
      </c>
      <c r="G61" s="38" t="n">
        <v>94115</v>
      </c>
      <c r="H61" s="38" t="n">
        <v>12714</v>
      </c>
      <c r="I61" s="38" t="n">
        <v>94115</v>
      </c>
      <c r="J61" s="19">
        <f>(I61-H61)/1000</f>
        <v/>
      </c>
      <c r="K61" s="16" t="inlineStr">
        <is>
          <t>Yes</t>
        </is>
      </c>
      <c r="L61" s="16" t="n">
        <v>21</v>
      </c>
      <c r="M6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2" ht="124" customHeight="1">
      <c r="A62" s="16" t="inlineStr">
        <is>
          <t>2 Jun</t>
        </is>
      </c>
      <c r="B62" s="16" t="inlineStr">
        <is>
          <t>39263</t>
        </is>
      </c>
      <c r="C62" s="16" t="n">
        <v>1783</v>
      </c>
      <c r="D62" s="16" t="n">
        <v>1782</v>
      </c>
      <c r="E62" s="16" t="n">
        <v>1782</v>
      </c>
      <c r="F62" s="38" t="n">
        <v>12123</v>
      </c>
      <c r="G62" s="38" t="n">
        <v>67848</v>
      </c>
      <c r="H62" s="38" t="n">
        <v>12123</v>
      </c>
      <c r="I62" s="38" t="n">
        <v>67848</v>
      </c>
      <c r="J62" s="19">
        <f>(I62-H62)/1000</f>
        <v/>
      </c>
      <c r="K62" s="16" t="inlineStr">
        <is>
          <t>Yes</t>
        </is>
      </c>
      <c r="L62" s="16" t="n">
        <v>16</v>
      </c>
      <c r="M62" s="39" t="inlineStr">
        <is>
          <t>Howrah, Howrah Sorting Yard, Liluah, Belur, Bally,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3" ht="139" customHeight="1">
      <c r="A63" s="16" t="inlineStr">
        <is>
          <t>2 Jun</t>
        </is>
      </c>
      <c r="B63" s="16" t="inlineStr">
        <is>
          <t>37719</t>
        </is>
      </c>
      <c r="C63" s="16" t="n">
        <v>683</v>
      </c>
      <c r="D63" s="16" t="n">
        <v>593</v>
      </c>
      <c r="E63" s="16" t="n">
        <v>593</v>
      </c>
      <c r="F63" s="38" t="n">
        <v>15198</v>
      </c>
      <c r="G63" s="38" t="n">
        <v>31991</v>
      </c>
      <c r="H63" s="38" t="n">
        <v>15198</v>
      </c>
      <c r="I63" s="38" t="n">
        <v>31991</v>
      </c>
      <c r="J63" s="19">
        <f>(I63-H63)/1000</f>
        <v/>
      </c>
      <c r="K63" s="16" t="inlineStr">
        <is>
          <t>Yes</t>
        </is>
      </c>
      <c r="L63" s="16" t="n">
        <v>5</v>
      </c>
      <c r="M63" s="39" t="inlineStr">
        <is>
          <t>Howrah, Howrah Sorting Yard, Liluah, Belur, Bally, Belanagar,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  ...(+4 more)</t>
        </is>
      </c>
    </row>
    <row r="64" ht="139" customHeight="1">
      <c r="A64" s="16" t="inlineStr">
        <is>
          <t>2 Jun</t>
        </is>
      </c>
      <c r="B64" s="16" t="inlineStr">
        <is>
          <t>37778</t>
        </is>
      </c>
      <c r="C64" s="16" t="n">
        <v>992</v>
      </c>
      <c r="D64" s="16" t="n">
        <v>932</v>
      </c>
      <c r="E64" s="16" t="n">
        <v>932</v>
      </c>
      <c r="F64" s="38" t="n">
        <v>851</v>
      </c>
      <c r="G64" s="38" t="n">
        <v>11448</v>
      </c>
      <c r="H64" s="38" t="n">
        <v>851</v>
      </c>
      <c r="I64" s="38" t="n">
        <v>11448</v>
      </c>
      <c r="J64" s="19">
        <f>(I64-H64)/1000</f>
        <v/>
      </c>
      <c r="K64" s="16" t="inlineStr">
        <is>
          <t>Yes</t>
        </is>
      </c>
      <c r="L64" s="16" t="n">
        <v>6</v>
      </c>
      <c r="M64" s="39" t="inlineStr">
        <is>
          <t>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  ...(+4 more)</t>
        </is>
      </c>
    </row>
    <row r="65" ht="139" customHeight="1">
      <c r="A65" s="16" t="inlineStr">
        <is>
          <t>2 Jun</t>
        </is>
      </c>
      <c r="B65" s="16" t="inlineStr">
        <is>
          <t>30084</t>
        </is>
      </c>
      <c r="C65" s="16" t="n">
        <v>868</v>
      </c>
      <c r="D65" s="16" t="n">
        <v>599</v>
      </c>
      <c r="E65" s="16" t="n">
        <v>599</v>
      </c>
      <c r="F65" s="38" t="n">
        <v>109969</v>
      </c>
      <c r="G65" s="38" t="n">
        <v>115129</v>
      </c>
      <c r="H65" s="38" t="n">
        <v>109969</v>
      </c>
      <c r="I65" s="38" t="n">
        <v>115129</v>
      </c>
      <c r="J65" s="19">
        <f>(I65-H65)/1000</f>
        <v/>
      </c>
      <c r="K65" s="16" t="inlineStr">
        <is>
          <t>Yes</t>
        </is>
      </c>
      <c r="L65" s="16" t="n">
        <v>2</v>
      </c>
      <c r="M65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66" ht="139" customHeight="1">
      <c r="A66" s="16" t="inlineStr">
        <is>
          <t>2 Jun</t>
        </is>
      </c>
      <c r="B66" s="16" t="inlineStr">
        <is>
          <t>37185</t>
        </is>
      </c>
      <c r="C66" s="16" t="n">
        <v>540</v>
      </c>
      <c r="D66" s="16" t="n">
        <v>511</v>
      </c>
      <c r="E66" s="16" t="n">
        <v>500</v>
      </c>
      <c r="F66" s="38" t="n">
        <v>324</v>
      </c>
      <c r="G66" s="38" t="n">
        <v>855</v>
      </c>
      <c r="H66" s="38" t="n">
        <v>342</v>
      </c>
      <c r="I66" s="38" t="n">
        <v>855</v>
      </c>
      <c r="J66" s="19">
        <f>(I66-H66)/1000</f>
        <v/>
      </c>
      <c r="K66" s="16" t="inlineStr">
        <is>
          <t>Yes</t>
        </is>
      </c>
      <c r="L66" s="16" t="n">
        <v>1</v>
      </c>
      <c r="M66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67" ht="139" customHeight="1">
      <c r="A67" s="16" t="inlineStr">
        <is>
          <t>2 Jun</t>
        </is>
      </c>
      <c r="B67" s="16" t="inlineStr">
        <is>
          <t>39132</t>
        </is>
      </c>
      <c r="C67" s="16" t="n">
        <v>839</v>
      </c>
      <c r="D67" s="16" t="n">
        <v>794</v>
      </c>
      <c r="E67" s="16" t="n">
        <v>783</v>
      </c>
      <c r="F67" s="38" t="n">
        <v>321</v>
      </c>
      <c r="G67" s="38" t="n">
        <v>850</v>
      </c>
      <c r="H67" s="38" t="n">
        <v>342</v>
      </c>
      <c r="I67" s="38" t="n">
        <v>850</v>
      </c>
      <c r="J67" s="19">
        <f>(I67-H67)/1000</f>
        <v/>
      </c>
      <c r="K67" s="16" t="inlineStr">
        <is>
          <t>Yes</t>
        </is>
      </c>
      <c r="L67" s="16" t="n">
        <v>1</v>
      </c>
      <c r="M67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68" ht="139" customHeight="1">
      <c r="A68" s="16" t="inlineStr">
        <is>
          <t>2 Jun</t>
        </is>
      </c>
      <c r="B68" s="16" t="inlineStr">
        <is>
          <t>39571</t>
        </is>
      </c>
      <c r="C68" s="16" t="n">
        <v>731</v>
      </c>
      <c r="D68" s="16" t="n">
        <v>669</v>
      </c>
      <c r="E68" s="16" t="n">
        <v>661</v>
      </c>
      <c r="F68" s="38" t="n">
        <v>325</v>
      </c>
      <c r="G68" s="38" t="n">
        <v>855</v>
      </c>
      <c r="H68" s="38" t="n">
        <v>342</v>
      </c>
      <c r="I68" s="38" t="n">
        <v>855</v>
      </c>
      <c r="J68" s="19">
        <f>(I68-H68)/1000</f>
        <v/>
      </c>
      <c r="K68" s="16" t="inlineStr">
        <is>
          <t>Yes</t>
        </is>
      </c>
      <c r="L68" s="16" t="n">
        <v>1</v>
      </c>
      <c r="M68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69" ht="139" customHeight="1">
      <c r="A69" s="16" t="inlineStr">
        <is>
          <t>2 Jun</t>
        </is>
      </c>
      <c r="B69" s="16" t="inlineStr">
        <is>
          <t>39195</t>
        </is>
      </c>
      <c r="C69" s="16" t="n">
        <v>121</v>
      </c>
      <c r="D69" s="16" t="n">
        <v>110</v>
      </c>
      <c r="E69" s="16" t="n">
        <v>110</v>
      </c>
      <c r="F69" s="38" t="n">
        <v>653</v>
      </c>
      <c r="G69" s="38" t="n">
        <v>666</v>
      </c>
      <c r="H69" s="38" t="n">
        <v>653</v>
      </c>
      <c r="I69" s="38" t="n">
        <v>666</v>
      </c>
      <c r="J69" s="19">
        <f>(I69-H69)/1000</f>
        <v/>
      </c>
      <c r="K69" s="16" t="inlineStr">
        <is>
          <t>Yes</t>
        </is>
      </c>
      <c r="L69" s="16" t="n">
        <v>1</v>
      </c>
      <c r="M6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70" ht="139" customHeight="1">
      <c r="A70" s="31" t="inlineStr">
        <is>
          <t>2 Jun</t>
        </is>
      </c>
      <c r="B70" s="31" t="inlineStr">
        <is>
          <t>11426</t>
        </is>
      </c>
      <c r="C70" s="31" t="n">
        <v>1</v>
      </c>
      <c r="D70" s="31" t="n">
        <v>0</v>
      </c>
      <c r="E70" s="31" t="n">
        <v>0</v>
      </c>
      <c r="F70" s="40" t="inlineStr">
        <is>
          <t>-</t>
        </is>
      </c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1" t="n">
        <v>0</v>
      </c>
      <c r="K70" s="31" t="inlineStr">
        <is>
          <t>No</t>
        </is>
      </c>
      <c r="L70" s="31" t="n">
        <v>0</v>
      </c>
      <c r="M7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1" ht="139" customHeight="1">
      <c r="A71" s="31" t="inlineStr">
        <is>
          <t>2 Jun</t>
        </is>
      </c>
      <c r="B71" s="31" t="inlineStr">
        <is>
          <t>38253</t>
        </is>
      </c>
      <c r="C71" s="31" t="n">
        <v>5</v>
      </c>
      <c r="D71" s="31" t="n">
        <v>0</v>
      </c>
      <c r="E71" s="31" t="n">
        <v>0</v>
      </c>
      <c r="F71" s="40" t="inlineStr">
        <is>
          <t>-</t>
        </is>
      </c>
      <c r="G71" s="40" t="inlineStr">
        <is>
          <t>-</t>
        </is>
      </c>
      <c r="H71" s="40" t="inlineStr">
        <is>
          <t>-</t>
        </is>
      </c>
      <c r="I71" s="40" t="inlineStr">
        <is>
          <t>-</t>
        </is>
      </c>
      <c r="J71" s="41" t="n">
        <v>0</v>
      </c>
      <c r="K71" s="31" t="inlineStr">
        <is>
          <t>No</t>
        </is>
      </c>
      <c r="L71" s="31" t="n">
        <v>0</v>
      </c>
      <c r="M7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2" ht="139" customHeight="1">
      <c r="A72" s="31" t="inlineStr">
        <is>
          <t>2 Jun</t>
        </is>
      </c>
      <c r="B72" s="31" t="inlineStr">
        <is>
          <t>42336</t>
        </is>
      </c>
      <c r="C72" s="31" t="n">
        <v>4</v>
      </c>
      <c r="D72" s="31" t="n">
        <v>0</v>
      </c>
      <c r="E72" s="31" t="n">
        <v>0</v>
      </c>
      <c r="F72" s="40" t="inlineStr">
        <is>
          <t>-</t>
        </is>
      </c>
      <c r="G72" s="40" t="inlineStr">
        <is>
          <t>-</t>
        </is>
      </c>
      <c r="H72" s="40" t="inlineStr">
        <is>
          <t>-</t>
        </is>
      </c>
      <c r="I72" s="40" t="inlineStr">
        <is>
          <t>-</t>
        </is>
      </c>
      <c r="J72" s="41" t="n">
        <v>0</v>
      </c>
      <c r="K72" s="31" t="inlineStr">
        <is>
          <t>No</t>
        </is>
      </c>
      <c r="L72" s="31" t="n">
        <v>0</v>
      </c>
      <c r="M7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3">
      <c r="A73" s="16" t="inlineStr">
        <is>
          <t>3 Jun</t>
        </is>
      </c>
      <c r="B73" s="16" t="inlineStr">
        <is>
          <t>35001</t>
        </is>
      </c>
      <c r="C73" s="16" t="n">
        <v>23445</v>
      </c>
      <c r="D73" s="16" t="n">
        <v>23418</v>
      </c>
      <c r="E73" s="16" t="n">
        <v>23145</v>
      </c>
      <c r="F73" s="38" t="n">
        <v>64</v>
      </c>
      <c r="G73" s="38" t="n">
        <v>246071</v>
      </c>
      <c r="H73" s="38" t="n">
        <v>342</v>
      </c>
      <c r="I73" s="38" t="n">
        <v>244368</v>
      </c>
      <c r="J73" s="19">
        <f>(I73-H73)/1000</f>
        <v/>
      </c>
      <c r="K73" s="16" t="inlineStr">
        <is>
          <t>Yes</t>
        </is>
      </c>
      <c r="L73" s="16" t="n">
        <v>60</v>
      </c>
      <c r="M73" s="39" t="inlineStr">
        <is>
          <t>- (full trip)</t>
        </is>
      </c>
    </row>
    <row r="74">
      <c r="A74" s="16" t="inlineStr">
        <is>
          <t>3 Jun</t>
        </is>
      </c>
      <c r="B74" s="16" t="inlineStr">
        <is>
          <t>30508</t>
        </is>
      </c>
      <c r="C74" s="16" t="n">
        <v>10692</v>
      </c>
      <c r="D74" s="16" t="n">
        <v>10672</v>
      </c>
      <c r="E74" s="16" t="n">
        <v>10664</v>
      </c>
      <c r="F74" s="38" t="n">
        <v>688</v>
      </c>
      <c r="G74" s="38" t="n">
        <v>244598</v>
      </c>
      <c r="H74" s="38" t="n">
        <v>688</v>
      </c>
      <c r="I74" s="38" t="n">
        <v>244375</v>
      </c>
      <c r="J74" s="19">
        <f>(I74-H74)/1000</f>
        <v/>
      </c>
      <c r="K74" s="16" t="inlineStr">
        <is>
          <t>Yes</t>
        </is>
      </c>
      <c r="L74" s="16" t="n">
        <v>60</v>
      </c>
      <c r="M74" s="39" t="inlineStr">
        <is>
          <t>- (full trip)</t>
        </is>
      </c>
    </row>
    <row r="75">
      <c r="A75" s="16" t="inlineStr">
        <is>
          <t>3 Jun</t>
        </is>
      </c>
      <c r="B75" s="16" t="inlineStr">
        <is>
          <t>37778</t>
        </is>
      </c>
      <c r="C75" s="16" t="n">
        <v>9314</v>
      </c>
      <c r="D75" s="16" t="n">
        <v>9309</v>
      </c>
      <c r="E75" s="16" t="n">
        <v>9296</v>
      </c>
      <c r="F75" s="38" t="n">
        <v>11448</v>
      </c>
      <c r="G75" s="38" t="n">
        <v>244637</v>
      </c>
      <c r="H75" s="38" t="n">
        <v>11448</v>
      </c>
      <c r="I75" s="38" t="n">
        <v>244367</v>
      </c>
      <c r="J75" s="19">
        <f>(I75-H75)/1000</f>
        <v/>
      </c>
      <c r="K75" s="16" t="inlineStr">
        <is>
          <t>Yes</t>
        </is>
      </c>
      <c r="L75" s="16" t="n">
        <v>55</v>
      </c>
      <c r="M75" s="39" t="inlineStr">
        <is>
          <t>Howrah, Howrah Sorting Yard, Liluah, Belur, Bally</t>
        </is>
      </c>
    </row>
    <row r="76">
      <c r="A76" s="16" t="inlineStr">
        <is>
          <t>3 Jun</t>
        </is>
      </c>
      <c r="B76" s="16" t="inlineStr">
        <is>
          <t>30468</t>
        </is>
      </c>
      <c r="C76" s="16" t="n">
        <v>3956</v>
      </c>
      <c r="D76" s="16" t="n">
        <v>3952</v>
      </c>
      <c r="E76" s="16" t="n">
        <v>3948</v>
      </c>
      <c r="F76" s="38" t="n">
        <v>12208</v>
      </c>
      <c r="G76" s="38" t="n">
        <v>244560</v>
      </c>
      <c r="H76" s="38" t="n">
        <v>12208</v>
      </c>
      <c r="I76" s="38" t="n">
        <v>244371</v>
      </c>
      <c r="J76" s="19">
        <f>(I76-H76)/1000</f>
        <v/>
      </c>
      <c r="K76" s="16" t="inlineStr">
        <is>
          <t>Yes</t>
        </is>
      </c>
      <c r="L76" s="16" t="n">
        <v>55</v>
      </c>
      <c r="M76" s="39" t="inlineStr">
        <is>
          <t>Howrah, Howrah Sorting Yard, Liluah, Belur, Bally</t>
        </is>
      </c>
    </row>
    <row r="77" ht="34" customHeight="1">
      <c r="A77" s="16" t="inlineStr">
        <is>
          <t>3 Jun</t>
        </is>
      </c>
      <c r="B77" s="16" t="inlineStr">
        <is>
          <t>30692</t>
        </is>
      </c>
      <c r="C77" s="16" t="n">
        <v>8186</v>
      </c>
      <c r="D77" s="16" t="n">
        <v>8181</v>
      </c>
      <c r="E77" s="16" t="n">
        <v>8172</v>
      </c>
      <c r="F77" s="38" t="n">
        <v>24342</v>
      </c>
      <c r="G77" s="38" t="n">
        <v>244614</v>
      </c>
      <c r="H77" s="38" t="n">
        <v>24342</v>
      </c>
      <c r="I77" s="38" t="n">
        <v>244348</v>
      </c>
      <c r="J77" s="19">
        <f>(I77-H77)/1000</f>
        <v/>
      </c>
      <c r="K77" s="16" t="inlineStr">
        <is>
          <t>Yes</t>
        </is>
      </c>
      <c r="L77" s="16" t="n">
        <v>51</v>
      </c>
      <c r="M77" s="39" t="inlineStr">
        <is>
          <t>Howrah, Howrah Sorting Yard, Liluah, Belur, Bally, Belanagar, Dankuni, Janai Road</t>
        </is>
      </c>
    </row>
    <row r="78" ht="34" customHeight="1">
      <c r="A78" s="16" t="inlineStr">
        <is>
          <t>3 Jun</t>
        </is>
      </c>
      <c r="B78" s="16" t="inlineStr">
        <is>
          <t>37720</t>
        </is>
      </c>
      <c r="C78" s="16" t="n">
        <v>9639</v>
      </c>
      <c r="D78" s="16" t="n">
        <v>9607</v>
      </c>
      <c r="E78" s="16" t="n">
        <v>9607</v>
      </c>
      <c r="F78" s="38" t="n">
        <v>12134</v>
      </c>
      <c r="G78" s="38" t="n">
        <v>226393</v>
      </c>
      <c r="H78" s="38" t="n">
        <v>12134</v>
      </c>
      <c r="I78" s="38" t="n">
        <v>226393</v>
      </c>
      <c r="J78" s="19">
        <f>(I78-H78)/1000</f>
        <v/>
      </c>
      <c r="K78" s="16" t="inlineStr">
        <is>
          <t>Yes</t>
        </is>
      </c>
      <c r="L78" s="16" t="n">
        <v>51</v>
      </c>
      <c r="M78" s="39" t="inlineStr">
        <is>
          <t>Howrah, Howrah Sorting Yard, Liluah, Belur, Bally, Thaparnagar, Kalubathan, Chhota Ambana</t>
        </is>
      </c>
    </row>
    <row r="79" ht="34" customHeight="1">
      <c r="A79" s="16" t="inlineStr">
        <is>
          <t>3 Jun</t>
        </is>
      </c>
      <c r="B79" s="16" t="inlineStr">
        <is>
          <t>39060</t>
        </is>
      </c>
      <c r="C79" s="16" t="n">
        <v>7455</v>
      </c>
      <c r="D79" s="16" t="n">
        <v>7427</v>
      </c>
      <c r="E79" s="16" t="n">
        <v>7427</v>
      </c>
      <c r="F79" s="38" t="n">
        <v>350</v>
      </c>
      <c r="G79" s="38" t="n">
        <v>200100</v>
      </c>
      <c r="H79" s="38" t="n">
        <v>350</v>
      </c>
      <c r="I79" s="38" t="n">
        <v>200100</v>
      </c>
      <c r="J79" s="19">
        <f>(I79-H79)/1000</f>
        <v/>
      </c>
      <c r="K79" s="16" t="inlineStr">
        <is>
          <t>Yes</t>
        </is>
      </c>
      <c r="L79" s="16" t="n">
        <v>50</v>
      </c>
      <c r="M79" s="39" t="inlineStr">
        <is>
          <t>Barachak Jn, Sitarampur Central, Kulti, Barakar, Kumardubi, Mugma, Thaparnagar, Kalubathan, Chhota Ambana</t>
        </is>
      </c>
    </row>
    <row r="80" ht="34" customHeight="1">
      <c r="A80" s="16" t="inlineStr">
        <is>
          <t>3 Jun</t>
        </is>
      </c>
      <c r="B80" s="16" t="inlineStr">
        <is>
          <t>37481</t>
        </is>
      </c>
      <c r="C80" s="16" t="n">
        <v>5559</v>
      </c>
      <c r="D80" s="16" t="n">
        <v>5530</v>
      </c>
      <c r="E80" s="16" t="n">
        <v>5530</v>
      </c>
      <c r="F80" s="38" t="n">
        <v>350</v>
      </c>
      <c r="G80" s="38" t="n">
        <v>200088</v>
      </c>
      <c r="H80" s="38" t="n">
        <v>350</v>
      </c>
      <c r="I80" s="38" t="n">
        <v>200088</v>
      </c>
      <c r="J80" s="19">
        <f>(I80-H80)/1000</f>
        <v/>
      </c>
      <c r="K80" s="16" t="inlineStr">
        <is>
          <t>Yes</t>
        </is>
      </c>
      <c r="L80" s="16" t="n">
        <v>50</v>
      </c>
      <c r="M80" s="39" t="inlineStr">
        <is>
          <t>Barachak Jn, Sitarampur Central, Kulti, Barakar, Kumardubi, Mugma, Thaparnagar, Kalubathan, Chhota Ambana</t>
        </is>
      </c>
    </row>
    <row r="81" ht="34" customHeight="1">
      <c r="A81" s="16" t="inlineStr">
        <is>
          <t>3 Jun</t>
        </is>
      </c>
      <c r="B81" s="16" t="inlineStr">
        <is>
          <t>37898</t>
        </is>
      </c>
      <c r="C81" s="16" t="n">
        <v>10395</v>
      </c>
      <c r="D81" s="16" t="n">
        <v>10321</v>
      </c>
      <c r="E81" s="16" t="n">
        <v>10321</v>
      </c>
      <c r="F81" s="38" t="n">
        <v>350</v>
      </c>
      <c r="G81" s="38" t="n">
        <v>200080</v>
      </c>
      <c r="H81" s="38" t="n">
        <v>350</v>
      </c>
      <c r="I81" s="38" t="n">
        <v>200080</v>
      </c>
      <c r="J81" s="19">
        <f>(I81-H81)/1000</f>
        <v/>
      </c>
      <c r="K81" s="16" t="inlineStr">
        <is>
          <t>Yes</t>
        </is>
      </c>
      <c r="L81" s="16" t="n">
        <v>50</v>
      </c>
      <c r="M81" s="39" t="inlineStr">
        <is>
          <t>Barachak Jn, Sitarampur Central, Kulti, Barakar, Kumardubi, Mugma, Thaparnagar, Kalubathan, Chhota Ambana</t>
        </is>
      </c>
    </row>
    <row r="82" ht="34" customHeight="1">
      <c r="A82" s="16" t="inlineStr">
        <is>
          <t>3 Jun</t>
        </is>
      </c>
      <c r="B82" s="16" t="inlineStr">
        <is>
          <t>37502</t>
        </is>
      </c>
      <c r="C82" s="16" t="n">
        <v>7527</v>
      </c>
      <c r="D82" s="16" t="n">
        <v>7504</v>
      </c>
      <c r="E82" s="16" t="n">
        <v>7504</v>
      </c>
      <c r="F82" s="38" t="n">
        <v>688</v>
      </c>
      <c r="G82" s="38" t="n">
        <v>200084</v>
      </c>
      <c r="H82" s="38" t="n">
        <v>688</v>
      </c>
      <c r="I82" s="38" t="n">
        <v>200084</v>
      </c>
      <c r="J82" s="19">
        <f>(I82-H82)/1000</f>
        <v/>
      </c>
      <c r="K82" s="16" t="inlineStr">
        <is>
          <t>Yes</t>
        </is>
      </c>
      <c r="L82" s="16" t="n">
        <v>50</v>
      </c>
      <c r="M82" s="39" t="inlineStr">
        <is>
          <t>Barachak Jn, Sitarampur Central, Kulti, Barakar, Kumardubi, Mugma, Thaparnagar, Kalubathan, Chhota Ambana</t>
        </is>
      </c>
    </row>
    <row r="83" ht="34" customHeight="1">
      <c r="A83" s="16" t="inlineStr">
        <is>
          <t>3 Jun</t>
        </is>
      </c>
      <c r="B83" s="16" t="inlineStr">
        <is>
          <t>37034</t>
        </is>
      </c>
      <c r="C83" s="16" t="n">
        <v>11551</v>
      </c>
      <c r="D83" s="16" t="n">
        <v>11512</v>
      </c>
      <c r="E83" s="16" t="n">
        <v>11340</v>
      </c>
      <c r="F83" s="38" t="n">
        <v>28</v>
      </c>
      <c r="G83" s="38" t="n">
        <v>199538</v>
      </c>
      <c r="H83" s="38" t="n">
        <v>342</v>
      </c>
      <c r="I83" s="38" t="n">
        <v>199538</v>
      </c>
      <c r="J83" s="19">
        <f>(I83-H83)/1000</f>
        <v/>
      </c>
      <c r="K83" s="16" t="inlineStr">
        <is>
          <t>Yes</t>
        </is>
      </c>
      <c r="L83" s="16" t="n">
        <v>50</v>
      </c>
      <c r="M83" s="39" t="inlineStr">
        <is>
          <t>Barachak Jn, Sitarampur Central, Kulti, Barakar, Kumardubi, Mugma, Thaparnagar, Kalubathan, Chhota Ambana</t>
        </is>
      </c>
    </row>
    <row r="84" ht="34" customHeight="1">
      <c r="A84" s="16" t="inlineStr">
        <is>
          <t>3 Jun</t>
        </is>
      </c>
      <c r="B84" s="16" t="inlineStr">
        <is>
          <t>30639</t>
        </is>
      </c>
      <c r="C84" s="16" t="n">
        <v>11861</v>
      </c>
      <c r="D84" s="16" t="n">
        <v>11812</v>
      </c>
      <c r="E84" s="16" t="n">
        <v>11624</v>
      </c>
      <c r="F84" s="38" t="n">
        <v>21</v>
      </c>
      <c r="G84" s="38" t="n">
        <v>199537</v>
      </c>
      <c r="H84" s="38" t="n">
        <v>344</v>
      </c>
      <c r="I84" s="38" t="n">
        <v>199537</v>
      </c>
      <c r="J84" s="19">
        <f>(I84-H84)/1000</f>
        <v/>
      </c>
      <c r="K84" s="16" t="inlineStr">
        <is>
          <t>Yes</t>
        </is>
      </c>
      <c r="L84" s="16" t="n">
        <v>50</v>
      </c>
      <c r="M84" s="39" t="inlineStr">
        <is>
          <t>Barachak Jn, Sitarampur Central, Kulti, Barakar, Kumardubi, Mugma, Thaparnagar, Kalubathan, Chhota Ambana</t>
        </is>
      </c>
    </row>
    <row r="85" ht="34" customHeight="1">
      <c r="A85" s="16" t="inlineStr">
        <is>
          <t>3 Jun</t>
        </is>
      </c>
      <c r="B85" s="16" t="inlineStr">
        <is>
          <t>37168</t>
        </is>
      </c>
      <c r="C85" s="16" t="n">
        <v>7553</v>
      </c>
      <c r="D85" s="16" t="n">
        <v>7484</v>
      </c>
      <c r="E85" s="16" t="n">
        <v>7484</v>
      </c>
      <c r="F85" s="38" t="n">
        <v>350</v>
      </c>
      <c r="G85" s="38" t="n">
        <v>199538</v>
      </c>
      <c r="H85" s="38" t="n">
        <v>350</v>
      </c>
      <c r="I85" s="38" t="n">
        <v>199538</v>
      </c>
      <c r="J85" s="19">
        <f>(I85-H85)/1000</f>
        <v/>
      </c>
      <c r="K85" s="16" t="inlineStr">
        <is>
          <t>Yes</t>
        </is>
      </c>
      <c r="L85" s="16" t="n">
        <v>50</v>
      </c>
      <c r="M85" s="39" t="inlineStr">
        <is>
          <t>Barachak Jn, Sitarampur Central, Kulti, Barakar, Kumardubi, Mugma, Thaparnagar, Kalubathan, Chhota Ambana</t>
        </is>
      </c>
    </row>
    <row r="86" ht="34" customHeight="1">
      <c r="A86" s="16" t="inlineStr">
        <is>
          <t>3 Jun</t>
        </is>
      </c>
      <c r="B86" s="16" t="inlineStr">
        <is>
          <t>37586</t>
        </is>
      </c>
      <c r="C86" s="16" t="n">
        <v>9654</v>
      </c>
      <c r="D86" s="16" t="n">
        <v>9633</v>
      </c>
      <c r="E86" s="16" t="n">
        <v>9518</v>
      </c>
      <c r="F86" s="38" t="n">
        <v>35</v>
      </c>
      <c r="G86" s="38" t="n">
        <v>199534</v>
      </c>
      <c r="H86" s="38" t="n">
        <v>342</v>
      </c>
      <c r="I86" s="38" t="n">
        <v>199534</v>
      </c>
      <c r="J86" s="19">
        <f>(I86-H86)/1000</f>
        <v/>
      </c>
      <c r="K86" s="16" t="inlineStr">
        <is>
          <t>Yes</t>
        </is>
      </c>
      <c r="L86" s="16" t="n">
        <v>50</v>
      </c>
      <c r="M86" s="39" t="inlineStr">
        <is>
          <t>Barachak Jn, Sitarampur Central, Kulti, Barakar, Kumardubi, Mugma, Thaparnagar, Kalubathan, Chhota Ambana</t>
        </is>
      </c>
    </row>
    <row r="87" ht="34" customHeight="1">
      <c r="A87" s="16" t="inlineStr">
        <is>
          <t>3 Jun</t>
        </is>
      </c>
      <c r="B87" s="16" t="inlineStr">
        <is>
          <t>37859</t>
        </is>
      </c>
      <c r="C87" s="16" t="n">
        <v>11647</v>
      </c>
      <c r="D87" s="16" t="n">
        <v>11596</v>
      </c>
      <c r="E87" s="16" t="n">
        <v>11596</v>
      </c>
      <c r="F87" s="38" t="n">
        <v>350</v>
      </c>
      <c r="G87" s="38" t="n">
        <v>199388</v>
      </c>
      <c r="H87" s="38" t="n">
        <v>350</v>
      </c>
      <c r="I87" s="38" t="n">
        <v>199388</v>
      </c>
      <c r="J87" s="19">
        <f>(I87-H87)/1000</f>
        <v/>
      </c>
      <c r="K87" s="16" t="inlineStr">
        <is>
          <t>Yes</t>
        </is>
      </c>
      <c r="L87" s="16" t="n">
        <v>50</v>
      </c>
      <c r="M87" s="39" t="inlineStr">
        <is>
          <t>Barachak Jn, Sitarampur Central, Kulti, Barakar, Kumardubi, Mugma, Thaparnagar, Kalubathan, Chhota Ambana</t>
        </is>
      </c>
    </row>
    <row r="88" ht="34" customHeight="1">
      <c r="A88" s="16" t="inlineStr">
        <is>
          <t>3 Jun</t>
        </is>
      </c>
      <c r="B88" s="16" t="inlineStr">
        <is>
          <t>39195</t>
        </is>
      </c>
      <c r="C88" s="16" t="n">
        <v>6716</v>
      </c>
      <c r="D88" s="16" t="n">
        <v>6715</v>
      </c>
      <c r="E88" s="16" t="n">
        <v>6715</v>
      </c>
      <c r="F88" s="38" t="n">
        <v>666</v>
      </c>
      <c r="G88" s="38" t="n">
        <v>197228</v>
      </c>
      <c r="H88" s="38" t="n">
        <v>666</v>
      </c>
      <c r="I88" s="38" t="n">
        <v>197228</v>
      </c>
      <c r="J88" s="19">
        <f>(I88-H88)/1000</f>
        <v/>
      </c>
      <c r="K88" s="16" t="inlineStr">
        <is>
          <t>Yes</t>
        </is>
      </c>
      <c r="L88" s="16" t="n">
        <v>50</v>
      </c>
      <c r="M88" s="39" t="inlineStr">
        <is>
          <t>Barachak Jn, Sitarampur Central, Kulti, Barakar, Kumardubi, Mugma, Thaparnagar, Kalubathan, Chhota Ambana</t>
        </is>
      </c>
    </row>
    <row r="89" ht="49" customHeight="1">
      <c r="A89" s="16" t="inlineStr">
        <is>
          <t>3 Jun</t>
        </is>
      </c>
      <c r="B89" s="16" t="inlineStr">
        <is>
          <t>39263</t>
        </is>
      </c>
      <c r="C89" s="16" t="n">
        <v>7140</v>
      </c>
      <c r="D89" s="16" t="n">
        <v>7129</v>
      </c>
      <c r="E89" s="16" t="n">
        <v>7119</v>
      </c>
      <c r="F89" s="38" t="n">
        <v>67807</v>
      </c>
      <c r="G89" s="38" t="n">
        <v>244622</v>
      </c>
      <c r="H89" s="38" t="n">
        <v>67807</v>
      </c>
      <c r="I89" s="38" t="n">
        <v>244338</v>
      </c>
      <c r="J89" s="19">
        <f>(I89-H89)/1000</f>
        <v/>
      </c>
      <c r="K89" s="16" t="inlineStr">
        <is>
          <t>Yes</t>
        </is>
      </c>
      <c r="L89" s="16" t="n">
        <v>41</v>
      </c>
      <c r="M89" s="39" t="inlineStr">
        <is>
          <t>Howrah, Howrah Sorting Yard, Liluah, Belur, Bally, Belanagar, Dankuni, Janai Road, Baruipara, Kamarkundu, LC-31, Chandanpur, LC-38, Belmuri, Cheragram, LC-41, Gurap, LC-48</t>
        </is>
      </c>
    </row>
    <row r="90" ht="79" customHeight="1">
      <c r="A90" s="16" t="inlineStr">
        <is>
          <t>3 Jun</t>
        </is>
      </c>
      <c r="B90" s="16" t="inlineStr">
        <is>
          <t>37585</t>
        </is>
      </c>
      <c r="C90" s="16" t="n">
        <v>4717</v>
      </c>
      <c r="D90" s="16" t="n">
        <v>4712</v>
      </c>
      <c r="E90" s="16" t="n">
        <v>4702</v>
      </c>
      <c r="F90" s="38" t="n">
        <v>121009</v>
      </c>
      <c r="G90" s="38" t="n">
        <v>308302</v>
      </c>
      <c r="H90" s="38" t="n">
        <v>121009</v>
      </c>
      <c r="I90" s="38" t="n">
        <v>244357</v>
      </c>
      <c r="J90" s="19">
        <f>(I90-H90)/1000</f>
        <v/>
      </c>
      <c r="K90" s="16" t="inlineStr">
        <is>
          <t>Yes</t>
        </is>
      </c>
      <c r="L90" s="16" t="n">
        <v>29</v>
      </c>
      <c r="M90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</t>
        </is>
      </c>
    </row>
    <row r="91" ht="94" customHeight="1">
      <c r="A91" s="16" t="inlineStr">
        <is>
          <t>3 Jun</t>
        </is>
      </c>
      <c r="B91" s="16" t="inlineStr">
        <is>
          <t>39411</t>
        </is>
      </c>
      <c r="C91" s="16" t="n">
        <v>3130</v>
      </c>
      <c r="D91" s="16" t="n">
        <v>3111</v>
      </c>
      <c r="E91" s="16" t="n">
        <v>3111</v>
      </c>
      <c r="F91" s="38" t="n">
        <v>689</v>
      </c>
      <c r="G91" s="38" t="n">
        <v>96572</v>
      </c>
      <c r="H91" s="38" t="n">
        <v>689</v>
      </c>
      <c r="I91" s="38" t="n">
        <v>96572</v>
      </c>
      <c r="J91" s="19">
        <f>(I91-H91)/1000</f>
        <v/>
      </c>
      <c r="K91" s="16" t="inlineStr">
        <is>
          <t>Yes</t>
        </is>
      </c>
      <c r="L91" s="16" t="n">
        <v>26</v>
      </c>
      <c r="M9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2" ht="94" customHeight="1">
      <c r="A92" s="16" t="inlineStr">
        <is>
          <t>3 Jun</t>
        </is>
      </c>
      <c r="B92" s="16" t="inlineStr">
        <is>
          <t>30487</t>
        </is>
      </c>
      <c r="C92" s="16" t="n">
        <v>5010</v>
      </c>
      <c r="D92" s="16" t="n">
        <v>5005</v>
      </c>
      <c r="E92" s="16" t="n">
        <v>5005</v>
      </c>
      <c r="F92" s="38" t="n">
        <v>12113</v>
      </c>
      <c r="G92" s="38" t="n">
        <v>107302</v>
      </c>
      <c r="H92" s="38" t="n">
        <v>12113</v>
      </c>
      <c r="I92" s="38" t="n">
        <v>107302</v>
      </c>
      <c r="J92" s="19">
        <f>(I92-H92)/1000</f>
        <v/>
      </c>
      <c r="K92" s="16" t="inlineStr">
        <is>
          <t>Yes</t>
        </is>
      </c>
      <c r="L92" s="16" t="n">
        <v>24</v>
      </c>
      <c r="M92" s="39" t="inlineStr">
        <is>
          <t>Howrah, Howrah Sorting Yard, Liluah, Belur, Bally,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3" ht="94" customHeight="1">
      <c r="A93" s="16" t="inlineStr">
        <is>
          <t>3 Jun</t>
        </is>
      </c>
      <c r="B93" s="16" t="inlineStr">
        <is>
          <t>39132</t>
        </is>
      </c>
      <c r="C93" s="16" t="n">
        <v>3490</v>
      </c>
      <c r="D93" s="16" t="n">
        <v>3427</v>
      </c>
      <c r="E93" s="16" t="n">
        <v>3427</v>
      </c>
      <c r="F93" s="38" t="n">
        <v>350</v>
      </c>
      <c r="G93" s="38" t="n">
        <v>94735</v>
      </c>
      <c r="H93" s="38" t="n">
        <v>350</v>
      </c>
      <c r="I93" s="38" t="n">
        <v>94735</v>
      </c>
      <c r="J93" s="19">
        <f>(I93-H93)/1000</f>
        <v/>
      </c>
      <c r="K93" s="16" t="inlineStr">
        <is>
          <t>Yes</t>
        </is>
      </c>
      <c r="L93" s="16" t="n">
        <v>26</v>
      </c>
      <c r="M9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4" ht="94" customHeight="1">
      <c r="A94" s="16" t="inlineStr">
        <is>
          <t>3 Jun</t>
        </is>
      </c>
      <c r="B94" s="16" t="inlineStr">
        <is>
          <t>37081</t>
        </is>
      </c>
      <c r="C94" s="16" t="n">
        <v>8511</v>
      </c>
      <c r="D94" s="16" t="n">
        <v>8463</v>
      </c>
      <c r="E94" s="16" t="n">
        <v>8463</v>
      </c>
      <c r="F94" s="38" t="n">
        <v>350</v>
      </c>
      <c r="G94" s="38" t="n">
        <v>94631</v>
      </c>
      <c r="H94" s="38" t="n">
        <v>350</v>
      </c>
      <c r="I94" s="38" t="n">
        <v>94631</v>
      </c>
      <c r="J94" s="19">
        <f>(I94-H94)/1000</f>
        <v/>
      </c>
      <c r="K94" s="16" t="inlineStr">
        <is>
          <t>Yes</t>
        </is>
      </c>
      <c r="L94" s="16" t="n">
        <v>26</v>
      </c>
      <c r="M9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5" ht="94" customHeight="1">
      <c r="A95" s="16" t="inlineStr">
        <is>
          <t>3 Jun</t>
        </is>
      </c>
      <c r="B95" s="16" t="inlineStr">
        <is>
          <t>30112</t>
        </is>
      </c>
      <c r="C95" s="16" t="n">
        <v>12510</v>
      </c>
      <c r="D95" s="16" t="n">
        <v>12297</v>
      </c>
      <c r="E95" s="16" t="n">
        <v>12122</v>
      </c>
      <c r="F95" s="38" t="n">
        <v>33</v>
      </c>
      <c r="G95" s="38" t="n">
        <v>94574</v>
      </c>
      <c r="H95" s="38" t="n">
        <v>344</v>
      </c>
      <c r="I95" s="38" t="n">
        <v>94574</v>
      </c>
      <c r="J95" s="19">
        <f>(I95-H95)/1000</f>
        <v/>
      </c>
      <c r="K95" s="16" t="inlineStr">
        <is>
          <t>Yes</t>
        </is>
      </c>
      <c r="L95" s="16" t="n">
        <v>26</v>
      </c>
      <c r="M9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6" ht="94" customHeight="1">
      <c r="A96" s="16" t="inlineStr">
        <is>
          <t>3 Jun</t>
        </is>
      </c>
      <c r="B96" s="16" t="inlineStr">
        <is>
          <t>37908</t>
        </is>
      </c>
      <c r="C96" s="16" t="n">
        <v>3798</v>
      </c>
      <c r="D96" s="16" t="n">
        <v>3772</v>
      </c>
      <c r="E96" s="16" t="n">
        <v>3772</v>
      </c>
      <c r="F96" s="38" t="n">
        <v>350</v>
      </c>
      <c r="G96" s="38" t="n">
        <v>94374</v>
      </c>
      <c r="H96" s="38" t="n">
        <v>350</v>
      </c>
      <c r="I96" s="38" t="n">
        <v>94374</v>
      </c>
      <c r="J96" s="19">
        <f>(I96-H96)/1000</f>
        <v/>
      </c>
      <c r="K96" s="16" t="inlineStr">
        <is>
          <t>Yes</t>
        </is>
      </c>
      <c r="L96" s="16" t="n">
        <v>26</v>
      </c>
      <c r="M9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7" ht="94" customHeight="1">
      <c r="A97" s="16" t="inlineStr">
        <is>
          <t>3 Jun</t>
        </is>
      </c>
      <c r="B97" s="16" t="inlineStr">
        <is>
          <t>37244</t>
        </is>
      </c>
      <c r="C97" s="16" t="n">
        <v>3333</v>
      </c>
      <c r="D97" s="16" t="n">
        <v>3319</v>
      </c>
      <c r="E97" s="16" t="n">
        <v>3319</v>
      </c>
      <c r="F97" s="38" t="n">
        <v>1471</v>
      </c>
      <c r="G97" s="38" t="n">
        <v>94109</v>
      </c>
      <c r="H97" s="38" t="n">
        <v>1471</v>
      </c>
      <c r="I97" s="38" t="n">
        <v>94109</v>
      </c>
      <c r="J97" s="19">
        <f>(I97-H97)/1000</f>
        <v/>
      </c>
      <c r="K97" s="16" t="inlineStr">
        <is>
          <t>Yes</t>
        </is>
      </c>
      <c r="L97" s="16" t="n">
        <v>26</v>
      </c>
      <c r="M9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8" ht="109" customHeight="1">
      <c r="A98" s="16" t="inlineStr">
        <is>
          <t>3 Jun</t>
        </is>
      </c>
      <c r="B98" s="16" t="inlineStr">
        <is>
          <t>30457</t>
        </is>
      </c>
      <c r="C98" s="16" t="n">
        <v>3246</v>
      </c>
      <c r="D98" s="16" t="n">
        <v>3240</v>
      </c>
      <c r="E98" s="16" t="n">
        <v>3240</v>
      </c>
      <c r="F98" s="38" t="n">
        <v>12122</v>
      </c>
      <c r="G98" s="38" t="n">
        <v>94752</v>
      </c>
      <c r="H98" s="38" t="n">
        <v>12122</v>
      </c>
      <c r="I98" s="38" t="n">
        <v>94752</v>
      </c>
      <c r="J98" s="19">
        <f>(I98-H98)/1000</f>
        <v/>
      </c>
      <c r="K98" s="16" t="inlineStr">
        <is>
          <t>Yes</t>
        </is>
      </c>
      <c r="L98" s="16" t="n">
        <v>21</v>
      </c>
      <c r="M9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99" ht="109" customHeight="1">
      <c r="A99" s="16" t="inlineStr">
        <is>
          <t>3 Jun</t>
        </is>
      </c>
      <c r="B99" s="16" t="inlineStr">
        <is>
          <t>30328</t>
        </is>
      </c>
      <c r="C99" s="16" t="n">
        <v>2934</v>
      </c>
      <c r="D99" s="16" t="n">
        <v>2928</v>
      </c>
      <c r="E99" s="16" t="n">
        <v>2928</v>
      </c>
      <c r="F99" s="38" t="n">
        <v>12122</v>
      </c>
      <c r="G99" s="38" t="n">
        <v>94745</v>
      </c>
      <c r="H99" s="38" t="n">
        <v>12122</v>
      </c>
      <c r="I99" s="38" t="n">
        <v>94745</v>
      </c>
      <c r="J99" s="19">
        <f>(I99-H99)/1000</f>
        <v/>
      </c>
      <c r="K99" s="16" t="inlineStr">
        <is>
          <t>Yes</t>
        </is>
      </c>
      <c r="L99" s="16" t="n">
        <v>21</v>
      </c>
      <c r="M9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0" ht="109" customHeight="1">
      <c r="A100" s="16" t="inlineStr">
        <is>
          <t>3 Jun</t>
        </is>
      </c>
      <c r="B100" s="16" t="inlineStr">
        <is>
          <t>30327</t>
        </is>
      </c>
      <c r="C100" s="16" t="n">
        <v>1856</v>
      </c>
      <c r="D100" s="16" t="n">
        <v>1839</v>
      </c>
      <c r="E100" s="16" t="n">
        <v>1839</v>
      </c>
      <c r="F100" s="38" t="n">
        <v>12113</v>
      </c>
      <c r="G100" s="38" t="n">
        <v>94110</v>
      </c>
      <c r="H100" s="38" t="n">
        <v>12113</v>
      </c>
      <c r="I100" s="38" t="n">
        <v>94110</v>
      </c>
      <c r="J100" s="19">
        <f>(I100-H100)/1000</f>
        <v/>
      </c>
      <c r="K100" s="16" t="inlineStr">
        <is>
          <t>Yes</t>
        </is>
      </c>
      <c r="L100" s="16" t="n">
        <v>21</v>
      </c>
      <c r="M10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1" ht="109" customHeight="1">
      <c r="A101" s="16" t="inlineStr">
        <is>
          <t>3 Jun</t>
        </is>
      </c>
      <c r="B101" s="16" t="inlineStr">
        <is>
          <t>30329</t>
        </is>
      </c>
      <c r="C101" s="16" t="n">
        <v>4174</v>
      </c>
      <c r="D101" s="16" t="n">
        <v>4157</v>
      </c>
      <c r="E101" s="16" t="n">
        <v>4157</v>
      </c>
      <c r="F101" s="38" t="n">
        <v>12120</v>
      </c>
      <c r="G101" s="38" t="n">
        <v>94115</v>
      </c>
      <c r="H101" s="38" t="n">
        <v>12120</v>
      </c>
      <c r="I101" s="38" t="n">
        <v>94115</v>
      </c>
      <c r="J101" s="19">
        <f>(I101-H101)/1000</f>
        <v/>
      </c>
      <c r="K101" s="16" t="inlineStr">
        <is>
          <t>Yes</t>
        </is>
      </c>
      <c r="L101" s="16" t="n">
        <v>21</v>
      </c>
      <c r="M10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2" ht="139" customHeight="1">
      <c r="A102" s="16" t="inlineStr">
        <is>
          <t>3 Jun</t>
        </is>
      </c>
      <c r="B102" s="16" t="inlineStr">
        <is>
          <t>37246</t>
        </is>
      </c>
      <c r="C102" s="16" t="n">
        <v>466</v>
      </c>
      <c r="D102" s="16" t="n">
        <v>442</v>
      </c>
      <c r="E102" s="16" t="n">
        <v>434</v>
      </c>
      <c r="F102" s="38" t="n">
        <v>324</v>
      </c>
      <c r="G102" s="38" t="n">
        <v>860</v>
      </c>
      <c r="H102" s="38" t="n">
        <v>342</v>
      </c>
      <c r="I102" s="38" t="n">
        <v>860</v>
      </c>
      <c r="J102" s="19">
        <f>(I102-H102)/1000</f>
        <v/>
      </c>
      <c r="K102" s="16" t="inlineStr">
        <is>
          <t>Yes</t>
        </is>
      </c>
      <c r="L102" s="16" t="n">
        <v>1</v>
      </c>
      <c r="M102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03" ht="139" customHeight="1">
      <c r="A103" s="16" t="inlineStr">
        <is>
          <t>3 Jun</t>
        </is>
      </c>
      <c r="B103" s="16" t="inlineStr">
        <is>
          <t>42336</t>
        </is>
      </c>
      <c r="C103" s="16" t="n">
        <v>2759</v>
      </c>
      <c r="D103" s="16" t="n">
        <v>413</v>
      </c>
      <c r="E103" s="16" t="n">
        <v>209</v>
      </c>
      <c r="F103" s="38" t="n">
        <v>50</v>
      </c>
      <c r="G103" s="38" t="n">
        <v>574</v>
      </c>
      <c r="H103" s="38" t="n">
        <v>342</v>
      </c>
      <c r="I103" s="38" t="n">
        <v>574</v>
      </c>
      <c r="J103" s="19">
        <f>(I103-H103)/1000</f>
        <v/>
      </c>
      <c r="K103" s="16" t="inlineStr">
        <is>
          <t>Yes</t>
        </is>
      </c>
      <c r="L103" s="16" t="n">
        <v>1</v>
      </c>
      <c r="M103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04" ht="139" customHeight="1">
      <c r="A104" s="31" t="inlineStr">
        <is>
          <t>3 Jun</t>
        </is>
      </c>
      <c r="B104" s="31" t="inlineStr">
        <is>
          <t>30321</t>
        </is>
      </c>
      <c r="C104" s="31" t="n">
        <v>16</v>
      </c>
      <c r="D104" s="31" t="n">
        <v>11</v>
      </c>
      <c r="E104" s="31" t="n">
        <v>11</v>
      </c>
      <c r="F104" s="40" t="n">
        <v>94739</v>
      </c>
      <c r="G104" s="40" t="n">
        <v>94739</v>
      </c>
      <c r="H104" s="40" t="n">
        <v>94739</v>
      </c>
      <c r="I104" s="40" t="n">
        <v>94739</v>
      </c>
      <c r="J104" s="41">
        <f>(I104-H104)/1000</f>
        <v/>
      </c>
      <c r="K104" s="31" t="inlineStr">
        <is>
          <t>No</t>
        </is>
      </c>
      <c r="L104" s="31" t="n">
        <v>1</v>
      </c>
      <c r="M10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05" ht="139" customHeight="1">
      <c r="A105" s="31" t="inlineStr">
        <is>
          <t>3 Jun</t>
        </is>
      </c>
      <c r="B105" s="31" t="inlineStr">
        <is>
          <t>30742</t>
        </is>
      </c>
      <c r="C105" s="31" t="n">
        <v>33</v>
      </c>
      <c r="D105" s="31" t="n">
        <v>0</v>
      </c>
      <c r="E105" s="31" t="n">
        <v>0</v>
      </c>
      <c r="F105" s="40" t="inlineStr">
        <is>
          <t>-</t>
        </is>
      </c>
      <c r="G105" s="40" t="inlineStr">
        <is>
          <t>-</t>
        </is>
      </c>
      <c r="H105" s="40" t="inlineStr">
        <is>
          <t>-</t>
        </is>
      </c>
      <c r="I105" s="40" t="inlineStr">
        <is>
          <t>-</t>
        </is>
      </c>
      <c r="J105" s="41" t="n">
        <v>0</v>
      </c>
      <c r="K105" s="31" t="inlineStr">
        <is>
          <t>No</t>
        </is>
      </c>
      <c r="L105" s="31" t="n">
        <v>0</v>
      </c>
      <c r="M10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06" ht="139" customHeight="1">
      <c r="A106" s="31" t="inlineStr">
        <is>
          <t>3 Jun</t>
        </is>
      </c>
      <c r="B106" s="31" t="inlineStr">
        <is>
          <t>37215</t>
        </is>
      </c>
      <c r="C106" s="31" t="n">
        <v>4</v>
      </c>
      <c r="D106" s="31" t="n">
        <v>0</v>
      </c>
      <c r="E106" s="31" t="n">
        <v>0</v>
      </c>
      <c r="F106" s="40" t="inlineStr">
        <is>
          <t>-</t>
        </is>
      </c>
      <c r="G106" s="40" t="inlineStr">
        <is>
          <t>-</t>
        </is>
      </c>
      <c r="H106" s="40" t="inlineStr">
        <is>
          <t>-</t>
        </is>
      </c>
      <c r="I106" s="40" t="inlineStr">
        <is>
          <t>-</t>
        </is>
      </c>
      <c r="J106" s="41" t="n">
        <v>0</v>
      </c>
      <c r="K106" s="31" t="inlineStr">
        <is>
          <t>No</t>
        </is>
      </c>
      <c r="L106" s="31" t="n">
        <v>0</v>
      </c>
      <c r="M10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07" ht="139" customHeight="1">
      <c r="A107" s="31" t="inlineStr">
        <is>
          <t>3 Jun</t>
        </is>
      </c>
      <c r="B107" s="31" t="inlineStr">
        <is>
          <t>37403</t>
        </is>
      </c>
      <c r="C107" s="31" t="n">
        <v>5</v>
      </c>
      <c r="D107" s="31" t="n">
        <v>0</v>
      </c>
      <c r="E107" s="31" t="n">
        <v>0</v>
      </c>
      <c r="F107" s="40" t="inlineStr">
        <is>
          <t>-</t>
        </is>
      </c>
      <c r="G107" s="40" t="inlineStr">
        <is>
          <t>-</t>
        </is>
      </c>
      <c r="H107" s="40" t="inlineStr">
        <is>
          <t>-</t>
        </is>
      </c>
      <c r="I107" s="40" t="inlineStr">
        <is>
          <t>-</t>
        </is>
      </c>
      <c r="J107" s="41" t="n">
        <v>0</v>
      </c>
      <c r="K107" s="31" t="inlineStr">
        <is>
          <t>No</t>
        </is>
      </c>
      <c r="L107" s="31" t="n">
        <v>0</v>
      </c>
      <c r="M10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08">
      <c r="A108" s="16" t="inlineStr">
        <is>
          <t>4 Jun</t>
        </is>
      </c>
      <c r="B108" s="16" t="inlineStr">
        <is>
          <t>35001</t>
        </is>
      </c>
      <c r="C108" s="16" t="n">
        <v>19777</v>
      </c>
      <c r="D108" s="16" t="n">
        <v>19753</v>
      </c>
      <c r="E108" s="16" t="n">
        <v>19691</v>
      </c>
      <c r="F108" s="38" t="n">
        <v>620</v>
      </c>
      <c r="G108" s="38" t="n">
        <v>246089</v>
      </c>
      <c r="H108" s="38" t="n">
        <v>620</v>
      </c>
      <c r="I108" s="38" t="n">
        <v>244370</v>
      </c>
      <c r="J108" s="19">
        <f>(I108-H108)/1000</f>
        <v/>
      </c>
      <c r="K108" s="16" t="inlineStr">
        <is>
          <t>Yes</t>
        </is>
      </c>
      <c r="L108" s="16" t="n">
        <v>60</v>
      </c>
      <c r="M108" s="39" t="inlineStr">
        <is>
          <t>- (full trip)</t>
        </is>
      </c>
    </row>
    <row r="109">
      <c r="A109" s="16" t="inlineStr">
        <is>
          <t>4 Jun</t>
        </is>
      </c>
      <c r="B109" s="16" t="inlineStr">
        <is>
          <t>37358</t>
        </is>
      </c>
      <c r="C109" s="16" t="n">
        <v>8421</v>
      </c>
      <c r="D109" s="16" t="n">
        <v>8393</v>
      </c>
      <c r="E109" s="16" t="n">
        <v>8384</v>
      </c>
      <c r="F109" s="38" t="n">
        <v>690</v>
      </c>
      <c r="G109" s="38" t="n">
        <v>244613</v>
      </c>
      <c r="H109" s="38" t="n">
        <v>690</v>
      </c>
      <c r="I109" s="38" t="n">
        <v>244359</v>
      </c>
      <c r="J109" s="19">
        <f>(I109-H109)/1000</f>
        <v/>
      </c>
      <c r="K109" s="16" t="inlineStr">
        <is>
          <t>Yes</t>
        </is>
      </c>
      <c r="L109" s="16" t="n">
        <v>60</v>
      </c>
      <c r="M109" s="39" t="inlineStr">
        <is>
          <t>- (full trip)</t>
        </is>
      </c>
    </row>
    <row r="110">
      <c r="A110" s="16" t="inlineStr">
        <is>
          <t>4 Jun</t>
        </is>
      </c>
      <c r="B110" s="16" t="inlineStr">
        <is>
          <t>37246</t>
        </is>
      </c>
      <c r="C110" s="16" t="n">
        <v>11113</v>
      </c>
      <c r="D110" s="16" t="n">
        <v>11093</v>
      </c>
      <c r="E110" s="16" t="n">
        <v>11085</v>
      </c>
      <c r="F110" s="38" t="n">
        <v>689</v>
      </c>
      <c r="G110" s="38" t="n">
        <v>244627</v>
      </c>
      <c r="H110" s="38" t="n">
        <v>689</v>
      </c>
      <c r="I110" s="38" t="n">
        <v>244350</v>
      </c>
      <c r="J110" s="19">
        <f>(I110-H110)/1000</f>
        <v/>
      </c>
      <c r="K110" s="16" t="inlineStr">
        <is>
          <t>Yes</t>
        </is>
      </c>
      <c r="L110" s="16" t="n">
        <v>60</v>
      </c>
      <c r="M110" s="39" t="inlineStr">
        <is>
          <t>- (full trip)</t>
        </is>
      </c>
    </row>
    <row r="111" ht="34" customHeight="1">
      <c r="A111" s="16" t="inlineStr">
        <is>
          <t>4 Jun</t>
        </is>
      </c>
      <c r="B111" s="16" t="inlineStr">
        <is>
          <t>37034</t>
        </is>
      </c>
      <c r="C111" s="16" t="n">
        <v>7706</v>
      </c>
      <c r="D111" s="16" t="n">
        <v>7702</v>
      </c>
      <c r="E111" s="16" t="n">
        <v>7690</v>
      </c>
      <c r="F111" s="38" t="n">
        <v>25130</v>
      </c>
      <c r="G111" s="38" t="n">
        <v>244629</v>
      </c>
      <c r="H111" s="38" t="n">
        <v>25130</v>
      </c>
      <c r="I111" s="38" t="n">
        <v>244360</v>
      </c>
      <c r="J111" s="19">
        <f>(I111-H111)/1000</f>
        <v/>
      </c>
      <c r="K111" s="16" t="inlineStr">
        <is>
          <t>Yes</t>
        </is>
      </c>
      <c r="L111" s="16" t="n">
        <v>51</v>
      </c>
      <c r="M111" s="39" t="inlineStr">
        <is>
          <t>Howrah, Howrah Sorting Yard, Liluah, Belur, Bally, Belanagar, Dankuni, Janai Road</t>
        </is>
      </c>
    </row>
    <row r="112" ht="34" customHeight="1">
      <c r="A112" s="16" t="inlineStr">
        <is>
          <t>4 Jun</t>
        </is>
      </c>
      <c r="B112" s="16" t="inlineStr">
        <is>
          <t>39060</t>
        </is>
      </c>
      <c r="C112" s="16" t="n">
        <v>17522</v>
      </c>
      <c r="D112" s="16" t="n">
        <v>17463</v>
      </c>
      <c r="E112" s="16" t="n">
        <v>17312</v>
      </c>
      <c r="F112" s="38" t="n">
        <v>42</v>
      </c>
      <c r="G112" s="38" t="n">
        <v>200089</v>
      </c>
      <c r="H112" s="38" t="n">
        <v>342</v>
      </c>
      <c r="I112" s="38" t="n">
        <v>200089</v>
      </c>
      <c r="J112" s="19">
        <f>(I112-H112)/1000</f>
        <v/>
      </c>
      <c r="K112" s="16" t="inlineStr">
        <is>
          <t>Yes</t>
        </is>
      </c>
      <c r="L112" s="16" t="n">
        <v>50</v>
      </c>
      <c r="M112" s="39" t="inlineStr">
        <is>
          <t>Barachak Jn, Sitarampur Central, Kulti, Barakar, Kumardubi, Mugma, Thaparnagar, Kalubathan, Chhota Ambana</t>
        </is>
      </c>
    </row>
    <row r="113" ht="34" customHeight="1">
      <c r="A113" s="16" t="inlineStr">
        <is>
          <t>4 Jun</t>
        </is>
      </c>
      <c r="B113" s="16" t="inlineStr">
        <is>
          <t>37860</t>
        </is>
      </c>
      <c r="C113" s="16" t="n">
        <v>7960</v>
      </c>
      <c r="D113" s="16" t="n">
        <v>7943</v>
      </c>
      <c r="E113" s="16" t="n">
        <v>7943</v>
      </c>
      <c r="F113" s="38" t="n">
        <v>466</v>
      </c>
      <c r="G113" s="38" t="n">
        <v>200090</v>
      </c>
      <c r="H113" s="38" t="n">
        <v>466</v>
      </c>
      <c r="I113" s="38" t="n">
        <v>200090</v>
      </c>
      <c r="J113" s="19">
        <f>(I113-H113)/1000</f>
        <v/>
      </c>
      <c r="K113" s="16" t="inlineStr">
        <is>
          <t>Yes</t>
        </is>
      </c>
      <c r="L113" s="16" t="n">
        <v>50</v>
      </c>
      <c r="M113" s="39" t="inlineStr">
        <is>
          <t>Barachak Jn, Sitarampur Central, Kulti, Barakar, Kumardubi, Mugma, Thaparnagar, Kalubathan, Chhota Ambana</t>
        </is>
      </c>
    </row>
    <row r="114" ht="34" customHeight="1">
      <c r="A114" s="16" t="inlineStr">
        <is>
          <t>4 Jun</t>
        </is>
      </c>
      <c r="B114" s="16" t="inlineStr">
        <is>
          <t>39178</t>
        </is>
      </c>
      <c r="C114" s="16" t="n">
        <v>11410</v>
      </c>
      <c r="D114" s="16" t="n">
        <v>11349</v>
      </c>
      <c r="E114" s="16" t="n">
        <v>11143</v>
      </c>
      <c r="F114" s="38" t="n">
        <v>31</v>
      </c>
      <c r="G114" s="38" t="n">
        <v>199391</v>
      </c>
      <c r="H114" s="38" t="n">
        <v>344</v>
      </c>
      <c r="I114" s="38" t="n">
        <v>199391</v>
      </c>
      <c r="J114" s="19">
        <f>(I114-H114)/1000</f>
        <v/>
      </c>
      <c r="K114" s="16" t="inlineStr">
        <is>
          <t>Yes</t>
        </is>
      </c>
      <c r="L114" s="16" t="n">
        <v>50</v>
      </c>
      <c r="M114" s="39" t="inlineStr">
        <is>
          <t>Barachak Jn, Sitarampur Central, Kulti, Barakar, Kumardubi, Mugma, Thaparnagar, Kalubathan, Chhota Ambana</t>
        </is>
      </c>
    </row>
    <row r="115" ht="34" customHeight="1">
      <c r="A115" s="16" t="inlineStr">
        <is>
          <t>4 Jun</t>
        </is>
      </c>
      <c r="B115" s="16" t="inlineStr">
        <is>
          <t>39410</t>
        </is>
      </c>
      <c r="C115" s="16" t="n">
        <v>15398</v>
      </c>
      <c r="D115" s="16" t="n">
        <v>15352</v>
      </c>
      <c r="E115" s="16" t="n">
        <v>15182</v>
      </c>
      <c r="F115" s="38" t="n">
        <v>33</v>
      </c>
      <c r="G115" s="38" t="n">
        <v>199389</v>
      </c>
      <c r="H115" s="38" t="n">
        <v>342</v>
      </c>
      <c r="I115" s="38" t="n">
        <v>199389</v>
      </c>
      <c r="J115" s="19">
        <f>(I115-H115)/1000</f>
        <v/>
      </c>
      <c r="K115" s="16" t="inlineStr">
        <is>
          <t>Yes</t>
        </is>
      </c>
      <c r="L115" s="16" t="n">
        <v>50</v>
      </c>
      <c r="M115" s="39" t="inlineStr">
        <is>
          <t>Barachak Jn, Sitarampur Central, Kulti, Barakar, Kumardubi, Mugma, Thaparnagar, Kalubathan, Chhota Ambana</t>
        </is>
      </c>
    </row>
    <row r="116" ht="49" customHeight="1">
      <c r="A116" s="16" t="inlineStr">
        <is>
          <t>4 Jun</t>
        </is>
      </c>
      <c r="B116" s="16" t="inlineStr">
        <is>
          <t>30327</t>
        </is>
      </c>
      <c r="C116" s="16" t="n">
        <v>7119</v>
      </c>
      <c r="D116" s="16" t="n">
        <v>7108</v>
      </c>
      <c r="E116" s="16" t="n">
        <v>7097</v>
      </c>
      <c r="F116" s="38" t="n">
        <v>60383</v>
      </c>
      <c r="G116" s="38" t="n">
        <v>244625</v>
      </c>
      <c r="H116" s="38" t="n">
        <v>60383</v>
      </c>
      <c r="I116" s="38" t="n">
        <v>244342</v>
      </c>
      <c r="J116" s="19">
        <f>(I116-H116)/1000</f>
        <v/>
      </c>
      <c r="K116" s="16" t="inlineStr">
        <is>
          <t>Yes</t>
        </is>
      </c>
      <c r="L116" s="16" t="n">
        <v>42</v>
      </c>
      <c r="M116" s="39" t="inlineStr">
        <is>
          <t>Howrah, Howrah Sorting Yard, Liluah, Belur, Bally, Belanagar, Dankuni, Janai Road, Baruipara, Kamarkundu, LC-31, Chandanpur, LC-38, Belmuri, Cheragram, LC-41, Gurap</t>
        </is>
      </c>
    </row>
    <row r="117" ht="79" customHeight="1">
      <c r="A117" s="16" t="inlineStr">
        <is>
          <t>4 Jun</t>
        </is>
      </c>
      <c r="B117" s="16" t="inlineStr">
        <is>
          <t>37081</t>
        </is>
      </c>
      <c r="C117" s="16" t="n">
        <v>8312</v>
      </c>
      <c r="D117" s="16" t="n">
        <v>8281</v>
      </c>
      <c r="E117" s="16" t="n">
        <v>8281</v>
      </c>
      <c r="F117" s="38" t="n">
        <v>350</v>
      </c>
      <c r="G117" s="38" t="n">
        <v>110402</v>
      </c>
      <c r="H117" s="38" t="n">
        <v>350</v>
      </c>
      <c r="I117" s="38" t="n">
        <v>110402</v>
      </c>
      <c r="J117" s="19">
        <f>(I117-H117)/1000</f>
        <v/>
      </c>
      <c r="K117" s="16" t="inlineStr">
        <is>
          <t>Yes</t>
        </is>
      </c>
      <c r="L117" s="16" t="n">
        <v>30</v>
      </c>
      <c r="M117" s="39" t="inlineStr">
        <is>
          <t>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18" ht="94" customHeight="1">
      <c r="A118" s="16" t="inlineStr">
        <is>
          <t>4 Jun</t>
        </is>
      </c>
      <c r="B118" s="16" t="inlineStr">
        <is>
          <t>30552</t>
        </is>
      </c>
      <c r="C118" s="16" t="n">
        <v>2328</v>
      </c>
      <c r="D118" s="16" t="n">
        <v>2323</v>
      </c>
      <c r="E118" s="16" t="n">
        <v>2323</v>
      </c>
      <c r="F118" s="38" t="n">
        <v>12113</v>
      </c>
      <c r="G118" s="38" t="n">
        <v>107439</v>
      </c>
      <c r="H118" s="38" t="n">
        <v>12113</v>
      </c>
      <c r="I118" s="38" t="n">
        <v>107439</v>
      </c>
      <c r="J118" s="19">
        <f>(I118-H118)/1000</f>
        <v/>
      </c>
      <c r="K118" s="16" t="inlineStr">
        <is>
          <t>Yes</t>
        </is>
      </c>
      <c r="L118" s="16" t="n">
        <v>24</v>
      </c>
      <c r="M118" s="39" t="inlineStr">
        <is>
          <t>Howrah, Howrah Sorting Yard, Liluah, Belur, Bally,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19" ht="94" customHeight="1">
      <c r="A119" s="16" t="inlineStr">
        <is>
          <t>4 Jun</t>
        </is>
      </c>
      <c r="B119" s="16" t="inlineStr">
        <is>
          <t>39111</t>
        </is>
      </c>
      <c r="C119" s="16" t="n">
        <v>3613</v>
      </c>
      <c r="D119" s="16" t="n">
        <v>3582</v>
      </c>
      <c r="E119" s="16" t="n">
        <v>3582</v>
      </c>
      <c r="F119" s="38" t="n">
        <v>350</v>
      </c>
      <c r="G119" s="38" t="n">
        <v>94765</v>
      </c>
      <c r="H119" s="38" t="n">
        <v>350</v>
      </c>
      <c r="I119" s="38" t="n">
        <v>94765</v>
      </c>
      <c r="J119" s="19">
        <f>(I119-H119)/1000</f>
        <v/>
      </c>
      <c r="K119" s="16" t="inlineStr">
        <is>
          <t>Yes</t>
        </is>
      </c>
      <c r="L119" s="16" t="n">
        <v>26</v>
      </c>
      <c r="M11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0" ht="94" customHeight="1">
      <c r="A120" s="16" t="inlineStr">
        <is>
          <t>4 Jun</t>
        </is>
      </c>
      <c r="B120" s="16" t="inlineStr">
        <is>
          <t>39133</t>
        </is>
      </c>
      <c r="C120" s="16" t="n">
        <v>5127</v>
      </c>
      <c r="D120" s="16" t="n">
        <v>5091</v>
      </c>
      <c r="E120" s="16" t="n">
        <v>5091</v>
      </c>
      <c r="F120" s="38" t="n">
        <v>350</v>
      </c>
      <c r="G120" s="38" t="n">
        <v>94737</v>
      </c>
      <c r="H120" s="38" t="n">
        <v>350</v>
      </c>
      <c r="I120" s="38" t="n">
        <v>94737</v>
      </c>
      <c r="J120" s="19">
        <f>(I120-H120)/1000</f>
        <v/>
      </c>
      <c r="K120" s="16" t="inlineStr">
        <is>
          <t>Yes</t>
        </is>
      </c>
      <c r="L120" s="16" t="n">
        <v>26</v>
      </c>
      <c r="M12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1" ht="94" customHeight="1">
      <c r="A121" s="16" t="inlineStr">
        <is>
          <t>4 Jun</t>
        </is>
      </c>
      <c r="B121" s="16" t="inlineStr">
        <is>
          <t>30112</t>
        </is>
      </c>
      <c r="C121" s="16" t="n">
        <v>9516</v>
      </c>
      <c r="D121" s="16" t="n">
        <v>9471</v>
      </c>
      <c r="E121" s="16" t="n">
        <v>9304</v>
      </c>
      <c r="F121" s="38" t="n">
        <v>36</v>
      </c>
      <c r="G121" s="38" t="n">
        <v>94617</v>
      </c>
      <c r="H121" s="38" t="n">
        <v>345</v>
      </c>
      <c r="I121" s="38" t="n">
        <v>94617</v>
      </c>
      <c r="J121" s="19">
        <f>(I121-H121)/1000</f>
        <v/>
      </c>
      <c r="K121" s="16" t="inlineStr">
        <is>
          <t>Yes</t>
        </is>
      </c>
      <c r="L121" s="16" t="n">
        <v>26</v>
      </c>
      <c r="M12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2" ht="94" customHeight="1">
      <c r="A122" s="16" t="inlineStr">
        <is>
          <t>4 Jun</t>
        </is>
      </c>
      <c r="B122" s="16" t="inlineStr">
        <is>
          <t>37401</t>
        </is>
      </c>
      <c r="C122" s="16" t="n">
        <v>3615</v>
      </c>
      <c r="D122" s="16" t="n">
        <v>3304</v>
      </c>
      <c r="E122" s="16" t="n">
        <v>3304</v>
      </c>
      <c r="F122" s="38" t="n">
        <v>350</v>
      </c>
      <c r="G122" s="38" t="n">
        <v>94614</v>
      </c>
      <c r="H122" s="38" t="n">
        <v>350</v>
      </c>
      <c r="I122" s="38" t="n">
        <v>94614</v>
      </c>
      <c r="J122" s="19">
        <f>(I122-H122)/1000</f>
        <v/>
      </c>
      <c r="K122" s="16" t="inlineStr">
        <is>
          <t>Yes</t>
        </is>
      </c>
      <c r="L122" s="16" t="n">
        <v>26</v>
      </c>
      <c r="M12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3" ht="94" customHeight="1">
      <c r="A123" s="16" t="inlineStr">
        <is>
          <t>4 Jun</t>
        </is>
      </c>
      <c r="B123" s="16" t="inlineStr">
        <is>
          <t>37168</t>
        </is>
      </c>
      <c r="C123" s="16" t="n">
        <v>3780</v>
      </c>
      <c r="D123" s="16" t="n">
        <v>3764</v>
      </c>
      <c r="E123" s="16" t="n">
        <v>3581</v>
      </c>
      <c r="F123" s="38" t="n">
        <v>30</v>
      </c>
      <c r="G123" s="38" t="n">
        <v>94115</v>
      </c>
      <c r="H123" s="38" t="n">
        <v>344</v>
      </c>
      <c r="I123" s="38" t="n">
        <v>94115</v>
      </c>
      <c r="J123" s="19">
        <f>(I123-H123)/1000</f>
        <v/>
      </c>
      <c r="K123" s="16" t="inlineStr">
        <is>
          <t>Yes</t>
        </is>
      </c>
      <c r="L123" s="16" t="n">
        <v>26</v>
      </c>
      <c r="M12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4" ht="94" customHeight="1">
      <c r="A124" s="16" t="inlineStr">
        <is>
          <t>4 Jun</t>
        </is>
      </c>
      <c r="B124" s="16" t="inlineStr">
        <is>
          <t>39179</t>
        </is>
      </c>
      <c r="C124" s="16" t="n">
        <v>4102</v>
      </c>
      <c r="D124" s="16" t="n">
        <v>4080</v>
      </c>
      <c r="E124" s="16" t="n">
        <v>3928</v>
      </c>
      <c r="F124" s="38" t="n">
        <v>22</v>
      </c>
      <c r="G124" s="38" t="n">
        <v>94115</v>
      </c>
      <c r="H124" s="38" t="n">
        <v>343</v>
      </c>
      <c r="I124" s="38" t="n">
        <v>94115</v>
      </c>
      <c r="J124" s="19">
        <f>(I124-H124)/1000</f>
        <v/>
      </c>
      <c r="K124" s="16" t="inlineStr">
        <is>
          <t>Yes</t>
        </is>
      </c>
      <c r="L124" s="16" t="n">
        <v>26</v>
      </c>
      <c r="M12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5" ht="94" customHeight="1">
      <c r="A125" s="16" t="inlineStr">
        <is>
          <t>4 Jun</t>
        </is>
      </c>
      <c r="B125" s="16" t="inlineStr">
        <is>
          <t>37025</t>
        </is>
      </c>
      <c r="C125" s="16" t="n">
        <v>4843</v>
      </c>
      <c r="D125" s="16" t="n">
        <v>4803</v>
      </c>
      <c r="E125" s="16" t="n">
        <v>4803</v>
      </c>
      <c r="F125" s="38" t="n">
        <v>350</v>
      </c>
      <c r="G125" s="38" t="n">
        <v>94112</v>
      </c>
      <c r="H125" s="38" t="n">
        <v>350</v>
      </c>
      <c r="I125" s="38" t="n">
        <v>94112</v>
      </c>
      <c r="J125" s="19">
        <f>(I125-H125)/1000</f>
        <v/>
      </c>
      <c r="K125" s="16" t="inlineStr">
        <is>
          <t>Yes</t>
        </is>
      </c>
      <c r="L125" s="16" t="n">
        <v>26</v>
      </c>
      <c r="M12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6" ht="109" customHeight="1">
      <c r="A126" s="16" t="inlineStr">
        <is>
          <t>4 Jun</t>
        </is>
      </c>
      <c r="B126" s="16" t="inlineStr">
        <is>
          <t>30305</t>
        </is>
      </c>
      <c r="C126" s="16" t="n">
        <v>5595</v>
      </c>
      <c r="D126" s="16" t="n">
        <v>5574</v>
      </c>
      <c r="E126" s="16" t="n">
        <v>5574</v>
      </c>
      <c r="F126" s="38" t="n">
        <v>12113</v>
      </c>
      <c r="G126" s="38" t="n">
        <v>94642</v>
      </c>
      <c r="H126" s="38" t="n">
        <v>12113</v>
      </c>
      <c r="I126" s="38" t="n">
        <v>94642</v>
      </c>
      <c r="J126" s="19">
        <f>(I126-H126)/1000</f>
        <v/>
      </c>
      <c r="K126" s="16" t="inlineStr">
        <is>
          <t>Yes</t>
        </is>
      </c>
      <c r="L126" s="16" t="n">
        <v>21</v>
      </c>
      <c r="M12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7" ht="109" customHeight="1">
      <c r="A127" s="16" t="inlineStr">
        <is>
          <t>4 Jun</t>
        </is>
      </c>
      <c r="B127" s="16" t="inlineStr">
        <is>
          <t>30321</t>
        </is>
      </c>
      <c r="C127" s="16" t="n">
        <v>4433</v>
      </c>
      <c r="D127" s="16" t="n">
        <v>4428</v>
      </c>
      <c r="E127" s="16" t="n">
        <v>4428</v>
      </c>
      <c r="F127" s="38" t="n">
        <v>12113</v>
      </c>
      <c r="G127" s="38" t="n">
        <v>94626</v>
      </c>
      <c r="H127" s="38" t="n">
        <v>12113</v>
      </c>
      <c r="I127" s="38" t="n">
        <v>94626</v>
      </c>
      <c r="J127" s="19">
        <f>(I127-H127)/1000</f>
        <v/>
      </c>
      <c r="K127" s="16" t="inlineStr">
        <is>
          <t>Yes</t>
        </is>
      </c>
      <c r="L127" s="16" t="n">
        <v>21</v>
      </c>
      <c r="M12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8" ht="109" customHeight="1">
      <c r="A128" s="16" t="inlineStr">
        <is>
          <t>4 Jun</t>
        </is>
      </c>
      <c r="B128" s="16" t="inlineStr">
        <is>
          <t>30329</t>
        </is>
      </c>
      <c r="C128" s="16" t="n">
        <v>2909</v>
      </c>
      <c r="D128" s="16" t="n">
        <v>2904</v>
      </c>
      <c r="E128" s="16" t="n">
        <v>2904</v>
      </c>
      <c r="F128" s="38" t="n">
        <v>13057</v>
      </c>
      <c r="G128" s="38" t="n">
        <v>94731</v>
      </c>
      <c r="H128" s="38" t="n">
        <v>13057</v>
      </c>
      <c r="I128" s="38" t="n">
        <v>94731</v>
      </c>
      <c r="J128" s="19">
        <f>(I128-H128)/1000</f>
        <v/>
      </c>
      <c r="K128" s="16" t="inlineStr">
        <is>
          <t>Yes</t>
        </is>
      </c>
      <c r="L128" s="16" t="n">
        <v>20</v>
      </c>
      <c r="M128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9" ht="124" customHeight="1">
      <c r="A129" s="16" t="inlineStr">
        <is>
          <t>4 Jun</t>
        </is>
      </c>
      <c r="B129" s="16" t="inlineStr">
        <is>
          <t>30639</t>
        </is>
      </c>
      <c r="C129" s="16" t="n">
        <v>2094</v>
      </c>
      <c r="D129" s="16" t="n">
        <v>2089</v>
      </c>
      <c r="E129" s="16" t="n">
        <v>2089</v>
      </c>
      <c r="F129" s="38" t="n">
        <v>158022</v>
      </c>
      <c r="G129" s="38" t="n">
        <v>200091</v>
      </c>
      <c r="H129" s="38" t="n">
        <v>158022</v>
      </c>
      <c r="I129" s="38" t="n">
        <v>200091</v>
      </c>
      <c r="J129" s="19">
        <f>(I129-H129)/1000</f>
        <v/>
      </c>
      <c r="K129" s="16" t="inlineStr">
        <is>
          <t>Yes</t>
        </is>
      </c>
      <c r="L129" s="16" t="n">
        <v>11</v>
      </c>
      <c r="M129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130" ht="139" customHeight="1">
      <c r="A130" s="16" t="inlineStr">
        <is>
          <t>4 Jun</t>
        </is>
      </c>
      <c r="B130" s="16" t="inlineStr">
        <is>
          <t>30455</t>
        </is>
      </c>
      <c r="C130" s="16" t="n">
        <v>197</v>
      </c>
      <c r="D130" s="16" t="n">
        <v>196</v>
      </c>
      <c r="E130" s="16" t="n">
        <v>196</v>
      </c>
      <c r="F130" s="38" t="n">
        <v>12128</v>
      </c>
      <c r="G130" s="38" t="n">
        <v>15747</v>
      </c>
      <c r="H130" s="38" t="n">
        <v>12128</v>
      </c>
      <c r="I130" s="38" t="n">
        <v>15747</v>
      </c>
      <c r="J130" s="19">
        <f>(I130-H130)/1000</f>
        <v/>
      </c>
      <c r="K130" s="16" t="inlineStr">
        <is>
          <t>Yes</t>
        </is>
      </c>
      <c r="L130" s="16" t="n">
        <v>2</v>
      </c>
      <c r="M130" s="39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31" ht="139" customHeight="1">
      <c r="A131" s="16" t="inlineStr">
        <is>
          <t>4 Jun</t>
        </is>
      </c>
      <c r="B131" s="16" t="inlineStr">
        <is>
          <t>37268</t>
        </is>
      </c>
      <c r="C131" s="16" t="n">
        <v>329</v>
      </c>
      <c r="D131" s="16" t="n">
        <v>307</v>
      </c>
      <c r="E131" s="16" t="n">
        <v>303</v>
      </c>
      <c r="F131" s="38" t="n">
        <v>324</v>
      </c>
      <c r="G131" s="38" t="n">
        <v>860</v>
      </c>
      <c r="H131" s="38" t="n">
        <v>344</v>
      </c>
      <c r="I131" s="38" t="n">
        <v>860</v>
      </c>
      <c r="J131" s="19">
        <f>(I131-H131)/1000</f>
        <v/>
      </c>
      <c r="K131" s="16" t="inlineStr">
        <is>
          <t>Yes</t>
        </is>
      </c>
      <c r="L131" s="16" t="n">
        <v>1</v>
      </c>
      <c r="M131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32" ht="139" customHeight="1">
      <c r="A132" s="16" t="inlineStr">
        <is>
          <t>4 Jun</t>
        </is>
      </c>
      <c r="B132" s="16" t="inlineStr">
        <is>
          <t>43741</t>
        </is>
      </c>
      <c r="C132" s="16" t="n">
        <v>328</v>
      </c>
      <c r="D132" s="16" t="n">
        <v>314</v>
      </c>
      <c r="E132" s="16" t="n">
        <v>159</v>
      </c>
      <c r="F132" s="38" t="n">
        <v>46</v>
      </c>
      <c r="G132" s="38" t="n">
        <v>573</v>
      </c>
      <c r="H132" s="38" t="n">
        <v>343</v>
      </c>
      <c r="I132" s="38" t="n">
        <v>573</v>
      </c>
      <c r="J132" s="19">
        <f>(I132-H132)/1000</f>
        <v/>
      </c>
      <c r="K132" s="16" t="inlineStr">
        <is>
          <t>Yes</t>
        </is>
      </c>
      <c r="L132" s="16" t="n">
        <v>1</v>
      </c>
      <c r="M132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33" ht="139" customHeight="1">
      <c r="A133" s="16" t="inlineStr">
        <is>
          <t>4 Jun</t>
        </is>
      </c>
      <c r="B133" s="16" t="inlineStr">
        <is>
          <t>30742</t>
        </is>
      </c>
      <c r="C133" s="16" t="n">
        <v>203</v>
      </c>
      <c r="D133" s="16" t="n">
        <v>148</v>
      </c>
      <c r="E133" s="16" t="n">
        <v>34</v>
      </c>
      <c r="F133" s="38" t="n">
        <v>29</v>
      </c>
      <c r="G133" s="38" t="n">
        <v>414</v>
      </c>
      <c r="H133" s="38" t="n">
        <v>345</v>
      </c>
      <c r="I133" s="38" t="n">
        <v>414</v>
      </c>
      <c r="J133" s="19">
        <f>(I133-H133)/1000</f>
        <v/>
      </c>
      <c r="K133" s="16" t="inlineStr">
        <is>
          <t>Yes</t>
        </is>
      </c>
      <c r="L133" s="16" t="n">
        <v>1</v>
      </c>
      <c r="M133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34" ht="139" customHeight="1">
      <c r="A134" s="31" t="inlineStr">
        <is>
          <t>4 Jun</t>
        </is>
      </c>
      <c r="B134" s="31" t="inlineStr">
        <is>
          <t>11427</t>
        </is>
      </c>
      <c r="C134" s="31" t="n">
        <v>1</v>
      </c>
      <c r="D134" s="31" t="n">
        <v>0</v>
      </c>
      <c r="E134" s="31" t="n">
        <v>0</v>
      </c>
      <c r="F134" s="40" t="inlineStr">
        <is>
          <t>-</t>
        </is>
      </c>
      <c r="G134" s="40" t="inlineStr">
        <is>
          <t>-</t>
        </is>
      </c>
      <c r="H134" s="40" t="inlineStr">
        <is>
          <t>-</t>
        </is>
      </c>
      <c r="I134" s="40" t="inlineStr">
        <is>
          <t>-</t>
        </is>
      </c>
      <c r="J134" s="41" t="n">
        <v>0</v>
      </c>
      <c r="K134" s="31" t="inlineStr">
        <is>
          <t>No</t>
        </is>
      </c>
      <c r="L134" s="31" t="n">
        <v>0</v>
      </c>
      <c r="M13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35" ht="139" customHeight="1">
      <c r="A135" s="31" t="inlineStr">
        <is>
          <t>4 Jun</t>
        </is>
      </c>
      <c r="B135" s="31" t="inlineStr">
        <is>
          <t>132073</t>
        </is>
      </c>
      <c r="C135" s="31" t="n">
        <v>5</v>
      </c>
      <c r="D135" s="31" t="n">
        <v>0</v>
      </c>
      <c r="E135" s="31" t="n">
        <v>0</v>
      </c>
      <c r="F135" s="40" t="inlineStr">
        <is>
          <t>-</t>
        </is>
      </c>
      <c r="G135" s="40" t="inlineStr">
        <is>
          <t>-</t>
        </is>
      </c>
      <c r="H135" s="40" t="inlineStr">
        <is>
          <t>-</t>
        </is>
      </c>
      <c r="I135" s="40" t="inlineStr">
        <is>
          <t>-</t>
        </is>
      </c>
      <c r="J135" s="41" t="n">
        <v>0</v>
      </c>
      <c r="K135" s="31" t="inlineStr">
        <is>
          <t>No</t>
        </is>
      </c>
      <c r="L135" s="31" t="n">
        <v>0</v>
      </c>
      <c r="M13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36" ht="139" customHeight="1">
      <c r="A136" s="31" t="inlineStr">
        <is>
          <t>4 Jun</t>
        </is>
      </c>
      <c r="B136" s="31" t="inlineStr">
        <is>
          <t>30469</t>
        </is>
      </c>
      <c r="C136" s="31" t="n">
        <v>10</v>
      </c>
      <c r="D136" s="31" t="n">
        <v>0</v>
      </c>
      <c r="E136" s="31" t="n">
        <v>0</v>
      </c>
      <c r="F136" s="40" t="inlineStr">
        <is>
          <t>-</t>
        </is>
      </c>
      <c r="G136" s="40" t="inlineStr">
        <is>
          <t>-</t>
        </is>
      </c>
      <c r="H136" s="40" t="inlineStr">
        <is>
          <t>-</t>
        </is>
      </c>
      <c r="I136" s="40" t="inlineStr">
        <is>
          <t>-</t>
        </is>
      </c>
      <c r="J136" s="41" t="n">
        <v>0</v>
      </c>
      <c r="K136" s="31" t="inlineStr">
        <is>
          <t>No</t>
        </is>
      </c>
      <c r="L136" s="31" t="n">
        <v>0</v>
      </c>
      <c r="M13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37" ht="139" customHeight="1">
      <c r="A137" s="31" t="inlineStr">
        <is>
          <t>4 Jun</t>
        </is>
      </c>
      <c r="B137" s="31" t="inlineStr">
        <is>
          <t>30493</t>
        </is>
      </c>
      <c r="C137" s="31" t="n">
        <v>191</v>
      </c>
      <c r="D137" s="31" t="n">
        <v>163</v>
      </c>
      <c r="E137" s="31" t="n">
        <v>0</v>
      </c>
      <c r="F137" s="40" t="n">
        <v>40</v>
      </c>
      <c r="G137" s="40" t="n">
        <v>324</v>
      </c>
      <c r="H137" s="40" t="inlineStr">
        <is>
          <t>-</t>
        </is>
      </c>
      <c r="I137" s="40" t="inlineStr">
        <is>
          <t>-</t>
        </is>
      </c>
      <c r="J137" s="41" t="n">
        <v>0</v>
      </c>
      <c r="K137" s="31" t="inlineStr">
        <is>
          <t>No</t>
        </is>
      </c>
      <c r="L137" s="31" t="n">
        <v>0</v>
      </c>
      <c r="M13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38" ht="139" customHeight="1">
      <c r="A138" s="31" t="inlineStr">
        <is>
          <t>4 Jun</t>
        </is>
      </c>
      <c r="B138" s="31" t="inlineStr">
        <is>
          <t>30504</t>
        </is>
      </c>
      <c r="C138" s="31" t="n">
        <v>1</v>
      </c>
      <c r="D138" s="31" t="n">
        <v>0</v>
      </c>
      <c r="E138" s="31" t="n">
        <v>0</v>
      </c>
      <c r="F138" s="40" t="inlineStr">
        <is>
          <t>-</t>
        </is>
      </c>
      <c r="G138" s="40" t="inlineStr">
        <is>
          <t>-</t>
        </is>
      </c>
      <c r="H138" s="40" t="inlineStr">
        <is>
          <t>-</t>
        </is>
      </c>
      <c r="I138" s="40" t="inlineStr">
        <is>
          <t>-</t>
        </is>
      </c>
      <c r="J138" s="41" t="n">
        <v>0</v>
      </c>
      <c r="K138" s="31" t="inlineStr">
        <is>
          <t>No</t>
        </is>
      </c>
      <c r="L138" s="31" t="n">
        <v>0</v>
      </c>
      <c r="M13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39" ht="139" customHeight="1">
      <c r="A139" s="31" t="inlineStr">
        <is>
          <t>4 Jun</t>
        </is>
      </c>
      <c r="B139" s="31" t="inlineStr">
        <is>
          <t>39598</t>
        </is>
      </c>
      <c r="C139" s="31" t="n">
        <v>2</v>
      </c>
      <c r="D139" s="31" t="n">
        <v>0</v>
      </c>
      <c r="E139" s="31" t="n">
        <v>0</v>
      </c>
      <c r="F139" s="40" t="inlineStr">
        <is>
          <t>-</t>
        </is>
      </c>
      <c r="G139" s="40" t="inlineStr">
        <is>
          <t>-</t>
        </is>
      </c>
      <c r="H139" s="40" t="inlineStr">
        <is>
          <t>-</t>
        </is>
      </c>
      <c r="I139" s="40" t="inlineStr">
        <is>
          <t>-</t>
        </is>
      </c>
      <c r="J139" s="41" t="n">
        <v>0</v>
      </c>
      <c r="K139" s="31" t="inlineStr">
        <is>
          <t>No</t>
        </is>
      </c>
      <c r="L139" s="31" t="n">
        <v>0</v>
      </c>
      <c r="M13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0" ht="139" customHeight="1">
      <c r="A140" s="31" t="inlineStr">
        <is>
          <t>4 Jun</t>
        </is>
      </c>
      <c r="B140" s="31" t="inlineStr">
        <is>
          <t>44062</t>
        </is>
      </c>
      <c r="C140" s="31" t="n">
        <v>35</v>
      </c>
      <c r="D140" s="31" t="n">
        <v>0</v>
      </c>
      <c r="E140" s="31" t="n">
        <v>0</v>
      </c>
      <c r="F140" s="40" t="inlineStr">
        <is>
          <t>-</t>
        </is>
      </c>
      <c r="G140" s="40" t="inlineStr">
        <is>
          <t>-</t>
        </is>
      </c>
      <c r="H140" s="40" t="inlineStr">
        <is>
          <t>-</t>
        </is>
      </c>
      <c r="I140" s="40" t="inlineStr">
        <is>
          <t>-</t>
        </is>
      </c>
      <c r="J140" s="41" t="n">
        <v>0</v>
      </c>
      <c r="K140" s="31" t="inlineStr">
        <is>
          <t>No</t>
        </is>
      </c>
      <c r="L140" s="31" t="n">
        <v>0</v>
      </c>
      <c r="M14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1">
      <c r="A141" s="16" t="inlineStr">
        <is>
          <t>5 Jun</t>
        </is>
      </c>
      <c r="B141" s="16" t="inlineStr">
        <is>
          <t>30568</t>
        </is>
      </c>
      <c r="C141" s="16" t="n">
        <v>13073</v>
      </c>
      <c r="D141" s="16" t="n">
        <v>12991</v>
      </c>
      <c r="E141" s="16" t="n">
        <v>12929</v>
      </c>
      <c r="F141" s="38" t="n">
        <v>67</v>
      </c>
      <c r="G141" s="38" t="n">
        <v>244626</v>
      </c>
      <c r="H141" s="38" t="n">
        <v>346</v>
      </c>
      <c r="I141" s="38" t="n">
        <v>244374</v>
      </c>
      <c r="J141" s="19">
        <f>(I141-H141)/1000</f>
        <v/>
      </c>
      <c r="K141" s="16" t="inlineStr">
        <is>
          <t>Yes</t>
        </is>
      </c>
      <c r="L141" s="16" t="n">
        <v>60</v>
      </c>
      <c r="M141" s="39" t="inlineStr">
        <is>
          <t>- (full trip)</t>
        </is>
      </c>
    </row>
    <row r="142">
      <c r="A142" s="16" t="inlineStr">
        <is>
          <t>5 Jun</t>
        </is>
      </c>
      <c r="B142" s="16" t="inlineStr">
        <is>
          <t>37480</t>
        </is>
      </c>
      <c r="C142" s="16" t="n">
        <v>8824</v>
      </c>
      <c r="D142" s="16" t="n">
        <v>8793</v>
      </c>
      <c r="E142" s="16" t="n">
        <v>8784</v>
      </c>
      <c r="F142" s="38" t="n">
        <v>350</v>
      </c>
      <c r="G142" s="38" t="n">
        <v>244570</v>
      </c>
      <c r="H142" s="38" t="n">
        <v>350</v>
      </c>
      <c r="I142" s="38" t="n">
        <v>244376</v>
      </c>
      <c r="J142" s="19">
        <f>(I142-H142)/1000</f>
        <v/>
      </c>
      <c r="K142" s="16" t="inlineStr">
        <is>
          <t>Yes</t>
        </is>
      </c>
      <c r="L142" s="16" t="n">
        <v>60</v>
      </c>
      <c r="M142" s="39" t="inlineStr">
        <is>
          <t>- (full trip)</t>
        </is>
      </c>
    </row>
    <row r="143">
      <c r="A143" s="16" t="inlineStr">
        <is>
          <t>5 Jun</t>
        </is>
      </c>
      <c r="B143" s="16" t="inlineStr">
        <is>
          <t>35001</t>
        </is>
      </c>
      <c r="C143" s="16" t="n">
        <v>12544</v>
      </c>
      <c r="D143" s="16" t="n">
        <v>12463</v>
      </c>
      <c r="E143" s="16" t="n">
        <v>12176</v>
      </c>
      <c r="F143" s="38" t="n">
        <v>41</v>
      </c>
      <c r="G143" s="38" t="n">
        <v>246075</v>
      </c>
      <c r="H143" s="38" t="n">
        <v>342</v>
      </c>
      <c r="I143" s="38" t="n">
        <v>244358</v>
      </c>
      <c r="J143" s="19">
        <f>(I143-H143)/1000</f>
        <v/>
      </c>
      <c r="K143" s="16" t="inlineStr">
        <is>
          <t>Yes</t>
        </is>
      </c>
      <c r="L143" s="16" t="n">
        <v>60</v>
      </c>
      <c r="M143" s="39" t="inlineStr">
        <is>
          <t>- (full trip)</t>
        </is>
      </c>
    </row>
    <row r="144">
      <c r="A144" s="16" t="inlineStr">
        <is>
          <t>5 Jun</t>
        </is>
      </c>
      <c r="B144" s="16" t="inlineStr">
        <is>
          <t>37777</t>
        </is>
      </c>
      <c r="C144" s="16" t="n">
        <v>8145</v>
      </c>
      <c r="D144" s="16" t="n">
        <v>8123</v>
      </c>
      <c r="E144" s="16" t="n">
        <v>8113</v>
      </c>
      <c r="F144" s="38" t="n">
        <v>688</v>
      </c>
      <c r="G144" s="38" t="n">
        <v>244626</v>
      </c>
      <c r="H144" s="38" t="n">
        <v>688</v>
      </c>
      <c r="I144" s="38" t="n">
        <v>244376</v>
      </c>
      <c r="J144" s="19">
        <f>(I144-H144)/1000</f>
        <v/>
      </c>
      <c r="K144" s="16" t="inlineStr">
        <is>
          <t>Yes</t>
        </is>
      </c>
      <c r="L144" s="16" t="n">
        <v>60</v>
      </c>
      <c r="M144" s="39" t="inlineStr">
        <is>
          <t>- (full trip)</t>
        </is>
      </c>
    </row>
    <row r="145">
      <c r="A145" s="16" t="inlineStr">
        <is>
          <t>5 Jun</t>
        </is>
      </c>
      <c r="B145" s="16" t="inlineStr">
        <is>
          <t>37504</t>
        </is>
      </c>
      <c r="C145" s="16" t="n">
        <v>102</v>
      </c>
      <c r="D145" s="16" t="n">
        <v>101</v>
      </c>
      <c r="E145" s="16" t="n">
        <v>101</v>
      </c>
      <c r="F145" s="38" t="n">
        <v>10785</v>
      </c>
      <c r="G145" s="38" t="n">
        <v>243975</v>
      </c>
      <c r="H145" s="38" t="n">
        <v>10785</v>
      </c>
      <c r="I145" s="38" t="n">
        <v>243975</v>
      </c>
      <c r="J145" s="19">
        <f>(I145-H145)/1000</f>
        <v/>
      </c>
      <c r="K145" s="16" t="inlineStr">
        <is>
          <t>Yes</t>
        </is>
      </c>
      <c r="L145" s="16" t="n">
        <v>55</v>
      </c>
      <c r="M145" s="39" t="inlineStr">
        <is>
          <t>Howrah, Howrah Sorting Yard, Liluah, Belur, Bally</t>
        </is>
      </c>
    </row>
    <row r="146">
      <c r="A146" s="16" t="inlineStr">
        <is>
          <t>5 Jun</t>
        </is>
      </c>
      <c r="B146" s="16" t="inlineStr">
        <is>
          <t>39263</t>
        </is>
      </c>
      <c r="C146" s="16" t="n">
        <v>10406</v>
      </c>
      <c r="D146" s="16" t="n">
        <v>10399</v>
      </c>
      <c r="E146" s="16" t="n">
        <v>10304</v>
      </c>
      <c r="F146" s="38" t="n">
        <v>12721</v>
      </c>
      <c r="G146" s="38" t="n">
        <v>246083</v>
      </c>
      <c r="H146" s="38" t="n">
        <v>12721</v>
      </c>
      <c r="I146" s="38" t="n">
        <v>244373</v>
      </c>
      <c r="J146" s="19">
        <f>(I146-H146)/1000</f>
        <v/>
      </c>
      <c r="K146" s="16" t="inlineStr">
        <is>
          <t>Yes</t>
        </is>
      </c>
      <c r="L146" s="16" t="n">
        <v>55</v>
      </c>
      <c r="M146" s="39" t="inlineStr">
        <is>
          <t>Howrah, Howrah Sorting Yard, Liluah, Belur, Bally</t>
        </is>
      </c>
    </row>
    <row r="147">
      <c r="A147" s="16" t="inlineStr">
        <is>
          <t>5 Jun</t>
        </is>
      </c>
      <c r="B147" s="16" t="inlineStr">
        <is>
          <t>37609</t>
        </is>
      </c>
      <c r="C147" s="16" t="n">
        <v>7626</v>
      </c>
      <c r="D147" s="16" t="n">
        <v>7617</v>
      </c>
      <c r="E147" s="16" t="n">
        <v>7551</v>
      </c>
      <c r="F147" s="38" t="n">
        <v>12749</v>
      </c>
      <c r="G147" s="38" t="n">
        <v>246089</v>
      </c>
      <c r="H147" s="38" t="n">
        <v>12749</v>
      </c>
      <c r="I147" s="38" t="n">
        <v>244358</v>
      </c>
      <c r="J147" s="19">
        <f>(I147-H147)/1000</f>
        <v/>
      </c>
      <c r="K147" s="16" t="inlineStr">
        <is>
          <t>Yes</t>
        </is>
      </c>
      <c r="L147" s="16" t="n">
        <v>55</v>
      </c>
      <c r="M147" s="39" t="inlineStr">
        <is>
          <t>Howrah, Howrah Sorting Yard, Liluah, Belur, Bally</t>
        </is>
      </c>
    </row>
    <row r="148" ht="34" customHeight="1">
      <c r="A148" s="16" t="inlineStr">
        <is>
          <t>5 Jun</t>
        </is>
      </c>
      <c r="B148" s="16" t="inlineStr">
        <is>
          <t>37401</t>
        </is>
      </c>
      <c r="C148" s="16" t="n">
        <v>11540</v>
      </c>
      <c r="D148" s="16" t="n">
        <v>11477</v>
      </c>
      <c r="E148" s="16" t="n">
        <v>11348</v>
      </c>
      <c r="F148" s="38" t="n">
        <v>33</v>
      </c>
      <c r="G148" s="38" t="n">
        <v>200090</v>
      </c>
      <c r="H148" s="38" t="n">
        <v>344</v>
      </c>
      <c r="I148" s="38" t="n">
        <v>200090</v>
      </c>
      <c r="J148" s="19">
        <f>(I148-H148)/1000</f>
        <v/>
      </c>
      <c r="K148" s="16" t="inlineStr">
        <is>
          <t>Yes</t>
        </is>
      </c>
      <c r="L148" s="16" t="n">
        <v>50</v>
      </c>
      <c r="M148" s="39" t="inlineStr">
        <is>
          <t>Barachak Jn, Sitarampur Central, Kulti, Barakar, Kumardubi, Mugma, Thaparnagar, Kalubathan, Chhota Ambana</t>
        </is>
      </c>
    </row>
    <row r="149" ht="34" customHeight="1">
      <c r="A149" s="16" t="inlineStr">
        <is>
          <t>5 Jun</t>
        </is>
      </c>
      <c r="B149" s="16" t="inlineStr">
        <is>
          <t>37879</t>
        </is>
      </c>
      <c r="C149" s="16" t="n">
        <v>7595</v>
      </c>
      <c r="D149" s="16" t="n">
        <v>7585</v>
      </c>
      <c r="E149" s="16" t="n">
        <v>7585</v>
      </c>
      <c r="F149" s="38" t="n">
        <v>464</v>
      </c>
      <c r="G149" s="38" t="n">
        <v>200076</v>
      </c>
      <c r="H149" s="38" t="n">
        <v>464</v>
      </c>
      <c r="I149" s="38" t="n">
        <v>200076</v>
      </c>
      <c r="J149" s="19">
        <f>(I149-H149)/1000</f>
        <v/>
      </c>
      <c r="K149" s="16" t="inlineStr">
        <is>
          <t>Yes</t>
        </is>
      </c>
      <c r="L149" s="16" t="n">
        <v>50</v>
      </c>
      <c r="M149" s="39" t="inlineStr">
        <is>
          <t>Barachak Jn, Sitarampur Central, Kulti, Barakar, Kumardubi, Mugma, Thaparnagar, Kalubathan, Chhota Ambana</t>
        </is>
      </c>
    </row>
    <row r="150" ht="34" customHeight="1">
      <c r="A150" s="16" t="inlineStr">
        <is>
          <t>5 Jun</t>
        </is>
      </c>
      <c r="B150" s="16" t="inlineStr">
        <is>
          <t>30350</t>
        </is>
      </c>
      <c r="C150" s="16" t="n">
        <v>4455</v>
      </c>
      <c r="D150" s="16" t="n">
        <v>4455</v>
      </c>
      <c r="E150" s="16" t="n">
        <v>4455</v>
      </c>
      <c r="F150" s="38" t="n">
        <v>697</v>
      </c>
      <c r="G150" s="38" t="n">
        <v>200094</v>
      </c>
      <c r="H150" s="38" t="n">
        <v>697</v>
      </c>
      <c r="I150" s="38" t="n">
        <v>200094</v>
      </c>
      <c r="J150" s="19">
        <f>(I150-H150)/1000</f>
        <v/>
      </c>
      <c r="K150" s="16" t="inlineStr">
        <is>
          <t>Yes</t>
        </is>
      </c>
      <c r="L150" s="16" t="n">
        <v>50</v>
      </c>
      <c r="M150" s="39" t="inlineStr">
        <is>
          <t>Barachak Jn, Sitarampur Central, Kulti, Barakar, Kumardubi, Mugma, Thaparnagar, Kalubathan, Chhota Ambana</t>
        </is>
      </c>
    </row>
    <row r="151" ht="34" customHeight="1">
      <c r="A151" s="16" t="inlineStr">
        <is>
          <t>5 Jun</t>
        </is>
      </c>
      <c r="B151" s="16" t="inlineStr">
        <is>
          <t>37116</t>
        </is>
      </c>
      <c r="C151" s="16" t="n">
        <v>6875</v>
      </c>
      <c r="D151" s="16" t="n">
        <v>6854</v>
      </c>
      <c r="E151" s="16" t="n">
        <v>6854</v>
      </c>
      <c r="F151" s="38" t="n">
        <v>692</v>
      </c>
      <c r="G151" s="38" t="n">
        <v>200092</v>
      </c>
      <c r="H151" s="38" t="n">
        <v>692</v>
      </c>
      <c r="I151" s="38" t="n">
        <v>200092</v>
      </c>
      <c r="J151" s="19">
        <f>(I151-H151)/1000</f>
        <v/>
      </c>
      <c r="K151" s="16" t="inlineStr">
        <is>
          <t>Yes</t>
        </is>
      </c>
      <c r="L151" s="16" t="n">
        <v>50</v>
      </c>
      <c r="M151" s="39" t="inlineStr">
        <is>
          <t>Barachak Jn, Sitarampur Central, Kulti, Barakar, Kumardubi, Mugma, Thaparnagar, Kalubathan, Chhota Ambana</t>
        </is>
      </c>
    </row>
    <row r="152" ht="34" customHeight="1">
      <c r="A152" s="16" t="inlineStr">
        <is>
          <t>5 Jun</t>
        </is>
      </c>
      <c r="B152" s="16" t="inlineStr">
        <is>
          <t>37502</t>
        </is>
      </c>
      <c r="C152" s="16" t="n">
        <v>8516</v>
      </c>
      <c r="D152" s="16" t="n">
        <v>8484</v>
      </c>
      <c r="E152" s="16" t="n">
        <v>8329</v>
      </c>
      <c r="F152" s="38" t="n">
        <v>21</v>
      </c>
      <c r="G152" s="38" t="n">
        <v>199393</v>
      </c>
      <c r="H152" s="38" t="n">
        <v>342</v>
      </c>
      <c r="I152" s="38" t="n">
        <v>199393</v>
      </c>
      <c r="J152" s="19">
        <f>(I152-H152)/1000</f>
        <v/>
      </c>
      <c r="K152" s="16" t="inlineStr">
        <is>
          <t>Yes</t>
        </is>
      </c>
      <c r="L152" s="16" t="n">
        <v>50</v>
      </c>
      <c r="M152" s="39" t="inlineStr">
        <is>
          <t>Barachak Jn, Sitarampur Central, Kulti, Barakar, Kumardubi, Mugma, Thaparnagar, Kalubathan, Chhota Ambana</t>
        </is>
      </c>
    </row>
    <row r="153" ht="49" customHeight="1">
      <c r="A153" s="16" t="inlineStr">
        <is>
          <t>5 Jun</t>
        </is>
      </c>
      <c r="B153" s="16" t="inlineStr">
        <is>
          <t>37452</t>
        </is>
      </c>
      <c r="C153" s="16" t="n">
        <v>9213</v>
      </c>
      <c r="D153" s="16" t="n">
        <v>9181</v>
      </c>
      <c r="E153" s="16" t="n">
        <v>9181</v>
      </c>
      <c r="F153" s="38" t="n">
        <v>17399</v>
      </c>
      <c r="G153" s="38" t="n">
        <v>199537</v>
      </c>
      <c r="H153" s="38" t="n">
        <v>17399</v>
      </c>
      <c r="I153" s="38" t="n">
        <v>199537</v>
      </c>
      <c r="J153" s="19">
        <f>(I153-H153)/1000</f>
        <v/>
      </c>
      <c r="K153" s="16" t="inlineStr">
        <is>
          <t>Yes</t>
        </is>
      </c>
      <c r="L153" s="16" t="n">
        <v>43</v>
      </c>
      <c r="M153" s="39" t="inlineStr">
        <is>
          <t>Howrah, Howrah Sorting Yard, Liluah, Belur, Bally, Belanagar, Dankuni, Barachak Jn, Sitarampur Central, Kulti, Barakar, Kumardubi, Mugma, Thaparnagar, Kalubathan, Chhota Ambana</t>
        </is>
      </c>
    </row>
    <row r="154" ht="64" customHeight="1">
      <c r="A154" s="16" t="inlineStr">
        <is>
          <t>5 Jun</t>
        </is>
      </c>
      <c r="B154" s="16" t="inlineStr">
        <is>
          <t>37025</t>
        </is>
      </c>
      <c r="C154" s="16" t="n">
        <v>5689</v>
      </c>
      <c r="D154" s="16" t="n">
        <v>5685</v>
      </c>
      <c r="E154" s="16" t="n">
        <v>5685</v>
      </c>
      <c r="F154" s="38" t="n">
        <v>31961</v>
      </c>
      <c r="G154" s="38" t="n">
        <v>200088</v>
      </c>
      <c r="H154" s="38" t="n">
        <v>31961</v>
      </c>
      <c r="I154" s="38" t="n">
        <v>200088</v>
      </c>
      <c r="J154" s="19">
        <f>(I154-H154)/1000</f>
        <v/>
      </c>
      <c r="K154" s="16" t="inlineStr">
        <is>
          <t>Yes</t>
        </is>
      </c>
      <c r="L154" s="16" t="n">
        <v>40</v>
      </c>
      <c r="M154" s="39" t="inlineStr">
        <is>
          <t>Howrah, Howrah Sorting Yard, Liluah, Belur, Bally, Belanagar, Dankuni, LC-12, Janai Road, Baruipara, Barachak Jn, Sitarampur Central, Kulti, Barakar, Kumardubi, Mugma, Thaparnagar, Kalubathan, LC-12, Chhota Ambana</t>
        </is>
      </c>
    </row>
    <row r="155" ht="64" customHeight="1">
      <c r="A155" s="16" t="inlineStr">
        <is>
          <t>5 Jun</t>
        </is>
      </c>
      <c r="B155" s="16" t="inlineStr">
        <is>
          <t>39132</t>
        </is>
      </c>
      <c r="C155" s="16" t="n">
        <v>6379</v>
      </c>
      <c r="D155" s="16" t="n">
        <v>6182</v>
      </c>
      <c r="E155" s="16" t="n">
        <v>6182</v>
      </c>
      <c r="F155" s="38" t="n">
        <v>620</v>
      </c>
      <c r="G155" s="38" t="n">
        <v>160861</v>
      </c>
      <c r="H155" s="38" t="n">
        <v>620</v>
      </c>
      <c r="I155" s="38" t="n">
        <v>160861</v>
      </c>
      <c r="J155" s="19">
        <f>(I155-H155)/1000</f>
        <v/>
      </c>
      <c r="K155" s="16" t="inlineStr">
        <is>
          <t>Yes</t>
        </is>
      </c>
      <c r="L155" s="16" t="n">
        <v>41</v>
      </c>
      <c r="M155" s="39" t="inlineStr">
        <is>
          <t>Waria, Andal East Outer, Andal, Baktarnagar B H, Raniganj, Nimcha B H, Ratibati, Kaliphari, Asansol, Barachak Jn, Sitarampur Central, Kulti, Barakar, Kumardubi, Mugma, Thaparnagar, Kalubathan, Chhota Ambana</t>
        </is>
      </c>
    </row>
    <row r="156" ht="64" customHeight="1">
      <c r="A156" s="16" t="inlineStr">
        <is>
          <t>5 Jun</t>
        </is>
      </c>
      <c r="B156" s="16" t="inlineStr">
        <is>
          <t>39482</t>
        </is>
      </c>
      <c r="C156" s="16" t="n">
        <v>4451</v>
      </c>
      <c r="D156" s="16" t="n">
        <v>4408</v>
      </c>
      <c r="E156" s="16" t="n">
        <v>4408</v>
      </c>
      <c r="F156" s="38" t="n">
        <v>621</v>
      </c>
      <c r="G156" s="38" t="n">
        <v>160759</v>
      </c>
      <c r="H156" s="38" t="n">
        <v>621</v>
      </c>
      <c r="I156" s="38" t="n">
        <v>160759</v>
      </c>
      <c r="J156" s="19">
        <f>(I156-H156)/1000</f>
        <v/>
      </c>
      <c r="K156" s="16" t="inlineStr">
        <is>
          <t>Yes</t>
        </is>
      </c>
      <c r="L156" s="16" t="n">
        <v>41</v>
      </c>
      <c r="M156" s="39" t="inlineStr">
        <is>
          <t>Waria, Andal East Outer, Andal, Baktarnagar B H, Raniganj, Nimcha B H, Ratibati, Kaliphari, Asansol, Barachak Jn, Sitarampur Central, Kulti, Barakar, Kumardubi, Mugma, Thaparnagar, Kalubathan, Chhota Ambana</t>
        </is>
      </c>
    </row>
    <row r="157" ht="79" customHeight="1">
      <c r="A157" s="16" t="inlineStr">
        <is>
          <t>5 Jun</t>
        </is>
      </c>
      <c r="B157" s="16" t="inlineStr">
        <is>
          <t>30487</t>
        </is>
      </c>
      <c r="C157" s="16" t="n">
        <v>6330</v>
      </c>
      <c r="D157" s="16" t="n">
        <v>6314</v>
      </c>
      <c r="E157" s="16" t="n">
        <v>6314</v>
      </c>
      <c r="F157" s="38" t="n">
        <v>12113</v>
      </c>
      <c r="G157" s="38" t="n">
        <v>160723</v>
      </c>
      <c r="H157" s="38" t="n">
        <v>12113</v>
      </c>
      <c r="I157" s="38" t="n">
        <v>160723</v>
      </c>
      <c r="J157" s="19">
        <f>(I157-H157)/1000</f>
        <v/>
      </c>
      <c r="K157" s="16" t="inlineStr">
        <is>
          <t>Yes</t>
        </is>
      </c>
      <c r="L157" s="16" t="n">
        <v>36</v>
      </c>
      <c r="M157" s="39" t="inlineStr">
        <is>
          <t>Howrah, Howrah Sorting Yard, Liluah, Belur, Bally, Waria, Andal East Outer, Andal, Baktarnagar B H, Raniganj, Nimcha B H, Ratibati, Kaliphari, Asansol, Barachak Jn, Sitarampur Central, Kulti, Barakar, Kumardubi, Mugma, Thaparnagar, Kalubathan, Chhota Ambana</t>
        </is>
      </c>
    </row>
    <row r="158" ht="94" customHeight="1">
      <c r="A158" s="16" t="inlineStr">
        <is>
          <t>5 Jun</t>
        </is>
      </c>
      <c r="B158" s="16" t="inlineStr">
        <is>
          <t>39135</t>
        </is>
      </c>
      <c r="C158" s="16" t="n">
        <v>3626</v>
      </c>
      <c r="D158" s="16" t="n">
        <v>3427</v>
      </c>
      <c r="E158" s="16" t="n">
        <v>3427</v>
      </c>
      <c r="F158" s="38" t="n">
        <v>547</v>
      </c>
      <c r="G158" s="38" t="n">
        <v>98432</v>
      </c>
      <c r="H158" s="38" t="n">
        <v>547</v>
      </c>
      <c r="I158" s="38" t="n">
        <v>98432</v>
      </c>
      <c r="J158" s="19">
        <f>(I158-H158)/1000</f>
        <v/>
      </c>
      <c r="K158" s="16" t="inlineStr">
        <is>
          <t>Yes</t>
        </is>
      </c>
      <c r="L158" s="16" t="n">
        <v>27</v>
      </c>
      <c r="M158" s="39" t="inlineStr">
        <is>
          <t>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59" ht="94" customHeight="1">
      <c r="A159" s="16" t="inlineStr">
        <is>
          <t>5 Jun</t>
        </is>
      </c>
      <c r="B159" s="16" t="inlineStr">
        <is>
          <t>30112</t>
        </is>
      </c>
      <c r="C159" s="16" t="n">
        <v>8689</v>
      </c>
      <c r="D159" s="16" t="n">
        <v>8611</v>
      </c>
      <c r="E159" s="16" t="n">
        <v>8472</v>
      </c>
      <c r="F159" s="38" t="n">
        <v>58</v>
      </c>
      <c r="G159" s="38" t="n">
        <v>94613</v>
      </c>
      <c r="H159" s="38" t="n">
        <v>342</v>
      </c>
      <c r="I159" s="38" t="n">
        <v>94613</v>
      </c>
      <c r="J159" s="19">
        <f>(I159-H159)/1000</f>
        <v/>
      </c>
      <c r="K159" s="16" t="inlineStr">
        <is>
          <t>Yes</t>
        </is>
      </c>
      <c r="L159" s="16" t="n">
        <v>26</v>
      </c>
      <c r="M15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0" ht="94" customHeight="1">
      <c r="A160" s="16" t="inlineStr">
        <is>
          <t>5 Jun</t>
        </is>
      </c>
      <c r="B160" s="16" t="inlineStr">
        <is>
          <t>37081</t>
        </is>
      </c>
      <c r="C160" s="16" t="n">
        <v>7393</v>
      </c>
      <c r="D160" s="16" t="n">
        <v>7349</v>
      </c>
      <c r="E160" s="16" t="n">
        <v>7349</v>
      </c>
      <c r="F160" s="38" t="n">
        <v>350</v>
      </c>
      <c r="G160" s="38" t="n">
        <v>94606</v>
      </c>
      <c r="H160" s="38" t="n">
        <v>350</v>
      </c>
      <c r="I160" s="38" t="n">
        <v>94606</v>
      </c>
      <c r="J160" s="19">
        <f>(I160-H160)/1000</f>
        <v/>
      </c>
      <c r="K160" s="16" t="inlineStr">
        <is>
          <t>Yes</t>
        </is>
      </c>
      <c r="L160" s="16" t="n">
        <v>26</v>
      </c>
      <c r="M16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1" ht="94" customHeight="1">
      <c r="A161" s="16" t="inlineStr">
        <is>
          <t>5 Jun</t>
        </is>
      </c>
      <c r="B161" s="16" t="inlineStr">
        <is>
          <t>37400</t>
        </is>
      </c>
      <c r="C161" s="16" t="n">
        <v>5819</v>
      </c>
      <c r="D161" s="16" t="n">
        <v>5802</v>
      </c>
      <c r="E161" s="16" t="n">
        <v>5802</v>
      </c>
      <c r="F161" s="38" t="n">
        <v>1425</v>
      </c>
      <c r="G161" s="38" t="n">
        <v>94114</v>
      </c>
      <c r="H161" s="38" t="n">
        <v>1425</v>
      </c>
      <c r="I161" s="38" t="n">
        <v>94114</v>
      </c>
      <c r="J161" s="19">
        <f>(I161-H161)/1000</f>
        <v/>
      </c>
      <c r="K161" s="16" t="inlineStr">
        <is>
          <t>Yes</t>
        </is>
      </c>
      <c r="L161" s="16" t="n">
        <v>26</v>
      </c>
      <c r="M16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2" ht="94" customHeight="1">
      <c r="A162" s="16" t="inlineStr">
        <is>
          <t>5 Jun</t>
        </is>
      </c>
      <c r="B162" s="16" t="inlineStr">
        <is>
          <t>37859</t>
        </is>
      </c>
      <c r="C162" s="16" t="n">
        <v>4494</v>
      </c>
      <c r="D162" s="16" t="n">
        <v>4475</v>
      </c>
      <c r="E162" s="16" t="n">
        <v>4475</v>
      </c>
      <c r="F162" s="38" t="n">
        <v>1443</v>
      </c>
      <c r="G162" s="38" t="n">
        <v>94113</v>
      </c>
      <c r="H162" s="38" t="n">
        <v>1443</v>
      </c>
      <c r="I162" s="38" t="n">
        <v>94113</v>
      </c>
      <c r="J162" s="19">
        <f>(I162-H162)/1000</f>
        <v/>
      </c>
      <c r="K162" s="16" t="inlineStr">
        <is>
          <t>Yes</t>
        </is>
      </c>
      <c r="L162" s="16" t="n">
        <v>26</v>
      </c>
      <c r="M16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3" ht="109" customHeight="1">
      <c r="A163" s="16" t="inlineStr">
        <is>
          <t>5 Jun</t>
        </is>
      </c>
      <c r="B163" s="16" t="inlineStr">
        <is>
          <t>30322</t>
        </is>
      </c>
      <c r="C163" s="16" t="n">
        <v>2938</v>
      </c>
      <c r="D163" s="16" t="n">
        <v>2933</v>
      </c>
      <c r="E163" s="16" t="n">
        <v>2933</v>
      </c>
      <c r="F163" s="38" t="n">
        <v>12121</v>
      </c>
      <c r="G163" s="38" t="n">
        <v>94750</v>
      </c>
      <c r="H163" s="38" t="n">
        <v>12121</v>
      </c>
      <c r="I163" s="38" t="n">
        <v>94750</v>
      </c>
      <c r="J163" s="19">
        <f>(I163-H163)/1000</f>
        <v/>
      </c>
      <c r="K163" s="16" t="inlineStr">
        <is>
          <t>Yes</t>
        </is>
      </c>
      <c r="L163" s="16" t="n">
        <v>21</v>
      </c>
      <c r="M16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4" ht="109" customHeight="1">
      <c r="A164" s="16" t="inlineStr">
        <is>
          <t>5 Jun</t>
        </is>
      </c>
      <c r="B164" s="16" t="inlineStr">
        <is>
          <t>30493</t>
        </is>
      </c>
      <c r="C164" s="16" t="n">
        <v>3374</v>
      </c>
      <c r="D164" s="16" t="n">
        <v>3367</v>
      </c>
      <c r="E164" s="16" t="n">
        <v>3367</v>
      </c>
      <c r="F164" s="38" t="n">
        <v>12129</v>
      </c>
      <c r="G164" s="38" t="n">
        <v>94759</v>
      </c>
      <c r="H164" s="38" t="n">
        <v>12129</v>
      </c>
      <c r="I164" s="38" t="n">
        <v>94759</v>
      </c>
      <c r="J164" s="19">
        <f>(I164-H164)/1000</f>
        <v/>
      </c>
      <c r="K164" s="16" t="inlineStr">
        <is>
          <t>Yes</t>
        </is>
      </c>
      <c r="L164" s="16" t="n">
        <v>21</v>
      </c>
      <c r="M164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5" ht="109" customHeight="1">
      <c r="A165" s="16" t="inlineStr">
        <is>
          <t>5 Jun</t>
        </is>
      </c>
      <c r="B165" s="16" t="inlineStr">
        <is>
          <t>39560</t>
        </is>
      </c>
      <c r="C165" s="16" t="n">
        <v>3170</v>
      </c>
      <c r="D165" s="16" t="n">
        <v>3165</v>
      </c>
      <c r="E165" s="16" t="n">
        <v>3165</v>
      </c>
      <c r="F165" s="38" t="n">
        <v>12117</v>
      </c>
      <c r="G165" s="38" t="n">
        <v>94741</v>
      </c>
      <c r="H165" s="38" t="n">
        <v>12117</v>
      </c>
      <c r="I165" s="38" t="n">
        <v>94741</v>
      </c>
      <c r="J165" s="19">
        <f>(I165-H165)/1000</f>
        <v/>
      </c>
      <c r="K165" s="16" t="inlineStr">
        <is>
          <t>Yes</t>
        </is>
      </c>
      <c r="L165" s="16" t="n">
        <v>21</v>
      </c>
      <c r="M16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6" ht="109" customHeight="1">
      <c r="A166" s="16" t="inlineStr">
        <is>
          <t>5 Jun</t>
        </is>
      </c>
      <c r="B166" s="16" t="inlineStr">
        <is>
          <t>30328</t>
        </is>
      </c>
      <c r="C166" s="16" t="n">
        <v>7273</v>
      </c>
      <c r="D166" s="16" t="n">
        <v>7251</v>
      </c>
      <c r="E166" s="16" t="n">
        <v>7251</v>
      </c>
      <c r="F166" s="38" t="n">
        <v>12119</v>
      </c>
      <c r="G166" s="38" t="n">
        <v>94645</v>
      </c>
      <c r="H166" s="38" t="n">
        <v>12119</v>
      </c>
      <c r="I166" s="38" t="n">
        <v>94645</v>
      </c>
      <c r="J166" s="19">
        <f>(I166-H166)/1000</f>
        <v/>
      </c>
      <c r="K166" s="16" t="inlineStr">
        <is>
          <t>Yes</t>
        </is>
      </c>
      <c r="L166" s="16" t="n">
        <v>21</v>
      </c>
      <c r="M16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7" ht="109" customHeight="1">
      <c r="A167" s="16" t="inlineStr">
        <is>
          <t>5 Jun</t>
        </is>
      </c>
      <c r="B167" s="16" t="inlineStr">
        <is>
          <t>30329</t>
        </is>
      </c>
      <c r="C167" s="16" t="n">
        <v>7087</v>
      </c>
      <c r="D167" s="16" t="n">
        <v>7066</v>
      </c>
      <c r="E167" s="16" t="n">
        <v>7066</v>
      </c>
      <c r="F167" s="38" t="n">
        <v>12113</v>
      </c>
      <c r="G167" s="38" t="n">
        <v>94613</v>
      </c>
      <c r="H167" s="38" t="n">
        <v>12113</v>
      </c>
      <c r="I167" s="38" t="n">
        <v>94613</v>
      </c>
      <c r="J167" s="19">
        <f>(I167-H167)/1000</f>
        <v/>
      </c>
      <c r="K167" s="16" t="inlineStr">
        <is>
          <t>Yes</t>
        </is>
      </c>
      <c r="L167" s="16" t="n">
        <v>21</v>
      </c>
      <c r="M16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8" ht="109" customHeight="1">
      <c r="A168" s="16" t="inlineStr">
        <is>
          <t>5 Jun</t>
        </is>
      </c>
      <c r="B168" s="16" t="inlineStr">
        <is>
          <t>39410</t>
        </is>
      </c>
      <c r="C168" s="16" t="n">
        <v>3838</v>
      </c>
      <c r="D168" s="16" t="n">
        <v>3827</v>
      </c>
      <c r="E168" s="16" t="n">
        <v>3816</v>
      </c>
      <c r="F168" s="38" t="n">
        <v>163296</v>
      </c>
      <c r="G168" s="38" t="n">
        <v>244593</v>
      </c>
      <c r="H168" s="38" t="n">
        <v>163296</v>
      </c>
      <c r="I168" s="38" t="n">
        <v>244368</v>
      </c>
      <c r="J168" s="19">
        <f>(I168-H168)/1000</f>
        <v/>
      </c>
      <c r="K168" s="16" t="inlineStr">
        <is>
          <t>Yes</t>
        </is>
      </c>
      <c r="L168" s="16" t="n">
        <v>20</v>
      </c>
      <c r="M168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</t>
        </is>
      </c>
    </row>
    <row r="169" ht="109" customHeight="1">
      <c r="A169" s="16" t="inlineStr">
        <is>
          <t>5 Jun</t>
        </is>
      </c>
      <c r="B169" s="16" t="inlineStr">
        <is>
          <t>30455</t>
        </is>
      </c>
      <c r="C169" s="16" t="n">
        <v>3166</v>
      </c>
      <c r="D169" s="16" t="n">
        <v>3161</v>
      </c>
      <c r="E169" s="16" t="n">
        <v>3161</v>
      </c>
      <c r="F169" s="38" t="n">
        <v>15747</v>
      </c>
      <c r="G169" s="38" t="n">
        <v>94753</v>
      </c>
      <c r="H169" s="38" t="n">
        <v>15747</v>
      </c>
      <c r="I169" s="38" t="n">
        <v>94753</v>
      </c>
      <c r="J169" s="19">
        <f>(I169-H169)/1000</f>
        <v/>
      </c>
      <c r="K169" s="16" t="inlineStr">
        <is>
          <t>Yes</t>
        </is>
      </c>
      <c r="L169" s="16" t="n">
        <v>20</v>
      </c>
      <c r="M169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0" ht="139" customHeight="1">
      <c r="A170" s="16" t="inlineStr">
        <is>
          <t>5 Jun</t>
        </is>
      </c>
      <c r="B170" s="16" t="inlineStr">
        <is>
          <t>37014</t>
        </is>
      </c>
      <c r="C170" s="16" t="n">
        <v>1464</v>
      </c>
      <c r="D170" s="16" t="n">
        <v>1430</v>
      </c>
      <c r="E170" s="16" t="n">
        <v>1430</v>
      </c>
      <c r="F170" s="38" t="n">
        <v>688</v>
      </c>
      <c r="G170" s="38" t="n">
        <v>27965</v>
      </c>
      <c r="H170" s="38" t="n">
        <v>688</v>
      </c>
      <c r="I170" s="38" t="n">
        <v>27965</v>
      </c>
      <c r="J170" s="19">
        <f>(I170-H170)/1000</f>
        <v/>
      </c>
      <c r="K170" s="16" t="inlineStr">
        <is>
          <t>Yes</t>
        </is>
      </c>
      <c r="L170" s="16" t="n">
        <v>10</v>
      </c>
      <c r="M170" s="39" t="inlineStr">
        <is>
          <t>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1" ht="139" customHeight="1">
      <c r="A171" s="16" t="inlineStr">
        <is>
          <t>5 Jun</t>
        </is>
      </c>
      <c r="B171" s="16" t="inlineStr">
        <is>
          <t>37244</t>
        </is>
      </c>
      <c r="C171" s="16" t="n">
        <v>807</v>
      </c>
      <c r="D171" s="16" t="n">
        <v>755</v>
      </c>
      <c r="E171" s="16" t="n">
        <v>755</v>
      </c>
      <c r="F171" s="38" t="n">
        <v>849</v>
      </c>
      <c r="G171" s="38" t="n">
        <v>9118</v>
      </c>
      <c r="H171" s="38" t="n">
        <v>849</v>
      </c>
      <c r="I171" s="38" t="n">
        <v>9118</v>
      </c>
      <c r="J171" s="19">
        <f>(I171-H171)/1000</f>
        <v/>
      </c>
      <c r="K171" s="16" t="inlineStr">
        <is>
          <t>Yes</t>
        </is>
      </c>
      <c r="L171" s="16" t="n">
        <v>5</v>
      </c>
      <c r="M171" s="39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  ...(+5 more)</t>
        </is>
      </c>
    </row>
    <row r="172" ht="139" customHeight="1">
      <c r="A172" s="16" t="inlineStr">
        <is>
          <t>5 Jun</t>
        </is>
      </c>
      <c r="B172" s="16" t="inlineStr">
        <is>
          <t>37720</t>
        </is>
      </c>
      <c r="C172" s="16" t="n">
        <v>264</v>
      </c>
      <c r="D172" s="16" t="n">
        <v>263</v>
      </c>
      <c r="E172" s="16" t="n">
        <v>263</v>
      </c>
      <c r="F172" s="38" t="n">
        <v>12159</v>
      </c>
      <c r="G172" s="38" t="n">
        <v>13078</v>
      </c>
      <c r="H172" s="38" t="n">
        <v>12159</v>
      </c>
      <c r="I172" s="38" t="n">
        <v>13078</v>
      </c>
      <c r="J172" s="19">
        <f>(I172-H172)/1000</f>
        <v/>
      </c>
      <c r="K172" s="16" t="inlineStr">
        <is>
          <t>Yes</t>
        </is>
      </c>
      <c r="L172" s="16" t="n">
        <v>2</v>
      </c>
      <c r="M172" s="39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73" ht="139" customHeight="1">
      <c r="A173" s="16" t="inlineStr">
        <is>
          <t>5 Jun</t>
        </is>
      </c>
      <c r="B173" s="16" t="inlineStr">
        <is>
          <t>37005</t>
        </is>
      </c>
      <c r="C173" s="16" t="n">
        <v>375</v>
      </c>
      <c r="D173" s="16" t="n">
        <v>292</v>
      </c>
      <c r="E173" s="16" t="n">
        <v>284</v>
      </c>
      <c r="F173" s="38" t="n">
        <v>321</v>
      </c>
      <c r="G173" s="38" t="n">
        <v>851</v>
      </c>
      <c r="H173" s="38" t="n">
        <v>344</v>
      </c>
      <c r="I173" s="38" t="n">
        <v>851</v>
      </c>
      <c r="J173" s="19">
        <f>(I173-H173)/1000</f>
        <v/>
      </c>
      <c r="K173" s="16" t="inlineStr">
        <is>
          <t>Yes</t>
        </is>
      </c>
      <c r="L173" s="16" t="n">
        <v>1</v>
      </c>
      <c r="M173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74" ht="139" customHeight="1">
      <c r="A174" s="16" t="inlineStr">
        <is>
          <t>5 Jun</t>
        </is>
      </c>
      <c r="B174" s="16" t="inlineStr">
        <is>
          <t>43767</t>
        </is>
      </c>
      <c r="C174" s="16" t="n">
        <v>325</v>
      </c>
      <c r="D174" s="16" t="n">
        <v>323</v>
      </c>
      <c r="E174" s="16" t="n">
        <v>115</v>
      </c>
      <c r="F174" s="38" t="n">
        <v>41</v>
      </c>
      <c r="G174" s="38" t="n">
        <v>550</v>
      </c>
      <c r="H174" s="38" t="n">
        <v>343</v>
      </c>
      <c r="I174" s="38" t="n">
        <v>550</v>
      </c>
      <c r="J174" s="19">
        <f>(I174-H174)/1000</f>
        <v/>
      </c>
      <c r="K174" s="16" t="inlineStr">
        <is>
          <t>Yes</t>
        </is>
      </c>
      <c r="L174" s="16" t="n">
        <v>1</v>
      </c>
      <c r="M174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75" ht="139" customHeight="1">
      <c r="A175" s="16" t="inlineStr">
        <is>
          <t>5 Jun</t>
        </is>
      </c>
      <c r="B175" s="16" t="inlineStr">
        <is>
          <t>37268</t>
        </is>
      </c>
      <c r="C175" s="16" t="n">
        <v>156</v>
      </c>
      <c r="D175" s="16" t="n">
        <v>113</v>
      </c>
      <c r="E175" s="16" t="n">
        <v>113</v>
      </c>
      <c r="F175" s="38" t="n">
        <v>445</v>
      </c>
      <c r="G175" s="38" t="n">
        <v>616</v>
      </c>
      <c r="H175" s="38" t="n">
        <v>445</v>
      </c>
      <c r="I175" s="38" t="n">
        <v>616</v>
      </c>
      <c r="J175" s="19">
        <f>(I175-H175)/1000</f>
        <v/>
      </c>
      <c r="K175" s="16" t="inlineStr">
        <is>
          <t>Yes</t>
        </is>
      </c>
      <c r="L175" s="16" t="n">
        <v>1</v>
      </c>
      <c r="M175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76" ht="139" customHeight="1">
      <c r="A176" s="31" t="inlineStr">
        <is>
          <t>5 Jun</t>
        </is>
      </c>
      <c r="B176" s="31" t="inlineStr">
        <is>
          <t>128519</t>
        </is>
      </c>
      <c r="C176" s="31" t="n">
        <v>109</v>
      </c>
      <c r="D176" s="31" t="n">
        <v>87</v>
      </c>
      <c r="E176" s="31" t="n">
        <v>87</v>
      </c>
      <c r="F176" s="40" t="n">
        <v>350</v>
      </c>
      <c r="G176" s="40" t="n">
        <v>350</v>
      </c>
      <c r="H176" s="40" t="n">
        <v>350</v>
      </c>
      <c r="I176" s="40" t="n">
        <v>350</v>
      </c>
      <c r="J176" s="41">
        <f>(I176-H176)/1000</f>
        <v/>
      </c>
      <c r="K176" s="31" t="inlineStr">
        <is>
          <t>No</t>
        </is>
      </c>
      <c r="L176" s="31" t="n">
        <v>1</v>
      </c>
      <c r="M176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77" ht="139" customHeight="1">
      <c r="A177" s="31" t="inlineStr">
        <is>
          <t>5 Jun</t>
        </is>
      </c>
      <c r="B177" s="31" t="inlineStr">
        <is>
          <t>132073</t>
        </is>
      </c>
      <c r="C177" s="31" t="n">
        <v>98</v>
      </c>
      <c r="D177" s="31" t="n">
        <v>70</v>
      </c>
      <c r="E177" s="31" t="n">
        <v>70</v>
      </c>
      <c r="F177" s="40" t="n">
        <v>350</v>
      </c>
      <c r="G177" s="40" t="n">
        <v>350</v>
      </c>
      <c r="H177" s="40" t="n">
        <v>350</v>
      </c>
      <c r="I177" s="40" t="n">
        <v>350</v>
      </c>
      <c r="J177" s="41">
        <f>(I177-H177)/1000</f>
        <v/>
      </c>
      <c r="K177" s="31" t="inlineStr">
        <is>
          <t>No</t>
        </is>
      </c>
      <c r="L177" s="31" t="n">
        <v>1</v>
      </c>
      <c r="M177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78" ht="139" customHeight="1">
      <c r="A178" s="31" t="inlineStr">
        <is>
          <t>5 Jun</t>
        </is>
      </c>
      <c r="B178" s="31" t="inlineStr">
        <is>
          <t>30323</t>
        </is>
      </c>
      <c r="C178" s="31" t="n">
        <v>5</v>
      </c>
      <c r="D178" s="31" t="n">
        <v>0</v>
      </c>
      <c r="E178" s="31" t="n">
        <v>0</v>
      </c>
      <c r="F178" s="40" t="inlineStr">
        <is>
          <t>-</t>
        </is>
      </c>
      <c r="G178" s="40" t="inlineStr">
        <is>
          <t>-</t>
        </is>
      </c>
      <c r="H178" s="40" t="inlineStr">
        <is>
          <t>-</t>
        </is>
      </c>
      <c r="I178" s="40" t="inlineStr">
        <is>
          <t>-</t>
        </is>
      </c>
      <c r="J178" s="41" t="n">
        <v>0</v>
      </c>
      <c r="K178" s="31" t="inlineStr">
        <is>
          <t>No</t>
        </is>
      </c>
      <c r="L178" s="31" t="n">
        <v>0</v>
      </c>
      <c r="M17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79" ht="139" customHeight="1">
      <c r="A179" s="31" t="inlineStr">
        <is>
          <t>5 Jun</t>
        </is>
      </c>
      <c r="B179" s="31" t="inlineStr">
        <is>
          <t>30469</t>
        </is>
      </c>
      <c r="C179" s="31" t="n">
        <v>6</v>
      </c>
      <c r="D179" s="31" t="n">
        <v>0</v>
      </c>
      <c r="E179" s="31" t="n">
        <v>0</v>
      </c>
      <c r="F179" s="40" t="inlineStr">
        <is>
          <t>-</t>
        </is>
      </c>
      <c r="G179" s="40" t="inlineStr">
        <is>
          <t>-</t>
        </is>
      </c>
      <c r="H179" s="40" t="inlineStr">
        <is>
          <t>-</t>
        </is>
      </c>
      <c r="I179" s="40" t="inlineStr">
        <is>
          <t>-</t>
        </is>
      </c>
      <c r="J179" s="41" t="n">
        <v>0</v>
      </c>
      <c r="K179" s="31" t="inlineStr">
        <is>
          <t>No</t>
        </is>
      </c>
      <c r="L179" s="31" t="n">
        <v>0</v>
      </c>
      <c r="M17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0" ht="139" customHeight="1">
      <c r="A180" s="31" t="inlineStr">
        <is>
          <t>5 Jun</t>
        </is>
      </c>
      <c r="B180" s="31" t="inlineStr">
        <is>
          <t>30639</t>
        </is>
      </c>
      <c r="C180" s="31" t="n">
        <v>25</v>
      </c>
      <c r="D180" s="31" t="n">
        <v>0</v>
      </c>
      <c r="E180" s="31" t="n">
        <v>0</v>
      </c>
      <c r="F180" s="40" t="inlineStr">
        <is>
          <t>-</t>
        </is>
      </c>
      <c r="G180" s="40" t="inlineStr">
        <is>
          <t>-</t>
        </is>
      </c>
      <c r="H180" s="40" t="inlineStr">
        <is>
          <t>-</t>
        </is>
      </c>
      <c r="I180" s="40" t="inlineStr">
        <is>
          <t>-</t>
        </is>
      </c>
      <c r="J180" s="41" t="n">
        <v>0</v>
      </c>
      <c r="K180" s="31" t="inlineStr">
        <is>
          <t>No</t>
        </is>
      </c>
      <c r="L180" s="31" t="n">
        <v>0</v>
      </c>
      <c r="M18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1" ht="139" customHeight="1">
      <c r="A181" s="31" t="inlineStr">
        <is>
          <t>5 Jun</t>
        </is>
      </c>
      <c r="B181" s="31" t="inlineStr">
        <is>
          <t>37586</t>
        </is>
      </c>
      <c r="C181" s="31" t="n">
        <v>5</v>
      </c>
      <c r="D181" s="31" t="n">
        <v>0</v>
      </c>
      <c r="E181" s="31" t="n">
        <v>0</v>
      </c>
      <c r="F181" s="40" t="inlineStr">
        <is>
          <t>-</t>
        </is>
      </c>
      <c r="G181" s="40" t="inlineStr">
        <is>
          <t>-</t>
        </is>
      </c>
      <c r="H181" s="40" t="inlineStr">
        <is>
          <t>-</t>
        </is>
      </c>
      <c r="I181" s="40" t="inlineStr">
        <is>
          <t>-</t>
        </is>
      </c>
      <c r="J181" s="41" t="n">
        <v>0</v>
      </c>
      <c r="K181" s="31" t="inlineStr">
        <is>
          <t>No</t>
        </is>
      </c>
      <c r="L181" s="31" t="n">
        <v>0</v>
      </c>
      <c r="M18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2" ht="139" customHeight="1">
      <c r="A182" s="31" t="inlineStr">
        <is>
          <t>5 Jun</t>
        </is>
      </c>
      <c r="B182" s="31" t="inlineStr">
        <is>
          <t>37719</t>
        </is>
      </c>
      <c r="C182" s="31" t="n">
        <v>5</v>
      </c>
      <c r="D182" s="31" t="n">
        <v>0</v>
      </c>
      <c r="E182" s="31" t="n">
        <v>0</v>
      </c>
      <c r="F182" s="40" t="inlineStr">
        <is>
          <t>-</t>
        </is>
      </c>
      <c r="G182" s="40" t="inlineStr">
        <is>
          <t>-</t>
        </is>
      </c>
      <c r="H182" s="40" t="inlineStr">
        <is>
          <t>-</t>
        </is>
      </c>
      <c r="I182" s="40" t="inlineStr">
        <is>
          <t>-</t>
        </is>
      </c>
      <c r="J182" s="41" t="n">
        <v>0</v>
      </c>
      <c r="K182" s="31" t="inlineStr">
        <is>
          <t>No</t>
        </is>
      </c>
      <c r="L182" s="31" t="n">
        <v>0</v>
      </c>
      <c r="M18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3" ht="139" customHeight="1">
      <c r="A183" s="31" t="inlineStr">
        <is>
          <t>5 Jun</t>
        </is>
      </c>
      <c r="B183" s="31" t="inlineStr">
        <is>
          <t>38720</t>
        </is>
      </c>
      <c r="C183" s="31" t="n">
        <v>8</v>
      </c>
      <c r="D183" s="31" t="n">
        <v>0</v>
      </c>
      <c r="E183" s="31" t="n">
        <v>0</v>
      </c>
      <c r="F183" s="40" t="inlineStr">
        <is>
          <t>-</t>
        </is>
      </c>
      <c r="G183" s="40" t="inlineStr">
        <is>
          <t>-</t>
        </is>
      </c>
      <c r="H183" s="40" t="inlineStr">
        <is>
          <t>-</t>
        </is>
      </c>
      <c r="I183" s="40" t="inlineStr">
        <is>
          <t>-</t>
        </is>
      </c>
      <c r="J183" s="41" t="n">
        <v>0</v>
      </c>
      <c r="K183" s="31" t="inlineStr">
        <is>
          <t>No</t>
        </is>
      </c>
      <c r="L183" s="31" t="n">
        <v>0</v>
      </c>
      <c r="M18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4" ht="139" customHeight="1">
      <c r="A184" s="31" t="inlineStr">
        <is>
          <t>5 Jun</t>
        </is>
      </c>
      <c r="B184" s="31" t="inlineStr">
        <is>
          <t>39411</t>
        </is>
      </c>
      <c r="C184" s="31" t="n">
        <v>5</v>
      </c>
      <c r="D184" s="31" t="n">
        <v>0</v>
      </c>
      <c r="E184" s="31" t="n">
        <v>0</v>
      </c>
      <c r="F184" s="40" t="inlineStr">
        <is>
          <t>-</t>
        </is>
      </c>
      <c r="G184" s="40" t="inlineStr">
        <is>
          <t>-</t>
        </is>
      </c>
      <c r="H184" s="40" t="inlineStr">
        <is>
          <t>-</t>
        </is>
      </c>
      <c r="I184" s="40" t="inlineStr">
        <is>
          <t>-</t>
        </is>
      </c>
      <c r="J184" s="41" t="n">
        <v>0</v>
      </c>
      <c r="K184" s="31" t="inlineStr">
        <is>
          <t>No</t>
        </is>
      </c>
      <c r="L184" s="31" t="n">
        <v>0</v>
      </c>
      <c r="M18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5" ht="139" customHeight="1">
      <c r="A185" s="31" t="inlineStr">
        <is>
          <t>5 Jun</t>
        </is>
      </c>
      <c r="B185" s="31" t="inlineStr">
        <is>
          <t>39571</t>
        </is>
      </c>
      <c r="C185" s="31" t="n">
        <v>1</v>
      </c>
      <c r="D185" s="31" t="n">
        <v>0</v>
      </c>
      <c r="E185" s="31" t="n">
        <v>0</v>
      </c>
      <c r="F185" s="40" t="inlineStr">
        <is>
          <t>-</t>
        </is>
      </c>
      <c r="G185" s="40" t="inlineStr">
        <is>
          <t>-</t>
        </is>
      </c>
      <c r="H185" s="40" t="inlineStr">
        <is>
          <t>-</t>
        </is>
      </c>
      <c r="I185" s="40" t="inlineStr">
        <is>
          <t>-</t>
        </is>
      </c>
      <c r="J185" s="41" t="n">
        <v>0</v>
      </c>
      <c r="K185" s="31" t="inlineStr">
        <is>
          <t>No</t>
        </is>
      </c>
      <c r="L185" s="31" t="n">
        <v>0</v>
      </c>
      <c r="M18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6" ht="139" customHeight="1">
      <c r="A186" s="31" t="inlineStr">
        <is>
          <t>5 Jun</t>
        </is>
      </c>
      <c r="B186" s="31" t="inlineStr">
        <is>
          <t>43970</t>
        </is>
      </c>
      <c r="C186" s="31" t="n">
        <v>11</v>
      </c>
      <c r="D186" s="31" t="n">
        <v>0</v>
      </c>
      <c r="E186" s="31" t="n">
        <v>0</v>
      </c>
      <c r="F186" s="40" t="inlineStr">
        <is>
          <t>-</t>
        </is>
      </c>
      <c r="G186" s="40" t="inlineStr">
        <is>
          <t>-</t>
        </is>
      </c>
      <c r="H186" s="40" t="inlineStr">
        <is>
          <t>-</t>
        </is>
      </c>
      <c r="I186" s="40" t="inlineStr">
        <is>
          <t>-</t>
        </is>
      </c>
      <c r="J186" s="41" t="n">
        <v>0</v>
      </c>
      <c r="K186" s="31" t="inlineStr">
        <is>
          <t>No</t>
        </is>
      </c>
      <c r="L186" s="31" t="n">
        <v>0</v>
      </c>
      <c r="M18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7">
      <c r="A187" s="16" t="inlineStr">
        <is>
          <t>6 Jun</t>
        </is>
      </c>
      <c r="B187" s="16" t="inlineStr">
        <is>
          <t>30112</t>
        </is>
      </c>
      <c r="C187" s="16" t="n">
        <v>12273</v>
      </c>
      <c r="D187" s="16" t="n">
        <v>11977</v>
      </c>
      <c r="E187" s="16" t="n">
        <v>11972</v>
      </c>
      <c r="F187" s="38" t="n">
        <v>350</v>
      </c>
      <c r="G187" s="38" t="n">
        <v>244500</v>
      </c>
      <c r="H187" s="38" t="n">
        <v>350</v>
      </c>
      <c r="I187" s="38" t="n">
        <v>244366</v>
      </c>
      <c r="J187" s="19">
        <f>(I187-H187)/1000</f>
        <v/>
      </c>
      <c r="K187" s="16" t="inlineStr">
        <is>
          <t>Yes</t>
        </is>
      </c>
      <c r="L187" s="16" t="n">
        <v>60</v>
      </c>
      <c r="M187" s="39" t="inlineStr">
        <is>
          <t>- (full trip)</t>
        </is>
      </c>
    </row>
    <row r="188">
      <c r="A188" s="16" t="inlineStr">
        <is>
          <t>6 Jun</t>
        </is>
      </c>
      <c r="B188" s="16" t="inlineStr">
        <is>
          <t>39409</t>
        </is>
      </c>
      <c r="C188" s="16" t="n">
        <v>22720</v>
      </c>
      <c r="D188" s="16" t="n">
        <v>22663</v>
      </c>
      <c r="E188" s="16" t="n">
        <v>22500</v>
      </c>
      <c r="F188" s="38" t="n">
        <v>33</v>
      </c>
      <c r="G188" s="38" t="n">
        <v>244606</v>
      </c>
      <c r="H188" s="38" t="n">
        <v>344</v>
      </c>
      <c r="I188" s="38" t="n">
        <v>244357</v>
      </c>
      <c r="J188" s="19">
        <f>(I188-H188)/1000</f>
        <v/>
      </c>
      <c r="K188" s="16" t="inlineStr">
        <is>
          <t>Yes</t>
        </is>
      </c>
      <c r="L188" s="16" t="n">
        <v>60</v>
      </c>
      <c r="M188" s="39" t="inlineStr">
        <is>
          <t>- (full trip)</t>
        </is>
      </c>
    </row>
    <row r="189">
      <c r="A189" s="16" t="inlineStr">
        <is>
          <t>6 Jun</t>
        </is>
      </c>
      <c r="B189" s="16" t="inlineStr">
        <is>
          <t>39132</t>
        </is>
      </c>
      <c r="C189" s="16" t="n">
        <v>15042</v>
      </c>
      <c r="D189" s="16" t="n">
        <v>14987</v>
      </c>
      <c r="E189" s="16" t="n">
        <v>14786</v>
      </c>
      <c r="F189" s="38" t="n">
        <v>43</v>
      </c>
      <c r="G189" s="38" t="n">
        <v>246089</v>
      </c>
      <c r="H189" s="38" t="n">
        <v>342</v>
      </c>
      <c r="I189" s="38" t="n">
        <v>244337</v>
      </c>
      <c r="J189" s="19">
        <f>(I189-H189)/1000</f>
        <v/>
      </c>
      <c r="K189" s="16" t="inlineStr">
        <is>
          <t>Yes</t>
        </is>
      </c>
      <c r="L189" s="16" t="n">
        <v>60</v>
      </c>
      <c r="M189" s="39" t="inlineStr">
        <is>
          <t>- (full trip)</t>
        </is>
      </c>
    </row>
    <row r="190">
      <c r="A190" s="16" t="inlineStr">
        <is>
          <t>6 Jun</t>
        </is>
      </c>
      <c r="B190" s="16" t="inlineStr">
        <is>
          <t>37042</t>
        </is>
      </c>
      <c r="C190" s="16" t="n">
        <v>8660</v>
      </c>
      <c r="D190" s="16" t="n">
        <v>8576</v>
      </c>
      <c r="E190" s="16" t="n">
        <v>8576</v>
      </c>
      <c r="F190" s="38" t="n">
        <v>444</v>
      </c>
      <c r="G190" s="38" t="n">
        <v>244355</v>
      </c>
      <c r="H190" s="38" t="n">
        <v>444</v>
      </c>
      <c r="I190" s="38" t="n">
        <v>244355</v>
      </c>
      <c r="J190" s="19">
        <f>(I190-H190)/1000</f>
        <v/>
      </c>
      <c r="K190" s="16" t="inlineStr">
        <is>
          <t>Yes</t>
        </is>
      </c>
      <c r="L190" s="16" t="n">
        <v>60</v>
      </c>
      <c r="M190" s="39" t="inlineStr">
        <is>
          <t>- (full trip)</t>
        </is>
      </c>
    </row>
    <row r="191">
      <c r="A191" s="16" t="inlineStr">
        <is>
          <t>6 Jun</t>
        </is>
      </c>
      <c r="B191" s="16" t="inlineStr">
        <is>
          <t>39178</t>
        </is>
      </c>
      <c r="C191" s="16" t="n">
        <v>8386</v>
      </c>
      <c r="D191" s="16" t="n">
        <v>8356</v>
      </c>
      <c r="E191" s="16" t="n">
        <v>8347</v>
      </c>
      <c r="F191" s="38" t="n">
        <v>690</v>
      </c>
      <c r="G191" s="38" t="n">
        <v>244623</v>
      </c>
      <c r="H191" s="38" t="n">
        <v>690</v>
      </c>
      <c r="I191" s="38" t="n">
        <v>244372</v>
      </c>
      <c r="J191" s="19">
        <f>(I191-H191)/1000</f>
        <v/>
      </c>
      <c r="K191" s="16" t="inlineStr">
        <is>
          <t>Yes</t>
        </is>
      </c>
      <c r="L191" s="16" t="n">
        <v>60</v>
      </c>
      <c r="M191" s="39" t="inlineStr">
        <is>
          <t>- (full trip)</t>
        </is>
      </c>
    </row>
    <row r="192" ht="34" customHeight="1">
      <c r="A192" s="16" t="inlineStr">
        <is>
          <t>6 Jun</t>
        </is>
      </c>
      <c r="B192" s="16" t="inlineStr">
        <is>
          <t>37014</t>
        </is>
      </c>
      <c r="C192" s="16" t="n">
        <v>7953</v>
      </c>
      <c r="D192" s="16" t="n">
        <v>7948</v>
      </c>
      <c r="E192" s="16" t="n">
        <v>7939</v>
      </c>
      <c r="F192" s="38" t="n">
        <v>28005</v>
      </c>
      <c r="G192" s="38" t="n">
        <v>244641</v>
      </c>
      <c r="H192" s="38" t="n">
        <v>28005</v>
      </c>
      <c r="I192" s="38" t="n">
        <v>244374</v>
      </c>
      <c r="J192" s="19">
        <f>(I192-H192)/1000</f>
        <v/>
      </c>
      <c r="K192" s="16" t="inlineStr">
        <is>
          <t>Yes</t>
        </is>
      </c>
      <c r="L192" s="16" t="n">
        <v>51</v>
      </c>
      <c r="M192" s="39" t="inlineStr">
        <is>
          <t>Howrah, Howrah Sorting Yard, Liluah, Belur, Bally, Belanagar, Dankuni, Janai Road</t>
        </is>
      </c>
    </row>
    <row r="193" ht="34" customHeight="1">
      <c r="A193" s="16" t="inlineStr">
        <is>
          <t>6 Jun</t>
        </is>
      </c>
      <c r="B193" s="16" t="inlineStr">
        <is>
          <t>37778</t>
        </is>
      </c>
      <c r="C193" s="16" t="n">
        <v>8818</v>
      </c>
      <c r="D193" s="16" t="n">
        <v>8788</v>
      </c>
      <c r="E193" s="16" t="n">
        <v>8788</v>
      </c>
      <c r="F193" s="38" t="n">
        <v>350</v>
      </c>
      <c r="G193" s="38" t="n">
        <v>209131</v>
      </c>
      <c r="H193" s="38" t="n">
        <v>350</v>
      </c>
      <c r="I193" s="38" t="n">
        <v>209131</v>
      </c>
      <c r="J193" s="19">
        <f>(I193-H193)/1000</f>
        <v/>
      </c>
      <c r="K193" s="16" t="inlineStr">
        <is>
          <t>Yes</t>
        </is>
      </c>
      <c r="L193" s="16" t="n">
        <v>52</v>
      </c>
      <c r="M193" s="39" t="inlineStr">
        <is>
          <t>Kulti, Barakar, Kumardubi, Mugma, Thaparnagar, Kalubathan, Chhota Ambana</t>
        </is>
      </c>
    </row>
    <row r="194" ht="34" customHeight="1">
      <c r="A194" s="16" t="inlineStr">
        <is>
          <t>6 Jun</t>
        </is>
      </c>
      <c r="B194" s="16" t="inlineStr">
        <is>
          <t>39111</t>
        </is>
      </c>
      <c r="C194" s="16" t="n">
        <v>12788</v>
      </c>
      <c r="D194" s="16" t="n">
        <v>12749</v>
      </c>
      <c r="E194" s="16" t="n">
        <v>12579</v>
      </c>
      <c r="F194" s="38" t="n">
        <v>23</v>
      </c>
      <c r="G194" s="38" t="n">
        <v>200089</v>
      </c>
      <c r="H194" s="38" t="n">
        <v>343</v>
      </c>
      <c r="I194" s="38" t="n">
        <v>200089</v>
      </c>
      <c r="J194" s="19">
        <f>(I194-H194)/1000</f>
        <v/>
      </c>
      <c r="K194" s="16" t="inlineStr">
        <is>
          <t>Yes</t>
        </is>
      </c>
      <c r="L194" s="16" t="n">
        <v>50</v>
      </c>
      <c r="M194" s="39" t="inlineStr">
        <is>
          <t>Barachak Jn, Sitarampur Central, Kulti, Barakar, Kumardubi, Mugma, Thaparnagar, Kalubathan, Chhota Ambana</t>
        </is>
      </c>
    </row>
    <row r="195" ht="34" customHeight="1">
      <c r="A195" s="16" t="inlineStr">
        <is>
          <t>6 Jun</t>
        </is>
      </c>
      <c r="B195" s="16" t="inlineStr">
        <is>
          <t>30508</t>
        </is>
      </c>
      <c r="C195" s="16" t="n">
        <v>7587</v>
      </c>
      <c r="D195" s="16" t="n">
        <v>7563</v>
      </c>
      <c r="E195" s="16" t="n">
        <v>7563</v>
      </c>
      <c r="F195" s="38" t="n">
        <v>350</v>
      </c>
      <c r="G195" s="38" t="n">
        <v>200088</v>
      </c>
      <c r="H195" s="38" t="n">
        <v>350</v>
      </c>
      <c r="I195" s="38" t="n">
        <v>200088</v>
      </c>
      <c r="J195" s="19">
        <f>(I195-H195)/1000</f>
        <v/>
      </c>
      <c r="K195" s="16" t="inlineStr">
        <is>
          <t>Yes</t>
        </is>
      </c>
      <c r="L195" s="16" t="n">
        <v>50</v>
      </c>
      <c r="M195" s="39" t="inlineStr">
        <is>
          <t>Barachak Jn, Sitarampur Central, Kulti, Barakar, Kumardubi, Mugma, Thaparnagar, Kalubathan, Chhota Ambana</t>
        </is>
      </c>
    </row>
    <row r="196" ht="34" customHeight="1">
      <c r="A196" s="16" t="inlineStr">
        <is>
          <t>6 Jun</t>
        </is>
      </c>
      <c r="B196" s="16" t="inlineStr">
        <is>
          <t>30692</t>
        </is>
      </c>
      <c r="C196" s="16" t="n">
        <v>17125</v>
      </c>
      <c r="D196" s="16" t="n">
        <v>17072</v>
      </c>
      <c r="E196" s="16" t="n">
        <v>17022</v>
      </c>
      <c r="F196" s="38" t="n">
        <v>66</v>
      </c>
      <c r="G196" s="38" t="n">
        <v>200075</v>
      </c>
      <c r="H196" s="38" t="n">
        <v>342</v>
      </c>
      <c r="I196" s="38" t="n">
        <v>200075</v>
      </c>
      <c r="J196" s="19">
        <f>(I196-H196)/1000</f>
        <v/>
      </c>
      <c r="K196" s="16" t="inlineStr">
        <is>
          <t>Yes</t>
        </is>
      </c>
      <c r="L196" s="16" t="n">
        <v>50</v>
      </c>
      <c r="M196" s="39" t="inlineStr">
        <is>
          <t>Barachak Jn, Sitarampur Central, Kulti, Barakar, Kumardubi, Mugma, Thaparnagar, Kalubathan, Chhota Ambana</t>
        </is>
      </c>
    </row>
    <row r="197" ht="34" customHeight="1">
      <c r="A197" s="16" t="inlineStr">
        <is>
          <t>6 Jun</t>
        </is>
      </c>
      <c r="B197" s="16" t="inlineStr">
        <is>
          <t>37898</t>
        </is>
      </c>
      <c r="C197" s="16" t="n">
        <v>7828</v>
      </c>
      <c r="D197" s="16" t="n">
        <v>7777</v>
      </c>
      <c r="E197" s="16" t="n">
        <v>7777</v>
      </c>
      <c r="F197" s="38" t="n">
        <v>632</v>
      </c>
      <c r="G197" s="38" t="n">
        <v>200083</v>
      </c>
      <c r="H197" s="38" t="n">
        <v>632</v>
      </c>
      <c r="I197" s="38" t="n">
        <v>200083</v>
      </c>
      <c r="J197" s="19">
        <f>(I197-H197)/1000</f>
        <v/>
      </c>
      <c r="K197" s="16" t="inlineStr">
        <is>
          <t>Yes</t>
        </is>
      </c>
      <c r="L197" s="16" t="n">
        <v>50</v>
      </c>
      <c r="M197" s="39" t="inlineStr">
        <is>
          <t>Barachak Jn, Sitarampur Central, Kulti, Barakar, Kumardubi, Mugma, Thaparnagar, Kalubathan, Chhota Ambana</t>
        </is>
      </c>
    </row>
    <row r="198" ht="34" customHeight="1">
      <c r="A198" s="16" t="inlineStr">
        <is>
          <t>6 Jun</t>
        </is>
      </c>
      <c r="B198" s="16" t="inlineStr">
        <is>
          <t>37502</t>
        </is>
      </c>
      <c r="C198" s="16" t="n">
        <v>7436</v>
      </c>
      <c r="D198" s="16" t="n">
        <v>7421</v>
      </c>
      <c r="E198" s="16" t="n">
        <v>7421</v>
      </c>
      <c r="F198" s="38" t="n">
        <v>654</v>
      </c>
      <c r="G198" s="38" t="n">
        <v>200093</v>
      </c>
      <c r="H198" s="38" t="n">
        <v>654</v>
      </c>
      <c r="I198" s="38" t="n">
        <v>200093</v>
      </c>
      <c r="J198" s="19">
        <f>(I198-H198)/1000</f>
        <v/>
      </c>
      <c r="K198" s="16" t="inlineStr">
        <is>
          <t>Yes</t>
        </is>
      </c>
      <c r="L198" s="16" t="n">
        <v>50</v>
      </c>
      <c r="M198" s="39" t="inlineStr">
        <is>
          <t>Barachak Jn, Sitarampur Central, Kulti, Barakar, Kumardubi, Mugma, Thaparnagar, Kalubathan, Chhota Ambana</t>
        </is>
      </c>
    </row>
    <row r="199" ht="34" customHeight="1">
      <c r="A199" s="16" t="inlineStr">
        <is>
          <t>6 Jun</t>
        </is>
      </c>
      <c r="B199" s="16" t="inlineStr">
        <is>
          <t>39482</t>
        </is>
      </c>
      <c r="C199" s="16" t="n">
        <v>9766</v>
      </c>
      <c r="D199" s="16" t="n">
        <v>9747</v>
      </c>
      <c r="E199" s="16" t="n">
        <v>9600</v>
      </c>
      <c r="F199" s="38" t="n">
        <v>37</v>
      </c>
      <c r="G199" s="38" t="n">
        <v>199537</v>
      </c>
      <c r="H199" s="38" t="n">
        <v>342</v>
      </c>
      <c r="I199" s="38" t="n">
        <v>199537</v>
      </c>
      <c r="J199" s="19">
        <f>(I199-H199)/1000</f>
        <v/>
      </c>
      <c r="K199" s="16" t="inlineStr">
        <is>
          <t>Yes</t>
        </is>
      </c>
      <c r="L199" s="16" t="n">
        <v>50</v>
      </c>
      <c r="M199" s="39" t="inlineStr">
        <is>
          <t>Barachak Jn, Sitarampur Central, Kulti, Barakar, Kumardubi, Mugma, Thaparnagar, Kalubathan, Chhota Ambana</t>
        </is>
      </c>
    </row>
    <row r="200" ht="34" customHeight="1">
      <c r="A200" s="16" t="inlineStr">
        <is>
          <t>6 Jun</t>
        </is>
      </c>
      <c r="B200" s="16" t="inlineStr">
        <is>
          <t>39195</t>
        </is>
      </c>
      <c r="C200" s="16" t="n">
        <v>10241</v>
      </c>
      <c r="D200" s="16" t="n">
        <v>10213</v>
      </c>
      <c r="E200" s="16" t="n">
        <v>10084</v>
      </c>
      <c r="F200" s="38" t="n">
        <v>85</v>
      </c>
      <c r="G200" s="38" t="n">
        <v>199393</v>
      </c>
      <c r="H200" s="38" t="n">
        <v>342</v>
      </c>
      <c r="I200" s="38" t="n">
        <v>199393</v>
      </c>
      <c r="J200" s="19">
        <f>(I200-H200)/1000</f>
        <v/>
      </c>
      <c r="K200" s="16" t="inlineStr">
        <is>
          <t>Yes</t>
        </is>
      </c>
      <c r="L200" s="16" t="n">
        <v>50</v>
      </c>
      <c r="M200" s="39" t="inlineStr">
        <is>
          <t>Barachak Jn, Sitarampur Central, Kulti, Barakar, Kumardubi, Mugma, Thaparnagar, Kalubathan, Chhota Ambana</t>
        </is>
      </c>
    </row>
    <row r="201" ht="49" customHeight="1">
      <c r="A201" s="16" t="inlineStr">
        <is>
          <t>6 Jun</t>
        </is>
      </c>
      <c r="B201" s="16" t="inlineStr">
        <is>
          <t>37244</t>
        </is>
      </c>
      <c r="C201" s="16" t="n">
        <v>6666</v>
      </c>
      <c r="D201" s="16" t="n">
        <v>6661</v>
      </c>
      <c r="E201" s="16" t="n">
        <v>6661</v>
      </c>
      <c r="F201" s="38" t="n">
        <v>9175</v>
      </c>
      <c r="G201" s="38" t="n">
        <v>200086</v>
      </c>
      <c r="H201" s="38" t="n">
        <v>9175</v>
      </c>
      <c r="I201" s="38" t="n">
        <v>200086</v>
      </c>
      <c r="J201" s="19">
        <f>(I201-H201)/1000</f>
        <v/>
      </c>
      <c r="K201" s="16" t="inlineStr">
        <is>
          <t>Yes</t>
        </is>
      </c>
      <c r="L201" s="16" t="n">
        <v>46</v>
      </c>
      <c r="M201" s="39" t="inlineStr">
        <is>
          <t>Howrah, Howrah Sorting Yard, Liluah, Belur, Barachak Jn, Sitarampur Central, Kulti, Barakar, Kumardubi, Mugma, Thaparnagar, Kalubathan, Chhota Ambana</t>
        </is>
      </c>
    </row>
    <row r="202" ht="64" customHeight="1">
      <c r="A202" s="16" t="inlineStr">
        <is>
          <t>6 Jun</t>
        </is>
      </c>
      <c r="B202" s="16" t="inlineStr">
        <is>
          <t>37081</t>
        </is>
      </c>
      <c r="C202" s="16" t="n">
        <v>14693</v>
      </c>
      <c r="D202" s="16" t="n">
        <v>14628</v>
      </c>
      <c r="E202" s="16" t="n">
        <v>14502</v>
      </c>
      <c r="F202" s="38" t="n">
        <v>33</v>
      </c>
      <c r="G202" s="38" t="n">
        <v>157897</v>
      </c>
      <c r="H202" s="38" t="n">
        <v>343</v>
      </c>
      <c r="I202" s="38" t="n">
        <v>157897</v>
      </c>
      <c r="J202" s="19">
        <f>(I202-H202)/1000</f>
        <v/>
      </c>
      <c r="K202" s="16" t="inlineStr">
        <is>
          <t>Yes</t>
        </is>
      </c>
      <c r="L202" s="16" t="n">
        <v>40</v>
      </c>
      <c r="M202" s="39" t="inlineStr">
        <is>
          <t>DCOP, Waria, Andal East Outer, Andal, Baktarnagar B H, Raniganj, Nimcha B H, Ratibati, Kaliphari, Asansol, Barachak Jn, Sitarampur Central, Kulti, Barakar, Kumardubi, Mugma, Thaparnagar, Kalubathan, Chhota Ambana</t>
        </is>
      </c>
    </row>
    <row r="203" ht="79" customHeight="1">
      <c r="A203" s="16" t="inlineStr">
        <is>
          <t>6 Jun</t>
        </is>
      </c>
      <c r="B203" s="16" t="inlineStr">
        <is>
          <t>30686</t>
        </is>
      </c>
      <c r="C203" s="16" t="n">
        <v>2682</v>
      </c>
      <c r="D203" s="16" t="n">
        <v>2667</v>
      </c>
      <c r="E203" s="16" t="n">
        <v>2667</v>
      </c>
      <c r="F203" s="38" t="n">
        <v>547</v>
      </c>
      <c r="G203" s="38" t="n">
        <v>142497</v>
      </c>
      <c r="H203" s="38" t="n">
        <v>547</v>
      </c>
      <c r="I203" s="38" t="n">
        <v>142497</v>
      </c>
      <c r="J203" s="19">
        <f>(I203-H203)/1000</f>
        <v/>
      </c>
      <c r="K203" s="16" t="inlineStr">
        <is>
          <t>Yes</t>
        </is>
      </c>
      <c r="L203" s="16" t="n">
        <v>36</v>
      </c>
      <c r="M203" s="39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4" ht="94" customHeight="1">
      <c r="A204" s="16" t="inlineStr">
        <is>
          <t>6 Jun</t>
        </is>
      </c>
      <c r="B204" s="16" t="inlineStr">
        <is>
          <t>39133</t>
        </is>
      </c>
      <c r="C204" s="16" t="n">
        <v>8527</v>
      </c>
      <c r="D204" s="16" t="n">
        <v>8486</v>
      </c>
      <c r="E204" s="16" t="n">
        <v>8396</v>
      </c>
      <c r="F204" s="38" t="n">
        <v>34</v>
      </c>
      <c r="G204" s="38" t="n">
        <v>94735</v>
      </c>
      <c r="H204" s="38" t="n">
        <v>342</v>
      </c>
      <c r="I204" s="38" t="n">
        <v>94735</v>
      </c>
      <c r="J204" s="19">
        <f>(I204-H204)/1000</f>
        <v/>
      </c>
      <c r="K204" s="16" t="inlineStr">
        <is>
          <t>Yes</t>
        </is>
      </c>
      <c r="L204" s="16" t="n">
        <v>26</v>
      </c>
      <c r="M20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5" ht="94" customHeight="1">
      <c r="A205" s="16" t="inlineStr">
        <is>
          <t>6 Jun</t>
        </is>
      </c>
      <c r="B205" s="16" t="inlineStr">
        <is>
          <t>30805</t>
        </is>
      </c>
      <c r="C205" s="16" t="n">
        <v>7742</v>
      </c>
      <c r="D205" s="16" t="n">
        <v>4826</v>
      </c>
      <c r="E205" s="16" t="n">
        <v>4826</v>
      </c>
      <c r="F205" s="38" t="n">
        <v>444</v>
      </c>
      <c r="G205" s="38" t="n">
        <v>94572</v>
      </c>
      <c r="H205" s="38" t="n">
        <v>444</v>
      </c>
      <c r="I205" s="38" t="n">
        <v>94572</v>
      </c>
      <c r="J205" s="19">
        <f>(I205-H205)/1000</f>
        <v/>
      </c>
      <c r="K205" s="16" t="inlineStr">
        <is>
          <t>Yes</t>
        </is>
      </c>
      <c r="L205" s="16" t="n">
        <v>26</v>
      </c>
      <c r="M20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6" ht="109" customHeight="1">
      <c r="A206" s="16" t="inlineStr">
        <is>
          <t>6 Jun</t>
        </is>
      </c>
      <c r="B206" s="16" t="inlineStr">
        <is>
          <t>37609</t>
        </is>
      </c>
      <c r="C206" s="16" t="n">
        <v>2690</v>
      </c>
      <c r="D206" s="16" t="n">
        <v>2684</v>
      </c>
      <c r="E206" s="16" t="n">
        <v>2684</v>
      </c>
      <c r="F206" s="38" t="n">
        <v>12122</v>
      </c>
      <c r="G206" s="38" t="n">
        <v>94756</v>
      </c>
      <c r="H206" s="38" t="n">
        <v>12122</v>
      </c>
      <c r="I206" s="38" t="n">
        <v>94756</v>
      </c>
      <c r="J206" s="19">
        <f>(I206-H206)/1000</f>
        <v/>
      </c>
      <c r="K206" s="16" t="inlineStr">
        <is>
          <t>Yes</t>
        </is>
      </c>
      <c r="L206" s="16" t="n">
        <v>21</v>
      </c>
      <c r="M20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7" ht="109" customHeight="1">
      <c r="A207" s="16" t="inlineStr">
        <is>
          <t>6 Jun</t>
        </is>
      </c>
      <c r="B207" s="16" t="inlineStr">
        <is>
          <t>30204</t>
        </is>
      </c>
      <c r="C207" s="16" t="n">
        <v>4266</v>
      </c>
      <c r="D207" s="16" t="n">
        <v>4260</v>
      </c>
      <c r="E207" s="16" t="n">
        <v>4260</v>
      </c>
      <c r="F207" s="38" t="n">
        <v>12159</v>
      </c>
      <c r="G207" s="38" t="n">
        <v>94764</v>
      </c>
      <c r="H207" s="38" t="n">
        <v>12159</v>
      </c>
      <c r="I207" s="38" t="n">
        <v>94764</v>
      </c>
      <c r="J207" s="19">
        <f>(I207-H207)/1000</f>
        <v/>
      </c>
      <c r="K207" s="16" t="inlineStr">
        <is>
          <t>Yes</t>
        </is>
      </c>
      <c r="L207" s="16" t="n">
        <v>21</v>
      </c>
      <c r="M20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8" ht="109" customHeight="1">
      <c r="A208" s="16" t="inlineStr">
        <is>
          <t>6 Jun</t>
        </is>
      </c>
      <c r="B208" s="16" t="inlineStr">
        <is>
          <t>30455</t>
        </is>
      </c>
      <c r="C208" s="16" t="n">
        <v>4589</v>
      </c>
      <c r="D208" s="16" t="n">
        <v>4584</v>
      </c>
      <c r="E208" s="16" t="n">
        <v>4584</v>
      </c>
      <c r="F208" s="38" t="n">
        <v>12113</v>
      </c>
      <c r="G208" s="38" t="n">
        <v>94634</v>
      </c>
      <c r="H208" s="38" t="n">
        <v>12113</v>
      </c>
      <c r="I208" s="38" t="n">
        <v>94634</v>
      </c>
      <c r="J208" s="19">
        <f>(I208-H208)/1000</f>
        <v/>
      </c>
      <c r="K208" s="16" t="inlineStr">
        <is>
          <t>Yes</t>
        </is>
      </c>
      <c r="L208" s="16" t="n">
        <v>21</v>
      </c>
      <c r="M20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9" ht="109" customHeight="1">
      <c r="A209" s="16" t="inlineStr">
        <is>
          <t>6 Jun</t>
        </is>
      </c>
      <c r="B209" s="16" t="inlineStr">
        <is>
          <t>37720</t>
        </is>
      </c>
      <c r="C209" s="16" t="n">
        <v>3132</v>
      </c>
      <c r="D209" s="16" t="n">
        <v>3128</v>
      </c>
      <c r="E209" s="16" t="n">
        <v>3128</v>
      </c>
      <c r="F209" s="38" t="n">
        <v>13078</v>
      </c>
      <c r="G209" s="38" t="n">
        <v>94756</v>
      </c>
      <c r="H209" s="38" t="n">
        <v>13078</v>
      </c>
      <c r="I209" s="38" t="n">
        <v>94756</v>
      </c>
      <c r="J209" s="19">
        <f>(I209-H209)/1000</f>
        <v/>
      </c>
      <c r="K209" s="16" t="inlineStr">
        <is>
          <t>Yes</t>
        </is>
      </c>
      <c r="L209" s="16" t="n">
        <v>20</v>
      </c>
      <c r="M209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0" ht="109" customHeight="1">
      <c r="A210" s="16" t="inlineStr">
        <is>
          <t>6 Jun</t>
        </is>
      </c>
      <c r="B210" s="16" t="inlineStr">
        <is>
          <t>30321</t>
        </is>
      </c>
      <c r="C210" s="16" t="n">
        <v>5178</v>
      </c>
      <c r="D210" s="16" t="n">
        <v>5150</v>
      </c>
      <c r="E210" s="16" t="n">
        <v>5150</v>
      </c>
      <c r="F210" s="38" t="n">
        <v>12728</v>
      </c>
      <c r="G210" s="38" t="n">
        <v>94113</v>
      </c>
      <c r="H210" s="38" t="n">
        <v>12728</v>
      </c>
      <c r="I210" s="38" t="n">
        <v>94113</v>
      </c>
      <c r="J210" s="19">
        <f>(I210-H210)/1000</f>
        <v/>
      </c>
      <c r="K210" s="16" t="inlineStr">
        <is>
          <t>Yes</t>
        </is>
      </c>
      <c r="L210" s="16" t="n">
        <v>21</v>
      </c>
      <c r="M21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1" ht="109" customHeight="1">
      <c r="A211" s="16" t="inlineStr">
        <is>
          <t>6 Jun</t>
        </is>
      </c>
      <c r="B211" s="16" t="inlineStr">
        <is>
          <t>30305</t>
        </is>
      </c>
      <c r="C211" s="16" t="n">
        <v>2849</v>
      </c>
      <c r="D211" s="16" t="n">
        <v>2841</v>
      </c>
      <c r="E211" s="16" t="n">
        <v>2841</v>
      </c>
      <c r="F211" s="38" t="n">
        <v>12113</v>
      </c>
      <c r="G211" s="38" t="n">
        <v>92081</v>
      </c>
      <c r="H211" s="38" t="n">
        <v>12113</v>
      </c>
      <c r="I211" s="38" t="n">
        <v>92081</v>
      </c>
      <c r="J211" s="19">
        <f>(I211-H211)/1000</f>
        <v/>
      </c>
      <c r="K211" s="16" t="inlineStr">
        <is>
          <t>Yes</t>
        </is>
      </c>
      <c r="L211" s="16" t="n">
        <v>21</v>
      </c>
      <c r="M21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2" ht="109" customHeight="1">
      <c r="A212" s="16" t="inlineStr">
        <is>
          <t>6 Jun</t>
        </is>
      </c>
      <c r="B212" s="16" t="inlineStr">
        <is>
          <t>132073</t>
        </is>
      </c>
      <c r="C212" s="16" t="n">
        <v>5831</v>
      </c>
      <c r="D212" s="16" t="n">
        <v>5823</v>
      </c>
      <c r="E212" s="16" t="n">
        <v>5823</v>
      </c>
      <c r="F212" s="38" t="n">
        <v>396</v>
      </c>
      <c r="G212" s="38" t="n">
        <v>57691</v>
      </c>
      <c r="H212" s="38" t="n">
        <v>396</v>
      </c>
      <c r="I212" s="38" t="n">
        <v>57691</v>
      </c>
      <c r="J212" s="19">
        <f>(I212-H212)/1000</f>
        <v/>
      </c>
      <c r="K212" s="16" t="inlineStr">
        <is>
          <t>Yes</t>
        </is>
      </c>
      <c r="L212" s="16" t="n">
        <v>18</v>
      </c>
      <c r="M212" s="39" t="inlineStr">
        <is>
          <t>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3" ht="109" customHeight="1">
      <c r="A213" s="16" t="inlineStr">
        <is>
          <t>6 Jun</t>
        </is>
      </c>
      <c r="B213" s="16" t="inlineStr">
        <is>
          <t>128519</t>
        </is>
      </c>
      <c r="C213" s="16" t="n">
        <v>5695</v>
      </c>
      <c r="D213" s="16" t="n">
        <v>5641</v>
      </c>
      <c r="E213" s="16" t="n">
        <v>5489</v>
      </c>
      <c r="F213" s="38" t="n">
        <v>64</v>
      </c>
      <c r="G213" s="38" t="n">
        <v>57207</v>
      </c>
      <c r="H213" s="38" t="n">
        <v>344</v>
      </c>
      <c r="I213" s="38" t="n">
        <v>57207</v>
      </c>
      <c r="J213" s="19">
        <f>(I213-H213)/1000</f>
        <v/>
      </c>
      <c r="K213" s="16" t="inlineStr">
        <is>
          <t>Yes</t>
        </is>
      </c>
      <c r="L213" s="16" t="n">
        <v>18</v>
      </c>
      <c r="M213" s="39" t="inlineStr">
        <is>
          <t>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4" ht="124" customHeight="1">
      <c r="A214" s="16" t="inlineStr">
        <is>
          <t>6 Jun</t>
        </is>
      </c>
      <c r="B214" s="16" t="inlineStr">
        <is>
          <t>39263</t>
        </is>
      </c>
      <c r="C214" s="16" t="n">
        <v>1448</v>
      </c>
      <c r="D214" s="16" t="n">
        <v>1448</v>
      </c>
      <c r="E214" s="16" t="n">
        <v>1448</v>
      </c>
      <c r="F214" s="38" t="n">
        <v>12113</v>
      </c>
      <c r="G214" s="38" t="n">
        <v>64383</v>
      </c>
      <c r="H214" s="38" t="n">
        <v>12113</v>
      </c>
      <c r="I214" s="38" t="n">
        <v>64383</v>
      </c>
      <c r="J214" s="19">
        <f>(I214-H214)/1000</f>
        <v/>
      </c>
      <c r="K214" s="16" t="inlineStr">
        <is>
          <t>Yes</t>
        </is>
      </c>
      <c r="L214" s="16" t="n">
        <v>15</v>
      </c>
      <c r="M214" s="39" t="inlineStr">
        <is>
          <t>Howrah, Howrah Sorting Yard, Liluah, Belur, Bally,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5" ht="139" customHeight="1">
      <c r="A215" s="16" t="inlineStr">
        <is>
          <t>6 Jun</t>
        </is>
      </c>
      <c r="B215" s="16" t="inlineStr">
        <is>
          <t>30084</t>
        </is>
      </c>
      <c r="C215" s="16" t="n">
        <v>1391</v>
      </c>
      <c r="D215" s="16" t="n">
        <v>1302</v>
      </c>
      <c r="E215" s="16" t="n">
        <v>1302</v>
      </c>
      <c r="F215" s="38" t="n">
        <v>109224</v>
      </c>
      <c r="G215" s="38" t="n">
        <v>115126</v>
      </c>
      <c r="H215" s="38" t="n">
        <v>109224</v>
      </c>
      <c r="I215" s="38" t="n">
        <v>115126</v>
      </c>
      <c r="J215" s="19">
        <f>(I215-H215)/1000</f>
        <v/>
      </c>
      <c r="K215" s="16" t="inlineStr">
        <is>
          <t>Yes</t>
        </is>
      </c>
      <c r="L215" s="16" t="n">
        <v>3</v>
      </c>
      <c r="M215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LC-83, Paraj, Mankar, LC-96, Panagarh, LC-105, Rajbandh, LC-111, Durgapur, DCOP, Waria, Andal East Outer, Andal, Baktarnagar B H, Raniganj, Nimcha B H, Ratibati, Kaliphari, Asansol, Barachak Jn, Sitarampur Central, Kulti  ...(+7 more)</t>
        </is>
      </c>
    </row>
    <row r="216" ht="139" customHeight="1">
      <c r="A216" s="16" t="inlineStr">
        <is>
          <t>6 Jun</t>
        </is>
      </c>
      <c r="B216" s="16" t="inlineStr">
        <is>
          <t>37974</t>
        </is>
      </c>
      <c r="C216" s="16" t="n">
        <v>591</v>
      </c>
      <c r="D216" s="16" t="n">
        <v>560</v>
      </c>
      <c r="E216" s="16" t="n">
        <v>557</v>
      </c>
      <c r="F216" s="38" t="n">
        <v>330</v>
      </c>
      <c r="G216" s="38" t="n">
        <v>859</v>
      </c>
      <c r="H216" s="38" t="n">
        <v>344</v>
      </c>
      <c r="I216" s="38" t="n">
        <v>859</v>
      </c>
      <c r="J216" s="19">
        <f>(I216-H216)/1000</f>
        <v/>
      </c>
      <c r="K216" s="16" t="inlineStr">
        <is>
          <t>Yes</t>
        </is>
      </c>
      <c r="L216" s="16" t="n">
        <v>1</v>
      </c>
      <c r="M216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17" ht="139" customHeight="1">
      <c r="A217" s="16" t="inlineStr">
        <is>
          <t>6 Jun</t>
        </is>
      </c>
      <c r="B217" s="16" t="inlineStr">
        <is>
          <t>37779</t>
        </is>
      </c>
      <c r="C217" s="16" t="n">
        <v>676</v>
      </c>
      <c r="D217" s="16" t="n">
        <v>632</v>
      </c>
      <c r="E217" s="16" t="n">
        <v>625</v>
      </c>
      <c r="F217" s="38" t="n">
        <v>324</v>
      </c>
      <c r="G217" s="38" t="n">
        <v>853</v>
      </c>
      <c r="H217" s="38" t="n">
        <v>342</v>
      </c>
      <c r="I217" s="38" t="n">
        <v>853</v>
      </c>
      <c r="J217" s="19">
        <f>(I217-H217)/1000</f>
        <v/>
      </c>
      <c r="K217" s="16" t="inlineStr">
        <is>
          <t>Yes</t>
        </is>
      </c>
      <c r="L217" s="16" t="n">
        <v>1</v>
      </c>
      <c r="M217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18" ht="139" customHeight="1">
      <c r="A218" s="16" t="inlineStr">
        <is>
          <t>6 Jun</t>
        </is>
      </c>
      <c r="B218" s="16" t="inlineStr">
        <is>
          <t>39411</t>
        </is>
      </c>
      <c r="C218" s="16" t="n">
        <v>616</v>
      </c>
      <c r="D218" s="16" t="n">
        <v>598</v>
      </c>
      <c r="E218" s="16" t="n">
        <v>585</v>
      </c>
      <c r="F218" s="38" t="n">
        <v>320</v>
      </c>
      <c r="G218" s="38" t="n">
        <v>838</v>
      </c>
      <c r="H218" s="38" t="n">
        <v>344</v>
      </c>
      <c r="I218" s="38" t="n">
        <v>838</v>
      </c>
      <c r="J218" s="19">
        <f>(I218-H218)/1000</f>
        <v/>
      </c>
      <c r="K218" s="16" t="inlineStr">
        <is>
          <t>Yes</t>
        </is>
      </c>
      <c r="L218" s="16" t="n">
        <v>1</v>
      </c>
      <c r="M218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19" ht="139" customHeight="1">
      <c r="A219" s="16" t="inlineStr">
        <is>
          <t>6 Jun</t>
        </is>
      </c>
      <c r="B219" s="16" t="inlineStr">
        <is>
          <t>42487</t>
        </is>
      </c>
      <c r="C219" s="16" t="n">
        <v>507</v>
      </c>
      <c r="D219" s="16" t="n">
        <v>503</v>
      </c>
      <c r="E219" s="16" t="n">
        <v>211</v>
      </c>
      <c r="F219" s="38" t="n">
        <v>41</v>
      </c>
      <c r="G219" s="38" t="n">
        <v>578</v>
      </c>
      <c r="H219" s="38" t="n">
        <v>344</v>
      </c>
      <c r="I219" s="38" t="n">
        <v>578</v>
      </c>
      <c r="J219" s="19">
        <f>(I219-H219)/1000</f>
        <v/>
      </c>
      <c r="K219" s="16" t="inlineStr">
        <is>
          <t>Yes</t>
        </is>
      </c>
      <c r="L219" s="16" t="n">
        <v>1</v>
      </c>
      <c r="M21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0" ht="139" customHeight="1">
      <c r="A220" s="31" t="inlineStr">
        <is>
          <t>6 Jun</t>
        </is>
      </c>
      <c r="B220" s="31" t="inlineStr">
        <is>
          <t>11622</t>
        </is>
      </c>
      <c r="C220" s="31" t="n">
        <v>2</v>
      </c>
      <c r="D220" s="31" t="n">
        <v>0</v>
      </c>
      <c r="E220" s="31" t="n">
        <v>0</v>
      </c>
      <c r="F220" s="40" t="inlineStr">
        <is>
          <t>-</t>
        </is>
      </c>
      <c r="G220" s="40" t="inlineStr">
        <is>
          <t>-</t>
        </is>
      </c>
      <c r="H220" s="40" t="inlineStr">
        <is>
          <t>-</t>
        </is>
      </c>
      <c r="I220" s="40" t="inlineStr">
        <is>
          <t>-</t>
        </is>
      </c>
      <c r="J220" s="41" t="n">
        <v>0</v>
      </c>
      <c r="K220" s="31" t="inlineStr">
        <is>
          <t>No</t>
        </is>
      </c>
      <c r="L220" s="31" t="n">
        <v>0</v>
      </c>
      <c r="M22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1" ht="139" customHeight="1">
      <c r="A221" s="31" t="inlineStr">
        <is>
          <t>6 Jun</t>
        </is>
      </c>
      <c r="B221" s="31" t="inlineStr">
        <is>
          <t>30490</t>
        </is>
      </c>
      <c r="C221" s="31" t="n">
        <v>391</v>
      </c>
      <c r="D221" s="31" t="n">
        <v>263</v>
      </c>
      <c r="E221" s="31" t="n">
        <v>0</v>
      </c>
      <c r="F221" s="40" t="n">
        <v>55</v>
      </c>
      <c r="G221" s="40" t="n">
        <v>314</v>
      </c>
      <c r="H221" s="40" t="inlineStr">
        <is>
          <t>-</t>
        </is>
      </c>
      <c r="I221" s="40" t="inlineStr">
        <is>
          <t>-</t>
        </is>
      </c>
      <c r="J221" s="41" t="n">
        <v>0</v>
      </c>
      <c r="K221" s="31" t="inlineStr">
        <is>
          <t>No</t>
        </is>
      </c>
      <c r="L221" s="31" t="n">
        <v>0</v>
      </c>
      <c r="M22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2" ht="139" customHeight="1">
      <c r="A222" s="31" t="inlineStr">
        <is>
          <t>6 Jun</t>
        </is>
      </c>
      <c r="B222" s="31" t="inlineStr">
        <is>
          <t>30676</t>
        </is>
      </c>
      <c r="C222" s="31" t="n">
        <v>21</v>
      </c>
      <c r="D222" s="31" t="n">
        <v>18</v>
      </c>
      <c r="E222" s="31" t="n">
        <v>0</v>
      </c>
      <c r="F222" s="40" t="n">
        <v>73</v>
      </c>
      <c r="G222" s="40" t="n">
        <v>159</v>
      </c>
      <c r="H222" s="40" t="inlineStr">
        <is>
          <t>-</t>
        </is>
      </c>
      <c r="I222" s="40" t="inlineStr">
        <is>
          <t>-</t>
        </is>
      </c>
      <c r="J222" s="41" t="n">
        <v>0</v>
      </c>
      <c r="K222" s="31" t="inlineStr">
        <is>
          <t>No</t>
        </is>
      </c>
      <c r="L222" s="31" t="n">
        <v>0</v>
      </c>
      <c r="M22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3" ht="139" customHeight="1">
      <c r="A223" s="31" t="inlineStr">
        <is>
          <t>6 Jun</t>
        </is>
      </c>
      <c r="B223" s="31" t="inlineStr">
        <is>
          <t>37024</t>
        </is>
      </c>
      <c r="C223" s="31" t="n">
        <v>123</v>
      </c>
      <c r="D223" s="31" t="n">
        <v>42</v>
      </c>
      <c r="E223" s="31" t="n">
        <v>42</v>
      </c>
      <c r="F223" s="40" t="n">
        <v>350</v>
      </c>
      <c r="G223" s="40" t="n">
        <v>350</v>
      </c>
      <c r="H223" s="40" t="n">
        <v>350</v>
      </c>
      <c r="I223" s="40" t="n">
        <v>350</v>
      </c>
      <c r="J223" s="41">
        <f>(I223-H223)/1000</f>
        <v/>
      </c>
      <c r="K223" s="31" t="inlineStr">
        <is>
          <t>No</t>
        </is>
      </c>
      <c r="L223" s="31" t="n">
        <v>1</v>
      </c>
      <c r="M223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4" ht="139" customHeight="1">
      <c r="A224" s="31" t="inlineStr">
        <is>
          <t>6 Jun</t>
        </is>
      </c>
      <c r="B224" s="31" t="inlineStr">
        <is>
          <t>37185</t>
        </is>
      </c>
      <c r="C224" s="31" t="n">
        <v>35</v>
      </c>
      <c r="D224" s="31" t="n">
        <v>25</v>
      </c>
      <c r="E224" s="31" t="n">
        <v>25</v>
      </c>
      <c r="F224" s="40" t="n">
        <v>350</v>
      </c>
      <c r="G224" s="40" t="n">
        <v>350</v>
      </c>
      <c r="H224" s="40" t="n">
        <v>350</v>
      </c>
      <c r="I224" s="40" t="n">
        <v>350</v>
      </c>
      <c r="J224" s="41">
        <f>(I224-H224)/1000</f>
        <v/>
      </c>
      <c r="K224" s="31" t="inlineStr">
        <is>
          <t>No</t>
        </is>
      </c>
      <c r="L224" s="31" t="n">
        <v>1</v>
      </c>
      <c r="M224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5" ht="139" customHeight="1">
      <c r="A225" s="31" t="inlineStr">
        <is>
          <t>6 Jun</t>
        </is>
      </c>
      <c r="B225" s="31" t="inlineStr">
        <is>
          <t>39113</t>
        </is>
      </c>
      <c r="C225" s="31" t="n">
        <v>5</v>
      </c>
      <c r="D225" s="31" t="n">
        <v>0</v>
      </c>
      <c r="E225" s="31" t="n">
        <v>0</v>
      </c>
      <c r="F225" s="40" t="inlineStr">
        <is>
          <t>-</t>
        </is>
      </c>
      <c r="G225" s="40" t="inlineStr">
        <is>
          <t>-</t>
        </is>
      </c>
      <c r="H225" s="40" t="inlineStr">
        <is>
          <t>-</t>
        </is>
      </c>
      <c r="I225" s="40" t="inlineStr">
        <is>
          <t>-</t>
        </is>
      </c>
      <c r="J225" s="41" t="n">
        <v>0</v>
      </c>
      <c r="K225" s="31" t="inlineStr">
        <is>
          <t>No</t>
        </is>
      </c>
      <c r="L225" s="31" t="n">
        <v>0</v>
      </c>
      <c r="M22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6">
      <c r="A226" s="16" t="inlineStr">
        <is>
          <t>7 Jun</t>
        </is>
      </c>
      <c r="B226" s="16" t="inlineStr">
        <is>
          <t>30112</t>
        </is>
      </c>
      <c r="C226" s="16" t="n">
        <v>26388</v>
      </c>
      <c r="D226" s="16" t="n">
        <v>26355</v>
      </c>
      <c r="E226" s="16" t="n">
        <v>26147</v>
      </c>
      <c r="F226" s="38" t="n">
        <v>44</v>
      </c>
      <c r="G226" s="38" t="n">
        <v>246063</v>
      </c>
      <c r="H226" s="38" t="n">
        <v>343</v>
      </c>
      <c r="I226" s="38" t="n">
        <v>244372</v>
      </c>
      <c r="J226" s="19">
        <f>(I226-H226)/1000</f>
        <v/>
      </c>
      <c r="K226" s="16" t="inlineStr">
        <is>
          <t>Yes</t>
        </is>
      </c>
      <c r="L226" s="16" t="n">
        <v>60</v>
      </c>
      <c r="M226" s="39" t="inlineStr">
        <is>
          <t>- (full trip)</t>
        </is>
      </c>
    </row>
    <row r="227">
      <c r="A227" s="16" t="inlineStr">
        <is>
          <t>7 Jun</t>
        </is>
      </c>
      <c r="B227" s="16" t="inlineStr">
        <is>
          <t>37034</t>
        </is>
      </c>
      <c r="C227" s="16" t="n">
        <v>10002</v>
      </c>
      <c r="D227" s="16" t="n">
        <v>9932</v>
      </c>
      <c r="E227" s="16" t="n">
        <v>9809</v>
      </c>
      <c r="F227" s="38" t="n">
        <v>68</v>
      </c>
      <c r="G227" s="38" t="n">
        <v>246073</v>
      </c>
      <c r="H227" s="38" t="n">
        <v>342</v>
      </c>
      <c r="I227" s="38" t="n">
        <v>244372</v>
      </c>
      <c r="J227" s="19">
        <f>(I227-H227)/1000</f>
        <v/>
      </c>
      <c r="K227" s="16" t="inlineStr">
        <is>
          <t>Yes</t>
        </is>
      </c>
      <c r="L227" s="16" t="n">
        <v>60</v>
      </c>
      <c r="M227" s="39" t="inlineStr">
        <is>
          <t>- (full trip)</t>
        </is>
      </c>
    </row>
    <row r="228">
      <c r="A228" s="16" t="inlineStr">
        <is>
          <t>7 Jun</t>
        </is>
      </c>
      <c r="B228" s="16" t="inlineStr">
        <is>
          <t>39411</t>
        </is>
      </c>
      <c r="C228" s="16" t="n">
        <v>9171</v>
      </c>
      <c r="D228" s="16" t="n">
        <v>9145</v>
      </c>
      <c r="E228" s="16" t="n">
        <v>9135</v>
      </c>
      <c r="F228" s="38" t="n">
        <v>690</v>
      </c>
      <c r="G228" s="38" t="n">
        <v>244630</v>
      </c>
      <c r="H228" s="38" t="n">
        <v>690</v>
      </c>
      <c r="I228" s="38" t="n">
        <v>244356</v>
      </c>
      <c r="J228" s="19">
        <f>(I228-H228)/1000</f>
        <v/>
      </c>
      <c r="K228" s="16" t="inlineStr">
        <is>
          <t>Yes</t>
        </is>
      </c>
      <c r="L228" s="16" t="n">
        <v>60</v>
      </c>
      <c r="M228" s="39" t="inlineStr">
        <is>
          <t>- (full trip)</t>
        </is>
      </c>
    </row>
    <row r="229">
      <c r="A229" s="16" t="inlineStr">
        <is>
          <t>7 Jun</t>
        </is>
      </c>
      <c r="B229" s="16" t="inlineStr">
        <is>
          <t>30328</t>
        </is>
      </c>
      <c r="C229" s="16" t="n">
        <v>10923</v>
      </c>
      <c r="D229" s="16" t="n">
        <v>10895</v>
      </c>
      <c r="E229" s="16" t="n">
        <v>10889</v>
      </c>
      <c r="F229" s="38" t="n">
        <v>12113</v>
      </c>
      <c r="G229" s="38" t="n">
        <v>244550</v>
      </c>
      <c r="H229" s="38" t="n">
        <v>12113</v>
      </c>
      <c r="I229" s="38" t="n">
        <v>244372</v>
      </c>
      <c r="J229" s="19">
        <f>(I229-H229)/1000</f>
        <v/>
      </c>
      <c r="K229" s="16" t="inlineStr">
        <is>
          <t>Yes</t>
        </is>
      </c>
      <c r="L229" s="16" t="n">
        <v>55</v>
      </c>
      <c r="M229" s="39" t="inlineStr">
        <is>
          <t>Howrah, Howrah Sorting Yard, Liluah, Belur, Bally</t>
        </is>
      </c>
    </row>
    <row r="230">
      <c r="A230" s="16" t="inlineStr">
        <is>
          <t>7 Jun</t>
        </is>
      </c>
      <c r="B230" s="16" t="inlineStr">
        <is>
          <t>37610</t>
        </is>
      </c>
      <c r="C230" s="16" t="n">
        <v>10405</v>
      </c>
      <c r="D230" s="16" t="n">
        <v>10400</v>
      </c>
      <c r="E230" s="16" t="n">
        <v>10391</v>
      </c>
      <c r="F230" s="38" t="n">
        <v>12113</v>
      </c>
      <c r="G230" s="38" t="n">
        <v>244607</v>
      </c>
      <c r="H230" s="38" t="n">
        <v>12113</v>
      </c>
      <c r="I230" s="38" t="n">
        <v>244367</v>
      </c>
      <c r="J230" s="19">
        <f>(I230-H230)/1000</f>
        <v/>
      </c>
      <c r="K230" s="16" t="inlineStr">
        <is>
          <t>Yes</t>
        </is>
      </c>
      <c r="L230" s="16" t="n">
        <v>55</v>
      </c>
      <c r="M230" s="39" t="inlineStr">
        <is>
          <t>Howrah, Howrah Sorting Yard, Liluah, Belur, Bally</t>
        </is>
      </c>
    </row>
    <row r="231" ht="34" customHeight="1">
      <c r="A231" s="16" t="inlineStr">
        <is>
          <t>7 Jun</t>
        </is>
      </c>
      <c r="B231" s="16" t="inlineStr">
        <is>
          <t>37860</t>
        </is>
      </c>
      <c r="C231" s="16" t="n">
        <v>17232</v>
      </c>
      <c r="D231" s="16" t="n">
        <v>17180</v>
      </c>
      <c r="E231" s="16" t="n">
        <v>17054</v>
      </c>
      <c r="F231" s="38" t="n">
        <v>51</v>
      </c>
      <c r="G231" s="38" t="n">
        <v>200365</v>
      </c>
      <c r="H231" s="38" t="n">
        <v>343</v>
      </c>
      <c r="I231" s="38" t="n">
        <v>200365</v>
      </c>
      <c r="J231" s="19">
        <f>(I231-H231)/1000</f>
        <v/>
      </c>
      <c r="K231" s="16" t="inlineStr">
        <is>
          <t>Yes</t>
        </is>
      </c>
      <c r="L231" s="16" t="n">
        <v>50</v>
      </c>
      <c r="M231" s="39" t="inlineStr">
        <is>
          <t>Barachak Jn, Sitarampur Central, Kulti, Barakar, Kumardubi, Mugma, Thaparnagar, Kalubathan, Chhota Ambana</t>
        </is>
      </c>
    </row>
    <row r="232" ht="34" customHeight="1">
      <c r="A232" s="16" t="inlineStr">
        <is>
          <t>7 Jun</t>
        </is>
      </c>
      <c r="B232" s="16" t="inlineStr">
        <is>
          <t>30692</t>
        </is>
      </c>
      <c r="C232" s="16" t="n">
        <v>17610</v>
      </c>
      <c r="D232" s="16" t="n">
        <v>17565</v>
      </c>
      <c r="E232" s="16" t="n">
        <v>17383</v>
      </c>
      <c r="F232" s="38" t="n">
        <v>42</v>
      </c>
      <c r="G232" s="38" t="n">
        <v>200102</v>
      </c>
      <c r="H232" s="38" t="n">
        <v>343</v>
      </c>
      <c r="I232" s="38" t="n">
        <v>200102</v>
      </c>
      <c r="J232" s="19">
        <f>(I232-H232)/1000</f>
        <v/>
      </c>
      <c r="K232" s="16" t="inlineStr">
        <is>
          <t>Yes</t>
        </is>
      </c>
      <c r="L232" s="16" t="n">
        <v>50</v>
      </c>
      <c r="M232" s="39" t="inlineStr">
        <is>
          <t>Barachak Jn, Sitarampur Central, Kulti, Barakar, Kumardubi, Mugma, Thaparnagar, Kalubathan, Chhota Ambana</t>
        </is>
      </c>
    </row>
    <row r="233" ht="34" customHeight="1">
      <c r="A233" s="16" t="inlineStr">
        <is>
          <t>7 Jun</t>
        </is>
      </c>
      <c r="B233" s="16" t="inlineStr">
        <is>
          <t>37907</t>
        </is>
      </c>
      <c r="C233" s="16" t="n">
        <v>7150</v>
      </c>
      <c r="D233" s="16" t="n">
        <v>7116</v>
      </c>
      <c r="E233" s="16" t="n">
        <v>7116</v>
      </c>
      <c r="F233" s="38" t="n">
        <v>350</v>
      </c>
      <c r="G233" s="38" t="n">
        <v>200086</v>
      </c>
      <c r="H233" s="38" t="n">
        <v>350</v>
      </c>
      <c r="I233" s="38" t="n">
        <v>200086</v>
      </c>
      <c r="J233" s="19">
        <f>(I233-H233)/1000</f>
        <v/>
      </c>
      <c r="K233" s="16" t="inlineStr">
        <is>
          <t>Yes</t>
        </is>
      </c>
      <c r="L233" s="16" t="n">
        <v>50</v>
      </c>
      <c r="M233" s="39" t="inlineStr">
        <is>
          <t>Barachak Jn, Sitarampur Central, Kulti, Barakar, Kumardubi, Mugma, Thaparnagar, Kalubathan, Chhota Ambana</t>
        </is>
      </c>
    </row>
    <row r="234" ht="34" customHeight="1">
      <c r="A234" s="16" t="inlineStr">
        <is>
          <t>7 Jun</t>
        </is>
      </c>
      <c r="B234" s="16" t="inlineStr">
        <is>
          <t>37452</t>
        </is>
      </c>
      <c r="C234" s="16" t="n">
        <v>6914</v>
      </c>
      <c r="D234" s="16" t="n">
        <v>6878</v>
      </c>
      <c r="E234" s="16" t="n">
        <v>6878</v>
      </c>
      <c r="F234" s="38" t="n">
        <v>631</v>
      </c>
      <c r="G234" s="38" t="n">
        <v>200080</v>
      </c>
      <c r="H234" s="38" t="n">
        <v>631</v>
      </c>
      <c r="I234" s="38" t="n">
        <v>200080</v>
      </c>
      <c r="J234" s="19">
        <f>(I234-H234)/1000</f>
        <v/>
      </c>
      <c r="K234" s="16" t="inlineStr">
        <is>
          <t>Yes</t>
        </is>
      </c>
      <c r="L234" s="16" t="n">
        <v>50</v>
      </c>
      <c r="M234" s="39" t="inlineStr">
        <is>
          <t>Barachak Jn, Sitarampur Central, Kulti, Barakar, Kumardubi, Mugma, Thaparnagar, Kalubathan, Chhota Ambana</t>
        </is>
      </c>
    </row>
    <row r="235" ht="34" customHeight="1">
      <c r="A235" s="16" t="inlineStr">
        <is>
          <t>7 Jun</t>
        </is>
      </c>
      <c r="B235" s="16" t="inlineStr">
        <is>
          <t>30620</t>
        </is>
      </c>
      <c r="C235" s="16" t="n">
        <v>7093</v>
      </c>
      <c r="D235" s="16" t="n">
        <v>7070</v>
      </c>
      <c r="E235" s="16" t="n">
        <v>7070</v>
      </c>
      <c r="F235" s="38" t="n">
        <v>736</v>
      </c>
      <c r="G235" s="38" t="n">
        <v>200096</v>
      </c>
      <c r="H235" s="38" t="n">
        <v>736</v>
      </c>
      <c r="I235" s="38" t="n">
        <v>200096</v>
      </c>
      <c r="J235" s="19">
        <f>(I235-H235)/1000</f>
        <v/>
      </c>
      <c r="K235" s="16" t="inlineStr">
        <is>
          <t>Yes</t>
        </is>
      </c>
      <c r="L235" s="16" t="n">
        <v>50</v>
      </c>
      <c r="M235" s="39" t="inlineStr">
        <is>
          <t>Barachak Jn, Sitarampur Central, Kulti, Barakar, Kumardubi, Mugma, Thaparnagar, Kalubathan, Chhota Ambana</t>
        </is>
      </c>
    </row>
    <row r="236" ht="34" customHeight="1">
      <c r="A236" s="16" t="inlineStr">
        <is>
          <t>7 Jun</t>
        </is>
      </c>
      <c r="B236" s="16" t="inlineStr">
        <is>
          <t>37894</t>
        </is>
      </c>
      <c r="C236" s="16" t="n">
        <v>6709</v>
      </c>
      <c r="D236" s="16" t="n">
        <v>6674</v>
      </c>
      <c r="E236" s="16" t="n">
        <v>6674</v>
      </c>
      <c r="F236" s="38" t="n">
        <v>350</v>
      </c>
      <c r="G236" s="38" t="n">
        <v>199390</v>
      </c>
      <c r="H236" s="38" t="n">
        <v>350</v>
      </c>
      <c r="I236" s="38" t="n">
        <v>199390</v>
      </c>
      <c r="J236" s="19">
        <f>(I236-H236)/1000</f>
        <v/>
      </c>
      <c r="K236" s="16" t="inlineStr">
        <is>
          <t>Yes</t>
        </is>
      </c>
      <c r="L236" s="16" t="n">
        <v>50</v>
      </c>
      <c r="M236" s="39" t="inlineStr">
        <is>
          <t>Barachak Jn, Sitarampur Central, Kulti, Barakar, Kumardubi, Mugma, Thaparnagar, Kalubathan, Chhota Ambana</t>
        </is>
      </c>
    </row>
    <row r="237" ht="49" customHeight="1">
      <c r="A237" s="16" t="inlineStr">
        <is>
          <t>7 Jun</t>
        </is>
      </c>
      <c r="B237" s="16" t="inlineStr">
        <is>
          <t>39263</t>
        </is>
      </c>
      <c r="C237" s="16" t="n">
        <v>7341</v>
      </c>
      <c r="D237" s="16" t="n">
        <v>7336</v>
      </c>
      <c r="E237" s="16" t="n">
        <v>7321</v>
      </c>
      <c r="F237" s="38" t="n">
        <v>64523</v>
      </c>
      <c r="G237" s="38" t="n">
        <v>244611</v>
      </c>
      <c r="H237" s="38" t="n">
        <v>64523</v>
      </c>
      <c r="I237" s="38" t="n">
        <v>244367</v>
      </c>
      <c r="J237" s="19">
        <f>(I237-H237)/1000</f>
        <v/>
      </c>
      <c r="K237" s="16" t="inlineStr">
        <is>
          <t>Yes</t>
        </is>
      </c>
      <c r="L237" s="16" t="n">
        <v>41</v>
      </c>
      <c r="M237" s="39" t="inlineStr">
        <is>
          <t>Howrah, Howrah Sorting Yard, Liluah, Belur, Bally, Belanagar, Dankuni, Janai Road, Baruipara, Kamarkundu, LC-31, Chandanpur, LC-38, Belmuri, Cheragram, LC-41, Gurap, LC-48</t>
        </is>
      </c>
    </row>
    <row r="238" ht="64" customHeight="1">
      <c r="A238" s="16" t="inlineStr">
        <is>
          <t>7 Jun</t>
        </is>
      </c>
      <c r="B238" s="16" t="inlineStr">
        <is>
          <t>37042</t>
        </is>
      </c>
      <c r="C238" s="16" t="n">
        <v>14100</v>
      </c>
      <c r="D238" s="16" t="n">
        <v>14040</v>
      </c>
      <c r="E238" s="16" t="n">
        <v>13871</v>
      </c>
      <c r="F238" s="38" t="n">
        <v>44</v>
      </c>
      <c r="G238" s="38" t="n">
        <v>165027</v>
      </c>
      <c r="H238" s="38" t="n">
        <v>344</v>
      </c>
      <c r="I238" s="38" t="n">
        <v>165027</v>
      </c>
      <c r="J238" s="19">
        <f>(I238-H238)/1000</f>
        <v/>
      </c>
      <c r="K238" s="16" t="inlineStr">
        <is>
          <t>Yes</t>
        </is>
      </c>
      <c r="L238" s="16" t="n">
        <v>42</v>
      </c>
      <c r="M238" s="39" t="inlineStr">
        <is>
          <t>Andal East Outer, Andal, Baktarnagar B H, Raniganj, Nimcha B H, Ratibati, Kaliphari, Asansol, Barachak Jn, Sitarampur Central, Kulti, Barakar, Kumardubi, Mugma, Thaparnagar, Kalubathan, Chhota Ambana</t>
        </is>
      </c>
    </row>
    <row r="239" ht="94" customHeight="1">
      <c r="A239" s="16" t="inlineStr">
        <is>
          <t>7 Jun</t>
        </is>
      </c>
      <c r="B239" s="16" t="inlineStr">
        <is>
          <t>39560</t>
        </is>
      </c>
      <c r="C239" s="16" t="n">
        <v>3880</v>
      </c>
      <c r="D239" s="16" t="n">
        <v>3875</v>
      </c>
      <c r="E239" s="16" t="n">
        <v>3875</v>
      </c>
      <c r="F239" s="38" t="n">
        <v>12118</v>
      </c>
      <c r="G239" s="38" t="n">
        <v>107204</v>
      </c>
      <c r="H239" s="38" t="n">
        <v>12118</v>
      </c>
      <c r="I239" s="38" t="n">
        <v>107204</v>
      </c>
      <c r="J239" s="19">
        <f>(I239-H239)/1000</f>
        <v/>
      </c>
      <c r="K239" s="16" t="inlineStr">
        <is>
          <t>Yes</t>
        </is>
      </c>
      <c r="L239" s="16" t="n">
        <v>24</v>
      </c>
      <c r="M239" s="39" t="inlineStr">
        <is>
          <t>Howrah, Howrah Sorting Yard, Liluah, Belur, Bally,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0" ht="94" customHeight="1">
      <c r="A240" s="16" t="inlineStr">
        <is>
          <t>7 Jun</t>
        </is>
      </c>
      <c r="B240" s="16" t="inlineStr">
        <is>
          <t>37779</t>
        </is>
      </c>
      <c r="C240" s="16" t="n">
        <v>3466</v>
      </c>
      <c r="D240" s="16" t="n">
        <v>3441</v>
      </c>
      <c r="E240" s="16" t="n">
        <v>3441</v>
      </c>
      <c r="F240" s="38" t="n">
        <v>350</v>
      </c>
      <c r="G240" s="38" t="n">
        <v>94764</v>
      </c>
      <c r="H240" s="38" t="n">
        <v>350</v>
      </c>
      <c r="I240" s="38" t="n">
        <v>94764</v>
      </c>
      <c r="J240" s="19">
        <f>(I240-H240)/1000</f>
        <v/>
      </c>
      <c r="K240" s="16" t="inlineStr">
        <is>
          <t>Yes</t>
        </is>
      </c>
      <c r="L240" s="16" t="n">
        <v>26</v>
      </c>
      <c r="M24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1" ht="94" customHeight="1">
      <c r="A241" s="16" t="inlineStr">
        <is>
          <t>7 Jun</t>
        </is>
      </c>
      <c r="B241" s="16" t="inlineStr">
        <is>
          <t>37016</t>
        </is>
      </c>
      <c r="C241" s="16" t="n">
        <v>4257</v>
      </c>
      <c r="D241" s="16" t="n">
        <v>4092</v>
      </c>
      <c r="E241" s="16" t="n">
        <v>4092</v>
      </c>
      <c r="F241" s="38" t="n">
        <v>350</v>
      </c>
      <c r="G241" s="38" t="n">
        <v>94627</v>
      </c>
      <c r="H241" s="38" t="n">
        <v>350</v>
      </c>
      <c r="I241" s="38" t="n">
        <v>94627</v>
      </c>
      <c r="J241" s="19">
        <f>(I241-H241)/1000</f>
        <v/>
      </c>
      <c r="K241" s="16" t="inlineStr">
        <is>
          <t>Yes</t>
        </is>
      </c>
      <c r="L241" s="16" t="n">
        <v>26</v>
      </c>
      <c r="M24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2" ht="94" customHeight="1">
      <c r="A242" s="16" t="inlineStr">
        <is>
          <t>7 Jun</t>
        </is>
      </c>
      <c r="B242" s="16" t="inlineStr">
        <is>
          <t>37719</t>
        </is>
      </c>
      <c r="C242" s="16" t="n">
        <v>8274</v>
      </c>
      <c r="D242" s="16" t="n">
        <v>8243</v>
      </c>
      <c r="E242" s="16" t="n">
        <v>8243</v>
      </c>
      <c r="F242" s="38" t="n">
        <v>350</v>
      </c>
      <c r="G242" s="38" t="n">
        <v>94614</v>
      </c>
      <c r="H242" s="38" t="n">
        <v>350</v>
      </c>
      <c r="I242" s="38" t="n">
        <v>94614</v>
      </c>
      <c r="J242" s="19">
        <f>(I242-H242)/1000</f>
        <v/>
      </c>
      <c r="K242" s="16" t="inlineStr">
        <is>
          <t>Yes</t>
        </is>
      </c>
      <c r="L242" s="16" t="n">
        <v>26</v>
      </c>
      <c r="M24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3" ht="94" customHeight="1">
      <c r="A243" s="16" t="inlineStr">
        <is>
          <t>7 Jun</t>
        </is>
      </c>
      <c r="B243" s="16" t="inlineStr">
        <is>
          <t>39170</t>
        </is>
      </c>
      <c r="C243" s="16" t="n">
        <v>4214</v>
      </c>
      <c r="D243" s="16" t="n">
        <v>4190</v>
      </c>
      <c r="E243" s="16" t="n">
        <v>4005</v>
      </c>
      <c r="F243" s="38" t="n">
        <v>31</v>
      </c>
      <c r="G243" s="38" t="n">
        <v>94112</v>
      </c>
      <c r="H243" s="38" t="n">
        <v>342</v>
      </c>
      <c r="I243" s="38" t="n">
        <v>94112</v>
      </c>
      <c r="J243" s="19">
        <f>(I243-H243)/1000</f>
        <v/>
      </c>
      <c r="K243" s="16" t="inlineStr">
        <is>
          <t>Yes</t>
        </is>
      </c>
      <c r="L243" s="16" t="n">
        <v>26</v>
      </c>
      <c r="M24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4" ht="109" customHeight="1">
      <c r="A244" s="16" t="inlineStr">
        <is>
          <t>7 Jun</t>
        </is>
      </c>
      <c r="B244" s="16" t="inlineStr">
        <is>
          <t>37720</t>
        </is>
      </c>
      <c r="C244" s="16" t="n">
        <v>3857</v>
      </c>
      <c r="D244" s="16" t="n">
        <v>3839</v>
      </c>
      <c r="E244" s="16" t="n">
        <v>3839</v>
      </c>
      <c r="F244" s="38" t="n">
        <v>12113</v>
      </c>
      <c r="G244" s="38" t="n">
        <v>94111</v>
      </c>
      <c r="H244" s="38" t="n">
        <v>12113</v>
      </c>
      <c r="I244" s="38" t="n">
        <v>94111</v>
      </c>
      <c r="J244" s="19">
        <f>(I244-H244)/1000</f>
        <v/>
      </c>
      <c r="K244" s="16" t="inlineStr">
        <is>
          <t>Yes</t>
        </is>
      </c>
      <c r="L244" s="16" t="n">
        <v>21</v>
      </c>
      <c r="M244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5" ht="109" customHeight="1">
      <c r="A245" s="16" t="inlineStr">
        <is>
          <t>7 Jun</t>
        </is>
      </c>
      <c r="B245" s="16" t="inlineStr">
        <is>
          <t>30329</t>
        </is>
      </c>
      <c r="C245" s="16" t="n">
        <v>2983</v>
      </c>
      <c r="D245" s="16" t="n">
        <v>2960</v>
      </c>
      <c r="E245" s="16" t="n">
        <v>2960</v>
      </c>
      <c r="F245" s="38" t="n">
        <v>12729</v>
      </c>
      <c r="G245" s="38" t="n">
        <v>94074</v>
      </c>
      <c r="H245" s="38" t="n">
        <v>12729</v>
      </c>
      <c r="I245" s="38" t="n">
        <v>94074</v>
      </c>
      <c r="J245" s="19">
        <f>(I245-H245)/1000</f>
        <v/>
      </c>
      <c r="K245" s="16" t="inlineStr">
        <is>
          <t>Yes</t>
        </is>
      </c>
      <c r="L245" s="16" t="n">
        <v>21</v>
      </c>
      <c r="M24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6" ht="109" customHeight="1">
      <c r="A246" s="16" t="inlineStr">
        <is>
          <t>7 Jun</t>
        </is>
      </c>
      <c r="B246" s="16" t="inlineStr">
        <is>
          <t>30487</t>
        </is>
      </c>
      <c r="C246" s="16" t="n">
        <v>3053</v>
      </c>
      <c r="D246" s="16" t="n">
        <v>3047</v>
      </c>
      <c r="E246" s="16" t="n">
        <v>3047</v>
      </c>
      <c r="F246" s="38" t="n">
        <v>12113</v>
      </c>
      <c r="G246" s="38" t="n">
        <v>92723</v>
      </c>
      <c r="H246" s="38" t="n">
        <v>12113</v>
      </c>
      <c r="I246" s="38" t="n">
        <v>92723</v>
      </c>
      <c r="J246" s="19">
        <f>(I246-H246)/1000</f>
        <v/>
      </c>
      <c r="K246" s="16" t="inlineStr">
        <is>
          <t>Yes</t>
        </is>
      </c>
      <c r="L246" s="16" t="n">
        <v>21</v>
      </c>
      <c r="M24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7" ht="124" customHeight="1">
      <c r="A247" s="16" t="inlineStr">
        <is>
          <t>7 Jun</t>
        </is>
      </c>
      <c r="B247" s="16" t="inlineStr">
        <is>
          <t>30327</t>
        </is>
      </c>
      <c r="C247" s="16" t="n">
        <v>1769</v>
      </c>
      <c r="D247" s="16" t="n">
        <v>1768</v>
      </c>
      <c r="E247" s="16" t="n">
        <v>1768</v>
      </c>
      <c r="F247" s="38" t="n">
        <v>12123</v>
      </c>
      <c r="G247" s="38" t="n">
        <v>66531</v>
      </c>
      <c r="H247" s="38" t="n">
        <v>12123</v>
      </c>
      <c r="I247" s="38" t="n">
        <v>66531</v>
      </c>
      <c r="J247" s="19">
        <f>(I247-H247)/1000</f>
        <v/>
      </c>
      <c r="K247" s="16" t="inlineStr">
        <is>
          <t>Yes</t>
        </is>
      </c>
      <c r="L247" s="16" t="n">
        <v>15</v>
      </c>
      <c r="M247" s="39" t="inlineStr">
        <is>
          <t>Howrah, Howrah Sorting Yard, Liluah, Belur, Bally,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8" ht="124" customHeight="1">
      <c r="A248" s="16" t="inlineStr">
        <is>
          <t>7 Jun</t>
        </is>
      </c>
      <c r="B248" s="16" t="inlineStr">
        <is>
          <t>30203</t>
        </is>
      </c>
      <c r="C248" s="16" t="n">
        <v>2112</v>
      </c>
      <c r="D248" s="16" t="n">
        <v>2111</v>
      </c>
      <c r="E248" s="16" t="n">
        <v>2111</v>
      </c>
      <c r="F248" s="38" t="n">
        <v>12113</v>
      </c>
      <c r="G248" s="38" t="n">
        <v>57861</v>
      </c>
      <c r="H248" s="38" t="n">
        <v>12113</v>
      </c>
      <c r="I248" s="38" t="n">
        <v>57861</v>
      </c>
      <c r="J248" s="19">
        <f>(I248-H248)/1000</f>
        <v/>
      </c>
      <c r="K248" s="16" t="inlineStr">
        <is>
          <t>Yes</t>
        </is>
      </c>
      <c r="L248" s="16" t="n">
        <v>13</v>
      </c>
      <c r="M248" s="39" t="inlineStr">
        <is>
          <t>Howrah, Howrah Sorting Yard, Liluah, Belur, Bally,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9" ht="124" customHeight="1">
      <c r="A249" s="16" t="inlineStr">
        <is>
          <t>7 Jun</t>
        </is>
      </c>
      <c r="B249" s="16" t="inlineStr">
        <is>
          <t>37081</t>
        </is>
      </c>
      <c r="C249" s="16" t="n">
        <v>1763</v>
      </c>
      <c r="D249" s="16" t="n">
        <v>1758</v>
      </c>
      <c r="E249" s="16" t="n">
        <v>1758</v>
      </c>
      <c r="F249" s="38" t="n">
        <v>157913</v>
      </c>
      <c r="G249" s="38" t="n">
        <v>200084</v>
      </c>
      <c r="H249" s="38" t="n">
        <v>157913</v>
      </c>
      <c r="I249" s="38" t="n">
        <v>200084</v>
      </c>
      <c r="J249" s="19">
        <f>(I249-H249)/1000</f>
        <v/>
      </c>
      <c r="K249" s="16" t="inlineStr">
        <is>
          <t>Yes</t>
        </is>
      </c>
      <c r="L249" s="16" t="n">
        <v>11</v>
      </c>
      <c r="M249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250" ht="139" customHeight="1">
      <c r="A250" s="16" t="inlineStr">
        <is>
          <t>7 Jun</t>
        </is>
      </c>
      <c r="B250" s="16" t="inlineStr">
        <is>
          <t>30469</t>
        </is>
      </c>
      <c r="C250" s="16" t="n">
        <v>635</v>
      </c>
      <c r="D250" s="16" t="n">
        <v>631</v>
      </c>
      <c r="E250" s="16" t="n">
        <v>631</v>
      </c>
      <c r="F250" s="38" t="n">
        <v>12125</v>
      </c>
      <c r="G250" s="38" t="n">
        <v>14998</v>
      </c>
      <c r="H250" s="38" t="n">
        <v>12125</v>
      </c>
      <c r="I250" s="38" t="n">
        <v>14998</v>
      </c>
      <c r="J250" s="19">
        <f>(I250-H250)/1000</f>
        <v/>
      </c>
      <c r="K250" s="16" t="inlineStr">
        <is>
          <t>Yes</t>
        </is>
      </c>
      <c r="L250" s="16" t="n">
        <v>2</v>
      </c>
      <c r="M250" s="39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51" ht="139" customHeight="1">
      <c r="A251" s="16" t="inlineStr">
        <is>
          <t>7 Jun</t>
        </is>
      </c>
      <c r="B251" s="16" t="inlineStr">
        <is>
          <t>30676</t>
        </is>
      </c>
      <c r="C251" s="16" t="n">
        <v>179</v>
      </c>
      <c r="D251" s="16" t="n">
        <v>157</v>
      </c>
      <c r="E251" s="16" t="n">
        <v>47</v>
      </c>
      <c r="F251" s="38" t="n">
        <v>40</v>
      </c>
      <c r="G251" s="38" t="n">
        <v>388</v>
      </c>
      <c r="H251" s="38" t="n">
        <v>344</v>
      </c>
      <c r="I251" s="38" t="n">
        <v>388</v>
      </c>
      <c r="J251" s="19">
        <f>(I251-H251)/1000</f>
        <v/>
      </c>
      <c r="K251" s="16" t="inlineStr">
        <is>
          <t>Yes</t>
        </is>
      </c>
      <c r="L251" s="16" t="n">
        <v>1</v>
      </c>
      <c r="M251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52" ht="139" customHeight="1">
      <c r="A252" s="31" t="inlineStr">
        <is>
          <t>7 Jun</t>
        </is>
      </c>
      <c r="B252" s="31" t="inlineStr">
        <is>
          <t>35001</t>
        </is>
      </c>
      <c r="C252" s="31" t="n">
        <v>5</v>
      </c>
      <c r="D252" s="31" t="n">
        <v>0</v>
      </c>
      <c r="E252" s="31" t="n">
        <v>0</v>
      </c>
      <c r="F252" s="40" t="inlineStr">
        <is>
          <t>-</t>
        </is>
      </c>
      <c r="G252" s="40" t="inlineStr">
        <is>
          <t>-</t>
        </is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1" t="inlineStr">
        <is>
          <t>No</t>
        </is>
      </c>
      <c r="L252" s="31" t="n">
        <v>0</v>
      </c>
      <c r="M25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53" ht="139" customHeight="1">
      <c r="A253" s="31" t="inlineStr">
        <is>
          <t>7 Jun</t>
        </is>
      </c>
      <c r="B253" s="31" t="inlineStr">
        <is>
          <t>35048</t>
        </is>
      </c>
      <c r="C253" s="31" t="n">
        <v>4</v>
      </c>
      <c r="D253" s="31" t="n">
        <v>0</v>
      </c>
      <c r="E253" s="31" t="n">
        <v>0</v>
      </c>
      <c r="F253" s="40" t="inlineStr">
        <is>
          <t>-</t>
        </is>
      </c>
      <c r="G253" s="40" t="inlineStr">
        <is>
          <t>-</t>
        </is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1" t="inlineStr">
        <is>
          <t>No</t>
        </is>
      </c>
      <c r="L253" s="31" t="n">
        <v>0</v>
      </c>
      <c r="M25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54" ht="139" customHeight="1">
      <c r="A254" s="31" t="inlineStr">
        <is>
          <t>7 Jun</t>
        </is>
      </c>
      <c r="B254" s="31" t="inlineStr">
        <is>
          <t>37100</t>
        </is>
      </c>
      <c r="C254" s="31" t="n">
        <v>1</v>
      </c>
      <c r="D254" s="31" t="n">
        <v>0</v>
      </c>
      <c r="E254" s="31" t="n">
        <v>0</v>
      </c>
      <c r="F254" s="40" t="inlineStr">
        <is>
          <t>-</t>
        </is>
      </c>
      <c r="G254" s="40" t="inlineStr">
        <is>
          <t>-</t>
        </is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1" t="inlineStr">
        <is>
          <t>No</t>
        </is>
      </c>
      <c r="L254" s="31" t="n">
        <v>0</v>
      </c>
      <c r="M25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55" ht="139" customHeight="1">
      <c r="A255" s="31" t="inlineStr">
        <is>
          <t>7 Jun</t>
        </is>
      </c>
      <c r="B255" s="31" t="inlineStr">
        <is>
          <t>37272</t>
        </is>
      </c>
      <c r="C255" s="31" t="n">
        <v>5</v>
      </c>
      <c r="D255" s="31" t="n">
        <v>0</v>
      </c>
      <c r="E255" s="31" t="n">
        <v>0</v>
      </c>
      <c r="F255" s="40" t="inlineStr">
        <is>
          <t>-</t>
        </is>
      </c>
      <c r="G255" s="40" t="inlineStr">
        <is>
          <t>-</t>
        </is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1" t="inlineStr">
        <is>
          <t>No</t>
        </is>
      </c>
      <c r="L255" s="31" t="n">
        <v>0</v>
      </c>
      <c r="M25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56" ht="139" customHeight="1">
      <c r="A256" s="31" t="inlineStr">
        <is>
          <t>7 Jun</t>
        </is>
      </c>
      <c r="B256" s="31" t="inlineStr">
        <is>
          <t>37586</t>
        </is>
      </c>
      <c r="C256" s="31" t="n">
        <v>5</v>
      </c>
      <c r="D256" s="31" t="n">
        <v>0</v>
      </c>
      <c r="E256" s="31" t="n">
        <v>0</v>
      </c>
      <c r="F256" s="40" t="inlineStr">
        <is>
          <t>-</t>
        </is>
      </c>
      <c r="G256" s="40" t="inlineStr">
        <is>
          <t>-</t>
        </is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1" t="inlineStr">
        <is>
          <t>No</t>
        </is>
      </c>
      <c r="L256" s="31" t="n">
        <v>0</v>
      </c>
      <c r="M25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57" ht="139" customHeight="1">
      <c r="A257" s="31" t="inlineStr">
        <is>
          <t>7 Jun</t>
        </is>
      </c>
      <c r="B257" s="31" t="inlineStr">
        <is>
          <t>39135</t>
        </is>
      </c>
      <c r="C257" s="31" t="n">
        <v>25</v>
      </c>
      <c r="D257" s="31" t="n">
        <v>21</v>
      </c>
      <c r="E257" s="31" t="n">
        <v>21</v>
      </c>
      <c r="F257" s="40" t="n">
        <v>350</v>
      </c>
      <c r="G257" s="40" t="n">
        <v>350</v>
      </c>
      <c r="H257" s="40" t="n">
        <v>350</v>
      </c>
      <c r="I257" s="40" t="n">
        <v>350</v>
      </c>
      <c r="J257" s="41">
        <f>(I257-H257)/1000</f>
        <v/>
      </c>
      <c r="K257" s="31" t="inlineStr">
        <is>
          <t>No</t>
        </is>
      </c>
      <c r="L257" s="31" t="n">
        <v>1</v>
      </c>
      <c r="M257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58" ht="139" customHeight="1">
      <c r="A258" s="31" t="inlineStr">
        <is>
          <t>7 Jun</t>
        </is>
      </c>
      <c r="B258" s="31" t="inlineStr">
        <is>
          <t>39571</t>
        </is>
      </c>
      <c r="C258" s="31" t="n">
        <v>1</v>
      </c>
      <c r="D258" s="31" t="n">
        <v>0</v>
      </c>
      <c r="E258" s="31" t="n">
        <v>0</v>
      </c>
      <c r="F258" s="40" t="inlineStr">
        <is>
          <t>-</t>
        </is>
      </c>
      <c r="G258" s="40" t="inlineStr">
        <is>
          <t>-</t>
        </is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1" t="inlineStr">
        <is>
          <t>No</t>
        </is>
      </c>
      <c r="L258" s="31" t="n">
        <v>0</v>
      </c>
      <c r="M25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2"/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2026-06-26T06:19:02Z</dcterms:created>
  <dcterms:modified xmlns:dcterms="http://purl.org/dc/terms/" xmlns:xsi="http://www.w3.org/2001/XMLSchema-instance" xsi:type="dcterms:W3CDTF">2026-06-26T06:19:03Z</dcterms:modified>
</cp:coreProperties>
</file>
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29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29 Jun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Breakdown'!C51</f>
        <v/>
      </c>
      <c r="E5" s="6">
        <f>'Daily Breakdown'!D51</f>
        <v/>
      </c>
      <c r="F5" s="7">
        <f>'Daily Breakdown'!G51</f>
        <v/>
      </c>
      <c r="G5" s="5">
        <f>'Daily Breakdown'!H51</f>
        <v/>
      </c>
      <c r="H5" s="8">
        <f>'Daily Breakdown'!I51</f>
        <v/>
      </c>
      <c r="I5" s="8">
        <f>'Daily Breakdown'!J51</f>
        <v/>
      </c>
      <c r="J5" s="41">
        <f>IFERROR(G5/D5,0)</f>
        <v/>
      </c>
      <c r="K5" s="42">
        <f>IFERROR(G5/E5,0)</f>
        <v/>
      </c>
      <c r="L5" s="43">
        <f>IFERROR(G5/E5*100,0)</f>
        <v/>
      </c>
      <c r="M5" s="42">
        <f>IFERROR(G5/(D5*E5/1000),0)</f>
        <v/>
      </c>
      <c r="N5" s="5">
        <f>'Daily Breakdown'!K51</f>
        <v/>
      </c>
      <c r="O5" s="41">
        <f>IFERROR(N5/D5,0)</f>
        <v/>
      </c>
      <c r="P5" s="42">
        <f>IFERROR(N5/E5,0)</f>
        <v/>
      </c>
      <c r="Q5" s="42">
        <f>IFERROR(N5/(D5*E5/100),0)</f>
        <v/>
      </c>
      <c r="R5" s="43">
        <f>IFERROR(N5/E5*100,0)</f>
        <v/>
      </c>
      <c r="S5" s="8" t="n">
        <v>0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3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29 Jun</t>
        </is>
      </c>
      <c r="B4" s="15" t="inlineStr">
        <is>
          <t>30429</t>
        </is>
      </c>
      <c r="C4" s="16" t="n">
        <v>2</v>
      </c>
      <c r="D4" s="44" t="n">
        <v>77.86</v>
      </c>
      <c r="E4" s="18" t="n">
        <v>6605</v>
      </c>
      <c r="F4" s="18" t="n">
        <v>6732</v>
      </c>
      <c r="G4" s="19">
        <f>IF(F4=0,0,E4/F4*100)</f>
        <v/>
      </c>
      <c r="H4" s="16" t="n">
        <v>1</v>
      </c>
      <c r="I4" s="16" t="n">
        <v>1</v>
      </c>
      <c r="J4" s="16" t="n">
        <v>0</v>
      </c>
      <c r="K4" s="16" t="n">
        <v>1</v>
      </c>
    </row>
    <row r="5">
      <c r="A5" s="15" t="inlineStr">
        <is>
          <t>29 Jun</t>
        </is>
      </c>
      <c r="B5" s="15" t="inlineStr">
        <is>
          <t>39521</t>
        </is>
      </c>
      <c r="C5" s="16" t="n">
        <v>2</v>
      </c>
      <c r="D5" s="44" t="n">
        <v>77.87</v>
      </c>
      <c r="E5" s="18" t="n">
        <v>6096</v>
      </c>
      <c r="F5" s="18" t="n">
        <v>6345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3</v>
      </c>
    </row>
    <row r="6">
      <c r="A6" s="15" t="inlineStr">
        <is>
          <t>29 Jun</t>
        </is>
      </c>
      <c r="B6" s="15" t="inlineStr">
        <is>
          <t>30599</t>
        </is>
      </c>
      <c r="C6" s="16" t="n">
        <v>2</v>
      </c>
      <c r="D6" s="44" t="n">
        <v>77.88</v>
      </c>
      <c r="E6" s="18" t="n">
        <v>5508</v>
      </c>
      <c r="F6" s="18" t="n">
        <v>5927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3</v>
      </c>
    </row>
    <row r="7">
      <c r="A7" s="15" t="inlineStr">
        <is>
          <t>29 Jun</t>
        </is>
      </c>
      <c r="B7" s="15" t="inlineStr">
        <is>
          <t>37454</t>
        </is>
      </c>
      <c r="C7" s="16" t="n">
        <v>2</v>
      </c>
      <c r="D7" s="44" t="n">
        <v>77.86</v>
      </c>
      <c r="E7" s="18" t="n">
        <v>5618</v>
      </c>
      <c r="F7" s="18" t="n">
        <v>5680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2</v>
      </c>
    </row>
    <row r="8">
      <c r="A8" s="15" t="inlineStr">
        <is>
          <t>29 Jun</t>
        </is>
      </c>
      <c r="B8" s="15" t="inlineStr">
        <is>
          <t>37470</t>
        </is>
      </c>
      <c r="C8" s="16" t="n">
        <v>1</v>
      </c>
      <c r="D8" s="44" t="n">
        <v>77.67</v>
      </c>
      <c r="E8" s="18" t="n">
        <v>5375</v>
      </c>
      <c r="F8" s="18" t="n">
        <v>5379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0</v>
      </c>
    </row>
    <row r="9">
      <c r="A9" s="15" t="inlineStr">
        <is>
          <t>29 Jun</t>
        </is>
      </c>
      <c r="B9" s="15" t="inlineStr">
        <is>
          <t>37839</t>
        </is>
      </c>
      <c r="C9" s="16" t="n">
        <v>1</v>
      </c>
      <c r="D9" s="44" t="n">
        <v>77.83</v>
      </c>
      <c r="E9" s="18" t="n">
        <v>4721</v>
      </c>
      <c r="F9" s="18" t="n">
        <v>4864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1</v>
      </c>
    </row>
    <row r="10">
      <c r="A10" s="15" t="inlineStr">
        <is>
          <t>29 Jun</t>
        </is>
      </c>
      <c r="B10" s="15" t="inlineStr">
        <is>
          <t>37102</t>
        </is>
      </c>
      <c r="C10" s="16" t="n">
        <v>1</v>
      </c>
      <c r="D10" s="44" t="n">
        <v>77.73999999999999</v>
      </c>
      <c r="E10" s="18" t="n">
        <v>4242</v>
      </c>
      <c r="F10" s="18" t="n">
        <v>4274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3</v>
      </c>
    </row>
    <row r="11">
      <c r="A11" s="15" t="inlineStr">
        <is>
          <t>29 Jun</t>
        </is>
      </c>
      <c r="B11" s="15" t="inlineStr">
        <is>
          <t>37053</t>
        </is>
      </c>
      <c r="C11" s="16" t="n">
        <v>1</v>
      </c>
      <c r="D11" s="44" t="n">
        <v>77.87</v>
      </c>
      <c r="E11" s="18" t="n">
        <v>3234</v>
      </c>
      <c r="F11" s="18" t="n">
        <v>4130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0</v>
      </c>
    </row>
    <row r="12">
      <c r="A12" s="15" t="inlineStr">
        <is>
          <t>29 Jun</t>
        </is>
      </c>
      <c r="B12" s="15" t="inlineStr">
        <is>
          <t>31480</t>
        </is>
      </c>
      <c r="C12" s="16" t="n">
        <v>1</v>
      </c>
      <c r="D12" s="44" t="n">
        <v>77.72</v>
      </c>
      <c r="E12" s="18" t="n">
        <v>3116</v>
      </c>
      <c r="F12" s="18" t="n">
        <v>3690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1</v>
      </c>
    </row>
    <row r="13">
      <c r="A13" s="15" t="inlineStr">
        <is>
          <t>29 Jun</t>
        </is>
      </c>
      <c r="B13" s="15" t="inlineStr">
        <is>
          <t>30464</t>
        </is>
      </c>
      <c r="C13" s="16" t="n">
        <v>1</v>
      </c>
      <c r="D13" s="44" t="n">
        <v>77.70999999999999</v>
      </c>
      <c r="E13" s="18" t="n">
        <v>3636</v>
      </c>
      <c r="F13" s="18" t="n">
        <v>3669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0</v>
      </c>
    </row>
    <row r="14">
      <c r="A14" s="15" t="inlineStr">
        <is>
          <t>29 Jun</t>
        </is>
      </c>
      <c r="B14" s="15" t="inlineStr">
        <is>
          <t>37461</t>
        </is>
      </c>
      <c r="C14" s="16" t="n">
        <v>1</v>
      </c>
      <c r="D14" s="44" t="n">
        <v>77.70999999999999</v>
      </c>
      <c r="E14" s="18" t="n">
        <v>3575</v>
      </c>
      <c r="F14" s="18" t="n">
        <v>3579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0</v>
      </c>
    </row>
    <row r="15">
      <c r="A15" s="15" t="inlineStr">
        <is>
          <t>29 Jun</t>
        </is>
      </c>
      <c r="B15" s="15" t="inlineStr">
        <is>
          <t>37465</t>
        </is>
      </c>
      <c r="C15" s="16" t="n">
        <v>1</v>
      </c>
      <c r="D15" s="44" t="n">
        <v>77.86</v>
      </c>
      <c r="E15" s="18" t="n">
        <v>3508</v>
      </c>
      <c r="F15" s="18" t="n">
        <v>3565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1</v>
      </c>
    </row>
    <row r="16">
      <c r="A16" s="15" t="inlineStr">
        <is>
          <t>29 Jun</t>
        </is>
      </c>
      <c r="B16" s="15" t="inlineStr">
        <is>
          <t>39176</t>
        </is>
      </c>
      <c r="C16" s="16" t="n">
        <v>1</v>
      </c>
      <c r="D16" s="44" t="n">
        <v>77.84999999999999</v>
      </c>
      <c r="E16" s="18" t="n">
        <v>3408</v>
      </c>
      <c r="F16" s="18" t="n">
        <v>3556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1</v>
      </c>
    </row>
    <row r="17">
      <c r="A17" s="15" t="inlineStr">
        <is>
          <t>29 Jun</t>
        </is>
      </c>
      <c r="B17" s="15" t="inlineStr">
        <is>
          <t>37514</t>
        </is>
      </c>
      <c r="C17" s="16" t="n">
        <v>1</v>
      </c>
      <c r="D17" s="44" t="n">
        <v>77.84</v>
      </c>
      <c r="E17" s="18" t="n">
        <v>3463</v>
      </c>
      <c r="F17" s="18" t="n">
        <v>3501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29 Jun</t>
        </is>
      </c>
      <c r="B18" s="15" t="inlineStr">
        <is>
          <t>30343</t>
        </is>
      </c>
      <c r="C18" s="16" t="n">
        <v>1</v>
      </c>
      <c r="D18" s="44" t="n">
        <v>77.86</v>
      </c>
      <c r="E18" s="18" t="n">
        <v>3413</v>
      </c>
      <c r="F18" s="18" t="n">
        <v>3454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1</v>
      </c>
    </row>
    <row r="19">
      <c r="A19" s="15" t="inlineStr">
        <is>
          <t>29 Jun</t>
        </is>
      </c>
      <c r="B19" s="15" t="inlineStr">
        <is>
          <t>39047</t>
        </is>
      </c>
      <c r="C19" s="16" t="n">
        <v>1</v>
      </c>
      <c r="D19" s="44" t="n">
        <v>77.86</v>
      </c>
      <c r="E19" s="18" t="n">
        <v>2653</v>
      </c>
      <c r="F19" s="18" t="n">
        <v>3332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0</v>
      </c>
    </row>
    <row r="20">
      <c r="A20" s="15" t="inlineStr">
        <is>
          <t>29 Jun</t>
        </is>
      </c>
      <c r="B20" s="15" t="inlineStr">
        <is>
          <t>37397</t>
        </is>
      </c>
      <c r="C20" s="16" t="n">
        <v>1</v>
      </c>
      <c r="D20" s="44" t="n">
        <v>77.86</v>
      </c>
      <c r="E20" s="18" t="n">
        <v>3161</v>
      </c>
      <c r="F20" s="18" t="n">
        <v>3283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1</v>
      </c>
    </row>
    <row r="21">
      <c r="A21" s="15" t="inlineStr">
        <is>
          <t>29 Jun</t>
        </is>
      </c>
      <c r="B21" s="15" t="inlineStr">
        <is>
          <t>37632</t>
        </is>
      </c>
      <c r="C21" s="16" t="n">
        <v>1</v>
      </c>
      <c r="D21" s="44" t="n">
        <v>77.72</v>
      </c>
      <c r="E21" s="18" t="n">
        <v>3251</v>
      </c>
      <c r="F21" s="18" t="n">
        <v>3281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1</v>
      </c>
    </row>
    <row r="22">
      <c r="A22" s="15" t="inlineStr">
        <is>
          <t>29 Jun</t>
        </is>
      </c>
      <c r="B22" s="15" t="inlineStr">
        <is>
          <t>30396</t>
        </is>
      </c>
      <c r="C22" s="16" t="n">
        <v>1</v>
      </c>
      <c r="D22" s="44" t="n">
        <v>77.7</v>
      </c>
      <c r="E22" s="18" t="n">
        <v>3241</v>
      </c>
      <c r="F22" s="18" t="n">
        <v>3264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1</v>
      </c>
    </row>
    <row r="23">
      <c r="A23" s="15" t="inlineStr">
        <is>
          <t>29 Jun</t>
        </is>
      </c>
      <c r="B23" s="15" t="inlineStr">
        <is>
          <t>37582</t>
        </is>
      </c>
      <c r="C23" s="16" t="n">
        <v>1</v>
      </c>
      <c r="D23" s="44" t="n">
        <v>77.81999999999999</v>
      </c>
      <c r="E23" s="18" t="n">
        <v>3087</v>
      </c>
      <c r="F23" s="18" t="n">
        <v>3220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0</v>
      </c>
    </row>
    <row r="24">
      <c r="A24" s="15" t="inlineStr">
        <is>
          <t>29 Jun</t>
        </is>
      </c>
      <c r="B24" s="15" t="inlineStr">
        <is>
          <t>39282</t>
        </is>
      </c>
      <c r="C24" s="16" t="n">
        <v>1</v>
      </c>
      <c r="D24" s="44" t="n">
        <v>77.83</v>
      </c>
      <c r="E24" s="18" t="n">
        <v>2585</v>
      </c>
      <c r="F24" s="18" t="n">
        <v>3188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3</v>
      </c>
    </row>
    <row r="25">
      <c r="A25" s="15" t="inlineStr">
        <is>
          <t>29 Jun</t>
        </is>
      </c>
      <c r="B25" s="15" t="inlineStr">
        <is>
          <t>39243</t>
        </is>
      </c>
      <c r="C25" s="16" t="n">
        <v>1</v>
      </c>
      <c r="D25" s="44" t="n">
        <v>77.7</v>
      </c>
      <c r="E25" s="18" t="n">
        <v>3102</v>
      </c>
      <c r="F25" s="18" t="n">
        <v>3125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0</v>
      </c>
    </row>
    <row r="26">
      <c r="A26" s="15" t="inlineStr">
        <is>
          <t>29 Jun</t>
        </is>
      </c>
      <c r="B26" s="15" t="inlineStr">
        <is>
          <t>39358</t>
        </is>
      </c>
      <c r="C26" s="16" t="n">
        <v>1</v>
      </c>
      <c r="D26" s="44" t="n">
        <v>77.70999999999999</v>
      </c>
      <c r="E26" s="18" t="n">
        <v>2702</v>
      </c>
      <c r="F26" s="18" t="n">
        <v>3047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1</v>
      </c>
    </row>
    <row r="27">
      <c r="A27" s="15" t="inlineStr">
        <is>
          <t>29 Jun</t>
        </is>
      </c>
      <c r="B27" s="15" t="inlineStr">
        <is>
          <t>30382</t>
        </is>
      </c>
      <c r="C27" s="16" t="n">
        <v>1</v>
      </c>
      <c r="D27" s="44" t="n">
        <v>77.83</v>
      </c>
      <c r="E27" s="18" t="n">
        <v>2030</v>
      </c>
      <c r="F27" s="18" t="n">
        <v>3040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4</v>
      </c>
    </row>
    <row r="28">
      <c r="A28" s="15" t="inlineStr">
        <is>
          <t>29 Jun</t>
        </is>
      </c>
      <c r="B28" s="15" t="inlineStr">
        <is>
          <t>39258</t>
        </is>
      </c>
      <c r="C28" s="16" t="n">
        <v>1</v>
      </c>
      <c r="D28" s="44" t="n">
        <v>77.81</v>
      </c>
      <c r="E28" s="18" t="n">
        <v>3005</v>
      </c>
      <c r="F28" s="18" t="n">
        <v>3034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29 Jun</t>
        </is>
      </c>
      <c r="B29" s="15" t="inlineStr">
        <is>
          <t>37266</t>
        </is>
      </c>
      <c r="C29" s="16" t="n">
        <v>1</v>
      </c>
      <c r="D29" s="44" t="n">
        <v>77.86</v>
      </c>
      <c r="E29" s="18" t="n">
        <v>2944</v>
      </c>
      <c r="F29" s="18" t="n">
        <v>3010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4</v>
      </c>
    </row>
    <row r="30">
      <c r="A30" s="15" t="inlineStr">
        <is>
          <t>29 Jun</t>
        </is>
      </c>
      <c r="B30" s="15" t="inlineStr">
        <is>
          <t>39552</t>
        </is>
      </c>
      <c r="C30" s="16" t="n">
        <v>1</v>
      </c>
      <c r="D30" s="44" t="n">
        <v>77.84999999999999</v>
      </c>
      <c r="E30" s="18" t="n">
        <v>2901</v>
      </c>
      <c r="F30" s="18" t="n">
        <v>2957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29 Jun</t>
        </is>
      </c>
      <c r="B31" s="15" t="inlineStr">
        <is>
          <t>30827</t>
        </is>
      </c>
      <c r="C31" s="16" t="n">
        <v>1</v>
      </c>
      <c r="D31" s="44" t="n">
        <v>77.67</v>
      </c>
      <c r="E31" s="18" t="n">
        <v>2925</v>
      </c>
      <c r="F31" s="18" t="n">
        <v>2953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29 Jun</t>
        </is>
      </c>
      <c r="B32" s="15" t="inlineStr">
        <is>
          <t>30608</t>
        </is>
      </c>
      <c r="C32" s="16" t="n">
        <v>1</v>
      </c>
      <c r="D32" s="44" t="n">
        <v>77.83</v>
      </c>
      <c r="E32" s="18" t="n">
        <v>2826</v>
      </c>
      <c r="F32" s="18" t="n">
        <v>2893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29 Jun</t>
        </is>
      </c>
      <c r="B33" s="15" t="inlineStr">
        <is>
          <t>37746</t>
        </is>
      </c>
      <c r="C33" s="16" t="n">
        <v>1</v>
      </c>
      <c r="D33" s="44" t="n">
        <v>77.86</v>
      </c>
      <c r="E33" s="18" t="n">
        <v>2797</v>
      </c>
      <c r="F33" s="18" t="n">
        <v>2873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1</v>
      </c>
    </row>
    <row r="34">
      <c r="A34" s="15" t="inlineStr">
        <is>
          <t>29 Jun</t>
        </is>
      </c>
      <c r="B34" s="15" t="inlineStr">
        <is>
          <t>37322</t>
        </is>
      </c>
      <c r="C34" s="16" t="n">
        <v>1</v>
      </c>
      <c r="D34" s="44" t="n">
        <v>77.72</v>
      </c>
      <c r="E34" s="18" t="n">
        <v>2779</v>
      </c>
      <c r="F34" s="18" t="n">
        <v>2798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29 Jun</t>
        </is>
      </c>
      <c r="B35" s="15" t="inlineStr">
        <is>
          <t>37647</t>
        </is>
      </c>
      <c r="C35" s="16" t="n">
        <v>1</v>
      </c>
      <c r="D35" s="44" t="n">
        <v>77.83</v>
      </c>
      <c r="E35" s="18" t="n">
        <v>2742</v>
      </c>
      <c r="F35" s="18" t="n">
        <v>2783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2</v>
      </c>
    </row>
    <row r="36">
      <c r="A36" s="15" t="inlineStr">
        <is>
          <t>29 Jun</t>
        </is>
      </c>
      <c r="B36" s="15" t="inlineStr">
        <is>
          <t>30326</t>
        </is>
      </c>
      <c r="C36" s="16" t="n">
        <v>1</v>
      </c>
      <c r="D36" s="44" t="n">
        <v>77.7</v>
      </c>
      <c r="E36" s="18" t="n">
        <v>2497</v>
      </c>
      <c r="F36" s="18" t="n">
        <v>2769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3</v>
      </c>
    </row>
    <row r="37">
      <c r="A37" s="15" t="inlineStr">
        <is>
          <t>29 Jun</t>
        </is>
      </c>
      <c r="B37" s="15" t="inlineStr">
        <is>
          <t>30397</t>
        </is>
      </c>
      <c r="C37" s="16" t="n">
        <v>1</v>
      </c>
      <c r="D37" s="44" t="n">
        <v>77.81</v>
      </c>
      <c r="E37" s="18" t="n">
        <v>2395</v>
      </c>
      <c r="F37" s="18" t="n">
        <v>2696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29 Jun</t>
        </is>
      </c>
      <c r="B38" s="15" t="inlineStr">
        <is>
          <t>39522</t>
        </is>
      </c>
      <c r="C38" s="16" t="n">
        <v>1</v>
      </c>
      <c r="D38" s="44" t="n">
        <v>77.81999999999999</v>
      </c>
      <c r="E38" s="18" t="n">
        <v>2622</v>
      </c>
      <c r="F38" s="18" t="n">
        <v>2693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15" t="inlineStr">
        <is>
          <t>29 Jun</t>
        </is>
      </c>
      <c r="B39" s="15" t="inlineStr">
        <is>
          <t>30002</t>
        </is>
      </c>
      <c r="C39" s="16" t="n">
        <v>1</v>
      </c>
      <c r="D39" s="44" t="n">
        <v>77.86</v>
      </c>
      <c r="E39" s="18" t="n">
        <v>2634</v>
      </c>
      <c r="F39" s="18" t="n">
        <v>2673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2</v>
      </c>
    </row>
    <row r="40">
      <c r="A40" s="15" t="inlineStr">
        <is>
          <t>29 Jun</t>
        </is>
      </c>
      <c r="B40" s="15" t="inlineStr">
        <is>
          <t>39371</t>
        </is>
      </c>
      <c r="C40" s="16" t="n">
        <v>1</v>
      </c>
      <c r="D40" s="44" t="n">
        <v>77.84</v>
      </c>
      <c r="E40" s="18" t="n">
        <v>2533</v>
      </c>
      <c r="F40" s="18" t="n">
        <v>2655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4</v>
      </c>
    </row>
    <row r="41">
      <c r="A41" s="15" t="inlineStr">
        <is>
          <t>29 Jun</t>
        </is>
      </c>
      <c r="B41" s="15" t="inlineStr">
        <is>
          <t>37091</t>
        </is>
      </c>
      <c r="C41" s="16" t="n">
        <v>1</v>
      </c>
      <c r="D41" s="44" t="n">
        <v>77.83</v>
      </c>
      <c r="E41" s="18" t="n">
        <v>2319</v>
      </c>
      <c r="F41" s="18" t="n">
        <v>2644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3</v>
      </c>
    </row>
    <row r="42">
      <c r="A42" s="15" t="inlineStr">
        <is>
          <t>29 Jun</t>
        </is>
      </c>
      <c r="B42" s="15" t="inlineStr">
        <is>
          <t>30452</t>
        </is>
      </c>
      <c r="C42" s="16" t="n">
        <v>1</v>
      </c>
      <c r="D42" s="44" t="n">
        <v>77.70999999999999</v>
      </c>
      <c r="E42" s="18" t="n">
        <v>2630</v>
      </c>
      <c r="F42" s="18" t="n">
        <v>2640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1</v>
      </c>
    </row>
    <row r="43">
      <c r="A43" s="15" t="inlineStr">
        <is>
          <t>29 Jun</t>
        </is>
      </c>
      <c r="B43" s="15" t="inlineStr">
        <is>
          <t>30211</t>
        </is>
      </c>
      <c r="C43" s="16" t="n">
        <v>1</v>
      </c>
      <c r="D43" s="44" t="n">
        <v>77.7</v>
      </c>
      <c r="E43" s="18" t="n">
        <v>2600</v>
      </c>
      <c r="F43" s="18" t="n">
        <v>2604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0</v>
      </c>
    </row>
    <row r="44">
      <c r="A44" s="15" t="inlineStr">
        <is>
          <t>29 Jun</t>
        </is>
      </c>
      <c r="B44" s="15" t="inlineStr">
        <is>
          <t>39421</t>
        </is>
      </c>
      <c r="C44" s="16" t="n">
        <v>1</v>
      </c>
      <c r="D44" s="44" t="n">
        <v>77.88</v>
      </c>
      <c r="E44" s="18" t="n">
        <v>2402</v>
      </c>
      <c r="F44" s="18" t="n">
        <v>2425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3</v>
      </c>
    </row>
    <row r="45">
      <c r="A45" s="15" t="inlineStr">
        <is>
          <t>29 Jun</t>
        </is>
      </c>
      <c r="B45" s="15" t="inlineStr">
        <is>
          <t>30394</t>
        </is>
      </c>
      <c r="C45" s="16" t="n">
        <v>1</v>
      </c>
      <c r="D45" s="44" t="n">
        <v>77.86</v>
      </c>
      <c r="E45" s="18" t="n">
        <v>0</v>
      </c>
      <c r="F45" s="18" t="n">
        <v>1575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0</v>
      </c>
    </row>
    <row r="46">
      <c r="A46" s="15" t="inlineStr">
        <is>
          <t>29 Jun</t>
        </is>
      </c>
      <c r="B46" s="15" t="inlineStr">
        <is>
          <t>39351</t>
        </is>
      </c>
      <c r="C46" s="16" t="n">
        <v>1</v>
      </c>
      <c r="D46" s="44" t="n">
        <v>77.84</v>
      </c>
      <c r="E46" s="18" t="n">
        <v>0</v>
      </c>
      <c r="F46" s="18" t="n">
        <v>1525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0</v>
      </c>
    </row>
    <row r="47">
      <c r="A47" s="15" t="inlineStr">
        <is>
          <t>29 Jun</t>
        </is>
      </c>
      <c r="B47" s="15" t="inlineStr">
        <is>
          <t>37052</t>
        </is>
      </c>
      <c r="C47" s="16" t="n">
        <v>1</v>
      </c>
      <c r="D47" s="44" t="n">
        <v>77.81</v>
      </c>
      <c r="E47" s="18" t="n">
        <v>1043</v>
      </c>
      <c r="F47" s="18" t="n">
        <v>1123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9</v>
      </c>
    </row>
    <row r="48">
      <c r="A48" s="15" t="inlineStr">
        <is>
          <t>29 Jun</t>
        </is>
      </c>
      <c r="B48" s="15" t="inlineStr">
        <is>
          <t>30813</t>
        </is>
      </c>
      <c r="C48" s="16" t="n">
        <v>0</v>
      </c>
      <c r="D48" s="44" t="n">
        <v>2.99</v>
      </c>
      <c r="E48" s="18" t="n">
        <v>1080</v>
      </c>
      <c r="F48" s="18" t="n">
        <v>1080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0</v>
      </c>
    </row>
    <row r="49">
      <c r="A49" s="15" t="inlineStr">
        <is>
          <t>29 Jun</t>
        </is>
      </c>
      <c r="B49" s="15" t="inlineStr">
        <is>
          <t>37130</t>
        </is>
      </c>
      <c r="C49" s="16" t="n">
        <v>0</v>
      </c>
      <c r="D49" s="44" t="n">
        <v>8.68</v>
      </c>
      <c r="E49" s="18" t="n">
        <v>883</v>
      </c>
      <c r="F49" s="18" t="n">
        <v>884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0</v>
      </c>
    </row>
    <row r="50">
      <c r="A50" s="20" t="inlineStr">
        <is>
          <t>29 Jun</t>
        </is>
      </c>
      <c r="B50" s="20" t="inlineStr">
        <is>
          <t>Day Total</t>
        </is>
      </c>
      <c r="C50" s="21">
        <f>SUM(C4:C49)</f>
        <v/>
      </c>
      <c r="D50" s="45">
        <f>SUM(D4:D49)</f>
        <v/>
      </c>
      <c r="E50" s="23">
        <f>SUM(E4:E49)</f>
        <v/>
      </c>
      <c r="F50" s="23">
        <f>SUMIF(E4:E49,"&gt;0",F4:F49)</f>
        <v/>
      </c>
      <c r="G50" s="24">
        <f>IF(F50=0,0,E50/F50*100)</f>
        <v/>
      </c>
      <c r="H50" s="21">
        <f>SUM(H4:H49)</f>
        <v/>
      </c>
      <c r="I50" s="21">
        <f>SUM(I4:I49)</f>
        <v/>
      </c>
      <c r="J50" s="21">
        <f>SUM(J4:J49)</f>
        <v/>
      </c>
      <c r="K50" s="21">
        <f>SUM(K4:K49)</f>
        <v/>
      </c>
    </row>
    <row r="51">
      <c r="A51" s="25" t="inlineStr">
        <is>
          <t>GRAND TOTAL</t>
        </is>
      </c>
      <c r="B51" s="25" t="n"/>
      <c r="C51" s="26">
        <f>C50</f>
        <v/>
      </c>
      <c r="D51" s="46">
        <f>D50</f>
        <v/>
      </c>
      <c r="E51" s="28">
        <f>E50</f>
        <v/>
      </c>
      <c r="F51" s="28">
        <f>F50</f>
        <v/>
      </c>
      <c r="G51" s="29">
        <f>IF(F51=0,0,E51/F51*100)</f>
        <v/>
      </c>
      <c r="H51" s="26">
        <f>H50</f>
        <v/>
      </c>
      <c r="I51" s="26">
        <f>I50</f>
        <v/>
      </c>
      <c r="J51" s="26">
        <f>J50</f>
        <v/>
      </c>
      <c r="K51" s="26">
        <f>K50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1   ·   Valid trips = 1   ·   Non-valid trips = 0   ·   Undesirable = 0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16" t="inlineStr">
        <is>
          <t>29 Jun</t>
        </is>
      </c>
      <c r="B6" s="16" t="inlineStr">
        <is>
          <t>30429</t>
        </is>
      </c>
      <c r="C6" s="16" t="inlineStr">
        <is>
          <t>Valid</t>
        </is>
      </c>
      <c r="D6" s="16" t="inlineStr">
        <is>
          <t>22:47:52</t>
        </is>
      </c>
      <c r="E6" s="16" t="inlineStr">
        <is>
          <t>22:47:54</t>
        </is>
      </c>
      <c r="F6" s="16" t="n">
        <v>2</v>
      </c>
      <c r="G6" s="16" t="n">
        <v>2</v>
      </c>
      <c r="H6" s="16" t="n">
        <v>128</v>
      </c>
      <c r="I6" s="16" t="inlineStr">
        <is>
          <t>FS</t>
        </is>
      </c>
      <c r="J6" s="31" t="n">
        <v>1474.63</v>
      </c>
      <c r="K6" s="16" t="inlineStr">
        <is>
          <t>R</t>
        </is>
      </c>
      <c r="L6" s="16" t="inlineStr">
        <is>
          <t>LC563</t>
        </is>
      </c>
      <c r="M6" s="32" t="inlineStr">
        <is>
          <t>128 km/h</t>
        </is>
      </c>
      <c r="N6" s="32" t="inlineStr">
        <is>
          <t>6880</t>
        </is>
      </c>
      <c r="O6" s="16" t="inlineStr">
        <is>
          <t>-</t>
        </is>
      </c>
      <c r="P6" s="32" t="inlineStr">
        <is>
          <t>-</t>
        </is>
      </c>
      <c r="Q6" s="16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66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  <c r="M5" s="14" t="inlineStr">
        <is>
          <t>Loco Travel</t>
        </is>
      </c>
    </row>
    <row r="6">
      <c r="A6" s="16" t="inlineStr">
        <is>
          <t>29 Jun</t>
        </is>
      </c>
      <c r="B6" s="16" t="inlineStr">
        <is>
          <t>37102</t>
        </is>
      </c>
      <c r="C6" s="16" t="inlineStr">
        <is>
          <t>OS</t>
        </is>
      </c>
      <c r="D6" s="16" t="inlineStr">
        <is>
          <t>SR</t>
        </is>
      </c>
      <c r="E6" s="16" t="inlineStr">
        <is>
          <t>02:39:30</t>
        </is>
      </c>
      <c r="F6" s="16" t="inlineStr">
        <is>
          <t>02:39:30</t>
        </is>
      </c>
      <c r="G6" s="16" t="n">
        <v>0</v>
      </c>
      <c r="H6" s="16" t="n">
        <v>1</v>
      </c>
      <c r="I6" s="31" t="n">
        <v>1401.75</v>
      </c>
      <c r="J6" s="16" t="inlineStr">
        <is>
          <t>Vrindavan Road</t>
        </is>
      </c>
      <c r="K6" s="16" t="inlineStr">
        <is>
          <t>N</t>
        </is>
      </c>
      <c r="L6" s="16" t="inlineStr">
        <is>
          <t>Valid</t>
        </is>
      </c>
      <c r="M6" s="16" t="inlineStr">
        <is>
          <t>LC563, LC562, LC561, LC559, LC557, LC556, LC555, LC553, LC551, LC545, Chhata, LC540, Ajhai, LC535, Vrindavan Road, BCH</t>
        </is>
      </c>
    </row>
    <row r="7">
      <c r="A7" s="16" t="inlineStr">
        <is>
          <t>29 Jun</t>
        </is>
      </c>
      <c r="B7" s="16" t="inlineStr">
        <is>
          <t>37102</t>
        </is>
      </c>
      <c r="C7" s="16" t="inlineStr">
        <is>
          <t>FS</t>
        </is>
      </c>
      <c r="D7" s="16" t="inlineStr">
        <is>
          <t>SR</t>
        </is>
      </c>
      <c r="E7" s="16" t="inlineStr">
        <is>
          <t>03:24:56</t>
        </is>
      </c>
      <c r="F7" s="16" t="inlineStr">
        <is>
          <t>03:24:56</t>
        </is>
      </c>
      <c r="G7" s="16" t="n">
        <v>0</v>
      </c>
      <c r="H7" s="16" t="n">
        <v>1</v>
      </c>
      <c r="I7" s="31" t="n">
        <v>1478.52</v>
      </c>
      <c r="J7" s="16" t="inlineStr">
        <is>
          <t>LC563</t>
        </is>
      </c>
      <c r="K7" s="16" t="inlineStr">
        <is>
          <t>N</t>
        </is>
      </c>
      <c r="L7" s="16" t="inlineStr">
        <is>
          <t>Valid</t>
        </is>
      </c>
      <c r="M7" s="16" t="inlineStr">
        <is>
          <t>LC563, LC562, LC561, LC559, LC557, LC556, LC555, LC553, LC551, LC545, Chhata, LC540, Ajhai, LC535, Vrindavan Road, BCH</t>
        </is>
      </c>
    </row>
    <row r="8">
      <c r="A8" s="16" t="inlineStr">
        <is>
          <t>29 Jun</t>
        </is>
      </c>
      <c r="B8" s="16" t="inlineStr">
        <is>
          <t>37102</t>
        </is>
      </c>
      <c r="C8" s="16" t="inlineStr">
        <is>
          <t>FS</t>
        </is>
      </c>
      <c r="D8" s="16" t="inlineStr">
        <is>
          <t>SR</t>
        </is>
      </c>
      <c r="E8" s="16" t="inlineStr">
        <is>
          <t>03:24:58</t>
        </is>
      </c>
      <c r="F8" s="16" t="inlineStr">
        <is>
          <t>03:25:00</t>
        </is>
      </c>
      <c r="G8" s="16" t="n">
        <v>2</v>
      </c>
      <c r="H8" s="16" t="n">
        <v>3</v>
      </c>
      <c r="I8" s="31" t="n">
        <v>1478.54</v>
      </c>
      <c r="J8" s="16" t="inlineStr">
        <is>
          <t>LC563</t>
        </is>
      </c>
      <c r="K8" s="16" t="inlineStr">
        <is>
          <t>N</t>
        </is>
      </c>
      <c r="L8" s="16" t="inlineStr">
        <is>
          <t>Valid</t>
        </is>
      </c>
      <c r="M8" s="16" t="inlineStr">
        <is>
          <t>LC563, LC562, LC561, LC559, LC557, LC556, LC555, LC553, LC551, LC545, Chhata, LC540, Ajhai, LC535, Vrindavan Road, BCH</t>
        </is>
      </c>
    </row>
    <row r="9">
      <c r="A9" s="16" t="inlineStr">
        <is>
          <t>29 Jun</t>
        </is>
      </c>
      <c r="B9" s="16" t="inlineStr">
        <is>
          <t>39552</t>
        </is>
      </c>
      <c r="C9" s="16" t="inlineStr">
        <is>
          <t>FS</t>
        </is>
      </c>
      <c r="D9" s="16" t="inlineStr">
        <is>
          <t>LS</t>
        </is>
      </c>
      <c r="E9" s="16" t="inlineStr">
        <is>
          <t>06:01:14</t>
        </is>
      </c>
      <c r="F9" s="16" t="inlineStr">
        <is>
          <t>06:01:14</t>
        </is>
      </c>
      <c r="G9" s="16" t="n">
        <v>0</v>
      </c>
      <c r="H9" s="16" t="n">
        <v>1</v>
      </c>
      <c r="I9" s="31" t="n">
        <v>1414.99</v>
      </c>
      <c r="J9" s="16" t="inlineStr">
        <is>
          <t>LC535</t>
        </is>
      </c>
      <c r="K9" s="16" t="inlineStr">
        <is>
          <t>R</t>
        </is>
      </c>
      <c r="L9" s="16" t="inlineStr">
        <is>
          <t>Valid</t>
        </is>
      </c>
      <c r="M9" s="16" t="inlineStr">
        <is>
          <t>LC563, LC562, LC561, LC559, LC557, LC556, LC555, LC553, LC551, LC545, Chhata, LC540, Ajhai, LC535, Vrindavan Road, BCH</t>
        </is>
      </c>
    </row>
    <row r="10">
      <c r="A10" s="16" t="inlineStr">
        <is>
          <t>29 Jun</t>
        </is>
      </c>
      <c r="B10" s="16" t="inlineStr">
        <is>
          <t>39552</t>
        </is>
      </c>
      <c r="C10" s="16" t="inlineStr">
        <is>
          <t>FS</t>
        </is>
      </c>
      <c r="D10" s="16" t="inlineStr">
        <is>
          <t>LS</t>
        </is>
      </c>
      <c r="E10" s="16" t="inlineStr">
        <is>
          <t>06:01:16</t>
        </is>
      </c>
      <c r="F10" s="16" t="inlineStr">
        <is>
          <t>06:01:30</t>
        </is>
      </c>
      <c r="G10" s="16" t="n">
        <v>14</v>
      </c>
      <c r="H10" s="16" t="n">
        <v>9</v>
      </c>
      <c r="I10" s="31" t="n">
        <v>1414.91</v>
      </c>
      <c r="J10" s="16" t="inlineStr">
        <is>
          <t>LC535</t>
        </is>
      </c>
      <c r="K10" s="16" t="inlineStr">
        <is>
          <t>R</t>
        </is>
      </c>
      <c r="L10" s="16" t="inlineStr">
        <is>
          <t>Valid</t>
        </is>
      </c>
      <c r="M10" s="16" t="inlineStr">
        <is>
          <t>LC563, LC562, LC561, LC559, LC557, LC556, LC555, LC553, LC551, LC545, Chhata, LC540, Ajhai, LC535, Vrindavan Road, BCH</t>
        </is>
      </c>
    </row>
    <row r="11">
      <c r="A11" s="16" t="inlineStr">
        <is>
          <t>29 Jun</t>
        </is>
      </c>
      <c r="B11" s="16" t="inlineStr">
        <is>
          <t>39552</t>
        </is>
      </c>
      <c r="C11" s="16" t="inlineStr">
        <is>
          <t>OS</t>
        </is>
      </c>
      <c r="D11" s="16" t="inlineStr">
        <is>
          <t>LS</t>
        </is>
      </c>
      <c r="E11" s="16" t="inlineStr">
        <is>
          <t>06:01:32</t>
        </is>
      </c>
      <c r="F11" s="16" t="inlineStr">
        <is>
          <t>06:01:32</t>
        </is>
      </c>
      <c r="G11" s="16" t="n">
        <v>0</v>
      </c>
      <c r="H11" s="16" t="n">
        <v>1</v>
      </c>
      <c r="I11" s="31" t="n">
        <v>1414.39</v>
      </c>
      <c r="J11" s="16" t="inlineStr">
        <is>
          <t>LC535</t>
        </is>
      </c>
      <c r="K11" s="16" t="inlineStr">
        <is>
          <t>R</t>
        </is>
      </c>
      <c r="L11" s="16" t="inlineStr">
        <is>
          <t>Valid</t>
        </is>
      </c>
      <c r="M11" s="16" t="inlineStr">
        <is>
          <t>LC563, LC562, LC561, LC559, LC557, LC556, LC555, LC553, LC551, LC545, Chhata, LC540, Ajhai, LC535, Vrindavan Road, BCH</t>
        </is>
      </c>
    </row>
    <row r="12">
      <c r="A12" s="16" t="inlineStr">
        <is>
          <t>29 Jun</t>
        </is>
      </c>
      <c r="B12" s="16" t="inlineStr">
        <is>
          <t>30452</t>
        </is>
      </c>
      <c r="C12" s="16" t="inlineStr">
        <is>
          <t>FS</t>
        </is>
      </c>
      <c r="D12" s="16" t="inlineStr">
        <is>
          <t>SR</t>
        </is>
      </c>
      <c r="E12" s="16" t="inlineStr">
        <is>
          <t>06:10:26</t>
        </is>
      </c>
      <c r="F12" s="16" t="inlineStr">
        <is>
          <t>06:10:28</t>
        </is>
      </c>
      <c r="G12" s="16" t="n">
        <v>2</v>
      </c>
      <c r="H12" s="16" t="n">
        <v>4</v>
      </c>
      <c r="I12" s="31" t="n">
        <v>1435.67</v>
      </c>
      <c r="J12" s="16" t="inlineStr">
        <is>
          <t>Kosikalan</t>
        </is>
      </c>
      <c r="K12" s="16" t="inlineStr">
        <is>
          <t>N</t>
        </is>
      </c>
      <c r="L12" s="16" t="inlineStr">
        <is>
          <t>Valid</t>
        </is>
      </c>
      <c r="M12" s="16" t="inlineStr">
        <is>
          <t>LC563, LC562, LC561, LC559, LC557, LC556, LC555, LC553, LC551, LC545, Chhata, LC540, Ajhai, LC535, Vrindavan Road, BCH</t>
        </is>
      </c>
    </row>
    <row r="13">
      <c r="A13" s="16" t="inlineStr">
        <is>
          <t>29 Jun</t>
        </is>
      </c>
      <c r="B13" s="16" t="inlineStr">
        <is>
          <t>39176</t>
        </is>
      </c>
      <c r="C13" s="16" t="inlineStr">
        <is>
          <t>FS</t>
        </is>
      </c>
      <c r="D13" s="16" t="inlineStr">
        <is>
          <t>SR</t>
        </is>
      </c>
      <c r="E13" s="16" t="inlineStr">
        <is>
          <t>06:22:20</t>
        </is>
      </c>
      <c r="F13" s="16" t="inlineStr">
        <is>
          <t>06:22:20</t>
        </is>
      </c>
      <c r="G13" s="16" t="n">
        <v>0</v>
      </c>
      <c r="H13" s="16" t="n">
        <v>1</v>
      </c>
      <c r="I13" s="31" t="n">
        <v>1401.89</v>
      </c>
      <c r="J13" s="16" t="inlineStr">
        <is>
          <t>Vrindavan Road</t>
        </is>
      </c>
      <c r="K13" s="16" t="inlineStr">
        <is>
          <t>R</t>
        </is>
      </c>
      <c r="L13" s="16" t="inlineStr">
        <is>
          <t>Valid</t>
        </is>
      </c>
      <c r="M13" s="16" t="inlineStr">
        <is>
          <t>LC563, LC562, LC561, LC559, LC557, LC556, LC555, LC553, LC551, LC545, Chhata, LC540, Ajhai, LC535, Vrindavan Road, BCH</t>
        </is>
      </c>
    </row>
    <row r="14">
      <c r="A14" s="16" t="inlineStr">
        <is>
          <t>29 Jun</t>
        </is>
      </c>
      <c r="B14" s="16" t="inlineStr">
        <is>
          <t>37266</t>
        </is>
      </c>
      <c r="C14" s="16" t="inlineStr">
        <is>
          <t>FS</t>
        </is>
      </c>
      <c r="D14" s="16" t="inlineStr">
        <is>
          <t>LS</t>
        </is>
      </c>
      <c r="E14" s="16" t="inlineStr">
        <is>
          <t>07:18:32</t>
        </is>
      </c>
      <c r="F14" s="16" t="inlineStr">
        <is>
          <t>07:18:32</t>
        </is>
      </c>
      <c r="G14" s="16" t="n">
        <v>0</v>
      </c>
      <c r="H14" s="16" t="n">
        <v>1</v>
      </c>
      <c r="I14" s="31" t="n">
        <v>1420.09</v>
      </c>
      <c r="J14" s="16" t="inlineStr">
        <is>
          <t>Ajhai</t>
        </is>
      </c>
      <c r="K14" s="16" t="inlineStr">
        <is>
          <t>R</t>
        </is>
      </c>
      <c r="L14" s="16" t="inlineStr">
        <is>
          <t>Valid</t>
        </is>
      </c>
      <c r="M14" s="16" t="inlineStr">
        <is>
          <t>LC563, LC562, LC561, LC559, LC557, LC556, LC555, LC553, LC551, LC545, Chhata, LC540, Ajhai, LC535, Vrindavan Road, BCH</t>
        </is>
      </c>
    </row>
    <row r="15">
      <c r="A15" s="16" t="inlineStr">
        <is>
          <t>29 Jun</t>
        </is>
      </c>
      <c r="B15" s="16" t="inlineStr">
        <is>
          <t>37266</t>
        </is>
      </c>
      <c r="C15" s="16" t="inlineStr">
        <is>
          <t>FS</t>
        </is>
      </c>
      <c r="D15" s="16" t="inlineStr">
        <is>
          <t>LS</t>
        </is>
      </c>
      <c r="E15" s="16" t="inlineStr">
        <is>
          <t>07:18:34</t>
        </is>
      </c>
      <c r="F15" s="16" t="inlineStr">
        <is>
          <t>07:18:44</t>
        </is>
      </c>
      <c r="G15" s="16" t="n">
        <v>10</v>
      </c>
      <c r="H15" s="16" t="n">
        <v>6</v>
      </c>
      <c r="I15" s="31" t="n">
        <v>1420.02</v>
      </c>
      <c r="J15" s="16" t="inlineStr">
        <is>
          <t>Ajhai</t>
        </is>
      </c>
      <c r="K15" s="16" t="inlineStr">
        <is>
          <t>R</t>
        </is>
      </c>
      <c r="L15" s="16" t="inlineStr">
        <is>
          <t>Valid</t>
        </is>
      </c>
      <c r="M15" s="16" t="inlineStr">
        <is>
          <t>LC563, LC562, LC561, LC559, LC557, LC556, LC555, LC553, LC551, LC545, Chhata, LC540, Ajhai, LC535, Vrindavan Road, BCH</t>
        </is>
      </c>
    </row>
    <row r="16">
      <c r="A16" s="16" t="inlineStr">
        <is>
          <t>29 Jun</t>
        </is>
      </c>
      <c r="B16" s="16" t="inlineStr">
        <is>
          <t>37266</t>
        </is>
      </c>
      <c r="C16" s="16" t="inlineStr">
        <is>
          <t>OS</t>
        </is>
      </c>
      <c r="D16" s="16" t="inlineStr">
        <is>
          <t>SR</t>
        </is>
      </c>
      <c r="E16" s="16" t="inlineStr">
        <is>
          <t>07:18:46</t>
        </is>
      </c>
      <c r="F16" s="16" t="inlineStr">
        <is>
          <t>07:18:46</t>
        </is>
      </c>
      <c r="G16" s="16" t="n">
        <v>0</v>
      </c>
      <c r="H16" s="16" t="n">
        <v>1</v>
      </c>
      <c r="I16" s="31" t="n">
        <v>1419.64</v>
      </c>
      <c r="J16" s="16" t="inlineStr">
        <is>
          <t>Ajhai</t>
        </is>
      </c>
      <c r="K16" s="16" t="inlineStr">
        <is>
          <t>R</t>
        </is>
      </c>
      <c r="L16" s="16" t="inlineStr">
        <is>
          <t>Valid</t>
        </is>
      </c>
      <c r="M16" s="16" t="inlineStr">
        <is>
          <t>LC563, LC562, LC561, LC559, LC557, LC556, LC555, LC553, LC551, LC545, Chhata, LC540, Ajhai, LC535, Vrindavan Road, BCH</t>
        </is>
      </c>
    </row>
    <row r="17">
      <c r="A17" s="16" t="inlineStr">
        <is>
          <t>29 Jun</t>
        </is>
      </c>
      <c r="B17" s="16" t="inlineStr">
        <is>
          <t>37266</t>
        </is>
      </c>
      <c r="C17" s="16" t="inlineStr">
        <is>
          <t>FS</t>
        </is>
      </c>
      <c r="D17" s="16" t="inlineStr">
        <is>
          <t>LS</t>
        </is>
      </c>
      <c r="E17" s="16" t="inlineStr">
        <is>
          <t>07:22:14</t>
        </is>
      </c>
      <c r="F17" s="16" t="inlineStr">
        <is>
          <t>07:22:18</t>
        </is>
      </c>
      <c r="G17" s="16" t="n">
        <v>4</v>
      </c>
      <c r="H17" s="16" t="n">
        <v>6</v>
      </c>
      <c r="I17" s="31" t="n">
        <v>1412.17</v>
      </c>
      <c r="J17" s="16" t="inlineStr">
        <is>
          <t>LC535</t>
        </is>
      </c>
      <c r="K17" s="16" t="inlineStr">
        <is>
          <t>R</t>
        </is>
      </c>
      <c r="L17" s="16" t="inlineStr">
        <is>
          <t>Valid</t>
        </is>
      </c>
      <c r="M17" s="16" t="inlineStr">
        <is>
          <t>LC563, LC562, LC561, LC559, LC557, LC556, LC555, LC553, LC551, LC545, Chhata, LC540, Ajhai, LC535, Vrindavan Road, BCH</t>
        </is>
      </c>
    </row>
    <row r="18">
      <c r="A18" s="16" t="inlineStr">
        <is>
          <t>29 Jun</t>
        </is>
      </c>
      <c r="B18" s="16" t="inlineStr">
        <is>
          <t>37632</t>
        </is>
      </c>
      <c r="C18" s="16" t="inlineStr">
        <is>
          <t>FS</t>
        </is>
      </c>
      <c r="D18" s="16" t="inlineStr">
        <is>
          <t>SR</t>
        </is>
      </c>
      <c r="E18" s="16" t="inlineStr">
        <is>
          <t>07:31:10</t>
        </is>
      </c>
      <c r="F18" s="16" t="inlineStr">
        <is>
          <t>07:31:10</t>
        </is>
      </c>
      <c r="G18" s="16" t="n">
        <v>0</v>
      </c>
      <c r="H18" s="16" t="n">
        <v>1</v>
      </c>
      <c r="I18" s="31" t="n">
        <v>1471.68</v>
      </c>
      <c r="J18" s="16" t="inlineStr">
        <is>
          <t>Rundhi</t>
        </is>
      </c>
      <c r="K18" s="16" t="inlineStr">
        <is>
          <t>N</t>
        </is>
      </c>
      <c r="L18" s="16" t="inlineStr">
        <is>
          <t>Valid</t>
        </is>
      </c>
      <c r="M18" s="16" t="inlineStr">
        <is>
          <t>LC563, LC562, LC561, LC559, LC557, LC556, LC555, LC553, LC551, LC545, Chhata, LC540, Ajhai, LC535, Vrindavan Road, BCH</t>
        </is>
      </c>
    </row>
    <row r="19">
      <c r="A19" s="16" t="inlineStr">
        <is>
          <t>29 Jun</t>
        </is>
      </c>
      <c r="B19" s="16" t="inlineStr">
        <is>
          <t>37397</t>
        </is>
      </c>
      <c r="C19" s="16" t="inlineStr">
        <is>
          <t>FS</t>
        </is>
      </c>
      <c r="D19" s="16" t="inlineStr">
        <is>
          <t>SR</t>
        </is>
      </c>
      <c r="E19" s="16" t="inlineStr">
        <is>
          <t>08:05:32</t>
        </is>
      </c>
      <c r="F19" s="16" t="inlineStr">
        <is>
          <t>08:06:26</t>
        </is>
      </c>
      <c r="G19" s="16" t="n">
        <v>54</v>
      </c>
      <c r="H19" s="16" t="n">
        <v>38</v>
      </c>
      <c r="I19" s="31" t="n">
        <v>1401.88</v>
      </c>
      <c r="J19" s="16" t="inlineStr">
        <is>
          <t>Vrindavan Road</t>
        </is>
      </c>
      <c r="K19" s="16" t="inlineStr">
        <is>
          <t>R</t>
        </is>
      </c>
      <c r="L19" s="16" t="inlineStr">
        <is>
          <t>Valid</t>
        </is>
      </c>
      <c r="M19" s="16" t="inlineStr">
        <is>
          <t>LC563, LC562, LC561, LC559, LC557, LC556, LC555, LC553, LC551, LC545, Chhata, LC540, Ajhai, LC535, Vrindavan Road, BCH</t>
        </is>
      </c>
    </row>
    <row r="20">
      <c r="A20" s="16" t="inlineStr">
        <is>
          <t>29 Jun</t>
        </is>
      </c>
      <c r="B20" s="16" t="inlineStr">
        <is>
          <t>30002</t>
        </is>
      </c>
      <c r="C20" s="16" t="inlineStr">
        <is>
          <t>FS</t>
        </is>
      </c>
      <c r="D20" s="16" t="inlineStr">
        <is>
          <t>SR</t>
        </is>
      </c>
      <c r="E20" s="16" t="inlineStr">
        <is>
          <t>08:35:52</t>
        </is>
      </c>
      <c r="F20" s="16" t="inlineStr">
        <is>
          <t>08:35:52</t>
        </is>
      </c>
      <c r="G20" s="16" t="n">
        <v>0</v>
      </c>
      <c r="H20" s="16" t="n">
        <v>1</v>
      </c>
      <c r="I20" s="31" t="n">
        <v>1401.88</v>
      </c>
      <c r="J20" s="16" t="inlineStr">
        <is>
          <t>Vrindavan Road</t>
        </is>
      </c>
      <c r="K20" s="16" t="inlineStr">
        <is>
          <t>R</t>
        </is>
      </c>
      <c r="L20" s="16" t="inlineStr">
        <is>
          <t>Valid</t>
        </is>
      </c>
      <c r="M20" s="16" t="inlineStr">
        <is>
          <t>LC563, LC562, LC561, LC559, LC557, LC556, LC555, LC553, LC551, LC545, Chhata, LC540, Ajhai, LC535, Vrindavan Road, BCH</t>
        </is>
      </c>
    </row>
    <row r="21">
      <c r="A21" s="16" t="inlineStr">
        <is>
          <t>29 Jun</t>
        </is>
      </c>
      <c r="B21" s="16" t="inlineStr">
        <is>
          <t>30002</t>
        </is>
      </c>
      <c r="C21" s="16" t="inlineStr">
        <is>
          <t>FS</t>
        </is>
      </c>
      <c r="D21" s="16" t="inlineStr">
        <is>
          <t>SR</t>
        </is>
      </c>
      <c r="E21" s="16" t="inlineStr">
        <is>
          <t>08:35:54</t>
        </is>
      </c>
      <c r="F21" s="16" t="inlineStr">
        <is>
          <t>08:36:48</t>
        </is>
      </c>
      <c r="G21" s="16" t="n">
        <v>54</v>
      </c>
      <c r="H21" s="16" t="n">
        <v>38</v>
      </c>
      <c r="I21" s="31" t="n">
        <v>1401.88</v>
      </c>
      <c r="J21" s="16" t="inlineStr">
        <is>
          <t>Vrindavan Road</t>
        </is>
      </c>
      <c r="K21" s="16" t="inlineStr">
        <is>
          <t>R</t>
        </is>
      </c>
      <c r="L21" s="16" t="inlineStr">
        <is>
          <t>Valid</t>
        </is>
      </c>
      <c r="M21" s="16" t="inlineStr">
        <is>
          <t>LC563, LC562, LC561, LC559, LC557, LC556, LC555, LC553, LC551, LC545, Chhata, LC540, Ajhai, LC535, Vrindavan Road, BCH</t>
        </is>
      </c>
    </row>
    <row r="22">
      <c r="A22" s="16" t="inlineStr">
        <is>
          <t>29 Jun</t>
        </is>
      </c>
      <c r="B22" s="16" t="inlineStr">
        <is>
          <t>31480</t>
        </is>
      </c>
      <c r="C22" s="16" t="inlineStr">
        <is>
          <t>FS</t>
        </is>
      </c>
      <c r="D22" s="16" t="inlineStr">
        <is>
          <t>SR</t>
        </is>
      </c>
      <c r="E22" s="16" t="inlineStr">
        <is>
          <t>09:24:30</t>
        </is>
      </c>
      <c r="F22" s="16" t="inlineStr">
        <is>
          <t>09:42:32</t>
        </is>
      </c>
      <c r="G22" s="16" t="n">
        <v>1082</v>
      </c>
      <c r="H22" s="16" t="n">
        <v>561</v>
      </c>
      <c r="I22" s="31" t="n">
        <v>1433.35</v>
      </c>
      <c r="J22" s="16" t="inlineStr">
        <is>
          <t>LC545</t>
        </is>
      </c>
      <c r="K22" s="16" t="inlineStr">
        <is>
          <t>N</t>
        </is>
      </c>
      <c r="L22" s="16" t="inlineStr">
        <is>
          <t>Valid</t>
        </is>
      </c>
      <c r="M22" s="16" t="inlineStr">
        <is>
          <t>LC563, LC562, LC561, LC559, LC557, LC556, LC555, LC553, LC551, LC545, Chhata, LC540, Ajhai, LC535, Vrindavan Road, BCH</t>
        </is>
      </c>
    </row>
    <row r="23">
      <c r="A23" s="16" t="inlineStr">
        <is>
          <t>29 Jun</t>
        </is>
      </c>
      <c r="B23" s="16" t="inlineStr">
        <is>
          <t>30326</t>
        </is>
      </c>
      <c r="C23" s="16" t="inlineStr">
        <is>
          <t>FS</t>
        </is>
      </c>
      <c r="D23" s="16" t="inlineStr">
        <is>
          <t>SR</t>
        </is>
      </c>
      <c r="E23" s="16" t="inlineStr">
        <is>
          <t>09:28:56</t>
        </is>
      </c>
      <c r="F23" s="16" t="inlineStr">
        <is>
          <t>09:28:56</t>
        </is>
      </c>
      <c r="G23" s="16" t="n">
        <v>0</v>
      </c>
      <c r="H23" s="16" t="n">
        <v>1</v>
      </c>
      <c r="I23" s="31" t="n">
        <v>1433.64</v>
      </c>
      <c r="J23" s="16" t="inlineStr">
        <is>
          <t>LC545</t>
        </is>
      </c>
      <c r="K23" s="16" t="inlineStr">
        <is>
          <t>N</t>
        </is>
      </c>
      <c r="L23" s="16" t="inlineStr">
        <is>
          <t>Valid</t>
        </is>
      </c>
      <c r="M23" s="16" t="inlineStr">
        <is>
          <t>LC563, LC562, LC561, LC559, LC557, LC556, LC555, LC553, LC551, LC545, Chhata, LC540, Ajhai, LC535, Vrindavan Road, BCH</t>
        </is>
      </c>
    </row>
    <row r="24">
      <c r="A24" s="16" t="inlineStr">
        <is>
          <t>29 Jun</t>
        </is>
      </c>
      <c r="B24" s="16" t="inlineStr">
        <is>
          <t>30326</t>
        </is>
      </c>
      <c r="C24" s="16" t="inlineStr">
        <is>
          <t>FS</t>
        </is>
      </c>
      <c r="D24" s="16" t="inlineStr">
        <is>
          <t>SR</t>
        </is>
      </c>
      <c r="E24" s="16" t="inlineStr">
        <is>
          <t>09:28:58</t>
        </is>
      </c>
      <c r="F24" s="16" t="inlineStr">
        <is>
          <t>09:35:46</t>
        </is>
      </c>
      <c r="G24" s="16" t="n">
        <v>408</v>
      </c>
      <c r="H24" s="16" t="n">
        <v>266</v>
      </c>
      <c r="I24" s="31" t="n">
        <v>1433.68</v>
      </c>
      <c r="J24" s="16" t="inlineStr">
        <is>
          <t>LC545</t>
        </is>
      </c>
      <c r="K24" s="16" t="inlineStr">
        <is>
          <t>N</t>
        </is>
      </c>
      <c r="L24" s="16" t="inlineStr">
        <is>
          <t>Valid</t>
        </is>
      </c>
      <c r="M24" s="16" t="inlineStr">
        <is>
          <t>LC563, LC562, LC561, LC559, LC557, LC556, LC555, LC553, LC551, LC545, Chhata, LC540, Ajhai, LC535, Vrindavan Road, BCH</t>
        </is>
      </c>
    </row>
    <row r="25">
      <c r="A25" s="16" t="inlineStr">
        <is>
          <t>29 Jun</t>
        </is>
      </c>
      <c r="B25" s="16" t="inlineStr">
        <is>
          <t>30326</t>
        </is>
      </c>
      <c r="C25" s="16" t="inlineStr">
        <is>
          <t>OS</t>
        </is>
      </c>
      <c r="D25" s="16" t="inlineStr">
        <is>
          <t>SR</t>
        </is>
      </c>
      <c r="E25" s="16" t="inlineStr">
        <is>
          <t>09:35:48</t>
        </is>
      </c>
      <c r="F25" s="16" t="inlineStr">
        <is>
          <t>09:35:48</t>
        </is>
      </c>
      <c r="G25" s="16" t="n">
        <v>0</v>
      </c>
      <c r="H25" s="16" t="n">
        <v>1</v>
      </c>
      <c r="I25" s="31" t="n">
        <v>1442.56</v>
      </c>
      <c r="J25" s="16" t="inlineStr">
        <is>
          <t>LC551</t>
        </is>
      </c>
      <c r="K25" s="16" t="inlineStr">
        <is>
          <t>N</t>
        </is>
      </c>
      <c r="L25" s="16" t="inlineStr">
        <is>
          <t>Valid</t>
        </is>
      </c>
      <c r="M25" s="16" t="inlineStr">
        <is>
          <t>LC563, LC562, LC561, LC559, LC557, LC556, LC555, LC553, LC551, LC545, Chhata, LC540, Ajhai, LC535, Vrindavan Road, BCH</t>
        </is>
      </c>
    </row>
    <row r="26">
      <c r="A26" s="16" t="inlineStr">
        <is>
          <t>29 Jun</t>
        </is>
      </c>
      <c r="B26" s="16" t="inlineStr">
        <is>
          <t>39521</t>
        </is>
      </c>
      <c r="C26" s="16" t="inlineStr">
        <is>
          <t>FS</t>
        </is>
      </c>
      <c r="D26" s="16" t="inlineStr">
        <is>
          <t>SR</t>
        </is>
      </c>
      <c r="E26" s="16" t="inlineStr">
        <is>
          <t>10:49:02</t>
        </is>
      </c>
      <c r="F26" s="16" t="inlineStr">
        <is>
          <t>10:53:30</t>
        </is>
      </c>
      <c r="G26" s="16" t="n">
        <v>268</v>
      </c>
      <c r="H26" s="16" t="n">
        <v>184</v>
      </c>
      <c r="I26" s="31" t="n">
        <v>1426.88</v>
      </c>
      <c r="J26" s="16" t="inlineStr">
        <is>
          <t>Chhata</t>
        </is>
      </c>
      <c r="K26" s="16" t="inlineStr">
        <is>
          <t>N</t>
        </is>
      </c>
      <c r="L26" s="16" t="inlineStr">
        <is>
          <t>Valid</t>
        </is>
      </c>
      <c r="M26" s="16" t="inlineStr">
        <is>
          <t>LC563, LC562, LC561, LC559, LC557, LC556, LC555, LC553, LC551, LC545, Chhata, LC540, Ajhai, LC535, Vrindavan Road, BCH</t>
        </is>
      </c>
    </row>
    <row r="27">
      <c r="A27" s="16" t="inlineStr">
        <is>
          <t>29 Jun</t>
        </is>
      </c>
      <c r="B27" s="16" t="inlineStr">
        <is>
          <t>30382</t>
        </is>
      </c>
      <c r="C27" s="16" t="inlineStr">
        <is>
          <t>FS</t>
        </is>
      </c>
      <c r="D27" s="16" t="inlineStr">
        <is>
          <t>SR</t>
        </is>
      </c>
      <c r="E27" s="16" t="inlineStr">
        <is>
          <t>11:08:40</t>
        </is>
      </c>
      <c r="F27" s="16" t="inlineStr">
        <is>
          <t>11:13:58</t>
        </is>
      </c>
      <c r="G27" s="16" t="n">
        <v>318</v>
      </c>
      <c r="H27" s="16" t="n">
        <v>209</v>
      </c>
      <c r="I27" s="31" t="n">
        <v>1432.78</v>
      </c>
      <c r="J27" s="16" t="inlineStr">
        <is>
          <t>LC545</t>
        </is>
      </c>
      <c r="K27" s="16" t="inlineStr">
        <is>
          <t>N</t>
        </is>
      </c>
      <c r="L27" s="16" t="inlineStr">
        <is>
          <t>Valid</t>
        </is>
      </c>
      <c r="M27" s="16" t="inlineStr">
        <is>
          <t>LC563, LC562, LC561, LC559, LC557, LC556, LC555, LC553, LC551, LC545, Chhata, LC540, Ajhai, LC535, Vrindavan Road, BCH</t>
        </is>
      </c>
    </row>
    <row r="28">
      <c r="A28" s="16" t="inlineStr">
        <is>
          <t>29 Jun</t>
        </is>
      </c>
      <c r="B28" s="16" t="inlineStr">
        <is>
          <t>30382</t>
        </is>
      </c>
      <c r="C28" s="16" t="inlineStr">
        <is>
          <t>FS</t>
        </is>
      </c>
      <c r="D28" s="16" t="inlineStr">
        <is>
          <t>SR</t>
        </is>
      </c>
      <c r="E28" s="16" t="inlineStr">
        <is>
          <t>11:15:54</t>
        </is>
      </c>
      <c r="F28" s="16" t="inlineStr">
        <is>
          <t>11:15:54</t>
        </is>
      </c>
      <c r="G28" s="16" t="n">
        <v>0</v>
      </c>
      <c r="H28" s="16" t="n">
        <v>1</v>
      </c>
      <c r="I28" s="31" t="n">
        <v>1446.62</v>
      </c>
      <c r="J28" s="16" t="inlineStr">
        <is>
          <t>LC551</t>
        </is>
      </c>
      <c r="K28" s="16" t="inlineStr">
        <is>
          <t>N</t>
        </is>
      </c>
      <c r="L28" s="16" t="inlineStr">
        <is>
          <t>Valid</t>
        </is>
      </c>
      <c r="M28" s="16" t="inlineStr">
        <is>
          <t>LC563, LC562, LC561, LC559, LC557, LC556, LC555, LC553, LC551, LC545, Chhata, LC540, Ajhai, LC535, Vrindavan Road, BCH</t>
        </is>
      </c>
    </row>
    <row r="29">
      <c r="A29" s="16" t="inlineStr">
        <is>
          <t>29 Jun</t>
        </is>
      </c>
      <c r="B29" s="16" t="inlineStr">
        <is>
          <t>30382</t>
        </is>
      </c>
      <c r="C29" s="16" t="inlineStr">
        <is>
          <t>FS</t>
        </is>
      </c>
      <c r="D29" s="16" t="inlineStr">
        <is>
          <t>SR</t>
        </is>
      </c>
      <c r="E29" s="16" t="inlineStr">
        <is>
          <t>11:15:56</t>
        </is>
      </c>
      <c r="F29" s="16" t="inlineStr">
        <is>
          <t>11:19:06</t>
        </is>
      </c>
      <c r="G29" s="16" t="n">
        <v>190</v>
      </c>
      <c r="H29" s="16" t="n">
        <v>172</v>
      </c>
      <c r="I29" s="31" t="n">
        <v>1446.7</v>
      </c>
      <c r="J29" s="16" t="inlineStr">
        <is>
          <t>LC551</t>
        </is>
      </c>
      <c r="K29" s="16" t="inlineStr">
        <is>
          <t>N</t>
        </is>
      </c>
      <c r="L29" s="16" t="inlineStr">
        <is>
          <t>Valid</t>
        </is>
      </c>
      <c r="M29" s="16" t="inlineStr">
        <is>
          <t>LC563, LC562, LC561, LC559, LC557, LC556, LC555, LC553, LC551, LC545, Chhata, LC540, Ajhai, LC535, Vrindavan Road, BCH</t>
        </is>
      </c>
    </row>
    <row r="30">
      <c r="A30" s="16" t="inlineStr">
        <is>
          <t>29 Jun</t>
        </is>
      </c>
      <c r="B30" s="16" t="inlineStr">
        <is>
          <t>30382</t>
        </is>
      </c>
      <c r="C30" s="16" t="inlineStr">
        <is>
          <t>OS</t>
        </is>
      </c>
      <c r="D30" s="16" t="inlineStr">
        <is>
          <t>SR</t>
        </is>
      </c>
      <c r="E30" s="16" t="inlineStr">
        <is>
          <t>11:19:08</t>
        </is>
      </c>
      <c r="F30" s="16" t="inlineStr">
        <is>
          <t>11:19:08</t>
        </is>
      </c>
      <c r="G30" s="16" t="n">
        <v>0</v>
      </c>
      <c r="H30" s="16" t="n">
        <v>1</v>
      </c>
      <c r="I30" s="31" t="n">
        <v>1453.37</v>
      </c>
      <c r="J30" s="16" t="inlineStr">
        <is>
          <t>LC555</t>
        </is>
      </c>
      <c r="K30" s="16" t="inlineStr">
        <is>
          <t>N</t>
        </is>
      </c>
      <c r="L30" s="16" t="inlineStr">
        <is>
          <t>Valid</t>
        </is>
      </c>
      <c r="M30" s="16" t="inlineStr">
        <is>
          <t>LC563, LC562, LC561, LC559, LC557, LC556, LC555, LC553, LC551, LC545, Chhata, LC540, Ajhai, LC535, Vrindavan Road, BCH</t>
        </is>
      </c>
    </row>
    <row r="31">
      <c r="A31" s="16" t="inlineStr">
        <is>
          <t>29 Jun</t>
        </is>
      </c>
      <c r="B31" s="16" t="inlineStr">
        <is>
          <t>30599</t>
        </is>
      </c>
      <c r="C31" s="16" t="inlineStr">
        <is>
          <t>FS</t>
        </is>
      </c>
      <c r="D31" s="16" t="inlineStr">
        <is>
          <t>SR</t>
        </is>
      </c>
      <c r="E31" s="16" t="inlineStr">
        <is>
          <t>12:42:34</t>
        </is>
      </c>
      <c r="F31" s="16" t="inlineStr">
        <is>
          <t>12:43:58</t>
        </is>
      </c>
      <c r="G31" s="16" t="n">
        <v>84</v>
      </c>
      <c r="H31" s="16" t="n">
        <v>60</v>
      </c>
      <c r="I31" s="31" t="n">
        <v>1406.54</v>
      </c>
      <c r="J31" s="16" t="inlineStr">
        <is>
          <t>Vrindavan Road</t>
        </is>
      </c>
      <c r="K31" s="16" t="inlineStr">
        <is>
          <t>N</t>
        </is>
      </c>
      <c r="L31" s="16" t="inlineStr">
        <is>
          <t>Valid</t>
        </is>
      </c>
      <c r="M31" s="16" t="inlineStr">
        <is>
          <t>LC563, LC562, LC561, LC559, LC557, LC556, LC555, LC553, LC551, LC545, Chhata, LC540, Ajhai, LC535, Vrindavan Road, BCH</t>
        </is>
      </c>
    </row>
    <row r="32">
      <c r="A32" s="16" t="inlineStr">
        <is>
          <t>29 Jun</t>
        </is>
      </c>
      <c r="B32" s="16" t="inlineStr">
        <is>
          <t>37465</t>
        </is>
      </c>
      <c r="C32" s="16" t="inlineStr">
        <is>
          <t>FS</t>
        </is>
      </c>
      <c r="D32" s="16" t="inlineStr">
        <is>
          <t>SR</t>
        </is>
      </c>
      <c r="E32" s="16" t="inlineStr">
        <is>
          <t>14:21:54</t>
        </is>
      </c>
      <c r="F32" s="16" t="inlineStr">
        <is>
          <t>14:21:54</t>
        </is>
      </c>
      <c r="G32" s="16" t="n">
        <v>0</v>
      </c>
      <c r="H32" s="16" t="n">
        <v>1</v>
      </c>
      <c r="I32" s="31" t="n">
        <v>1401.89</v>
      </c>
      <c r="J32" s="16" t="inlineStr">
        <is>
          <t>Vrindavan Road</t>
        </is>
      </c>
      <c r="K32" s="16" t="inlineStr">
        <is>
          <t>R</t>
        </is>
      </c>
      <c r="L32" s="16" t="inlineStr">
        <is>
          <t>Valid</t>
        </is>
      </c>
      <c r="M32" s="16" t="inlineStr">
        <is>
          <t>LC563, LC562, LC561, LC559, LC557, LC556, LC555, LC553, LC551, LC545, Chhata, LC540, Ajhai, LC535, Vrindavan Road, BCH</t>
        </is>
      </c>
    </row>
    <row r="33">
      <c r="A33" s="16" t="inlineStr">
        <is>
          <t>29 Jun</t>
        </is>
      </c>
      <c r="B33" s="16" t="inlineStr">
        <is>
          <t>30608</t>
        </is>
      </c>
      <c r="C33" s="16" t="inlineStr">
        <is>
          <t>FS</t>
        </is>
      </c>
      <c r="D33" s="16" t="inlineStr">
        <is>
          <t>LS</t>
        </is>
      </c>
      <c r="E33" s="16" t="inlineStr">
        <is>
          <t>15:13:16</t>
        </is>
      </c>
      <c r="F33" s="16" t="inlineStr">
        <is>
          <t>15:13:32</t>
        </is>
      </c>
      <c r="G33" s="16" t="n">
        <v>16</v>
      </c>
      <c r="H33" s="16" t="n">
        <v>9</v>
      </c>
      <c r="I33" s="31" t="n">
        <v>1452.22</v>
      </c>
      <c r="J33" s="16" t="inlineStr">
        <is>
          <t>Hodal</t>
        </is>
      </c>
      <c r="K33" s="16" t="inlineStr">
        <is>
          <t>R</t>
        </is>
      </c>
      <c r="L33" s="16" t="inlineStr">
        <is>
          <t>Valid</t>
        </is>
      </c>
      <c r="M33" s="16" t="inlineStr">
        <is>
          <t>LC563, LC562, LC561, LC559, LC557, LC556, LC555, LC553, LC551, LC545, Chhata, LC540, Ajhai, LC535, Vrindavan Road, BCH</t>
        </is>
      </c>
    </row>
    <row r="34">
      <c r="A34" s="16" t="inlineStr">
        <is>
          <t>29 Jun</t>
        </is>
      </c>
      <c r="B34" s="16" t="inlineStr">
        <is>
          <t>37454</t>
        </is>
      </c>
      <c r="C34" s="16" t="inlineStr">
        <is>
          <t>FS</t>
        </is>
      </c>
      <c r="D34" s="16" t="inlineStr">
        <is>
          <t>SR</t>
        </is>
      </c>
      <c r="E34" s="16" t="inlineStr">
        <is>
          <t>15:27:24</t>
        </is>
      </c>
      <c r="F34" s="16" t="inlineStr">
        <is>
          <t>15:27:24</t>
        </is>
      </c>
      <c r="G34" s="16" t="n">
        <v>0</v>
      </c>
      <c r="H34" s="16" t="n">
        <v>1</v>
      </c>
      <c r="I34" s="31" t="n">
        <v>1401.89</v>
      </c>
      <c r="J34" s="16" t="inlineStr">
        <is>
          <t>Vrindavan Road</t>
        </is>
      </c>
      <c r="K34" s="16" t="inlineStr">
        <is>
          <t>R</t>
        </is>
      </c>
      <c r="L34" s="16" t="inlineStr">
        <is>
          <t>Valid</t>
        </is>
      </c>
      <c r="M34" s="16" t="inlineStr">
        <is>
          <t>LC563, LC562, LC561, LC559, LC557, LC556, LC555, LC553, LC551, LC545, Chhata, LC540, Ajhai, LC535, Vrindavan Road, BCH</t>
        </is>
      </c>
    </row>
    <row r="35">
      <c r="A35" s="16" t="inlineStr">
        <is>
          <t>29 Jun</t>
        </is>
      </c>
      <c r="B35" s="16" t="inlineStr">
        <is>
          <t>37454</t>
        </is>
      </c>
      <c r="C35" s="16" t="inlineStr">
        <is>
          <t>FS</t>
        </is>
      </c>
      <c r="D35" s="16" t="inlineStr">
        <is>
          <t>SR</t>
        </is>
      </c>
      <c r="E35" s="16" t="inlineStr">
        <is>
          <t>15:27:26</t>
        </is>
      </c>
      <c r="F35" s="16" t="inlineStr">
        <is>
          <t>15:28:20</t>
        </is>
      </c>
      <c r="G35" s="16" t="n">
        <v>54</v>
      </c>
      <c r="H35" s="16" t="n">
        <v>49</v>
      </c>
      <c r="I35" s="31" t="n">
        <v>1401.88</v>
      </c>
      <c r="J35" s="16" t="inlineStr">
        <is>
          <t>Vrindavan Road</t>
        </is>
      </c>
      <c r="K35" s="16" t="inlineStr">
        <is>
          <t>R</t>
        </is>
      </c>
      <c r="L35" s="16" t="inlineStr">
        <is>
          <t>Valid</t>
        </is>
      </c>
      <c r="M35" s="16" t="inlineStr">
        <is>
          <t>LC563, LC562, LC561, LC559, LC557, LC556, LC555, LC553, LC551, LC545, Chhata, LC540, Ajhai, LC535, Vrindavan Road, BCH</t>
        </is>
      </c>
    </row>
    <row r="36">
      <c r="A36" s="16" t="inlineStr">
        <is>
          <t>29 Jun</t>
        </is>
      </c>
      <c r="B36" s="16" t="inlineStr">
        <is>
          <t>39358</t>
        </is>
      </c>
      <c r="C36" s="16" t="inlineStr">
        <is>
          <t>StandBy</t>
        </is>
      </c>
      <c r="D36" s="16" t="inlineStr">
        <is>
          <t>SR</t>
        </is>
      </c>
      <c r="E36" s="16" t="inlineStr">
        <is>
          <t>16:57:04</t>
        </is>
      </c>
      <c r="F36" s="16" t="inlineStr">
        <is>
          <t>16:57:16</t>
        </is>
      </c>
      <c r="G36" s="16" t="n">
        <v>12</v>
      </c>
      <c r="H36" s="16" t="n">
        <v>8</v>
      </c>
      <c r="I36" s="31" t="n">
        <v>1401.69</v>
      </c>
      <c r="J36" s="16" t="inlineStr">
        <is>
          <t>Vrindavan Road</t>
        </is>
      </c>
      <c r="K36" s="16" t="inlineStr">
        <is>
          <t>U</t>
        </is>
      </c>
      <c r="L36" s="16" t="inlineStr">
        <is>
          <t>Valid</t>
        </is>
      </c>
      <c r="M36" s="16" t="inlineStr">
        <is>
          <t>LC563, LC562, LC561, LC559, LC557, LC556, LC555, LC553, LC551, LC545, Chhata, LC540, Ajhai, LC535, Vrindavan Road, BCH</t>
        </is>
      </c>
    </row>
    <row r="37">
      <c r="A37" s="16" t="inlineStr">
        <is>
          <t>29 Jun</t>
        </is>
      </c>
      <c r="B37" s="16" t="inlineStr">
        <is>
          <t>37052</t>
        </is>
      </c>
      <c r="C37" s="16" t="inlineStr">
        <is>
          <t>OS</t>
        </is>
      </c>
      <c r="D37" s="16" t="inlineStr">
        <is>
          <t>SR</t>
        </is>
      </c>
      <c r="E37" s="16" t="inlineStr">
        <is>
          <t>17:25:44</t>
        </is>
      </c>
      <c r="F37" s="16" t="inlineStr">
        <is>
          <t>17:25:48</t>
        </is>
      </c>
      <c r="G37" s="16" t="n">
        <v>4</v>
      </c>
      <c r="H37" s="16" t="n">
        <v>3</v>
      </c>
      <c r="I37" s="31" t="n">
        <v>1478.28</v>
      </c>
      <c r="J37" s="16" t="inlineStr">
        <is>
          <t>LC563</t>
        </is>
      </c>
      <c r="K37" s="16" t="inlineStr">
        <is>
          <t>R</t>
        </is>
      </c>
      <c r="L37" s="16" t="inlineStr">
        <is>
          <t>Valid</t>
        </is>
      </c>
      <c r="M37" s="16" t="inlineStr">
        <is>
          <t>LC563, LC562, LC561, LC559, LC557, LC556, LC555, LC553, LC551, LC545, Chhata, LC540, Ajhai, LC535, Vrindavan Road, BCH</t>
        </is>
      </c>
    </row>
    <row r="38">
      <c r="A38" s="16" t="inlineStr">
        <is>
          <t>29 Jun</t>
        </is>
      </c>
      <c r="B38" s="16" t="inlineStr">
        <is>
          <t>37052</t>
        </is>
      </c>
      <c r="C38" s="16" t="inlineStr">
        <is>
          <t>OS</t>
        </is>
      </c>
      <c r="D38" s="16" t="inlineStr">
        <is>
          <t>SR</t>
        </is>
      </c>
      <c r="E38" s="16" t="inlineStr">
        <is>
          <t>17:26:04</t>
        </is>
      </c>
      <c r="F38" s="16" t="inlineStr">
        <is>
          <t>17:26:16</t>
        </is>
      </c>
      <c r="G38" s="16" t="n">
        <v>12</v>
      </c>
      <c r="H38" s="16" t="n">
        <v>6</v>
      </c>
      <c r="I38" s="31" t="n">
        <v>1477.59</v>
      </c>
      <c r="J38" s="16" t="inlineStr">
        <is>
          <t>LC563</t>
        </is>
      </c>
      <c r="K38" s="16" t="inlineStr">
        <is>
          <t>R</t>
        </is>
      </c>
      <c r="L38" s="16" t="inlineStr">
        <is>
          <t>Valid</t>
        </is>
      </c>
      <c r="M38" s="16" t="inlineStr">
        <is>
          <t>LC563, LC562, LC561, LC559, LC557, LC556, LC555, LC553, LC551, LC545, Chhata, LC540, Ajhai, LC535, Vrindavan Road, BCH</t>
        </is>
      </c>
    </row>
    <row r="39">
      <c r="A39" s="16" t="inlineStr">
        <is>
          <t>29 Jun</t>
        </is>
      </c>
      <c r="B39" s="16" t="inlineStr">
        <is>
          <t>37052</t>
        </is>
      </c>
      <c r="C39" s="16" t="inlineStr">
        <is>
          <t>FS</t>
        </is>
      </c>
      <c r="D39" s="16" t="inlineStr">
        <is>
          <t>LS</t>
        </is>
      </c>
      <c r="E39" s="16" t="inlineStr">
        <is>
          <t>17:26:32</t>
        </is>
      </c>
      <c r="F39" s="16" t="inlineStr">
        <is>
          <t>17:26:48</t>
        </is>
      </c>
      <c r="G39" s="16" t="n">
        <v>16</v>
      </c>
      <c r="H39" s="16" t="n">
        <v>7</v>
      </c>
      <c r="I39" s="31" t="n">
        <v>1476.59</v>
      </c>
      <c r="J39" s="16" t="inlineStr">
        <is>
          <t>LC563</t>
        </is>
      </c>
      <c r="K39" s="16" t="inlineStr">
        <is>
          <t>R</t>
        </is>
      </c>
      <c r="L39" s="16" t="inlineStr">
        <is>
          <t>Valid</t>
        </is>
      </c>
      <c r="M39" s="16" t="inlineStr">
        <is>
          <t>LC563, LC562, LC561, LC559, LC557, LC556, LC555, LC553, LC551, LC545, Chhata, LC540, Ajhai, LC535, Vrindavan Road, BCH</t>
        </is>
      </c>
    </row>
    <row r="40">
      <c r="A40" s="16" t="inlineStr">
        <is>
          <t>29 Jun</t>
        </is>
      </c>
      <c r="B40" s="16" t="inlineStr">
        <is>
          <t>37052</t>
        </is>
      </c>
      <c r="C40" s="16" t="inlineStr">
        <is>
          <t>OS</t>
        </is>
      </c>
      <c r="D40" s="16" t="inlineStr">
        <is>
          <t>SR</t>
        </is>
      </c>
      <c r="E40" s="16" t="inlineStr">
        <is>
          <t>17:27:24</t>
        </is>
      </c>
      <c r="F40" s="16" t="inlineStr">
        <is>
          <t>17:27:36</t>
        </is>
      </c>
      <c r="G40" s="16" t="n">
        <v>12</v>
      </c>
      <c r="H40" s="16" t="n">
        <v>7</v>
      </c>
      <c r="I40" s="31" t="n">
        <v>1474.72</v>
      </c>
      <c r="J40" s="16" t="inlineStr">
        <is>
          <t>LC563</t>
        </is>
      </c>
      <c r="K40" s="16" t="inlineStr">
        <is>
          <t>R</t>
        </is>
      </c>
      <c r="L40" s="16" t="inlineStr">
        <is>
          <t>Valid</t>
        </is>
      </c>
      <c r="M40" s="16" t="inlineStr">
        <is>
          <t>LC563, LC562, LC561, LC559, LC557, LC556, LC555, LC553, LC551, LC545, Chhata, LC540, Ajhai, LC535, Vrindavan Road, BCH</t>
        </is>
      </c>
    </row>
    <row r="41">
      <c r="A41" s="16" t="inlineStr">
        <is>
          <t>29 Jun</t>
        </is>
      </c>
      <c r="B41" s="16" t="inlineStr">
        <is>
          <t>39282</t>
        </is>
      </c>
      <c r="C41" s="16" t="inlineStr">
        <is>
          <t>FS</t>
        </is>
      </c>
      <c r="D41" s="16" t="inlineStr">
        <is>
          <t>LS</t>
        </is>
      </c>
      <c r="E41" s="16" t="inlineStr">
        <is>
          <t>17:50:48</t>
        </is>
      </c>
      <c r="F41" s="16" t="inlineStr">
        <is>
          <t>17:51:00</t>
        </is>
      </c>
      <c r="G41" s="16" t="n">
        <v>12</v>
      </c>
      <c r="H41" s="16" t="n">
        <v>7</v>
      </c>
      <c r="I41" s="31" t="n">
        <v>1426.15</v>
      </c>
      <c r="J41" s="16" t="inlineStr">
        <is>
          <t>Chhata</t>
        </is>
      </c>
      <c r="K41" s="16" t="inlineStr">
        <is>
          <t>N</t>
        </is>
      </c>
      <c r="L41" s="16" t="inlineStr">
        <is>
          <t>Valid</t>
        </is>
      </c>
      <c r="M41" s="16" t="inlineStr">
        <is>
          <t>LC563, LC562, LC561, LC559, LC557, LC556, LC555, LC553, LC551, LC545, Chhata, LC540, Ajhai, LC535, Vrindavan Road, BCH</t>
        </is>
      </c>
    </row>
    <row r="42">
      <c r="A42" s="16" t="inlineStr">
        <is>
          <t>29 Jun</t>
        </is>
      </c>
      <c r="B42" s="16" t="inlineStr">
        <is>
          <t>37052</t>
        </is>
      </c>
      <c r="C42" s="16" t="inlineStr">
        <is>
          <t>FS</t>
        </is>
      </c>
      <c r="D42" s="16" t="inlineStr">
        <is>
          <t>LS</t>
        </is>
      </c>
      <c r="E42" s="16" t="inlineStr">
        <is>
          <t>17:51:28</t>
        </is>
      </c>
      <c r="F42" s="16" t="inlineStr">
        <is>
          <t>17:51:44</t>
        </is>
      </c>
      <c r="G42" s="16" t="n">
        <v>16</v>
      </c>
      <c r="H42" s="16" t="n">
        <v>7</v>
      </c>
      <c r="I42" s="31" t="n">
        <v>1424.93</v>
      </c>
      <c r="J42" s="16" t="inlineStr">
        <is>
          <t>LC540</t>
        </is>
      </c>
      <c r="K42" s="16" t="inlineStr">
        <is>
          <t>R</t>
        </is>
      </c>
      <c r="L42" s="16" t="inlineStr">
        <is>
          <t>Valid</t>
        </is>
      </c>
      <c r="M42" s="16" t="inlineStr">
        <is>
          <t>LC563, LC562, LC561, LC559, LC557, LC556, LC555, LC553, LC551, LC545, Chhata, LC540, Ajhai, LC535, Vrindavan Road, BCH</t>
        </is>
      </c>
    </row>
    <row r="43">
      <c r="A43" s="16" t="inlineStr">
        <is>
          <t>29 Jun</t>
        </is>
      </c>
      <c r="B43" s="16" t="inlineStr">
        <is>
          <t>37746</t>
        </is>
      </c>
      <c r="C43" s="16" t="inlineStr">
        <is>
          <t>FS</t>
        </is>
      </c>
      <c r="D43" s="16" t="inlineStr">
        <is>
          <t>LS</t>
        </is>
      </c>
      <c r="E43" s="16" t="inlineStr">
        <is>
          <t>17:53:42</t>
        </is>
      </c>
      <c r="F43" s="16" t="inlineStr">
        <is>
          <t>17:53:58</t>
        </is>
      </c>
      <c r="G43" s="16" t="n">
        <v>16</v>
      </c>
      <c r="H43" s="16" t="n">
        <v>11</v>
      </c>
      <c r="I43" s="31" t="n">
        <v>1469.5</v>
      </c>
      <c r="J43" s="16" t="inlineStr">
        <is>
          <t>Rundhi</t>
        </is>
      </c>
      <c r="K43" s="16" t="inlineStr">
        <is>
          <t>R</t>
        </is>
      </c>
      <c r="L43" s="16" t="inlineStr">
        <is>
          <t>Valid</t>
        </is>
      </c>
      <c r="M43" s="16" t="inlineStr">
        <is>
          <t>LC563, LC562, LC561, LC559, LC557, LC556, LC555, LC553, LC551, LC545, Chhata, LC540, Ajhai, LC535, Vrindavan Road, BCH</t>
        </is>
      </c>
    </row>
    <row r="44">
      <c r="A44" s="16" t="inlineStr">
        <is>
          <t>29 Jun</t>
        </is>
      </c>
      <c r="B44" s="16" t="inlineStr">
        <is>
          <t>37052</t>
        </is>
      </c>
      <c r="C44" s="16" t="inlineStr">
        <is>
          <t>FS</t>
        </is>
      </c>
      <c r="D44" s="16" t="inlineStr">
        <is>
          <t>LS</t>
        </is>
      </c>
      <c r="E44" s="16" t="inlineStr">
        <is>
          <t>17:58:24</t>
        </is>
      </c>
      <c r="F44" s="16" t="inlineStr">
        <is>
          <t>17:58:28</t>
        </is>
      </c>
      <c r="G44" s="16" t="n">
        <v>4</v>
      </c>
      <c r="H44" s="16" t="n">
        <v>2</v>
      </c>
      <c r="I44" s="31" t="n">
        <v>1410.18</v>
      </c>
      <c r="J44" s="16" t="inlineStr">
        <is>
          <t>Vrindavan Road</t>
        </is>
      </c>
      <c r="K44" s="16" t="inlineStr">
        <is>
          <t>R</t>
        </is>
      </c>
      <c r="L44" s="16" t="inlineStr">
        <is>
          <t>Valid</t>
        </is>
      </c>
      <c r="M44" s="16" t="inlineStr">
        <is>
          <t>LC563, LC562, LC561, LC559, LC557, LC556, LC555, LC553, LC551, LC545, Chhata, LC540, Ajhai, LC535, Vrindavan Road, BCH</t>
        </is>
      </c>
    </row>
    <row r="45">
      <c r="A45" s="16" t="inlineStr">
        <is>
          <t>29 Jun</t>
        </is>
      </c>
      <c r="B45" s="16" t="inlineStr">
        <is>
          <t>37052</t>
        </is>
      </c>
      <c r="C45" s="16" t="inlineStr">
        <is>
          <t>FS</t>
        </is>
      </c>
      <c r="D45" s="16" t="inlineStr">
        <is>
          <t>LS</t>
        </is>
      </c>
      <c r="E45" s="16" t="inlineStr">
        <is>
          <t>18:05:20</t>
        </is>
      </c>
      <c r="F45" s="16" t="inlineStr">
        <is>
          <t>18:05:32</t>
        </is>
      </c>
      <c r="G45" s="16" t="n">
        <v>12</v>
      </c>
      <c r="H45" s="16" t="n">
        <v>7</v>
      </c>
      <c r="I45" s="31" t="n">
        <v>1402.44</v>
      </c>
      <c r="J45" s="16" t="inlineStr">
        <is>
          <t>Vrindavan Road</t>
        </is>
      </c>
      <c r="K45" s="16" t="inlineStr">
        <is>
          <t>R</t>
        </is>
      </c>
      <c r="L45" s="16" t="inlineStr">
        <is>
          <t>Valid</t>
        </is>
      </c>
      <c r="M45" s="16" t="inlineStr">
        <is>
          <t>LC563, LC562, LC561, LC559, LC557, LC556, LC555, LC553, LC551, LC545, Chhata, LC540, Ajhai, LC535, Vrindavan Road, BCH</t>
        </is>
      </c>
    </row>
    <row r="46">
      <c r="A46" s="16" t="inlineStr">
        <is>
          <t>29 Jun</t>
        </is>
      </c>
      <c r="B46" s="16" t="inlineStr">
        <is>
          <t>37052</t>
        </is>
      </c>
      <c r="C46" s="16" t="inlineStr">
        <is>
          <t>OS</t>
        </is>
      </c>
      <c r="D46" s="16" t="inlineStr">
        <is>
          <t>SR</t>
        </is>
      </c>
      <c r="E46" s="16" t="inlineStr">
        <is>
          <t>18:06:04</t>
        </is>
      </c>
      <c r="F46" s="16" t="inlineStr">
        <is>
          <t>18:06:16</t>
        </is>
      </c>
      <c r="G46" s="16" t="n">
        <v>12</v>
      </c>
      <c r="H46" s="16" t="n">
        <v>6</v>
      </c>
      <c r="I46" s="31" t="n">
        <v>1402.21</v>
      </c>
      <c r="J46" s="16" t="inlineStr">
        <is>
          <t>Vrindavan Road</t>
        </is>
      </c>
      <c r="K46" s="16" t="inlineStr">
        <is>
          <t>R</t>
        </is>
      </c>
      <c r="L46" s="16" t="inlineStr">
        <is>
          <t>Valid</t>
        </is>
      </c>
      <c r="M46" s="16" t="inlineStr">
        <is>
          <t>LC563, LC562, LC561, LC559, LC557, LC556, LC555, LC553, LC551, LC545, Chhata, LC540, Ajhai, LC535, Vrindavan Road, BCH</t>
        </is>
      </c>
    </row>
    <row r="47">
      <c r="A47" s="16" t="inlineStr">
        <is>
          <t>29 Jun</t>
        </is>
      </c>
      <c r="B47" s="16" t="inlineStr">
        <is>
          <t>37052</t>
        </is>
      </c>
      <c r="C47" s="16" t="inlineStr">
        <is>
          <t>OS</t>
        </is>
      </c>
      <c r="D47" s="16" t="inlineStr">
        <is>
          <t>SR</t>
        </is>
      </c>
      <c r="E47" s="16" t="inlineStr">
        <is>
          <t>18:07:04</t>
        </is>
      </c>
      <c r="F47" s="16" t="inlineStr">
        <is>
          <t>18:07:52</t>
        </is>
      </c>
      <c r="G47" s="16" t="n">
        <v>48</v>
      </c>
      <c r="H47" s="16" t="n">
        <v>13</v>
      </c>
      <c r="I47" s="31" t="n">
        <v>1401.88</v>
      </c>
      <c r="J47" s="16" t="inlineStr">
        <is>
          <t>Vrindavan Road</t>
        </is>
      </c>
      <c r="K47" s="16" t="inlineStr">
        <is>
          <t>R</t>
        </is>
      </c>
      <c r="L47" s="16" t="inlineStr">
        <is>
          <t>Valid</t>
        </is>
      </c>
      <c r="M47" s="16" t="inlineStr">
        <is>
          <t>LC563, LC562, LC561, LC559, LC557, LC556, LC555, LC553, LC551, LC545, Chhata, LC540, Ajhai, LC535, Vrindavan Road, BCH</t>
        </is>
      </c>
    </row>
    <row r="48">
      <c r="A48" s="16" t="inlineStr">
        <is>
          <t>29 Jun</t>
        </is>
      </c>
      <c r="B48" s="16" t="inlineStr">
        <is>
          <t>39282</t>
        </is>
      </c>
      <c r="C48" s="16" t="inlineStr">
        <is>
          <t>FS</t>
        </is>
      </c>
      <c r="D48" s="16" t="inlineStr">
        <is>
          <t>LS</t>
        </is>
      </c>
      <c r="E48" s="16" t="inlineStr">
        <is>
          <t>18:09:06</t>
        </is>
      </c>
      <c r="F48" s="16" t="inlineStr">
        <is>
          <t>18:09:46</t>
        </is>
      </c>
      <c r="G48" s="16" t="n">
        <v>40</v>
      </c>
      <c r="H48" s="16" t="n">
        <v>21</v>
      </c>
      <c r="I48" s="31" t="n">
        <v>1457.61</v>
      </c>
      <c r="J48" s="16" t="inlineStr">
        <is>
          <t>Sholaka</t>
        </is>
      </c>
      <c r="K48" s="16" t="inlineStr">
        <is>
          <t>N</t>
        </is>
      </c>
      <c r="L48" s="16" t="inlineStr">
        <is>
          <t>Valid</t>
        </is>
      </c>
      <c r="M48" s="16" t="inlineStr">
        <is>
          <t>LC563, LC562, LC561, LC559, LC557, LC556, LC555, LC553, LC551, LC545, Chhata, LC540, Ajhai, LC535, Vrindavan Road, BCH</t>
        </is>
      </c>
    </row>
    <row r="49">
      <c r="A49" s="16" t="inlineStr">
        <is>
          <t>29 Jun</t>
        </is>
      </c>
      <c r="B49" s="16" t="inlineStr">
        <is>
          <t>39282</t>
        </is>
      </c>
      <c r="C49" s="16" t="inlineStr">
        <is>
          <t>FS</t>
        </is>
      </c>
      <c r="D49" s="16" t="inlineStr">
        <is>
          <t>LS</t>
        </is>
      </c>
      <c r="E49" s="16" t="inlineStr">
        <is>
          <t>18:17:20</t>
        </is>
      </c>
      <c r="F49" s="16" t="inlineStr">
        <is>
          <t>18:17:24</t>
        </is>
      </c>
      <c r="G49" s="16" t="n">
        <v>4</v>
      </c>
      <c r="H49" s="16" t="n">
        <v>4</v>
      </c>
      <c r="I49" s="31" t="n">
        <v>1473.41</v>
      </c>
      <c r="J49" s="16" t="inlineStr">
        <is>
          <t>Rundhi</t>
        </is>
      </c>
      <c r="K49" s="16" t="inlineStr">
        <is>
          <t>N</t>
        </is>
      </c>
      <c r="L49" s="16" t="inlineStr">
        <is>
          <t>Valid</t>
        </is>
      </c>
      <c r="M49" s="16" t="inlineStr">
        <is>
          <t>LC563, LC562, LC561, LC559, LC557, LC556, LC555, LC553, LC551, LC545, Chhata, LC540, Ajhai, LC535, Vrindavan Road, BCH</t>
        </is>
      </c>
    </row>
    <row r="50">
      <c r="A50" s="16" t="inlineStr">
        <is>
          <t>29 Jun</t>
        </is>
      </c>
      <c r="B50" s="16" t="inlineStr">
        <is>
          <t>39371</t>
        </is>
      </c>
      <c r="C50" s="16" t="inlineStr">
        <is>
          <t>FS</t>
        </is>
      </c>
      <c r="D50" s="16" t="inlineStr">
        <is>
          <t>LS</t>
        </is>
      </c>
      <c r="E50" s="16" t="inlineStr">
        <is>
          <t>18:42:26</t>
        </is>
      </c>
      <c r="F50" s="16" t="inlineStr">
        <is>
          <t>18:43:54</t>
        </is>
      </c>
      <c r="G50" s="16" t="n">
        <v>88</v>
      </c>
      <c r="H50" s="16" t="n">
        <v>46</v>
      </c>
      <c r="I50" s="31" t="n">
        <v>1434.54</v>
      </c>
      <c r="J50" s="16" t="inlineStr">
        <is>
          <t>LC545</t>
        </is>
      </c>
      <c r="K50" s="16" t="inlineStr">
        <is>
          <t>R</t>
        </is>
      </c>
      <c r="L50" s="16" t="inlineStr">
        <is>
          <t>Valid</t>
        </is>
      </c>
      <c r="M50" s="16" t="inlineStr">
        <is>
          <t>LC563, LC562, LC561, LC559, LC557, LC556, LC555, LC553, LC551, LC545, Chhata, LC540, Ajhai, LC535, Vrindavan Road, BCH</t>
        </is>
      </c>
    </row>
    <row r="51">
      <c r="A51" s="16" t="inlineStr">
        <is>
          <t>29 Jun</t>
        </is>
      </c>
      <c r="B51" s="16" t="inlineStr">
        <is>
          <t>39371</t>
        </is>
      </c>
      <c r="C51" s="16" t="inlineStr">
        <is>
          <t>LS</t>
        </is>
      </c>
      <c r="D51" s="16" t="inlineStr">
        <is>
          <t>SR</t>
        </is>
      </c>
      <c r="E51" s="16" t="inlineStr">
        <is>
          <t>18:43:56</t>
        </is>
      </c>
      <c r="F51" s="16" t="inlineStr">
        <is>
          <t>18:45:08</t>
        </is>
      </c>
      <c r="G51" s="16" t="n">
        <v>72</v>
      </c>
      <c r="H51" s="16" t="n">
        <v>38</v>
      </c>
      <c r="I51" s="31" t="n">
        <v>1431.61</v>
      </c>
      <c r="J51" s="16" t="inlineStr">
        <is>
          <t>LC545</t>
        </is>
      </c>
      <c r="K51" s="16" t="inlineStr">
        <is>
          <t>R</t>
        </is>
      </c>
      <c r="L51" s="16" t="inlineStr">
        <is>
          <t>Valid</t>
        </is>
      </c>
      <c r="M51" s="16" t="inlineStr">
        <is>
          <t>LC563, LC562, LC561, LC559, LC557, LC556, LC555, LC553, LC551, LC545, Chhata, LC540, Ajhai, LC535, Vrindavan Road, BCH</t>
        </is>
      </c>
    </row>
    <row r="52">
      <c r="A52" s="16" t="inlineStr">
        <is>
          <t>29 Jun</t>
        </is>
      </c>
      <c r="B52" s="16" t="inlineStr">
        <is>
          <t>39371</t>
        </is>
      </c>
      <c r="C52" s="16" t="inlineStr">
        <is>
          <t>OS</t>
        </is>
      </c>
      <c r="D52" s="16" t="inlineStr">
        <is>
          <t>SR</t>
        </is>
      </c>
      <c r="E52" s="16" t="inlineStr">
        <is>
          <t>18:45:10</t>
        </is>
      </c>
      <c r="F52" s="16" t="inlineStr">
        <is>
          <t>18:45:10</t>
        </is>
      </c>
      <c r="G52" s="16" t="n">
        <v>0</v>
      </c>
      <c r="H52" s="16" t="n">
        <v>1</v>
      </c>
      <c r="I52" s="31" t="n">
        <v>1429.08</v>
      </c>
      <c r="J52" s="16" t="inlineStr">
        <is>
          <t>Chhata</t>
        </is>
      </c>
      <c r="K52" s="16" t="inlineStr">
        <is>
          <t>R</t>
        </is>
      </c>
      <c r="L52" s="16" t="inlineStr">
        <is>
          <t>Valid</t>
        </is>
      </c>
      <c r="M52" s="16" t="inlineStr">
        <is>
          <t>LC563, LC562, LC561, LC559, LC557, LC556, LC555, LC553, LC551, LC545, Chhata, LC540, Ajhai, LC535, Vrindavan Road, BCH</t>
        </is>
      </c>
    </row>
    <row r="53">
      <c r="A53" s="16" t="inlineStr">
        <is>
          <t>29 Jun</t>
        </is>
      </c>
      <c r="B53" s="16" t="inlineStr">
        <is>
          <t>37091</t>
        </is>
      </c>
      <c r="C53" s="16" t="inlineStr">
        <is>
          <t>FS</t>
        </is>
      </c>
      <c r="D53" s="16" t="inlineStr">
        <is>
          <t>SR</t>
        </is>
      </c>
      <c r="E53" s="16" t="inlineStr">
        <is>
          <t>19:00:10</t>
        </is>
      </c>
      <c r="F53" s="16" t="inlineStr">
        <is>
          <t>19:00:10</t>
        </is>
      </c>
      <c r="G53" s="16" t="n">
        <v>0</v>
      </c>
      <c r="H53" s="16" t="n">
        <v>1</v>
      </c>
      <c r="I53" s="31" t="n">
        <v>1477.27</v>
      </c>
      <c r="J53" s="16" t="inlineStr">
        <is>
          <t>LC563</t>
        </is>
      </c>
      <c r="K53" s="16" t="inlineStr">
        <is>
          <t>N</t>
        </is>
      </c>
      <c r="L53" s="16" t="inlineStr">
        <is>
          <t>Valid</t>
        </is>
      </c>
      <c r="M53" s="16" t="inlineStr">
        <is>
          <t>LC563, LC562, LC561, LC559, LC557, LC556, LC555, LC553, LC551, LC545, Chhata, LC540, Ajhai, LC535, Vrindavan Road, BCH</t>
        </is>
      </c>
    </row>
    <row r="54">
      <c r="A54" s="16" t="inlineStr">
        <is>
          <t>29 Jun</t>
        </is>
      </c>
      <c r="B54" s="16" t="inlineStr">
        <is>
          <t>37091</t>
        </is>
      </c>
      <c r="C54" s="16" t="inlineStr">
        <is>
          <t>FS</t>
        </is>
      </c>
      <c r="D54" s="16" t="inlineStr">
        <is>
          <t>SR</t>
        </is>
      </c>
      <c r="E54" s="16" t="inlineStr">
        <is>
          <t>19:00:12</t>
        </is>
      </c>
      <c r="F54" s="16" t="inlineStr">
        <is>
          <t>19:00:14</t>
        </is>
      </c>
      <c r="G54" s="16" t="n">
        <v>2</v>
      </c>
      <c r="H54" s="16" t="n">
        <v>4</v>
      </c>
      <c r="I54" s="31" t="n">
        <v>1477.34</v>
      </c>
      <c r="J54" s="16" t="inlineStr">
        <is>
          <t>LC563</t>
        </is>
      </c>
      <c r="K54" s="16" t="inlineStr">
        <is>
          <t>N</t>
        </is>
      </c>
      <c r="L54" s="16" t="inlineStr">
        <is>
          <t>Valid</t>
        </is>
      </c>
      <c r="M54" s="16" t="inlineStr">
        <is>
          <t>LC563, LC562, LC561, LC559, LC557, LC556, LC555, LC553, LC551, LC545, Chhata, LC540, Ajhai, LC535, Vrindavan Road, BCH</t>
        </is>
      </c>
    </row>
    <row r="55">
      <c r="A55" s="16" t="inlineStr">
        <is>
          <t>29 Jun</t>
        </is>
      </c>
      <c r="B55" s="16" t="inlineStr">
        <is>
          <t>37091</t>
        </is>
      </c>
      <c r="C55" s="16" t="inlineStr">
        <is>
          <t>OS</t>
        </is>
      </c>
      <c r="D55" s="16" t="inlineStr">
        <is>
          <t>SR</t>
        </is>
      </c>
      <c r="E55" s="16" t="inlineStr">
        <is>
          <t>19:00:16</t>
        </is>
      </c>
      <c r="F55" s="16" t="inlineStr">
        <is>
          <t>19:00:16</t>
        </is>
      </c>
      <c r="G55" s="16" t="n">
        <v>0</v>
      </c>
      <c r="H55" s="16" t="n">
        <v>1</v>
      </c>
      <c r="I55" s="31" t="n">
        <v>1477.43</v>
      </c>
      <c r="J55" s="16" t="inlineStr">
        <is>
          <t>LC563</t>
        </is>
      </c>
      <c r="K55" s="16" t="inlineStr">
        <is>
          <t>N</t>
        </is>
      </c>
      <c r="L55" s="16" t="inlineStr">
        <is>
          <t>Valid</t>
        </is>
      </c>
      <c r="M55" s="16" t="inlineStr">
        <is>
          <t>LC563, LC562, LC561, LC559, LC557, LC556, LC555, LC553, LC551, LC545, Chhata, LC540, Ajhai, LC535, Vrindavan Road, BCH</t>
        </is>
      </c>
    </row>
    <row r="56">
      <c r="A56" s="16" t="inlineStr">
        <is>
          <t>29 Jun</t>
        </is>
      </c>
      <c r="B56" s="16" t="inlineStr">
        <is>
          <t>39371</t>
        </is>
      </c>
      <c r="C56" s="16" t="inlineStr">
        <is>
          <t>FS</t>
        </is>
      </c>
      <c r="D56" s="16" t="inlineStr">
        <is>
          <t>SR</t>
        </is>
      </c>
      <c r="E56" s="16" t="inlineStr">
        <is>
          <t>19:06:26</t>
        </is>
      </c>
      <c r="F56" s="16" t="inlineStr">
        <is>
          <t>19:07:20</t>
        </is>
      </c>
      <c r="G56" s="16" t="n">
        <v>54</v>
      </c>
      <c r="H56" s="16" t="n">
        <v>37</v>
      </c>
      <c r="I56" s="31" t="n">
        <v>1401.88</v>
      </c>
      <c r="J56" s="16" t="inlineStr">
        <is>
          <t>Vrindavan Road</t>
        </is>
      </c>
      <c r="K56" s="16" t="inlineStr">
        <is>
          <t>R</t>
        </is>
      </c>
      <c r="L56" s="16" t="inlineStr">
        <is>
          <t>Valid</t>
        </is>
      </c>
      <c r="M56" s="16" t="inlineStr">
        <is>
          <t>LC563, LC562, LC561, LC559, LC557, LC556, LC555, LC553, LC551, LC545, Chhata, LC540, Ajhai, LC535, Vrindavan Road, BCH</t>
        </is>
      </c>
    </row>
    <row r="57">
      <c r="A57" s="16" t="inlineStr">
        <is>
          <t>29 Jun</t>
        </is>
      </c>
      <c r="B57" s="16" t="inlineStr">
        <is>
          <t>37839</t>
        </is>
      </c>
      <c r="C57" s="16" t="inlineStr">
        <is>
          <t>FS</t>
        </is>
      </c>
      <c r="D57" s="16" t="inlineStr">
        <is>
          <t>SR</t>
        </is>
      </c>
      <c r="E57" s="16" t="inlineStr">
        <is>
          <t>19:13:54</t>
        </is>
      </c>
      <c r="F57" s="16" t="inlineStr">
        <is>
          <t>19:13:54</t>
        </is>
      </c>
      <c r="G57" s="16" t="n">
        <v>0</v>
      </c>
      <c r="H57" s="16" t="n">
        <v>1</v>
      </c>
      <c r="I57" s="31" t="n">
        <v>1401.89</v>
      </c>
      <c r="J57" s="16" t="inlineStr">
        <is>
          <t>Vrindavan Road</t>
        </is>
      </c>
      <c r="K57" s="16" t="inlineStr">
        <is>
          <t>R</t>
        </is>
      </c>
      <c r="L57" s="16" t="inlineStr">
        <is>
          <t>Valid</t>
        </is>
      </c>
      <c r="M57" s="16" t="inlineStr">
        <is>
          <t>LC563, LC562, LC561, LC559, LC557, LC556, LC555, LC553, LC551, LC545, Chhata, LC540, Ajhai, LC535, Vrindavan Road, BCH</t>
        </is>
      </c>
    </row>
    <row r="58">
      <c r="A58" s="16" t="inlineStr">
        <is>
          <t>29 Jun</t>
        </is>
      </c>
      <c r="B58" s="16" t="inlineStr">
        <is>
          <t>39521</t>
        </is>
      </c>
      <c r="C58" s="16" t="inlineStr">
        <is>
          <t>FS</t>
        </is>
      </c>
      <c r="D58" s="16" t="inlineStr">
        <is>
          <t>SR</t>
        </is>
      </c>
      <c r="E58" s="16" t="inlineStr">
        <is>
          <t>19:21:40</t>
        </is>
      </c>
      <c r="F58" s="16" t="inlineStr">
        <is>
          <t>19:21:40</t>
        </is>
      </c>
      <c r="G58" s="16" t="n">
        <v>0</v>
      </c>
      <c r="H58" s="16" t="n">
        <v>1</v>
      </c>
      <c r="I58" s="31" t="n">
        <v>1401.89</v>
      </c>
      <c r="J58" s="16" t="inlineStr">
        <is>
          <t>Vrindavan Road</t>
        </is>
      </c>
      <c r="K58" s="16" t="inlineStr">
        <is>
          <t>R</t>
        </is>
      </c>
      <c r="L58" s="16" t="inlineStr">
        <is>
          <t>Valid</t>
        </is>
      </c>
      <c r="M58" s="16" t="inlineStr">
        <is>
          <t>LC563, LC562, LC561, LC559, LC557, LC556, LC555, LC553, LC551, LC545, Chhata, LC540, Ajhai, LC535, Vrindavan Road, BCH</t>
        </is>
      </c>
    </row>
    <row r="59">
      <c r="A59" s="16" t="inlineStr">
        <is>
          <t>29 Jun</t>
        </is>
      </c>
      <c r="B59" s="16" t="inlineStr">
        <is>
          <t>39521</t>
        </is>
      </c>
      <c r="C59" s="16" t="inlineStr">
        <is>
          <t>FS</t>
        </is>
      </c>
      <c r="D59" s="16" t="inlineStr">
        <is>
          <t>SR</t>
        </is>
      </c>
      <c r="E59" s="16" t="inlineStr">
        <is>
          <t>19:21:42</t>
        </is>
      </c>
      <c r="F59" s="16" t="inlineStr">
        <is>
          <t>19:22:44</t>
        </is>
      </c>
      <c r="G59" s="16" t="n">
        <v>62</v>
      </c>
      <c r="H59" s="16" t="n">
        <v>42</v>
      </c>
      <c r="I59" s="31" t="n">
        <v>1401.88</v>
      </c>
      <c r="J59" s="16" t="inlineStr">
        <is>
          <t>Vrindavan Road</t>
        </is>
      </c>
      <c r="K59" s="16" t="inlineStr">
        <is>
          <t>R</t>
        </is>
      </c>
      <c r="L59" s="16" t="inlineStr">
        <is>
          <t>Valid</t>
        </is>
      </c>
      <c r="M59" s="16" t="inlineStr">
        <is>
          <t>LC563, LC562, LC561, LC559, LC557, LC556, LC555, LC553, LC551, LC545, Chhata, LC540, Ajhai, LC535, Vrindavan Road, BCH</t>
        </is>
      </c>
    </row>
    <row r="60">
      <c r="A60" s="16" t="inlineStr">
        <is>
          <t>29 Jun</t>
        </is>
      </c>
      <c r="B60" s="16" t="inlineStr">
        <is>
          <t>30599</t>
        </is>
      </c>
      <c r="C60" s="16" t="inlineStr">
        <is>
          <t>FS</t>
        </is>
      </c>
      <c r="D60" s="16" t="inlineStr">
        <is>
          <t>SR</t>
        </is>
      </c>
      <c r="E60" s="16" t="inlineStr">
        <is>
          <t>21:09:14</t>
        </is>
      </c>
      <c r="F60" s="16" t="inlineStr">
        <is>
          <t>21:09:14</t>
        </is>
      </c>
      <c r="G60" s="16" t="n">
        <v>0</v>
      </c>
      <c r="H60" s="16" t="n">
        <v>1</v>
      </c>
      <c r="I60" s="31" t="n">
        <v>1401.89</v>
      </c>
      <c r="J60" s="16" t="inlineStr">
        <is>
          <t>Vrindavan Road</t>
        </is>
      </c>
      <c r="K60" s="16" t="inlineStr">
        <is>
          <t>R</t>
        </is>
      </c>
      <c r="L60" s="16" t="inlineStr">
        <is>
          <t>Valid</t>
        </is>
      </c>
      <c r="M60" s="16" t="inlineStr">
        <is>
          <t>LC563, LC562, LC561, LC559, LC557, LC556, LC555, LC553, LC551, LC545, Chhata, LC540, Ajhai, LC535, Vrindavan Road, BCH</t>
        </is>
      </c>
    </row>
    <row r="61">
      <c r="A61" s="16" t="inlineStr">
        <is>
          <t>29 Jun</t>
        </is>
      </c>
      <c r="B61" s="16" t="inlineStr">
        <is>
          <t>30599</t>
        </is>
      </c>
      <c r="C61" s="16" t="inlineStr">
        <is>
          <t>FS</t>
        </is>
      </c>
      <c r="D61" s="16" t="inlineStr">
        <is>
          <t>SR</t>
        </is>
      </c>
      <c r="E61" s="16" t="inlineStr">
        <is>
          <t>21:09:16</t>
        </is>
      </c>
      <c r="F61" s="16" t="inlineStr">
        <is>
          <t>21:10:24</t>
        </is>
      </c>
      <c r="G61" s="16" t="n">
        <v>68</v>
      </c>
      <c r="H61" s="16" t="n">
        <v>54</v>
      </c>
      <c r="I61" s="31" t="n">
        <v>1401.88</v>
      </c>
      <c r="J61" s="16" t="inlineStr">
        <is>
          <t>Vrindavan Road</t>
        </is>
      </c>
      <c r="K61" s="16" t="inlineStr">
        <is>
          <t>R</t>
        </is>
      </c>
      <c r="L61" s="16" t="inlineStr">
        <is>
          <t>Valid</t>
        </is>
      </c>
      <c r="M61" s="16" t="inlineStr">
        <is>
          <t>LC563, LC562, LC561, LC559, LC557, LC556, LC555, LC553, LC551, LC545, Chhata, LC540, Ajhai, LC535, Vrindavan Road, BCH</t>
        </is>
      </c>
    </row>
    <row r="62">
      <c r="A62" s="16" t="inlineStr">
        <is>
          <t>29 Jun</t>
        </is>
      </c>
      <c r="B62" s="16" t="inlineStr">
        <is>
          <t>39421</t>
        </is>
      </c>
      <c r="C62" s="16" t="inlineStr">
        <is>
          <t>FS</t>
        </is>
      </c>
      <c r="D62" s="16" t="inlineStr">
        <is>
          <t>LS</t>
        </is>
      </c>
      <c r="E62" s="16" t="inlineStr">
        <is>
          <t>21:13:22</t>
        </is>
      </c>
      <c r="F62" s="16" t="inlineStr">
        <is>
          <t>21:13:32</t>
        </is>
      </c>
      <c r="G62" s="16" t="n">
        <v>10</v>
      </c>
      <c r="H62" s="16" t="n">
        <v>6</v>
      </c>
      <c r="I62" s="31" t="n">
        <v>1404.23</v>
      </c>
      <c r="J62" s="16" t="inlineStr">
        <is>
          <t>Vrindavan Road</t>
        </is>
      </c>
      <c r="K62" s="16" t="inlineStr">
        <is>
          <t>R</t>
        </is>
      </c>
      <c r="L62" s="16" t="inlineStr">
        <is>
          <t>Valid</t>
        </is>
      </c>
      <c r="M62" s="16" t="inlineStr">
        <is>
          <t>LC563, LC562, LC561, LC559, LC557, LC556, LC555, LC553, LC551, LC545, Chhata, LC540, Ajhai, LC535, Vrindavan Road, BCH</t>
        </is>
      </c>
    </row>
    <row r="63">
      <c r="A63" s="16" t="inlineStr">
        <is>
          <t>29 Jun</t>
        </is>
      </c>
      <c r="B63" s="16" t="inlineStr">
        <is>
          <t>39421</t>
        </is>
      </c>
      <c r="C63" s="16" t="inlineStr">
        <is>
          <t>FS</t>
        </is>
      </c>
      <c r="D63" s="16" t="inlineStr">
        <is>
          <t>LS</t>
        </is>
      </c>
      <c r="E63" s="16" t="inlineStr">
        <is>
          <t>21:19:06</t>
        </is>
      </c>
      <c r="F63" s="16" t="inlineStr">
        <is>
          <t>21:19:06</t>
        </is>
      </c>
      <c r="G63" s="16" t="n">
        <v>0</v>
      </c>
      <c r="H63" s="16" t="n">
        <v>1</v>
      </c>
      <c r="I63" s="31" t="n">
        <v>1401.8</v>
      </c>
      <c r="J63" s="16" t="inlineStr">
        <is>
          <t>Vrindavan Road</t>
        </is>
      </c>
      <c r="K63" s="16" t="inlineStr">
        <is>
          <t>R</t>
        </is>
      </c>
      <c r="L63" s="16" t="inlineStr">
        <is>
          <t>Valid</t>
        </is>
      </c>
      <c r="M63" s="16" t="inlineStr">
        <is>
          <t>LC563, LC562, LC561, LC559, LC557, LC556, LC555, LC553, LC551, LC545, Chhata, LC540, Ajhai, LC535, Vrindavan Road, BCH</t>
        </is>
      </c>
    </row>
    <row r="64">
      <c r="A64" s="16" t="inlineStr">
        <is>
          <t>29 Jun</t>
        </is>
      </c>
      <c r="B64" s="16" t="inlineStr">
        <is>
          <t>39421</t>
        </is>
      </c>
      <c r="C64" s="16" t="inlineStr">
        <is>
          <t>FS</t>
        </is>
      </c>
      <c r="D64" s="16" t="inlineStr">
        <is>
          <t>SR</t>
        </is>
      </c>
      <c r="E64" s="16" t="inlineStr">
        <is>
          <t>21:19:12</t>
        </is>
      </c>
      <c r="F64" s="16" t="inlineStr">
        <is>
          <t>21:19:42</t>
        </is>
      </c>
      <c r="G64" s="16" t="n">
        <v>30</v>
      </c>
      <c r="H64" s="16" t="n">
        <v>14</v>
      </c>
      <c r="I64" s="31" t="n">
        <v>1401.74</v>
      </c>
      <c r="J64" s="16" t="inlineStr">
        <is>
          <t>Vrindavan Road</t>
        </is>
      </c>
      <c r="K64" s="16" t="inlineStr">
        <is>
          <t>R</t>
        </is>
      </c>
      <c r="L64" s="16" t="inlineStr">
        <is>
          <t>Valid</t>
        </is>
      </c>
      <c r="M64" s="16" t="inlineStr">
        <is>
          <t>LC563, LC562, LC561, LC559, LC557, LC556, LC555, LC553, LC551, LC545, Chhata, LC540, Ajhai, LC535, Vrindavan Road, BCH</t>
        </is>
      </c>
    </row>
    <row r="65">
      <c r="A65" s="16" t="inlineStr">
        <is>
          <t>29 Jun</t>
        </is>
      </c>
      <c r="B65" s="16" t="inlineStr">
        <is>
          <t>37647</t>
        </is>
      </c>
      <c r="C65" s="16" t="inlineStr">
        <is>
          <t>FS</t>
        </is>
      </c>
      <c r="D65" s="16" t="inlineStr">
        <is>
          <t>SR</t>
        </is>
      </c>
      <c r="E65" s="16" t="inlineStr">
        <is>
          <t>21:26:48</t>
        </is>
      </c>
      <c r="F65" s="16" t="inlineStr">
        <is>
          <t>21:26:48</t>
        </is>
      </c>
      <c r="G65" s="16" t="n">
        <v>0</v>
      </c>
      <c r="H65" s="16" t="n">
        <v>1</v>
      </c>
      <c r="I65" s="31" t="n">
        <v>1401.89</v>
      </c>
      <c r="J65" s="16" t="inlineStr">
        <is>
          <t>Vrindavan Road</t>
        </is>
      </c>
      <c r="K65" s="16" t="inlineStr">
        <is>
          <t>R</t>
        </is>
      </c>
      <c r="L65" s="16" t="inlineStr">
        <is>
          <t>Valid</t>
        </is>
      </c>
      <c r="M65" s="16" t="inlineStr">
        <is>
          <t>LC563, LC562, LC561, LC559, LC557, LC556, LC555, LC553, LC551, LC545, Chhata, LC540, Ajhai, LC535, Vrindavan Road, BCH</t>
        </is>
      </c>
    </row>
    <row r="66">
      <c r="A66" s="16" t="inlineStr">
        <is>
          <t>29 Jun</t>
        </is>
      </c>
      <c r="B66" s="16" t="inlineStr">
        <is>
          <t>37647</t>
        </is>
      </c>
      <c r="C66" s="16" t="inlineStr">
        <is>
          <t>FS</t>
        </is>
      </c>
      <c r="D66" s="16" t="inlineStr">
        <is>
          <t>SR</t>
        </is>
      </c>
      <c r="E66" s="16" t="inlineStr">
        <is>
          <t>21:26:50</t>
        </is>
      </c>
      <c r="F66" s="16" t="inlineStr">
        <is>
          <t>21:27:44</t>
        </is>
      </c>
      <c r="G66" s="16" t="n">
        <v>54</v>
      </c>
      <c r="H66" s="16" t="n">
        <v>40</v>
      </c>
      <c r="I66" s="31" t="n">
        <v>1401.88</v>
      </c>
      <c r="J66" s="16" t="inlineStr">
        <is>
          <t>Vrindavan Road</t>
        </is>
      </c>
      <c r="K66" s="16" t="inlineStr">
        <is>
          <t>R</t>
        </is>
      </c>
      <c r="L66" s="16" t="inlineStr">
        <is>
          <t>Valid</t>
        </is>
      </c>
      <c r="M66" s="16" t="inlineStr">
        <is>
          <t>LC563, LC562, LC561, LC559, LC557, LC556, LC555, LC553, LC551, LC545, Chhata, LC540, Ajhai, LC535, Vrindavan Road, BCH</t>
        </is>
      </c>
    </row>
    <row r="67">
      <c r="A67" s="16" t="inlineStr">
        <is>
          <t>29 Jun</t>
        </is>
      </c>
      <c r="B67" s="16" t="inlineStr">
        <is>
          <t>30396</t>
        </is>
      </c>
      <c r="C67" s="16" t="inlineStr">
        <is>
          <t>FS</t>
        </is>
      </c>
      <c r="D67" s="16" t="inlineStr">
        <is>
          <t>LS</t>
        </is>
      </c>
      <c r="E67" s="16" t="inlineStr">
        <is>
          <t>22:27:42</t>
        </is>
      </c>
      <c r="F67" s="16" t="inlineStr">
        <is>
          <t>22:27:50</t>
        </is>
      </c>
      <c r="G67" s="16" t="n">
        <v>8</v>
      </c>
      <c r="H67" s="16" t="n">
        <v>6</v>
      </c>
      <c r="I67" s="31" t="n">
        <v>1464.86</v>
      </c>
      <c r="J67" s="16" t="inlineStr">
        <is>
          <t>LC560</t>
        </is>
      </c>
      <c r="K67" s="16" t="inlineStr">
        <is>
          <t>N</t>
        </is>
      </c>
      <c r="L67" s="16" t="inlineStr">
        <is>
          <t>Valid</t>
        </is>
      </c>
      <c r="M67" s="16" t="inlineStr">
        <is>
          <t>LC563, LC562, LC561, LC559, LC557, LC556, LC555, LC553, LC551, LC545, Chhata, LC540, Ajhai, LC535, Vrindavan Road, BCH</t>
        </is>
      </c>
    </row>
    <row r="68">
      <c r="A68" s="16" t="inlineStr">
        <is>
          <t>29 Jun</t>
        </is>
      </c>
      <c r="B68" s="16" t="inlineStr">
        <is>
          <t>37514</t>
        </is>
      </c>
      <c r="C68" s="16" t="inlineStr">
        <is>
          <t>FS</t>
        </is>
      </c>
      <c r="D68" s="16" t="inlineStr">
        <is>
          <t>SR</t>
        </is>
      </c>
      <c r="E68" s="16" t="inlineStr">
        <is>
          <t>22:47:06</t>
        </is>
      </c>
      <c r="F68" s="16" t="inlineStr">
        <is>
          <t>22:47:06</t>
        </is>
      </c>
      <c r="G68" s="16" t="n">
        <v>0</v>
      </c>
      <c r="H68" s="16" t="n">
        <v>1</v>
      </c>
      <c r="I68" s="31" t="n">
        <v>1401.89</v>
      </c>
      <c r="J68" s="16" t="inlineStr">
        <is>
          <t>Vrindavan Road</t>
        </is>
      </c>
      <c r="K68" s="16" t="inlineStr">
        <is>
          <t>R</t>
        </is>
      </c>
      <c r="L68" s="16" t="inlineStr">
        <is>
          <t>Valid</t>
        </is>
      </c>
      <c r="M68" s="16" t="inlineStr">
        <is>
          <t>LC563, LC562, LC561, LC559, LC557, LC556, LC555, LC553, LC551, LC545, Chhata, LC540, Ajhai, LC535, Vrindavan Road, BCH</t>
        </is>
      </c>
    </row>
    <row r="69">
      <c r="A69" s="16" t="inlineStr">
        <is>
          <t>29 Jun</t>
        </is>
      </c>
      <c r="B69" s="16" t="inlineStr">
        <is>
          <t>37514</t>
        </is>
      </c>
      <c r="C69" s="16" t="inlineStr">
        <is>
          <t>FS</t>
        </is>
      </c>
      <c r="D69" s="16" t="inlineStr">
        <is>
          <t>SR</t>
        </is>
      </c>
      <c r="E69" s="16" t="inlineStr">
        <is>
          <t>22:47:08</t>
        </is>
      </c>
      <c r="F69" s="16" t="inlineStr">
        <is>
          <t>22:47:56</t>
        </is>
      </c>
      <c r="G69" s="16" t="n">
        <v>48</v>
      </c>
      <c r="H69" s="16" t="n">
        <v>37</v>
      </c>
      <c r="I69" s="31" t="n">
        <v>1401.88</v>
      </c>
      <c r="J69" s="16" t="inlineStr">
        <is>
          <t>Vrindavan Road</t>
        </is>
      </c>
      <c r="K69" s="16" t="inlineStr">
        <is>
          <t>R</t>
        </is>
      </c>
      <c r="L69" s="16" t="inlineStr">
        <is>
          <t>Valid</t>
        </is>
      </c>
      <c r="M69" s="16" t="inlineStr">
        <is>
          <t>LC563, LC562, LC561, LC559, LC557, LC556, LC555, LC553, LC551, LC545, Chhata, LC540, Ajhai, LC535, Vrindavan Road, BCH</t>
        </is>
      </c>
    </row>
    <row r="70">
      <c r="A70" s="16" t="inlineStr">
        <is>
          <t>29 Jun</t>
        </is>
      </c>
      <c r="B70" s="16" t="inlineStr">
        <is>
          <t>30343</t>
        </is>
      </c>
      <c r="C70" s="16" t="inlineStr">
        <is>
          <t>FS</t>
        </is>
      </c>
      <c r="D70" s="16" t="inlineStr">
        <is>
          <t>SR</t>
        </is>
      </c>
      <c r="E70" s="16" t="inlineStr">
        <is>
          <t>23:21:20</t>
        </is>
      </c>
      <c r="F70" s="16" t="inlineStr">
        <is>
          <t>23:22:04</t>
        </is>
      </c>
      <c r="G70" s="16" t="n">
        <v>44</v>
      </c>
      <c r="H70" s="16" t="n">
        <v>36</v>
      </c>
      <c r="I70" s="31" t="n">
        <v>1401.89</v>
      </c>
      <c r="J70" s="16" t="inlineStr">
        <is>
          <t>Vrindavan Road</t>
        </is>
      </c>
      <c r="K70" s="16" t="inlineStr">
        <is>
          <t>R</t>
        </is>
      </c>
      <c r="L70" s="16" t="inlineStr">
        <is>
          <t>Valid</t>
        </is>
      </c>
      <c r="M70" s="16" t="inlineStr">
        <is>
          <t>LC563, LC562, LC561, LC559, LC557, LC556, LC555, LC553, LC551, LC545, Chhata, LC540, Ajhai, LC535, Vrindavan Road, BCH</t>
        </is>
      </c>
    </row>
    <row r="71">
      <c r="A71" s="16" t="inlineStr">
        <is>
          <t>29 Jun</t>
        </is>
      </c>
      <c r="B71" s="16" t="inlineStr">
        <is>
          <t>30429</t>
        </is>
      </c>
      <c r="C71" s="16" t="inlineStr">
        <is>
          <t>FS</t>
        </is>
      </c>
      <c r="D71" s="16" t="inlineStr">
        <is>
          <t>SR</t>
        </is>
      </c>
      <c r="E71" s="16" t="inlineStr">
        <is>
          <t>23:31:24</t>
        </is>
      </c>
      <c r="F71" s="16" t="inlineStr">
        <is>
          <t>23:31:24</t>
        </is>
      </c>
      <c r="G71" s="16" t="n">
        <v>0</v>
      </c>
      <c r="H71" s="16" t="n">
        <v>1</v>
      </c>
      <c r="I71" s="31" t="n">
        <v>1401.89</v>
      </c>
      <c r="J71" s="16" t="inlineStr">
        <is>
          <t>Vrindavan Road</t>
        </is>
      </c>
      <c r="K71" s="16" t="inlineStr">
        <is>
          <t>R</t>
        </is>
      </c>
      <c r="L71" s="16" t="inlineStr">
        <is>
          <t>Valid</t>
        </is>
      </c>
      <c r="M71" s="16" t="inlineStr">
        <is>
          <t>LC563, LC562, LC561, LC559, LC557, LC556, LC555, LC553, LC551, LC545, Chhata, LC540, Ajhai, LC535, Vrindavan Road, BCH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33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</row>
    <row r="5">
      <c r="A5" s="16" t="inlineStr">
        <is>
          <t>29 Jun</t>
        </is>
      </c>
      <c r="B5" s="16" t="inlineStr">
        <is>
          <t>30599</t>
        </is>
      </c>
      <c r="C5" s="16" t="n">
        <v>5927</v>
      </c>
      <c r="D5" s="16" t="n">
        <v>5927</v>
      </c>
      <c r="E5" s="16" t="n">
        <v>5249</v>
      </c>
      <c r="F5" s="34" t="n">
        <v>1384987</v>
      </c>
      <c r="G5" s="34" t="n">
        <v>1498569</v>
      </c>
      <c r="H5" s="34" t="n">
        <v>1401556</v>
      </c>
      <c r="I5" s="34" t="n">
        <v>1479434</v>
      </c>
      <c r="J5" s="19">
        <f>(I5-H5)/1000</f>
        <v/>
      </c>
      <c r="K5" s="16" t="inlineStr">
        <is>
          <t>Yes</t>
        </is>
      </c>
    </row>
    <row r="6">
      <c r="A6" s="16" t="inlineStr">
        <is>
          <t>29 Jun</t>
        </is>
      </c>
      <c r="B6" s="16" t="inlineStr">
        <is>
          <t>39421</t>
        </is>
      </c>
      <c r="C6" s="16" t="n">
        <v>2425</v>
      </c>
      <c r="D6" s="16" t="n">
        <v>2425</v>
      </c>
      <c r="E6" s="16" t="n">
        <v>2192</v>
      </c>
      <c r="F6" s="34" t="n">
        <v>1401491</v>
      </c>
      <c r="G6" s="34" t="n">
        <v>1499150</v>
      </c>
      <c r="H6" s="34" t="n">
        <v>1401555</v>
      </c>
      <c r="I6" s="34" t="n">
        <v>1479432</v>
      </c>
      <c r="J6" s="19">
        <f>(I6-H6)/1000</f>
        <v/>
      </c>
      <c r="K6" s="16" t="inlineStr">
        <is>
          <t>Yes</t>
        </is>
      </c>
    </row>
    <row r="7">
      <c r="A7" s="16" t="inlineStr">
        <is>
          <t>29 Jun</t>
        </is>
      </c>
      <c r="B7" s="16" t="inlineStr">
        <is>
          <t>37053</t>
        </is>
      </c>
      <c r="C7" s="16" t="n">
        <v>4130</v>
      </c>
      <c r="D7" s="16" t="n">
        <v>4130</v>
      </c>
      <c r="E7" s="16" t="n">
        <v>2619</v>
      </c>
      <c r="F7" s="34" t="n">
        <v>1358292</v>
      </c>
      <c r="G7" s="34" t="n">
        <v>1516623</v>
      </c>
      <c r="H7" s="34" t="n">
        <v>1401556</v>
      </c>
      <c r="I7" s="34" t="n">
        <v>1479426</v>
      </c>
      <c r="J7" s="19">
        <f>(I7-H7)/1000</f>
        <v/>
      </c>
      <c r="K7" s="16" t="inlineStr">
        <is>
          <t>Yes</t>
        </is>
      </c>
    </row>
    <row r="8">
      <c r="A8" s="16" t="inlineStr">
        <is>
          <t>29 Jun</t>
        </is>
      </c>
      <c r="B8" s="16" t="inlineStr">
        <is>
          <t>39521</t>
        </is>
      </c>
      <c r="C8" s="16" t="n">
        <v>6345</v>
      </c>
      <c r="D8" s="16" t="n">
        <v>6344</v>
      </c>
      <c r="E8" s="16" t="n">
        <v>5450</v>
      </c>
      <c r="F8" s="34" t="n">
        <v>1195774</v>
      </c>
      <c r="G8" s="34" t="n">
        <v>1508553</v>
      </c>
      <c r="H8" s="34" t="n">
        <v>1401560</v>
      </c>
      <c r="I8" s="34" t="n">
        <v>1479432</v>
      </c>
      <c r="J8" s="19">
        <f>(I8-H8)/1000</f>
        <v/>
      </c>
      <c r="K8" s="16" t="inlineStr">
        <is>
          <t>Yes</t>
        </is>
      </c>
    </row>
    <row r="9">
      <c r="A9" s="16" t="inlineStr">
        <is>
          <t>29 Jun</t>
        </is>
      </c>
      <c r="B9" s="16" t="inlineStr">
        <is>
          <t>30002</t>
        </is>
      </c>
      <c r="C9" s="16" t="n">
        <v>2673</v>
      </c>
      <c r="D9" s="16" t="n">
        <v>2673</v>
      </c>
      <c r="E9" s="16" t="n">
        <v>2473</v>
      </c>
      <c r="F9" s="34" t="n">
        <v>1401336</v>
      </c>
      <c r="G9" s="34" t="n">
        <v>1498887</v>
      </c>
      <c r="H9" s="34" t="n">
        <v>1401561</v>
      </c>
      <c r="I9" s="34" t="n">
        <v>1479420</v>
      </c>
      <c r="J9" s="19">
        <f>(I9-H9)/1000</f>
        <v/>
      </c>
      <c r="K9" s="16" t="inlineStr">
        <is>
          <t>Yes</t>
        </is>
      </c>
    </row>
    <row r="10">
      <c r="A10" s="16" t="inlineStr">
        <is>
          <t>29 Jun</t>
        </is>
      </c>
      <c r="B10" s="16" t="inlineStr">
        <is>
          <t>30343</t>
        </is>
      </c>
      <c r="C10" s="16" t="n">
        <v>3454</v>
      </c>
      <c r="D10" s="16" t="n">
        <v>3444</v>
      </c>
      <c r="E10" s="16" t="n">
        <v>3077</v>
      </c>
      <c r="F10" s="34" t="n">
        <v>1401454</v>
      </c>
      <c r="G10" s="34" t="n">
        <v>1499382</v>
      </c>
      <c r="H10" s="34" t="n">
        <v>1401569</v>
      </c>
      <c r="I10" s="34" t="n">
        <v>1479431</v>
      </c>
      <c r="J10" s="19">
        <f>(I10-H10)/1000</f>
        <v/>
      </c>
      <c r="K10" s="16" t="inlineStr">
        <is>
          <t>Yes</t>
        </is>
      </c>
    </row>
    <row r="11">
      <c r="A11" s="16" t="inlineStr">
        <is>
          <t>29 Jun</t>
        </is>
      </c>
      <c r="B11" s="16" t="inlineStr">
        <is>
          <t>30394</t>
        </is>
      </c>
      <c r="C11" s="16" t="n">
        <v>1575</v>
      </c>
      <c r="D11" s="16" t="n">
        <v>1575</v>
      </c>
      <c r="E11" s="16" t="n">
        <v>1302</v>
      </c>
      <c r="F11" s="34" t="n">
        <v>1401348</v>
      </c>
      <c r="G11" s="34" t="n">
        <v>1509160</v>
      </c>
      <c r="H11" s="34" t="n">
        <v>1401560</v>
      </c>
      <c r="I11" s="34" t="n">
        <v>1479421</v>
      </c>
      <c r="J11" s="19">
        <f>(I11-H11)/1000</f>
        <v/>
      </c>
      <c r="K11" s="16" t="inlineStr">
        <is>
          <t>Yes</t>
        </is>
      </c>
    </row>
    <row r="12">
      <c r="A12" s="16" t="inlineStr">
        <is>
          <t>29 Jun</t>
        </is>
      </c>
      <c r="B12" s="16" t="inlineStr">
        <is>
          <t>30429</t>
        </is>
      </c>
      <c r="C12" s="16" t="n">
        <v>6732</v>
      </c>
      <c r="D12" s="16" t="n">
        <v>6698</v>
      </c>
      <c r="E12" s="16" t="n">
        <v>5326</v>
      </c>
      <c r="F12" s="34" t="n">
        <v>1193962</v>
      </c>
      <c r="G12" s="34" t="n">
        <v>1516178</v>
      </c>
      <c r="H12" s="34" t="n">
        <v>1401555</v>
      </c>
      <c r="I12" s="34" t="n">
        <v>1479410</v>
      </c>
      <c r="J12" s="19">
        <f>(I12-H12)/1000</f>
        <v/>
      </c>
      <c r="K12" s="16" t="inlineStr">
        <is>
          <t>Yes</t>
        </is>
      </c>
    </row>
    <row r="13">
      <c r="A13" s="16" t="inlineStr">
        <is>
          <t>29 Jun</t>
        </is>
      </c>
      <c r="B13" s="16" t="inlineStr">
        <is>
          <t>37266</t>
        </is>
      </c>
      <c r="C13" s="16" t="n">
        <v>3010</v>
      </c>
      <c r="D13" s="16" t="n">
        <v>2996</v>
      </c>
      <c r="E13" s="16" t="n">
        <v>2408</v>
      </c>
      <c r="F13" s="34" t="n">
        <v>1196099</v>
      </c>
      <c r="G13" s="34" t="n">
        <v>1508608</v>
      </c>
      <c r="H13" s="34" t="n">
        <v>1401568</v>
      </c>
      <c r="I13" s="34" t="n">
        <v>1479427</v>
      </c>
      <c r="J13" s="19">
        <f>(I13-H13)/1000</f>
        <v/>
      </c>
      <c r="K13" s="16" t="inlineStr">
        <is>
          <t>Yes</t>
        </is>
      </c>
    </row>
    <row r="14">
      <c r="A14" s="16" t="inlineStr">
        <is>
          <t>29 Jun</t>
        </is>
      </c>
      <c r="B14" s="16" t="inlineStr">
        <is>
          <t>37397</t>
        </is>
      </c>
      <c r="C14" s="16" t="n">
        <v>3283</v>
      </c>
      <c r="D14" s="16" t="n">
        <v>3234</v>
      </c>
      <c r="E14" s="16" t="n">
        <v>2338</v>
      </c>
      <c r="F14" s="34" t="n">
        <v>1193374</v>
      </c>
      <c r="G14" s="34" t="n">
        <v>1512639</v>
      </c>
      <c r="H14" s="34" t="n">
        <v>1401554</v>
      </c>
      <c r="I14" s="34" t="n">
        <v>1479416</v>
      </c>
      <c r="J14" s="19">
        <f>(I14-H14)/1000</f>
        <v/>
      </c>
      <c r="K14" s="16" t="inlineStr">
        <is>
          <t>Yes</t>
        </is>
      </c>
    </row>
    <row r="15">
      <c r="A15" s="16" t="inlineStr">
        <is>
          <t>29 Jun</t>
        </is>
      </c>
      <c r="B15" s="16" t="inlineStr">
        <is>
          <t>37454</t>
        </is>
      </c>
      <c r="C15" s="16" t="n">
        <v>5680</v>
      </c>
      <c r="D15" s="16" t="n">
        <v>5670</v>
      </c>
      <c r="E15" s="16" t="n">
        <v>5184</v>
      </c>
      <c r="F15" s="34" t="n">
        <v>1401324</v>
      </c>
      <c r="G15" s="34" t="n">
        <v>1500648</v>
      </c>
      <c r="H15" s="34" t="n">
        <v>1401567</v>
      </c>
      <c r="I15" s="34" t="n">
        <v>1479423</v>
      </c>
      <c r="J15" s="19">
        <f>(I15-H15)/1000</f>
        <v/>
      </c>
      <c r="K15" s="16" t="inlineStr">
        <is>
          <t>Yes</t>
        </is>
      </c>
    </row>
    <row r="16">
      <c r="A16" s="16" t="inlineStr">
        <is>
          <t>29 Jun</t>
        </is>
      </c>
      <c r="B16" s="16" t="inlineStr">
        <is>
          <t>37465</t>
        </is>
      </c>
      <c r="C16" s="16" t="n">
        <v>3565</v>
      </c>
      <c r="D16" s="16" t="n">
        <v>3560</v>
      </c>
      <c r="E16" s="16" t="n">
        <v>3079</v>
      </c>
      <c r="F16" s="34" t="n">
        <v>1210066</v>
      </c>
      <c r="G16" s="34" t="n">
        <v>1504011</v>
      </c>
      <c r="H16" s="34" t="n">
        <v>1401554</v>
      </c>
      <c r="I16" s="34" t="n">
        <v>1479413</v>
      </c>
      <c r="J16" s="19">
        <f>(I16-H16)/1000</f>
        <v/>
      </c>
      <c r="K16" s="16" t="inlineStr">
        <is>
          <t>Yes</t>
        </is>
      </c>
    </row>
    <row r="17">
      <c r="A17" s="16" t="inlineStr">
        <is>
          <t>29 Jun</t>
        </is>
      </c>
      <c r="B17" s="16" t="inlineStr">
        <is>
          <t>37746</t>
        </is>
      </c>
      <c r="C17" s="16" t="n">
        <v>2873</v>
      </c>
      <c r="D17" s="16" t="n">
        <v>2849</v>
      </c>
      <c r="E17" s="16" t="n">
        <v>2260</v>
      </c>
      <c r="F17" s="34" t="n">
        <v>1191466</v>
      </c>
      <c r="G17" s="34" t="n">
        <v>1496950</v>
      </c>
      <c r="H17" s="34" t="n">
        <v>1401557</v>
      </c>
      <c r="I17" s="34" t="n">
        <v>1479421</v>
      </c>
      <c r="J17" s="19">
        <f>(I17-H17)/1000</f>
        <v/>
      </c>
      <c r="K17" s="16" t="inlineStr">
        <is>
          <t>Yes</t>
        </is>
      </c>
    </row>
    <row r="18">
      <c r="A18" s="16" t="inlineStr">
        <is>
          <t>29 Jun</t>
        </is>
      </c>
      <c r="B18" s="16" t="inlineStr">
        <is>
          <t>39047</t>
        </is>
      </c>
      <c r="C18" s="16" t="n">
        <v>3332</v>
      </c>
      <c r="D18" s="16" t="n">
        <v>3332</v>
      </c>
      <c r="E18" s="16" t="n">
        <v>2462</v>
      </c>
      <c r="F18" s="34" t="n">
        <v>1369558</v>
      </c>
      <c r="G18" s="34" t="n">
        <v>1494923</v>
      </c>
      <c r="H18" s="34" t="n">
        <v>1401563</v>
      </c>
      <c r="I18" s="34" t="n">
        <v>1479421</v>
      </c>
      <c r="J18" s="19">
        <f>(I18-H18)/1000</f>
        <v/>
      </c>
      <c r="K18" s="16" t="inlineStr">
        <is>
          <t>Yes</t>
        </is>
      </c>
    </row>
    <row r="19">
      <c r="A19" s="16" t="inlineStr">
        <is>
          <t>29 Jun</t>
        </is>
      </c>
      <c r="B19" s="16" t="inlineStr">
        <is>
          <t>39176</t>
        </is>
      </c>
      <c r="C19" s="16" t="n">
        <v>3556</v>
      </c>
      <c r="D19" s="16" t="n">
        <v>3498</v>
      </c>
      <c r="E19" s="16" t="n">
        <v>2561</v>
      </c>
      <c r="F19" s="34" t="n">
        <v>1192128</v>
      </c>
      <c r="G19" s="34" t="n">
        <v>1519043</v>
      </c>
      <c r="H19" s="34" t="n">
        <v>1401580</v>
      </c>
      <c r="I19" s="34" t="n">
        <v>1479430</v>
      </c>
      <c r="J19" s="19">
        <f>(I19-H19)/1000</f>
        <v/>
      </c>
      <c r="K19" s="16" t="inlineStr">
        <is>
          <t>Yes</t>
        </is>
      </c>
    </row>
    <row r="20">
      <c r="A20" s="16" t="inlineStr">
        <is>
          <t>29 Jun</t>
        </is>
      </c>
      <c r="B20" s="16" t="inlineStr">
        <is>
          <t>39552</t>
        </is>
      </c>
      <c r="C20" s="16" t="n">
        <v>2957</v>
      </c>
      <c r="D20" s="16" t="n">
        <v>2944</v>
      </c>
      <c r="E20" s="16" t="n">
        <v>2299</v>
      </c>
      <c r="F20" s="34" t="n">
        <v>1203902</v>
      </c>
      <c r="G20" s="34" t="n">
        <v>1500637</v>
      </c>
      <c r="H20" s="34" t="n">
        <v>1401570</v>
      </c>
      <c r="I20" s="34" t="n">
        <v>1479420</v>
      </c>
      <c r="J20" s="19">
        <f>(I20-H20)/1000</f>
        <v/>
      </c>
      <c r="K20" s="16" t="inlineStr">
        <is>
          <t>Yes</t>
        </is>
      </c>
    </row>
    <row r="21">
      <c r="A21" s="16" t="inlineStr">
        <is>
          <t>29 Jun</t>
        </is>
      </c>
      <c r="B21" s="16" t="inlineStr">
        <is>
          <t>37514</t>
        </is>
      </c>
      <c r="C21" s="16" t="n">
        <v>3501</v>
      </c>
      <c r="D21" s="16" t="n">
        <v>3501</v>
      </c>
      <c r="E21" s="16" t="n">
        <v>3000</v>
      </c>
      <c r="F21" s="34" t="n">
        <v>1401318</v>
      </c>
      <c r="G21" s="34" t="n">
        <v>1513492</v>
      </c>
      <c r="H21" s="34" t="n">
        <v>1401558</v>
      </c>
      <c r="I21" s="34" t="n">
        <v>1479401</v>
      </c>
      <c r="J21" s="19">
        <f>(I21-H21)/1000</f>
        <v/>
      </c>
      <c r="K21" s="16" t="inlineStr">
        <is>
          <t>Yes</t>
        </is>
      </c>
    </row>
    <row r="22">
      <c r="A22" s="16" t="inlineStr">
        <is>
          <t>29 Jun</t>
        </is>
      </c>
      <c r="B22" s="16" t="inlineStr">
        <is>
          <t>39351</t>
        </is>
      </c>
      <c r="C22" s="16" t="n">
        <v>1525</v>
      </c>
      <c r="D22" s="16" t="n">
        <v>1499</v>
      </c>
      <c r="E22" s="16" t="n">
        <v>1268</v>
      </c>
      <c r="F22" s="34" t="n">
        <v>1401341</v>
      </c>
      <c r="G22" s="34" t="n">
        <v>1512575</v>
      </c>
      <c r="H22" s="34" t="n">
        <v>1401583</v>
      </c>
      <c r="I22" s="34" t="n">
        <v>1479423</v>
      </c>
      <c r="J22" s="19">
        <f>(I22-H22)/1000</f>
        <v/>
      </c>
      <c r="K22" s="16" t="inlineStr">
        <is>
          <t>Yes</t>
        </is>
      </c>
    </row>
    <row r="23">
      <c r="A23" s="16" t="inlineStr">
        <is>
          <t>29 Jun</t>
        </is>
      </c>
      <c r="B23" s="16" t="inlineStr">
        <is>
          <t>39371</t>
        </is>
      </c>
      <c r="C23" s="16" t="n">
        <v>2655</v>
      </c>
      <c r="D23" s="16" t="n">
        <v>2654</v>
      </c>
      <c r="E23" s="16" t="n">
        <v>2400</v>
      </c>
      <c r="F23" s="34" t="n">
        <v>1401345</v>
      </c>
      <c r="G23" s="34" t="n">
        <v>1518046</v>
      </c>
      <c r="H23" s="34" t="n">
        <v>1401557</v>
      </c>
      <c r="I23" s="34" t="n">
        <v>1479401</v>
      </c>
      <c r="J23" s="19">
        <f>(I23-H23)/1000</f>
        <v/>
      </c>
      <c r="K23" s="16" t="inlineStr">
        <is>
          <t>Yes</t>
        </is>
      </c>
    </row>
    <row r="24">
      <c r="A24" s="16" t="inlineStr">
        <is>
          <t>29 Jun</t>
        </is>
      </c>
      <c r="B24" s="16" t="inlineStr">
        <is>
          <t>30382</t>
        </is>
      </c>
      <c r="C24" s="16" t="n">
        <v>3040</v>
      </c>
      <c r="D24" s="16" t="n">
        <v>3040</v>
      </c>
      <c r="E24" s="16" t="n">
        <v>2268</v>
      </c>
      <c r="F24" s="34" t="n">
        <v>1372069</v>
      </c>
      <c r="G24" s="34" t="n">
        <v>1499543</v>
      </c>
      <c r="H24" s="34" t="n">
        <v>1401556</v>
      </c>
      <c r="I24" s="34" t="n">
        <v>1479384</v>
      </c>
      <c r="J24" s="19">
        <f>(I24-H24)/1000</f>
        <v/>
      </c>
      <c r="K24" s="16" t="inlineStr">
        <is>
          <t>Yes</t>
        </is>
      </c>
    </row>
    <row r="25">
      <c r="A25" s="16" t="inlineStr">
        <is>
          <t>29 Jun</t>
        </is>
      </c>
      <c r="B25" s="16" t="inlineStr">
        <is>
          <t>30608</t>
        </is>
      </c>
      <c r="C25" s="16" t="n">
        <v>2893</v>
      </c>
      <c r="D25" s="16" t="n">
        <v>2882</v>
      </c>
      <c r="E25" s="16" t="n">
        <v>2641</v>
      </c>
      <c r="F25" s="34" t="n">
        <v>1222310</v>
      </c>
      <c r="G25" s="34" t="n">
        <v>1498993</v>
      </c>
      <c r="H25" s="34" t="n">
        <v>1401557</v>
      </c>
      <c r="I25" s="34" t="n">
        <v>1479383</v>
      </c>
      <c r="J25" s="19">
        <f>(I25-H25)/1000</f>
        <v/>
      </c>
      <c r="K25" s="16" t="inlineStr">
        <is>
          <t>Yes</t>
        </is>
      </c>
    </row>
    <row r="26">
      <c r="A26" s="16" t="inlineStr">
        <is>
          <t>29 Jun</t>
        </is>
      </c>
      <c r="B26" s="16" t="inlineStr">
        <is>
          <t>37091</t>
        </is>
      </c>
      <c r="C26" s="16" t="n">
        <v>2644</v>
      </c>
      <c r="D26" s="16" t="n">
        <v>2644</v>
      </c>
      <c r="E26" s="16" t="n">
        <v>2163</v>
      </c>
      <c r="F26" s="34" t="n">
        <v>1371483</v>
      </c>
      <c r="G26" s="34" t="n">
        <v>1498952</v>
      </c>
      <c r="H26" s="34" t="n">
        <v>1401567</v>
      </c>
      <c r="I26" s="34" t="n">
        <v>1479400</v>
      </c>
      <c r="J26" s="19">
        <f>(I26-H26)/1000</f>
        <v/>
      </c>
      <c r="K26" s="16" t="inlineStr">
        <is>
          <t>Yes</t>
        </is>
      </c>
    </row>
    <row r="27">
      <c r="A27" s="16" t="inlineStr">
        <is>
          <t>29 Jun</t>
        </is>
      </c>
      <c r="B27" s="16" t="inlineStr">
        <is>
          <t>37647</t>
        </is>
      </c>
      <c r="C27" s="16" t="n">
        <v>2783</v>
      </c>
      <c r="D27" s="16" t="n">
        <v>2782</v>
      </c>
      <c r="E27" s="16" t="n">
        <v>2549</v>
      </c>
      <c r="F27" s="34" t="n">
        <v>1401357</v>
      </c>
      <c r="G27" s="34" t="n">
        <v>1507651</v>
      </c>
      <c r="H27" s="34" t="n">
        <v>1401575</v>
      </c>
      <c r="I27" s="34" t="n">
        <v>1479402</v>
      </c>
      <c r="J27" s="19">
        <f>(I27-H27)/1000</f>
        <v/>
      </c>
      <c r="K27" s="16" t="inlineStr">
        <is>
          <t>Yes</t>
        </is>
      </c>
    </row>
    <row r="28">
      <c r="A28" s="16" t="inlineStr">
        <is>
          <t>29 Jun</t>
        </is>
      </c>
      <c r="B28" s="16" t="inlineStr">
        <is>
          <t>37839</t>
        </is>
      </c>
      <c r="C28" s="16" t="n">
        <v>4864</v>
      </c>
      <c r="D28" s="16" t="n">
        <v>4810</v>
      </c>
      <c r="E28" s="16" t="n">
        <v>3408</v>
      </c>
      <c r="F28" s="34" t="n">
        <v>1177131</v>
      </c>
      <c r="G28" s="34" t="n">
        <v>1508700</v>
      </c>
      <c r="H28" s="34" t="n">
        <v>1401566</v>
      </c>
      <c r="I28" s="34" t="n">
        <v>1479399</v>
      </c>
      <c r="J28" s="19">
        <f>(I28-H28)/1000</f>
        <v/>
      </c>
      <c r="K28" s="16" t="inlineStr">
        <is>
          <t>Yes</t>
        </is>
      </c>
    </row>
    <row r="29">
      <c r="A29" s="16" t="inlineStr">
        <is>
          <t>29 Jun</t>
        </is>
      </c>
      <c r="B29" s="16" t="inlineStr">
        <is>
          <t>39282</t>
        </is>
      </c>
      <c r="C29" s="16" t="n">
        <v>3188</v>
      </c>
      <c r="D29" s="16" t="n">
        <v>3188</v>
      </c>
      <c r="E29" s="16" t="n">
        <v>2451</v>
      </c>
      <c r="F29" s="34" t="n">
        <v>1372625</v>
      </c>
      <c r="G29" s="34" t="n">
        <v>1508616</v>
      </c>
      <c r="H29" s="34" t="n">
        <v>1401568</v>
      </c>
      <c r="I29" s="34" t="n">
        <v>1479394</v>
      </c>
      <c r="J29" s="19">
        <f>(I29-H29)/1000</f>
        <v/>
      </c>
      <c r="K29" s="16" t="inlineStr">
        <is>
          <t>Yes</t>
        </is>
      </c>
    </row>
    <row r="30">
      <c r="A30" s="16" t="inlineStr">
        <is>
          <t>29 Jun</t>
        </is>
      </c>
      <c r="B30" s="16" t="inlineStr">
        <is>
          <t>37582</t>
        </is>
      </c>
      <c r="C30" s="16" t="n">
        <v>3220</v>
      </c>
      <c r="D30" s="16" t="n">
        <v>3160</v>
      </c>
      <c r="E30" s="16" t="n">
        <v>2449</v>
      </c>
      <c r="F30" s="34" t="n">
        <v>1205377</v>
      </c>
      <c r="G30" s="34" t="n">
        <v>1508536</v>
      </c>
      <c r="H30" s="34" t="n">
        <v>1401578</v>
      </c>
      <c r="I30" s="34" t="n">
        <v>1479402</v>
      </c>
      <c r="J30" s="19">
        <f>(I30-H30)/1000</f>
        <v/>
      </c>
      <c r="K30" s="16" t="inlineStr">
        <is>
          <t>Yes</t>
        </is>
      </c>
    </row>
    <row r="31">
      <c r="A31" s="16" t="inlineStr">
        <is>
          <t>29 Jun</t>
        </is>
      </c>
      <c r="B31" s="16" t="inlineStr">
        <is>
          <t>39522</t>
        </is>
      </c>
      <c r="C31" s="16" t="n">
        <v>2693</v>
      </c>
      <c r="D31" s="16" t="n">
        <v>2672</v>
      </c>
      <c r="E31" s="16" t="n">
        <v>2231</v>
      </c>
      <c r="F31" s="34" t="n">
        <v>1200381</v>
      </c>
      <c r="G31" s="34" t="n">
        <v>1498948</v>
      </c>
      <c r="H31" s="34" t="n">
        <v>1401562</v>
      </c>
      <c r="I31" s="34" t="n">
        <v>1479382</v>
      </c>
      <c r="J31" s="19">
        <f>(I31-H31)/1000</f>
        <v/>
      </c>
      <c r="K31" s="16" t="inlineStr">
        <is>
          <t>Yes</t>
        </is>
      </c>
    </row>
    <row r="32">
      <c r="A32" s="16" t="inlineStr">
        <is>
          <t>29 Jun</t>
        </is>
      </c>
      <c r="B32" s="16" t="inlineStr">
        <is>
          <t>30397</t>
        </is>
      </c>
      <c r="C32" s="16" t="n">
        <v>2696</v>
      </c>
      <c r="D32" s="16" t="n">
        <v>2696</v>
      </c>
      <c r="E32" s="16" t="n">
        <v>2267</v>
      </c>
      <c r="F32" s="34" t="n">
        <v>1371766</v>
      </c>
      <c r="G32" s="34" t="n">
        <v>1497617</v>
      </c>
      <c r="H32" s="34" t="n">
        <v>1401577</v>
      </c>
      <c r="I32" s="34" t="n">
        <v>1479390</v>
      </c>
      <c r="J32" s="19">
        <f>(I32-H32)/1000</f>
        <v/>
      </c>
      <c r="K32" s="16" t="inlineStr">
        <is>
          <t>Yes</t>
        </is>
      </c>
    </row>
    <row r="33">
      <c r="A33" s="16" t="inlineStr">
        <is>
          <t>29 Jun</t>
        </is>
      </c>
      <c r="B33" s="16" t="inlineStr">
        <is>
          <t>37052</t>
        </is>
      </c>
      <c r="C33" s="16" t="n">
        <v>1123</v>
      </c>
      <c r="D33" s="16" t="n">
        <v>1121</v>
      </c>
      <c r="E33" s="16" t="n">
        <v>1061</v>
      </c>
      <c r="F33" s="34" t="n">
        <v>1401540</v>
      </c>
      <c r="G33" s="34" t="n">
        <v>1490863</v>
      </c>
      <c r="H33" s="34" t="n">
        <v>1401579</v>
      </c>
      <c r="I33" s="34" t="n">
        <v>1479393</v>
      </c>
      <c r="J33" s="19">
        <f>(I33-H33)/1000</f>
        <v/>
      </c>
      <c r="K33" s="16" t="inlineStr">
        <is>
          <t>Yes</t>
        </is>
      </c>
    </row>
    <row r="34">
      <c r="A34" s="16" t="inlineStr">
        <is>
          <t>29 Jun</t>
        </is>
      </c>
      <c r="B34" s="16" t="inlineStr">
        <is>
          <t>39258</t>
        </is>
      </c>
      <c r="C34" s="16" t="n">
        <v>3034</v>
      </c>
      <c r="D34" s="16" t="n">
        <v>3033</v>
      </c>
      <c r="E34" s="16" t="n">
        <v>2658</v>
      </c>
      <c r="F34" s="34" t="n">
        <v>1241048</v>
      </c>
      <c r="G34" s="34" t="n">
        <v>1517051</v>
      </c>
      <c r="H34" s="34" t="n">
        <v>1401574</v>
      </c>
      <c r="I34" s="34" t="n">
        <v>1479381</v>
      </c>
      <c r="J34" s="19">
        <f>(I34-H34)/1000</f>
        <v/>
      </c>
      <c r="K34" s="16" t="inlineStr">
        <is>
          <t>Yes</t>
        </is>
      </c>
    </row>
    <row r="35">
      <c r="A35" s="16" t="inlineStr">
        <is>
          <t>29 Jun</t>
        </is>
      </c>
      <c r="B35" s="16" t="inlineStr">
        <is>
          <t>37102</t>
        </is>
      </c>
      <c r="C35" s="16" t="n">
        <v>4274</v>
      </c>
      <c r="D35" s="16" t="n">
        <v>4269</v>
      </c>
      <c r="E35" s="16" t="n">
        <v>2471</v>
      </c>
      <c r="F35" s="34" t="n">
        <v>1154110</v>
      </c>
      <c r="G35" s="34" t="n">
        <v>1508637</v>
      </c>
      <c r="H35" s="34" t="n">
        <v>1401686</v>
      </c>
      <c r="I35" s="34" t="n">
        <v>1479429</v>
      </c>
      <c r="J35" s="19">
        <f>(I35-H35)/1000</f>
        <v/>
      </c>
      <c r="K35" s="16" t="inlineStr">
        <is>
          <t>Yes</t>
        </is>
      </c>
    </row>
    <row r="36">
      <c r="A36" s="16" t="inlineStr">
        <is>
          <t>29 Jun</t>
        </is>
      </c>
      <c r="B36" s="16" t="inlineStr">
        <is>
          <t>31480</t>
        </is>
      </c>
      <c r="C36" s="16" t="n">
        <v>3690</v>
      </c>
      <c r="D36" s="16" t="n">
        <v>3681</v>
      </c>
      <c r="E36" s="16" t="n">
        <v>3464</v>
      </c>
      <c r="F36" s="34" t="n">
        <v>1401680</v>
      </c>
      <c r="G36" s="34" t="n">
        <v>1498752</v>
      </c>
      <c r="H36" s="34" t="n">
        <v>1401680</v>
      </c>
      <c r="I36" s="34" t="n">
        <v>1479397</v>
      </c>
      <c r="J36" s="19">
        <f>(I36-H36)/1000</f>
        <v/>
      </c>
      <c r="K36" s="16" t="inlineStr">
        <is>
          <t>Yes</t>
        </is>
      </c>
    </row>
    <row r="37">
      <c r="A37" s="16" t="inlineStr">
        <is>
          <t>29 Jun</t>
        </is>
      </c>
      <c r="B37" s="16" t="inlineStr">
        <is>
          <t>37322</t>
        </is>
      </c>
      <c r="C37" s="16" t="n">
        <v>2798</v>
      </c>
      <c r="D37" s="16" t="n">
        <v>2796</v>
      </c>
      <c r="E37" s="16" t="n">
        <v>2372</v>
      </c>
      <c r="F37" s="34" t="n">
        <v>1191349</v>
      </c>
      <c r="G37" s="34" t="n">
        <v>1499182</v>
      </c>
      <c r="H37" s="34" t="n">
        <v>1401708</v>
      </c>
      <c r="I37" s="34" t="n">
        <v>1479432</v>
      </c>
      <c r="J37" s="19">
        <f>(I37-H37)/1000</f>
        <v/>
      </c>
      <c r="K37" s="16" t="inlineStr">
        <is>
          <t>Yes</t>
        </is>
      </c>
    </row>
    <row r="38">
      <c r="A38" s="16" t="inlineStr">
        <is>
          <t>29 Jun</t>
        </is>
      </c>
      <c r="B38" s="16" t="inlineStr">
        <is>
          <t>37632</t>
        </is>
      </c>
      <c r="C38" s="16" t="n">
        <v>3281</v>
      </c>
      <c r="D38" s="16" t="n">
        <v>3280</v>
      </c>
      <c r="E38" s="16" t="n">
        <v>2334</v>
      </c>
      <c r="F38" s="34" t="n">
        <v>1186649</v>
      </c>
      <c r="G38" s="34" t="n">
        <v>1516060</v>
      </c>
      <c r="H38" s="34" t="n">
        <v>1401700</v>
      </c>
      <c r="I38" s="34" t="n">
        <v>1479418</v>
      </c>
      <c r="J38" s="19">
        <f>(I38-H38)/1000</f>
        <v/>
      </c>
      <c r="K38" s="16" t="inlineStr">
        <is>
          <t>Yes</t>
        </is>
      </c>
    </row>
    <row r="39">
      <c r="A39" s="16" t="inlineStr">
        <is>
          <t>29 Jun</t>
        </is>
      </c>
      <c r="B39" s="16" t="inlineStr">
        <is>
          <t>30452</t>
        </is>
      </c>
      <c r="C39" s="16" t="n">
        <v>2640</v>
      </c>
      <c r="D39" s="16" t="n">
        <v>2640</v>
      </c>
      <c r="E39" s="16" t="n">
        <v>2433</v>
      </c>
      <c r="F39" s="34" t="n">
        <v>1401699</v>
      </c>
      <c r="G39" s="34" t="n">
        <v>1500751</v>
      </c>
      <c r="H39" s="34" t="n">
        <v>1401699</v>
      </c>
      <c r="I39" s="34" t="n">
        <v>1479406</v>
      </c>
      <c r="J39" s="19">
        <f>(I39-H39)/1000</f>
        <v/>
      </c>
      <c r="K39" s="16" t="inlineStr">
        <is>
          <t>Yes</t>
        </is>
      </c>
    </row>
    <row r="40">
      <c r="A40" s="16" t="inlineStr">
        <is>
          <t>29 Jun</t>
        </is>
      </c>
      <c r="B40" s="16" t="inlineStr">
        <is>
          <t>30464</t>
        </is>
      </c>
      <c r="C40" s="16" t="n">
        <v>3669</v>
      </c>
      <c r="D40" s="16" t="n">
        <v>3657</v>
      </c>
      <c r="E40" s="16" t="n">
        <v>2808</v>
      </c>
      <c r="F40" s="34" t="n">
        <v>1186084</v>
      </c>
      <c r="G40" s="34" t="n">
        <v>1502868</v>
      </c>
      <c r="H40" s="34" t="n">
        <v>1401680</v>
      </c>
      <c r="I40" s="34" t="n">
        <v>1479389</v>
      </c>
      <c r="J40" s="19">
        <f>(I40-H40)/1000</f>
        <v/>
      </c>
      <c r="K40" s="16" t="inlineStr">
        <is>
          <t>Yes</t>
        </is>
      </c>
    </row>
    <row r="41">
      <c r="A41" s="16" t="inlineStr">
        <is>
          <t>29 Jun</t>
        </is>
      </c>
      <c r="B41" s="16" t="inlineStr">
        <is>
          <t>37461</t>
        </is>
      </c>
      <c r="C41" s="16" t="n">
        <v>3579</v>
      </c>
      <c r="D41" s="16" t="n">
        <v>3579</v>
      </c>
      <c r="E41" s="16" t="n">
        <v>3241</v>
      </c>
      <c r="F41" s="34" t="n">
        <v>1401710</v>
      </c>
      <c r="G41" s="34" t="n">
        <v>1507859</v>
      </c>
      <c r="H41" s="34" t="n">
        <v>1401710</v>
      </c>
      <c r="I41" s="34" t="n">
        <v>1479416</v>
      </c>
      <c r="J41" s="19">
        <f>(I41-H41)/1000</f>
        <v/>
      </c>
      <c r="K41" s="16" t="inlineStr">
        <is>
          <t>Yes</t>
        </is>
      </c>
    </row>
    <row r="42">
      <c r="A42" s="16" t="inlineStr">
        <is>
          <t>29 Jun</t>
        </is>
      </c>
      <c r="B42" s="16" t="inlineStr">
        <is>
          <t>39358</t>
        </is>
      </c>
      <c r="C42" s="16" t="n">
        <v>3047</v>
      </c>
      <c r="D42" s="16" t="n">
        <v>3043</v>
      </c>
      <c r="E42" s="16" t="n">
        <v>2530</v>
      </c>
      <c r="F42" s="34" t="n">
        <v>1371535</v>
      </c>
      <c r="G42" s="34" t="n">
        <v>1503651</v>
      </c>
      <c r="H42" s="34" t="n">
        <v>1401690</v>
      </c>
      <c r="I42" s="34" t="n">
        <v>1479396</v>
      </c>
      <c r="J42" s="19">
        <f>(I42-H42)/1000</f>
        <v/>
      </c>
      <c r="K42" s="16" t="inlineStr">
        <is>
          <t>Yes</t>
        </is>
      </c>
    </row>
    <row r="43">
      <c r="A43" s="16" t="inlineStr">
        <is>
          <t>29 Jun</t>
        </is>
      </c>
      <c r="B43" s="16" t="inlineStr">
        <is>
          <t>30211</t>
        </is>
      </c>
      <c r="C43" s="16" t="n">
        <v>2604</v>
      </c>
      <c r="D43" s="16" t="n">
        <v>2604</v>
      </c>
      <c r="E43" s="16" t="n">
        <v>2347</v>
      </c>
      <c r="F43" s="34" t="n">
        <v>1401713</v>
      </c>
      <c r="G43" s="34" t="n">
        <v>1508574</v>
      </c>
      <c r="H43" s="34" t="n">
        <v>1401713</v>
      </c>
      <c r="I43" s="34" t="n">
        <v>1479413</v>
      </c>
      <c r="J43" s="19">
        <f>(I43-H43)/1000</f>
        <v/>
      </c>
      <c r="K43" s="16" t="inlineStr">
        <is>
          <t>Yes</t>
        </is>
      </c>
    </row>
    <row r="44">
      <c r="A44" s="16" t="inlineStr">
        <is>
          <t>29 Jun</t>
        </is>
      </c>
      <c r="B44" s="16" t="inlineStr">
        <is>
          <t>30326</t>
        </is>
      </c>
      <c r="C44" s="16" t="n">
        <v>2769</v>
      </c>
      <c r="D44" s="16" t="n">
        <v>2769</v>
      </c>
      <c r="E44" s="16" t="n">
        <v>2372</v>
      </c>
      <c r="F44" s="34" t="n">
        <v>1401711</v>
      </c>
      <c r="G44" s="34" t="n">
        <v>1499014</v>
      </c>
      <c r="H44" s="34" t="n">
        <v>1401711</v>
      </c>
      <c r="I44" s="34" t="n">
        <v>1479410</v>
      </c>
      <c r="J44" s="19">
        <f>(I44-H44)/1000</f>
        <v/>
      </c>
      <c r="K44" s="16" t="inlineStr">
        <is>
          <t>Yes</t>
        </is>
      </c>
    </row>
    <row r="45">
      <c r="A45" s="16" t="inlineStr">
        <is>
          <t>29 Jun</t>
        </is>
      </c>
      <c r="B45" s="16" t="inlineStr">
        <is>
          <t>30396</t>
        </is>
      </c>
      <c r="C45" s="16" t="n">
        <v>3264</v>
      </c>
      <c r="D45" s="16" t="n">
        <v>3258</v>
      </c>
      <c r="E45" s="16" t="n">
        <v>2516</v>
      </c>
      <c r="F45" s="34" t="n">
        <v>1174280</v>
      </c>
      <c r="G45" s="34" t="n">
        <v>1516037</v>
      </c>
      <c r="H45" s="34" t="n">
        <v>1401690</v>
      </c>
      <c r="I45" s="34" t="n">
        <v>1479391</v>
      </c>
      <c r="J45" s="19">
        <f>(I45-H45)/1000</f>
        <v/>
      </c>
      <c r="K45" s="16" t="inlineStr">
        <is>
          <t>Yes</t>
        </is>
      </c>
    </row>
    <row r="46">
      <c r="A46" s="16" t="inlineStr">
        <is>
          <t>29 Jun</t>
        </is>
      </c>
      <c r="B46" s="16" t="inlineStr">
        <is>
          <t>39243</t>
        </is>
      </c>
      <c r="C46" s="16" t="n">
        <v>3125</v>
      </c>
      <c r="D46" s="16" t="n">
        <v>3125</v>
      </c>
      <c r="E46" s="16" t="n">
        <v>2269</v>
      </c>
      <c r="F46" s="34" t="n">
        <v>1178523</v>
      </c>
      <c r="G46" s="34" t="n">
        <v>1516121</v>
      </c>
      <c r="H46" s="34" t="n">
        <v>1401700</v>
      </c>
      <c r="I46" s="34" t="n">
        <v>1479401</v>
      </c>
      <c r="J46" s="19">
        <f>(I46-H46)/1000</f>
        <v/>
      </c>
      <c r="K46" s="16" t="inlineStr">
        <is>
          <t>Yes</t>
        </is>
      </c>
    </row>
    <row r="47">
      <c r="A47" s="16" t="inlineStr">
        <is>
          <t>29 Jun</t>
        </is>
      </c>
      <c r="B47" s="16" t="inlineStr">
        <is>
          <t>30827</t>
        </is>
      </c>
      <c r="C47" s="16" t="n">
        <v>2953</v>
      </c>
      <c r="D47" s="16" t="n">
        <v>2947</v>
      </c>
      <c r="E47" s="16" t="n">
        <v>2285</v>
      </c>
      <c r="F47" s="34" t="n">
        <v>1195196</v>
      </c>
      <c r="G47" s="34" t="n">
        <v>1502794</v>
      </c>
      <c r="H47" s="34" t="n">
        <v>1401692</v>
      </c>
      <c r="I47" s="34" t="n">
        <v>1479367</v>
      </c>
      <c r="J47" s="19">
        <f>(I47-H47)/1000</f>
        <v/>
      </c>
      <c r="K47" s="16" t="inlineStr">
        <is>
          <t>Yes</t>
        </is>
      </c>
    </row>
    <row r="48">
      <c r="A48" s="16" t="inlineStr">
        <is>
          <t>29 Jun</t>
        </is>
      </c>
      <c r="B48" s="16" t="inlineStr">
        <is>
          <t>37470</t>
        </is>
      </c>
      <c r="C48" s="16" t="n">
        <v>5379</v>
      </c>
      <c r="D48" s="16" t="n">
        <v>5379</v>
      </c>
      <c r="E48" s="16" t="n">
        <v>4536</v>
      </c>
      <c r="F48" s="34" t="n">
        <v>1401749</v>
      </c>
      <c r="G48" s="34" t="n">
        <v>1507949</v>
      </c>
      <c r="H48" s="34" t="n">
        <v>1401749</v>
      </c>
      <c r="I48" s="34" t="n">
        <v>1479424</v>
      </c>
      <c r="J48" s="19">
        <f>(I48-H48)/1000</f>
        <v/>
      </c>
      <c r="K48" s="16" t="inlineStr">
        <is>
          <t>Yes</t>
        </is>
      </c>
    </row>
    <row r="49">
      <c r="A49" s="16" t="inlineStr">
        <is>
          <t>29 Jun</t>
        </is>
      </c>
      <c r="B49" s="16" t="inlineStr">
        <is>
          <t>37130</t>
        </is>
      </c>
      <c r="C49" s="16" t="n">
        <v>884</v>
      </c>
      <c r="D49" s="16" t="n">
        <v>884</v>
      </c>
      <c r="E49" s="16" t="n">
        <v>13</v>
      </c>
      <c r="F49" s="34" t="n">
        <v>1264970</v>
      </c>
      <c r="G49" s="34" t="n">
        <v>1410455</v>
      </c>
      <c r="H49" s="34" t="n">
        <v>1401776</v>
      </c>
      <c r="I49" s="34" t="n">
        <v>1410455</v>
      </c>
      <c r="J49" s="19">
        <f>(I49-H49)/1000</f>
        <v/>
      </c>
      <c r="K49" s="16" t="inlineStr">
        <is>
          <t>Yes</t>
        </is>
      </c>
    </row>
    <row r="50">
      <c r="A50" s="16" t="inlineStr">
        <is>
          <t>29 Jun</t>
        </is>
      </c>
      <c r="B50" s="16" t="inlineStr">
        <is>
          <t>30813</t>
        </is>
      </c>
      <c r="C50" s="16" t="n">
        <v>1080</v>
      </c>
      <c r="D50" s="16" t="n">
        <v>1080</v>
      </c>
      <c r="E50" s="16" t="n">
        <v>7</v>
      </c>
      <c r="F50" s="34" t="n">
        <v>1308819</v>
      </c>
      <c r="G50" s="34" t="n">
        <v>1532331</v>
      </c>
      <c r="H50" s="34" t="n">
        <v>1401715</v>
      </c>
      <c r="I50" s="34" t="n">
        <v>1404702</v>
      </c>
      <c r="J50" s="19">
        <f>(I50-H50)/1000</f>
        <v/>
      </c>
      <c r="K50" s="16" t="inlineStr">
        <is>
          <t>Yes</t>
        </is>
      </c>
    </row>
    <row r="51">
      <c r="A51" s="35" t="inlineStr">
        <is>
          <t>29 Jun</t>
        </is>
      </c>
      <c r="B51" s="35" t="inlineStr">
        <is>
          <t>37163</t>
        </is>
      </c>
      <c r="C51" s="35" t="n">
        <v>2080</v>
      </c>
      <c r="D51" s="35" t="n">
        <v>2047</v>
      </c>
      <c r="E51" s="35" t="n">
        <v>0</v>
      </c>
      <c r="F51" s="36" t="n">
        <v>1148584</v>
      </c>
      <c r="G51" s="36" t="n">
        <v>1240710</v>
      </c>
      <c r="H51" s="36" t="inlineStr">
        <is>
          <t>-</t>
        </is>
      </c>
      <c r="I51" s="36" t="inlineStr">
        <is>
          <t>-</t>
        </is>
      </c>
      <c r="J51" s="37" t="n">
        <v>0</v>
      </c>
      <c r="K51" s="35" t="inlineStr">
        <is>
          <t>No</t>
        </is>
      </c>
    </row>
    <row r="52">
      <c r="A52" s="35" t="inlineStr">
        <is>
          <t>29 Jun</t>
        </is>
      </c>
      <c r="B52" s="35" t="inlineStr">
        <is>
          <t>37218</t>
        </is>
      </c>
      <c r="C52" s="35" t="n">
        <v>13</v>
      </c>
      <c r="D52" s="35" t="n">
        <v>9</v>
      </c>
      <c r="E52" s="35" t="n">
        <v>0</v>
      </c>
      <c r="F52" s="36" t="n">
        <v>1401350</v>
      </c>
      <c r="G52" s="36" t="n">
        <v>1401476</v>
      </c>
      <c r="H52" s="36" t="inlineStr">
        <is>
          <t>-</t>
        </is>
      </c>
      <c r="I52" s="36" t="inlineStr">
        <is>
          <t>-</t>
        </is>
      </c>
      <c r="J52" s="37" t="n">
        <v>0</v>
      </c>
      <c r="K52" s="35" t="inlineStr">
        <is>
          <t>No</t>
        </is>
      </c>
    </row>
    <row r="53">
      <c r="A53" s="35" t="inlineStr">
        <is>
          <t>29 Jun</t>
        </is>
      </c>
      <c r="B53" s="35" t="inlineStr">
        <is>
          <t>37366</t>
        </is>
      </c>
      <c r="C53" s="35" t="n">
        <v>7</v>
      </c>
      <c r="D53" s="35" t="n">
        <v>7</v>
      </c>
      <c r="E53" s="35" t="n">
        <v>0</v>
      </c>
      <c r="F53" s="36" t="n">
        <v>1171336</v>
      </c>
      <c r="G53" s="36" t="n">
        <v>1171844</v>
      </c>
      <c r="H53" s="36" t="inlineStr">
        <is>
          <t>-</t>
        </is>
      </c>
      <c r="I53" s="36" t="inlineStr">
        <is>
          <t>-</t>
        </is>
      </c>
      <c r="J53" s="37" t="n">
        <v>0</v>
      </c>
      <c r="K53" s="35" t="inlineStr">
        <is>
          <t>No</t>
        </is>
      </c>
    </row>
    <row r="54">
      <c r="A54" s="35" t="inlineStr">
        <is>
          <t>29 Jun</t>
        </is>
      </c>
      <c r="B54" s="35" t="inlineStr">
        <is>
          <t>39565</t>
        </is>
      </c>
      <c r="C54" s="35" t="n">
        <v>209</v>
      </c>
      <c r="D54" s="35" t="n">
        <v>209</v>
      </c>
      <c r="E54" s="35" t="n">
        <v>0</v>
      </c>
      <c r="F54" s="36" t="n">
        <v>1308351</v>
      </c>
      <c r="G54" s="36" t="n">
        <v>1366666</v>
      </c>
      <c r="H54" s="36" t="inlineStr">
        <is>
          <t>-</t>
        </is>
      </c>
      <c r="I54" s="36" t="inlineStr">
        <is>
          <t>-</t>
        </is>
      </c>
      <c r="J54" s="37" t="n">
        <v>0</v>
      </c>
      <c r="K54" s="35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38" t="inlineStr">
        <is>
          <t>Methodology</t>
        </is>
      </c>
    </row>
    <row r="3" ht="34" customHeight="1">
      <c r="B3" s="39" t="inlineStr">
        <is>
          <t>Excluded</t>
        </is>
      </c>
      <c r="C3" s="40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39" t="inlineStr">
        <is>
          <t>No of Trips</t>
        </is>
      </c>
      <c r="C4" s="40" t="inlineStr">
        <is>
          <t>A loco completing the section end-to-end (station 1→14 or 14→1). Reversal = new trip (out-and-back = 2). All loco types included.</t>
        </is>
      </c>
    </row>
    <row r="5" ht="49" customHeight="1">
      <c r="B5" s="39" t="inlineStr">
        <is>
          <t>Total KMs Run on Kavach</t>
        </is>
      </c>
      <c r="C5" s="40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39" t="inlineStr">
        <is>
          <t>Availability (FS+OS)</t>
        </is>
      </c>
      <c r="C6" s="40" t="inlineStr">
        <is>
          <t>Packets in FS or OnSight ÷ all packets (all modes) × 100.</t>
        </is>
      </c>
    </row>
    <row r="7" ht="34" customHeight="1">
      <c r="B7" s="39" t="inlineStr">
        <is>
          <t>Total EB</t>
        </is>
      </c>
      <c r="C7" s="40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39" t="inlineStr">
        <is>
          <t>Mode Degradation</t>
        </is>
      </c>
      <c r="C8" s="40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34" customHeight="1">
      <c r="B9" s="39" t="inlineStr">
        <is>
          <t>EB diagnostics</t>
        </is>
      </c>
      <c r="C9" s="40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39" t="inlineStr">
        <is>
          <t>Ratios</t>
        </is>
      </c>
      <c r="C10" s="40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2026-06-30T10:03:04Z</dcterms:created>
  <dcterms:modified xsi:type="dcterms:W3CDTF">2026-07-01T07:29:56Z</dcterms:modified>
</cp:coreProperties>
</file>
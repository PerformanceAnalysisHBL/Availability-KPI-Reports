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Mode Degradation" sheetId="4" state="visible" r:id="rId4"/>
    <sheet xmlns:r="http://schemas.openxmlformats.org/officeDocument/2006/relationships" name="KM Verification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WCR — Kavach Unified KPI</t>
        </is>
      </c>
    </row>
    <row r="2">
      <c r="A2" s="2" t="inlineStr">
        <is>
          <t>Period: 30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30 Jun 2026</t>
        </is>
      </c>
      <c r="B5" s="4" t="inlineStr">
        <is>
          <t>WCR</t>
        </is>
      </c>
      <c r="C5" s="4" t="inlineStr">
        <is>
          <t>33001_IBH-265 to 33132_IBH_1</t>
        </is>
      </c>
      <c r="D5" s="5">
        <f>'Daily Breakdown'!C37</f>
        <v/>
      </c>
      <c r="E5" s="6">
        <f>'Daily Breakdown'!D37</f>
        <v/>
      </c>
      <c r="F5" s="7">
        <f>'Daily Breakdown'!G37</f>
        <v/>
      </c>
      <c r="G5" s="5">
        <f>'Daily Breakdown'!H37</f>
        <v/>
      </c>
      <c r="H5" s="8">
        <f>'Daily Breakdown'!I37</f>
        <v/>
      </c>
      <c r="I5" s="8">
        <f>'Daily Breakdown'!J37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Breakdown'!K37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2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30 Jun</t>
        </is>
      </c>
      <c r="B4" s="15" t="inlineStr">
        <is>
          <t>37465</t>
        </is>
      </c>
      <c r="C4" s="16" t="n">
        <v>1</v>
      </c>
      <c r="D4" s="49" t="n">
        <v>543.89</v>
      </c>
      <c r="E4" s="18" t="n">
        <v>30275</v>
      </c>
      <c r="F4" s="18" t="n">
        <v>30393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1</v>
      </c>
    </row>
    <row r="5">
      <c r="A5" s="15" t="inlineStr">
        <is>
          <t>30 Jun</t>
        </is>
      </c>
      <c r="B5" s="15" t="inlineStr">
        <is>
          <t>39053</t>
        </is>
      </c>
      <c r="C5" s="16" t="n">
        <v>1</v>
      </c>
      <c r="D5" s="49" t="n">
        <v>541.6</v>
      </c>
      <c r="E5" s="18" t="n">
        <v>22276</v>
      </c>
      <c r="F5" s="18" t="n">
        <v>22332</v>
      </c>
      <c r="G5" s="19">
        <f>IF(F5=0,0,E5/F5*100)</f>
        <v/>
      </c>
      <c r="H5" s="16" t="n">
        <v>0</v>
      </c>
      <c r="I5" s="16" t="n">
        <v>0</v>
      </c>
      <c r="J5" s="16" t="n">
        <v>0</v>
      </c>
      <c r="K5" s="16" t="n">
        <v>4</v>
      </c>
    </row>
    <row r="6">
      <c r="A6" s="15" t="inlineStr">
        <is>
          <t>30 Jun</t>
        </is>
      </c>
      <c r="B6" s="15" t="inlineStr">
        <is>
          <t>39258</t>
        </is>
      </c>
      <c r="C6" s="16" t="n">
        <v>1</v>
      </c>
      <c r="D6" s="49" t="n">
        <v>541.97</v>
      </c>
      <c r="E6" s="18" t="n">
        <v>21093</v>
      </c>
      <c r="F6" s="18" t="n">
        <v>21390</v>
      </c>
      <c r="G6" s="19">
        <f>IF(F6=0,0,E6/F6*100)</f>
        <v/>
      </c>
      <c r="H6" s="16" t="n">
        <v>1</v>
      </c>
      <c r="I6" s="16" t="n">
        <v>1</v>
      </c>
      <c r="J6" s="16" t="n">
        <v>0</v>
      </c>
      <c r="K6" s="16" t="n">
        <v>2</v>
      </c>
    </row>
    <row r="7">
      <c r="A7" s="15" t="inlineStr">
        <is>
          <t>30 Jun</t>
        </is>
      </c>
      <c r="B7" s="15" t="inlineStr">
        <is>
          <t>37569</t>
        </is>
      </c>
      <c r="C7" s="16" t="n">
        <v>1</v>
      </c>
      <c r="D7" s="49" t="n">
        <v>541.51</v>
      </c>
      <c r="E7" s="18" t="n">
        <v>19979</v>
      </c>
      <c r="F7" s="18" t="n">
        <v>20085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2</v>
      </c>
    </row>
    <row r="8">
      <c r="A8" s="15" t="inlineStr">
        <is>
          <t>30 Jun</t>
        </is>
      </c>
      <c r="B8" s="15" t="inlineStr">
        <is>
          <t>30429</t>
        </is>
      </c>
      <c r="C8" s="16" t="n">
        <v>0</v>
      </c>
      <c r="D8" s="49" t="n">
        <v>536.3</v>
      </c>
      <c r="E8" s="18" t="n">
        <v>33005</v>
      </c>
      <c r="F8" s="18" t="n">
        <v>33014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1</v>
      </c>
    </row>
    <row r="9">
      <c r="A9" s="15" t="inlineStr">
        <is>
          <t>30 Jun</t>
        </is>
      </c>
      <c r="B9" s="15" t="inlineStr">
        <is>
          <t>39108</t>
        </is>
      </c>
      <c r="C9" s="16" t="n">
        <v>0</v>
      </c>
      <c r="D9" s="49" t="n">
        <v>251.85</v>
      </c>
      <c r="E9" s="18" t="n">
        <v>31259</v>
      </c>
      <c r="F9" s="18" t="n">
        <v>31365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6</v>
      </c>
    </row>
    <row r="10">
      <c r="A10" s="15" t="inlineStr">
        <is>
          <t>30 Jun</t>
        </is>
      </c>
      <c r="B10" s="15" t="inlineStr">
        <is>
          <t>39236</t>
        </is>
      </c>
      <c r="C10" s="16" t="n">
        <v>0</v>
      </c>
      <c r="D10" s="49" t="n">
        <v>512.54</v>
      </c>
      <c r="E10" s="18" t="n">
        <v>24623</v>
      </c>
      <c r="F10" s="18" t="n">
        <v>24752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5</v>
      </c>
    </row>
    <row r="11">
      <c r="A11" s="15" t="inlineStr">
        <is>
          <t>30 Jun</t>
        </is>
      </c>
      <c r="B11" s="15" t="inlineStr">
        <is>
          <t>37633</t>
        </is>
      </c>
      <c r="C11" s="16" t="n">
        <v>0</v>
      </c>
      <c r="D11" s="49" t="n">
        <v>329.85</v>
      </c>
      <c r="E11" s="18" t="n">
        <v>24228</v>
      </c>
      <c r="F11" s="18" t="n">
        <v>24623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3</v>
      </c>
    </row>
    <row r="12">
      <c r="A12" s="15" t="inlineStr">
        <is>
          <t>30 Jun</t>
        </is>
      </c>
      <c r="B12" s="15" t="inlineStr">
        <is>
          <t>39331</t>
        </is>
      </c>
      <c r="C12" s="16" t="n">
        <v>0</v>
      </c>
      <c r="D12" s="49" t="n">
        <v>470.59</v>
      </c>
      <c r="E12" s="18" t="n">
        <v>22361</v>
      </c>
      <c r="F12" s="18" t="n">
        <v>22481</v>
      </c>
      <c r="G12" s="19">
        <f>IF(F12=0,0,E12/F12*100)</f>
        <v/>
      </c>
      <c r="H12" s="16" t="n">
        <v>0</v>
      </c>
      <c r="I12" s="16" t="n">
        <v>0</v>
      </c>
      <c r="J12" s="16" t="n">
        <v>0</v>
      </c>
      <c r="K12" s="16" t="n">
        <v>3</v>
      </c>
    </row>
    <row r="13">
      <c r="A13" s="15" t="inlineStr">
        <is>
          <t>30 Jun</t>
        </is>
      </c>
      <c r="B13" s="15" t="inlineStr">
        <is>
          <t>37515</t>
        </is>
      </c>
      <c r="C13" s="16" t="n">
        <v>0</v>
      </c>
      <c r="D13" s="49" t="n">
        <v>453.19</v>
      </c>
      <c r="E13" s="18" t="n">
        <v>19827</v>
      </c>
      <c r="F13" s="18" t="n">
        <v>20641</v>
      </c>
      <c r="G13" s="19">
        <f>IF(F13=0,0,E13/F13*100)</f>
        <v/>
      </c>
      <c r="H13" s="16" t="n">
        <v>1</v>
      </c>
      <c r="I13" s="16" t="n">
        <v>0</v>
      </c>
      <c r="J13" s="16" t="n">
        <v>1</v>
      </c>
      <c r="K13" s="16" t="n">
        <v>5</v>
      </c>
    </row>
    <row r="14">
      <c r="A14" s="15" t="inlineStr">
        <is>
          <t>30 Jun</t>
        </is>
      </c>
      <c r="B14" s="15" t="inlineStr">
        <is>
          <t>37035</t>
        </is>
      </c>
      <c r="C14" s="16" t="n">
        <v>0</v>
      </c>
      <c r="D14" s="49" t="n">
        <v>250.87</v>
      </c>
      <c r="E14" s="18" t="n">
        <v>19253</v>
      </c>
      <c r="F14" s="18" t="n">
        <v>19390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2</v>
      </c>
    </row>
    <row r="15">
      <c r="A15" s="15" t="inlineStr">
        <is>
          <t>30 Jun</t>
        </is>
      </c>
      <c r="B15" s="15" t="inlineStr">
        <is>
          <t>30390</t>
        </is>
      </c>
      <c r="C15" s="16" t="n">
        <v>0</v>
      </c>
      <c r="D15" s="49" t="n">
        <v>291.96</v>
      </c>
      <c r="E15" s="18" t="n">
        <v>17439</v>
      </c>
      <c r="F15" s="18" t="n">
        <v>17970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3</v>
      </c>
    </row>
    <row r="16">
      <c r="A16" s="15" t="inlineStr">
        <is>
          <t>30 Jun</t>
        </is>
      </c>
      <c r="B16" s="15" t="inlineStr">
        <is>
          <t>30376</t>
        </is>
      </c>
      <c r="C16" s="16" t="n">
        <v>0</v>
      </c>
      <c r="D16" s="49" t="n">
        <v>322.61</v>
      </c>
      <c r="E16" s="18" t="n">
        <v>13705</v>
      </c>
      <c r="F16" s="18" t="n">
        <v>16577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4</v>
      </c>
    </row>
    <row r="17">
      <c r="A17" s="15" t="inlineStr">
        <is>
          <t>30 Jun</t>
        </is>
      </c>
      <c r="B17" s="15" t="inlineStr">
        <is>
          <t>30516</t>
        </is>
      </c>
      <c r="C17" s="16" t="n">
        <v>0</v>
      </c>
      <c r="D17" s="49" t="n">
        <v>322.6</v>
      </c>
      <c r="E17" s="18" t="n">
        <v>13173</v>
      </c>
      <c r="F17" s="18" t="n">
        <v>13263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0</v>
      </c>
    </row>
    <row r="18">
      <c r="A18" s="15" t="inlineStr">
        <is>
          <t>30 Jun</t>
        </is>
      </c>
      <c r="B18" s="15" t="inlineStr">
        <is>
          <t>37366</t>
        </is>
      </c>
      <c r="C18" s="16" t="n">
        <v>0</v>
      </c>
      <c r="D18" s="49" t="n">
        <v>188.65</v>
      </c>
      <c r="E18" s="18" t="n">
        <v>12354</v>
      </c>
      <c r="F18" s="18" t="n">
        <v>12377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1</v>
      </c>
    </row>
    <row r="19">
      <c r="A19" s="15" t="inlineStr">
        <is>
          <t>30 Jun</t>
        </is>
      </c>
      <c r="B19" s="15" t="inlineStr">
        <is>
          <t>37839</t>
        </is>
      </c>
      <c r="C19" s="16" t="n">
        <v>0</v>
      </c>
      <c r="D19" s="49" t="n">
        <v>218.84</v>
      </c>
      <c r="E19" s="18" t="n">
        <v>11689</v>
      </c>
      <c r="F19" s="18" t="n">
        <v>11709</v>
      </c>
      <c r="G19" s="19">
        <f>IF(F19=0,0,E19/F19*100)</f>
        <v/>
      </c>
      <c r="H19" s="16" t="n">
        <v>0</v>
      </c>
      <c r="I19" s="16" t="n">
        <v>0</v>
      </c>
      <c r="J19" s="16" t="n">
        <v>0</v>
      </c>
      <c r="K19" s="16" t="n">
        <v>3</v>
      </c>
    </row>
    <row r="20">
      <c r="A20" s="15" t="inlineStr">
        <is>
          <t>30 Jun</t>
        </is>
      </c>
      <c r="B20" s="15" t="inlineStr">
        <is>
          <t>30206</t>
        </is>
      </c>
      <c r="C20" s="16" t="n">
        <v>0</v>
      </c>
      <c r="D20" s="49" t="n">
        <v>273</v>
      </c>
      <c r="E20" s="18" t="n">
        <v>11343</v>
      </c>
      <c r="F20" s="18" t="n">
        <v>11567</v>
      </c>
      <c r="G20" s="19">
        <f>IF(F20=0,0,E20/F20*100)</f>
        <v/>
      </c>
      <c r="H20" s="16" t="n">
        <v>0</v>
      </c>
      <c r="I20" s="16" t="n">
        <v>0</v>
      </c>
      <c r="J20" s="16" t="n">
        <v>0</v>
      </c>
      <c r="K20" s="16" t="n">
        <v>3</v>
      </c>
    </row>
    <row r="21">
      <c r="A21" s="15" t="inlineStr">
        <is>
          <t>30 Jun</t>
        </is>
      </c>
      <c r="B21" s="15" t="inlineStr">
        <is>
          <t>30395</t>
        </is>
      </c>
      <c r="C21" s="16" t="n">
        <v>0</v>
      </c>
      <c r="D21" s="49" t="n">
        <v>321.47</v>
      </c>
      <c r="E21" s="18" t="n">
        <v>11287</v>
      </c>
      <c r="F21" s="18" t="n">
        <v>11359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2</v>
      </c>
    </row>
    <row r="22">
      <c r="A22" s="15" t="inlineStr">
        <is>
          <t>30 Jun</t>
        </is>
      </c>
      <c r="B22" s="15" t="inlineStr">
        <is>
          <t>30791</t>
        </is>
      </c>
      <c r="C22" s="16" t="n">
        <v>0</v>
      </c>
      <c r="D22" s="49" t="n">
        <v>109.22</v>
      </c>
      <c r="E22" s="18" t="n">
        <v>11129</v>
      </c>
      <c r="F22" s="18" t="n">
        <v>11287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1</v>
      </c>
    </row>
    <row r="23">
      <c r="A23" s="15" t="inlineStr">
        <is>
          <t>30 Jun</t>
        </is>
      </c>
      <c r="B23" s="15" t="inlineStr">
        <is>
          <t>39252</t>
        </is>
      </c>
      <c r="C23" s="16" t="n">
        <v>0</v>
      </c>
      <c r="D23" s="49" t="n">
        <v>320.2</v>
      </c>
      <c r="E23" s="18" t="n">
        <v>10716</v>
      </c>
      <c r="F23" s="18" t="n">
        <v>10829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0</v>
      </c>
    </row>
    <row r="24">
      <c r="A24" s="15" t="inlineStr">
        <is>
          <t>30 Jun</t>
        </is>
      </c>
      <c r="B24" s="15" t="inlineStr">
        <is>
          <t>39336</t>
        </is>
      </c>
      <c r="C24" s="16" t="n">
        <v>0</v>
      </c>
      <c r="D24" s="49" t="n">
        <v>319.23</v>
      </c>
      <c r="E24" s="18" t="n">
        <v>10439</v>
      </c>
      <c r="F24" s="18" t="n">
        <v>10539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4</v>
      </c>
    </row>
    <row r="25">
      <c r="A25" s="15" t="inlineStr">
        <is>
          <t>30 Jun</t>
        </is>
      </c>
      <c r="B25" s="15" t="inlineStr">
        <is>
          <t>37163</t>
        </is>
      </c>
      <c r="C25" s="16" t="n">
        <v>0</v>
      </c>
      <c r="D25" s="49" t="n">
        <v>150.95</v>
      </c>
      <c r="E25" s="18" t="n">
        <v>10100</v>
      </c>
      <c r="F25" s="18" t="n">
        <v>10270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2</v>
      </c>
    </row>
    <row r="26">
      <c r="A26" s="15" t="inlineStr">
        <is>
          <t>30 Jun</t>
        </is>
      </c>
      <c r="B26" s="15" t="inlineStr">
        <is>
          <t>30339</t>
        </is>
      </c>
      <c r="C26" s="16" t="n">
        <v>0</v>
      </c>
      <c r="D26" s="49" t="n">
        <v>108.66</v>
      </c>
      <c r="E26" s="18" t="n">
        <v>10059</v>
      </c>
      <c r="F26" s="18" t="n">
        <v>10107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0</v>
      </c>
    </row>
    <row r="27">
      <c r="A27" s="15" t="inlineStr">
        <is>
          <t>30 Jun</t>
        </is>
      </c>
      <c r="B27" s="15" t="inlineStr">
        <is>
          <t>31509</t>
        </is>
      </c>
      <c r="C27" s="16" t="n">
        <v>0</v>
      </c>
      <c r="D27" s="49" t="n">
        <v>248.23</v>
      </c>
      <c r="E27" s="18" t="n">
        <v>9453</v>
      </c>
      <c r="F27" s="18" t="n">
        <v>9491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1</v>
      </c>
    </row>
    <row r="28">
      <c r="A28" s="15" t="inlineStr">
        <is>
          <t>30 Jun</t>
        </is>
      </c>
      <c r="B28" s="15" t="inlineStr">
        <is>
          <t>39024</t>
        </is>
      </c>
      <c r="C28" s="16" t="n">
        <v>0</v>
      </c>
      <c r="D28" s="49" t="n">
        <v>108.54</v>
      </c>
      <c r="E28" s="18" t="n">
        <v>8580</v>
      </c>
      <c r="F28" s="18" t="n">
        <v>8668</v>
      </c>
      <c r="G28" s="19">
        <f>IF(F28=0,0,E28/F28*100)</f>
        <v/>
      </c>
      <c r="H28" s="16" t="n">
        <v>0</v>
      </c>
      <c r="I28" s="16" t="n">
        <v>0</v>
      </c>
      <c r="J28" s="16" t="n">
        <v>0</v>
      </c>
      <c r="K28" s="16" t="n">
        <v>0</v>
      </c>
    </row>
    <row r="29">
      <c r="A29" s="15" t="inlineStr">
        <is>
          <t>30 Jun</t>
        </is>
      </c>
      <c r="B29" s="15" t="inlineStr">
        <is>
          <t>30608</t>
        </is>
      </c>
      <c r="C29" s="16" t="n">
        <v>0</v>
      </c>
      <c r="D29" s="49" t="n">
        <v>318.76</v>
      </c>
      <c r="E29" s="18" t="n">
        <v>8577</v>
      </c>
      <c r="F29" s="18" t="n">
        <v>8666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30 Jun</t>
        </is>
      </c>
      <c r="B30" s="15" t="inlineStr">
        <is>
          <t>39025</t>
        </is>
      </c>
      <c r="C30" s="16" t="n">
        <v>0</v>
      </c>
      <c r="D30" s="49" t="n">
        <v>220.27</v>
      </c>
      <c r="E30" s="18" t="n">
        <v>7677</v>
      </c>
      <c r="F30" s="18" t="n">
        <v>7679</v>
      </c>
      <c r="G30" s="19">
        <f>IF(F30=0,0,E30/F30*100)</f>
        <v/>
      </c>
      <c r="H30" s="16" t="n">
        <v>0</v>
      </c>
      <c r="I30" s="16" t="n">
        <v>0</v>
      </c>
      <c r="J30" s="16" t="n">
        <v>0</v>
      </c>
      <c r="K30" s="16" t="n">
        <v>1</v>
      </c>
    </row>
    <row r="31">
      <c r="A31" s="15" t="inlineStr">
        <is>
          <t>30 Jun</t>
        </is>
      </c>
      <c r="B31" s="15" t="inlineStr">
        <is>
          <t>39027</t>
        </is>
      </c>
      <c r="C31" s="16" t="n">
        <v>0</v>
      </c>
      <c r="D31" s="49" t="n">
        <v>181.09</v>
      </c>
      <c r="E31" s="18" t="n">
        <v>7489</v>
      </c>
      <c r="F31" s="18" t="n">
        <v>7489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30 Jun</t>
        </is>
      </c>
      <c r="B32" s="15" t="inlineStr">
        <is>
          <t>37746</t>
        </is>
      </c>
      <c r="C32" s="16" t="n">
        <v>0</v>
      </c>
      <c r="D32" s="49" t="n">
        <v>59.83</v>
      </c>
      <c r="E32" s="18" t="n">
        <v>2533</v>
      </c>
      <c r="F32" s="18" t="n">
        <v>2533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30 Jun</t>
        </is>
      </c>
      <c r="B33" s="15" t="inlineStr">
        <is>
          <t>37582</t>
        </is>
      </c>
      <c r="C33" s="16" t="n">
        <v>0</v>
      </c>
      <c r="D33" s="49" t="n">
        <v>88.42</v>
      </c>
      <c r="E33" s="18" t="n">
        <v>2026</v>
      </c>
      <c r="F33" s="18" t="n">
        <v>2382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5</v>
      </c>
    </row>
    <row r="34">
      <c r="A34" s="15" t="inlineStr">
        <is>
          <t>30 Jun</t>
        </is>
      </c>
      <c r="B34" s="15" t="inlineStr">
        <is>
          <t>30813</t>
        </is>
      </c>
      <c r="C34" s="16" t="n">
        <v>0</v>
      </c>
      <c r="D34" s="49" t="n">
        <v>9.91</v>
      </c>
      <c r="E34" s="18" t="n">
        <v>268</v>
      </c>
      <c r="F34" s="18" t="n">
        <v>337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30 Jun</t>
        </is>
      </c>
      <c r="B35" s="15" t="inlineStr">
        <is>
          <t>37184</t>
        </is>
      </c>
      <c r="C35" s="16" t="n">
        <v>0</v>
      </c>
      <c r="D35" s="49" t="n">
        <v>0.36</v>
      </c>
      <c r="E35" s="18" t="n">
        <v>0</v>
      </c>
      <c r="F35" s="18" t="n">
        <v>93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20" t="inlineStr">
        <is>
          <t>30 Jun</t>
        </is>
      </c>
      <c r="B36" s="20" t="inlineStr">
        <is>
          <t>Day Total</t>
        </is>
      </c>
      <c r="C36" s="21">
        <f>SUM(C4:C35)</f>
        <v/>
      </c>
      <c r="D36" s="50">
        <f>SUM(D4:D35)</f>
        <v/>
      </c>
      <c r="E36" s="23">
        <f>SUM(E4:E35)</f>
        <v/>
      </c>
      <c r="F36" s="23">
        <f>SUMIF(E4:E35,"&gt;0",F4:F35)</f>
        <v/>
      </c>
      <c r="G36" s="24">
        <f>IF(F36=0,0,E36/F36*100)</f>
        <v/>
      </c>
      <c r="H36" s="21">
        <f>SUM(H4:H35)</f>
        <v/>
      </c>
      <c r="I36" s="21">
        <f>SUM(I4:I35)</f>
        <v/>
      </c>
      <c r="J36" s="21">
        <f>SUM(J4:J35)</f>
        <v/>
      </c>
      <c r="K36" s="21">
        <f>SUM(K4:K35)</f>
        <v/>
      </c>
    </row>
    <row r="37">
      <c r="A37" s="25" t="inlineStr">
        <is>
          <t>GRAND TOTAL</t>
        </is>
      </c>
      <c r="B37" s="25" t="n"/>
      <c r="C37" s="26">
        <f>C36</f>
        <v/>
      </c>
      <c r="D37" s="51">
        <f>D36</f>
        <v/>
      </c>
      <c r="E37" s="28">
        <f>E36</f>
        <v/>
      </c>
      <c r="F37" s="28">
        <f>F36</f>
        <v/>
      </c>
      <c r="G37" s="29">
        <f>IF(F37=0,0,E37/F37*100)</f>
        <v/>
      </c>
      <c r="H37" s="26">
        <f>H36</f>
        <v/>
      </c>
      <c r="I37" s="26">
        <f>I36</f>
        <v/>
      </c>
      <c r="J37" s="26">
        <f>J36</f>
        <v/>
      </c>
      <c r="K37" s="26">
        <f>K36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4" customWidth="1" min="17" max="17"/>
    <col width="13" customWidth="1" min="18" max="18"/>
    <col width="14" customWidth="1" min="19" max="19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2   ·   Valid trips = 1   ·   Non-valid trips = 1   ·   Undesirable = 2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Points/Track condition</t>
        </is>
      </c>
      <c r="R5" s="14" t="inlineStr">
        <is>
          <t>Signal Aspect Analysis</t>
        </is>
      </c>
      <c r="S5" s="14" t="inlineStr">
        <is>
          <t>Loco Type</t>
        </is>
      </c>
    </row>
    <row r="6">
      <c r="A6" s="16" t="inlineStr">
        <is>
          <t>30 Jun</t>
        </is>
      </c>
      <c r="B6" s="16" t="inlineStr">
        <is>
          <t>39258</t>
        </is>
      </c>
      <c r="C6" s="16" t="inlineStr">
        <is>
          <t>Valid</t>
        </is>
      </c>
      <c r="D6" s="16" t="inlineStr">
        <is>
          <t>00:07:10</t>
        </is>
      </c>
      <c r="E6" s="16" t="inlineStr">
        <is>
          <t>00:08:28</t>
        </is>
      </c>
      <c r="F6" s="16" t="n">
        <v>78</v>
      </c>
      <c r="G6" s="16" t="n">
        <v>40</v>
      </c>
      <c r="H6" s="16" t="n">
        <v>9</v>
      </c>
      <c r="I6" s="16" t="inlineStr">
        <is>
          <t>TRIP</t>
        </is>
      </c>
      <c r="J6" s="31" t="n">
        <v>1240.72</v>
      </c>
      <c r="K6" s="16" t="inlineStr">
        <is>
          <t>R</t>
        </is>
      </c>
      <c r="L6" s="16" t="inlineStr">
        <is>
          <t>IBH 265</t>
        </is>
      </c>
      <c r="M6" s="32" t="inlineStr">
        <is>
          <t>9 km/h</t>
        </is>
      </c>
      <c r="N6" s="32" t="inlineStr">
        <is>
          <t>250</t>
        </is>
      </c>
      <c r="O6" s="16" t="inlineStr">
        <is>
          <t>-</t>
        </is>
      </c>
      <c r="P6" s="33" t="inlineStr">
        <is>
          <t>Trip mode</t>
        </is>
      </c>
      <c r="Q6" s="32" t="inlineStr">
        <is>
          <t>-</t>
        </is>
      </c>
      <c r="R6" s="32" t="inlineStr">
        <is>
          <t>-</t>
        </is>
      </c>
      <c r="S6" s="16" t="inlineStr">
        <is>
          <t>Medha/Kernex</t>
        </is>
      </c>
    </row>
    <row r="7" ht="34" customHeight="1">
      <c r="A7" s="34" t="inlineStr">
        <is>
          <t>30 Jun</t>
        </is>
      </c>
      <c r="B7" s="34" t="inlineStr">
        <is>
          <t>37515</t>
        </is>
      </c>
      <c r="C7" s="34" t="inlineStr">
        <is>
          <t>Non-Valid</t>
        </is>
      </c>
      <c r="D7" s="34" t="inlineStr">
        <is>
          <t>03:44:08</t>
        </is>
      </c>
      <c r="E7" s="34" t="inlineStr">
        <is>
          <t>03:44:22</t>
        </is>
      </c>
      <c r="F7" s="34" t="n">
        <v>14</v>
      </c>
      <c r="G7" s="34" t="n">
        <v>8</v>
      </c>
      <c r="H7" s="34" t="n">
        <v>2</v>
      </c>
      <c r="I7" s="34" t="inlineStr">
        <is>
          <t>TRIP</t>
        </is>
      </c>
      <c r="J7" s="35" t="n">
        <v>1091.17</v>
      </c>
      <c r="K7" s="34" t="inlineStr">
        <is>
          <t>N</t>
        </is>
      </c>
      <c r="L7" s="34" t="inlineStr">
        <is>
          <t>Gangapur City(GGC)</t>
        </is>
      </c>
      <c r="M7" s="36" t="inlineStr">
        <is>
          <t>2 km/h</t>
        </is>
      </c>
      <c r="N7" s="36" t="inlineStr">
        <is>
          <t>0
MA dropped from 1010 to 0.</t>
        </is>
      </c>
      <c r="O7" s="34" t="inlineStr">
        <is>
          <t>-</t>
        </is>
      </c>
      <c r="P7" s="33" t="inlineStr">
        <is>
          <t>Sudden MA drop; Trip mode</t>
        </is>
      </c>
      <c r="Q7" s="36" t="inlineStr">
        <is>
          <t>-</t>
        </is>
      </c>
      <c r="R7" s="36" t="inlineStr">
        <is>
          <t>-</t>
        </is>
      </c>
      <c r="S7" s="34" t="inlineStr">
        <is>
          <t>Medha/Kernex</t>
        </is>
      </c>
    </row>
  </sheetData>
  <mergeCells count="2">
    <mergeCell ref="A3:S3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64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</row>
    <row r="6">
      <c r="A6" s="34" t="inlineStr">
        <is>
          <t>30 Jun</t>
        </is>
      </c>
      <c r="B6" s="34" t="inlineStr">
        <is>
          <t>37366</t>
        </is>
      </c>
      <c r="C6" s="34" t="inlineStr">
        <is>
          <t>FS</t>
        </is>
      </c>
      <c r="D6" s="34" t="inlineStr">
        <is>
          <t>SR</t>
        </is>
      </c>
      <c r="E6" s="34" t="inlineStr">
        <is>
          <t>00:00:08</t>
        </is>
      </c>
      <c r="F6" s="34" t="inlineStr">
        <is>
          <t>00:00:28</t>
        </is>
      </c>
      <c r="G6" s="34" t="n">
        <v>20</v>
      </c>
      <c r="H6" s="34" t="n">
        <v>22</v>
      </c>
      <c r="I6" s="35" t="n">
        <v>1109.15</v>
      </c>
      <c r="J6" s="34" t="inlineStr">
        <is>
          <t>Piloda(PDZ)</t>
        </is>
      </c>
      <c r="K6" s="34" t="inlineStr">
        <is>
          <t>R</t>
        </is>
      </c>
      <c r="L6" s="34" t="inlineStr">
        <is>
          <t>Non-Valid</t>
        </is>
      </c>
    </row>
    <row r="7">
      <c r="A7" s="34" t="inlineStr">
        <is>
          <t>30 Jun</t>
        </is>
      </c>
      <c r="B7" s="34" t="inlineStr">
        <is>
          <t>30390</t>
        </is>
      </c>
      <c r="C7" s="34" t="inlineStr">
        <is>
          <t>FS</t>
        </is>
      </c>
      <c r="D7" s="34" t="inlineStr">
        <is>
          <t>SR</t>
        </is>
      </c>
      <c r="E7" s="34" t="inlineStr">
        <is>
          <t>00:05:44</t>
        </is>
      </c>
      <c r="F7" s="34" t="inlineStr">
        <is>
          <t>00:07:18</t>
        </is>
      </c>
      <c r="G7" s="34" t="n">
        <v>94</v>
      </c>
      <c r="H7" s="34" t="n">
        <v>65</v>
      </c>
      <c r="I7" s="35" t="n">
        <v>748.1900000000001</v>
      </c>
      <c r="J7" s="34" t="inlineStr">
        <is>
          <t>IBH-27</t>
        </is>
      </c>
      <c r="K7" s="34" t="inlineStr">
        <is>
          <t>U</t>
        </is>
      </c>
      <c r="L7" s="34" t="inlineStr">
        <is>
          <t>Non-Valid</t>
        </is>
      </c>
    </row>
    <row r="8">
      <c r="A8" s="34" t="inlineStr">
        <is>
          <t>30 Jun</t>
        </is>
      </c>
      <c r="B8" s="34" t="inlineStr">
        <is>
          <t>30390</t>
        </is>
      </c>
      <c r="C8" s="34" t="inlineStr">
        <is>
          <t>OS</t>
        </is>
      </c>
      <c r="D8" s="34" t="inlineStr">
        <is>
          <t>SR</t>
        </is>
      </c>
      <c r="E8" s="34" t="inlineStr">
        <is>
          <t>00:07:20</t>
        </is>
      </c>
      <c r="F8" s="34" t="inlineStr">
        <is>
          <t>00:07:20</t>
        </is>
      </c>
      <c r="G8" s="34" t="n">
        <v>0</v>
      </c>
      <c r="H8" s="34" t="n">
        <v>1</v>
      </c>
      <c r="I8" s="35" t="n">
        <v>750.12</v>
      </c>
      <c r="J8" s="34" t="inlineStr">
        <is>
          <t>LC-28</t>
        </is>
      </c>
      <c r="K8" s="34" t="inlineStr">
        <is>
          <t>N</t>
        </is>
      </c>
      <c r="L8" s="34" t="inlineStr">
        <is>
          <t>Non-Valid</t>
        </is>
      </c>
    </row>
    <row r="9">
      <c r="A9" s="16" t="inlineStr">
        <is>
          <t>30 Jun</t>
        </is>
      </c>
      <c r="B9" s="16" t="inlineStr">
        <is>
          <t>39258</t>
        </is>
      </c>
      <c r="C9" s="16" t="inlineStr">
        <is>
          <t>OS</t>
        </is>
      </c>
      <c r="D9" s="16" t="inlineStr">
        <is>
          <t>SR</t>
        </is>
      </c>
      <c r="E9" s="16" t="inlineStr">
        <is>
          <t>00:13:54</t>
        </is>
      </c>
      <c r="F9" s="16" t="inlineStr">
        <is>
          <t>00:13:54</t>
        </is>
      </c>
      <c r="G9" s="16" t="n">
        <v>0</v>
      </c>
      <c r="H9" s="16" t="n">
        <v>1</v>
      </c>
      <c r="I9" s="31" t="n">
        <v>1237.2</v>
      </c>
      <c r="J9" s="16" t="inlineStr">
        <is>
          <t>Murhesi Rampur(MSRP)</t>
        </is>
      </c>
      <c r="K9" s="16" t="inlineStr">
        <is>
          <t>U</t>
        </is>
      </c>
      <c r="L9" s="16" t="inlineStr">
        <is>
          <t>Valid</t>
        </is>
      </c>
    </row>
    <row r="10">
      <c r="A10" s="16" t="inlineStr">
        <is>
          <t>30 Jun</t>
        </is>
      </c>
      <c r="B10" s="16" t="inlineStr">
        <is>
          <t>39258</t>
        </is>
      </c>
      <c r="C10" s="16" t="inlineStr">
        <is>
          <t>OS</t>
        </is>
      </c>
      <c r="D10" s="16" t="inlineStr">
        <is>
          <t>SR</t>
        </is>
      </c>
      <c r="E10" s="16" t="inlineStr">
        <is>
          <t>00:13:56</t>
        </is>
      </c>
      <c r="F10" s="16" t="inlineStr">
        <is>
          <t>00:17:18</t>
        </is>
      </c>
      <c r="G10" s="16" t="n">
        <v>202</v>
      </c>
      <c r="H10" s="16" t="n">
        <v>133</v>
      </c>
      <c r="I10" s="31" t="n">
        <v>1236.72</v>
      </c>
      <c r="J10" s="16" t="inlineStr">
        <is>
          <t>Murhesi Rampur(MSRP)</t>
        </is>
      </c>
      <c r="K10" s="16" t="inlineStr">
        <is>
          <t>U</t>
        </is>
      </c>
      <c r="L10" s="16" t="inlineStr">
        <is>
          <t>Valid</t>
        </is>
      </c>
    </row>
    <row r="11">
      <c r="A11" s="34" t="inlineStr">
        <is>
          <t>30 Jun</t>
        </is>
      </c>
      <c r="B11" s="34" t="inlineStr">
        <is>
          <t>39236</t>
        </is>
      </c>
      <c r="C11" s="34" t="inlineStr">
        <is>
          <t>FS</t>
        </is>
      </c>
      <c r="D11" s="34" t="inlineStr">
        <is>
          <t>SR</t>
        </is>
      </c>
      <c r="E11" s="34" t="inlineStr">
        <is>
          <t>01:29:20</t>
        </is>
      </c>
      <c r="F11" s="34" t="inlineStr">
        <is>
          <t>01:31:02</t>
        </is>
      </c>
      <c r="G11" s="34" t="n">
        <v>102</v>
      </c>
      <c r="H11" s="34" t="n">
        <v>68</v>
      </c>
      <c r="I11" s="35" t="n">
        <v>748.16</v>
      </c>
      <c r="J11" s="34" t="inlineStr">
        <is>
          <t>IBH-27</t>
        </is>
      </c>
      <c r="K11" s="34" t="inlineStr">
        <is>
          <t>U</t>
        </is>
      </c>
      <c r="L11" s="34" t="inlineStr">
        <is>
          <t>Non-Valid</t>
        </is>
      </c>
    </row>
    <row r="12">
      <c r="A12" s="34" t="inlineStr">
        <is>
          <t>30 Jun</t>
        </is>
      </c>
      <c r="B12" s="34" t="inlineStr">
        <is>
          <t>39236</t>
        </is>
      </c>
      <c r="C12" s="34" t="inlineStr">
        <is>
          <t>OS</t>
        </is>
      </c>
      <c r="D12" s="34" t="inlineStr">
        <is>
          <t>SR</t>
        </is>
      </c>
      <c r="E12" s="34" t="inlineStr">
        <is>
          <t>01:31:04</t>
        </is>
      </c>
      <c r="F12" s="34" t="inlineStr">
        <is>
          <t>01:31:04</t>
        </is>
      </c>
      <c r="G12" s="34" t="n">
        <v>0</v>
      </c>
      <c r="H12" s="34" t="n">
        <v>1</v>
      </c>
      <c r="I12" s="35" t="n">
        <v>750.02</v>
      </c>
      <c r="J12" s="34" t="inlineStr">
        <is>
          <t>LC-28</t>
        </is>
      </c>
      <c r="K12" s="34" t="inlineStr">
        <is>
          <t>N</t>
        </is>
      </c>
      <c r="L12" s="34" t="inlineStr">
        <is>
          <t>Non-Valid</t>
        </is>
      </c>
    </row>
    <row r="13">
      <c r="A13" s="34" t="inlineStr">
        <is>
          <t>30 Jun</t>
        </is>
      </c>
      <c r="B13" s="34" t="inlineStr">
        <is>
          <t>37839</t>
        </is>
      </c>
      <c r="C13" s="34" t="inlineStr">
        <is>
          <t>FS</t>
        </is>
      </c>
      <c r="D13" s="34" t="inlineStr">
        <is>
          <t>SR</t>
        </is>
      </c>
      <c r="E13" s="34" t="inlineStr">
        <is>
          <t>02:15:44</t>
        </is>
      </c>
      <c r="F13" s="34" t="inlineStr">
        <is>
          <t>02:15:44</t>
        </is>
      </c>
      <c r="G13" s="34" t="n">
        <v>0</v>
      </c>
      <c r="H13" s="34" t="n">
        <v>1</v>
      </c>
      <c r="I13" s="35" t="n">
        <v>750.37</v>
      </c>
      <c r="J13" s="34" t="inlineStr">
        <is>
          <t>LC-28</t>
        </is>
      </c>
      <c r="K13" s="34" t="inlineStr">
        <is>
          <t>R</t>
        </is>
      </c>
      <c r="L13" s="34" t="inlineStr">
        <is>
          <t>Non-Valid</t>
        </is>
      </c>
    </row>
    <row r="14">
      <c r="A14" s="34" t="inlineStr">
        <is>
          <t>30 Jun</t>
        </is>
      </c>
      <c r="B14" s="34" t="inlineStr">
        <is>
          <t>37839</t>
        </is>
      </c>
      <c r="C14" s="34" t="inlineStr">
        <is>
          <t>FS</t>
        </is>
      </c>
      <c r="D14" s="34" t="inlineStr">
        <is>
          <t>SR</t>
        </is>
      </c>
      <c r="E14" s="34" t="inlineStr">
        <is>
          <t>02:15:46</t>
        </is>
      </c>
      <c r="F14" s="34" t="inlineStr">
        <is>
          <t>02:16:02</t>
        </is>
      </c>
      <c r="G14" s="34" t="n">
        <v>16</v>
      </c>
      <c r="H14" s="34" t="n">
        <v>18</v>
      </c>
      <c r="I14" s="35" t="n">
        <v>750.3200000000001</v>
      </c>
      <c r="J14" s="34" t="inlineStr">
        <is>
          <t>LC-28</t>
        </is>
      </c>
      <c r="K14" s="34" t="inlineStr">
        <is>
          <t>R</t>
        </is>
      </c>
      <c r="L14" s="34" t="inlineStr">
        <is>
          <t>Non-Valid</t>
        </is>
      </c>
    </row>
    <row r="15">
      <c r="A15" s="34" t="inlineStr">
        <is>
          <t>30 Jun</t>
        </is>
      </c>
      <c r="B15" s="34" t="inlineStr">
        <is>
          <t>37839</t>
        </is>
      </c>
      <c r="C15" s="34" t="inlineStr">
        <is>
          <t>OS</t>
        </is>
      </c>
      <c r="D15" s="34" t="inlineStr">
        <is>
          <t>SR</t>
        </is>
      </c>
      <c r="E15" s="34" t="inlineStr">
        <is>
          <t>02:16:04</t>
        </is>
      </c>
      <c r="F15" s="34" t="inlineStr">
        <is>
          <t>02:16:04</t>
        </is>
      </c>
      <c r="G15" s="34" t="n">
        <v>0</v>
      </c>
      <c r="H15" s="34" t="n">
        <v>1</v>
      </c>
      <c r="I15" s="35" t="n">
        <v>750.08</v>
      </c>
      <c r="J15" s="34" t="inlineStr">
        <is>
          <t>LC-28</t>
        </is>
      </c>
      <c r="K15" s="34" t="inlineStr">
        <is>
          <t>R</t>
        </is>
      </c>
      <c r="L15" s="34" t="inlineStr">
        <is>
          <t>Non-Valid</t>
        </is>
      </c>
    </row>
    <row r="16">
      <c r="A16" s="34" t="inlineStr">
        <is>
          <t>30 Jun</t>
        </is>
      </c>
      <c r="B16" s="34" t="inlineStr">
        <is>
          <t>30206</t>
        </is>
      </c>
      <c r="C16" s="34" t="inlineStr">
        <is>
          <t>StandBy</t>
        </is>
      </c>
      <c r="D16" s="34" t="inlineStr">
        <is>
          <t>SR</t>
        </is>
      </c>
      <c r="E16" s="34" t="inlineStr">
        <is>
          <t>02:32:10</t>
        </is>
      </c>
      <c r="F16" s="34" t="inlineStr">
        <is>
          <t>02:34:06</t>
        </is>
      </c>
      <c r="G16" s="34" t="n">
        <v>116</v>
      </c>
      <c r="H16" s="34" t="n">
        <v>93</v>
      </c>
      <c r="I16" s="35" t="n">
        <v>1169.91</v>
      </c>
      <c r="J16" s="34" t="inlineStr">
        <is>
          <t>Bayana Jn.(BXN)</t>
        </is>
      </c>
      <c r="K16" s="34" t="inlineStr">
        <is>
          <t>U</t>
        </is>
      </c>
      <c r="L16" s="34" t="inlineStr">
        <is>
          <t>Non-Valid</t>
        </is>
      </c>
    </row>
    <row r="17">
      <c r="A17" s="34" t="inlineStr">
        <is>
          <t>30 Jun</t>
        </is>
      </c>
      <c r="B17" s="34" t="inlineStr">
        <is>
          <t>30206</t>
        </is>
      </c>
      <c r="C17" s="34" t="inlineStr">
        <is>
          <t>OS</t>
        </is>
      </c>
      <c r="D17" s="34" t="inlineStr">
        <is>
          <t>SR</t>
        </is>
      </c>
      <c r="E17" s="34" t="inlineStr">
        <is>
          <t>02:34:08</t>
        </is>
      </c>
      <c r="F17" s="34" t="inlineStr">
        <is>
          <t>02:34:08</t>
        </is>
      </c>
      <c r="G17" s="34" t="n">
        <v>0</v>
      </c>
      <c r="H17" s="34" t="n">
        <v>1</v>
      </c>
      <c r="I17" s="35" t="n">
        <v>1170.33</v>
      </c>
      <c r="J17" s="34" t="inlineStr">
        <is>
          <t>Bayana Jn.(BXN)</t>
        </is>
      </c>
      <c r="K17" s="34" t="inlineStr">
        <is>
          <t>N</t>
        </is>
      </c>
      <c r="L17" s="34" t="inlineStr">
        <is>
          <t>Non-Valid</t>
        </is>
      </c>
    </row>
    <row r="18">
      <c r="A18" s="34" t="inlineStr">
        <is>
          <t>30 Jun</t>
        </is>
      </c>
      <c r="B18" s="34" t="inlineStr">
        <is>
          <t>37515</t>
        </is>
      </c>
      <c r="C18" s="34" t="inlineStr">
        <is>
          <t>FS</t>
        </is>
      </c>
      <c r="D18" s="34" t="inlineStr">
        <is>
          <t>SR</t>
        </is>
      </c>
      <c r="E18" s="34" t="inlineStr">
        <is>
          <t>03:19:58</t>
        </is>
      </c>
      <c r="F18" s="34" t="inlineStr">
        <is>
          <t>03:19:58</t>
        </is>
      </c>
      <c r="G18" s="34" t="n">
        <v>0</v>
      </c>
      <c r="H18" s="34" t="n">
        <v>1</v>
      </c>
      <c r="I18" s="35" t="n">
        <v>1050.71</v>
      </c>
      <c r="J18" s="34" t="inlineStr">
        <is>
          <t>LC-163</t>
        </is>
      </c>
      <c r="K18" s="34" t="inlineStr">
        <is>
          <t>N</t>
        </is>
      </c>
      <c r="L18" s="34" t="inlineStr">
        <is>
          <t>Non-Valid</t>
        </is>
      </c>
    </row>
    <row r="19">
      <c r="A19" s="34" t="inlineStr">
        <is>
          <t>30 Jun</t>
        </is>
      </c>
      <c r="B19" s="34" t="inlineStr">
        <is>
          <t>37515</t>
        </is>
      </c>
      <c r="C19" s="34" t="inlineStr">
        <is>
          <t>FS</t>
        </is>
      </c>
      <c r="D19" s="34" t="inlineStr">
        <is>
          <t>SR</t>
        </is>
      </c>
      <c r="E19" s="34" t="inlineStr">
        <is>
          <t>03:20:00</t>
        </is>
      </c>
      <c r="F19" s="34" t="inlineStr">
        <is>
          <t>03:20:02</t>
        </is>
      </c>
      <c r="G19" s="34" t="n">
        <v>2</v>
      </c>
      <c r="H19" s="34" t="n">
        <v>4</v>
      </c>
      <c r="I19" s="35" t="n">
        <v>1050.8</v>
      </c>
      <c r="J19" s="34" t="inlineStr">
        <is>
          <t>LC-163</t>
        </is>
      </c>
      <c r="K19" s="34" t="inlineStr">
        <is>
          <t>N</t>
        </is>
      </c>
      <c r="L19" s="34" t="inlineStr">
        <is>
          <t>Non-Valid</t>
        </is>
      </c>
    </row>
    <row r="20">
      <c r="A20" s="34" t="inlineStr">
        <is>
          <t>30 Jun</t>
        </is>
      </c>
      <c r="B20" s="34" t="inlineStr">
        <is>
          <t>37515</t>
        </is>
      </c>
      <c r="C20" s="34" t="inlineStr">
        <is>
          <t>OS</t>
        </is>
      </c>
      <c r="D20" s="34" t="inlineStr">
        <is>
          <t>SR</t>
        </is>
      </c>
      <c r="E20" s="34" t="inlineStr">
        <is>
          <t>03:20:04</t>
        </is>
      </c>
      <c r="F20" s="34" t="inlineStr">
        <is>
          <t>03:20:04</t>
        </is>
      </c>
      <c r="G20" s="34" t="n">
        <v>0</v>
      </c>
      <c r="H20" s="34" t="n">
        <v>1</v>
      </c>
      <c r="I20" s="35" t="n">
        <v>1050.88</v>
      </c>
      <c r="J20" s="34" t="inlineStr">
        <is>
          <t>LC-163</t>
        </is>
      </c>
      <c r="K20" s="34" t="inlineStr">
        <is>
          <t>N</t>
        </is>
      </c>
      <c r="L20" s="34" t="inlineStr">
        <is>
          <t>Non-Valid</t>
        </is>
      </c>
    </row>
    <row r="21">
      <c r="A21" s="34" t="inlineStr">
        <is>
          <t>30 Jun</t>
        </is>
      </c>
      <c r="B21" s="34" t="inlineStr">
        <is>
          <t>30206</t>
        </is>
      </c>
      <c r="C21" s="34" t="inlineStr">
        <is>
          <t>FS</t>
        </is>
      </c>
      <c r="D21" s="34" t="inlineStr">
        <is>
          <t>SR</t>
        </is>
      </c>
      <c r="E21" s="34" t="inlineStr">
        <is>
          <t>03:28:08</t>
        </is>
      </c>
      <c r="F21" s="34" t="inlineStr">
        <is>
          <t>03:28:08</t>
        </is>
      </c>
      <c r="G21" s="34" t="n">
        <v>0</v>
      </c>
      <c r="H21" s="34" t="n">
        <v>1</v>
      </c>
      <c r="I21" s="35" t="n">
        <v>1240.14</v>
      </c>
      <c r="J21" s="34" t="inlineStr">
        <is>
          <t>IBH 265</t>
        </is>
      </c>
      <c r="K21" s="34" t="inlineStr">
        <is>
          <t>N</t>
        </is>
      </c>
      <c r="L21" s="34" t="inlineStr">
        <is>
          <t>Non-Valid</t>
        </is>
      </c>
    </row>
    <row r="22">
      <c r="A22" s="34" t="inlineStr">
        <is>
          <t>30 Jun</t>
        </is>
      </c>
      <c r="B22" s="34" t="inlineStr">
        <is>
          <t>30429</t>
        </is>
      </c>
      <c r="C22" s="34" t="inlineStr">
        <is>
          <t>FS</t>
        </is>
      </c>
      <c r="D22" s="34" t="inlineStr">
        <is>
          <t>SR</t>
        </is>
      </c>
      <c r="E22" s="34" t="inlineStr">
        <is>
          <t>03:53:08</t>
        </is>
      </c>
      <c r="F22" s="34" t="inlineStr">
        <is>
          <t>03:53:08</t>
        </is>
      </c>
      <c r="G22" s="34" t="n">
        <v>0</v>
      </c>
      <c r="H22" s="34" t="n">
        <v>1</v>
      </c>
      <c r="I22" s="35" t="n">
        <v>926.8</v>
      </c>
      <c r="J22" s="34" t="inlineStr">
        <is>
          <t>Gurla(GQL)</t>
        </is>
      </c>
      <c r="K22" s="34" t="inlineStr">
        <is>
          <t>R</t>
        </is>
      </c>
      <c r="L22" s="34" t="inlineStr">
        <is>
          <t>Non-Valid</t>
        </is>
      </c>
    </row>
    <row r="23">
      <c r="A23" s="34" t="inlineStr">
        <is>
          <t>30 Jun</t>
        </is>
      </c>
      <c r="B23" s="34" t="inlineStr">
        <is>
          <t>37515</t>
        </is>
      </c>
      <c r="C23" s="34" t="inlineStr">
        <is>
          <t>StandBy</t>
        </is>
      </c>
      <c r="D23" s="34" t="inlineStr">
        <is>
          <t>SR</t>
        </is>
      </c>
      <c r="E23" s="34" t="inlineStr">
        <is>
          <t>03:55:22</t>
        </is>
      </c>
      <c r="F23" s="34" t="inlineStr">
        <is>
          <t>04:16:16</t>
        </is>
      </c>
      <c r="G23" s="34" t="n">
        <v>1254</v>
      </c>
      <c r="H23" s="34" t="n">
        <v>627</v>
      </c>
      <c r="I23" s="35" t="n">
        <v>1092.55</v>
      </c>
      <c r="J23" s="34" t="inlineStr">
        <is>
          <t>Gangapur City(GGC)</t>
        </is>
      </c>
      <c r="K23" s="34" t="inlineStr">
        <is>
          <t>U</t>
        </is>
      </c>
      <c r="L23" s="34" t="inlineStr">
        <is>
          <t>Non-Valid</t>
        </is>
      </c>
    </row>
    <row r="24">
      <c r="A24" s="34" t="inlineStr">
        <is>
          <t>30 Jun</t>
        </is>
      </c>
      <c r="B24" s="34" t="inlineStr">
        <is>
          <t>37515</t>
        </is>
      </c>
      <c r="C24" s="34" t="inlineStr">
        <is>
          <t>FS</t>
        </is>
      </c>
      <c r="D24" s="34" t="inlineStr">
        <is>
          <t>SR</t>
        </is>
      </c>
      <c r="E24" s="34" t="inlineStr">
        <is>
          <t>05:57:52</t>
        </is>
      </c>
      <c r="F24" s="34" t="inlineStr">
        <is>
          <t>05:59:30</t>
        </is>
      </c>
      <c r="G24" s="34" t="n">
        <v>98</v>
      </c>
      <c r="H24" s="34" t="n">
        <v>64</v>
      </c>
      <c r="I24" s="35" t="n">
        <v>1210.01</v>
      </c>
      <c r="J24" s="34" t="inlineStr">
        <is>
          <t>Bharatpur Jn.(BTE)</t>
        </is>
      </c>
      <c r="K24" s="34" t="inlineStr">
        <is>
          <t>U</t>
        </is>
      </c>
      <c r="L24" s="34" t="inlineStr">
        <is>
          <t>Non-Valid</t>
        </is>
      </c>
    </row>
    <row r="25">
      <c r="A25" s="34" t="inlineStr">
        <is>
          <t>30 Jun</t>
        </is>
      </c>
      <c r="B25" s="34" t="inlineStr">
        <is>
          <t>39236</t>
        </is>
      </c>
      <c r="C25" s="34" t="inlineStr">
        <is>
          <t>FS</t>
        </is>
      </c>
      <c r="D25" s="34" t="inlineStr">
        <is>
          <t>SR</t>
        </is>
      </c>
      <c r="E25" s="34" t="inlineStr">
        <is>
          <t>06:06:00</t>
        </is>
      </c>
      <c r="F25" s="34" t="inlineStr">
        <is>
          <t>06:06:02</t>
        </is>
      </c>
      <c r="G25" s="34" t="n">
        <v>2</v>
      </c>
      <c r="H25" s="34" t="n">
        <v>4</v>
      </c>
      <c r="I25" s="35" t="n">
        <v>1007.4</v>
      </c>
      <c r="J25" s="34" t="inlineStr">
        <is>
          <t>Amli(AMLI)</t>
        </is>
      </c>
      <c r="K25" s="34" t="inlineStr">
        <is>
          <t>N</t>
        </is>
      </c>
      <c r="L25" s="34" t="inlineStr">
        <is>
          <t>Non-Valid</t>
        </is>
      </c>
    </row>
    <row r="26">
      <c r="A26" s="34" t="inlineStr">
        <is>
          <t>30 Jun</t>
        </is>
      </c>
      <c r="B26" s="34" t="inlineStr">
        <is>
          <t>39236</t>
        </is>
      </c>
      <c r="C26" s="34" t="inlineStr">
        <is>
          <t>OS</t>
        </is>
      </c>
      <c r="D26" s="34" t="inlineStr">
        <is>
          <t>SR</t>
        </is>
      </c>
      <c r="E26" s="34" t="inlineStr">
        <is>
          <t>06:06:30</t>
        </is>
      </c>
      <c r="F26" s="34" t="inlineStr">
        <is>
          <t>06:06:48</t>
        </is>
      </c>
      <c r="G26" s="34" t="n">
        <v>18</v>
      </c>
      <c r="H26" s="34" t="n">
        <v>20</v>
      </c>
      <c r="I26" s="35" t="n">
        <v>1007.9</v>
      </c>
      <c r="J26" s="34" t="inlineStr">
        <is>
          <t>6.25 KM from AMLI</t>
        </is>
      </c>
      <c r="K26" s="34" t="inlineStr">
        <is>
          <t>N</t>
        </is>
      </c>
      <c r="L26" s="34" t="inlineStr">
        <is>
          <t>Non-Valid</t>
        </is>
      </c>
    </row>
    <row r="27">
      <c r="A27" s="34" t="inlineStr">
        <is>
          <t>30 Jun</t>
        </is>
      </c>
      <c r="B27" s="34" t="inlineStr">
        <is>
          <t>39336</t>
        </is>
      </c>
      <c r="C27" s="34" t="inlineStr">
        <is>
          <t>FS</t>
        </is>
      </c>
      <c r="D27" s="34" t="inlineStr">
        <is>
          <t>SR</t>
        </is>
      </c>
      <c r="E27" s="34" t="inlineStr">
        <is>
          <t>06:48:32</t>
        </is>
      </c>
      <c r="F27" s="34" t="inlineStr">
        <is>
          <t>06:49:14</t>
        </is>
      </c>
      <c r="G27" s="34" t="n">
        <v>42</v>
      </c>
      <c r="H27" s="34" t="n">
        <v>22</v>
      </c>
      <c r="I27" s="35" t="n">
        <v>1091.54</v>
      </c>
      <c r="J27" s="34" t="inlineStr">
        <is>
          <t>Gangapur City(GGC)</t>
        </is>
      </c>
      <c r="K27" s="34" t="inlineStr">
        <is>
          <t>U</t>
        </is>
      </c>
      <c r="L27" s="34" t="inlineStr">
        <is>
          <t>Non-Valid</t>
        </is>
      </c>
    </row>
    <row r="28">
      <c r="A28" s="34" t="inlineStr">
        <is>
          <t>30 Jun</t>
        </is>
      </c>
      <c r="B28" s="34" t="inlineStr">
        <is>
          <t>39236</t>
        </is>
      </c>
      <c r="C28" s="34" t="inlineStr">
        <is>
          <t>FS</t>
        </is>
      </c>
      <c r="D28" s="34" t="inlineStr">
        <is>
          <t>SR</t>
        </is>
      </c>
      <c r="E28" s="34" t="inlineStr">
        <is>
          <t>07:05:26</t>
        </is>
      </c>
      <c r="F28" s="34" t="inlineStr">
        <is>
          <t>07:06:32</t>
        </is>
      </c>
      <c r="G28" s="34" t="n">
        <v>66</v>
      </c>
      <c r="H28" s="34" t="n">
        <v>36</v>
      </c>
      <c r="I28" s="35" t="n">
        <v>1091.49</v>
      </c>
      <c r="J28" s="34" t="inlineStr">
        <is>
          <t>Gangapur City(GGC)</t>
        </is>
      </c>
      <c r="K28" s="34" t="inlineStr">
        <is>
          <t>U</t>
        </is>
      </c>
      <c r="L28" s="34" t="inlineStr">
        <is>
          <t>Non-Valid</t>
        </is>
      </c>
    </row>
    <row r="29">
      <c r="A29" s="34" t="inlineStr">
        <is>
          <t>30 Jun</t>
        </is>
      </c>
      <c r="B29" s="34" t="inlineStr">
        <is>
          <t>39336</t>
        </is>
      </c>
      <c r="C29" s="34" t="inlineStr">
        <is>
          <t>FS</t>
        </is>
      </c>
      <c r="D29" s="34" t="inlineStr">
        <is>
          <t>SR</t>
        </is>
      </c>
      <c r="E29" s="34" t="inlineStr">
        <is>
          <t>07:10:26</t>
        </is>
      </c>
      <c r="F29" s="34" t="inlineStr">
        <is>
          <t>07:10:26</t>
        </is>
      </c>
      <c r="G29" s="34" t="n">
        <v>0</v>
      </c>
      <c r="H29" s="34" t="n">
        <v>2</v>
      </c>
      <c r="I29" s="35" t="n">
        <v>1131.13</v>
      </c>
      <c r="J29" s="34" t="inlineStr">
        <is>
          <t>IBS-198</t>
        </is>
      </c>
      <c r="K29" s="34" t="inlineStr">
        <is>
          <t>N</t>
        </is>
      </c>
      <c r="L29" s="34" t="inlineStr">
        <is>
          <t>Non-Valid</t>
        </is>
      </c>
    </row>
    <row r="30">
      <c r="A30" s="34" t="inlineStr">
        <is>
          <t>30 Jun</t>
        </is>
      </c>
      <c r="B30" s="34" t="inlineStr">
        <is>
          <t>39336</t>
        </is>
      </c>
      <c r="C30" s="34" t="inlineStr">
        <is>
          <t>OS</t>
        </is>
      </c>
      <c r="D30" s="34" t="inlineStr">
        <is>
          <t>SR</t>
        </is>
      </c>
      <c r="E30" s="34" t="inlineStr">
        <is>
          <t>07:10:36</t>
        </is>
      </c>
      <c r="F30" s="34" t="inlineStr">
        <is>
          <t>07:10:36</t>
        </is>
      </c>
      <c r="G30" s="34" t="n">
        <v>0</v>
      </c>
      <c r="H30" s="34" t="n">
        <v>2</v>
      </c>
      <c r="I30" s="35" t="n">
        <v>1131.47</v>
      </c>
      <c r="J30" s="34" t="inlineStr">
        <is>
          <t>IBS-198</t>
        </is>
      </c>
      <c r="K30" s="34" t="inlineStr">
        <is>
          <t>N</t>
        </is>
      </c>
      <c r="L30" s="34" t="inlineStr">
        <is>
          <t>Non-Valid</t>
        </is>
      </c>
    </row>
    <row r="31">
      <c r="A31" s="34" t="inlineStr">
        <is>
          <t>30 Jun</t>
        </is>
      </c>
      <c r="B31" s="34" t="inlineStr">
        <is>
          <t>39336</t>
        </is>
      </c>
      <c r="C31" s="34" t="inlineStr">
        <is>
          <t>FS</t>
        </is>
      </c>
      <c r="D31" s="34" t="inlineStr">
        <is>
          <t>SR</t>
        </is>
      </c>
      <c r="E31" s="34" t="inlineStr">
        <is>
          <t>07:55:20</t>
        </is>
      </c>
      <c r="F31" s="34" t="inlineStr">
        <is>
          <t>07:56:28</t>
        </is>
      </c>
      <c r="G31" s="34" t="n">
        <v>68</v>
      </c>
      <c r="H31" s="34" t="n">
        <v>36</v>
      </c>
      <c r="I31" s="35" t="n">
        <v>1210.09</v>
      </c>
      <c r="J31" s="34" t="inlineStr">
        <is>
          <t>Bharatpur Jn.(BTE)</t>
        </is>
      </c>
      <c r="K31" s="34" t="inlineStr">
        <is>
          <t>U</t>
        </is>
      </c>
      <c r="L31" s="34" t="inlineStr">
        <is>
          <t>Non-Valid</t>
        </is>
      </c>
    </row>
    <row r="32">
      <c r="A32" s="34" t="inlineStr">
        <is>
          <t>30 Jun</t>
        </is>
      </c>
      <c r="B32" s="34" t="inlineStr">
        <is>
          <t>37035</t>
        </is>
      </c>
      <c r="C32" s="34" t="inlineStr">
        <is>
          <t>FS</t>
        </is>
      </c>
      <c r="D32" s="34" t="inlineStr">
        <is>
          <t>SR</t>
        </is>
      </c>
      <c r="E32" s="34" t="inlineStr">
        <is>
          <t>08:16:24</t>
        </is>
      </c>
      <c r="F32" s="34" t="inlineStr">
        <is>
          <t>08:18:48</t>
        </is>
      </c>
      <c r="G32" s="34" t="n">
        <v>144</v>
      </c>
      <c r="H32" s="34" t="n">
        <v>72</v>
      </c>
      <c r="I32" s="35" t="n">
        <v>921.72</v>
      </c>
      <c r="J32" s="34" t="inlineStr">
        <is>
          <t>Kota Jn.(KOTA) CENTRAL</t>
        </is>
      </c>
      <c r="K32" s="34" t="inlineStr">
        <is>
          <t>U</t>
        </is>
      </c>
      <c r="L32" s="34" t="inlineStr">
        <is>
          <t>Non-Valid</t>
        </is>
      </c>
    </row>
    <row r="33">
      <c r="A33" s="16" t="inlineStr">
        <is>
          <t>30 Jun</t>
        </is>
      </c>
      <c r="B33" s="16" t="inlineStr">
        <is>
          <t>37569</t>
        </is>
      </c>
      <c r="C33" s="16" t="inlineStr">
        <is>
          <t>FS</t>
        </is>
      </c>
      <c r="D33" s="16" t="inlineStr">
        <is>
          <t>SR</t>
        </is>
      </c>
      <c r="E33" s="16" t="inlineStr">
        <is>
          <t>08:25:54</t>
        </is>
      </c>
      <c r="F33" s="16" t="inlineStr">
        <is>
          <t>08:27:02</t>
        </is>
      </c>
      <c r="G33" s="16" t="n">
        <v>68</v>
      </c>
      <c r="H33" s="16" t="n">
        <v>38</v>
      </c>
      <c r="I33" s="31" t="n">
        <v>748.13</v>
      </c>
      <c r="J33" s="16" t="inlineStr">
        <is>
          <t>IBH-27</t>
        </is>
      </c>
      <c r="K33" s="16" t="inlineStr">
        <is>
          <t>U</t>
        </is>
      </c>
      <c r="L33" s="16" t="inlineStr">
        <is>
          <t>Valid</t>
        </is>
      </c>
    </row>
    <row r="34">
      <c r="A34" s="34" t="inlineStr">
        <is>
          <t>30 Jun</t>
        </is>
      </c>
      <c r="B34" s="34" t="inlineStr">
        <is>
          <t>30791</t>
        </is>
      </c>
      <c r="C34" s="34" t="inlineStr">
        <is>
          <t>StandBy</t>
        </is>
      </c>
      <c r="D34" s="34" t="inlineStr">
        <is>
          <t>SR</t>
        </is>
      </c>
      <c r="E34" s="34" t="inlineStr">
        <is>
          <t>08:30:16</t>
        </is>
      </c>
      <c r="F34" s="34" t="inlineStr">
        <is>
          <t>08:31:26</t>
        </is>
      </c>
      <c r="G34" s="34" t="n">
        <v>70</v>
      </c>
      <c r="H34" s="34" t="n">
        <v>39</v>
      </c>
      <c r="I34" s="35" t="n">
        <v>1027.88</v>
      </c>
      <c r="J34" s="34" t="inlineStr">
        <is>
          <t>SawaiMadhopurJn(SWM)</t>
        </is>
      </c>
      <c r="K34" s="34" t="inlineStr">
        <is>
          <t>R</t>
        </is>
      </c>
      <c r="L34" s="34" t="inlineStr">
        <is>
          <t>Non-Valid</t>
        </is>
      </c>
    </row>
    <row r="35">
      <c r="A35" s="16" t="inlineStr">
        <is>
          <t>30 Jun</t>
        </is>
      </c>
      <c r="B35" s="16" t="inlineStr">
        <is>
          <t>39053</t>
        </is>
      </c>
      <c r="C35" s="16" t="inlineStr">
        <is>
          <t>FS</t>
        </is>
      </c>
      <c r="D35" s="16" t="inlineStr">
        <is>
          <t>LS</t>
        </is>
      </c>
      <c r="E35" s="16" t="inlineStr">
        <is>
          <t>08:31:22</t>
        </is>
      </c>
      <c r="F35" s="16" t="inlineStr">
        <is>
          <t>08:31:36</t>
        </is>
      </c>
      <c r="G35" s="16" t="n">
        <v>14</v>
      </c>
      <c r="H35" s="16" t="n">
        <v>3</v>
      </c>
      <c r="I35" s="31" t="n">
        <v>1028.71</v>
      </c>
      <c r="J35" s="16" t="inlineStr">
        <is>
          <t>SawaiMadhopurJn(SWM)</t>
        </is>
      </c>
      <c r="K35" s="16" t="inlineStr">
        <is>
          <t>N</t>
        </is>
      </c>
      <c r="L35" s="16" t="inlineStr">
        <is>
          <t>Valid</t>
        </is>
      </c>
    </row>
    <row r="36">
      <c r="A36" s="16" t="inlineStr">
        <is>
          <t>30 Jun</t>
        </is>
      </c>
      <c r="B36" s="16" t="inlineStr">
        <is>
          <t>39053</t>
        </is>
      </c>
      <c r="C36" s="16" t="inlineStr">
        <is>
          <t>FS</t>
        </is>
      </c>
      <c r="D36" s="16" t="inlineStr">
        <is>
          <t>SR</t>
        </is>
      </c>
      <c r="E36" s="16" t="inlineStr">
        <is>
          <t>08:49:48</t>
        </is>
      </c>
      <c r="F36" s="16" t="inlineStr">
        <is>
          <t>08:49:48</t>
        </is>
      </c>
      <c r="G36" s="16" t="n">
        <v>0</v>
      </c>
      <c r="H36" s="16" t="n">
        <v>1</v>
      </c>
      <c r="I36" s="31" t="n">
        <v>1050.51</v>
      </c>
      <c r="J36" s="16" t="inlineStr">
        <is>
          <t>LC-163</t>
        </is>
      </c>
      <c r="K36" s="16" t="inlineStr">
        <is>
          <t>N</t>
        </is>
      </c>
      <c r="L36" s="16" t="inlineStr">
        <is>
          <t>Valid</t>
        </is>
      </c>
    </row>
    <row r="37">
      <c r="A37" s="16" t="inlineStr">
        <is>
          <t>30 Jun</t>
        </is>
      </c>
      <c r="B37" s="16" t="inlineStr">
        <is>
          <t>39053</t>
        </is>
      </c>
      <c r="C37" s="16" t="inlineStr">
        <is>
          <t>FS</t>
        </is>
      </c>
      <c r="D37" s="16" t="inlineStr">
        <is>
          <t>SR</t>
        </is>
      </c>
      <c r="E37" s="16" t="inlineStr">
        <is>
          <t>08:49:50</t>
        </is>
      </c>
      <c r="F37" s="16" t="inlineStr">
        <is>
          <t>08:49:52</t>
        </is>
      </c>
      <c r="G37" s="16" t="n">
        <v>2</v>
      </c>
      <c r="H37" s="16" t="n">
        <v>4</v>
      </c>
      <c r="I37" s="31" t="n">
        <v>1050.53</v>
      </c>
      <c r="J37" s="16" t="inlineStr">
        <is>
          <t>LC-163</t>
        </is>
      </c>
      <c r="K37" s="16" t="inlineStr">
        <is>
          <t>N</t>
        </is>
      </c>
      <c r="L37" s="16" t="inlineStr">
        <is>
          <t>Valid</t>
        </is>
      </c>
    </row>
    <row r="38">
      <c r="A38" s="16" t="inlineStr">
        <is>
          <t>30 Jun</t>
        </is>
      </c>
      <c r="B38" s="16" t="inlineStr">
        <is>
          <t>39053</t>
        </is>
      </c>
      <c r="C38" s="16" t="inlineStr">
        <is>
          <t>OS</t>
        </is>
      </c>
      <c r="D38" s="16" t="inlineStr">
        <is>
          <t>SR</t>
        </is>
      </c>
      <c r="E38" s="16" t="inlineStr">
        <is>
          <t>08:49:54</t>
        </is>
      </c>
      <c r="F38" s="16" t="inlineStr">
        <is>
          <t>08:49:54</t>
        </is>
      </c>
      <c r="G38" s="16" t="n">
        <v>0</v>
      </c>
      <c r="H38" s="16" t="n">
        <v>1</v>
      </c>
      <c r="I38" s="31" t="n">
        <v>1050.68</v>
      </c>
      <c r="J38" s="16" t="inlineStr">
        <is>
          <t>LC-163</t>
        </is>
      </c>
      <c r="K38" s="16" t="inlineStr">
        <is>
          <t>N</t>
        </is>
      </c>
      <c r="L38" s="16" t="inlineStr">
        <is>
          <t>Valid</t>
        </is>
      </c>
    </row>
    <row r="39">
      <c r="A39" s="34" t="inlineStr">
        <is>
          <t>30 Jun</t>
        </is>
      </c>
      <c r="B39" s="34" t="inlineStr">
        <is>
          <t>30395</t>
        </is>
      </c>
      <c r="C39" s="34" t="inlineStr">
        <is>
          <t>FS</t>
        </is>
      </c>
      <c r="D39" s="34" t="inlineStr">
        <is>
          <t>SR</t>
        </is>
      </c>
      <c r="E39" s="34" t="inlineStr">
        <is>
          <t>09:40:22</t>
        </is>
      </c>
      <c r="F39" s="34" t="inlineStr">
        <is>
          <t>09:40:38</t>
        </is>
      </c>
      <c r="G39" s="34" t="n">
        <v>16</v>
      </c>
      <c r="H39" s="34" t="n">
        <v>6</v>
      </c>
      <c r="I39" s="35" t="n">
        <v>1221.35</v>
      </c>
      <c r="J39" s="34" t="inlineStr">
        <is>
          <t>DhaurmuiJaghina(DUM)</t>
        </is>
      </c>
      <c r="K39" s="34" t="inlineStr">
        <is>
          <t>U</t>
        </is>
      </c>
      <c r="L39" s="34" t="inlineStr">
        <is>
          <t>Non-Valid</t>
        </is>
      </c>
    </row>
    <row r="40">
      <c r="A40" s="34" t="inlineStr">
        <is>
          <t>30 Jun</t>
        </is>
      </c>
      <c r="B40" s="34" t="inlineStr">
        <is>
          <t>30395</t>
        </is>
      </c>
      <c r="C40" s="34" t="inlineStr">
        <is>
          <t>FS</t>
        </is>
      </c>
      <c r="D40" s="34" t="inlineStr">
        <is>
          <t>SR</t>
        </is>
      </c>
      <c r="E40" s="34" t="inlineStr">
        <is>
          <t>09:50:06</t>
        </is>
      </c>
      <c r="F40" s="34" t="inlineStr">
        <is>
          <t>09:50:06</t>
        </is>
      </c>
      <c r="G40" s="34" t="n">
        <v>0</v>
      </c>
      <c r="H40" s="34" t="n">
        <v>1</v>
      </c>
      <c r="I40" s="35" t="n">
        <v>1240.15</v>
      </c>
      <c r="J40" s="34" t="inlineStr">
        <is>
          <t>IBH 265</t>
        </is>
      </c>
      <c r="K40" s="34" t="inlineStr">
        <is>
          <t>N</t>
        </is>
      </c>
      <c r="L40" s="34" t="inlineStr">
        <is>
          <t>Non-Valid</t>
        </is>
      </c>
    </row>
    <row r="41">
      <c r="A41" s="34" t="inlineStr">
        <is>
          <t>30 Jun</t>
        </is>
      </c>
      <c r="B41" s="34" t="inlineStr">
        <is>
          <t>37633</t>
        </is>
      </c>
      <c r="C41" s="34" t="inlineStr">
        <is>
          <t>FS</t>
        </is>
      </c>
      <c r="D41" s="34" t="inlineStr">
        <is>
          <t>SR</t>
        </is>
      </c>
      <c r="E41" s="34" t="inlineStr">
        <is>
          <t>10:02:48</t>
        </is>
      </c>
      <c r="F41" s="34" t="inlineStr">
        <is>
          <t>10:03:56</t>
        </is>
      </c>
      <c r="G41" s="34" t="n">
        <v>68</v>
      </c>
      <c r="H41" s="34" t="n">
        <v>37</v>
      </c>
      <c r="I41" s="35" t="n">
        <v>748.21</v>
      </c>
      <c r="J41" s="34" t="inlineStr">
        <is>
          <t>IBH-27</t>
        </is>
      </c>
      <c r="K41" s="34" t="inlineStr">
        <is>
          <t>U</t>
        </is>
      </c>
      <c r="L41" s="34" t="inlineStr">
        <is>
          <t>Non-Valid</t>
        </is>
      </c>
    </row>
    <row r="42">
      <c r="A42" s="34" t="inlineStr">
        <is>
          <t>30 Jun</t>
        </is>
      </c>
      <c r="B42" s="34" t="inlineStr">
        <is>
          <t>39331</t>
        </is>
      </c>
      <c r="C42" s="34" t="inlineStr">
        <is>
          <t>FS</t>
        </is>
      </c>
      <c r="D42" s="34" t="inlineStr">
        <is>
          <t>SR</t>
        </is>
      </c>
      <c r="E42" s="34" t="inlineStr">
        <is>
          <t>10:15:16</t>
        </is>
      </c>
      <c r="F42" s="34" t="inlineStr">
        <is>
          <t>10:16:24</t>
        </is>
      </c>
      <c r="G42" s="34" t="n">
        <v>68</v>
      </c>
      <c r="H42" s="34" t="n">
        <v>38</v>
      </c>
      <c r="I42" s="35" t="n">
        <v>748.22</v>
      </c>
      <c r="J42" s="34" t="inlineStr">
        <is>
          <t>IBH-27</t>
        </is>
      </c>
      <c r="K42" s="34" t="inlineStr">
        <is>
          <t>U</t>
        </is>
      </c>
      <c r="L42" s="34" t="inlineStr">
        <is>
          <t>Non-Valid</t>
        </is>
      </c>
    </row>
    <row r="43">
      <c r="A43" s="34" t="inlineStr">
        <is>
          <t>30 Jun</t>
        </is>
      </c>
      <c r="B43" s="34" t="inlineStr">
        <is>
          <t>37633</t>
        </is>
      </c>
      <c r="C43" s="34" t="inlineStr">
        <is>
          <t>FS</t>
        </is>
      </c>
      <c r="D43" s="34" t="inlineStr">
        <is>
          <t>SR</t>
        </is>
      </c>
      <c r="E43" s="34" t="inlineStr">
        <is>
          <t>10:28:06</t>
        </is>
      </c>
      <c r="F43" s="34" t="inlineStr">
        <is>
          <t>10:28:08</t>
        </is>
      </c>
      <c r="G43" s="34" t="n">
        <v>2</v>
      </c>
      <c r="H43" s="34" t="n">
        <v>2</v>
      </c>
      <c r="I43" s="35" t="n">
        <v>774.04</v>
      </c>
      <c r="J43" s="34" t="inlineStr">
        <is>
          <t>Suwasra(SVA)</t>
        </is>
      </c>
      <c r="K43" s="34" t="inlineStr">
        <is>
          <t>N</t>
        </is>
      </c>
      <c r="L43" s="34" t="inlineStr">
        <is>
          <t>Non-Valid</t>
        </is>
      </c>
    </row>
    <row r="44">
      <c r="A44" s="34" t="inlineStr">
        <is>
          <t>30 Jun</t>
        </is>
      </c>
      <c r="B44" s="34" t="inlineStr">
        <is>
          <t>39108</t>
        </is>
      </c>
      <c r="C44" s="34" t="inlineStr">
        <is>
          <t>FS</t>
        </is>
      </c>
      <c r="D44" s="34" t="inlineStr">
        <is>
          <t>SR</t>
        </is>
      </c>
      <c r="E44" s="34" t="inlineStr">
        <is>
          <t>11:28:02</t>
        </is>
      </c>
      <c r="F44" s="34" t="inlineStr">
        <is>
          <t>11:28:02</t>
        </is>
      </c>
      <c r="G44" s="34" t="n">
        <v>0</v>
      </c>
      <c r="H44" s="34" t="n">
        <v>1</v>
      </c>
      <c r="I44" s="35" t="n">
        <v>1095.84</v>
      </c>
      <c r="J44" s="34" t="inlineStr">
        <is>
          <t>IBH-180</t>
        </is>
      </c>
      <c r="K44" s="34" t="inlineStr">
        <is>
          <t>R</t>
        </is>
      </c>
      <c r="L44" s="34" t="inlineStr">
        <is>
          <t>Non-Valid</t>
        </is>
      </c>
    </row>
    <row r="45">
      <c r="A45" s="34" t="inlineStr">
        <is>
          <t>30 Jun</t>
        </is>
      </c>
      <c r="B45" s="34" t="inlineStr">
        <is>
          <t>39108</t>
        </is>
      </c>
      <c r="C45" s="34" t="inlineStr">
        <is>
          <t>FS</t>
        </is>
      </c>
      <c r="D45" s="34" t="inlineStr">
        <is>
          <t>SR</t>
        </is>
      </c>
      <c r="E45" s="34" t="inlineStr">
        <is>
          <t>11:28:04</t>
        </is>
      </c>
      <c r="F45" s="34" t="inlineStr">
        <is>
          <t>11:28:04</t>
        </is>
      </c>
      <c r="G45" s="34" t="n">
        <v>0</v>
      </c>
      <c r="H45" s="34" t="n">
        <v>2</v>
      </c>
      <c r="I45" s="35" t="n">
        <v>1095.78</v>
      </c>
      <c r="J45" s="34" t="inlineStr">
        <is>
          <t>IBH-180</t>
        </is>
      </c>
      <c r="K45" s="34" t="inlineStr">
        <is>
          <t>R</t>
        </is>
      </c>
      <c r="L45" s="34" t="inlineStr">
        <is>
          <t>Non-Valid</t>
        </is>
      </c>
    </row>
    <row r="46">
      <c r="A46" s="16" t="inlineStr">
        <is>
          <t>30 Jun</t>
        </is>
      </c>
      <c r="B46" s="16" t="inlineStr">
        <is>
          <t>37569</t>
        </is>
      </c>
      <c r="C46" s="16" t="inlineStr">
        <is>
          <t>FS</t>
        </is>
      </c>
      <c r="D46" s="16" t="inlineStr">
        <is>
          <t>SR</t>
        </is>
      </c>
      <c r="E46" s="16" t="inlineStr">
        <is>
          <t>11:53:14</t>
        </is>
      </c>
      <c r="F46" s="16" t="inlineStr">
        <is>
          <t>11:53:56</t>
        </is>
      </c>
      <c r="G46" s="16" t="n">
        <v>42</v>
      </c>
      <c r="H46" s="16" t="n">
        <v>21</v>
      </c>
      <c r="I46" s="31" t="n">
        <v>1091.59</v>
      </c>
      <c r="J46" s="16" t="inlineStr">
        <is>
          <t>Gangapur City(GGC)</t>
        </is>
      </c>
      <c r="K46" s="16" t="inlineStr">
        <is>
          <t>U</t>
        </is>
      </c>
      <c r="L46" s="16" t="inlineStr">
        <is>
          <t>Valid</t>
        </is>
      </c>
    </row>
    <row r="47">
      <c r="A47" s="34" t="inlineStr">
        <is>
          <t>30 Jun</t>
        </is>
      </c>
      <c r="B47" s="34" t="inlineStr">
        <is>
          <t>37035</t>
        </is>
      </c>
      <c r="C47" s="34" t="inlineStr">
        <is>
          <t>FS</t>
        </is>
      </c>
      <c r="D47" s="34" t="inlineStr">
        <is>
          <t>SR</t>
        </is>
      </c>
      <c r="E47" s="34" t="inlineStr">
        <is>
          <t>12:00:52</t>
        </is>
      </c>
      <c r="F47" s="34" t="inlineStr">
        <is>
          <t>12:01:34</t>
        </is>
      </c>
      <c r="G47" s="34" t="n">
        <v>42</v>
      </c>
      <c r="H47" s="34" t="n">
        <v>23</v>
      </c>
      <c r="I47" s="35" t="n">
        <v>1090.71</v>
      </c>
      <c r="J47" s="34" t="inlineStr">
        <is>
          <t>Gangapur City(GGC)</t>
        </is>
      </c>
      <c r="K47" s="34" t="inlineStr">
        <is>
          <t>U</t>
        </is>
      </c>
      <c r="L47" s="34" t="inlineStr">
        <is>
          <t>Non-Valid</t>
        </is>
      </c>
    </row>
    <row r="48">
      <c r="A48" s="34" t="inlineStr">
        <is>
          <t>30 Jun</t>
        </is>
      </c>
      <c r="B48" s="34" t="inlineStr">
        <is>
          <t>39108</t>
        </is>
      </c>
      <c r="C48" s="34" t="inlineStr">
        <is>
          <t>FS</t>
        </is>
      </c>
      <c r="D48" s="34" t="inlineStr">
        <is>
          <t>SR</t>
        </is>
      </c>
      <c r="E48" s="34" t="inlineStr">
        <is>
          <t>12:32:30</t>
        </is>
      </c>
      <c r="F48" s="34" t="inlineStr">
        <is>
          <t>12:34:56</t>
        </is>
      </c>
      <c r="G48" s="34" t="n">
        <v>146</v>
      </c>
      <c r="H48" s="34" t="n">
        <v>73</v>
      </c>
      <c r="I48" s="35" t="n">
        <v>1047.67</v>
      </c>
      <c r="J48" s="34" t="inlineStr">
        <is>
          <t>Makholi(MXL)</t>
        </is>
      </c>
      <c r="K48" s="34" t="inlineStr">
        <is>
          <t>U</t>
        </is>
      </c>
      <c r="L48" s="34" t="inlineStr">
        <is>
          <t>Non-Valid</t>
        </is>
      </c>
    </row>
    <row r="49">
      <c r="A49" s="34" t="inlineStr">
        <is>
          <t>30 Jun</t>
        </is>
      </c>
      <c r="B49" s="34" t="inlineStr">
        <is>
          <t>39108</t>
        </is>
      </c>
      <c r="C49" s="34" t="inlineStr">
        <is>
          <t>OS</t>
        </is>
      </c>
      <c r="D49" s="34" t="inlineStr">
        <is>
          <t>SR</t>
        </is>
      </c>
      <c r="E49" s="34" t="inlineStr">
        <is>
          <t>12:34:58</t>
        </is>
      </c>
      <c r="F49" s="34" t="inlineStr">
        <is>
          <t>12:34:58</t>
        </is>
      </c>
      <c r="G49" s="34" t="n">
        <v>0</v>
      </c>
      <c r="H49" s="34" t="n">
        <v>1</v>
      </c>
      <c r="I49" s="35" t="n">
        <v>1047.53</v>
      </c>
      <c r="J49" s="34" t="inlineStr">
        <is>
          <t>Makholi(MXL)</t>
        </is>
      </c>
      <c r="K49" s="34" t="inlineStr">
        <is>
          <t>R</t>
        </is>
      </c>
      <c r="L49" s="34" t="inlineStr">
        <is>
          <t>Non-Valid</t>
        </is>
      </c>
    </row>
    <row r="50">
      <c r="A50" s="34" t="inlineStr">
        <is>
          <t>30 Jun</t>
        </is>
      </c>
      <c r="B50" s="34" t="inlineStr">
        <is>
          <t>30376</t>
        </is>
      </c>
      <c r="C50" s="34" t="inlineStr">
        <is>
          <t>OS</t>
        </is>
      </c>
      <c r="D50" s="34" t="inlineStr">
        <is>
          <t>SR</t>
        </is>
      </c>
      <c r="E50" s="34" t="inlineStr">
        <is>
          <t>14:28:48</t>
        </is>
      </c>
      <c r="F50" s="34" t="inlineStr">
        <is>
          <t>14:28:48</t>
        </is>
      </c>
      <c r="G50" s="34" t="n">
        <v>0</v>
      </c>
      <c r="H50" s="34" t="n">
        <v>1</v>
      </c>
      <c r="I50" s="35" t="n">
        <v>1242.86</v>
      </c>
      <c r="J50" s="34" t="inlineStr">
        <is>
          <t>IBH 265</t>
        </is>
      </c>
      <c r="K50" s="34" t="inlineStr">
        <is>
          <t>R</t>
        </is>
      </c>
      <c r="L50" s="34" t="inlineStr">
        <is>
          <t>Non-Valid</t>
        </is>
      </c>
    </row>
    <row r="51">
      <c r="A51" s="34" t="inlineStr">
        <is>
          <t>30 Jun</t>
        </is>
      </c>
      <c r="B51" s="34" t="inlineStr">
        <is>
          <t>30376</t>
        </is>
      </c>
      <c r="C51" s="34" t="inlineStr">
        <is>
          <t>FS</t>
        </is>
      </c>
      <c r="D51" s="34" t="inlineStr">
        <is>
          <t>SR</t>
        </is>
      </c>
      <c r="E51" s="34" t="inlineStr">
        <is>
          <t>14:53:32</t>
        </is>
      </c>
      <c r="F51" s="34" t="inlineStr">
        <is>
          <t>14:54:44</t>
        </is>
      </c>
      <c r="G51" s="34" t="n">
        <v>72</v>
      </c>
      <c r="H51" s="34" t="n">
        <v>45</v>
      </c>
      <c r="I51" s="35" t="n">
        <v>1212.26</v>
      </c>
      <c r="J51" s="34" t="inlineStr">
        <is>
          <t>Bharatpur Jn.(BTE)</t>
        </is>
      </c>
      <c r="K51" s="34" t="inlineStr">
        <is>
          <t>U</t>
        </is>
      </c>
      <c r="L51" s="34" t="inlineStr">
        <is>
          <t>Non-Valid</t>
        </is>
      </c>
    </row>
    <row r="52">
      <c r="A52" s="34" t="inlineStr">
        <is>
          <t>30 Jun</t>
        </is>
      </c>
      <c r="B52" s="34" t="inlineStr">
        <is>
          <t>39331</t>
        </is>
      </c>
      <c r="C52" s="34" t="inlineStr">
        <is>
          <t>FS</t>
        </is>
      </c>
      <c r="D52" s="34" t="inlineStr">
        <is>
          <t>SR</t>
        </is>
      </c>
      <c r="E52" s="34" t="inlineStr">
        <is>
          <t>15:03:44</t>
        </is>
      </c>
      <c r="F52" s="34" t="inlineStr">
        <is>
          <t>15:03:44</t>
        </is>
      </c>
      <c r="G52" s="34" t="n">
        <v>0</v>
      </c>
      <c r="H52" s="34" t="n">
        <v>1</v>
      </c>
      <c r="I52" s="35" t="n">
        <v>1091.24</v>
      </c>
      <c r="J52" s="34" t="inlineStr">
        <is>
          <t>Gangapur City(GGC)</t>
        </is>
      </c>
      <c r="K52" s="34" t="inlineStr">
        <is>
          <t>U</t>
        </is>
      </c>
      <c r="L52" s="34" t="inlineStr">
        <is>
          <t>Non-Valid</t>
        </is>
      </c>
    </row>
    <row r="53">
      <c r="A53" s="34" t="inlineStr">
        <is>
          <t>30 Jun</t>
        </is>
      </c>
      <c r="B53" s="34" t="inlineStr">
        <is>
          <t>39331</t>
        </is>
      </c>
      <c r="C53" s="34" t="inlineStr">
        <is>
          <t>FS</t>
        </is>
      </c>
      <c r="D53" s="34" t="inlineStr">
        <is>
          <t>SR</t>
        </is>
      </c>
      <c r="E53" s="34" t="inlineStr">
        <is>
          <t>15:03:46</t>
        </is>
      </c>
      <c r="F53" s="34" t="inlineStr">
        <is>
          <t>15:05:00</t>
        </is>
      </c>
      <c r="G53" s="34" t="n">
        <v>74</v>
      </c>
      <c r="H53" s="34" t="n">
        <v>55</v>
      </c>
      <c r="I53" s="35" t="n">
        <v>1091.49</v>
      </c>
      <c r="J53" s="34" t="inlineStr">
        <is>
          <t>Gangapur City(GGC)</t>
        </is>
      </c>
      <c r="K53" s="34" t="inlineStr">
        <is>
          <t>U</t>
        </is>
      </c>
      <c r="L53" s="34" t="inlineStr">
        <is>
          <t>Non-Valid</t>
        </is>
      </c>
    </row>
    <row r="54">
      <c r="A54" s="16" t="inlineStr">
        <is>
          <t>30 Jun</t>
        </is>
      </c>
      <c r="B54" s="16" t="inlineStr">
        <is>
          <t>37465</t>
        </is>
      </c>
      <c r="C54" s="16" t="inlineStr">
        <is>
          <t>OS</t>
        </is>
      </c>
      <c r="D54" s="16" t="inlineStr">
        <is>
          <t>SR</t>
        </is>
      </c>
      <c r="E54" s="16" t="inlineStr">
        <is>
          <t>15:08:10</t>
        </is>
      </c>
      <c r="F54" s="16" t="inlineStr">
        <is>
          <t>15:08:10</t>
        </is>
      </c>
      <c r="G54" s="16" t="n">
        <v>0</v>
      </c>
      <c r="H54" s="16" t="n">
        <v>1</v>
      </c>
      <c r="I54" s="31" t="n">
        <v>1242.87</v>
      </c>
      <c r="J54" s="16" t="inlineStr">
        <is>
          <t>IBH 265</t>
        </is>
      </c>
      <c r="K54" s="16" t="inlineStr">
        <is>
          <t>R</t>
        </is>
      </c>
      <c r="L54" s="16" t="inlineStr">
        <is>
          <t>Valid</t>
        </is>
      </c>
    </row>
    <row r="55">
      <c r="A55" s="34" t="inlineStr">
        <is>
          <t>30 Jun</t>
        </is>
      </c>
      <c r="B55" s="34" t="inlineStr">
        <is>
          <t>30376</t>
        </is>
      </c>
      <c r="C55" s="34" t="inlineStr">
        <is>
          <t>FS</t>
        </is>
      </c>
      <c r="D55" s="34" t="inlineStr">
        <is>
          <t>SR</t>
        </is>
      </c>
      <c r="E55" s="34" t="inlineStr">
        <is>
          <t>16:59:16</t>
        </is>
      </c>
      <c r="F55" s="34" t="inlineStr">
        <is>
          <t>16:59:16</t>
        </is>
      </c>
      <c r="G55" s="34" t="n">
        <v>0</v>
      </c>
      <c r="H55" s="34" t="n">
        <v>2</v>
      </c>
      <c r="I55" s="35" t="n">
        <v>1074.41</v>
      </c>
      <c r="J55" s="34" t="inlineStr">
        <is>
          <t>NarayanpurTatwara(NNW)</t>
        </is>
      </c>
      <c r="K55" s="34" t="inlineStr">
        <is>
          <t>R</t>
        </is>
      </c>
      <c r="L55" s="34" t="inlineStr">
        <is>
          <t>Non-Valid</t>
        </is>
      </c>
    </row>
    <row r="56">
      <c r="A56" s="34" t="inlineStr">
        <is>
          <t>30 Jun</t>
        </is>
      </c>
      <c r="B56" s="34" t="inlineStr">
        <is>
          <t>37633</t>
        </is>
      </c>
      <c r="C56" s="34" t="inlineStr">
        <is>
          <t>StandBy</t>
        </is>
      </c>
      <c r="D56" s="34" t="inlineStr">
        <is>
          <t>SR</t>
        </is>
      </c>
      <c r="E56" s="34" t="inlineStr">
        <is>
          <t>17:26:50</t>
        </is>
      </c>
      <c r="F56" s="34" t="inlineStr">
        <is>
          <t>17:34:48</t>
        </is>
      </c>
      <c r="G56" s="34" t="n">
        <v>478</v>
      </c>
      <c r="H56" s="34" t="n">
        <v>241</v>
      </c>
      <c r="I56" s="35" t="n">
        <v>920.63</v>
      </c>
      <c r="J56" s="34" t="inlineStr">
        <is>
          <t>Kota Jn.(KOTA) CENTRAL</t>
        </is>
      </c>
      <c r="K56" s="34" t="inlineStr">
        <is>
          <t>U</t>
        </is>
      </c>
      <c r="L56" s="34" t="inlineStr">
        <is>
          <t>Non-Valid</t>
        </is>
      </c>
    </row>
    <row r="57">
      <c r="A57" s="34" t="inlineStr">
        <is>
          <t>30 Jun</t>
        </is>
      </c>
      <c r="B57" s="34" t="inlineStr">
        <is>
          <t>30376</t>
        </is>
      </c>
      <c r="C57" s="34" t="inlineStr">
        <is>
          <t>FS</t>
        </is>
      </c>
      <c r="D57" s="34" t="inlineStr">
        <is>
          <t>SR</t>
        </is>
      </c>
      <c r="E57" s="34" t="inlineStr">
        <is>
          <t>18:43:42</t>
        </is>
      </c>
      <c r="F57" s="34" t="inlineStr">
        <is>
          <t>18:49:00</t>
        </is>
      </c>
      <c r="G57" s="34" t="n">
        <v>318</v>
      </c>
      <c r="H57" s="34" t="n">
        <v>156</v>
      </c>
      <c r="I57" s="35" t="n">
        <v>921.77</v>
      </c>
      <c r="J57" s="34" t="inlineStr">
        <is>
          <t>Kota Jn.(KOTA) CENTRAL</t>
        </is>
      </c>
      <c r="K57" s="34" t="inlineStr">
        <is>
          <t>R</t>
        </is>
      </c>
      <c r="L57" s="34" t="inlineStr">
        <is>
          <t>Non-Valid</t>
        </is>
      </c>
    </row>
    <row r="58">
      <c r="A58" s="34" t="inlineStr">
        <is>
          <t>30 Jun</t>
        </is>
      </c>
      <c r="B58" s="34" t="inlineStr">
        <is>
          <t>31509</t>
        </is>
      </c>
      <c r="C58" s="34" t="inlineStr">
        <is>
          <t>FS</t>
        </is>
      </c>
      <c r="D58" s="34" t="inlineStr">
        <is>
          <t>SR</t>
        </is>
      </c>
      <c r="E58" s="34" t="inlineStr">
        <is>
          <t>20:38:34</t>
        </is>
      </c>
      <c r="F58" s="34" t="inlineStr">
        <is>
          <t>20:39:38</t>
        </is>
      </c>
      <c r="G58" s="34" t="n">
        <v>64</v>
      </c>
      <c r="H58" s="34" t="n">
        <v>30</v>
      </c>
      <c r="I58" s="35" t="n">
        <v>1091.51</v>
      </c>
      <c r="J58" s="34" t="inlineStr">
        <is>
          <t>Gangapur City(GGC)</t>
        </is>
      </c>
      <c r="K58" s="34" t="inlineStr">
        <is>
          <t>U</t>
        </is>
      </c>
      <c r="L58" s="34" t="inlineStr">
        <is>
          <t>Non-Valid</t>
        </is>
      </c>
    </row>
    <row r="59">
      <c r="A59" s="34" t="inlineStr">
        <is>
          <t>30 Jun</t>
        </is>
      </c>
      <c r="B59" s="34" t="inlineStr">
        <is>
          <t>37163</t>
        </is>
      </c>
      <c r="C59" s="34" t="inlineStr">
        <is>
          <t>OS</t>
        </is>
      </c>
      <c r="D59" s="34" t="inlineStr">
        <is>
          <t>SR</t>
        </is>
      </c>
      <c r="E59" s="34" t="inlineStr">
        <is>
          <t>21:29:16</t>
        </is>
      </c>
      <c r="F59" s="34" t="inlineStr">
        <is>
          <t>21:29:16</t>
        </is>
      </c>
      <c r="G59" s="34" t="n">
        <v>0</v>
      </c>
      <c r="H59" s="34" t="n">
        <v>1</v>
      </c>
      <c r="I59" s="35" t="n">
        <v>1242.87</v>
      </c>
      <c r="J59" s="34" t="inlineStr">
        <is>
          <t>IBH 265</t>
        </is>
      </c>
      <c r="K59" s="34" t="inlineStr">
        <is>
          <t>R</t>
        </is>
      </c>
      <c r="L59" s="34" t="inlineStr">
        <is>
          <t>Non-Valid</t>
        </is>
      </c>
    </row>
    <row r="60">
      <c r="A60" s="34" t="inlineStr">
        <is>
          <t>30 Jun</t>
        </is>
      </c>
      <c r="B60" s="34" t="inlineStr">
        <is>
          <t>37163</t>
        </is>
      </c>
      <c r="C60" s="34" t="inlineStr">
        <is>
          <t>FS</t>
        </is>
      </c>
      <c r="D60" s="34" t="inlineStr">
        <is>
          <t>SR</t>
        </is>
      </c>
      <c r="E60" s="34" t="inlineStr">
        <is>
          <t>21:33:38</t>
        </is>
      </c>
      <c r="F60" s="34" t="inlineStr">
        <is>
          <t>21:37:08</t>
        </is>
      </c>
      <c r="G60" s="34" t="n">
        <v>210</v>
      </c>
      <c r="H60" s="34" t="n">
        <v>139</v>
      </c>
      <c r="I60" s="35" t="n">
        <v>1236.72</v>
      </c>
      <c r="J60" s="34" t="inlineStr">
        <is>
          <t>Murhesi Rampur(MSRP)</t>
        </is>
      </c>
      <c r="K60" s="34" t="inlineStr">
        <is>
          <t>U</t>
        </is>
      </c>
      <c r="L60" s="34" t="inlineStr">
        <is>
          <t>Non-Valid</t>
        </is>
      </c>
    </row>
    <row r="61">
      <c r="A61" s="34" t="inlineStr">
        <is>
          <t>30 Jun</t>
        </is>
      </c>
      <c r="B61" s="34" t="inlineStr">
        <is>
          <t>30390</t>
        </is>
      </c>
      <c r="C61" s="34" t="inlineStr">
        <is>
          <t>StandBy</t>
        </is>
      </c>
      <c r="D61" s="34" t="inlineStr">
        <is>
          <t>SR</t>
        </is>
      </c>
      <c r="E61" s="34" t="inlineStr">
        <is>
          <t>21:42:02</t>
        </is>
      </c>
      <c r="F61" s="34" t="inlineStr">
        <is>
          <t>21:54:34</t>
        </is>
      </c>
      <c r="G61" s="34" t="n">
        <v>752</v>
      </c>
      <c r="H61" s="34" t="n">
        <v>378</v>
      </c>
      <c r="I61" s="35" t="n">
        <v>1027.88</v>
      </c>
      <c r="J61" s="34" t="inlineStr">
        <is>
          <t>SawaiMadhopurJn(SWM)</t>
        </is>
      </c>
      <c r="K61" s="34" t="inlineStr">
        <is>
          <t>U</t>
        </is>
      </c>
      <c r="L61" s="34" t="inlineStr">
        <is>
          <t>Non-Valid</t>
        </is>
      </c>
    </row>
    <row r="62">
      <c r="A62" s="34" t="inlineStr">
        <is>
          <t>30 Jun</t>
        </is>
      </c>
      <c r="B62" s="34" t="inlineStr">
        <is>
          <t>39108</t>
        </is>
      </c>
      <c r="C62" s="34" t="inlineStr">
        <is>
          <t>FS</t>
        </is>
      </c>
      <c r="D62" s="34" t="inlineStr">
        <is>
          <t>SR</t>
        </is>
      </c>
      <c r="E62" s="34" t="inlineStr">
        <is>
          <t>22:35:24</t>
        </is>
      </c>
      <c r="F62" s="34" t="inlineStr">
        <is>
          <t>22:35:24</t>
        </is>
      </c>
      <c r="G62" s="34" t="n">
        <v>0</v>
      </c>
      <c r="H62" s="34" t="n">
        <v>2</v>
      </c>
      <c r="I62" s="35" t="n">
        <v>1046.38</v>
      </c>
      <c r="J62" s="34" t="inlineStr">
        <is>
          <t>Makholi(MXL)</t>
        </is>
      </c>
      <c r="K62" s="34" t="inlineStr">
        <is>
          <t>N</t>
        </is>
      </c>
      <c r="L62" s="34" t="inlineStr">
        <is>
          <t>Non-Valid</t>
        </is>
      </c>
    </row>
    <row r="63">
      <c r="A63" s="34" t="inlineStr">
        <is>
          <t>30 Jun</t>
        </is>
      </c>
      <c r="B63" s="34" t="inlineStr">
        <is>
          <t>39108</t>
        </is>
      </c>
      <c r="C63" s="34" t="inlineStr">
        <is>
          <t>OS</t>
        </is>
      </c>
      <c r="D63" s="34" t="inlineStr">
        <is>
          <t>SR</t>
        </is>
      </c>
      <c r="E63" s="34" t="inlineStr">
        <is>
          <t>22:35:26</t>
        </is>
      </c>
      <c r="F63" s="34" t="inlineStr">
        <is>
          <t>22:35:26</t>
        </is>
      </c>
      <c r="G63" s="34" t="n">
        <v>0</v>
      </c>
      <c r="H63" s="34" t="n">
        <v>1</v>
      </c>
      <c r="I63" s="35" t="n">
        <v>1046.41</v>
      </c>
      <c r="J63" s="34" t="inlineStr">
        <is>
          <t>Makholi(MXL)</t>
        </is>
      </c>
      <c r="K63" s="34" t="inlineStr">
        <is>
          <t>N</t>
        </is>
      </c>
      <c r="L63" s="34" t="inlineStr">
        <is>
          <t>Non-Valid</t>
        </is>
      </c>
    </row>
    <row r="64">
      <c r="A64" s="34" t="inlineStr">
        <is>
          <t>30 Jun</t>
        </is>
      </c>
      <c r="B64" s="34" t="inlineStr">
        <is>
          <t>37582</t>
        </is>
      </c>
      <c r="C64" s="34" t="inlineStr">
        <is>
          <t>FS</t>
        </is>
      </c>
      <c r="D64" s="34" t="inlineStr">
        <is>
          <t>LS</t>
        </is>
      </c>
      <c r="E64" s="34" t="inlineStr">
        <is>
          <t>23:10:12</t>
        </is>
      </c>
      <c r="F64" s="34" t="inlineStr">
        <is>
          <t>23:10:12</t>
        </is>
      </c>
      <c r="G64" s="34" t="n">
        <v>0</v>
      </c>
      <c r="H64" s="34" t="n">
        <v>1</v>
      </c>
      <c r="I64" s="35" t="n">
        <v>703.52</v>
      </c>
      <c r="J64" s="34" t="inlineStr">
        <is>
          <t>LC-3</t>
        </is>
      </c>
      <c r="K64" s="34" t="inlineStr">
        <is>
          <t>N</t>
        </is>
      </c>
      <c r="L64" s="34" t="inlineStr">
        <is>
          <t>Non-Valid</t>
        </is>
      </c>
    </row>
    <row r="65">
      <c r="A65" s="34" t="inlineStr">
        <is>
          <t>30 Jun</t>
        </is>
      </c>
      <c r="B65" s="34" t="inlineStr">
        <is>
          <t>37582</t>
        </is>
      </c>
      <c r="C65" s="34" t="inlineStr">
        <is>
          <t>LS</t>
        </is>
      </c>
      <c r="D65" s="34" t="inlineStr">
        <is>
          <t>SR</t>
        </is>
      </c>
      <c r="E65" s="34" t="inlineStr">
        <is>
          <t>23:10:16</t>
        </is>
      </c>
      <c r="F65" s="34" t="inlineStr">
        <is>
          <t>23:10:56</t>
        </is>
      </c>
      <c r="G65" s="34" t="n">
        <v>40</v>
      </c>
      <c r="H65" s="34" t="n">
        <v>19</v>
      </c>
      <c r="I65" s="35" t="n">
        <v>703.65</v>
      </c>
      <c r="J65" s="34" t="inlineStr">
        <is>
          <t>LC-3</t>
        </is>
      </c>
      <c r="K65" s="34" t="inlineStr">
        <is>
          <t>N</t>
        </is>
      </c>
      <c r="L65" s="34" t="inlineStr">
        <is>
          <t>Non-Valid</t>
        </is>
      </c>
    </row>
    <row r="66">
      <c r="A66" s="34" t="inlineStr">
        <is>
          <t>30 Jun</t>
        </is>
      </c>
      <c r="B66" s="34" t="inlineStr">
        <is>
          <t>39025</t>
        </is>
      </c>
      <c r="C66" s="34" t="inlineStr">
        <is>
          <t>FS</t>
        </is>
      </c>
      <c r="D66" s="34" t="inlineStr">
        <is>
          <t>SR</t>
        </is>
      </c>
      <c r="E66" s="34" t="inlineStr">
        <is>
          <t>23:34:22</t>
        </is>
      </c>
      <c r="F66" s="34" t="inlineStr">
        <is>
          <t>23:34:22</t>
        </is>
      </c>
      <c r="G66" s="34" t="n">
        <v>0</v>
      </c>
      <c r="H66" s="34" t="n">
        <v>2</v>
      </c>
      <c r="I66" s="35" t="n">
        <v>871.22</v>
      </c>
      <c r="J66" s="34" t="inlineStr">
        <is>
          <t>Dara(DARA)</t>
        </is>
      </c>
      <c r="K66" s="34" t="inlineStr">
        <is>
          <t>N</t>
        </is>
      </c>
      <c r="L66" s="34" t="inlineStr">
        <is>
          <t>Non-Valid</t>
        </is>
      </c>
    </row>
    <row r="67">
      <c r="A67" s="34" t="inlineStr">
        <is>
          <t>30 Jun</t>
        </is>
      </c>
      <c r="B67" s="34" t="inlineStr">
        <is>
          <t>37582</t>
        </is>
      </c>
      <c r="C67" s="34" t="inlineStr">
        <is>
          <t>FS</t>
        </is>
      </c>
      <c r="D67" s="34" t="inlineStr">
        <is>
          <t>SR</t>
        </is>
      </c>
      <c r="E67" s="34" t="inlineStr">
        <is>
          <t>23:36:40</t>
        </is>
      </c>
      <c r="F67" s="34" t="inlineStr">
        <is>
          <t>23:37:54</t>
        </is>
      </c>
      <c r="G67" s="34" t="n">
        <v>74</v>
      </c>
      <c r="H67" s="34" t="n">
        <v>29</v>
      </c>
      <c r="I67" s="35" t="n">
        <v>748.16</v>
      </c>
      <c r="J67" s="34" t="inlineStr">
        <is>
          <t>IBH-27</t>
        </is>
      </c>
      <c r="K67" s="34" t="inlineStr">
        <is>
          <t>U</t>
        </is>
      </c>
      <c r="L67" s="34" t="inlineStr">
        <is>
          <t>Non-Valid</t>
        </is>
      </c>
    </row>
    <row r="68">
      <c r="A68" s="34" t="inlineStr">
        <is>
          <t>30 Jun</t>
        </is>
      </c>
      <c r="B68" s="34" t="inlineStr">
        <is>
          <t>37582</t>
        </is>
      </c>
      <c r="C68" s="34" t="inlineStr">
        <is>
          <t>FS</t>
        </is>
      </c>
      <c r="D68" s="34" t="inlineStr">
        <is>
          <t>LS</t>
        </is>
      </c>
      <c r="E68" s="34" t="inlineStr">
        <is>
          <t>23:47:28</t>
        </is>
      </c>
      <c r="F68" s="34" t="inlineStr">
        <is>
          <t>23:48:08</t>
        </is>
      </c>
      <c r="G68" s="34" t="n">
        <v>40</v>
      </c>
      <c r="H68" s="34" t="n">
        <v>18</v>
      </c>
      <c r="I68" s="35" t="n">
        <v>768.02</v>
      </c>
      <c r="J68" s="34" t="inlineStr">
        <is>
          <t>NathuKheri(NKH)</t>
        </is>
      </c>
      <c r="K68" s="34" t="inlineStr">
        <is>
          <t>N</t>
        </is>
      </c>
      <c r="L68" s="34" t="inlineStr">
        <is>
          <t>Non-Valid</t>
        </is>
      </c>
    </row>
    <row r="69">
      <c r="A69" s="34" t="inlineStr">
        <is>
          <t>30 Jun</t>
        </is>
      </c>
      <c r="B69" s="34" t="inlineStr">
        <is>
          <t>37582</t>
        </is>
      </c>
      <c r="C69" s="34" t="inlineStr">
        <is>
          <t>LS</t>
        </is>
      </c>
      <c r="D69" s="34" t="inlineStr">
        <is>
          <t>SR</t>
        </is>
      </c>
      <c r="E69" s="34" t="inlineStr">
        <is>
          <t>23:48:12</t>
        </is>
      </c>
      <c r="F69" s="34" t="inlineStr">
        <is>
          <t>23:48:52</t>
        </is>
      </c>
      <c r="G69" s="34" t="n">
        <v>40</v>
      </c>
      <c r="H69" s="34" t="n">
        <v>19</v>
      </c>
      <c r="I69" s="35" t="n">
        <v>769.54</v>
      </c>
      <c r="J69" s="34" t="inlineStr">
        <is>
          <t>NathuKheri(NKH)</t>
        </is>
      </c>
      <c r="K69" s="34" t="inlineStr">
        <is>
          <t>N</t>
        </is>
      </c>
      <c r="L69" s="34" t="inlineStr">
        <is>
          <t>Non-Valid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699070 - 1243994  (33001_IBH-265 to 33132_IBH_1).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124)</t>
        </is>
      </c>
      <c r="M4" s="14" t="inlineStr">
        <is>
          <t>Stations Not Passed (if &lt; full trip)</t>
        </is>
      </c>
    </row>
    <row r="5">
      <c r="A5" s="16" t="inlineStr">
        <is>
          <t>30 Jun</t>
        </is>
      </c>
      <c r="B5" s="16" t="inlineStr">
        <is>
          <t>37465</t>
        </is>
      </c>
      <c r="C5" s="16" t="n">
        <v>30393</v>
      </c>
      <c r="D5" s="16" t="n">
        <v>30336</v>
      </c>
      <c r="E5" s="16" t="n">
        <v>28291</v>
      </c>
      <c r="F5" s="38" t="n">
        <v>667225</v>
      </c>
      <c r="G5" s="38" t="n">
        <v>1476780</v>
      </c>
      <c r="H5" s="38" t="n">
        <v>699093</v>
      </c>
      <c r="I5" s="38" t="n">
        <v>1242984</v>
      </c>
      <c r="J5" s="19">
        <f>(I5-H5)/1000</f>
        <v/>
      </c>
      <c r="K5" s="16" t="inlineStr">
        <is>
          <t>Yes</t>
        </is>
      </c>
      <c r="L5" s="16" t="n">
        <v>124</v>
      </c>
      <c r="M5" s="39" t="inlineStr">
        <is>
          <t>- (full trip)</t>
        </is>
      </c>
    </row>
    <row r="6">
      <c r="A6" s="16" t="inlineStr">
        <is>
          <t>30 Jun</t>
        </is>
      </c>
      <c r="B6" s="16" t="inlineStr">
        <is>
          <t>39258</t>
        </is>
      </c>
      <c r="C6" s="16" t="n">
        <v>21390</v>
      </c>
      <c r="D6" s="16" t="n">
        <v>21323</v>
      </c>
      <c r="E6" s="16" t="n">
        <v>20509</v>
      </c>
      <c r="F6" s="38" t="n">
        <v>657113</v>
      </c>
      <c r="G6" s="38" t="n">
        <v>1241041</v>
      </c>
      <c r="H6" s="38" t="n">
        <v>699070</v>
      </c>
      <c r="I6" s="38" t="n">
        <v>1241041</v>
      </c>
      <c r="J6" s="19">
        <f>(I6-H6)/1000</f>
        <v/>
      </c>
      <c r="K6" s="16" t="inlineStr">
        <is>
          <t>Yes</t>
        </is>
      </c>
      <c r="L6" s="16" t="n">
        <v>124</v>
      </c>
      <c r="M6" s="39" t="inlineStr">
        <is>
          <t>- (full trip)</t>
        </is>
      </c>
    </row>
    <row r="7">
      <c r="A7" s="16" t="inlineStr">
        <is>
          <t>30 Jun</t>
        </is>
      </c>
      <c r="B7" s="16" t="inlineStr">
        <is>
          <t>39053</t>
        </is>
      </c>
      <c r="C7" s="16" t="n">
        <v>22332</v>
      </c>
      <c r="D7" s="16" t="n">
        <v>22324</v>
      </c>
      <c r="E7" s="16" t="n">
        <v>20068</v>
      </c>
      <c r="F7" s="38" t="n">
        <v>657114</v>
      </c>
      <c r="G7" s="38" t="n">
        <v>1426207</v>
      </c>
      <c r="H7" s="38" t="n">
        <v>699082</v>
      </c>
      <c r="I7" s="38" t="n">
        <v>1240682</v>
      </c>
      <c r="J7" s="19">
        <f>(I7-H7)/1000</f>
        <v/>
      </c>
      <c r="K7" s="16" t="inlineStr">
        <is>
          <t>Yes</t>
        </is>
      </c>
      <c r="L7" s="16" t="n">
        <v>124</v>
      </c>
      <c r="M7" s="39" t="inlineStr">
        <is>
          <t>- (full trip)</t>
        </is>
      </c>
    </row>
    <row r="8">
      <c r="A8" s="16" t="inlineStr">
        <is>
          <t>30 Jun</t>
        </is>
      </c>
      <c r="B8" s="16" t="inlineStr">
        <is>
          <t>37569</t>
        </is>
      </c>
      <c r="C8" s="16" t="n">
        <v>20085</v>
      </c>
      <c r="D8" s="16" t="n">
        <v>20059</v>
      </c>
      <c r="E8" s="16" t="n">
        <v>17900</v>
      </c>
      <c r="F8" s="38" t="n">
        <v>657170</v>
      </c>
      <c r="G8" s="38" t="n">
        <v>1437048</v>
      </c>
      <c r="H8" s="38" t="n">
        <v>699085</v>
      </c>
      <c r="I8" s="38" t="n">
        <v>1240594</v>
      </c>
      <c r="J8" s="19">
        <f>(I8-H8)/1000</f>
        <v/>
      </c>
      <c r="K8" s="16" t="inlineStr">
        <is>
          <t>Yes</t>
        </is>
      </c>
      <c r="L8" s="16" t="n">
        <v>124</v>
      </c>
      <c r="M8" s="39" t="inlineStr">
        <is>
          <t>- (full trip)</t>
        </is>
      </c>
    </row>
    <row r="9">
      <c r="A9" s="16" t="inlineStr">
        <is>
          <t>30 Jun</t>
        </is>
      </c>
      <c r="B9" s="16" t="inlineStr">
        <is>
          <t>30429</t>
        </is>
      </c>
      <c r="C9" s="16" t="n">
        <v>33014</v>
      </c>
      <c r="D9" s="16" t="n">
        <v>33007</v>
      </c>
      <c r="E9" s="16" t="n">
        <v>32705</v>
      </c>
      <c r="F9" s="38" t="n">
        <v>695663</v>
      </c>
      <c r="G9" s="38" t="n">
        <v>1235398</v>
      </c>
      <c r="H9" s="38" t="n">
        <v>699094</v>
      </c>
      <c r="I9" s="38" t="n">
        <v>1235398</v>
      </c>
      <c r="J9" s="19">
        <f>(I9-H9)/1000</f>
        <v/>
      </c>
      <c r="K9" s="16" t="inlineStr">
        <is>
          <t>Yes</t>
        </is>
      </c>
      <c r="L9" s="16" t="n">
        <v>123</v>
      </c>
      <c r="M9" s="39" t="inlineStr">
        <is>
          <t>IBH 265</t>
        </is>
      </c>
    </row>
    <row r="10" ht="34" customHeight="1">
      <c r="A10" s="16" t="inlineStr">
        <is>
          <t>30 Jun</t>
        </is>
      </c>
      <c r="B10" s="16" t="inlineStr">
        <is>
          <t>39236</t>
        </is>
      </c>
      <c r="C10" s="16" t="n">
        <v>24752</v>
      </c>
      <c r="D10" s="16" t="n">
        <v>24722</v>
      </c>
      <c r="E10" s="16" t="n">
        <v>23476</v>
      </c>
      <c r="F10" s="38" t="n">
        <v>655419</v>
      </c>
      <c r="G10" s="38" t="n">
        <v>1211619</v>
      </c>
      <c r="H10" s="38" t="n">
        <v>699083</v>
      </c>
      <c r="I10" s="38" t="n">
        <v>1211619</v>
      </c>
      <c r="J10" s="19">
        <f>(I10-H10)/1000</f>
        <v/>
      </c>
      <c r="K10" s="16" t="inlineStr">
        <is>
          <t>Yes</t>
        </is>
      </c>
      <c r="L10" s="16" t="n">
        <v>118</v>
      </c>
      <c r="M10" s="39" t="inlineStr">
        <is>
          <t>IBH 265, Murhesi Rampur(MSRP), IBH/LC-258, Jajjanpatti(JJA), DhaurmuiJaghina(DUM), IBH-247</t>
        </is>
      </c>
    </row>
    <row r="11" ht="64" customHeight="1">
      <c r="A11" s="16" t="inlineStr">
        <is>
          <t>30 Jun</t>
        </is>
      </c>
      <c r="B11" s="16" t="inlineStr">
        <is>
          <t>39331</t>
        </is>
      </c>
      <c r="C11" s="16" t="n">
        <v>22481</v>
      </c>
      <c r="D11" s="16" t="n">
        <v>22444</v>
      </c>
      <c r="E11" s="16" t="n">
        <v>20641</v>
      </c>
      <c r="F11" s="38" t="n">
        <v>656320</v>
      </c>
      <c r="G11" s="38" t="n">
        <v>1169666</v>
      </c>
      <c r="H11" s="38" t="n">
        <v>699075</v>
      </c>
      <c r="I11" s="38" t="n">
        <v>1169666</v>
      </c>
      <c r="J11" s="19">
        <f>(I11-H11)/1000</f>
        <v/>
      </c>
      <c r="K11" s="16" t="inlineStr">
        <is>
          <t>Yes</t>
        </is>
      </c>
      <c r="L11" s="16" t="n">
        <v>108</v>
      </c>
      <c r="M11" s="39" t="inlineStr">
        <is>
          <t>IBH 265, Murhesi Rampur(MSRP), IBH/LC-258, Jajjanpatti(JJA), DhaurmuiJaghina(DUM), IBH-247, Bharatpur Jn.(BTE), IBH-242, Sewar(SWAR), IBH-JCU, LC-232, Pingora(PNGR), IBH-229, 2.35 KM from KEV, Kela Devi(KEV), IBH-224</t>
        </is>
      </c>
    </row>
    <row r="12" ht="79" customHeight="1">
      <c r="A12" s="16" t="inlineStr">
        <is>
          <t>30 Jun</t>
        </is>
      </c>
      <c r="B12" s="16" t="inlineStr">
        <is>
          <t>37515</t>
        </is>
      </c>
      <c r="C12" s="16" t="n">
        <v>20641</v>
      </c>
      <c r="D12" s="16" t="n">
        <v>19938</v>
      </c>
      <c r="E12" s="16" t="n">
        <v>19075</v>
      </c>
      <c r="F12" s="38" t="n">
        <v>787541</v>
      </c>
      <c r="G12" s="38" t="n">
        <v>1479613</v>
      </c>
      <c r="H12" s="38" t="n">
        <v>787541</v>
      </c>
      <c r="I12" s="38" t="n">
        <v>1240736</v>
      </c>
      <c r="J12" s="19">
        <f>(I12-H12)/1000</f>
        <v/>
      </c>
      <c r="K12" s="16" t="inlineStr">
        <is>
          <t>Yes</t>
        </is>
      </c>
      <c r="L12" s="16" t="n">
        <v>104</v>
      </c>
      <c r="M12" s="39" t="inlineStr">
        <is>
          <t>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3" ht="169" customHeight="1">
      <c r="A13" s="16" t="inlineStr">
        <is>
          <t>30 Jun</t>
        </is>
      </c>
      <c r="B13" s="16" t="inlineStr">
        <is>
          <t>37633</t>
        </is>
      </c>
      <c r="C13" s="16" t="n">
        <v>24623</v>
      </c>
      <c r="D13" s="16" t="n">
        <v>24302</v>
      </c>
      <c r="E13" s="16" t="n">
        <v>23183</v>
      </c>
      <c r="F13" s="38" t="n">
        <v>657550</v>
      </c>
      <c r="G13" s="38" t="n">
        <v>1028919</v>
      </c>
      <c r="H13" s="38" t="n">
        <v>699073</v>
      </c>
      <c r="I13" s="38" t="n">
        <v>1028919</v>
      </c>
      <c r="J13" s="19">
        <f>(I13-H13)/1000</f>
        <v/>
      </c>
      <c r="K13" s="16" t="inlineStr">
        <is>
          <t>Yes</t>
        </is>
      </c>
      <c r="L13" s="16" t="n">
        <v>77</v>
      </c>
      <c r="M1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</t>
        </is>
      </c>
    </row>
    <row r="14" ht="184" customHeight="1">
      <c r="A14" s="16" t="inlineStr">
        <is>
          <t>30 Jun</t>
        </is>
      </c>
      <c r="B14" s="16" t="inlineStr">
        <is>
          <t>30376</t>
        </is>
      </c>
      <c r="C14" s="16" t="n">
        <v>16577</v>
      </c>
      <c r="D14" s="16" t="n">
        <v>16531</v>
      </c>
      <c r="E14" s="16" t="n">
        <v>13113</v>
      </c>
      <c r="F14" s="38" t="n">
        <v>920373</v>
      </c>
      <c r="G14" s="38" t="n">
        <v>1431779</v>
      </c>
      <c r="H14" s="38" t="n">
        <v>920373</v>
      </c>
      <c r="I14" s="38" t="n">
        <v>1242984</v>
      </c>
      <c r="J14" s="19">
        <f>(I14-H14)/1000</f>
        <v/>
      </c>
      <c r="K14" s="16" t="inlineStr">
        <is>
          <t>Yes</t>
        </is>
      </c>
      <c r="L14" s="16" t="n">
        <v>78</v>
      </c>
      <c r="M14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5" ht="184" customHeight="1">
      <c r="A15" s="16" t="inlineStr">
        <is>
          <t>30 Jun</t>
        </is>
      </c>
      <c r="B15" s="16" t="inlineStr">
        <is>
          <t>30516</t>
        </is>
      </c>
      <c r="C15" s="16" t="n">
        <v>13263</v>
      </c>
      <c r="D15" s="16" t="n">
        <v>13212</v>
      </c>
      <c r="E15" s="16" t="n">
        <v>12820</v>
      </c>
      <c r="F15" s="38" t="n">
        <v>920359</v>
      </c>
      <c r="G15" s="38" t="n">
        <v>1474610</v>
      </c>
      <c r="H15" s="38" t="n">
        <v>920359</v>
      </c>
      <c r="I15" s="38" t="n">
        <v>1242962</v>
      </c>
      <c r="J15" s="19">
        <f>(I15-H15)/1000</f>
        <v/>
      </c>
      <c r="K15" s="16" t="inlineStr">
        <is>
          <t>Yes</t>
        </is>
      </c>
      <c r="L15" s="16" t="n">
        <v>78</v>
      </c>
      <c r="M15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6" ht="184" customHeight="1">
      <c r="A16" s="16" t="inlineStr">
        <is>
          <t>30 Jun</t>
        </is>
      </c>
      <c r="B16" s="16" t="inlineStr">
        <is>
          <t>30395</t>
        </is>
      </c>
      <c r="C16" s="16" t="n">
        <v>11359</v>
      </c>
      <c r="D16" s="16" t="n">
        <v>11331</v>
      </c>
      <c r="E16" s="16" t="n">
        <v>10955</v>
      </c>
      <c r="F16" s="38" t="n">
        <v>921481</v>
      </c>
      <c r="G16" s="38" t="n">
        <v>1424124</v>
      </c>
      <c r="H16" s="38" t="n">
        <v>921481</v>
      </c>
      <c r="I16" s="38" t="n">
        <v>1242951</v>
      </c>
      <c r="J16" s="19">
        <f>(I16-H16)/1000</f>
        <v/>
      </c>
      <c r="K16" s="16" t="inlineStr">
        <is>
          <t>Yes</t>
        </is>
      </c>
      <c r="L16" s="16" t="n">
        <v>78</v>
      </c>
      <c r="M16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7" ht="184" customHeight="1">
      <c r="A17" s="16" t="inlineStr">
        <is>
          <t>30 Jun</t>
        </is>
      </c>
      <c r="B17" s="16" t="inlineStr">
        <is>
          <t>39252</t>
        </is>
      </c>
      <c r="C17" s="16" t="n">
        <v>10829</v>
      </c>
      <c r="D17" s="16" t="n">
        <v>10790</v>
      </c>
      <c r="E17" s="16" t="n">
        <v>10043</v>
      </c>
      <c r="F17" s="38" t="n">
        <v>920517</v>
      </c>
      <c r="G17" s="38" t="n">
        <v>1436254</v>
      </c>
      <c r="H17" s="38" t="n">
        <v>920517</v>
      </c>
      <c r="I17" s="38" t="n">
        <v>1240717</v>
      </c>
      <c r="J17" s="19">
        <f>(I17-H17)/1000</f>
        <v/>
      </c>
      <c r="K17" s="16" t="inlineStr">
        <is>
          <t>Yes</t>
        </is>
      </c>
      <c r="L17" s="16" t="n">
        <v>78</v>
      </c>
      <c r="M17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8" ht="184" customHeight="1">
      <c r="A18" s="16" t="inlineStr">
        <is>
          <t>30 Jun</t>
        </is>
      </c>
      <c r="B18" s="16" t="inlineStr">
        <is>
          <t>39336</t>
        </is>
      </c>
      <c r="C18" s="16" t="n">
        <v>10539</v>
      </c>
      <c r="D18" s="16" t="n">
        <v>10518</v>
      </c>
      <c r="E18" s="16" t="n">
        <v>9913</v>
      </c>
      <c r="F18" s="38" t="n">
        <v>921493</v>
      </c>
      <c r="G18" s="38" t="n">
        <v>1490684</v>
      </c>
      <c r="H18" s="38" t="n">
        <v>921493</v>
      </c>
      <c r="I18" s="38" t="n">
        <v>1240720</v>
      </c>
      <c r="J18" s="19">
        <f>(I18-H18)/1000</f>
        <v/>
      </c>
      <c r="K18" s="16" t="inlineStr">
        <is>
          <t>Yes</t>
        </is>
      </c>
      <c r="L18" s="16" t="n">
        <v>78</v>
      </c>
      <c r="M18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19" ht="184" customHeight="1">
      <c r="A19" s="16" t="inlineStr">
        <is>
          <t>30 Jun</t>
        </is>
      </c>
      <c r="B19" s="16" t="inlineStr">
        <is>
          <t>30608</t>
        </is>
      </c>
      <c r="C19" s="16" t="n">
        <v>8666</v>
      </c>
      <c r="D19" s="16" t="n">
        <v>8626</v>
      </c>
      <c r="E19" s="16" t="n">
        <v>8420</v>
      </c>
      <c r="F19" s="38" t="n">
        <v>921754</v>
      </c>
      <c r="G19" s="38" t="n">
        <v>1423097</v>
      </c>
      <c r="H19" s="38" t="n">
        <v>921754</v>
      </c>
      <c r="I19" s="38" t="n">
        <v>1240514</v>
      </c>
      <c r="J19" s="19">
        <f>(I19-H19)/1000</f>
        <v/>
      </c>
      <c r="K19" s="16" t="inlineStr">
        <is>
          <t>Yes</t>
        </is>
      </c>
      <c r="L19" s="16" t="n">
        <v>78</v>
      </c>
      <c r="M19" s="39" t="inlineStr">
        <is>
          <t>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IBH-27, Thuria(THUR), IBH-23, VikramgarhA lot(VMA), IBH-17, LuniRichha(LNR), IBH-10, Mehidpur Road(MEP), 3.9 KM  from RLK, Rohalkhurd(RLK), LC-3, IBH-1</t>
        </is>
      </c>
    </row>
    <row r="20" ht="184" customHeight="1">
      <c r="A20" s="16" t="inlineStr">
        <is>
          <t>30 Jun</t>
        </is>
      </c>
      <c r="B20" s="16" t="inlineStr">
        <is>
          <t>30390</t>
        </is>
      </c>
      <c r="C20" s="16" t="n">
        <v>17970</v>
      </c>
      <c r="D20" s="16" t="n">
        <v>17514</v>
      </c>
      <c r="E20" s="16" t="n">
        <v>17514</v>
      </c>
      <c r="F20" s="38" t="n">
        <v>736950</v>
      </c>
      <c r="G20" s="38" t="n">
        <v>1028914</v>
      </c>
      <c r="H20" s="38" t="n">
        <v>736950</v>
      </c>
      <c r="I20" s="38" t="n">
        <v>1028914</v>
      </c>
      <c r="J20" s="19">
        <f>(I20-H20)/1000</f>
        <v/>
      </c>
      <c r="K20" s="16" t="inlineStr">
        <is>
          <t>Yes</t>
        </is>
      </c>
      <c r="L20" s="16" t="n">
        <v>69</v>
      </c>
      <c r="M2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IBH-17, LuniRichha(LNR), IBH-10  ...(+5 more)</t>
        </is>
      </c>
    </row>
    <row r="21" ht="199" customHeight="1">
      <c r="A21" s="16" t="inlineStr">
        <is>
          <t>30 Jun</t>
        </is>
      </c>
      <c r="B21" s="16" t="inlineStr">
        <is>
          <t>30206</t>
        </is>
      </c>
      <c r="C21" s="16" t="n">
        <v>11567</v>
      </c>
      <c r="D21" s="16" t="n">
        <v>11494</v>
      </c>
      <c r="E21" s="16" t="n">
        <v>10398</v>
      </c>
      <c r="F21" s="38" t="n">
        <v>969969</v>
      </c>
      <c r="G21" s="38" t="n">
        <v>1436326</v>
      </c>
      <c r="H21" s="38" t="n">
        <v>969969</v>
      </c>
      <c r="I21" s="38" t="n">
        <v>1242965</v>
      </c>
      <c r="J21" s="19">
        <f>(I21-H21)/1000</f>
        <v/>
      </c>
      <c r="K21" s="16" t="inlineStr">
        <is>
          <t>Yes</t>
        </is>
      </c>
      <c r="L21" s="16" t="n">
        <v>63</v>
      </c>
      <c r="M21" s="39" t="inlineStr">
        <is>
          <t>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LC-28, IBH-27  ...(+11 more)</t>
        </is>
      </c>
    </row>
    <row r="22" ht="199" customHeight="1">
      <c r="A22" s="16" t="inlineStr">
        <is>
          <t>30 Jun</t>
        </is>
      </c>
      <c r="B22" s="16" t="inlineStr">
        <is>
          <t>39108</t>
        </is>
      </c>
      <c r="C22" s="16" t="n">
        <v>31365</v>
      </c>
      <c r="D22" s="16" t="n">
        <v>31282</v>
      </c>
      <c r="E22" s="16" t="n">
        <v>31282</v>
      </c>
      <c r="F22" s="38" t="n">
        <v>920734</v>
      </c>
      <c r="G22" s="38" t="n">
        <v>1172585</v>
      </c>
      <c r="H22" s="38" t="n">
        <v>920734</v>
      </c>
      <c r="I22" s="38" t="n">
        <v>1172585</v>
      </c>
      <c r="J22" s="19">
        <f>(I22-H22)/1000</f>
        <v/>
      </c>
      <c r="K22" s="16" t="inlineStr">
        <is>
          <t>Yes</t>
        </is>
      </c>
      <c r="L22" s="16" t="n">
        <v>62</v>
      </c>
      <c r="M22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3" ht="199" customHeight="1">
      <c r="A23" s="16" t="inlineStr">
        <is>
          <t>30 Jun</t>
        </is>
      </c>
      <c r="B23" s="16" t="inlineStr">
        <is>
          <t>37035</t>
        </is>
      </c>
      <c r="C23" s="16" t="n">
        <v>19390</v>
      </c>
      <c r="D23" s="16" t="n">
        <v>19273</v>
      </c>
      <c r="E23" s="16" t="n">
        <v>19273</v>
      </c>
      <c r="F23" s="38" t="n">
        <v>921717</v>
      </c>
      <c r="G23" s="38" t="n">
        <v>1172585</v>
      </c>
      <c r="H23" s="38" t="n">
        <v>921717</v>
      </c>
      <c r="I23" s="38" t="n">
        <v>1172585</v>
      </c>
      <c r="J23" s="19">
        <f>(I23-H23)/1000</f>
        <v/>
      </c>
      <c r="K23" s="16" t="inlineStr">
        <is>
          <t>Yes</t>
        </is>
      </c>
      <c r="L23" s="16" t="n">
        <v>62</v>
      </c>
      <c r="M23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4" ht="199" customHeight="1">
      <c r="A24" s="16" t="inlineStr">
        <is>
          <t>30 Jun</t>
        </is>
      </c>
      <c r="B24" s="16" t="inlineStr">
        <is>
          <t>31509</t>
        </is>
      </c>
      <c r="C24" s="16" t="n">
        <v>9491</v>
      </c>
      <c r="D24" s="16" t="n">
        <v>9480</v>
      </c>
      <c r="E24" s="16" t="n">
        <v>9480</v>
      </c>
      <c r="F24" s="38" t="n">
        <v>921492</v>
      </c>
      <c r="G24" s="38" t="n">
        <v>1169718</v>
      </c>
      <c r="H24" s="38" t="n">
        <v>921492</v>
      </c>
      <c r="I24" s="38" t="n">
        <v>1169718</v>
      </c>
      <c r="J24" s="19">
        <f>(I24-H24)/1000</f>
        <v/>
      </c>
      <c r="K24" s="16" t="inlineStr">
        <is>
          <t>Yes</t>
        </is>
      </c>
      <c r="L24" s="16" t="n">
        <v>62</v>
      </c>
      <c r="M24" s="39" t="inlineStr">
        <is>
          <t>IBH 265, Murhesi Rampur(MSRP), IBH/LC-258, Jajjanpatti(JJA), DhaurmuiJaghina(DUM), IBH-247, Bharatpur Jn.(BTE), IBH-242, Sewar(SWAR), IBH-JCU, LC-232, Pingora(PNGR), IBH-229, 2.35 KM from KEV, Kela Devi(KEV), IBH-224,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IBH-61(LC-60), Kurlasi(KRLS), IBH-55(7.5KM from GOH), Garoth(GOH), IBH-48, Shamgarh(SGZ), 3.0 Km From SGZ, IBH-HNU, Suwasra(SVA), NathuKheri(NKH), 4.5 KM from CMU, Chau Mahla(CMU), Talavli(TLZ), LC-28  ...(+12 more)</t>
        </is>
      </c>
    </row>
    <row r="25" ht="184" customHeight="1">
      <c r="A25" s="16" t="inlineStr">
        <is>
          <t>30 Jun</t>
        </is>
      </c>
      <c r="B25" s="16" t="inlineStr">
        <is>
          <t>39025</t>
        </is>
      </c>
      <c r="C25" s="16" t="n">
        <v>7679</v>
      </c>
      <c r="D25" s="16" t="n">
        <v>7679</v>
      </c>
      <c r="E25" s="16" t="n">
        <v>6888</v>
      </c>
      <c r="F25" s="38" t="n">
        <v>659461</v>
      </c>
      <c r="G25" s="38" t="n">
        <v>919355</v>
      </c>
      <c r="H25" s="38" t="n">
        <v>699081</v>
      </c>
      <c r="I25" s="38" t="n">
        <v>919355</v>
      </c>
      <c r="J25" s="19">
        <f>(I25-H25)/1000</f>
        <v/>
      </c>
      <c r="K25" s="16" t="inlineStr">
        <is>
          <t>Yes</t>
        </is>
      </c>
      <c r="L25" s="16" t="n">
        <v>47</v>
      </c>
      <c r="M25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...(+27 more)</t>
        </is>
      </c>
    </row>
    <row r="26" ht="184" customHeight="1">
      <c r="A26" s="16" t="inlineStr">
        <is>
          <t>30 Jun</t>
        </is>
      </c>
      <c r="B26" s="16" t="inlineStr">
        <is>
          <t>37839</t>
        </is>
      </c>
      <c r="C26" s="16" t="n">
        <v>11709</v>
      </c>
      <c r="D26" s="16" t="n">
        <v>11709</v>
      </c>
      <c r="E26" s="16" t="n">
        <v>9781</v>
      </c>
      <c r="F26" s="38" t="n">
        <v>657182</v>
      </c>
      <c r="G26" s="38" t="n">
        <v>917919</v>
      </c>
      <c r="H26" s="38" t="n">
        <v>699075</v>
      </c>
      <c r="I26" s="38" t="n">
        <v>917919</v>
      </c>
      <c r="J26" s="19">
        <f>(I26-H26)/1000</f>
        <v/>
      </c>
      <c r="K26" s="16" t="inlineStr">
        <is>
          <t>Yes</t>
        </is>
      </c>
      <c r="L26" s="16" t="n">
        <v>46</v>
      </c>
      <c r="M2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...(+28 more)</t>
        </is>
      </c>
    </row>
    <row r="27" ht="184" customHeight="1">
      <c r="A27" s="16" t="inlineStr">
        <is>
          <t>30 Jun</t>
        </is>
      </c>
      <c r="B27" s="16" t="inlineStr">
        <is>
          <t>37366</t>
        </is>
      </c>
      <c r="C27" s="16" t="n">
        <v>12377</v>
      </c>
      <c r="D27" s="16" t="n">
        <v>12376</v>
      </c>
      <c r="E27" s="16" t="n">
        <v>12376</v>
      </c>
      <c r="F27" s="38" t="n">
        <v>920750</v>
      </c>
      <c r="G27" s="38" t="n">
        <v>1109400</v>
      </c>
      <c r="H27" s="38" t="n">
        <v>920750</v>
      </c>
      <c r="I27" s="38" t="n">
        <v>1109400</v>
      </c>
      <c r="J27" s="19">
        <f>(I27-H27)/1000</f>
        <v/>
      </c>
      <c r="K27" s="16" t="inlineStr">
        <is>
          <t>Yes</t>
        </is>
      </c>
      <c r="L27" s="16" t="n">
        <v>49</v>
      </c>
      <c r="M27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KOTA SOUTH, DakaniyaTalav(DKNT), Dadhdevi(DDV), ALNI/DDV, Alniya(ALNI), IBH DHANIKASAR, Ravtha Road(RDT), IBH-95(7.25KM FROM DARA), Dara(DARA), IBH KIW-DARA, Kanwalpura(KIW), 2.85 KM from MKX, Morak(MKX), IBH RMA-MKX, RamganjMandi(RMA), IBH-79, Jhalawar Road(JHW), DhuanKheri(DKRA), IBH-69, Bhawani Mandi(BWM), IBH-61(LC-60)  ...(+25 more)</t>
        </is>
      </c>
    </row>
    <row r="28" ht="184" customHeight="1">
      <c r="A28" s="16" t="inlineStr">
        <is>
          <t>30 Jun</t>
        </is>
      </c>
      <c r="B28" s="16" t="inlineStr">
        <is>
          <t>39027</t>
        </is>
      </c>
      <c r="C28" s="16" t="n">
        <v>7489</v>
      </c>
      <c r="D28" s="16" t="n">
        <v>7489</v>
      </c>
      <c r="E28" s="16" t="n">
        <v>7489</v>
      </c>
      <c r="F28" s="38" t="n">
        <v>847799</v>
      </c>
      <c r="G28" s="38" t="n">
        <v>1028889</v>
      </c>
      <c r="H28" s="38" t="n">
        <v>847799</v>
      </c>
      <c r="I28" s="38" t="n">
        <v>1028889</v>
      </c>
      <c r="J28" s="19">
        <f>(I28-H28)/1000</f>
        <v/>
      </c>
      <c r="K28" s="16" t="inlineStr">
        <is>
          <t>Yes</t>
        </is>
      </c>
      <c r="L28" s="16" t="n">
        <v>46</v>
      </c>
      <c r="M28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IBH-79, Jhalawar Road(JHW), DhuanKheri(DKRA)  ...(+28 more)</t>
        </is>
      </c>
    </row>
    <row r="29" ht="184" customHeight="1">
      <c r="A29" s="16" t="inlineStr">
        <is>
          <t>30 Jun</t>
        </is>
      </c>
      <c r="B29" s="16" t="inlineStr">
        <is>
          <t>37163</t>
        </is>
      </c>
      <c r="C29" s="16" t="n">
        <v>10270</v>
      </c>
      <c r="D29" s="16" t="n">
        <v>10199</v>
      </c>
      <c r="E29" s="16" t="n">
        <v>7529</v>
      </c>
      <c r="F29" s="38" t="n">
        <v>1091988</v>
      </c>
      <c r="G29" s="38" t="n">
        <v>1488206</v>
      </c>
      <c r="H29" s="38" t="n">
        <v>1091988</v>
      </c>
      <c r="I29" s="38" t="n">
        <v>1242940</v>
      </c>
      <c r="J29" s="19">
        <f>(I29-H29)/1000</f>
        <v/>
      </c>
      <c r="K29" s="16" t="inlineStr">
        <is>
          <t>Yes</t>
        </is>
      </c>
      <c r="L29" s="16" t="n">
        <v>34</v>
      </c>
      <c r="M29" s="39" t="inlineStr">
        <is>
          <t>Lalpur Umri(LRU), IBH/LC-173, NarayanpurTatwara(NNW), IBH-171, Nimoda(NMD), 3.5 KM from MLZ, Malarna(MLZ), IBH-MXL, LC-163, Makholi(MXL), IBH-159, Ranthambhor(RNT), 5.0 KM from SWM-A, SawaiMadhopurJn(SWM), LC-148, Kushtala(KTA), IBH-RWJ, 2.0 KM from RWJ, RawanjnaDungar(RWJ), 6.25 KM from AMLI, Amli(AMLI), IBH-140, IndragarhSumerganjMandi(IDG), LC-137, IBH-LKE, Lakheri(LKE), LC-136W, Laban(LBN), IBH-LBN, Ghatkavarana(GKB), IBH-131, LC-128, Kapren(KPZ), LC-126, IBH-125, Arnetha(ARE), LC-120, IBH-119, LC-118, KeshoraiPatan(KPTN), 2.75 KM from GQL (LC-113), Gurla(GQL), KOTA C, Kota Jn.(KOTA) CENTRAL, KOTA SOUTH, DakaniyaTalav(DKNT), Dadhdevi(DDV), ALNI/DDV, Alniya(ALNI), IBH DHANIKASAR  ...(+40 more)</t>
        </is>
      </c>
    </row>
    <row r="30" ht="184" customHeight="1">
      <c r="A30" s="16" t="inlineStr">
        <is>
          <t>30 Jun</t>
        </is>
      </c>
      <c r="B30" s="16" t="inlineStr">
        <is>
          <t>30791</t>
        </is>
      </c>
      <c r="C30" s="16" t="n">
        <v>11287</v>
      </c>
      <c r="D30" s="16" t="n">
        <v>11287</v>
      </c>
      <c r="E30" s="16" t="n">
        <v>11287</v>
      </c>
      <c r="F30" s="38" t="n">
        <v>919779</v>
      </c>
      <c r="G30" s="38" t="n">
        <v>1029001</v>
      </c>
      <c r="H30" s="38" t="n">
        <v>919779</v>
      </c>
      <c r="I30" s="38" t="n">
        <v>1029001</v>
      </c>
      <c r="J30" s="19">
        <f>(I30-H30)/1000</f>
        <v/>
      </c>
      <c r="K30" s="16" t="inlineStr">
        <is>
          <t>Yes</t>
        </is>
      </c>
      <c r="L30" s="16" t="n">
        <v>32</v>
      </c>
      <c r="M30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DakaniyaTalav(DKNT), Dadhdevi(DDV), ALNI/DDV  ...(+42 more)</t>
        </is>
      </c>
    </row>
    <row r="31" ht="184" customHeight="1">
      <c r="A31" s="16" t="inlineStr">
        <is>
          <t>30 Jun</t>
        </is>
      </c>
      <c r="B31" s="16" t="inlineStr">
        <is>
          <t>30339</t>
        </is>
      </c>
      <c r="C31" s="16" t="n">
        <v>10107</v>
      </c>
      <c r="D31" s="16" t="n">
        <v>10061</v>
      </c>
      <c r="E31" s="16" t="n">
        <v>10061</v>
      </c>
      <c r="F31" s="38" t="n">
        <v>920364</v>
      </c>
      <c r="G31" s="38" t="n">
        <v>1029021</v>
      </c>
      <c r="H31" s="38" t="n">
        <v>920364</v>
      </c>
      <c r="I31" s="38" t="n">
        <v>1029021</v>
      </c>
      <c r="J31" s="19">
        <f>(I31-H31)/1000</f>
        <v/>
      </c>
      <c r="K31" s="16" t="inlineStr">
        <is>
          <t>Yes</t>
        </is>
      </c>
      <c r="L31" s="16" t="n">
        <v>31</v>
      </c>
      <c r="M31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2" ht="184" customHeight="1">
      <c r="A32" s="16" t="inlineStr">
        <is>
          <t>30 Jun</t>
        </is>
      </c>
      <c r="B32" s="16" t="inlineStr">
        <is>
          <t>39024</t>
        </is>
      </c>
      <c r="C32" s="16" t="n">
        <v>8668</v>
      </c>
      <c r="D32" s="16" t="n">
        <v>8622</v>
      </c>
      <c r="E32" s="16" t="n">
        <v>8622</v>
      </c>
      <c r="F32" s="38" t="n">
        <v>920363</v>
      </c>
      <c r="G32" s="38" t="n">
        <v>1028901</v>
      </c>
      <c r="H32" s="38" t="n">
        <v>920363</v>
      </c>
      <c r="I32" s="38" t="n">
        <v>1028901</v>
      </c>
      <c r="J32" s="19">
        <f>(I32-H32)/1000</f>
        <v/>
      </c>
      <c r="K32" s="16" t="inlineStr">
        <is>
          <t>Yes</t>
        </is>
      </c>
      <c r="L32" s="16" t="n">
        <v>31</v>
      </c>
      <c r="M32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KOTA SOUTH, DakaniyaTalav(DKNT), Dadhdevi(DDV)  ...(+43 more)</t>
        </is>
      </c>
    </row>
    <row r="33" ht="184" customHeight="1">
      <c r="A33" s="16" t="inlineStr">
        <is>
          <t>30 Jun</t>
        </is>
      </c>
      <c r="B33" s="16" t="inlineStr">
        <is>
          <t>37582</t>
        </is>
      </c>
      <c r="C33" s="16" t="n">
        <v>2382</v>
      </c>
      <c r="D33" s="16" t="n">
        <v>2366</v>
      </c>
      <c r="E33" s="16" t="n">
        <v>1393</v>
      </c>
      <c r="F33" s="38" t="n">
        <v>656400</v>
      </c>
      <c r="G33" s="38" t="n">
        <v>787532</v>
      </c>
      <c r="H33" s="38" t="n">
        <v>699117</v>
      </c>
      <c r="I33" s="38" t="n">
        <v>787532</v>
      </c>
      <c r="J33" s="19">
        <f>(I33-H33)/1000</f>
        <v/>
      </c>
      <c r="K33" s="16" t="inlineStr">
        <is>
          <t>Yes</t>
        </is>
      </c>
      <c r="L33" s="16" t="n">
        <v>21</v>
      </c>
      <c r="M33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...(+53 more)</t>
        </is>
      </c>
    </row>
    <row r="34" ht="184" customHeight="1">
      <c r="A34" s="16" t="inlineStr">
        <is>
          <t>30 Jun</t>
        </is>
      </c>
      <c r="B34" s="16" t="inlineStr">
        <is>
          <t>37746</t>
        </is>
      </c>
      <c r="C34" s="16" t="n">
        <v>2533</v>
      </c>
      <c r="D34" s="16" t="n">
        <v>2533</v>
      </c>
      <c r="E34" s="16" t="n">
        <v>1638</v>
      </c>
      <c r="F34" s="38" t="n">
        <v>657179</v>
      </c>
      <c r="G34" s="38" t="n">
        <v>758910</v>
      </c>
      <c r="H34" s="38" t="n">
        <v>699078</v>
      </c>
      <c r="I34" s="38" t="n">
        <v>758910</v>
      </c>
      <c r="J34" s="19">
        <f>(I34-H34)/1000</f>
        <v/>
      </c>
      <c r="K34" s="16" t="inlineStr">
        <is>
          <t>Yes</t>
        </is>
      </c>
      <c r="L34" s="16" t="n">
        <v>15</v>
      </c>
      <c r="M34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...(+59 more)</t>
        </is>
      </c>
    </row>
    <row r="35" ht="184" customHeight="1">
      <c r="A35" s="16" t="inlineStr">
        <is>
          <t>30 Jun</t>
        </is>
      </c>
      <c r="B35" s="16" t="inlineStr">
        <is>
          <t>30813</t>
        </is>
      </c>
      <c r="C35" s="16" t="n">
        <v>337</v>
      </c>
      <c r="D35" s="16" t="n">
        <v>337</v>
      </c>
      <c r="E35" s="16" t="n">
        <v>25</v>
      </c>
      <c r="F35" s="38" t="n">
        <v>1233908</v>
      </c>
      <c r="G35" s="38" t="n">
        <v>1374325</v>
      </c>
      <c r="H35" s="38" t="n">
        <v>1233908</v>
      </c>
      <c r="I35" s="38" t="n">
        <v>1243820</v>
      </c>
      <c r="J35" s="19">
        <f>(I35-H35)/1000</f>
        <v/>
      </c>
      <c r="K35" s="16" t="inlineStr">
        <is>
          <t>Yes</t>
        </is>
      </c>
      <c r="L35" s="16" t="n">
        <v>3</v>
      </c>
      <c r="M35" s="39" t="inlineStr">
        <is>
          <t>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Kushtala(KTA), IBH-RWJ, 2.0 KM from RWJ, RawanjnaDungar(RWJ)  ...(+71 more)</t>
        </is>
      </c>
    </row>
    <row r="36" ht="184" customHeight="1">
      <c r="A36" s="16" t="inlineStr">
        <is>
          <t>30 Jun</t>
        </is>
      </c>
      <c r="B36" s="16" t="inlineStr">
        <is>
          <t>37184</t>
        </is>
      </c>
      <c r="C36" s="16" t="n">
        <v>93</v>
      </c>
      <c r="D36" s="16" t="n">
        <v>21</v>
      </c>
      <c r="E36" s="16" t="n">
        <v>21</v>
      </c>
      <c r="F36" s="38" t="n">
        <v>919769</v>
      </c>
      <c r="G36" s="38" t="n">
        <v>920132</v>
      </c>
      <c r="H36" s="38" t="n">
        <v>919769</v>
      </c>
      <c r="I36" s="38" t="n">
        <v>920132</v>
      </c>
      <c r="J36" s="19">
        <f>(I36-H36)/1000</f>
        <v/>
      </c>
      <c r="K36" s="16" t="inlineStr">
        <is>
          <t>Yes</t>
        </is>
      </c>
      <c r="L36" s="16" t="n">
        <v>2</v>
      </c>
      <c r="M36" s="39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...(+72 more)</t>
        </is>
      </c>
    </row>
    <row r="37" ht="184" customHeight="1">
      <c r="A37" s="34" t="inlineStr">
        <is>
          <t>30 Jun</t>
        </is>
      </c>
      <c r="B37" s="34" t="inlineStr">
        <is>
          <t>120850</t>
        </is>
      </c>
      <c r="C37" s="34" t="n">
        <v>17</v>
      </c>
      <c r="D37" s="34" t="n">
        <v>0</v>
      </c>
      <c r="E37" s="34" t="n">
        <v>0</v>
      </c>
      <c r="F37" s="40" t="inlineStr">
        <is>
          <t>-</t>
        </is>
      </c>
      <c r="G37" s="40" t="inlineStr">
        <is>
          <t>-</t>
        </is>
      </c>
      <c r="H37" s="40" t="inlineStr">
        <is>
          <t>-</t>
        </is>
      </c>
      <c r="I37" s="40" t="inlineStr">
        <is>
          <t>-</t>
        </is>
      </c>
      <c r="J37" s="41" t="n">
        <v>0</v>
      </c>
      <c r="K37" s="34" t="inlineStr">
        <is>
          <t>No</t>
        </is>
      </c>
      <c r="L37" s="34" t="n">
        <v>0</v>
      </c>
      <c r="M3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8" ht="184" customHeight="1">
      <c r="A38" s="34" t="inlineStr">
        <is>
          <t>30 Jun</t>
        </is>
      </c>
      <c r="B38" s="34" t="inlineStr">
        <is>
          <t>30002</t>
        </is>
      </c>
      <c r="C38" s="34" t="n">
        <v>583</v>
      </c>
      <c r="D38" s="34" t="n">
        <v>583</v>
      </c>
      <c r="E38" s="34" t="n">
        <v>0</v>
      </c>
      <c r="F38" s="40" t="n">
        <v>1401340</v>
      </c>
      <c r="G38" s="40" t="n">
        <v>1484502</v>
      </c>
      <c r="H38" s="40" t="inlineStr">
        <is>
          <t>-</t>
        </is>
      </c>
      <c r="I38" s="40" t="inlineStr">
        <is>
          <t>-</t>
        </is>
      </c>
      <c r="J38" s="41" t="n">
        <v>0</v>
      </c>
      <c r="K38" s="34" t="inlineStr">
        <is>
          <t>No</t>
        </is>
      </c>
      <c r="L38" s="34" t="n">
        <v>0</v>
      </c>
      <c r="M3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39" ht="184" customHeight="1">
      <c r="A39" s="34" t="inlineStr">
        <is>
          <t>30 Jun</t>
        </is>
      </c>
      <c r="B39" s="34" t="inlineStr">
        <is>
          <t>30426</t>
        </is>
      </c>
      <c r="C39" s="34" t="n">
        <v>521</v>
      </c>
      <c r="D39" s="34" t="n">
        <v>521</v>
      </c>
      <c r="E39" s="34" t="n">
        <v>0</v>
      </c>
      <c r="F39" s="40" t="n">
        <v>1401735</v>
      </c>
      <c r="G39" s="40" t="n">
        <v>1474435</v>
      </c>
      <c r="H39" s="40" t="inlineStr">
        <is>
          <t>-</t>
        </is>
      </c>
      <c r="I39" s="40" t="inlineStr">
        <is>
          <t>-</t>
        </is>
      </c>
      <c r="J39" s="41" t="n">
        <v>0</v>
      </c>
      <c r="K39" s="34" t="inlineStr">
        <is>
          <t>No</t>
        </is>
      </c>
      <c r="L39" s="34" t="n">
        <v>0</v>
      </c>
      <c r="M3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0" ht="184" customHeight="1">
      <c r="A40" s="34" t="inlineStr">
        <is>
          <t>30 Jun</t>
        </is>
      </c>
      <c r="B40" s="34" t="inlineStr">
        <is>
          <t>30473</t>
        </is>
      </c>
      <c r="C40" s="34" t="n">
        <v>2083</v>
      </c>
      <c r="D40" s="34" t="n">
        <v>2027</v>
      </c>
      <c r="E40" s="34" t="n">
        <v>0</v>
      </c>
      <c r="F40" s="40" t="n">
        <v>1898</v>
      </c>
      <c r="G40" s="40" t="n">
        <v>697882</v>
      </c>
      <c r="H40" s="40" t="inlineStr">
        <is>
          <t>-</t>
        </is>
      </c>
      <c r="I40" s="40" t="inlineStr">
        <is>
          <t>-</t>
        </is>
      </c>
      <c r="J40" s="41" t="n">
        <v>0</v>
      </c>
      <c r="K40" s="34" t="inlineStr">
        <is>
          <t>No</t>
        </is>
      </c>
      <c r="L40" s="34" t="n">
        <v>0</v>
      </c>
      <c r="M4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1" ht="184" customHeight="1">
      <c r="A41" s="34" t="inlineStr">
        <is>
          <t>30 Jun</t>
        </is>
      </c>
      <c r="B41" s="34" t="inlineStr">
        <is>
          <t>30478</t>
        </is>
      </c>
      <c r="C41" s="34" t="n">
        <v>374</v>
      </c>
      <c r="D41" s="34" t="n">
        <v>372</v>
      </c>
      <c r="E41" s="34" t="n">
        <v>0</v>
      </c>
      <c r="F41" s="40" t="n">
        <v>1401693</v>
      </c>
      <c r="G41" s="40" t="n">
        <v>1436875</v>
      </c>
      <c r="H41" s="40" t="inlineStr">
        <is>
          <t>-</t>
        </is>
      </c>
      <c r="I41" s="40" t="inlineStr">
        <is>
          <t>-</t>
        </is>
      </c>
      <c r="J41" s="41" t="n">
        <v>0</v>
      </c>
      <c r="K41" s="34" t="inlineStr">
        <is>
          <t>No</t>
        </is>
      </c>
      <c r="L41" s="34" t="n">
        <v>0</v>
      </c>
      <c r="M4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2" ht="184" customHeight="1">
      <c r="A42" s="34" t="inlineStr">
        <is>
          <t>30 Jun</t>
        </is>
      </c>
      <c r="B42" s="34" t="inlineStr">
        <is>
          <t>30537</t>
        </is>
      </c>
      <c r="C42" s="34" t="n">
        <v>308</v>
      </c>
      <c r="D42" s="34" t="n">
        <v>308</v>
      </c>
      <c r="E42" s="34" t="n">
        <v>0</v>
      </c>
      <c r="F42" s="40" t="n">
        <v>1401351</v>
      </c>
      <c r="G42" s="40" t="n">
        <v>1436600</v>
      </c>
      <c r="H42" s="40" t="inlineStr">
        <is>
          <t>-</t>
        </is>
      </c>
      <c r="I42" s="40" t="inlineStr">
        <is>
          <t>-</t>
        </is>
      </c>
      <c r="J42" s="41" t="n">
        <v>0</v>
      </c>
      <c r="K42" s="34" t="inlineStr">
        <is>
          <t>No</t>
        </is>
      </c>
      <c r="L42" s="34" t="n">
        <v>0</v>
      </c>
      <c r="M4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3" ht="184" customHeight="1">
      <c r="A43" s="34" t="inlineStr">
        <is>
          <t>30 Jun</t>
        </is>
      </c>
      <c r="B43" s="34" t="inlineStr">
        <is>
          <t>30581</t>
        </is>
      </c>
      <c r="C43" s="34" t="n">
        <v>1680</v>
      </c>
      <c r="D43" s="34" t="n">
        <v>1622</v>
      </c>
      <c r="E43" s="34" t="n">
        <v>0</v>
      </c>
      <c r="F43" s="40" t="n">
        <v>1888</v>
      </c>
      <c r="G43" s="40" t="n">
        <v>697880</v>
      </c>
      <c r="H43" s="40" t="inlineStr">
        <is>
          <t>-</t>
        </is>
      </c>
      <c r="I43" s="40" t="inlineStr">
        <is>
          <t>-</t>
        </is>
      </c>
      <c r="J43" s="41" t="n">
        <v>0</v>
      </c>
      <c r="K43" s="34" t="inlineStr">
        <is>
          <t>No</t>
        </is>
      </c>
      <c r="L43" s="34" t="n">
        <v>0</v>
      </c>
      <c r="M4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4" ht="184" customHeight="1">
      <c r="A44" s="34" t="inlineStr">
        <is>
          <t>30 Jun</t>
        </is>
      </c>
      <c r="B44" s="34" t="inlineStr">
        <is>
          <t>30624</t>
        </is>
      </c>
      <c r="C44" s="34" t="n">
        <v>1893</v>
      </c>
      <c r="D44" s="34" t="n">
        <v>1893</v>
      </c>
      <c r="E44" s="34" t="n">
        <v>0</v>
      </c>
      <c r="F44" s="40" t="n">
        <v>1359363</v>
      </c>
      <c r="G44" s="40" t="n">
        <v>1426122</v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4" t="inlineStr">
        <is>
          <t>No</t>
        </is>
      </c>
      <c r="L44" s="34" t="n">
        <v>0</v>
      </c>
      <c r="M4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5" ht="184" customHeight="1">
      <c r="A45" s="34" t="inlineStr">
        <is>
          <t>30 Jun</t>
        </is>
      </c>
      <c r="B45" s="34" t="inlineStr">
        <is>
          <t>30646</t>
        </is>
      </c>
      <c r="C45" s="34" t="n">
        <v>2110</v>
      </c>
      <c r="D45" s="34" t="n">
        <v>2110</v>
      </c>
      <c r="E45" s="34" t="n">
        <v>0</v>
      </c>
      <c r="F45" s="40" t="n">
        <v>1317279</v>
      </c>
      <c r="G45" s="40" t="n">
        <v>1474584</v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4" t="inlineStr">
        <is>
          <t>No</t>
        </is>
      </c>
      <c r="L45" s="34" t="n">
        <v>0</v>
      </c>
      <c r="M4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6" ht="184" customHeight="1">
      <c r="A46" s="34" t="inlineStr">
        <is>
          <t>30 Jun</t>
        </is>
      </c>
      <c r="B46" s="34" t="inlineStr">
        <is>
          <t>30716</t>
        </is>
      </c>
      <c r="C46" s="34" t="n">
        <v>1634</v>
      </c>
      <c r="D46" s="34" t="n">
        <v>1634</v>
      </c>
      <c r="E46" s="34" t="n">
        <v>0</v>
      </c>
      <c r="F46" s="40" t="n">
        <v>1330205</v>
      </c>
      <c r="G46" s="40" t="n">
        <v>1484476</v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4" t="inlineStr">
        <is>
          <t>No</t>
        </is>
      </c>
      <c r="L46" s="34" t="n">
        <v>0</v>
      </c>
      <c r="M4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7" ht="184" customHeight="1">
      <c r="A47" s="34" t="inlineStr">
        <is>
          <t>30 Jun</t>
        </is>
      </c>
      <c r="B47" s="34" t="inlineStr">
        <is>
          <t>30786</t>
        </is>
      </c>
      <c r="C47" s="34" t="n">
        <v>439</v>
      </c>
      <c r="D47" s="34" t="n">
        <v>438</v>
      </c>
      <c r="E47" s="34" t="n">
        <v>0</v>
      </c>
      <c r="F47" s="40" t="n">
        <v>1401351</v>
      </c>
      <c r="G47" s="40" t="n">
        <v>1433564</v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4" t="inlineStr">
        <is>
          <t>No</t>
        </is>
      </c>
      <c r="L47" s="34" t="n">
        <v>0</v>
      </c>
      <c r="M4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8" ht="184" customHeight="1">
      <c r="A48" s="34" t="inlineStr">
        <is>
          <t>30 Jun</t>
        </is>
      </c>
      <c r="B48" s="34" t="inlineStr">
        <is>
          <t>31380</t>
        </is>
      </c>
      <c r="C48" s="34" t="n">
        <v>1103</v>
      </c>
      <c r="D48" s="34" t="n">
        <v>1101</v>
      </c>
      <c r="E48" s="34" t="n">
        <v>0</v>
      </c>
      <c r="F48" s="40" t="n">
        <v>1367885</v>
      </c>
      <c r="G48" s="40" t="n">
        <v>1396932</v>
      </c>
      <c r="H48" s="40" t="inlineStr">
        <is>
          <t>-</t>
        </is>
      </c>
      <c r="I48" s="40" t="inlineStr">
        <is>
          <t>-</t>
        </is>
      </c>
      <c r="J48" s="41" t="n">
        <v>0</v>
      </c>
      <c r="K48" s="34" t="inlineStr">
        <is>
          <t>No</t>
        </is>
      </c>
      <c r="L48" s="34" t="n">
        <v>0</v>
      </c>
      <c r="M4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49" ht="184" customHeight="1">
      <c r="A49" s="34" t="inlineStr">
        <is>
          <t>30 Jun</t>
        </is>
      </c>
      <c r="B49" s="34" t="inlineStr">
        <is>
          <t>37206</t>
        </is>
      </c>
      <c r="C49" s="34" t="n">
        <v>682</v>
      </c>
      <c r="D49" s="34" t="n">
        <v>682</v>
      </c>
      <c r="E49" s="34" t="n">
        <v>0</v>
      </c>
      <c r="F49" s="40" t="n">
        <v>1401332</v>
      </c>
      <c r="G49" s="40" t="n">
        <v>1436970</v>
      </c>
      <c r="H49" s="40" t="inlineStr">
        <is>
          <t>-</t>
        </is>
      </c>
      <c r="I49" s="40" t="inlineStr">
        <is>
          <t>-</t>
        </is>
      </c>
      <c r="J49" s="41" t="n">
        <v>0</v>
      </c>
      <c r="K49" s="34" t="inlineStr">
        <is>
          <t>No</t>
        </is>
      </c>
      <c r="L49" s="34" t="n">
        <v>0</v>
      </c>
      <c r="M4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0" ht="184" customHeight="1">
      <c r="A50" s="34" t="inlineStr">
        <is>
          <t>30 Jun</t>
        </is>
      </c>
      <c r="B50" s="34" t="inlineStr">
        <is>
          <t>37219</t>
        </is>
      </c>
      <c r="C50" s="34" t="n">
        <v>3297</v>
      </c>
      <c r="D50" s="34" t="n">
        <v>3292</v>
      </c>
      <c r="E50" s="34" t="n">
        <v>0</v>
      </c>
      <c r="F50" s="40" t="n">
        <v>1299032</v>
      </c>
      <c r="G50" s="40" t="n">
        <v>1488330</v>
      </c>
      <c r="H50" s="40" t="inlineStr">
        <is>
          <t>-</t>
        </is>
      </c>
      <c r="I50" s="40" t="inlineStr">
        <is>
          <t>-</t>
        </is>
      </c>
      <c r="J50" s="41" t="n">
        <v>0</v>
      </c>
      <c r="K50" s="34" t="inlineStr">
        <is>
          <t>No</t>
        </is>
      </c>
      <c r="L50" s="34" t="n">
        <v>0</v>
      </c>
      <c r="M5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1" ht="184" customHeight="1">
      <c r="A51" s="34" t="inlineStr">
        <is>
          <t>30 Jun</t>
        </is>
      </c>
      <c r="B51" s="34" t="inlineStr">
        <is>
          <t>37320</t>
        </is>
      </c>
      <c r="C51" s="34" t="n">
        <v>1422</v>
      </c>
      <c r="D51" s="34" t="n">
        <v>1422</v>
      </c>
      <c r="E51" s="34" t="n">
        <v>0</v>
      </c>
      <c r="F51" s="40" t="n">
        <v>1358170</v>
      </c>
      <c r="G51" s="40" t="n">
        <v>1436455</v>
      </c>
      <c r="H51" s="40" t="inlineStr">
        <is>
          <t>-</t>
        </is>
      </c>
      <c r="I51" s="40" t="inlineStr">
        <is>
          <t>-</t>
        </is>
      </c>
      <c r="J51" s="41" t="n">
        <v>0</v>
      </c>
      <c r="K51" s="34" t="inlineStr">
        <is>
          <t>No</t>
        </is>
      </c>
      <c r="L51" s="34" t="n">
        <v>0</v>
      </c>
      <c r="M5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2" ht="184" customHeight="1">
      <c r="A52" s="34" t="inlineStr">
        <is>
          <t>30 Jun</t>
        </is>
      </c>
      <c r="B52" s="34" t="inlineStr">
        <is>
          <t>37346</t>
        </is>
      </c>
      <c r="C52" s="34" t="n">
        <v>475</v>
      </c>
      <c r="D52" s="34" t="n">
        <v>475</v>
      </c>
      <c r="E52" s="34" t="n">
        <v>0</v>
      </c>
      <c r="F52" s="40" t="n">
        <v>1401698</v>
      </c>
      <c r="G52" s="40" t="n">
        <v>1435992</v>
      </c>
      <c r="H52" s="40" t="inlineStr">
        <is>
          <t>-</t>
        </is>
      </c>
      <c r="I52" s="40" t="inlineStr">
        <is>
          <t>-</t>
        </is>
      </c>
      <c r="J52" s="41" t="n">
        <v>0</v>
      </c>
      <c r="K52" s="34" t="inlineStr">
        <is>
          <t>No</t>
        </is>
      </c>
      <c r="L52" s="34" t="n">
        <v>0</v>
      </c>
      <c r="M52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3" ht="184" customHeight="1">
      <c r="A53" s="34" t="inlineStr">
        <is>
          <t>30 Jun</t>
        </is>
      </c>
      <c r="B53" s="34" t="inlineStr">
        <is>
          <t>37499</t>
        </is>
      </c>
      <c r="C53" s="34" t="n">
        <v>32</v>
      </c>
      <c r="D53" s="34" t="n">
        <v>32</v>
      </c>
      <c r="E53" s="34" t="n">
        <v>0</v>
      </c>
      <c r="F53" s="40" t="n">
        <v>1287474</v>
      </c>
      <c r="G53" s="40" t="n">
        <v>1356944</v>
      </c>
      <c r="H53" s="40" t="inlineStr">
        <is>
          <t>-</t>
        </is>
      </c>
      <c r="I53" s="40" t="inlineStr">
        <is>
          <t>-</t>
        </is>
      </c>
      <c r="J53" s="41" t="n">
        <v>0</v>
      </c>
      <c r="K53" s="34" t="inlineStr">
        <is>
          <t>No</t>
        </is>
      </c>
      <c r="L53" s="34" t="n">
        <v>0</v>
      </c>
      <c r="M53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4" ht="184" customHeight="1">
      <c r="A54" s="34" t="inlineStr">
        <is>
          <t>30 Jun</t>
        </is>
      </c>
      <c r="B54" s="34" t="inlineStr">
        <is>
          <t>37856</t>
        </is>
      </c>
      <c r="C54" s="34" t="n">
        <v>1871</v>
      </c>
      <c r="D54" s="34" t="n">
        <v>1860</v>
      </c>
      <c r="E54" s="34" t="n">
        <v>0</v>
      </c>
      <c r="F54" s="40" t="n">
        <v>1314354</v>
      </c>
      <c r="G54" s="40" t="n">
        <v>1413455</v>
      </c>
      <c r="H54" s="40" t="inlineStr">
        <is>
          <t>-</t>
        </is>
      </c>
      <c r="I54" s="40" t="inlineStr">
        <is>
          <t>-</t>
        </is>
      </c>
      <c r="J54" s="41" t="n">
        <v>0</v>
      </c>
      <c r="K54" s="34" t="inlineStr">
        <is>
          <t>No</t>
        </is>
      </c>
      <c r="L54" s="34" t="n">
        <v>0</v>
      </c>
      <c r="M54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5" ht="184" customHeight="1">
      <c r="A55" s="34" t="inlineStr">
        <is>
          <t>30 Jun</t>
        </is>
      </c>
      <c r="B55" s="34" t="inlineStr">
        <is>
          <t>37880</t>
        </is>
      </c>
      <c r="C55" s="34" t="n">
        <v>456</v>
      </c>
      <c r="D55" s="34" t="n">
        <v>456</v>
      </c>
      <c r="E55" s="34" t="n">
        <v>0</v>
      </c>
      <c r="F55" s="40" t="n">
        <v>1402797</v>
      </c>
      <c r="G55" s="40" t="n">
        <v>1436509</v>
      </c>
      <c r="H55" s="40" t="inlineStr">
        <is>
          <t>-</t>
        </is>
      </c>
      <c r="I55" s="40" t="inlineStr">
        <is>
          <t>-</t>
        </is>
      </c>
      <c r="J55" s="41" t="n">
        <v>0</v>
      </c>
      <c r="K55" s="34" t="inlineStr">
        <is>
          <t>No</t>
        </is>
      </c>
      <c r="L55" s="34" t="n">
        <v>0</v>
      </c>
      <c r="M55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6" ht="184" customHeight="1">
      <c r="A56" s="34" t="inlineStr">
        <is>
          <t>30 Jun</t>
        </is>
      </c>
      <c r="B56" s="34" t="inlineStr">
        <is>
          <t>37954</t>
        </is>
      </c>
      <c r="C56" s="34" t="n">
        <v>1516</v>
      </c>
      <c r="D56" s="34" t="n">
        <v>1490</v>
      </c>
      <c r="E56" s="34" t="n">
        <v>0</v>
      </c>
      <c r="F56" s="40" t="n">
        <v>1265562</v>
      </c>
      <c r="G56" s="40" t="n">
        <v>1490318</v>
      </c>
      <c r="H56" s="40" t="inlineStr">
        <is>
          <t>-</t>
        </is>
      </c>
      <c r="I56" s="40" t="inlineStr">
        <is>
          <t>-</t>
        </is>
      </c>
      <c r="J56" s="41" t="n">
        <v>0</v>
      </c>
      <c r="K56" s="34" t="inlineStr">
        <is>
          <t>No</t>
        </is>
      </c>
      <c r="L56" s="34" t="n">
        <v>0</v>
      </c>
      <c r="M56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7" ht="184" customHeight="1">
      <c r="A57" s="34" t="inlineStr">
        <is>
          <t>30 Jun</t>
        </is>
      </c>
      <c r="B57" s="34" t="inlineStr">
        <is>
          <t>39031</t>
        </is>
      </c>
      <c r="C57" s="34" t="n">
        <v>492</v>
      </c>
      <c r="D57" s="34" t="n">
        <v>490</v>
      </c>
      <c r="E57" s="34" t="n">
        <v>0</v>
      </c>
      <c r="F57" s="40" t="n">
        <v>1401400</v>
      </c>
      <c r="G57" s="40" t="n">
        <v>1482675</v>
      </c>
      <c r="H57" s="40" t="inlineStr">
        <is>
          <t>-</t>
        </is>
      </c>
      <c r="I57" s="40" t="inlineStr">
        <is>
          <t>-</t>
        </is>
      </c>
      <c r="J57" s="41" t="n">
        <v>0</v>
      </c>
      <c r="K57" s="34" t="inlineStr">
        <is>
          <t>No</t>
        </is>
      </c>
      <c r="L57" s="34" t="n">
        <v>0</v>
      </c>
      <c r="M57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8" ht="184" customHeight="1">
      <c r="A58" s="34" t="inlineStr">
        <is>
          <t>30 Jun</t>
        </is>
      </c>
      <c r="B58" s="34" t="inlineStr">
        <is>
          <t>39247</t>
        </is>
      </c>
      <c r="C58" s="34" t="n">
        <v>556</v>
      </c>
      <c r="D58" s="34" t="n">
        <v>556</v>
      </c>
      <c r="E58" s="34" t="n">
        <v>0</v>
      </c>
      <c r="F58" s="40" t="n">
        <v>1401317</v>
      </c>
      <c r="G58" s="40" t="n">
        <v>1436962</v>
      </c>
      <c r="H58" s="40" t="inlineStr">
        <is>
          <t>-</t>
        </is>
      </c>
      <c r="I58" s="40" t="inlineStr">
        <is>
          <t>-</t>
        </is>
      </c>
      <c r="J58" s="41" t="n">
        <v>0</v>
      </c>
      <c r="K58" s="34" t="inlineStr">
        <is>
          <t>No</t>
        </is>
      </c>
      <c r="L58" s="34" t="n">
        <v>0</v>
      </c>
      <c r="M58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59" ht="184" customHeight="1">
      <c r="A59" s="34" t="inlineStr">
        <is>
          <t>30 Jun</t>
        </is>
      </c>
      <c r="B59" s="34" t="inlineStr">
        <is>
          <t>39411</t>
        </is>
      </c>
      <c r="C59" s="34" t="n">
        <v>2</v>
      </c>
      <c r="D59" s="34" t="n">
        <v>0</v>
      </c>
      <c r="E59" s="34" t="n">
        <v>0</v>
      </c>
      <c r="F59" s="40" t="inlineStr">
        <is>
          <t>-</t>
        </is>
      </c>
      <c r="G59" s="40" t="inlineStr">
        <is>
          <t>-</t>
        </is>
      </c>
      <c r="H59" s="40" t="inlineStr">
        <is>
          <t>-</t>
        </is>
      </c>
      <c r="I59" s="40" t="inlineStr">
        <is>
          <t>-</t>
        </is>
      </c>
      <c r="J59" s="41" t="n">
        <v>0</v>
      </c>
      <c r="K59" s="34" t="inlineStr">
        <is>
          <t>No</t>
        </is>
      </c>
      <c r="L59" s="34" t="n">
        <v>0</v>
      </c>
      <c r="M59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0" ht="184" customHeight="1">
      <c r="A60" s="34" t="inlineStr">
        <is>
          <t>30 Jun</t>
        </is>
      </c>
      <c r="B60" s="34" t="inlineStr">
        <is>
          <t>39522</t>
        </is>
      </c>
      <c r="C60" s="34" t="n">
        <v>508</v>
      </c>
      <c r="D60" s="34" t="n">
        <v>508</v>
      </c>
      <c r="E60" s="34" t="n">
        <v>0</v>
      </c>
      <c r="F60" s="40" t="n">
        <v>656944</v>
      </c>
      <c r="G60" s="40" t="n">
        <v>695576</v>
      </c>
      <c r="H60" s="40" t="inlineStr">
        <is>
          <t>-</t>
        </is>
      </c>
      <c r="I60" s="40" t="inlineStr">
        <is>
          <t>-</t>
        </is>
      </c>
      <c r="J60" s="41" t="n">
        <v>0</v>
      </c>
      <c r="K60" s="34" t="inlineStr">
        <is>
          <t>No</t>
        </is>
      </c>
      <c r="L60" s="34" t="n">
        <v>0</v>
      </c>
      <c r="M60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  <row r="61" ht="184" customHeight="1">
      <c r="A61" s="34" t="inlineStr">
        <is>
          <t>30 Jun</t>
        </is>
      </c>
      <c r="B61" s="34" t="inlineStr">
        <is>
          <t>45026</t>
        </is>
      </c>
      <c r="C61" s="34" t="n">
        <v>2206</v>
      </c>
      <c r="D61" s="34" t="n">
        <v>2201</v>
      </c>
      <c r="E61" s="34" t="n">
        <v>0</v>
      </c>
      <c r="F61" s="40" t="n">
        <v>1896</v>
      </c>
      <c r="G61" s="40" t="n">
        <v>698498</v>
      </c>
      <c r="H61" s="40" t="inlineStr">
        <is>
          <t>-</t>
        </is>
      </c>
      <c r="I61" s="40" t="inlineStr">
        <is>
          <t>-</t>
        </is>
      </c>
      <c r="J61" s="41" t="n">
        <v>0</v>
      </c>
      <c r="K61" s="34" t="inlineStr">
        <is>
          <t>No</t>
        </is>
      </c>
      <c r="L61" s="34" t="n">
        <v>0</v>
      </c>
      <c r="M61" s="42" t="inlineStr">
        <is>
          <t>IBH 265, Murhesi Rampur(MSRP), IBH/LC-258, Jajjanpatti(JJA), DhaurmuiJaghina(DUM), IBH-247, Bharatpur Jn.(BTE), IBH-242, Sewar(SWAR), IBH-JCU, LC-232, Pingora(PNGR), IBH-229, 2.35 KM from KEV, Kela Devi(KEV), IBH-224, Bayana Jn.(BXN), LC-219, LC-217, IBH-216, Dumariya(DY), IBH-211, FatehSinghpura(FSP), IBH-DNHK, Hindaun City(HAN), LC-199, IBS-198, Shri Mahabirji(SMBJ), IBH-192, Piloda(PDZ), ChhotiOdai(COO), 8.375 KM from GGC, IBH-180, Gangapur City(GGC), Lalpur Umri(LRU), IBH/LC-173, NarayanpurTatwara(NNW), IBH-171, Nimoda(NMD), 3.5 KM from MLZ, Malarna(MLZ), IBH-MXL, LC-163, Makholi(MXL), IBH-159, Ranthambhor(RNT), 5.0 KM from SWM-A, SawaiMadhopurJn(SWM), LC-148, Kushtala(KTA)  ...(+74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535.7 / UP 544.9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(699070-1243994).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2026-07-01T00:44:30Z</dcterms:created>
  <dcterms:modified xmlns:dcterms="http://purl.org/dc/terms/" xmlns:xsi="http://www.w3.org/2001/XMLSchema-instance" xsi:type="dcterms:W3CDTF">2026-07-01T05:28:40Z</dcterms:modified>
</cp:coreProperties>
</file>
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0000"/>
    <numFmt numFmtId="167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808080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4" fontId="9" fillId="5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3" fontId="9" fillId="7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7" fontId="9" fillId="5" borderId="1" applyAlignment="1" pivotButton="0" quotePrefix="0" xfId="0">
      <alignment horizontal="center" vertical="center" wrapText="1"/>
    </xf>
    <xf numFmtId="2" fontId="11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2" fontId="6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4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4" fontId="4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WR — Kavach Unified KPI</t>
        </is>
      </c>
    </row>
    <row r="2">
      <c r="A2" s="2" t="inlineStr">
        <is>
          <t>Period: 01 Jul 2026  ·  all locomotives  ·  one combined row</t>
        </is>
      </c>
    </row>
    <row r="3"/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49" customHeight="1">
      <c r="A5" s="4" t="inlineStr">
        <is>
          <t>01 Jul 2026</t>
        </is>
      </c>
      <c r="B5" s="4" t="inlineStr">
        <is>
          <t>WR</t>
        </is>
      </c>
      <c r="C5" s="4" t="inlineStr">
        <is>
          <t>24000_ADI - 24223 (WR03, BRC excluded)</t>
        </is>
      </c>
      <c r="D5" s="5">
        <f>'Daily Breakdown'!C43</f>
        <v/>
      </c>
      <c r="E5" s="6">
        <f>'Daily Breakdown'!D43</f>
        <v/>
      </c>
      <c r="F5" s="7">
        <f>'Daily Breakdown'!G43</f>
        <v/>
      </c>
      <c r="G5" s="5">
        <f>'Daily Breakdown'!H43</f>
        <v/>
      </c>
      <c r="H5" s="8">
        <f>'Daily Breakdown'!I43</f>
        <v/>
      </c>
      <c r="I5" s="8">
        <f>'Daily Breakdown'!J43</f>
        <v/>
      </c>
      <c r="J5" s="9">
        <f>IFERROR(G5/D5,0)</f>
        <v/>
      </c>
      <c r="K5" s="10">
        <f>IFERROR(G5/E5,0)</f>
        <v/>
      </c>
      <c r="L5" s="11">
        <f>IFERROR(G5/E5*100,0)</f>
        <v/>
      </c>
      <c r="M5" s="10">
        <f>IFERROR(G5/(D5*E5/1000),0)</f>
        <v/>
      </c>
      <c r="N5" s="5">
        <f>'Daily Breakdown'!K43</f>
        <v/>
      </c>
      <c r="O5" s="9">
        <f>IFERROR(N5/D5,0)</f>
        <v/>
      </c>
      <c r="P5" s="10">
        <f>IFERROR(N5/E5,0)</f>
        <v/>
      </c>
      <c r="Q5" s="10">
        <f>IFERROR(N5/(D5*E5/100),0)</f>
        <v/>
      </c>
      <c r="R5" s="11">
        <f>IFERROR(N5/E5*100,0)</f>
        <v/>
      </c>
      <c r="S5" s="8" t="n">
        <v>0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4" customWidth="1" min="4" max="4"/>
    <col width="14" customWidth="1" min="5" max="5"/>
    <col width="28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14" t="inlineStr">
        <is>
          <t>Availability base excludes locos with FS+OS pkts = 0 (they are still listed; only the Total-pkts availability base drops them).</t>
        </is>
      </c>
    </row>
    <row r="3" ht="34" customHeight="1">
      <c r="A3" s="15" t="inlineStr">
        <is>
          <t>Date</t>
        </is>
      </c>
      <c r="B3" s="15" t="inlineStr">
        <is>
          <t>Loco ID</t>
        </is>
      </c>
      <c r="C3" s="15" t="inlineStr">
        <is>
          <t>No of Trips</t>
        </is>
      </c>
      <c r="D3" s="15" t="inlineStr">
        <is>
          <t>Total KMs</t>
        </is>
      </c>
      <c r="E3" s="15" t="inlineStr">
        <is>
          <t>FS+OS pkts</t>
        </is>
      </c>
      <c r="F3" s="15" t="inlineStr">
        <is>
          <t>Total pkts</t>
        </is>
      </c>
      <c r="G3" s="15" t="inlineStr">
        <is>
          <t>Availability (FS+OS)</t>
        </is>
      </c>
      <c r="H3" s="15" t="inlineStr">
        <is>
          <t>Total EB</t>
        </is>
      </c>
      <c r="I3" s="15" t="inlineStr">
        <is>
          <t>EB (Valid)</t>
        </is>
      </c>
      <c r="J3" s="15" t="inlineStr">
        <is>
          <t>EB (Non-Valid)</t>
        </is>
      </c>
      <c r="K3" s="15" t="inlineStr">
        <is>
          <t>Mode Degradation</t>
        </is>
      </c>
    </row>
    <row r="4">
      <c r="A4" s="16" t="inlineStr">
        <is>
          <t>1 Jul</t>
        </is>
      </c>
      <c r="B4" s="16" t="inlineStr">
        <is>
          <t>37465</t>
        </is>
      </c>
      <c r="C4" s="17" t="n">
        <v>2</v>
      </c>
      <c r="D4" s="18" t="n">
        <v>93.31999999999999</v>
      </c>
      <c r="E4" s="19" t="n">
        <v>10322</v>
      </c>
      <c r="F4" s="19" t="n">
        <v>10686</v>
      </c>
      <c r="G4" s="20">
        <f>IF(F4=0,0,E4/F4*100)</f>
        <v/>
      </c>
      <c r="H4" s="17" t="n">
        <v>0</v>
      </c>
      <c r="I4" s="17" t="n">
        <v>0</v>
      </c>
      <c r="J4" s="17" t="n">
        <v>0</v>
      </c>
      <c r="K4" s="17" t="n">
        <v>8</v>
      </c>
    </row>
    <row r="5">
      <c r="A5" s="16" t="inlineStr">
        <is>
          <t>1 Jul</t>
        </is>
      </c>
      <c r="B5" s="16" t="inlineStr">
        <is>
          <t>39015</t>
        </is>
      </c>
      <c r="C5" s="17" t="n">
        <v>2</v>
      </c>
      <c r="D5" s="18" t="n">
        <v>93.90000000000001</v>
      </c>
      <c r="E5" s="19" t="n">
        <v>7939</v>
      </c>
      <c r="F5" s="19" t="n">
        <v>9321</v>
      </c>
      <c r="G5" s="20">
        <f>IF(F5=0,0,E5/F5*100)</f>
        <v/>
      </c>
      <c r="H5" s="17" t="n">
        <v>0</v>
      </c>
      <c r="I5" s="17" t="n">
        <v>0</v>
      </c>
      <c r="J5" s="17" t="n">
        <v>0</v>
      </c>
      <c r="K5" s="17" t="n">
        <v>8</v>
      </c>
    </row>
    <row r="6">
      <c r="A6" s="16" t="inlineStr">
        <is>
          <t>1 Jul</t>
        </is>
      </c>
      <c r="B6" s="16" t="inlineStr">
        <is>
          <t>30634</t>
        </is>
      </c>
      <c r="C6" s="17" t="n">
        <v>1</v>
      </c>
      <c r="D6" s="18" t="n">
        <v>93.91</v>
      </c>
      <c r="E6" s="19" t="n">
        <v>5318</v>
      </c>
      <c r="F6" s="19" t="n">
        <v>7957</v>
      </c>
      <c r="G6" s="20">
        <f>IF(F6=0,0,E6/F6*100)</f>
        <v/>
      </c>
      <c r="H6" s="17" t="n">
        <v>0</v>
      </c>
      <c r="I6" s="17" t="n">
        <v>0</v>
      </c>
      <c r="J6" s="17" t="n">
        <v>0</v>
      </c>
      <c r="K6" s="17" t="n">
        <v>4</v>
      </c>
    </row>
    <row r="7">
      <c r="A7" s="16" t="inlineStr">
        <is>
          <t>1 Jul</t>
        </is>
      </c>
      <c r="B7" s="16" t="inlineStr">
        <is>
          <t>37655</t>
        </is>
      </c>
      <c r="C7" s="17" t="n">
        <v>1</v>
      </c>
      <c r="D7" s="18" t="n">
        <v>91.73999999999999</v>
      </c>
      <c r="E7" s="19" t="n">
        <v>6579</v>
      </c>
      <c r="F7" s="19" t="n">
        <v>6863</v>
      </c>
      <c r="G7" s="20">
        <f>IF(F7=0,0,E7/F7*100)</f>
        <v/>
      </c>
      <c r="H7" s="17" t="n">
        <v>0</v>
      </c>
      <c r="I7" s="17" t="n">
        <v>0</v>
      </c>
      <c r="J7" s="17" t="n">
        <v>0</v>
      </c>
      <c r="K7" s="17" t="n">
        <v>2</v>
      </c>
    </row>
    <row r="8">
      <c r="A8" s="16" t="inlineStr">
        <is>
          <t>1 Jul</t>
        </is>
      </c>
      <c r="B8" s="16" t="inlineStr">
        <is>
          <t>37275</t>
        </is>
      </c>
      <c r="C8" s="17" t="n">
        <v>1</v>
      </c>
      <c r="D8" s="18" t="n">
        <v>93.31999999999999</v>
      </c>
      <c r="E8" s="19" t="n">
        <v>6057</v>
      </c>
      <c r="F8" s="19" t="n">
        <v>6150</v>
      </c>
      <c r="G8" s="20">
        <f>IF(F8=0,0,E8/F8*100)</f>
        <v/>
      </c>
      <c r="H8" s="17" t="n">
        <v>0</v>
      </c>
      <c r="I8" s="17" t="n">
        <v>0</v>
      </c>
      <c r="J8" s="17" t="n">
        <v>0</v>
      </c>
      <c r="K8" s="17" t="n">
        <v>3</v>
      </c>
    </row>
    <row r="9">
      <c r="A9" s="16" t="inlineStr">
        <is>
          <t>1 Jul</t>
        </is>
      </c>
      <c r="B9" s="16" t="inlineStr">
        <is>
          <t>30300</t>
        </is>
      </c>
      <c r="C9" s="17" t="n">
        <v>1</v>
      </c>
      <c r="D9" s="18" t="n">
        <v>93.89</v>
      </c>
      <c r="E9" s="19" t="n">
        <v>5597</v>
      </c>
      <c r="F9" s="19" t="n">
        <v>6037</v>
      </c>
      <c r="G9" s="20">
        <f>IF(F9=0,0,E9/F9*100)</f>
        <v/>
      </c>
      <c r="H9" s="17" t="n">
        <v>0</v>
      </c>
      <c r="I9" s="17" t="n">
        <v>0</v>
      </c>
      <c r="J9" s="17" t="n">
        <v>0</v>
      </c>
      <c r="K9" s="17" t="n">
        <v>3</v>
      </c>
    </row>
    <row r="10">
      <c r="A10" s="16" t="inlineStr">
        <is>
          <t>1 Jul</t>
        </is>
      </c>
      <c r="B10" s="16" t="inlineStr">
        <is>
          <t>37504</t>
        </is>
      </c>
      <c r="C10" s="17" t="n">
        <v>1</v>
      </c>
      <c r="D10" s="18" t="n">
        <v>93.91</v>
      </c>
      <c r="E10" s="19" t="n">
        <v>5017</v>
      </c>
      <c r="F10" s="19" t="n">
        <v>5905</v>
      </c>
      <c r="G10" s="20">
        <f>IF(F10=0,0,E10/F10*100)</f>
        <v/>
      </c>
      <c r="H10" s="17" t="n">
        <v>0</v>
      </c>
      <c r="I10" s="17" t="n">
        <v>0</v>
      </c>
      <c r="J10" s="17" t="n">
        <v>0</v>
      </c>
      <c r="K10" s="17" t="n">
        <v>4</v>
      </c>
    </row>
    <row r="11">
      <c r="A11" s="16" t="inlineStr">
        <is>
          <t>1 Jul</t>
        </is>
      </c>
      <c r="B11" s="16" t="inlineStr">
        <is>
          <t>39030</t>
        </is>
      </c>
      <c r="C11" s="17" t="n">
        <v>1</v>
      </c>
      <c r="D11" s="18" t="n">
        <v>93.88</v>
      </c>
      <c r="E11" s="19" t="n">
        <v>5004</v>
      </c>
      <c r="F11" s="19" t="n">
        <v>5860</v>
      </c>
      <c r="G11" s="20">
        <f>IF(F11=0,0,E11/F11*100)</f>
        <v/>
      </c>
      <c r="H11" s="17" t="n">
        <v>0</v>
      </c>
      <c r="I11" s="17" t="n">
        <v>0</v>
      </c>
      <c r="J11" s="17" t="n">
        <v>0</v>
      </c>
      <c r="K11" s="17" t="n">
        <v>1</v>
      </c>
    </row>
    <row r="12">
      <c r="A12" s="16" t="inlineStr">
        <is>
          <t>1 Jul</t>
        </is>
      </c>
      <c r="B12" s="16" t="inlineStr">
        <is>
          <t>30507</t>
        </is>
      </c>
      <c r="C12" s="17" t="n">
        <v>1</v>
      </c>
      <c r="D12" s="18" t="n">
        <v>93.31</v>
      </c>
      <c r="E12" s="19" t="n">
        <v>5558</v>
      </c>
      <c r="F12" s="19" t="n">
        <v>5792</v>
      </c>
      <c r="G12" s="20">
        <f>IF(F12=0,0,E12/F12*100)</f>
        <v/>
      </c>
      <c r="H12" s="17" t="n">
        <v>0</v>
      </c>
      <c r="I12" s="17" t="n">
        <v>0</v>
      </c>
      <c r="J12" s="17" t="n">
        <v>0</v>
      </c>
      <c r="K12" s="17" t="n">
        <v>7</v>
      </c>
    </row>
    <row r="13">
      <c r="A13" s="16" t="inlineStr">
        <is>
          <t>1 Jul</t>
        </is>
      </c>
      <c r="B13" s="16" t="inlineStr">
        <is>
          <t>37112</t>
        </is>
      </c>
      <c r="C13" s="17" t="n">
        <v>1</v>
      </c>
      <c r="D13" s="18" t="n">
        <v>91.45</v>
      </c>
      <c r="E13" s="19" t="n">
        <v>5323</v>
      </c>
      <c r="F13" s="19" t="n">
        <v>5464</v>
      </c>
      <c r="G13" s="20">
        <f>IF(F13=0,0,E13/F13*100)</f>
        <v/>
      </c>
      <c r="H13" s="17" t="n">
        <v>0</v>
      </c>
      <c r="I13" s="17" t="n">
        <v>0</v>
      </c>
      <c r="J13" s="17" t="n">
        <v>0</v>
      </c>
      <c r="K13" s="17" t="n">
        <v>2</v>
      </c>
    </row>
    <row r="14">
      <c r="A14" s="16" t="inlineStr">
        <is>
          <t>1 Jul</t>
        </is>
      </c>
      <c r="B14" s="16" t="inlineStr">
        <is>
          <t>30533</t>
        </is>
      </c>
      <c r="C14" s="17" t="n">
        <v>1</v>
      </c>
      <c r="D14" s="18" t="n">
        <v>93.31999999999999</v>
      </c>
      <c r="E14" s="19" t="n">
        <v>5352</v>
      </c>
      <c r="F14" s="19" t="n">
        <v>5425</v>
      </c>
      <c r="G14" s="20">
        <f>IF(F14=0,0,E14/F14*100)</f>
        <v/>
      </c>
      <c r="H14" s="17" t="n">
        <v>0</v>
      </c>
      <c r="I14" s="17" t="n">
        <v>0</v>
      </c>
      <c r="J14" s="17" t="n">
        <v>0</v>
      </c>
      <c r="K14" s="17" t="n">
        <v>3</v>
      </c>
    </row>
    <row r="15">
      <c r="A15" s="16" t="inlineStr">
        <is>
          <t>1 Jul</t>
        </is>
      </c>
      <c r="B15" s="16" t="inlineStr">
        <is>
          <t>39248</t>
        </is>
      </c>
      <c r="C15" s="17" t="n">
        <v>1</v>
      </c>
      <c r="D15" s="18" t="n">
        <v>93.90000000000001</v>
      </c>
      <c r="E15" s="19" t="n">
        <v>4038</v>
      </c>
      <c r="F15" s="19" t="n">
        <v>5367</v>
      </c>
      <c r="G15" s="20">
        <f>IF(F15=0,0,E15/F15*100)</f>
        <v/>
      </c>
      <c r="H15" s="17" t="n">
        <v>0</v>
      </c>
      <c r="I15" s="17" t="n">
        <v>0</v>
      </c>
      <c r="J15" s="17" t="n">
        <v>0</v>
      </c>
      <c r="K15" s="17" t="n">
        <v>4</v>
      </c>
    </row>
    <row r="16">
      <c r="A16" s="16" t="inlineStr">
        <is>
          <t>1 Jul</t>
        </is>
      </c>
      <c r="B16" s="16" t="inlineStr">
        <is>
          <t>30330</t>
        </is>
      </c>
      <c r="C16" s="17" t="n">
        <v>1</v>
      </c>
      <c r="D16" s="18" t="n">
        <v>93.91</v>
      </c>
      <c r="E16" s="19" t="n">
        <v>3805</v>
      </c>
      <c r="F16" s="19" t="n">
        <v>5297</v>
      </c>
      <c r="G16" s="20">
        <f>IF(F16=0,0,E16/F16*100)</f>
        <v/>
      </c>
      <c r="H16" s="17" t="n">
        <v>0</v>
      </c>
      <c r="I16" s="17" t="n">
        <v>0</v>
      </c>
      <c r="J16" s="17" t="n">
        <v>0</v>
      </c>
      <c r="K16" s="17" t="n">
        <v>3</v>
      </c>
    </row>
    <row r="17">
      <c r="A17" s="16" t="inlineStr">
        <is>
          <t>1 Jul</t>
        </is>
      </c>
      <c r="B17" s="16" t="inlineStr">
        <is>
          <t>37492</t>
        </is>
      </c>
      <c r="C17" s="17" t="n">
        <v>1</v>
      </c>
      <c r="D17" s="18" t="n">
        <v>93.81</v>
      </c>
      <c r="E17" s="19" t="n">
        <v>4295</v>
      </c>
      <c r="F17" s="19" t="n">
        <v>4713</v>
      </c>
      <c r="G17" s="20">
        <f>IF(F17=0,0,E17/F17*100)</f>
        <v/>
      </c>
      <c r="H17" s="17" t="n">
        <v>0</v>
      </c>
      <c r="I17" s="17" t="n">
        <v>0</v>
      </c>
      <c r="J17" s="17" t="n">
        <v>0</v>
      </c>
      <c r="K17" s="17" t="n">
        <v>3</v>
      </c>
    </row>
    <row r="18">
      <c r="A18" s="16" t="inlineStr">
        <is>
          <t>1 Jul</t>
        </is>
      </c>
      <c r="B18" s="16" t="inlineStr">
        <is>
          <t>37490</t>
        </is>
      </c>
      <c r="C18" s="17" t="n">
        <v>1</v>
      </c>
      <c r="D18" s="18" t="n">
        <v>93.87</v>
      </c>
      <c r="E18" s="19" t="n">
        <v>4350</v>
      </c>
      <c r="F18" s="19" t="n">
        <v>4712</v>
      </c>
      <c r="G18" s="20">
        <f>IF(F18=0,0,E18/F18*100)</f>
        <v/>
      </c>
      <c r="H18" s="17" t="n">
        <v>0</v>
      </c>
      <c r="I18" s="17" t="n">
        <v>0</v>
      </c>
      <c r="J18" s="17" t="n">
        <v>0</v>
      </c>
      <c r="K18" s="17" t="n">
        <v>2</v>
      </c>
    </row>
    <row r="19">
      <c r="A19" s="16" t="inlineStr">
        <is>
          <t>1 Jul</t>
        </is>
      </c>
      <c r="B19" s="16" t="inlineStr">
        <is>
          <t>30581</t>
        </is>
      </c>
      <c r="C19" s="17" t="n">
        <v>1</v>
      </c>
      <c r="D19" s="18" t="n">
        <v>93.91</v>
      </c>
      <c r="E19" s="19" t="n">
        <v>3628</v>
      </c>
      <c r="F19" s="19" t="n">
        <v>4702</v>
      </c>
      <c r="G19" s="20">
        <f>IF(F19=0,0,E19/F19*100)</f>
        <v/>
      </c>
      <c r="H19" s="17" t="n">
        <v>0</v>
      </c>
      <c r="I19" s="17" t="n">
        <v>0</v>
      </c>
      <c r="J19" s="17" t="n">
        <v>0</v>
      </c>
      <c r="K19" s="17" t="n">
        <v>4</v>
      </c>
    </row>
    <row r="20">
      <c r="A20" s="16" t="inlineStr">
        <is>
          <t>1 Jul</t>
        </is>
      </c>
      <c r="B20" s="16" t="inlineStr">
        <is>
          <t>37217</t>
        </is>
      </c>
      <c r="C20" s="17" t="n">
        <v>1</v>
      </c>
      <c r="D20" s="18" t="n">
        <v>93.91</v>
      </c>
      <c r="E20" s="19" t="n">
        <v>3797</v>
      </c>
      <c r="F20" s="19" t="n">
        <v>4581</v>
      </c>
      <c r="G20" s="20">
        <f>IF(F20=0,0,E20/F20*100)</f>
        <v/>
      </c>
      <c r="H20" s="17" t="n">
        <v>0</v>
      </c>
      <c r="I20" s="17" t="n">
        <v>0</v>
      </c>
      <c r="J20" s="17" t="n">
        <v>0</v>
      </c>
      <c r="K20" s="17" t="n">
        <v>4</v>
      </c>
    </row>
    <row r="21">
      <c r="A21" s="16" t="inlineStr">
        <is>
          <t>1 Jul</t>
        </is>
      </c>
      <c r="B21" s="16" t="inlineStr">
        <is>
          <t>37489</t>
        </is>
      </c>
      <c r="C21" s="17" t="n">
        <v>1</v>
      </c>
      <c r="D21" s="18" t="n">
        <v>93.89</v>
      </c>
      <c r="E21" s="19" t="n">
        <v>4024</v>
      </c>
      <c r="F21" s="19" t="n">
        <v>4492</v>
      </c>
      <c r="G21" s="20">
        <f>IF(F21=0,0,E21/F21*100)</f>
        <v/>
      </c>
      <c r="H21" s="17" t="n">
        <v>0</v>
      </c>
      <c r="I21" s="17" t="n">
        <v>0</v>
      </c>
      <c r="J21" s="17" t="n">
        <v>0</v>
      </c>
      <c r="K21" s="17" t="n">
        <v>2</v>
      </c>
    </row>
    <row r="22">
      <c r="A22" s="16" t="inlineStr">
        <is>
          <t>1 Jul</t>
        </is>
      </c>
      <c r="B22" s="16" t="inlineStr">
        <is>
          <t>39522</t>
        </is>
      </c>
      <c r="C22" s="17" t="n">
        <v>1</v>
      </c>
      <c r="D22" s="18" t="n">
        <v>93.89</v>
      </c>
      <c r="E22" s="19" t="n">
        <v>3972</v>
      </c>
      <c r="F22" s="19" t="n">
        <v>4264</v>
      </c>
      <c r="G22" s="20">
        <f>IF(F22=0,0,E22/F22*100)</f>
        <v/>
      </c>
      <c r="H22" s="17" t="n">
        <v>0</v>
      </c>
      <c r="I22" s="17" t="n">
        <v>0</v>
      </c>
      <c r="J22" s="17" t="n">
        <v>0</v>
      </c>
      <c r="K22" s="17" t="n">
        <v>4</v>
      </c>
    </row>
    <row r="23">
      <c r="A23" s="16" t="inlineStr">
        <is>
          <t>1 Jul</t>
        </is>
      </c>
      <c r="B23" s="16" t="inlineStr">
        <is>
          <t>39259</t>
        </is>
      </c>
      <c r="C23" s="17" t="n">
        <v>1</v>
      </c>
      <c r="D23" s="18" t="n">
        <v>91.69</v>
      </c>
      <c r="E23" s="19" t="n">
        <v>3922</v>
      </c>
      <c r="F23" s="19" t="n">
        <v>4004</v>
      </c>
      <c r="G23" s="20">
        <f>IF(F23=0,0,E23/F23*100)</f>
        <v/>
      </c>
      <c r="H23" s="17" t="n">
        <v>0</v>
      </c>
      <c r="I23" s="17" t="n">
        <v>0</v>
      </c>
      <c r="J23" s="17" t="n">
        <v>0</v>
      </c>
      <c r="K23" s="17" t="n">
        <v>2</v>
      </c>
    </row>
    <row r="24">
      <c r="A24" s="16" t="inlineStr">
        <is>
          <t>1 Jul</t>
        </is>
      </c>
      <c r="B24" s="16" t="inlineStr">
        <is>
          <t>39465</t>
        </is>
      </c>
      <c r="C24" s="17" t="n">
        <v>1</v>
      </c>
      <c r="D24" s="18" t="n">
        <v>90.88</v>
      </c>
      <c r="E24" s="19" t="n">
        <v>3790</v>
      </c>
      <c r="F24" s="19" t="n">
        <v>3870</v>
      </c>
      <c r="G24" s="20">
        <f>IF(F24=0,0,E24/F24*100)</f>
        <v/>
      </c>
      <c r="H24" s="17" t="n">
        <v>0</v>
      </c>
      <c r="I24" s="17" t="n">
        <v>0</v>
      </c>
      <c r="J24" s="17" t="n">
        <v>0</v>
      </c>
      <c r="K24" s="17" t="n">
        <v>2</v>
      </c>
    </row>
    <row r="25">
      <c r="A25" s="16" t="inlineStr">
        <is>
          <t>1 Jul</t>
        </is>
      </c>
      <c r="B25" s="16" t="inlineStr">
        <is>
          <t>37507</t>
        </is>
      </c>
      <c r="C25" s="17" t="n">
        <v>1</v>
      </c>
      <c r="D25" s="18" t="n">
        <v>93.88</v>
      </c>
      <c r="E25" s="19" t="n">
        <v>2017</v>
      </c>
      <c r="F25" s="19" t="n">
        <v>2325</v>
      </c>
      <c r="G25" s="20">
        <f>IF(F25=0,0,E25/F25*100)</f>
        <v/>
      </c>
      <c r="H25" s="17" t="n">
        <v>0</v>
      </c>
      <c r="I25" s="17" t="n">
        <v>0</v>
      </c>
      <c r="J25" s="17" t="n">
        <v>0</v>
      </c>
      <c r="K25" s="17" t="n">
        <v>2</v>
      </c>
    </row>
    <row r="26">
      <c r="A26" s="16" t="inlineStr">
        <is>
          <t>1 Jul</t>
        </is>
      </c>
      <c r="B26" s="16" t="inlineStr">
        <is>
          <t>37625</t>
        </is>
      </c>
      <c r="C26" s="17" t="n">
        <v>1</v>
      </c>
      <c r="D26" s="18" t="n">
        <v>93.64</v>
      </c>
      <c r="E26" s="19" t="n">
        <v>0</v>
      </c>
      <c r="F26" s="19" t="n">
        <v>91</v>
      </c>
      <c r="G26" s="20">
        <f>IF(F26=0,0,E26/F26*100)</f>
        <v/>
      </c>
      <c r="H26" s="17" t="n">
        <v>0</v>
      </c>
      <c r="I26" s="17" t="n">
        <v>0</v>
      </c>
      <c r="J26" s="17" t="n">
        <v>0</v>
      </c>
      <c r="K26" s="17" t="n">
        <v>0</v>
      </c>
    </row>
    <row r="27">
      <c r="A27" s="16" t="inlineStr">
        <is>
          <t>1 Jul</t>
        </is>
      </c>
      <c r="B27" s="16" t="inlineStr">
        <is>
          <t>30770</t>
        </is>
      </c>
      <c r="C27" s="17" t="n">
        <v>0</v>
      </c>
      <c r="D27" s="18" t="n">
        <v>42.27</v>
      </c>
      <c r="E27" s="19" t="n">
        <v>1885</v>
      </c>
      <c r="F27" s="19" t="n">
        <v>3681</v>
      </c>
      <c r="G27" s="20">
        <f>IF(F27=0,0,E27/F27*100)</f>
        <v/>
      </c>
      <c r="H27" s="17" t="n">
        <v>0</v>
      </c>
      <c r="I27" s="17" t="n">
        <v>0</v>
      </c>
      <c r="J27" s="17" t="n">
        <v>0</v>
      </c>
      <c r="K27" s="17" t="n">
        <v>1</v>
      </c>
    </row>
    <row r="28">
      <c r="A28" s="16" t="inlineStr">
        <is>
          <t>1 Jul</t>
        </is>
      </c>
      <c r="B28" s="16" t="inlineStr">
        <is>
          <t>37569</t>
        </is>
      </c>
      <c r="C28" s="17" t="n">
        <v>0</v>
      </c>
      <c r="D28" s="18" t="n">
        <v>36.32</v>
      </c>
      <c r="E28" s="19" t="n">
        <v>2063</v>
      </c>
      <c r="F28" s="19" t="n">
        <v>2990</v>
      </c>
      <c r="G28" s="20">
        <f>IF(F28=0,0,E28/F28*100)</f>
        <v/>
      </c>
      <c r="H28" s="17" t="n">
        <v>0</v>
      </c>
      <c r="I28" s="17" t="n">
        <v>0</v>
      </c>
      <c r="J28" s="17" t="n">
        <v>0</v>
      </c>
      <c r="K28" s="17" t="n">
        <v>2</v>
      </c>
    </row>
    <row r="29">
      <c r="A29" s="16" t="inlineStr">
        <is>
          <t>1 Jul</t>
        </is>
      </c>
      <c r="B29" s="16" t="inlineStr">
        <is>
          <t>39027</t>
        </is>
      </c>
      <c r="C29" s="17" t="n">
        <v>0</v>
      </c>
      <c r="D29" s="18" t="n">
        <v>40.37</v>
      </c>
      <c r="E29" s="19" t="n">
        <v>1646</v>
      </c>
      <c r="F29" s="19" t="n">
        <v>2497</v>
      </c>
      <c r="G29" s="20">
        <f>IF(F29=0,0,E29/F29*100)</f>
        <v/>
      </c>
      <c r="H29" s="17" t="n">
        <v>0</v>
      </c>
      <c r="I29" s="17" t="n">
        <v>0</v>
      </c>
      <c r="J29" s="17" t="n">
        <v>0</v>
      </c>
      <c r="K29" s="17" t="n">
        <v>1</v>
      </c>
    </row>
    <row r="30">
      <c r="A30" s="16" t="inlineStr">
        <is>
          <t>1 Jul</t>
        </is>
      </c>
      <c r="B30" s="16" t="inlineStr">
        <is>
          <t>37633</t>
        </is>
      </c>
      <c r="C30" s="17" t="n">
        <v>0</v>
      </c>
      <c r="D30" s="18" t="n">
        <v>40.37</v>
      </c>
      <c r="E30" s="19" t="n">
        <v>1200</v>
      </c>
      <c r="F30" s="19" t="n">
        <v>2366</v>
      </c>
      <c r="G30" s="20">
        <f>IF(F30=0,0,E30/F30*100)</f>
        <v/>
      </c>
      <c r="H30" s="17" t="n">
        <v>0</v>
      </c>
      <c r="I30" s="17" t="n">
        <v>0</v>
      </c>
      <c r="J30" s="17" t="n">
        <v>0</v>
      </c>
      <c r="K30" s="17" t="n">
        <v>1</v>
      </c>
    </row>
    <row r="31">
      <c r="A31" s="16" t="inlineStr">
        <is>
          <t>1 Jul</t>
        </is>
      </c>
      <c r="B31" s="16" t="inlineStr">
        <is>
          <t>30758</t>
        </is>
      </c>
      <c r="C31" s="17" t="n">
        <v>0</v>
      </c>
      <c r="D31" s="18" t="n">
        <v>42.42</v>
      </c>
      <c r="E31" s="19" t="n">
        <v>2193</v>
      </c>
      <c r="F31" s="19" t="n">
        <v>2284</v>
      </c>
      <c r="G31" s="20">
        <f>IF(F31=0,0,E31/F31*100)</f>
        <v/>
      </c>
      <c r="H31" s="17" t="n">
        <v>0</v>
      </c>
      <c r="I31" s="17" t="n">
        <v>0</v>
      </c>
      <c r="J31" s="17" t="n">
        <v>0</v>
      </c>
      <c r="K31" s="17" t="n">
        <v>3</v>
      </c>
    </row>
    <row r="32">
      <c r="A32" s="16" t="inlineStr">
        <is>
          <t>1 Jul</t>
        </is>
      </c>
      <c r="B32" s="16" t="inlineStr">
        <is>
          <t>39371</t>
        </is>
      </c>
      <c r="C32" s="17" t="n">
        <v>0</v>
      </c>
      <c r="D32" s="18" t="n">
        <v>53.35</v>
      </c>
      <c r="E32" s="19" t="n">
        <v>936</v>
      </c>
      <c r="F32" s="19" t="n">
        <v>2161</v>
      </c>
      <c r="G32" s="20">
        <f>IF(F32=0,0,E32/F32*100)</f>
        <v/>
      </c>
      <c r="H32" s="17" t="n">
        <v>0</v>
      </c>
      <c r="I32" s="17" t="n">
        <v>0</v>
      </c>
      <c r="J32" s="17" t="n">
        <v>0</v>
      </c>
      <c r="K32" s="17" t="n">
        <v>1</v>
      </c>
    </row>
    <row r="33">
      <c r="A33" s="16" t="inlineStr">
        <is>
          <t>1 Jul</t>
        </is>
      </c>
      <c r="B33" s="16" t="inlineStr">
        <is>
          <t>45035</t>
        </is>
      </c>
      <c r="C33" s="17" t="n">
        <v>0</v>
      </c>
      <c r="D33" s="18" t="n">
        <v>34.75</v>
      </c>
      <c r="E33" s="19" t="n">
        <v>1193</v>
      </c>
      <c r="F33" s="19" t="n">
        <v>2000</v>
      </c>
      <c r="G33" s="20">
        <f>IF(F33=0,0,E33/F33*100)</f>
        <v/>
      </c>
      <c r="H33" s="17" t="n">
        <v>0</v>
      </c>
      <c r="I33" s="17" t="n">
        <v>0</v>
      </c>
      <c r="J33" s="17" t="n">
        <v>0</v>
      </c>
      <c r="K33" s="17" t="n">
        <v>1</v>
      </c>
    </row>
    <row r="34">
      <c r="A34" s="16" t="inlineStr">
        <is>
          <t>1 Jul</t>
        </is>
      </c>
      <c r="B34" s="16" t="inlineStr">
        <is>
          <t>37505</t>
        </is>
      </c>
      <c r="C34" s="17" t="n">
        <v>0</v>
      </c>
      <c r="D34" s="18" t="n">
        <v>34.64</v>
      </c>
      <c r="E34" s="19" t="n">
        <v>1112</v>
      </c>
      <c r="F34" s="19" t="n">
        <v>1737</v>
      </c>
      <c r="G34" s="20">
        <f>IF(F34=0,0,E34/F34*100)</f>
        <v/>
      </c>
      <c r="H34" s="17" t="n">
        <v>0</v>
      </c>
      <c r="I34" s="17" t="n">
        <v>0</v>
      </c>
      <c r="J34" s="17" t="n">
        <v>0</v>
      </c>
      <c r="K34" s="17" t="n">
        <v>1</v>
      </c>
    </row>
    <row r="35">
      <c r="A35" s="16" t="inlineStr">
        <is>
          <t>1 Jul</t>
        </is>
      </c>
      <c r="B35" s="16" t="inlineStr">
        <is>
          <t>37020</t>
        </is>
      </c>
      <c r="C35" s="17" t="n">
        <v>0</v>
      </c>
      <c r="D35" s="18" t="n">
        <v>36.9</v>
      </c>
      <c r="E35" s="19" t="n">
        <v>905</v>
      </c>
      <c r="F35" s="19" t="n">
        <v>1682</v>
      </c>
      <c r="G35" s="20">
        <f>IF(F35=0,0,E35/F35*100)</f>
        <v/>
      </c>
      <c r="H35" s="17" t="n">
        <v>0</v>
      </c>
      <c r="I35" s="17" t="n">
        <v>0</v>
      </c>
      <c r="J35" s="17" t="n">
        <v>0</v>
      </c>
      <c r="K35" s="17" t="n">
        <v>0</v>
      </c>
    </row>
    <row r="36">
      <c r="A36" s="16" t="inlineStr">
        <is>
          <t>1 Jul</t>
        </is>
      </c>
      <c r="B36" s="16" t="inlineStr">
        <is>
          <t>30786</t>
        </is>
      </c>
      <c r="C36" s="17" t="n">
        <v>0</v>
      </c>
      <c r="D36" s="18" t="n">
        <v>32.7</v>
      </c>
      <c r="E36" s="19" t="n">
        <v>727</v>
      </c>
      <c r="F36" s="19" t="n">
        <v>1505</v>
      </c>
      <c r="G36" s="20">
        <f>IF(F36=0,0,E36/F36*100)</f>
        <v/>
      </c>
      <c r="H36" s="17" t="n">
        <v>0</v>
      </c>
      <c r="I36" s="17" t="n">
        <v>0</v>
      </c>
      <c r="J36" s="17" t="n">
        <v>0</v>
      </c>
      <c r="K36" s="17" t="n">
        <v>0</v>
      </c>
    </row>
    <row r="37">
      <c r="A37" s="16" t="inlineStr">
        <is>
          <t>1 Jul</t>
        </is>
      </c>
      <c r="B37" s="16" t="inlineStr">
        <is>
          <t>37839</t>
        </is>
      </c>
      <c r="C37" s="17" t="n">
        <v>0</v>
      </c>
      <c r="D37" s="18" t="n">
        <v>32.77</v>
      </c>
      <c r="E37" s="19" t="n">
        <v>753</v>
      </c>
      <c r="F37" s="19" t="n">
        <v>1350</v>
      </c>
      <c r="G37" s="20">
        <f>IF(F37=0,0,E37/F37*100)</f>
        <v/>
      </c>
      <c r="H37" s="17" t="n">
        <v>0</v>
      </c>
      <c r="I37" s="17" t="n">
        <v>0</v>
      </c>
      <c r="J37" s="17" t="n">
        <v>0</v>
      </c>
      <c r="K37" s="17" t="n">
        <v>0</v>
      </c>
    </row>
    <row r="38">
      <c r="A38" s="16" t="inlineStr">
        <is>
          <t>1 Jul</t>
        </is>
      </c>
      <c r="B38" s="16" t="inlineStr">
        <is>
          <t>30474</t>
        </is>
      </c>
      <c r="C38" s="17" t="n">
        <v>0</v>
      </c>
      <c r="D38" s="18" t="n">
        <v>36.9</v>
      </c>
      <c r="E38" s="19" t="n">
        <v>512</v>
      </c>
      <c r="F38" s="19" t="n">
        <v>1177</v>
      </c>
      <c r="G38" s="20">
        <f>IF(F38=0,0,E38/F38*100)</f>
        <v/>
      </c>
      <c r="H38" s="17" t="n">
        <v>0</v>
      </c>
      <c r="I38" s="17" t="n">
        <v>0</v>
      </c>
      <c r="J38" s="17" t="n">
        <v>0</v>
      </c>
      <c r="K38" s="17" t="n">
        <v>1</v>
      </c>
    </row>
    <row r="39">
      <c r="A39" s="16" t="inlineStr">
        <is>
          <t>1 Jul</t>
        </is>
      </c>
      <c r="B39" s="16" t="inlineStr">
        <is>
          <t>39283</t>
        </is>
      </c>
      <c r="C39" s="17" t="n">
        <v>0</v>
      </c>
      <c r="D39" s="18" t="n">
        <v>34.48</v>
      </c>
      <c r="E39" s="19" t="n">
        <v>648</v>
      </c>
      <c r="F39" s="19" t="n">
        <v>1147</v>
      </c>
      <c r="G39" s="20">
        <f>IF(F39=0,0,E39/F39*100)</f>
        <v/>
      </c>
      <c r="H39" s="17" t="n">
        <v>0</v>
      </c>
      <c r="I39" s="17" t="n">
        <v>0</v>
      </c>
      <c r="J39" s="17" t="n">
        <v>0</v>
      </c>
      <c r="K39" s="17" t="n">
        <v>1</v>
      </c>
    </row>
    <row r="40">
      <c r="A40" s="16" t="inlineStr">
        <is>
          <t>1 Jul</t>
        </is>
      </c>
      <c r="B40" s="16" t="inlineStr">
        <is>
          <t>37660</t>
        </is>
      </c>
      <c r="C40" s="17" t="n">
        <v>0</v>
      </c>
      <c r="D40" s="18" t="n">
        <v>76.15000000000001</v>
      </c>
      <c r="E40" s="19" t="n">
        <v>0</v>
      </c>
      <c r="F40" s="19" t="n">
        <v>148</v>
      </c>
      <c r="G40" s="20">
        <f>IF(F40=0,0,E40/F40*100)</f>
        <v/>
      </c>
      <c r="H40" s="17" t="n">
        <v>0</v>
      </c>
      <c r="I40" s="17" t="n">
        <v>0</v>
      </c>
      <c r="J40" s="17" t="n">
        <v>0</v>
      </c>
      <c r="K40" s="17" t="n">
        <v>0</v>
      </c>
    </row>
    <row r="41">
      <c r="A41" s="16" t="inlineStr">
        <is>
          <t>1 Jul</t>
        </is>
      </c>
      <c r="B41" s="16" t="inlineStr">
        <is>
          <t>30480</t>
        </is>
      </c>
      <c r="C41" s="17" t="n">
        <v>0</v>
      </c>
      <c r="D41" s="18" t="n">
        <v>8.609999999999999</v>
      </c>
      <c r="E41" s="19" t="n">
        <v>20</v>
      </c>
      <c r="F41" s="19" t="n">
        <v>20</v>
      </c>
      <c r="G41" s="20">
        <f>IF(F41=0,0,E41/F41*100)</f>
        <v/>
      </c>
      <c r="H41" s="17" t="n">
        <v>0</v>
      </c>
      <c r="I41" s="17" t="n">
        <v>0</v>
      </c>
      <c r="J41" s="17" t="n">
        <v>0</v>
      </c>
      <c r="K41" s="17" t="n">
        <v>0</v>
      </c>
    </row>
    <row r="42">
      <c r="A42" s="21" t="inlineStr">
        <is>
          <t>1 Jul</t>
        </is>
      </c>
      <c r="B42" s="21" t="inlineStr">
        <is>
          <t>Day Total</t>
        </is>
      </c>
      <c r="C42" s="22">
        <f>SUM(C4:C41)</f>
        <v/>
      </c>
      <c r="D42" s="23">
        <f>SUM(D4:D41)</f>
        <v/>
      </c>
      <c r="E42" s="24">
        <f>SUM(E4:E41)</f>
        <v/>
      </c>
      <c r="F42" s="24">
        <f>SUMIF(E4:E41,"&gt;0",F4:F41)</f>
        <v/>
      </c>
      <c r="G42" s="25">
        <f>IF(F42=0,0,E42/F42*100)</f>
        <v/>
      </c>
      <c r="H42" s="22">
        <f>SUM(H4:H41)</f>
        <v/>
      </c>
      <c r="I42" s="22">
        <f>SUM(I4:I41)</f>
        <v/>
      </c>
      <c r="J42" s="22">
        <f>SUM(J4:J41)</f>
        <v/>
      </c>
      <c r="K42" s="22">
        <f>SUM(K4:K41)</f>
        <v/>
      </c>
    </row>
    <row r="43">
      <c r="A43" s="26" t="inlineStr">
        <is>
          <t>GRAND TOTAL</t>
        </is>
      </c>
      <c r="B43" s="26" t="n"/>
      <c r="C43" s="27">
        <f>C42</f>
        <v/>
      </c>
      <c r="D43" s="28">
        <f>D42</f>
        <v/>
      </c>
      <c r="E43" s="29">
        <f>E42</f>
        <v/>
      </c>
      <c r="F43" s="29">
        <f>F42</f>
        <v/>
      </c>
      <c r="G43" s="30">
        <f>IF(F43=0,0,E43/F43*100)</f>
        <v/>
      </c>
      <c r="H43" s="27">
        <f>H42</f>
        <v/>
      </c>
      <c r="I43" s="27">
        <f>I42</f>
        <v/>
      </c>
      <c r="J43" s="27">
        <f>J42</f>
        <v/>
      </c>
      <c r="K43" s="27">
        <f>K42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2"/>
    <row r="3">
      <c r="A3" s="31" t="inlineStr">
        <is>
          <t>Total EB = 0   ·   Valid trips = 0   ·   Non-valid trips = 0   ·   Undesirable = 0</t>
        </is>
      </c>
    </row>
    <row r="4"/>
    <row r="5" ht="34" customHeight="1">
      <c r="A5" s="15" t="inlineStr">
        <is>
          <t>Date</t>
        </is>
      </c>
      <c r="B5" s="15" t="inlineStr">
        <is>
          <t>Loco ID</t>
        </is>
      </c>
      <c r="C5" s="15" t="inlineStr">
        <is>
          <t>Trip Type</t>
        </is>
      </c>
      <c r="D5" s="15" t="inlineStr">
        <is>
          <t>Onset</t>
        </is>
      </c>
      <c r="E5" s="15" t="inlineStr">
        <is>
          <t>End</t>
        </is>
      </c>
      <c r="F5" s="15" t="inlineStr">
        <is>
          <t>Duration (s)</t>
        </is>
      </c>
      <c r="G5" s="15" t="inlineStr">
        <is>
          <t>EB Packets</t>
        </is>
      </c>
      <c r="H5" s="15" t="inlineStr">
        <is>
          <t>Max Speed</t>
        </is>
      </c>
      <c r="I5" s="15" t="inlineStr">
        <is>
          <t>Mode @onset</t>
        </is>
      </c>
      <c r="J5" s="15" t="inlineStr">
        <is>
          <t>Location (km)</t>
        </is>
      </c>
      <c r="K5" s="15" t="inlineStr">
        <is>
          <t>Dir</t>
        </is>
      </c>
      <c r="L5" s="15" t="inlineStr">
        <is>
          <t>Station</t>
        </is>
      </c>
      <c r="M5" s="15" t="inlineStr">
        <is>
          <t>Speed at EB (PG check)</t>
        </is>
      </c>
      <c r="N5" s="15" t="inlineStr">
        <is>
          <t>MA wrt Sig</t>
        </is>
      </c>
      <c r="O5" s="15" t="inlineStr">
        <is>
          <t>Emergency (LReg)</t>
        </is>
      </c>
      <c r="P5" s="15" t="inlineStr">
        <is>
          <t>Suspected Reason (undesirable)</t>
        </is>
      </c>
      <c r="Q5" s="15" t="inlineStr">
        <is>
          <t>Loco Type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1" t="inlineStr">
        <is>
          <t>Total Mode Degradation = 90   ·   one row = one transition into LS or SR</t>
        </is>
      </c>
    </row>
    <row r="5">
      <c r="A5" s="15" t="inlineStr">
        <is>
          <t>Date</t>
        </is>
      </c>
      <c r="B5" s="15" t="inlineStr">
        <is>
          <t>Loco ID</t>
        </is>
      </c>
      <c r="C5" s="15" t="inlineStr">
        <is>
          <t>From</t>
        </is>
      </c>
      <c r="D5" s="15" t="inlineStr">
        <is>
          <t>To (degraded)</t>
        </is>
      </c>
      <c r="E5" s="15" t="inlineStr">
        <is>
          <t>Onset</t>
        </is>
      </c>
      <c r="F5" s="15" t="inlineStr">
        <is>
          <t>End</t>
        </is>
      </c>
      <c r="G5" s="15" t="inlineStr">
        <is>
          <t>Duration (s)</t>
        </is>
      </c>
      <c r="H5" s="15" t="inlineStr">
        <is>
          <t>Packets</t>
        </is>
      </c>
      <c r="I5" s="15" t="inlineStr">
        <is>
          <t>Location (km)</t>
        </is>
      </c>
      <c r="J5" s="15" t="inlineStr">
        <is>
          <t>Station</t>
        </is>
      </c>
      <c r="K5" s="15" t="inlineStr">
        <is>
          <t>Dir</t>
        </is>
      </c>
      <c r="L5" s="15" t="inlineStr">
        <is>
          <t>Valid Trip?</t>
        </is>
      </c>
      <c r="M5" s="15" t="inlineStr">
        <is>
          <t>Loco Travel</t>
        </is>
      </c>
    </row>
    <row r="6">
      <c r="A6" s="17" t="inlineStr">
        <is>
          <t>1 Jul</t>
        </is>
      </c>
      <c r="B6" s="17" t="inlineStr">
        <is>
          <t>30330</t>
        </is>
      </c>
      <c r="C6" s="17" t="inlineStr">
        <is>
          <t>FS</t>
        </is>
      </c>
      <c r="D6" s="17" t="inlineStr">
        <is>
          <t>LS</t>
        </is>
      </c>
      <c r="E6" s="17" t="inlineStr">
        <is>
          <t>00:20:24</t>
        </is>
      </c>
      <c r="F6" s="17" t="inlineStr">
        <is>
          <t>00:22:00</t>
        </is>
      </c>
      <c r="G6" s="17" t="n">
        <v>96</v>
      </c>
      <c r="H6" s="17" t="n">
        <v>50</v>
      </c>
      <c r="I6" s="32" t="n">
        <v>478.18</v>
      </c>
      <c r="J6" s="17" t="inlineStr">
        <is>
          <t>BAREJADI NANDEJ</t>
        </is>
      </c>
      <c r="K6" s="17" t="inlineStr">
        <is>
          <t>R</t>
        </is>
      </c>
      <c r="L6" s="17" t="inlineStr">
        <is>
          <t>Valid</t>
        </is>
      </c>
      <c r="M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">
      <c r="A7" s="17" t="inlineStr">
        <is>
          <t>1 Jul</t>
        </is>
      </c>
      <c r="B7" s="17" t="inlineStr">
        <is>
          <t>30330</t>
        </is>
      </c>
      <c r="C7" s="17" t="inlineStr">
        <is>
          <t>LS</t>
        </is>
      </c>
      <c r="D7" s="17" t="inlineStr">
        <is>
          <t>SR</t>
        </is>
      </c>
      <c r="E7" s="17" t="inlineStr">
        <is>
          <t>00:22:02</t>
        </is>
      </c>
      <c r="F7" s="17" t="inlineStr">
        <is>
          <t>00:22:16</t>
        </is>
      </c>
      <c r="G7" s="17" t="n">
        <v>14</v>
      </c>
      <c r="H7" s="17" t="n">
        <v>8</v>
      </c>
      <c r="I7" s="32" t="n">
        <v>475.29</v>
      </c>
      <c r="J7" s="17" t="inlineStr">
        <is>
          <t>KANIJ</t>
        </is>
      </c>
      <c r="K7" s="17" t="inlineStr">
        <is>
          <t>R</t>
        </is>
      </c>
      <c r="L7" s="17" t="inlineStr">
        <is>
          <t>Valid</t>
        </is>
      </c>
      <c r="M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">
      <c r="A8" s="33" t="inlineStr">
        <is>
          <t>1 Jul</t>
        </is>
      </c>
      <c r="B8" s="33" t="inlineStr">
        <is>
          <t>45035</t>
        </is>
      </c>
      <c r="C8" s="33" t="inlineStr">
        <is>
          <t>FS</t>
        </is>
      </c>
      <c r="D8" s="33" t="inlineStr">
        <is>
          <t>SR</t>
        </is>
      </c>
      <c r="E8" s="33" t="inlineStr">
        <is>
          <t>00:25:18</t>
        </is>
      </c>
      <c r="F8" s="33" t="inlineStr">
        <is>
          <t>00:56:32</t>
        </is>
      </c>
      <c r="G8" s="33" t="n">
        <v>1874</v>
      </c>
      <c r="H8" s="33" t="n">
        <v>807</v>
      </c>
      <c r="I8" s="34" t="n">
        <v>402.78</v>
      </c>
      <c r="J8" s="33" t="inlineStr">
        <is>
          <t>BAJWA</t>
        </is>
      </c>
      <c r="K8" s="33" t="inlineStr">
        <is>
          <t>R</t>
        </is>
      </c>
      <c r="L8" s="33" t="inlineStr">
        <is>
          <t>Non-Valid</t>
        </is>
      </c>
      <c r="M8" s="17" t="inlineStr">
        <is>
          <t>BAJWA, RANOLI, LC-246, VASAD, ADAS ROAD, VADOD, LC-258, ANAND Jn, LC-264</t>
        </is>
      </c>
    </row>
    <row r="9">
      <c r="A9" s="33" t="inlineStr">
        <is>
          <t>1 Jul</t>
        </is>
      </c>
      <c r="B9" s="33" t="inlineStr">
        <is>
          <t>30770</t>
        </is>
      </c>
      <c r="C9" s="33" t="inlineStr">
        <is>
          <t>FS</t>
        </is>
      </c>
      <c r="D9" s="33" t="inlineStr">
        <is>
          <t>SR</t>
        </is>
      </c>
      <c r="E9" s="33" t="inlineStr">
        <is>
          <t>00:32:30</t>
        </is>
      </c>
      <c r="F9" s="33" t="inlineStr">
        <is>
          <t>01:19:58</t>
        </is>
      </c>
      <c r="G9" s="33" t="n">
        <v>2848</v>
      </c>
      <c r="H9" s="33" t="n">
        <v>1366</v>
      </c>
      <c r="I9" s="34" t="n">
        <v>403.39</v>
      </c>
      <c r="J9" s="33" t="inlineStr">
        <is>
          <t>BAJWA</t>
        </is>
      </c>
      <c r="K9" s="33" t="inlineStr">
        <is>
          <t>R</t>
        </is>
      </c>
      <c r="L9" s="33" t="inlineStr">
        <is>
          <t>Non-Valid</t>
        </is>
      </c>
      <c r="M9" s="17" t="inlineStr">
        <is>
          <t>BAJWA, RANOLI, LC-246, VASAD, ADAS ROAD, VADOD, LC-258, ANAND Jn, LC-264, KANJARI BORIYAVI, UTARSANDA</t>
        </is>
      </c>
    </row>
    <row r="10">
      <c r="A10" s="17" t="inlineStr">
        <is>
          <t>1 Jul</t>
        </is>
      </c>
      <c r="B10" s="17" t="inlineStr">
        <is>
          <t>39522</t>
        </is>
      </c>
      <c r="C10" s="17" t="inlineStr">
        <is>
          <t>FS</t>
        </is>
      </c>
      <c r="D10" s="17" t="inlineStr">
        <is>
          <t>SR</t>
        </is>
      </c>
      <c r="E10" s="17" t="inlineStr">
        <is>
          <t>00:46:48</t>
        </is>
      </c>
      <c r="F10" s="17" t="inlineStr">
        <is>
          <t>00:46:48</t>
        </is>
      </c>
      <c r="G10" s="17" t="n">
        <v>0</v>
      </c>
      <c r="H10" s="17" t="n">
        <v>1</v>
      </c>
      <c r="I10" s="32" t="n">
        <v>419.66</v>
      </c>
      <c r="J10" s="17" t="inlineStr">
        <is>
          <t>ADAS ROAD</t>
        </is>
      </c>
      <c r="K10" s="17" t="inlineStr">
        <is>
          <t>N</t>
        </is>
      </c>
      <c r="L10" s="17" t="inlineStr">
        <is>
          <t>Valid</t>
        </is>
      </c>
      <c r="M1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1">
      <c r="A11" s="17" t="inlineStr">
        <is>
          <t>1 Jul</t>
        </is>
      </c>
      <c r="B11" s="17" t="inlineStr">
        <is>
          <t>39522</t>
        </is>
      </c>
      <c r="C11" s="17" t="inlineStr">
        <is>
          <t>FS</t>
        </is>
      </c>
      <c r="D11" s="17" t="inlineStr">
        <is>
          <t>SR</t>
        </is>
      </c>
      <c r="E11" s="17" t="inlineStr">
        <is>
          <t>00:46:50</t>
        </is>
      </c>
      <c r="F11" s="17" t="inlineStr">
        <is>
          <t>00:46:50</t>
        </is>
      </c>
      <c r="G11" s="17" t="n">
        <v>0</v>
      </c>
      <c r="H11" s="17" t="n">
        <v>2</v>
      </c>
      <c r="I11" s="32" t="n">
        <v>419.71</v>
      </c>
      <c r="J11" s="17" t="inlineStr">
        <is>
          <t>ADAS ROAD</t>
        </is>
      </c>
      <c r="K11" s="17" t="inlineStr">
        <is>
          <t>N</t>
        </is>
      </c>
      <c r="L11" s="17" t="inlineStr">
        <is>
          <t>Valid</t>
        </is>
      </c>
      <c r="M1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2">
      <c r="A12" s="33" t="inlineStr">
        <is>
          <t>1 Jul</t>
        </is>
      </c>
      <c r="B12" s="33" t="inlineStr">
        <is>
          <t>37633</t>
        </is>
      </c>
      <c r="C12" s="33" t="inlineStr">
        <is>
          <t>FS</t>
        </is>
      </c>
      <c r="D12" s="33" t="inlineStr">
        <is>
          <t>SR</t>
        </is>
      </c>
      <c r="E12" s="33" t="inlineStr">
        <is>
          <t>00:49:02</t>
        </is>
      </c>
      <c r="F12" s="33" t="inlineStr">
        <is>
          <t>01:38:04</t>
        </is>
      </c>
      <c r="G12" s="33" t="n">
        <v>2942</v>
      </c>
      <c r="H12" s="33" t="n">
        <v>1166</v>
      </c>
      <c r="I12" s="34" t="n">
        <v>402.66</v>
      </c>
      <c r="J12" s="33" t="inlineStr">
        <is>
          <t>BAJWA</t>
        </is>
      </c>
      <c r="K12" s="33" t="inlineStr">
        <is>
          <t>R</t>
        </is>
      </c>
      <c r="L12" s="33" t="inlineStr">
        <is>
          <t>Non-Valid</t>
        </is>
      </c>
      <c r="M12" s="17" t="inlineStr">
        <is>
          <t>BAJWA, RANOLI, LC-246, VASAD, ADAS ROAD, VADOD, LC-258, ANAND Jn, LC-264, KANJARI BORIYAVI</t>
        </is>
      </c>
    </row>
    <row r="13">
      <c r="A13" s="17" t="inlineStr">
        <is>
          <t>1 Jul</t>
        </is>
      </c>
      <c r="B13" s="17" t="inlineStr">
        <is>
          <t>30330</t>
        </is>
      </c>
      <c r="C13" s="17" t="inlineStr">
        <is>
          <t>FS</t>
        </is>
      </c>
      <c r="D13" s="17" t="inlineStr">
        <is>
          <t>SR</t>
        </is>
      </c>
      <c r="E13" s="17" t="inlineStr">
        <is>
          <t>01:18:06</t>
        </is>
      </c>
      <c r="F13" s="17" t="inlineStr">
        <is>
          <t>02:02:54</t>
        </is>
      </c>
      <c r="G13" s="17" t="n">
        <v>2688</v>
      </c>
      <c r="H13" s="17" t="n">
        <v>1390</v>
      </c>
      <c r="I13" s="32" t="n">
        <v>403.15</v>
      </c>
      <c r="J13" s="17" t="inlineStr">
        <is>
          <t>BAJWA</t>
        </is>
      </c>
      <c r="K13" s="17" t="inlineStr">
        <is>
          <t>R</t>
        </is>
      </c>
      <c r="L13" s="17" t="inlineStr">
        <is>
          <t>Valid</t>
        </is>
      </c>
      <c r="M1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4">
      <c r="A14" s="17" t="inlineStr">
        <is>
          <t>1 Jul</t>
        </is>
      </c>
      <c r="B14" s="17" t="inlineStr">
        <is>
          <t>37489</t>
        </is>
      </c>
      <c r="C14" s="17" t="inlineStr">
        <is>
          <t>FS</t>
        </is>
      </c>
      <c r="D14" s="17" t="inlineStr">
        <is>
          <t>LS</t>
        </is>
      </c>
      <c r="E14" s="17" t="inlineStr">
        <is>
          <t>01:21:50</t>
        </is>
      </c>
      <c r="F14" s="17" t="inlineStr">
        <is>
          <t>01:22:46</t>
        </is>
      </c>
      <c r="G14" s="17" t="n">
        <v>56</v>
      </c>
      <c r="H14" s="17" t="n">
        <v>30</v>
      </c>
      <c r="I14" s="32" t="n">
        <v>477.98</v>
      </c>
      <c r="J14" s="17" t="inlineStr">
        <is>
          <t>BAREJADI NANDEJ</t>
        </is>
      </c>
      <c r="K14" s="17" t="inlineStr">
        <is>
          <t>N</t>
        </is>
      </c>
      <c r="L14" s="17" t="inlineStr">
        <is>
          <t>Valid</t>
        </is>
      </c>
      <c r="M1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5">
      <c r="A15" s="17" t="inlineStr">
        <is>
          <t>1 Jul</t>
        </is>
      </c>
      <c r="B15" s="17" t="inlineStr">
        <is>
          <t>37489</t>
        </is>
      </c>
      <c r="C15" s="17" t="inlineStr">
        <is>
          <t>LS</t>
        </is>
      </c>
      <c r="D15" s="17" t="inlineStr">
        <is>
          <t>SR</t>
        </is>
      </c>
      <c r="E15" s="17" t="inlineStr">
        <is>
          <t>01:22:48</t>
        </is>
      </c>
      <c r="F15" s="17" t="inlineStr">
        <is>
          <t>01:24:10</t>
        </is>
      </c>
      <c r="G15" s="17" t="n">
        <v>82</v>
      </c>
      <c r="H15" s="17" t="n">
        <v>47</v>
      </c>
      <c r="I15" s="32" t="n">
        <v>479.71</v>
      </c>
      <c r="J15" s="17" t="inlineStr">
        <is>
          <t>BAREJADI NANDEJ</t>
        </is>
      </c>
      <c r="K15" s="17" t="inlineStr">
        <is>
          <t>N</t>
        </is>
      </c>
      <c r="L15" s="17" t="inlineStr">
        <is>
          <t>Valid</t>
        </is>
      </c>
      <c r="M15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6">
      <c r="A16" s="17" t="inlineStr">
        <is>
          <t>1 Jul</t>
        </is>
      </c>
      <c r="B16" s="17" t="inlineStr">
        <is>
          <t>39522</t>
        </is>
      </c>
      <c r="C16" s="17" t="inlineStr">
        <is>
          <t>FS</t>
        </is>
      </c>
      <c r="D16" s="17" t="inlineStr">
        <is>
          <t>LS</t>
        </is>
      </c>
      <c r="E16" s="17" t="inlineStr">
        <is>
          <t>01:33:36</t>
        </is>
      </c>
      <c r="F16" s="17" t="inlineStr">
        <is>
          <t>01:34:34</t>
        </is>
      </c>
      <c r="G16" s="17" t="n">
        <v>58</v>
      </c>
      <c r="H16" s="17" t="n">
        <v>31</v>
      </c>
      <c r="I16" s="32" t="n">
        <v>477.96</v>
      </c>
      <c r="J16" s="17" t="inlineStr">
        <is>
          <t>BAREJADI NANDEJ</t>
        </is>
      </c>
      <c r="K16" s="17" t="inlineStr">
        <is>
          <t>N</t>
        </is>
      </c>
      <c r="L16" s="17" t="inlineStr">
        <is>
          <t>Valid</t>
        </is>
      </c>
      <c r="M1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7">
      <c r="A17" s="17" t="inlineStr">
        <is>
          <t>1 Jul</t>
        </is>
      </c>
      <c r="B17" s="17" t="inlineStr">
        <is>
          <t>39522</t>
        </is>
      </c>
      <c r="C17" s="17" t="inlineStr">
        <is>
          <t>LS</t>
        </is>
      </c>
      <c r="D17" s="17" t="inlineStr">
        <is>
          <t>SR</t>
        </is>
      </c>
      <c r="E17" s="17" t="inlineStr">
        <is>
          <t>01:34:36</t>
        </is>
      </c>
      <c r="F17" s="17" t="inlineStr">
        <is>
          <t>01:35:56</t>
        </is>
      </c>
      <c r="G17" s="17" t="n">
        <v>80</v>
      </c>
      <c r="H17" s="17" t="n">
        <v>46</v>
      </c>
      <c r="I17" s="32" t="n">
        <v>479.75</v>
      </c>
      <c r="J17" s="17" t="inlineStr">
        <is>
          <t>BAREJADI NANDEJ</t>
        </is>
      </c>
      <c r="K17" s="17" t="inlineStr">
        <is>
          <t>N</t>
        </is>
      </c>
      <c r="L17" s="17" t="inlineStr">
        <is>
          <t>Valid</t>
        </is>
      </c>
      <c r="M1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8">
      <c r="A18" s="17" t="inlineStr">
        <is>
          <t>1 Jul</t>
        </is>
      </c>
      <c r="B18" s="17" t="inlineStr">
        <is>
          <t>37465</t>
        </is>
      </c>
      <c r="C18" s="17" t="inlineStr">
        <is>
          <t>FS</t>
        </is>
      </c>
      <c r="D18" s="17" t="inlineStr">
        <is>
          <t>SR</t>
        </is>
      </c>
      <c r="E18" s="17" t="inlineStr">
        <is>
          <t>01:40:38</t>
        </is>
      </c>
      <c r="F18" s="17" t="inlineStr">
        <is>
          <t>01:40:38</t>
        </is>
      </c>
      <c r="G18" s="17" t="n">
        <v>0</v>
      </c>
      <c r="H18" s="17" t="n">
        <v>1</v>
      </c>
      <c r="I18" s="32" t="n">
        <v>401.99</v>
      </c>
      <c r="J18" s="17" t="inlineStr">
        <is>
          <t>BAJWA</t>
        </is>
      </c>
      <c r="K18" s="17" t="inlineStr">
        <is>
          <t>R</t>
        </is>
      </c>
      <c r="L18" s="17" t="inlineStr">
        <is>
          <t>Valid</t>
        </is>
      </c>
      <c r="M1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19">
      <c r="A19" s="17" t="inlineStr">
        <is>
          <t>1 Jul</t>
        </is>
      </c>
      <c r="B19" s="17" t="inlineStr">
        <is>
          <t>37465</t>
        </is>
      </c>
      <c r="C19" s="17" t="inlineStr">
        <is>
          <t>FS</t>
        </is>
      </c>
      <c r="D19" s="17" t="inlineStr">
        <is>
          <t>SR</t>
        </is>
      </c>
      <c r="E19" s="17" t="inlineStr">
        <is>
          <t>01:40:40</t>
        </is>
      </c>
      <c r="F19" s="17" t="inlineStr">
        <is>
          <t>01:44:12</t>
        </is>
      </c>
      <c r="G19" s="17" t="n">
        <v>212</v>
      </c>
      <c r="H19" s="17" t="n">
        <v>175</v>
      </c>
      <c r="I19" s="32" t="n">
        <v>401.98</v>
      </c>
      <c r="J19" s="17" t="inlineStr">
        <is>
          <t>BAJWA</t>
        </is>
      </c>
      <c r="K19" s="17" t="inlineStr">
        <is>
          <t>R</t>
        </is>
      </c>
      <c r="L19" s="17" t="inlineStr">
        <is>
          <t>Valid</t>
        </is>
      </c>
      <c r="M1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0">
      <c r="A20" s="17" t="inlineStr">
        <is>
          <t>1 Jul</t>
        </is>
      </c>
      <c r="B20" s="17" t="inlineStr">
        <is>
          <t>37492</t>
        </is>
      </c>
      <c r="C20" s="17" t="inlineStr">
        <is>
          <t>FS</t>
        </is>
      </c>
      <c r="D20" s="17" t="inlineStr">
        <is>
          <t>LS</t>
        </is>
      </c>
      <c r="E20" s="17" t="inlineStr">
        <is>
          <t>02:10:12</t>
        </is>
      </c>
      <c r="F20" s="17" t="inlineStr">
        <is>
          <t>02:10:30</t>
        </is>
      </c>
      <c r="G20" s="17" t="n">
        <v>18</v>
      </c>
      <c r="H20" s="17" t="n">
        <v>11</v>
      </c>
      <c r="I20" s="32" t="n">
        <v>478.07</v>
      </c>
      <c r="J20" s="17" t="inlineStr">
        <is>
          <t>BAREJADI NANDEJ</t>
        </is>
      </c>
      <c r="K20" s="17" t="inlineStr">
        <is>
          <t>N</t>
        </is>
      </c>
      <c r="L20" s="17" t="inlineStr">
        <is>
          <t>Valid</t>
        </is>
      </c>
      <c r="M2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1">
      <c r="A21" s="17" t="inlineStr">
        <is>
          <t>1 Jul</t>
        </is>
      </c>
      <c r="B21" s="17" t="inlineStr">
        <is>
          <t>37492</t>
        </is>
      </c>
      <c r="C21" s="17" t="inlineStr">
        <is>
          <t>LS</t>
        </is>
      </c>
      <c r="D21" s="17" t="inlineStr">
        <is>
          <t>SR</t>
        </is>
      </c>
      <c r="E21" s="17" t="inlineStr">
        <is>
          <t>02:10:32</t>
        </is>
      </c>
      <c r="F21" s="17" t="inlineStr">
        <is>
          <t>02:13:18</t>
        </is>
      </c>
      <c r="G21" s="17" t="n">
        <v>166</v>
      </c>
      <c r="H21" s="17" t="n">
        <v>90</v>
      </c>
      <c r="I21" s="32" t="n">
        <v>478.71</v>
      </c>
      <c r="J21" s="17" t="inlineStr">
        <is>
          <t>BAREJADI NANDEJ</t>
        </is>
      </c>
      <c r="K21" s="17" t="inlineStr">
        <is>
          <t>N</t>
        </is>
      </c>
      <c r="L21" s="17" t="inlineStr">
        <is>
          <t>Valid</t>
        </is>
      </c>
      <c r="M2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2">
      <c r="A22" s="17" t="inlineStr">
        <is>
          <t>1 Jul</t>
        </is>
      </c>
      <c r="B22" s="17" t="inlineStr">
        <is>
          <t>37465</t>
        </is>
      </c>
      <c r="C22" s="17" t="inlineStr">
        <is>
          <t>FS</t>
        </is>
      </c>
      <c r="D22" s="17" t="inlineStr">
        <is>
          <t>SR</t>
        </is>
      </c>
      <c r="E22" s="17" t="inlineStr">
        <is>
          <t>02:17:54</t>
        </is>
      </c>
      <c r="F22" s="17" t="inlineStr">
        <is>
          <t>02:17:56</t>
        </is>
      </c>
      <c r="G22" s="17" t="n">
        <v>2</v>
      </c>
      <c r="H22" s="17" t="n">
        <v>2</v>
      </c>
      <c r="I22" s="32" t="n">
        <v>431.93</v>
      </c>
      <c r="J22" s="17" t="inlineStr">
        <is>
          <t>ANAND Jn</t>
        </is>
      </c>
      <c r="K22" s="17" t="inlineStr">
        <is>
          <t>N</t>
        </is>
      </c>
      <c r="L22" s="17" t="inlineStr">
        <is>
          <t>Valid</t>
        </is>
      </c>
      <c r="M22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3">
      <c r="A23" s="17" t="inlineStr">
        <is>
          <t>1 Jul</t>
        </is>
      </c>
      <c r="B23" s="17" t="inlineStr">
        <is>
          <t>30634</t>
        </is>
      </c>
      <c r="C23" s="17" t="inlineStr">
        <is>
          <t>FS</t>
        </is>
      </c>
      <c r="D23" s="17" t="inlineStr">
        <is>
          <t>LS</t>
        </is>
      </c>
      <c r="E23" s="17" t="inlineStr">
        <is>
          <t>02:24:38</t>
        </is>
      </c>
      <c r="F23" s="17" t="inlineStr">
        <is>
          <t>02:25:12</t>
        </is>
      </c>
      <c r="G23" s="17" t="n">
        <v>34</v>
      </c>
      <c r="H23" s="17" t="n">
        <v>19</v>
      </c>
      <c r="I23" s="32" t="n">
        <v>478.26</v>
      </c>
      <c r="J23" s="17" t="inlineStr">
        <is>
          <t>BAREJADI NANDEJ</t>
        </is>
      </c>
      <c r="K23" s="17" t="inlineStr">
        <is>
          <t>R</t>
        </is>
      </c>
      <c r="L23" s="17" t="inlineStr">
        <is>
          <t>Valid</t>
        </is>
      </c>
      <c r="M2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4">
      <c r="A24" s="17" t="inlineStr">
        <is>
          <t>1 Jul</t>
        </is>
      </c>
      <c r="B24" s="17" t="inlineStr">
        <is>
          <t>30634</t>
        </is>
      </c>
      <c r="C24" s="17" t="inlineStr">
        <is>
          <t>LS</t>
        </is>
      </c>
      <c r="D24" s="17" t="inlineStr">
        <is>
          <t>SR</t>
        </is>
      </c>
      <c r="E24" s="17" t="inlineStr">
        <is>
          <t>02:25:14</t>
        </is>
      </c>
      <c r="F24" s="17" t="inlineStr">
        <is>
          <t>02:26:24</t>
        </is>
      </c>
      <c r="G24" s="17" t="n">
        <v>70</v>
      </c>
      <c r="H24" s="17" t="n">
        <v>43</v>
      </c>
      <c r="I24" s="32" t="n">
        <v>477.21</v>
      </c>
      <c r="J24" s="17" t="inlineStr">
        <is>
          <t>BAREJADI NANDEJ</t>
        </is>
      </c>
      <c r="K24" s="17" t="inlineStr">
        <is>
          <t>R</t>
        </is>
      </c>
      <c r="L24" s="17" t="inlineStr">
        <is>
          <t>Valid</t>
        </is>
      </c>
      <c r="M2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5">
      <c r="A25" s="17" t="inlineStr">
        <is>
          <t>1 Jul</t>
        </is>
      </c>
      <c r="B25" s="17" t="inlineStr">
        <is>
          <t>37492</t>
        </is>
      </c>
      <c r="C25" s="17" t="inlineStr">
        <is>
          <t>FS</t>
        </is>
      </c>
      <c r="D25" s="17" t="inlineStr">
        <is>
          <t>SR</t>
        </is>
      </c>
      <c r="E25" s="17" t="inlineStr">
        <is>
          <t>02:25:20</t>
        </is>
      </c>
      <c r="F25" s="17" t="inlineStr">
        <is>
          <t>02:25:20</t>
        </is>
      </c>
      <c r="G25" s="17" t="n">
        <v>0</v>
      </c>
      <c r="H25" s="17" t="n">
        <v>1</v>
      </c>
      <c r="I25" s="32" t="n">
        <v>487.45</v>
      </c>
      <c r="J25" s="17" t="inlineStr">
        <is>
          <t>VATVA</t>
        </is>
      </c>
      <c r="K25" s="17" t="inlineStr">
        <is>
          <t>N</t>
        </is>
      </c>
      <c r="L25" s="17" t="inlineStr">
        <is>
          <t>Valid</t>
        </is>
      </c>
      <c r="M25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6">
      <c r="A26" s="17" t="inlineStr">
        <is>
          <t>1 Jul</t>
        </is>
      </c>
      <c r="B26" s="17" t="inlineStr">
        <is>
          <t>30634</t>
        </is>
      </c>
      <c r="C26" s="17" t="inlineStr">
        <is>
          <t>OS</t>
        </is>
      </c>
      <c r="D26" s="17" t="inlineStr">
        <is>
          <t>SR</t>
        </is>
      </c>
      <c r="E26" s="17" t="inlineStr">
        <is>
          <t>02:26:26</t>
        </is>
      </c>
      <c r="F26" s="17" t="inlineStr">
        <is>
          <t>02:26:26</t>
        </is>
      </c>
      <c r="G26" s="17" t="n">
        <v>0</v>
      </c>
      <c r="H26" s="17" t="n">
        <v>1</v>
      </c>
      <c r="I26" s="32" t="n">
        <v>474.86</v>
      </c>
      <c r="J26" s="17" t="inlineStr">
        <is>
          <t>KANIJ</t>
        </is>
      </c>
      <c r="K26" s="17" t="inlineStr">
        <is>
          <t>R</t>
        </is>
      </c>
      <c r="L26" s="17" t="inlineStr">
        <is>
          <t>Valid</t>
        </is>
      </c>
      <c r="M2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7">
      <c r="A27" s="17" t="inlineStr">
        <is>
          <t>1 Jul</t>
        </is>
      </c>
      <c r="B27" s="17" t="inlineStr">
        <is>
          <t>37465</t>
        </is>
      </c>
      <c r="C27" s="17" t="inlineStr">
        <is>
          <t>FS</t>
        </is>
      </c>
      <c r="D27" s="17" t="inlineStr">
        <is>
          <t>LS</t>
        </is>
      </c>
      <c r="E27" s="17" t="inlineStr">
        <is>
          <t>02:54:40</t>
        </is>
      </c>
      <c r="F27" s="17" t="inlineStr">
        <is>
          <t>02:54:40</t>
        </is>
      </c>
      <c r="G27" s="17" t="n">
        <v>0</v>
      </c>
      <c r="H27" s="17" t="n">
        <v>1</v>
      </c>
      <c r="I27" s="32" t="n">
        <v>477.89</v>
      </c>
      <c r="J27" s="17" t="inlineStr">
        <is>
          <t>BAREJADI NANDEJ</t>
        </is>
      </c>
      <c r="K27" s="17" t="inlineStr">
        <is>
          <t>N</t>
        </is>
      </c>
      <c r="L27" s="17" t="inlineStr">
        <is>
          <t>Valid</t>
        </is>
      </c>
      <c r="M2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8">
      <c r="A28" s="17" t="inlineStr">
        <is>
          <t>1 Jul</t>
        </is>
      </c>
      <c r="B28" s="17" t="inlineStr">
        <is>
          <t>37465</t>
        </is>
      </c>
      <c r="C28" s="17" t="inlineStr">
        <is>
          <t>FS</t>
        </is>
      </c>
      <c r="D28" s="17" t="inlineStr">
        <is>
          <t>LS</t>
        </is>
      </c>
      <c r="E28" s="17" t="inlineStr">
        <is>
          <t>02:54:42</t>
        </is>
      </c>
      <c r="F28" s="17" t="inlineStr">
        <is>
          <t>02:56:50</t>
        </is>
      </c>
      <c r="G28" s="17" t="n">
        <v>128</v>
      </c>
      <c r="H28" s="17" t="n">
        <v>66</v>
      </c>
      <c r="I28" s="32" t="n">
        <v>477.96</v>
      </c>
      <c r="J28" s="17" t="inlineStr">
        <is>
          <t>BAREJADI NANDEJ</t>
        </is>
      </c>
      <c r="K28" s="17" t="inlineStr">
        <is>
          <t>N</t>
        </is>
      </c>
      <c r="L28" s="17" t="inlineStr">
        <is>
          <t>Valid</t>
        </is>
      </c>
      <c r="M2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29">
      <c r="A29" s="17" t="inlineStr">
        <is>
          <t>1 Jul</t>
        </is>
      </c>
      <c r="B29" s="17" t="inlineStr">
        <is>
          <t>37465</t>
        </is>
      </c>
      <c r="C29" s="17" t="inlineStr">
        <is>
          <t>LS</t>
        </is>
      </c>
      <c r="D29" s="17" t="inlineStr">
        <is>
          <t>SR</t>
        </is>
      </c>
      <c r="E29" s="17" t="inlineStr">
        <is>
          <t>02:56:52</t>
        </is>
      </c>
      <c r="F29" s="17" t="inlineStr">
        <is>
          <t>02:57:02</t>
        </is>
      </c>
      <c r="G29" s="17" t="n">
        <v>10</v>
      </c>
      <c r="H29" s="17" t="n">
        <v>9</v>
      </c>
      <c r="I29" s="32" t="n">
        <v>481.73</v>
      </c>
      <c r="J29" s="17" t="inlineStr">
        <is>
          <t>GERATPUR</t>
        </is>
      </c>
      <c r="K29" s="17" t="inlineStr">
        <is>
          <t>N</t>
        </is>
      </c>
      <c r="L29" s="17" t="inlineStr">
        <is>
          <t>Valid</t>
        </is>
      </c>
      <c r="M2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0">
      <c r="A30" s="17" t="inlineStr">
        <is>
          <t>1 Jul</t>
        </is>
      </c>
      <c r="B30" s="17" t="inlineStr">
        <is>
          <t>30300</t>
        </is>
      </c>
      <c r="C30" s="17" t="inlineStr">
        <is>
          <t>FS</t>
        </is>
      </c>
      <c r="D30" s="17" t="inlineStr">
        <is>
          <t>LS</t>
        </is>
      </c>
      <c r="E30" s="17" t="inlineStr">
        <is>
          <t>03:22:08</t>
        </is>
      </c>
      <c r="F30" s="17" t="inlineStr">
        <is>
          <t>03:22:08</t>
        </is>
      </c>
      <c r="G30" s="17" t="n">
        <v>0</v>
      </c>
      <c r="H30" s="17" t="n">
        <v>1</v>
      </c>
      <c r="I30" s="32" t="n">
        <v>477.76</v>
      </c>
      <c r="J30" s="17" t="inlineStr">
        <is>
          <t>BAREJADI NANDEJ</t>
        </is>
      </c>
      <c r="K30" s="17" t="inlineStr">
        <is>
          <t>N</t>
        </is>
      </c>
      <c r="L30" s="17" t="inlineStr">
        <is>
          <t>Valid</t>
        </is>
      </c>
      <c r="M3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1">
      <c r="A31" s="17" t="inlineStr">
        <is>
          <t>1 Jul</t>
        </is>
      </c>
      <c r="B31" s="17" t="inlineStr">
        <is>
          <t>30300</t>
        </is>
      </c>
      <c r="C31" s="17" t="inlineStr">
        <is>
          <t>FS</t>
        </is>
      </c>
      <c r="D31" s="17" t="inlineStr">
        <is>
          <t>LS</t>
        </is>
      </c>
      <c r="E31" s="17" t="inlineStr">
        <is>
          <t>03:22:10</t>
        </is>
      </c>
      <c r="F31" s="17" t="inlineStr">
        <is>
          <t>03:25:14</t>
        </is>
      </c>
      <c r="G31" s="17" t="n">
        <v>184</v>
      </c>
      <c r="H31" s="17" t="n">
        <v>93</v>
      </c>
      <c r="I31" s="32" t="n">
        <v>477.81</v>
      </c>
      <c r="J31" s="17" t="inlineStr">
        <is>
          <t>BAREJADI NANDEJ</t>
        </is>
      </c>
      <c r="K31" s="17" t="inlineStr">
        <is>
          <t>N</t>
        </is>
      </c>
      <c r="L31" s="17" t="inlineStr">
        <is>
          <t>Valid</t>
        </is>
      </c>
      <c r="M3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2">
      <c r="A32" s="17" t="inlineStr">
        <is>
          <t>1 Jul</t>
        </is>
      </c>
      <c r="B32" s="17" t="inlineStr">
        <is>
          <t>30300</t>
        </is>
      </c>
      <c r="C32" s="17" t="inlineStr">
        <is>
          <t>LS</t>
        </is>
      </c>
      <c r="D32" s="17" t="inlineStr">
        <is>
          <t>SR</t>
        </is>
      </c>
      <c r="E32" s="17" t="inlineStr">
        <is>
          <t>03:25:16</t>
        </is>
      </c>
      <c r="F32" s="17" t="inlineStr">
        <is>
          <t>03:25:30</t>
        </is>
      </c>
      <c r="G32" s="17" t="n">
        <v>14</v>
      </c>
      <c r="H32" s="17" t="n">
        <v>12</v>
      </c>
      <c r="I32" s="32" t="n">
        <v>481.67</v>
      </c>
      <c r="J32" s="17" t="inlineStr">
        <is>
          <t>GERATPUR</t>
        </is>
      </c>
      <c r="K32" s="17" t="inlineStr">
        <is>
          <t>N</t>
        </is>
      </c>
      <c r="L32" s="17" t="inlineStr">
        <is>
          <t>Valid</t>
        </is>
      </c>
      <c r="M32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3">
      <c r="A33" s="17" t="inlineStr">
        <is>
          <t>1 Jul</t>
        </is>
      </c>
      <c r="B33" s="17" t="inlineStr">
        <is>
          <t>30634</t>
        </is>
      </c>
      <c r="C33" s="17" t="inlineStr">
        <is>
          <t>FS</t>
        </is>
      </c>
      <c r="D33" s="17" t="inlineStr">
        <is>
          <t>SR</t>
        </is>
      </c>
      <c r="E33" s="17" t="inlineStr">
        <is>
          <t>03:28:00</t>
        </is>
      </c>
      <c r="F33" s="17" t="inlineStr">
        <is>
          <t>04:21:18</t>
        </is>
      </c>
      <c r="G33" s="17" t="n">
        <v>3198</v>
      </c>
      <c r="H33" s="17" t="n">
        <v>1847</v>
      </c>
      <c r="I33" s="32" t="n">
        <v>402.6</v>
      </c>
      <c r="J33" s="17" t="inlineStr">
        <is>
          <t>BAJWA</t>
        </is>
      </c>
      <c r="K33" s="17" t="inlineStr">
        <is>
          <t>R</t>
        </is>
      </c>
      <c r="L33" s="17" t="inlineStr">
        <is>
          <t>Valid</t>
        </is>
      </c>
      <c r="M3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4">
      <c r="A34" s="33" t="inlineStr">
        <is>
          <t>1 Jul</t>
        </is>
      </c>
      <c r="B34" s="33" t="inlineStr">
        <is>
          <t>37505</t>
        </is>
      </c>
      <c r="C34" s="33" t="inlineStr">
        <is>
          <t>OS</t>
        </is>
      </c>
      <c r="D34" s="33" t="inlineStr">
        <is>
          <t>SR</t>
        </is>
      </c>
      <c r="E34" s="33" t="inlineStr">
        <is>
          <t>05:58:02</t>
        </is>
      </c>
      <c r="F34" s="33" t="inlineStr">
        <is>
          <t>05:58:02</t>
        </is>
      </c>
      <c r="G34" s="33" t="n">
        <v>0</v>
      </c>
      <c r="H34" s="33" t="n">
        <v>1</v>
      </c>
      <c r="I34" s="34" t="n">
        <v>401.68</v>
      </c>
      <c r="J34" s="33" t="inlineStr">
        <is>
          <t>BAJWA</t>
        </is>
      </c>
      <c r="K34" s="33" t="inlineStr">
        <is>
          <t>N</t>
        </is>
      </c>
      <c r="L34" s="33" t="inlineStr">
        <is>
          <t>Non-Valid</t>
        </is>
      </c>
      <c r="M34" s="17" t="inlineStr">
        <is>
          <t>BAJWA, RANOLI, LC-246, VASAD, ADAS ROAD, VADOD, LC-258, ANAND Jn, LC-264</t>
        </is>
      </c>
    </row>
    <row r="35">
      <c r="A35" s="33" t="inlineStr">
        <is>
          <t>1 Jul</t>
        </is>
      </c>
      <c r="B35" s="33" t="inlineStr">
        <is>
          <t>39027</t>
        </is>
      </c>
      <c r="C35" s="33" t="inlineStr">
        <is>
          <t>FS</t>
        </is>
      </c>
      <c r="D35" s="33" t="inlineStr">
        <is>
          <t>SR</t>
        </is>
      </c>
      <c r="E35" s="33" t="inlineStr">
        <is>
          <t>08:01:14</t>
        </is>
      </c>
      <c r="F35" s="33" t="inlineStr">
        <is>
          <t>08:31:42</t>
        </is>
      </c>
      <c r="G35" s="33" t="n">
        <v>1828</v>
      </c>
      <c r="H35" s="33" t="n">
        <v>851</v>
      </c>
      <c r="I35" s="34" t="n">
        <v>402.42</v>
      </c>
      <c r="J35" s="33" t="inlineStr">
        <is>
          <t>BAJWA</t>
        </is>
      </c>
      <c r="K35" s="33" t="inlineStr">
        <is>
          <t>R</t>
        </is>
      </c>
      <c r="L35" s="33" t="inlineStr">
        <is>
          <t>Non-Valid</t>
        </is>
      </c>
      <c r="M35" s="17" t="inlineStr">
        <is>
          <t>BAJWA, RANOLI, LC-246, VASAD, ADAS ROAD, VADOD, LC-258, ANAND Jn, LC-264, KANJARI BORIYAVI</t>
        </is>
      </c>
    </row>
    <row r="36">
      <c r="A36" s="17" t="inlineStr">
        <is>
          <t>1 Jul</t>
        </is>
      </c>
      <c r="B36" s="17" t="inlineStr">
        <is>
          <t>37112</t>
        </is>
      </c>
      <c r="C36" s="17" t="inlineStr">
        <is>
          <t>FS</t>
        </is>
      </c>
      <c r="D36" s="17" t="inlineStr">
        <is>
          <t>SR</t>
        </is>
      </c>
      <c r="E36" s="17" t="inlineStr">
        <is>
          <t>08:13:56</t>
        </is>
      </c>
      <c r="F36" s="17" t="inlineStr">
        <is>
          <t>08:15:52</t>
        </is>
      </c>
      <c r="G36" s="17" t="n">
        <v>116</v>
      </c>
      <c r="H36" s="17" t="n">
        <v>68</v>
      </c>
      <c r="I36" s="32" t="n">
        <v>478.43</v>
      </c>
      <c r="J36" s="17" t="inlineStr">
        <is>
          <t>BAREJADI NANDEJ</t>
        </is>
      </c>
      <c r="K36" s="17" t="inlineStr">
        <is>
          <t>R</t>
        </is>
      </c>
      <c r="L36" s="17" t="inlineStr">
        <is>
          <t>Valid</t>
        </is>
      </c>
      <c r="M3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7">
      <c r="A37" s="17" t="inlineStr">
        <is>
          <t>1 Jul</t>
        </is>
      </c>
      <c r="B37" s="17" t="inlineStr">
        <is>
          <t>37112</t>
        </is>
      </c>
      <c r="C37" s="17" t="inlineStr">
        <is>
          <t>OS</t>
        </is>
      </c>
      <c r="D37" s="17" t="inlineStr">
        <is>
          <t>SR</t>
        </is>
      </c>
      <c r="E37" s="17" t="inlineStr">
        <is>
          <t>08:15:54</t>
        </is>
      </c>
      <c r="F37" s="17" t="inlineStr">
        <is>
          <t>08:15:54</t>
        </is>
      </c>
      <c r="G37" s="17" t="n">
        <v>0</v>
      </c>
      <c r="H37" s="17" t="n">
        <v>1</v>
      </c>
      <c r="I37" s="32" t="n">
        <v>474.88</v>
      </c>
      <c r="J37" s="17" t="inlineStr">
        <is>
          <t>KANIJ</t>
        </is>
      </c>
      <c r="K37" s="17" t="inlineStr">
        <is>
          <t>R</t>
        </is>
      </c>
      <c r="L37" s="17" t="inlineStr">
        <is>
          <t>Valid</t>
        </is>
      </c>
      <c r="M3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38">
      <c r="A38" s="33" t="inlineStr">
        <is>
          <t>1 Jul</t>
        </is>
      </c>
      <c r="B38" s="33" t="inlineStr">
        <is>
          <t>37569</t>
        </is>
      </c>
      <c r="C38" s="33" t="inlineStr">
        <is>
          <t>FS</t>
        </is>
      </c>
      <c r="D38" s="33" t="inlineStr">
        <is>
          <t>SR</t>
        </is>
      </c>
      <c r="E38" s="33" t="inlineStr">
        <is>
          <t>09:52:30</t>
        </is>
      </c>
      <c r="F38" s="33" t="inlineStr">
        <is>
          <t>09:52:42</t>
        </is>
      </c>
      <c r="G38" s="33" t="n">
        <v>12</v>
      </c>
      <c r="H38" s="33" t="n">
        <v>5</v>
      </c>
      <c r="I38" s="34" t="n">
        <v>422.09</v>
      </c>
      <c r="J38" s="33" t="inlineStr">
        <is>
          <t>VADOD</t>
        </is>
      </c>
      <c r="K38" s="33" t="inlineStr">
        <is>
          <t>R</t>
        </is>
      </c>
      <c r="L38" s="33" t="inlineStr">
        <is>
          <t>Non-Valid</t>
        </is>
      </c>
      <c r="M38" s="17" t="inlineStr">
        <is>
          <t>BAJWA, RANOLI, LC-246, VASAD, ADAS ROAD, VADOD, LC-258, ANAND Jn, LC-264</t>
        </is>
      </c>
    </row>
    <row r="39">
      <c r="A39" s="17" t="inlineStr">
        <is>
          <t>1 Jul</t>
        </is>
      </c>
      <c r="B39" s="17" t="inlineStr">
        <is>
          <t>39248</t>
        </is>
      </c>
      <c r="C39" s="17" t="inlineStr">
        <is>
          <t>OS</t>
        </is>
      </c>
      <c r="D39" s="17" t="inlineStr">
        <is>
          <t>SR</t>
        </is>
      </c>
      <c r="E39" s="17" t="inlineStr">
        <is>
          <t>09:54:56</t>
        </is>
      </c>
      <c r="F39" s="17" t="inlineStr">
        <is>
          <t>09:55:20</t>
        </is>
      </c>
      <c r="G39" s="17" t="n">
        <v>24</v>
      </c>
      <c r="H39" s="17" t="n">
        <v>24</v>
      </c>
      <c r="I39" s="32" t="n">
        <v>494.72</v>
      </c>
      <c r="J39" s="17" t="inlineStr">
        <is>
          <t>AHMEDABAD Jn</t>
        </is>
      </c>
      <c r="K39" s="17" t="inlineStr">
        <is>
          <t>R</t>
        </is>
      </c>
      <c r="L39" s="17" t="inlineStr">
        <is>
          <t>Valid</t>
        </is>
      </c>
      <c r="M3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0">
      <c r="A40" s="17" t="inlineStr">
        <is>
          <t>1 Jul</t>
        </is>
      </c>
      <c r="B40" s="17" t="inlineStr">
        <is>
          <t>39248</t>
        </is>
      </c>
      <c r="C40" s="17" t="inlineStr">
        <is>
          <t>FS</t>
        </is>
      </c>
      <c r="D40" s="17" t="inlineStr">
        <is>
          <t>SR</t>
        </is>
      </c>
      <c r="E40" s="17" t="inlineStr">
        <is>
          <t>10:10:14</t>
        </is>
      </c>
      <c r="F40" s="17" t="inlineStr">
        <is>
          <t>10:13:24</t>
        </is>
      </c>
      <c r="G40" s="17" t="n">
        <v>190</v>
      </c>
      <c r="H40" s="17" t="n">
        <v>116</v>
      </c>
      <c r="I40" s="32" t="n">
        <v>478.12</v>
      </c>
      <c r="J40" s="17" t="inlineStr">
        <is>
          <t>BAREJADI NANDEJ</t>
        </is>
      </c>
      <c r="K40" s="17" t="inlineStr">
        <is>
          <t>R</t>
        </is>
      </c>
      <c r="L40" s="17" t="inlineStr">
        <is>
          <t>Valid</t>
        </is>
      </c>
      <c r="M4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1">
      <c r="A41" s="17" t="inlineStr">
        <is>
          <t>1 Jul</t>
        </is>
      </c>
      <c r="B41" s="17" t="inlineStr">
        <is>
          <t>39248</t>
        </is>
      </c>
      <c r="C41" s="17" t="inlineStr">
        <is>
          <t>OS</t>
        </is>
      </c>
      <c r="D41" s="17" t="inlineStr">
        <is>
          <t>SR</t>
        </is>
      </c>
      <c r="E41" s="17" t="inlineStr">
        <is>
          <t>10:13:26</t>
        </is>
      </c>
      <c r="F41" s="17" t="inlineStr">
        <is>
          <t>10:13:26</t>
        </is>
      </c>
      <c r="G41" s="17" t="n">
        <v>0</v>
      </c>
      <c r="H41" s="17" t="n">
        <v>1</v>
      </c>
      <c r="I41" s="32" t="n">
        <v>474.84</v>
      </c>
      <c r="J41" s="17" t="inlineStr">
        <is>
          <t>KANIJ</t>
        </is>
      </c>
      <c r="K41" s="17" t="inlineStr">
        <is>
          <t>R</t>
        </is>
      </c>
      <c r="L41" s="17" t="inlineStr">
        <is>
          <t>Valid</t>
        </is>
      </c>
      <c r="M4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2">
      <c r="A42" s="33" t="inlineStr">
        <is>
          <t>1 Jul</t>
        </is>
      </c>
      <c r="B42" s="33" t="inlineStr">
        <is>
          <t>37569</t>
        </is>
      </c>
      <c r="C42" s="33" t="inlineStr">
        <is>
          <t>FS</t>
        </is>
      </c>
      <c r="D42" s="33" t="inlineStr">
        <is>
          <t>SR</t>
        </is>
      </c>
      <c r="E42" s="33" t="inlineStr">
        <is>
          <t>10:56:50</t>
        </is>
      </c>
      <c r="F42" s="33" t="inlineStr">
        <is>
          <t>11:37:24</t>
        </is>
      </c>
      <c r="G42" s="33" t="n">
        <v>2434</v>
      </c>
      <c r="H42" s="33" t="n">
        <v>921</v>
      </c>
      <c r="I42" s="34" t="n">
        <v>402.41</v>
      </c>
      <c r="J42" s="33" t="inlineStr">
        <is>
          <t>BAJWA</t>
        </is>
      </c>
      <c r="K42" s="33" t="inlineStr">
        <is>
          <t>R</t>
        </is>
      </c>
      <c r="L42" s="33" t="inlineStr">
        <is>
          <t>Non-Valid</t>
        </is>
      </c>
      <c r="M42" s="17" t="inlineStr">
        <is>
          <t>BAJWA, RANOLI, LC-246, VASAD, ADAS ROAD, VADOD, LC-258, ANAND Jn, LC-264</t>
        </is>
      </c>
    </row>
    <row r="43">
      <c r="A43" s="17" t="inlineStr">
        <is>
          <t>1 Jul</t>
        </is>
      </c>
      <c r="B43" s="17" t="inlineStr">
        <is>
          <t>39259</t>
        </is>
      </c>
      <c r="C43" s="17" t="inlineStr">
        <is>
          <t>FS</t>
        </is>
      </c>
      <c r="D43" s="17" t="inlineStr">
        <is>
          <t>LS</t>
        </is>
      </c>
      <c r="E43" s="17" t="inlineStr">
        <is>
          <t>11:06:50</t>
        </is>
      </c>
      <c r="F43" s="17" t="inlineStr">
        <is>
          <t>11:07:12</t>
        </is>
      </c>
      <c r="G43" s="17" t="n">
        <v>22</v>
      </c>
      <c r="H43" s="17" t="n">
        <v>13</v>
      </c>
      <c r="I43" s="32" t="n">
        <v>478</v>
      </c>
      <c r="J43" s="17" t="inlineStr">
        <is>
          <t>BAREJADI NANDEJ</t>
        </is>
      </c>
      <c r="K43" s="17" t="inlineStr">
        <is>
          <t>R</t>
        </is>
      </c>
      <c r="L43" s="17" t="inlineStr">
        <is>
          <t>Valid</t>
        </is>
      </c>
      <c r="M4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4">
      <c r="A44" s="17" t="inlineStr">
        <is>
          <t>1 Jul</t>
        </is>
      </c>
      <c r="B44" s="17" t="inlineStr">
        <is>
          <t>39259</t>
        </is>
      </c>
      <c r="C44" s="17" t="inlineStr">
        <is>
          <t>LS</t>
        </is>
      </c>
      <c r="D44" s="17" t="inlineStr">
        <is>
          <t>SR</t>
        </is>
      </c>
      <c r="E44" s="17" t="inlineStr">
        <is>
          <t>11:07:14</t>
        </is>
      </c>
      <c r="F44" s="17" t="inlineStr">
        <is>
          <t>11:08:22</t>
        </is>
      </c>
      <c r="G44" s="17" t="n">
        <v>68</v>
      </c>
      <c r="H44" s="17" t="n">
        <v>43</v>
      </c>
      <c r="I44" s="32" t="n">
        <v>477.18</v>
      </c>
      <c r="J44" s="17" t="inlineStr">
        <is>
          <t>BAREJADI NANDEJ</t>
        </is>
      </c>
      <c r="K44" s="17" t="inlineStr">
        <is>
          <t>R</t>
        </is>
      </c>
      <c r="L44" s="17" t="inlineStr">
        <is>
          <t>Valid</t>
        </is>
      </c>
      <c r="M4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5">
      <c r="A45" s="17" t="inlineStr">
        <is>
          <t>1 Jul</t>
        </is>
      </c>
      <c r="B45" s="17" t="inlineStr">
        <is>
          <t>39248</t>
        </is>
      </c>
      <c r="C45" s="17" t="inlineStr">
        <is>
          <t>FS</t>
        </is>
      </c>
      <c r="D45" s="17" t="inlineStr">
        <is>
          <t>SR</t>
        </is>
      </c>
      <c r="E45" s="17" t="inlineStr">
        <is>
          <t>11:18:46</t>
        </is>
      </c>
      <c r="F45" s="17" t="inlineStr">
        <is>
          <t>11:58:22</t>
        </is>
      </c>
      <c r="G45" s="17" t="n">
        <v>2376</v>
      </c>
      <c r="H45" s="17" t="n">
        <v>1166</v>
      </c>
      <c r="I45" s="32" t="n">
        <v>402.58</v>
      </c>
      <c r="J45" s="17" t="inlineStr">
        <is>
          <t>BAJWA</t>
        </is>
      </c>
      <c r="K45" s="17" t="inlineStr">
        <is>
          <t>R</t>
        </is>
      </c>
      <c r="L45" s="17" t="inlineStr">
        <is>
          <t>Valid</t>
        </is>
      </c>
      <c r="M45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6">
      <c r="A46" s="17" t="inlineStr">
        <is>
          <t>1 Jul</t>
        </is>
      </c>
      <c r="B46" s="17" t="inlineStr">
        <is>
          <t>39015</t>
        </is>
      </c>
      <c r="C46" s="17" t="inlineStr">
        <is>
          <t>FS</t>
        </is>
      </c>
      <c r="D46" s="17" t="inlineStr">
        <is>
          <t>LS</t>
        </is>
      </c>
      <c r="E46" s="17" t="inlineStr">
        <is>
          <t>11:27:36</t>
        </is>
      </c>
      <c r="F46" s="17" t="inlineStr">
        <is>
          <t>11:28:34</t>
        </is>
      </c>
      <c r="G46" s="17" t="n">
        <v>58</v>
      </c>
      <c r="H46" s="17" t="n">
        <v>31</v>
      </c>
      <c r="I46" s="32" t="n">
        <v>477.93</v>
      </c>
      <c r="J46" s="17" t="inlineStr">
        <is>
          <t>BAREJADI NANDEJ</t>
        </is>
      </c>
      <c r="K46" s="17" t="inlineStr">
        <is>
          <t>N</t>
        </is>
      </c>
      <c r="L46" s="17" t="inlineStr">
        <is>
          <t>Valid</t>
        </is>
      </c>
      <c r="M4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7">
      <c r="A47" s="17" t="inlineStr">
        <is>
          <t>1 Jul</t>
        </is>
      </c>
      <c r="B47" s="17" t="inlineStr">
        <is>
          <t>39015</t>
        </is>
      </c>
      <c r="C47" s="17" t="inlineStr">
        <is>
          <t>LS</t>
        </is>
      </c>
      <c r="D47" s="17" t="inlineStr">
        <is>
          <t>SR</t>
        </is>
      </c>
      <c r="E47" s="17" t="inlineStr">
        <is>
          <t>11:28:36</t>
        </is>
      </c>
      <c r="F47" s="17" t="inlineStr">
        <is>
          <t>11:29:58</t>
        </is>
      </c>
      <c r="G47" s="17" t="n">
        <v>82</v>
      </c>
      <c r="H47" s="17" t="n">
        <v>49</v>
      </c>
      <c r="I47" s="32" t="n">
        <v>479.73</v>
      </c>
      <c r="J47" s="17" t="inlineStr">
        <is>
          <t>BAREJADI NANDEJ</t>
        </is>
      </c>
      <c r="K47" s="17" t="inlineStr">
        <is>
          <t>N</t>
        </is>
      </c>
      <c r="L47" s="17" t="inlineStr">
        <is>
          <t>Valid</t>
        </is>
      </c>
      <c r="M4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>
      <c r="A48" s="17" t="inlineStr">
        <is>
          <t>1 Jul</t>
        </is>
      </c>
      <c r="B48" s="17" t="inlineStr">
        <is>
          <t>30507</t>
        </is>
      </c>
      <c r="C48" s="17" t="inlineStr">
        <is>
          <t>FS</t>
        </is>
      </c>
      <c r="D48" s="17" t="inlineStr">
        <is>
          <t>SR</t>
        </is>
      </c>
      <c r="E48" s="17" t="inlineStr">
        <is>
          <t>12:32:38</t>
        </is>
      </c>
      <c r="F48" s="17" t="inlineStr">
        <is>
          <t>12:32:52</t>
        </is>
      </c>
      <c r="G48" s="17" t="n">
        <v>14</v>
      </c>
      <c r="H48" s="17" t="n">
        <v>14</v>
      </c>
      <c r="I48" s="32" t="n">
        <v>402</v>
      </c>
      <c r="J48" s="17" t="inlineStr">
        <is>
          <t>BAJWA</t>
        </is>
      </c>
      <c r="K48" s="17" t="inlineStr">
        <is>
          <t>R</t>
        </is>
      </c>
      <c r="L48" s="17" t="inlineStr">
        <is>
          <t>Valid</t>
        </is>
      </c>
      <c r="M4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9">
      <c r="A49" s="17" t="inlineStr">
        <is>
          <t>1 Jul</t>
        </is>
      </c>
      <c r="B49" s="17" t="inlineStr">
        <is>
          <t>30507</t>
        </is>
      </c>
      <c r="C49" s="17" t="inlineStr">
        <is>
          <t>OS</t>
        </is>
      </c>
      <c r="D49" s="17" t="inlineStr">
        <is>
          <t>SR</t>
        </is>
      </c>
      <c r="E49" s="17" t="inlineStr">
        <is>
          <t>12:33:50</t>
        </is>
      </c>
      <c r="F49" s="17" t="inlineStr">
        <is>
          <t>12:35:54</t>
        </is>
      </c>
      <c r="G49" s="17" t="n">
        <v>124</v>
      </c>
      <c r="H49" s="17" t="n">
        <v>118</v>
      </c>
      <c r="I49" s="32" t="n">
        <v>401.01</v>
      </c>
      <c r="J49" s="17" t="inlineStr">
        <is>
          <t>BAJWA</t>
        </is>
      </c>
      <c r="K49" s="17" t="inlineStr">
        <is>
          <t>N</t>
        </is>
      </c>
      <c r="L49" s="17" t="inlineStr">
        <is>
          <t>Valid</t>
        </is>
      </c>
      <c r="M4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0">
      <c r="A50" s="17" t="inlineStr">
        <is>
          <t>1 Jul</t>
        </is>
      </c>
      <c r="B50" s="17" t="inlineStr">
        <is>
          <t>37507</t>
        </is>
      </c>
      <c r="C50" s="17" t="inlineStr">
        <is>
          <t>FS</t>
        </is>
      </c>
      <c r="D50" s="17" t="inlineStr">
        <is>
          <t>LS</t>
        </is>
      </c>
      <c r="E50" s="17" t="inlineStr">
        <is>
          <t>12:49:06</t>
        </is>
      </c>
      <c r="F50" s="17" t="inlineStr">
        <is>
          <t>12:49:46</t>
        </is>
      </c>
      <c r="G50" s="17" t="n">
        <v>40</v>
      </c>
      <c r="H50" s="17" t="n">
        <v>11</v>
      </c>
      <c r="I50" s="32" t="n">
        <v>478.11</v>
      </c>
      <c r="J50" s="17" t="inlineStr">
        <is>
          <t>BAREJADI NANDEJ</t>
        </is>
      </c>
      <c r="K50" s="17" t="inlineStr">
        <is>
          <t>N</t>
        </is>
      </c>
      <c r="L50" s="17" t="inlineStr">
        <is>
          <t>Valid</t>
        </is>
      </c>
      <c r="M5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1">
      <c r="A51" s="17" t="inlineStr">
        <is>
          <t>1 Jul</t>
        </is>
      </c>
      <c r="B51" s="17" t="inlineStr">
        <is>
          <t>37507</t>
        </is>
      </c>
      <c r="C51" s="17" t="inlineStr">
        <is>
          <t>LS</t>
        </is>
      </c>
      <c r="D51" s="17" t="inlineStr">
        <is>
          <t>SR</t>
        </is>
      </c>
      <c r="E51" s="17" t="inlineStr">
        <is>
          <t>12:49:50</t>
        </is>
      </c>
      <c r="F51" s="17" t="inlineStr">
        <is>
          <t>12:50:58</t>
        </is>
      </c>
      <c r="G51" s="17" t="n">
        <v>68</v>
      </c>
      <c r="H51" s="17" t="n">
        <v>20</v>
      </c>
      <c r="I51" s="32" t="n">
        <v>479.71</v>
      </c>
      <c r="J51" s="17" t="inlineStr">
        <is>
          <t>BAREJADI NANDEJ</t>
        </is>
      </c>
      <c r="K51" s="17" t="inlineStr">
        <is>
          <t>N</t>
        </is>
      </c>
      <c r="L51" s="17" t="inlineStr">
        <is>
          <t>Valid</t>
        </is>
      </c>
      <c r="M5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2">
      <c r="A52" s="17" t="inlineStr">
        <is>
          <t>1 Jul</t>
        </is>
      </c>
      <c r="B52" s="17" t="inlineStr">
        <is>
          <t>30507</t>
        </is>
      </c>
      <c r="C52" s="17" t="inlineStr">
        <is>
          <t>FS</t>
        </is>
      </c>
      <c r="D52" s="17" t="inlineStr">
        <is>
          <t>LS</t>
        </is>
      </c>
      <c r="E52" s="17" t="inlineStr">
        <is>
          <t>13:43:30</t>
        </is>
      </c>
      <c r="F52" s="17" t="inlineStr">
        <is>
          <t>13:43:48</t>
        </is>
      </c>
      <c r="G52" s="17" t="n">
        <v>18</v>
      </c>
      <c r="H52" s="17" t="n">
        <v>11</v>
      </c>
      <c r="I52" s="32" t="n">
        <v>477.99</v>
      </c>
      <c r="J52" s="17" t="inlineStr">
        <is>
          <t>BAREJADI NANDEJ</t>
        </is>
      </c>
      <c r="K52" s="17" t="inlineStr">
        <is>
          <t>N</t>
        </is>
      </c>
      <c r="L52" s="17" t="inlineStr">
        <is>
          <t>Valid</t>
        </is>
      </c>
      <c r="M52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>
      <c r="A53" s="17" t="inlineStr">
        <is>
          <t>1 Jul</t>
        </is>
      </c>
      <c r="B53" s="17" t="inlineStr">
        <is>
          <t>30507</t>
        </is>
      </c>
      <c r="C53" s="17" t="inlineStr">
        <is>
          <t>LS</t>
        </is>
      </c>
      <c r="D53" s="17" t="inlineStr">
        <is>
          <t>SR</t>
        </is>
      </c>
      <c r="E53" s="17" t="inlineStr">
        <is>
          <t>13:43:50</t>
        </is>
      </c>
      <c r="F53" s="17" t="inlineStr">
        <is>
          <t>13:45:56</t>
        </is>
      </c>
      <c r="G53" s="17" t="n">
        <v>126</v>
      </c>
      <c r="H53" s="17" t="n">
        <v>70</v>
      </c>
      <c r="I53" s="32" t="n">
        <v>478.73</v>
      </c>
      <c r="J53" s="17" t="inlineStr">
        <is>
          <t>BAREJADI NANDEJ</t>
        </is>
      </c>
      <c r="K53" s="17" t="inlineStr">
        <is>
          <t>N</t>
        </is>
      </c>
      <c r="L53" s="17" t="inlineStr">
        <is>
          <t>Valid</t>
        </is>
      </c>
      <c r="M5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>
      <c r="A54" s="17" t="inlineStr">
        <is>
          <t>1 Jul</t>
        </is>
      </c>
      <c r="B54" s="17" t="inlineStr">
        <is>
          <t>30507</t>
        </is>
      </c>
      <c r="C54" s="17" t="inlineStr">
        <is>
          <t>FS</t>
        </is>
      </c>
      <c r="D54" s="17" t="inlineStr">
        <is>
          <t>SR</t>
        </is>
      </c>
      <c r="E54" s="17" t="inlineStr">
        <is>
          <t>13:47:10</t>
        </is>
      </c>
      <c r="F54" s="17" t="inlineStr">
        <is>
          <t>13:47:12</t>
        </is>
      </c>
      <c r="G54" s="17" t="n">
        <v>2</v>
      </c>
      <c r="H54" s="17" t="n">
        <v>4</v>
      </c>
      <c r="I54" s="32" t="n">
        <v>484.05</v>
      </c>
      <c r="J54" s="17" t="inlineStr">
        <is>
          <t>GERATPUR</t>
        </is>
      </c>
      <c r="K54" s="17" t="inlineStr">
        <is>
          <t>N</t>
        </is>
      </c>
      <c r="L54" s="17" t="inlineStr">
        <is>
          <t>Valid</t>
        </is>
      </c>
      <c r="M5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5">
      <c r="A55" s="17" t="inlineStr">
        <is>
          <t>1 Jul</t>
        </is>
      </c>
      <c r="B55" s="17" t="inlineStr">
        <is>
          <t>30507</t>
        </is>
      </c>
      <c r="C55" s="17" t="inlineStr">
        <is>
          <t>FS</t>
        </is>
      </c>
      <c r="D55" s="17" t="inlineStr">
        <is>
          <t>SR</t>
        </is>
      </c>
      <c r="E55" s="17" t="inlineStr">
        <is>
          <t>13:57:14</t>
        </is>
      </c>
      <c r="F55" s="17" t="inlineStr">
        <is>
          <t>13:57:14</t>
        </is>
      </c>
      <c r="G55" s="17" t="n">
        <v>0</v>
      </c>
      <c r="H55" s="17" t="n">
        <v>2</v>
      </c>
      <c r="I55" s="32" t="n">
        <v>490.39</v>
      </c>
      <c r="J55" s="17" t="inlineStr">
        <is>
          <t>KANKARIYA CABIN</t>
        </is>
      </c>
      <c r="K55" s="17" t="inlineStr">
        <is>
          <t>N</t>
        </is>
      </c>
      <c r="L55" s="17" t="inlineStr">
        <is>
          <t>Valid</t>
        </is>
      </c>
      <c r="M55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6">
      <c r="A56" s="17" t="inlineStr">
        <is>
          <t>1 Jul</t>
        </is>
      </c>
      <c r="B56" s="17" t="inlineStr">
        <is>
          <t>30507</t>
        </is>
      </c>
      <c r="C56" s="17" t="inlineStr">
        <is>
          <t>OS</t>
        </is>
      </c>
      <c r="D56" s="17" t="inlineStr">
        <is>
          <t>SR</t>
        </is>
      </c>
      <c r="E56" s="17" t="inlineStr">
        <is>
          <t>13:57:16</t>
        </is>
      </c>
      <c r="F56" s="17" t="inlineStr">
        <is>
          <t>13:57:16</t>
        </is>
      </c>
      <c r="G56" s="17" t="n">
        <v>0</v>
      </c>
      <c r="H56" s="17" t="n">
        <v>1</v>
      </c>
      <c r="I56" s="32" t="n">
        <v>490.4</v>
      </c>
      <c r="J56" s="17" t="inlineStr">
        <is>
          <t>KANKARIYA CABIN</t>
        </is>
      </c>
      <c r="K56" s="17" t="inlineStr">
        <is>
          <t>N</t>
        </is>
      </c>
      <c r="L56" s="17" t="inlineStr">
        <is>
          <t>Valid</t>
        </is>
      </c>
      <c r="M5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7">
      <c r="A57" s="17" t="inlineStr">
        <is>
          <t>1 Jul</t>
        </is>
      </c>
      <c r="B57" s="17" t="inlineStr">
        <is>
          <t>37655</t>
        </is>
      </c>
      <c r="C57" s="17" t="inlineStr">
        <is>
          <t>FS</t>
        </is>
      </c>
      <c r="D57" s="17" t="inlineStr">
        <is>
          <t>SR</t>
        </is>
      </c>
      <c r="E57" s="17" t="inlineStr">
        <is>
          <t>14:26:56</t>
        </is>
      </c>
      <c r="F57" s="17" t="inlineStr">
        <is>
          <t>14:35:04</t>
        </is>
      </c>
      <c r="G57" s="17" t="n">
        <v>488</v>
      </c>
      <c r="H57" s="17" t="n">
        <v>255</v>
      </c>
      <c r="I57" s="32" t="n">
        <v>479.09</v>
      </c>
      <c r="J57" s="17" t="inlineStr">
        <is>
          <t>BAREJADI NANDEJ</t>
        </is>
      </c>
      <c r="K57" s="17" t="inlineStr">
        <is>
          <t>R</t>
        </is>
      </c>
      <c r="L57" s="17" t="inlineStr">
        <is>
          <t>Valid</t>
        </is>
      </c>
      <c r="M5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8">
      <c r="A58" s="17" t="inlineStr">
        <is>
          <t>1 Jul</t>
        </is>
      </c>
      <c r="B58" s="17" t="inlineStr">
        <is>
          <t>37655</t>
        </is>
      </c>
      <c r="C58" s="17" t="inlineStr">
        <is>
          <t>OS</t>
        </is>
      </c>
      <c r="D58" s="17" t="inlineStr">
        <is>
          <t>SR</t>
        </is>
      </c>
      <c r="E58" s="17" t="inlineStr">
        <is>
          <t>14:35:06</t>
        </is>
      </c>
      <c r="F58" s="17" t="inlineStr">
        <is>
          <t>14:35:06</t>
        </is>
      </c>
      <c r="G58" s="17" t="n">
        <v>0</v>
      </c>
      <c r="H58" s="17" t="n">
        <v>1</v>
      </c>
      <c r="I58" s="32" t="n">
        <v>474.89</v>
      </c>
      <c r="J58" s="17" t="inlineStr">
        <is>
          <t>KANIJ</t>
        </is>
      </c>
      <c r="K58" s="17" t="inlineStr">
        <is>
          <t>R</t>
        </is>
      </c>
      <c r="L58" s="17" t="inlineStr">
        <is>
          <t>Valid</t>
        </is>
      </c>
      <c r="M5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9">
      <c r="A59" s="17" t="inlineStr">
        <is>
          <t>1 Jul</t>
        </is>
      </c>
      <c r="B59" s="17" t="inlineStr">
        <is>
          <t>30581</t>
        </is>
      </c>
      <c r="C59" s="17" t="inlineStr">
        <is>
          <t>FS</t>
        </is>
      </c>
      <c r="D59" s="17" t="inlineStr">
        <is>
          <t>LS</t>
        </is>
      </c>
      <c r="E59" s="17" t="inlineStr">
        <is>
          <t>15:28:20</t>
        </is>
      </c>
      <c r="F59" s="17" t="inlineStr">
        <is>
          <t>15:28:40</t>
        </is>
      </c>
      <c r="G59" s="17" t="n">
        <v>20</v>
      </c>
      <c r="H59" s="17" t="n">
        <v>12</v>
      </c>
      <c r="I59" s="32" t="n">
        <v>477.95</v>
      </c>
      <c r="J59" s="17" t="inlineStr">
        <is>
          <t>BAREJADI NANDEJ</t>
        </is>
      </c>
      <c r="K59" s="17" t="inlineStr">
        <is>
          <t>R</t>
        </is>
      </c>
      <c r="L59" s="17" t="inlineStr">
        <is>
          <t>Valid</t>
        </is>
      </c>
      <c r="M5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0">
      <c r="A60" s="17" t="inlineStr">
        <is>
          <t>1 Jul</t>
        </is>
      </c>
      <c r="B60" s="17" t="inlineStr">
        <is>
          <t>30581</t>
        </is>
      </c>
      <c r="C60" s="17" t="inlineStr">
        <is>
          <t>LS</t>
        </is>
      </c>
      <c r="D60" s="17" t="inlineStr">
        <is>
          <t>SR</t>
        </is>
      </c>
      <c r="E60" s="17" t="inlineStr">
        <is>
          <t>15:28:42</t>
        </is>
      </c>
      <c r="F60" s="17" t="inlineStr">
        <is>
          <t>15:29:48</t>
        </is>
      </c>
      <c r="G60" s="17" t="n">
        <v>66</v>
      </c>
      <c r="H60" s="17" t="n">
        <v>41</v>
      </c>
      <c r="I60" s="32" t="n">
        <v>477.2</v>
      </c>
      <c r="J60" s="17" t="inlineStr">
        <is>
          <t>BAREJADI NANDEJ</t>
        </is>
      </c>
      <c r="K60" s="17" t="inlineStr">
        <is>
          <t>R</t>
        </is>
      </c>
      <c r="L60" s="17" t="inlineStr">
        <is>
          <t>Valid</t>
        </is>
      </c>
      <c r="M6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1">
      <c r="A61" s="17" t="inlineStr">
        <is>
          <t>1 Jul</t>
        </is>
      </c>
      <c r="B61" s="17" t="inlineStr">
        <is>
          <t>30581</t>
        </is>
      </c>
      <c r="C61" s="17" t="inlineStr">
        <is>
          <t>OS</t>
        </is>
      </c>
      <c r="D61" s="17" t="inlineStr">
        <is>
          <t>SR</t>
        </is>
      </c>
      <c r="E61" s="17" t="inlineStr">
        <is>
          <t>15:29:50</t>
        </is>
      </c>
      <c r="F61" s="17" t="inlineStr">
        <is>
          <t>15:29:50</t>
        </is>
      </c>
      <c r="G61" s="17" t="n">
        <v>0</v>
      </c>
      <c r="H61" s="17" t="n">
        <v>1</v>
      </c>
      <c r="I61" s="32" t="n">
        <v>474.84</v>
      </c>
      <c r="J61" s="17" t="inlineStr">
        <is>
          <t>KANIJ</t>
        </is>
      </c>
      <c r="K61" s="17" t="inlineStr">
        <is>
          <t>R</t>
        </is>
      </c>
      <c r="L61" s="17" t="inlineStr">
        <is>
          <t>Valid</t>
        </is>
      </c>
      <c r="M6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2">
      <c r="A62" s="17" t="inlineStr">
        <is>
          <t>1 Jul</t>
        </is>
      </c>
      <c r="B62" s="17" t="inlineStr">
        <is>
          <t>30581</t>
        </is>
      </c>
      <c r="C62" s="17" t="inlineStr">
        <is>
          <t>FS</t>
        </is>
      </c>
      <c r="D62" s="17" t="inlineStr">
        <is>
          <t>SR</t>
        </is>
      </c>
      <c r="E62" s="17" t="inlineStr">
        <is>
          <t>16:25:26</t>
        </is>
      </c>
      <c r="F62" s="17" t="inlineStr">
        <is>
          <t>16:59:06</t>
        </is>
      </c>
      <c r="G62" s="17" t="n">
        <v>2020</v>
      </c>
      <c r="H62" s="17" t="n">
        <v>1015</v>
      </c>
      <c r="I62" s="32" t="n">
        <v>403.28</v>
      </c>
      <c r="J62" s="17" t="inlineStr">
        <is>
          <t>BAJWA</t>
        </is>
      </c>
      <c r="K62" s="17" t="inlineStr">
        <is>
          <t>R</t>
        </is>
      </c>
      <c r="L62" s="17" t="inlineStr">
        <is>
          <t>Valid</t>
        </is>
      </c>
      <c r="M62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3">
      <c r="A63" s="17" t="inlineStr">
        <is>
          <t>1 Jul</t>
        </is>
      </c>
      <c r="B63" s="17" t="inlineStr">
        <is>
          <t>39465</t>
        </is>
      </c>
      <c r="C63" s="17" t="inlineStr">
        <is>
          <t>FS</t>
        </is>
      </c>
      <c r="D63" s="17" t="inlineStr">
        <is>
          <t>LS</t>
        </is>
      </c>
      <c r="E63" s="17" t="inlineStr">
        <is>
          <t>16:55:18</t>
        </is>
      </c>
      <c r="F63" s="17" t="inlineStr">
        <is>
          <t>16:56:04</t>
        </is>
      </c>
      <c r="G63" s="17" t="n">
        <v>46</v>
      </c>
      <c r="H63" s="17" t="n">
        <v>25</v>
      </c>
      <c r="I63" s="32" t="n">
        <v>478.01</v>
      </c>
      <c r="J63" s="17" t="inlineStr">
        <is>
          <t>BAREJADI NANDEJ</t>
        </is>
      </c>
      <c r="K63" s="17" t="inlineStr">
        <is>
          <t>N</t>
        </is>
      </c>
      <c r="L63" s="17" t="inlineStr">
        <is>
          <t>Valid</t>
        </is>
      </c>
      <c r="M6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4">
      <c r="A64" s="17" t="inlineStr">
        <is>
          <t>1 Jul</t>
        </is>
      </c>
      <c r="B64" s="17" t="inlineStr">
        <is>
          <t>39465</t>
        </is>
      </c>
      <c r="C64" s="17" t="inlineStr">
        <is>
          <t>LS</t>
        </is>
      </c>
      <c r="D64" s="17" t="inlineStr">
        <is>
          <t>SR</t>
        </is>
      </c>
      <c r="E64" s="17" t="inlineStr">
        <is>
          <t>16:56:06</t>
        </is>
      </c>
      <c r="F64" s="17" t="inlineStr">
        <is>
          <t>16:57:16</t>
        </is>
      </c>
      <c r="G64" s="17" t="n">
        <v>70</v>
      </c>
      <c r="H64" s="17" t="n">
        <v>42</v>
      </c>
      <c r="I64" s="32" t="n">
        <v>479.74</v>
      </c>
      <c r="J64" s="17" t="inlineStr">
        <is>
          <t>BAREJADI NANDEJ</t>
        </is>
      </c>
      <c r="K64" s="17" t="inlineStr">
        <is>
          <t>N</t>
        </is>
      </c>
      <c r="L64" s="17" t="inlineStr">
        <is>
          <t>Valid</t>
        </is>
      </c>
      <c r="M6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5">
      <c r="A65" s="33" t="inlineStr">
        <is>
          <t>1 Jul</t>
        </is>
      </c>
      <c r="B65" s="33" t="inlineStr">
        <is>
          <t>39371</t>
        </is>
      </c>
      <c r="C65" s="33" t="inlineStr">
        <is>
          <t>FS</t>
        </is>
      </c>
      <c r="D65" s="33" t="inlineStr">
        <is>
          <t>SR</t>
        </is>
      </c>
      <c r="E65" s="33" t="inlineStr">
        <is>
          <t>17:10:54</t>
        </is>
      </c>
      <c r="F65" s="33" t="inlineStr">
        <is>
          <t>17:56:18</t>
        </is>
      </c>
      <c r="G65" s="33" t="n">
        <v>2724</v>
      </c>
      <c r="H65" s="33" t="n">
        <v>1225</v>
      </c>
      <c r="I65" s="34" t="n">
        <v>402.67</v>
      </c>
      <c r="J65" s="33" t="inlineStr">
        <is>
          <t>BAJWA</t>
        </is>
      </c>
      <c r="K65" s="33" t="inlineStr">
        <is>
          <t>R</t>
        </is>
      </c>
      <c r="L65" s="33" t="inlineStr">
        <is>
          <t>Non-Valid</t>
        </is>
      </c>
      <c r="M65" s="17" t="inlineStr">
        <is>
          <t>BAJWA, RANOLI, LC-246, VASAD, ADAS ROAD, VADOD, LC-258, ANAND Jn, LC-264, KANJARI BORIYAVI, UTARSANDA, NADIAD, LC-278</t>
        </is>
      </c>
    </row>
    <row r="66">
      <c r="A66" s="17" t="inlineStr">
        <is>
          <t>1 Jul</t>
        </is>
      </c>
      <c r="B66" s="17" t="inlineStr">
        <is>
          <t>37275</t>
        </is>
      </c>
      <c r="C66" s="17" t="inlineStr">
        <is>
          <t>FS</t>
        </is>
      </c>
      <c r="D66" s="17" t="inlineStr">
        <is>
          <t>LS</t>
        </is>
      </c>
      <c r="E66" s="17" t="inlineStr">
        <is>
          <t>17:39:32</t>
        </is>
      </c>
      <c r="F66" s="17" t="inlineStr">
        <is>
          <t>17:39:34</t>
        </is>
      </c>
      <c r="G66" s="17" t="n">
        <v>2</v>
      </c>
      <c r="H66" s="17" t="n">
        <v>4</v>
      </c>
      <c r="I66" s="32" t="n">
        <v>485.06</v>
      </c>
      <c r="J66" s="17" t="inlineStr">
        <is>
          <t>VATVA</t>
        </is>
      </c>
      <c r="K66" s="17" t="inlineStr">
        <is>
          <t>R</t>
        </is>
      </c>
      <c r="L66" s="17" t="inlineStr">
        <is>
          <t>Valid</t>
        </is>
      </c>
      <c r="M6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7">
      <c r="A67" s="17" t="inlineStr">
        <is>
          <t>1 Jul</t>
        </is>
      </c>
      <c r="B67" s="17" t="inlineStr">
        <is>
          <t>37275</t>
        </is>
      </c>
      <c r="C67" s="17" t="inlineStr">
        <is>
          <t>FS</t>
        </is>
      </c>
      <c r="D67" s="17" t="inlineStr">
        <is>
          <t>LS</t>
        </is>
      </c>
      <c r="E67" s="17" t="inlineStr">
        <is>
          <t>17:43:12</t>
        </is>
      </c>
      <c r="F67" s="17" t="inlineStr">
        <is>
          <t>17:44:28</t>
        </is>
      </c>
      <c r="G67" s="17" t="n">
        <v>76</v>
      </c>
      <c r="H67" s="17" t="n">
        <v>38</v>
      </c>
      <c r="I67" s="32" t="n">
        <v>478.25</v>
      </c>
      <c r="J67" s="17" t="inlineStr">
        <is>
          <t>BAREJADI NANDEJ</t>
        </is>
      </c>
      <c r="K67" s="17" t="inlineStr">
        <is>
          <t>R</t>
        </is>
      </c>
      <c r="L67" s="17" t="inlineStr">
        <is>
          <t>Valid</t>
        </is>
      </c>
      <c r="M6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8">
      <c r="A68" s="17" t="inlineStr">
        <is>
          <t>1 Jul</t>
        </is>
      </c>
      <c r="B68" s="17" t="inlineStr">
        <is>
          <t>37275</t>
        </is>
      </c>
      <c r="C68" s="17" t="inlineStr">
        <is>
          <t>LS</t>
        </is>
      </c>
      <c r="D68" s="17" t="inlineStr">
        <is>
          <t>SR</t>
        </is>
      </c>
      <c r="E68" s="17" t="inlineStr">
        <is>
          <t>17:44:30</t>
        </is>
      </c>
      <c r="F68" s="17" t="inlineStr">
        <is>
          <t>17:44:52</t>
        </is>
      </c>
      <c r="G68" s="17" t="n">
        <v>22</v>
      </c>
      <c r="H68" s="17" t="n">
        <v>12</v>
      </c>
      <c r="I68" s="32" t="n">
        <v>475.51</v>
      </c>
      <c r="J68" s="17" t="inlineStr">
        <is>
          <t>KANIJ</t>
        </is>
      </c>
      <c r="K68" s="17" t="inlineStr">
        <is>
          <t>R</t>
        </is>
      </c>
      <c r="L68" s="17" t="inlineStr">
        <is>
          <t>Valid</t>
        </is>
      </c>
      <c r="M6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69">
      <c r="A69" s="33" t="inlineStr">
        <is>
          <t>1 Jul</t>
        </is>
      </c>
      <c r="B69" s="33" t="inlineStr">
        <is>
          <t>30474</t>
        </is>
      </c>
      <c r="C69" s="33" t="inlineStr">
        <is>
          <t>StandBy</t>
        </is>
      </c>
      <c r="D69" s="33" t="inlineStr">
        <is>
          <t>SR</t>
        </is>
      </c>
      <c r="E69" s="33" t="inlineStr">
        <is>
          <t>17:59:04</t>
        </is>
      </c>
      <c r="F69" s="33" t="inlineStr">
        <is>
          <t>18:20:08</t>
        </is>
      </c>
      <c r="G69" s="33" t="n">
        <v>1264</v>
      </c>
      <c r="H69" s="33" t="n">
        <v>606</v>
      </c>
      <c r="I69" s="34" t="n">
        <v>396.1</v>
      </c>
      <c r="J69" s="33" t="inlineStr">
        <is>
          <t>BAJWA</t>
        </is>
      </c>
      <c r="K69" s="33" t="inlineStr">
        <is>
          <t>U</t>
        </is>
      </c>
      <c r="L69" s="33" t="inlineStr">
        <is>
          <t>Non-Valid</t>
        </is>
      </c>
      <c r="M69" s="17" t="inlineStr">
        <is>
          <t>BAJWA, RANOLI, LC-246, VASAD, ADAS ROAD, VADOD, LC-258, ANAND Jn, LC-264, KANJARI BORIYAVI</t>
        </is>
      </c>
    </row>
    <row r="70">
      <c r="A70" s="17" t="inlineStr">
        <is>
          <t>1 Jul</t>
        </is>
      </c>
      <c r="B70" s="17" t="inlineStr">
        <is>
          <t>37217</t>
        </is>
      </c>
      <c r="C70" s="17" t="inlineStr">
        <is>
          <t>FS</t>
        </is>
      </c>
      <c r="D70" s="17" t="inlineStr">
        <is>
          <t>LS</t>
        </is>
      </c>
      <c r="E70" s="17" t="inlineStr">
        <is>
          <t>19:26:54</t>
        </is>
      </c>
      <c r="F70" s="17" t="inlineStr">
        <is>
          <t>19:27:20</t>
        </is>
      </c>
      <c r="G70" s="17" t="n">
        <v>26</v>
      </c>
      <c r="H70" s="17" t="n">
        <v>15</v>
      </c>
      <c r="I70" s="32" t="n">
        <v>478.05</v>
      </c>
      <c r="J70" s="17" t="inlineStr">
        <is>
          <t>BAREJADI NANDEJ</t>
        </is>
      </c>
      <c r="K70" s="17" t="inlineStr">
        <is>
          <t>R</t>
        </is>
      </c>
      <c r="L70" s="17" t="inlineStr">
        <is>
          <t>Valid</t>
        </is>
      </c>
      <c r="M7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1">
      <c r="A71" s="17" t="inlineStr">
        <is>
          <t>1 Jul</t>
        </is>
      </c>
      <c r="B71" s="17" t="inlineStr">
        <is>
          <t>37217</t>
        </is>
      </c>
      <c r="C71" s="17" t="inlineStr">
        <is>
          <t>LS</t>
        </is>
      </c>
      <c r="D71" s="17" t="inlineStr">
        <is>
          <t>SR</t>
        </is>
      </c>
      <c r="E71" s="17" t="inlineStr">
        <is>
          <t>19:27:22</t>
        </is>
      </c>
      <c r="F71" s="17" t="inlineStr">
        <is>
          <t>19:28:30</t>
        </is>
      </c>
      <c r="G71" s="17" t="n">
        <v>68</v>
      </c>
      <c r="H71" s="17" t="n">
        <v>44</v>
      </c>
      <c r="I71" s="32" t="n">
        <v>477.14</v>
      </c>
      <c r="J71" s="17" t="inlineStr">
        <is>
          <t>BAREJADI NANDEJ</t>
        </is>
      </c>
      <c r="K71" s="17" t="inlineStr">
        <is>
          <t>R</t>
        </is>
      </c>
      <c r="L71" s="17" t="inlineStr">
        <is>
          <t>Valid</t>
        </is>
      </c>
      <c r="M7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2">
      <c r="A72" s="17" t="inlineStr">
        <is>
          <t>1 Jul</t>
        </is>
      </c>
      <c r="B72" s="17" t="inlineStr">
        <is>
          <t>37217</t>
        </is>
      </c>
      <c r="C72" s="17" t="inlineStr">
        <is>
          <t>OS</t>
        </is>
      </c>
      <c r="D72" s="17" t="inlineStr">
        <is>
          <t>SR</t>
        </is>
      </c>
      <c r="E72" s="17" t="inlineStr">
        <is>
          <t>19:28:32</t>
        </is>
      </c>
      <c r="F72" s="17" t="inlineStr">
        <is>
          <t>19:28:32</t>
        </is>
      </c>
      <c r="G72" s="17" t="n">
        <v>0</v>
      </c>
      <c r="H72" s="17" t="n">
        <v>1</v>
      </c>
      <c r="I72" s="32" t="n">
        <v>474.87</v>
      </c>
      <c r="J72" s="17" t="inlineStr">
        <is>
          <t>KANIJ</t>
        </is>
      </c>
      <c r="K72" s="17" t="inlineStr">
        <is>
          <t>R</t>
        </is>
      </c>
      <c r="L72" s="17" t="inlineStr">
        <is>
          <t>Valid</t>
        </is>
      </c>
      <c r="M72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3">
      <c r="A73" s="17" t="inlineStr">
        <is>
          <t>1 Jul</t>
        </is>
      </c>
      <c r="B73" s="17" t="inlineStr">
        <is>
          <t>37465</t>
        </is>
      </c>
      <c r="C73" s="17" t="inlineStr">
        <is>
          <t>FS</t>
        </is>
      </c>
      <c r="D73" s="17" t="inlineStr">
        <is>
          <t>LS</t>
        </is>
      </c>
      <c r="E73" s="17" t="inlineStr">
        <is>
          <t>19:44:36</t>
        </is>
      </c>
      <c r="F73" s="17" t="inlineStr">
        <is>
          <t>19:46:10</t>
        </is>
      </c>
      <c r="G73" s="17" t="n">
        <v>94</v>
      </c>
      <c r="H73" s="17" t="n">
        <v>49</v>
      </c>
      <c r="I73" s="32" t="n">
        <v>478.21</v>
      </c>
      <c r="J73" s="17" t="inlineStr">
        <is>
          <t>BAREJADI NANDEJ</t>
        </is>
      </c>
      <c r="K73" s="17" t="inlineStr">
        <is>
          <t>R</t>
        </is>
      </c>
      <c r="L73" s="17" t="inlineStr">
        <is>
          <t>Valid</t>
        </is>
      </c>
      <c r="M7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4">
      <c r="A74" s="17" t="inlineStr">
        <is>
          <t>1 Jul</t>
        </is>
      </c>
      <c r="B74" s="17" t="inlineStr">
        <is>
          <t>37465</t>
        </is>
      </c>
      <c r="C74" s="17" t="inlineStr">
        <is>
          <t>LS</t>
        </is>
      </c>
      <c r="D74" s="17" t="inlineStr">
        <is>
          <t>SR</t>
        </is>
      </c>
      <c r="E74" s="17" t="inlineStr">
        <is>
          <t>19:46:12</t>
        </is>
      </c>
      <c r="F74" s="17" t="inlineStr">
        <is>
          <t>19:46:28</t>
        </is>
      </c>
      <c r="G74" s="17" t="n">
        <v>16</v>
      </c>
      <c r="H74" s="17" t="n">
        <v>9</v>
      </c>
      <c r="I74" s="32" t="n">
        <v>475.39</v>
      </c>
      <c r="J74" s="17" t="inlineStr">
        <is>
          <t>KANIJ</t>
        </is>
      </c>
      <c r="K74" s="17" t="inlineStr">
        <is>
          <t>R</t>
        </is>
      </c>
      <c r="L74" s="17" t="inlineStr">
        <is>
          <t>Valid</t>
        </is>
      </c>
      <c r="M7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5">
      <c r="A75" s="17" t="inlineStr">
        <is>
          <t>1 Jul</t>
        </is>
      </c>
      <c r="B75" s="17" t="inlineStr">
        <is>
          <t>39015</t>
        </is>
      </c>
      <c r="C75" s="17" t="inlineStr">
        <is>
          <t>StandBy</t>
        </is>
      </c>
      <c r="D75" s="17" t="inlineStr">
        <is>
          <t>SR</t>
        </is>
      </c>
      <c r="E75" s="17" t="inlineStr">
        <is>
          <t>19:51:06</t>
        </is>
      </c>
      <c r="F75" s="17" t="inlineStr">
        <is>
          <t>19:51:30</t>
        </is>
      </c>
      <c r="G75" s="17" t="n">
        <v>24</v>
      </c>
      <c r="H75" s="17" t="n">
        <v>23</v>
      </c>
      <c r="I75" s="32" t="n">
        <v>494.96</v>
      </c>
      <c r="J75" s="17" t="inlineStr">
        <is>
          <t>AHMEDABAD Jn</t>
        </is>
      </c>
      <c r="K75" s="17" t="inlineStr">
        <is>
          <t>R</t>
        </is>
      </c>
      <c r="L75" s="17" t="inlineStr">
        <is>
          <t>Valid</t>
        </is>
      </c>
      <c r="M75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6">
      <c r="A76" s="17" t="inlineStr">
        <is>
          <t>1 Jul</t>
        </is>
      </c>
      <c r="B76" s="17" t="inlineStr">
        <is>
          <t>39015</t>
        </is>
      </c>
      <c r="C76" s="17" t="inlineStr">
        <is>
          <t>OS</t>
        </is>
      </c>
      <c r="D76" s="17" t="inlineStr">
        <is>
          <t>SR</t>
        </is>
      </c>
      <c r="E76" s="17" t="inlineStr">
        <is>
          <t>19:52:24</t>
        </is>
      </c>
      <c r="F76" s="17" t="inlineStr">
        <is>
          <t>19:52:24</t>
        </is>
      </c>
      <c r="G76" s="17" t="n">
        <v>0</v>
      </c>
      <c r="H76" s="17" t="n">
        <v>2</v>
      </c>
      <c r="I76" s="32" t="n">
        <v>494.77</v>
      </c>
      <c r="J76" s="17" t="inlineStr">
        <is>
          <t>AHMEDABAD Jn</t>
        </is>
      </c>
      <c r="K76" s="17" t="inlineStr">
        <is>
          <t>R</t>
        </is>
      </c>
      <c r="L76" s="17" t="inlineStr">
        <is>
          <t>Valid</t>
        </is>
      </c>
      <c r="M7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7">
      <c r="A77" s="17" t="inlineStr">
        <is>
          <t>1 Jul</t>
        </is>
      </c>
      <c r="B77" s="17" t="inlineStr">
        <is>
          <t>37490</t>
        </is>
      </c>
      <c r="C77" s="17" t="inlineStr">
        <is>
          <t>FS</t>
        </is>
      </c>
      <c r="D77" s="17" t="inlineStr">
        <is>
          <t>LS</t>
        </is>
      </c>
      <c r="E77" s="17" t="inlineStr">
        <is>
          <t>19:58:36</t>
        </is>
      </c>
      <c r="F77" s="17" t="inlineStr">
        <is>
          <t>19:59:20</t>
        </is>
      </c>
      <c r="G77" s="17" t="n">
        <v>44</v>
      </c>
      <c r="H77" s="17" t="n">
        <v>24</v>
      </c>
      <c r="I77" s="32" t="n">
        <v>478.09</v>
      </c>
      <c r="J77" s="17" t="inlineStr">
        <is>
          <t>BAREJADI NANDEJ</t>
        </is>
      </c>
      <c r="K77" s="17" t="inlineStr">
        <is>
          <t>N</t>
        </is>
      </c>
      <c r="L77" s="17" t="inlineStr">
        <is>
          <t>Valid</t>
        </is>
      </c>
      <c r="M7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8">
      <c r="A78" s="17" t="inlineStr">
        <is>
          <t>1 Jul</t>
        </is>
      </c>
      <c r="B78" s="17" t="inlineStr">
        <is>
          <t>37490</t>
        </is>
      </c>
      <c r="C78" s="17" t="inlineStr">
        <is>
          <t>LS</t>
        </is>
      </c>
      <c r="D78" s="17" t="inlineStr">
        <is>
          <t>SR</t>
        </is>
      </c>
      <c r="E78" s="17" t="inlineStr">
        <is>
          <t>19:59:22</t>
        </is>
      </c>
      <c r="F78" s="17" t="inlineStr">
        <is>
          <t>20:00:32</t>
        </is>
      </c>
      <c r="G78" s="17" t="n">
        <v>70</v>
      </c>
      <c r="H78" s="17" t="n">
        <v>39</v>
      </c>
      <c r="I78" s="32" t="n">
        <v>479.73</v>
      </c>
      <c r="J78" s="17" t="inlineStr">
        <is>
          <t>BAREJADI NANDEJ</t>
        </is>
      </c>
      <c r="K78" s="17" t="inlineStr">
        <is>
          <t>N</t>
        </is>
      </c>
      <c r="L78" s="17" t="inlineStr">
        <is>
          <t>Valid</t>
        </is>
      </c>
      <c r="M7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79">
      <c r="A79" s="17" t="inlineStr">
        <is>
          <t>1 Jul</t>
        </is>
      </c>
      <c r="B79" s="17" t="inlineStr">
        <is>
          <t>39030</t>
        </is>
      </c>
      <c r="C79" s="17" t="inlineStr">
        <is>
          <t>FS</t>
        </is>
      </c>
      <c r="D79" s="17" t="inlineStr">
        <is>
          <t>SR</t>
        </is>
      </c>
      <c r="E79" s="17" t="inlineStr">
        <is>
          <t>20:04:26</t>
        </is>
      </c>
      <c r="F79" s="17" t="inlineStr">
        <is>
          <t>20:12:20</t>
        </is>
      </c>
      <c r="G79" s="17" t="n">
        <v>474</v>
      </c>
      <c r="H79" s="17" t="n">
        <v>233</v>
      </c>
      <c r="I79" s="32" t="n">
        <v>477.66</v>
      </c>
      <c r="J79" s="17" t="inlineStr">
        <is>
          <t>BAREJADI NANDEJ</t>
        </is>
      </c>
      <c r="K79" s="17" t="inlineStr">
        <is>
          <t>N</t>
        </is>
      </c>
      <c r="L79" s="17" t="inlineStr">
        <is>
          <t>Valid</t>
        </is>
      </c>
      <c r="M7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0">
      <c r="A80" s="17" t="inlineStr">
        <is>
          <t>1 Jul</t>
        </is>
      </c>
      <c r="B80" s="17" t="inlineStr">
        <is>
          <t>39015</t>
        </is>
      </c>
      <c r="C80" s="17" t="inlineStr">
        <is>
          <t>FS</t>
        </is>
      </c>
      <c r="D80" s="17" t="inlineStr">
        <is>
          <t>LS</t>
        </is>
      </c>
      <c r="E80" s="17" t="inlineStr">
        <is>
          <t>20:09:40</t>
        </is>
      </c>
      <c r="F80" s="17" t="inlineStr">
        <is>
          <t>20:10:08</t>
        </is>
      </c>
      <c r="G80" s="17" t="n">
        <v>28</v>
      </c>
      <c r="H80" s="17" t="n">
        <v>14</v>
      </c>
      <c r="I80" s="32" t="n">
        <v>478.15</v>
      </c>
      <c r="J80" s="17" t="inlineStr">
        <is>
          <t>BAREJADI NANDEJ</t>
        </is>
      </c>
      <c r="K80" s="17" t="inlineStr">
        <is>
          <t>R</t>
        </is>
      </c>
      <c r="L80" s="17" t="inlineStr">
        <is>
          <t>Valid</t>
        </is>
      </c>
      <c r="M8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1">
      <c r="A81" s="17" t="inlineStr">
        <is>
          <t>1 Jul</t>
        </is>
      </c>
      <c r="B81" s="17" t="inlineStr">
        <is>
          <t>39015</t>
        </is>
      </c>
      <c r="C81" s="17" t="inlineStr">
        <is>
          <t>LS</t>
        </is>
      </c>
      <c r="D81" s="17" t="inlineStr">
        <is>
          <t>SR</t>
        </is>
      </c>
      <c r="E81" s="17" t="inlineStr">
        <is>
          <t>20:10:12</t>
        </is>
      </c>
      <c r="F81" s="17" t="inlineStr">
        <is>
          <t>20:11:28</t>
        </is>
      </c>
      <c r="G81" s="17" t="n">
        <v>76</v>
      </c>
      <c r="H81" s="17" t="n">
        <v>49</v>
      </c>
      <c r="I81" s="32" t="n">
        <v>477.17</v>
      </c>
      <c r="J81" s="17" t="inlineStr">
        <is>
          <t>BAREJADI NANDEJ</t>
        </is>
      </c>
      <c r="K81" s="17" t="inlineStr">
        <is>
          <t>R</t>
        </is>
      </c>
      <c r="L81" s="17" t="inlineStr">
        <is>
          <t>Valid</t>
        </is>
      </c>
      <c r="M8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2">
      <c r="A82" s="17" t="inlineStr">
        <is>
          <t>1 Jul</t>
        </is>
      </c>
      <c r="B82" s="17" t="inlineStr">
        <is>
          <t>39015</t>
        </is>
      </c>
      <c r="C82" s="17" t="inlineStr">
        <is>
          <t>OS</t>
        </is>
      </c>
      <c r="D82" s="17" t="inlineStr">
        <is>
          <t>SR</t>
        </is>
      </c>
      <c r="E82" s="17" t="inlineStr">
        <is>
          <t>20:11:30</t>
        </is>
      </c>
      <c r="F82" s="17" t="inlineStr">
        <is>
          <t>20:11:30</t>
        </is>
      </c>
      <c r="G82" s="17" t="n">
        <v>0</v>
      </c>
      <c r="H82" s="17" t="n">
        <v>1</v>
      </c>
      <c r="I82" s="32" t="n">
        <v>474.85</v>
      </c>
      <c r="J82" s="17" t="inlineStr">
        <is>
          <t>KANIJ</t>
        </is>
      </c>
      <c r="K82" s="17" t="inlineStr">
        <is>
          <t>R</t>
        </is>
      </c>
      <c r="L82" s="17" t="inlineStr">
        <is>
          <t>Valid</t>
        </is>
      </c>
      <c r="M82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3">
      <c r="A83" s="17" t="inlineStr">
        <is>
          <t>1 Jul</t>
        </is>
      </c>
      <c r="B83" s="17" t="inlineStr">
        <is>
          <t>37217</t>
        </is>
      </c>
      <c r="C83" s="17" t="inlineStr">
        <is>
          <t>FS</t>
        </is>
      </c>
      <c r="D83" s="17" t="inlineStr">
        <is>
          <t>SR</t>
        </is>
      </c>
      <c r="E83" s="17" t="inlineStr">
        <is>
          <t>20:25:24</t>
        </is>
      </c>
      <c r="F83" s="17" t="inlineStr">
        <is>
          <t>20:51:00</t>
        </is>
      </c>
      <c r="G83" s="17" t="n">
        <v>1536</v>
      </c>
      <c r="H83" s="17" t="n">
        <v>719</v>
      </c>
      <c r="I83" s="32" t="n">
        <v>403.25</v>
      </c>
      <c r="J83" s="17" t="inlineStr">
        <is>
          <t>BAJWA</t>
        </is>
      </c>
      <c r="K83" s="17" t="inlineStr">
        <is>
          <t>R</t>
        </is>
      </c>
      <c r="L83" s="17" t="inlineStr">
        <is>
          <t>Valid</t>
        </is>
      </c>
      <c r="M83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4">
      <c r="A84" s="17" t="inlineStr">
        <is>
          <t>1 Jul</t>
        </is>
      </c>
      <c r="B84" s="17" t="inlineStr">
        <is>
          <t>37504</t>
        </is>
      </c>
      <c r="C84" s="17" t="inlineStr">
        <is>
          <t>StandBy</t>
        </is>
      </c>
      <c r="D84" s="17" t="inlineStr">
        <is>
          <t>SR</t>
        </is>
      </c>
      <c r="E84" s="17" t="inlineStr">
        <is>
          <t>20:38:26</t>
        </is>
      </c>
      <c r="F84" s="17" t="inlineStr">
        <is>
          <t>20:38:30</t>
        </is>
      </c>
      <c r="G84" s="17" t="n">
        <v>4</v>
      </c>
      <c r="H84" s="17" t="n">
        <v>4</v>
      </c>
      <c r="I84" s="32" t="n">
        <v>494.98</v>
      </c>
      <c r="J84" s="17" t="inlineStr">
        <is>
          <t>AHMEDABAD Jn</t>
        </is>
      </c>
      <c r="K84" s="17" t="inlineStr">
        <is>
          <t>R</t>
        </is>
      </c>
      <c r="L84" s="17" t="inlineStr">
        <is>
          <t>Valid</t>
        </is>
      </c>
      <c r="M84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5">
      <c r="A85" s="17" t="inlineStr">
        <is>
          <t>1 Jul</t>
        </is>
      </c>
      <c r="B85" s="17" t="inlineStr">
        <is>
          <t>37504</t>
        </is>
      </c>
      <c r="C85" s="17" t="inlineStr">
        <is>
          <t>FS</t>
        </is>
      </c>
      <c r="D85" s="17" t="inlineStr">
        <is>
          <t>SR</t>
        </is>
      </c>
      <c r="E85" s="17" t="inlineStr">
        <is>
          <t>20:59:56</t>
        </is>
      </c>
      <c r="F85" s="17" t="inlineStr">
        <is>
          <t>21:01:42</t>
        </is>
      </c>
      <c r="G85" s="17" t="n">
        <v>106</v>
      </c>
      <c r="H85" s="17" t="n">
        <v>63</v>
      </c>
      <c r="I85" s="32" t="n">
        <v>478.12</v>
      </c>
      <c r="J85" s="17" t="inlineStr">
        <is>
          <t>BAREJADI NANDEJ</t>
        </is>
      </c>
      <c r="K85" s="17" t="inlineStr">
        <is>
          <t>R</t>
        </is>
      </c>
      <c r="L85" s="17" t="inlineStr">
        <is>
          <t>Valid</t>
        </is>
      </c>
      <c r="M85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6">
      <c r="A86" s="17" t="inlineStr">
        <is>
          <t>1 Jul</t>
        </is>
      </c>
      <c r="B86" s="17" t="inlineStr">
        <is>
          <t>37504</t>
        </is>
      </c>
      <c r="C86" s="17" t="inlineStr">
        <is>
          <t>OS</t>
        </is>
      </c>
      <c r="D86" s="17" t="inlineStr">
        <is>
          <t>SR</t>
        </is>
      </c>
      <c r="E86" s="17" t="inlineStr">
        <is>
          <t>21:01:44</t>
        </is>
      </c>
      <c r="F86" s="17" t="inlineStr">
        <is>
          <t>21:01:44</t>
        </is>
      </c>
      <c r="G86" s="17" t="n">
        <v>0</v>
      </c>
      <c r="H86" s="17" t="n">
        <v>1</v>
      </c>
      <c r="I86" s="32" t="n">
        <v>474.89</v>
      </c>
      <c r="J86" s="17" t="inlineStr">
        <is>
          <t>KANIJ</t>
        </is>
      </c>
      <c r="K86" s="17" t="inlineStr">
        <is>
          <t>R</t>
        </is>
      </c>
      <c r="L86" s="17" t="inlineStr">
        <is>
          <t>Valid</t>
        </is>
      </c>
      <c r="M86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7">
      <c r="A87" s="17" t="inlineStr">
        <is>
          <t>1 Jul</t>
        </is>
      </c>
      <c r="B87" s="17" t="inlineStr">
        <is>
          <t>39015</t>
        </is>
      </c>
      <c r="C87" s="17" t="inlineStr">
        <is>
          <t>FS</t>
        </is>
      </c>
      <c r="D87" s="17" t="inlineStr">
        <is>
          <t>SR</t>
        </is>
      </c>
      <c r="E87" s="17" t="inlineStr">
        <is>
          <t>21:08:40</t>
        </is>
      </c>
      <c r="F87" s="17" t="inlineStr">
        <is>
          <t>21:32:20</t>
        </is>
      </c>
      <c r="G87" s="17" t="n">
        <v>1420</v>
      </c>
      <c r="H87" s="17" t="n">
        <v>606</v>
      </c>
      <c r="I87" s="32" t="n">
        <v>403.27</v>
      </c>
      <c r="J87" s="17" t="inlineStr">
        <is>
          <t>BAJWA</t>
        </is>
      </c>
      <c r="K87" s="17" t="inlineStr">
        <is>
          <t>R</t>
        </is>
      </c>
      <c r="L87" s="17" t="inlineStr">
        <is>
          <t>Valid</t>
        </is>
      </c>
      <c r="M87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8">
      <c r="A88" s="17" t="inlineStr">
        <is>
          <t>1 Jul</t>
        </is>
      </c>
      <c r="B88" s="17" t="inlineStr">
        <is>
          <t>37504</t>
        </is>
      </c>
      <c r="C88" s="17" t="inlineStr">
        <is>
          <t>FS</t>
        </is>
      </c>
      <c r="D88" s="17" t="inlineStr">
        <is>
          <t>SR</t>
        </is>
      </c>
      <c r="E88" s="17" t="inlineStr">
        <is>
          <t>22:01:36</t>
        </is>
      </c>
      <c r="F88" s="17" t="inlineStr">
        <is>
          <t>22:27:54</t>
        </is>
      </c>
      <c r="G88" s="17" t="n">
        <v>1578</v>
      </c>
      <c r="H88" s="17" t="n">
        <v>811</v>
      </c>
      <c r="I88" s="32" t="n">
        <v>403.34</v>
      </c>
      <c r="J88" s="17" t="inlineStr">
        <is>
          <t>BAJWA</t>
        </is>
      </c>
      <c r="K88" s="17" t="inlineStr">
        <is>
          <t>R</t>
        </is>
      </c>
      <c r="L88" s="17" t="inlineStr">
        <is>
          <t>Valid</t>
        </is>
      </c>
      <c r="M88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89">
      <c r="A89" s="17" t="inlineStr">
        <is>
          <t>1 Jul</t>
        </is>
      </c>
      <c r="B89" s="17" t="inlineStr">
        <is>
          <t>30533</t>
        </is>
      </c>
      <c r="C89" s="17" t="inlineStr">
        <is>
          <t>FS</t>
        </is>
      </c>
      <c r="D89" s="17" t="inlineStr">
        <is>
          <t>LS</t>
        </is>
      </c>
      <c r="E89" s="17" t="inlineStr">
        <is>
          <t>22:16:30</t>
        </is>
      </c>
      <c r="F89" s="17" t="inlineStr">
        <is>
          <t>22:16:50</t>
        </is>
      </c>
      <c r="G89" s="17" t="n">
        <v>20</v>
      </c>
      <c r="H89" s="17" t="n">
        <v>12</v>
      </c>
      <c r="I89" s="32" t="n">
        <v>477.96</v>
      </c>
      <c r="J89" s="17" t="inlineStr">
        <is>
          <t>BAREJADI NANDEJ</t>
        </is>
      </c>
      <c r="K89" s="17" t="inlineStr">
        <is>
          <t>R</t>
        </is>
      </c>
      <c r="L89" s="17" t="inlineStr">
        <is>
          <t>Valid</t>
        </is>
      </c>
      <c r="M89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0">
      <c r="A90" s="17" t="inlineStr">
        <is>
          <t>1 Jul</t>
        </is>
      </c>
      <c r="B90" s="17" t="inlineStr">
        <is>
          <t>30533</t>
        </is>
      </c>
      <c r="C90" s="17" t="inlineStr">
        <is>
          <t>LS</t>
        </is>
      </c>
      <c r="D90" s="17" t="inlineStr">
        <is>
          <t>SR</t>
        </is>
      </c>
      <c r="E90" s="17" t="inlineStr">
        <is>
          <t>22:16:52</t>
        </is>
      </c>
      <c r="F90" s="17" t="inlineStr">
        <is>
          <t>22:17:58</t>
        </is>
      </c>
      <c r="G90" s="17" t="n">
        <v>66</v>
      </c>
      <c r="H90" s="17" t="n">
        <v>42</v>
      </c>
      <c r="I90" s="32" t="n">
        <v>477.19</v>
      </c>
      <c r="J90" s="17" t="inlineStr">
        <is>
          <t>BAREJADI NANDEJ</t>
        </is>
      </c>
      <c r="K90" s="17" t="inlineStr">
        <is>
          <t>R</t>
        </is>
      </c>
      <c r="L90" s="17" t="inlineStr">
        <is>
          <t>Valid</t>
        </is>
      </c>
      <c r="M90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1">
      <c r="A91" s="17" t="inlineStr">
        <is>
          <t>1 Jul</t>
        </is>
      </c>
      <c r="B91" s="17" t="inlineStr">
        <is>
          <t>30533</t>
        </is>
      </c>
      <c r="C91" s="17" t="inlineStr">
        <is>
          <t>OS</t>
        </is>
      </c>
      <c r="D91" s="17" t="inlineStr">
        <is>
          <t>SR</t>
        </is>
      </c>
      <c r="E91" s="17" t="inlineStr">
        <is>
          <t>22:18:00</t>
        </is>
      </c>
      <c r="F91" s="17" t="inlineStr">
        <is>
          <t>22:18:00</t>
        </is>
      </c>
      <c r="G91" s="17" t="n">
        <v>0</v>
      </c>
      <c r="H91" s="17" t="n">
        <v>1</v>
      </c>
      <c r="I91" s="32" t="n">
        <v>474.83</v>
      </c>
      <c r="J91" s="17" t="inlineStr">
        <is>
          <t>KANIJ</t>
        </is>
      </c>
      <c r="K91" s="17" t="inlineStr">
        <is>
          <t>R</t>
        </is>
      </c>
      <c r="L91" s="17" t="inlineStr">
        <is>
          <t>Valid</t>
        </is>
      </c>
      <c r="M91" s="17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92">
      <c r="A92" s="33" t="inlineStr">
        <is>
          <t>1 Jul</t>
        </is>
      </c>
      <c r="B92" s="33" t="inlineStr">
        <is>
          <t>39283</t>
        </is>
      </c>
      <c r="C92" s="33" t="inlineStr">
        <is>
          <t>FS</t>
        </is>
      </c>
      <c r="D92" s="33" t="inlineStr">
        <is>
          <t>SR</t>
        </is>
      </c>
      <c r="E92" s="33" t="inlineStr">
        <is>
          <t>23:36:04</t>
        </is>
      </c>
      <c r="F92" s="33" t="inlineStr">
        <is>
          <t>23:59:58</t>
        </is>
      </c>
      <c r="G92" s="33" t="n">
        <v>1434</v>
      </c>
      <c r="H92" s="33" t="n">
        <v>499</v>
      </c>
      <c r="I92" s="34" t="n">
        <v>401.74</v>
      </c>
      <c r="J92" s="33" t="inlineStr">
        <is>
          <t>BAJWA</t>
        </is>
      </c>
      <c r="K92" s="33" t="inlineStr">
        <is>
          <t>R</t>
        </is>
      </c>
      <c r="L92" s="33" t="inlineStr">
        <is>
          <t>Non-Valid</t>
        </is>
      </c>
      <c r="M92" s="17" t="inlineStr">
        <is>
          <t>BAJWA, RANOLI, LC-246, VASAD, ADAS ROAD, VADOD, LC-258, ANAND Jn, LC-264</t>
        </is>
      </c>
    </row>
    <row r="93">
      <c r="A93" s="33" t="inlineStr">
        <is>
          <t>1 Jul</t>
        </is>
      </c>
      <c r="B93" s="33" t="inlineStr">
        <is>
          <t>30758</t>
        </is>
      </c>
      <c r="C93" s="33" t="inlineStr">
        <is>
          <t>FS</t>
        </is>
      </c>
      <c r="D93" s="33" t="inlineStr">
        <is>
          <t>SR</t>
        </is>
      </c>
      <c r="E93" s="33" t="inlineStr">
        <is>
          <t>23:38:34</t>
        </is>
      </c>
      <c r="F93" s="33" t="inlineStr">
        <is>
          <t>23:38:40</t>
        </is>
      </c>
      <c r="G93" s="33" t="n">
        <v>6</v>
      </c>
      <c r="H93" s="33" t="n">
        <v>8</v>
      </c>
      <c r="I93" s="34" t="n">
        <v>479.38</v>
      </c>
      <c r="J93" s="33" t="inlineStr">
        <is>
          <t>BAREJADI NANDEJ</t>
        </is>
      </c>
      <c r="K93" s="33" t="inlineStr">
        <is>
          <t>R</t>
        </is>
      </c>
      <c r="L93" s="33" t="inlineStr">
        <is>
          <t>Non-Valid</t>
        </is>
      </c>
      <c r="M93" s="17" t="inlineStr">
        <is>
          <t>NADIAD, LC-278, GOTHAJ, LC-286, MAHEMDABAD AND KHEDA ROAD, LC-294, KANIJ, BAREJADI NANDEJ, GERATPUR, VATVA, KANKARIYA CABIN, AHMEDABAD Jn</t>
        </is>
      </c>
    </row>
    <row r="94">
      <c r="A94" s="33" t="inlineStr">
        <is>
          <t>1 Jul</t>
        </is>
      </c>
      <c r="B94" s="33" t="inlineStr">
        <is>
          <t>30758</t>
        </is>
      </c>
      <c r="C94" s="33" t="inlineStr">
        <is>
          <t>OS</t>
        </is>
      </c>
      <c r="D94" s="33" t="inlineStr">
        <is>
          <t>SR</t>
        </is>
      </c>
      <c r="E94" s="33" t="inlineStr">
        <is>
          <t>23:39:20</t>
        </is>
      </c>
      <c r="F94" s="33" t="inlineStr">
        <is>
          <t>23:41:34</t>
        </is>
      </c>
      <c r="G94" s="33" t="n">
        <v>134</v>
      </c>
      <c r="H94" s="33" t="n">
        <v>79</v>
      </c>
      <c r="I94" s="34" t="n">
        <v>478.55</v>
      </c>
      <c r="J94" s="33" t="inlineStr">
        <is>
          <t>BAREJADI NANDEJ</t>
        </is>
      </c>
      <c r="K94" s="33" t="inlineStr">
        <is>
          <t>R</t>
        </is>
      </c>
      <c r="L94" s="33" t="inlineStr">
        <is>
          <t>Non-Valid</t>
        </is>
      </c>
      <c r="M94" s="17" t="inlineStr">
        <is>
          <t>NADIAD, LC-278, GOTHAJ, LC-286, MAHEMDABAD AND KHEDA ROAD, LC-294, KANIJ, BAREJADI NANDEJ, GERATPUR, VATVA, KANKARIYA CABIN, AHMEDABAD Jn</t>
        </is>
      </c>
    </row>
    <row r="95">
      <c r="A95" s="33" t="inlineStr">
        <is>
          <t>1 Jul</t>
        </is>
      </c>
      <c r="B95" s="33" t="inlineStr">
        <is>
          <t>30758</t>
        </is>
      </c>
      <c r="C95" s="33" t="inlineStr">
        <is>
          <t>OS</t>
        </is>
      </c>
      <c r="D95" s="33" t="inlineStr">
        <is>
          <t>SR</t>
        </is>
      </c>
      <c r="E95" s="33" t="inlineStr">
        <is>
          <t>23:41:36</t>
        </is>
      </c>
      <c r="F95" s="33" t="inlineStr">
        <is>
          <t>23:41:36</t>
        </is>
      </c>
      <c r="G95" s="33" t="n">
        <v>0</v>
      </c>
      <c r="H95" s="33" t="n">
        <v>1</v>
      </c>
      <c r="I95" s="34" t="n">
        <v>474.85</v>
      </c>
      <c r="J95" s="33" t="inlineStr">
        <is>
          <t>KANIJ</t>
        </is>
      </c>
      <c r="K95" s="33" t="inlineStr">
        <is>
          <t>R</t>
        </is>
      </c>
      <c r="L95" s="33" t="inlineStr">
        <is>
          <t>Non-Valid</t>
        </is>
      </c>
      <c r="M95" s="17" t="inlineStr">
        <is>
          <t>NADIAD, LC-278, GOTHAJ, LC-286, MAHEMDABAD AND KHEDA ROAD, LC-294, KANIJ, BAREJADI NANDEJ, GERATPUR, VATVA, KANKARIYA CABIN, AHMEDABAD Jn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14" t="inlineStr">
        <is>
          <t>Section window: abs 400398 - 494312  (24000_ADI - 24223 (WR03, BRC excluded)).  Only positions inside this window count; 8388607 'unknown' is excluded.  'In Report'=No means no in-section travel (dropped).</t>
        </is>
      </c>
    </row>
    <row r="3"/>
    <row r="4" ht="34" customHeight="1">
      <c r="A4" s="15" t="inlineStr">
        <is>
          <t>Date</t>
        </is>
      </c>
      <c r="B4" s="15" t="inlineStr">
        <is>
          <t>Loco ID</t>
        </is>
      </c>
      <c r="C4" s="15" t="inlineStr">
        <is>
          <t>Total pkts</t>
        </is>
      </c>
      <c r="D4" s="15" t="inlineStr">
        <is>
          <t>Valid-abs pkts</t>
        </is>
      </c>
      <c r="E4" s="15" t="inlineStr">
        <is>
          <t>In-section pkts</t>
        </is>
      </c>
      <c r="F4" s="15" t="inlineStr">
        <is>
          <t>Raw Min Abs</t>
        </is>
      </c>
      <c r="G4" s="15" t="inlineStr">
        <is>
          <t>Raw Max Abs</t>
        </is>
      </c>
      <c r="H4" s="15" t="inlineStr">
        <is>
          <t>In-sec Min Abs</t>
        </is>
      </c>
      <c r="I4" s="15" t="inlineStr">
        <is>
          <t>In-sec Max Abs</t>
        </is>
      </c>
      <c r="J4" s="15" t="inlineStr">
        <is>
          <t>KM = (Max-Min)/1000</t>
        </is>
      </c>
      <c r="K4" s="15" t="inlineStr">
        <is>
          <t>In Report?</t>
        </is>
      </c>
      <c r="L4" s="15" t="inlineStr">
        <is>
          <t>Stations Passed (of 23)</t>
        </is>
      </c>
      <c r="M4" s="15" t="inlineStr">
        <is>
          <t>Stations Not Passed (if &lt; full trip)</t>
        </is>
      </c>
    </row>
    <row r="5">
      <c r="A5" s="17" t="inlineStr">
        <is>
          <t>1 Jul</t>
        </is>
      </c>
      <c r="B5" s="17" t="inlineStr">
        <is>
          <t>30330</t>
        </is>
      </c>
      <c r="C5" s="17" t="n">
        <v>5297</v>
      </c>
      <c r="D5" s="17" t="n">
        <v>5275</v>
      </c>
      <c r="E5" s="17" t="n">
        <v>4251</v>
      </c>
      <c r="F5" s="35" t="n">
        <v>381470</v>
      </c>
      <c r="G5" s="35" t="n">
        <v>494974</v>
      </c>
      <c r="H5" s="35" t="n">
        <v>400399</v>
      </c>
      <c r="I5" s="35" t="n">
        <v>494312</v>
      </c>
      <c r="J5" s="20">
        <f>(I5-H5)/1000</f>
        <v/>
      </c>
      <c r="K5" s="17" t="inlineStr">
        <is>
          <t>Yes</t>
        </is>
      </c>
      <c r="L5" s="17" t="n">
        <v>23</v>
      </c>
      <c r="M5" s="36" t="inlineStr">
        <is>
          <t>- (full trip)</t>
        </is>
      </c>
    </row>
    <row r="6">
      <c r="A6" s="17" t="inlineStr">
        <is>
          <t>1 Jul</t>
        </is>
      </c>
      <c r="B6" s="17" t="inlineStr">
        <is>
          <t>30581</t>
        </is>
      </c>
      <c r="C6" s="17" t="n">
        <v>4702</v>
      </c>
      <c r="D6" s="17" t="n">
        <v>4702</v>
      </c>
      <c r="E6" s="17" t="n">
        <v>3522</v>
      </c>
      <c r="F6" s="35" t="n">
        <v>370221</v>
      </c>
      <c r="G6" s="35" t="n">
        <v>495046</v>
      </c>
      <c r="H6" s="35" t="n">
        <v>400403</v>
      </c>
      <c r="I6" s="35" t="n">
        <v>494310</v>
      </c>
      <c r="J6" s="20">
        <f>(I6-H6)/1000</f>
        <v/>
      </c>
      <c r="K6" s="17" t="inlineStr">
        <is>
          <t>Yes</t>
        </is>
      </c>
      <c r="L6" s="17" t="n">
        <v>23</v>
      </c>
      <c r="M6" s="36" t="inlineStr">
        <is>
          <t>- (full trip)</t>
        </is>
      </c>
    </row>
    <row r="7">
      <c r="A7" s="17" t="inlineStr">
        <is>
          <t>1 Jul</t>
        </is>
      </c>
      <c r="B7" s="17" t="inlineStr">
        <is>
          <t>30634</t>
        </is>
      </c>
      <c r="C7" s="17" t="n">
        <v>7957</v>
      </c>
      <c r="D7" s="17" t="n">
        <v>7957</v>
      </c>
      <c r="E7" s="17" t="n">
        <v>5881</v>
      </c>
      <c r="F7" s="35" t="n">
        <v>360728</v>
      </c>
      <c r="G7" s="35" t="n">
        <v>494963</v>
      </c>
      <c r="H7" s="35" t="n">
        <v>400398</v>
      </c>
      <c r="I7" s="35" t="n">
        <v>494310</v>
      </c>
      <c r="J7" s="20">
        <f>(I7-H7)/1000</f>
        <v/>
      </c>
      <c r="K7" s="17" t="inlineStr">
        <is>
          <t>Yes</t>
        </is>
      </c>
      <c r="L7" s="17" t="n">
        <v>23</v>
      </c>
      <c r="M7" s="36" t="inlineStr">
        <is>
          <t>- (full trip)</t>
        </is>
      </c>
    </row>
    <row r="8">
      <c r="A8" s="17" t="inlineStr">
        <is>
          <t>1 Jul</t>
        </is>
      </c>
      <c r="B8" s="17" t="inlineStr">
        <is>
          <t>37217</t>
        </is>
      </c>
      <c r="C8" s="17" t="n">
        <v>4581</v>
      </c>
      <c r="D8" s="17" t="n">
        <v>4581</v>
      </c>
      <c r="E8" s="17" t="n">
        <v>3647</v>
      </c>
      <c r="F8" s="35" t="n">
        <v>363373</v>
      </c>
      <c r="G8" s="35" t="n">
        <v>494981</v>
      </c>
      <c r="H8" s="35" t="n">
        <v>400399</v>
      </c>
      <c r="I8" s="35" t="n">
        <v>494310</v>
      </c>
      <c r="J8" s="20">
        <f>(I8-H8)/1000</f>
        <v/>
      </c>
      <c r="K8" s="17" t="inlineStr">
        <is>
          <t>Yes</t>
        </is>
      </c>
      <c r="L8" s="17" t="n">
        <v>23</v>
      </c>
      <c r="M8" s="36" t="inlineStr">
        <is>
          <t>- (full trip)</t>
        </is>
      </c>
    </row>
    <row r="9">
      <c r="A9" s="17" t="inlineStr">
        <is>
          <t>1 Jul</t>
        </is>
      </c>
      <c r="B9" s="17" t="inlineStr">
        <is>
          <t>37504</t>
        </is>
      </c>
      <c r="C9" s="17" t="n">
        <v>5905</v>
      </c>
      <c r="D9" s="17" t="n">
        <v>5905</v>
      </c>
      <c r="E9" s="17" t="n">
        <v>4768</v>
      </c>
      <c r="F9" s="35" t="n">
        <v>383698</v>
      </c>
      <c r="G9" s="35" t="n">
        <v>495776</v>
      </c>
      <c r="H9" s="35" t="n">
        <v>400402</v>
      </c>
      <c r="I9" s="35" t="n">
        <v>494312</v>
      </c>
      <c r="J9" s="20">
        <f>(I9-H9)/1000</f>
        <v/>
      </c>
      <c r="K9" s="17" t="inlineStr">
        <is>
          <t>Yes</t>
        </is>
      </c>
      <c r="L9" s="17" t="n">
        <v>23</v>
      </c>
      <c r="M9" s="36" t="inlineStr">
        <is>
          <t>- (full trip)</t>
        </is>
      </c>
    </row>
    <row r="10">
      <c r="A10" s="17" t="inlineStr">
        <is>
          <t>1 Jul</t>
        </is>
      </c>
      <c r="B10" s="17" t="inlineStr">
        <is>
          <t>39015</t>
        </is>
      </c>
      <c r="C10" s="17" t="n">
        <v>9321</v>
      </c>
      <c r="D10" s="17" t="n">
        <v>9321</v>
      </c>
      <c r="E10" s="17" t="n">
        <v>7471</v>
      </c>
      <c r="F10" s="35" t="n">
        <v>368227</v>
      </c>
      <c r="G10" s="35" t="n">
        <v>495781</v>
      </c>
      <c r="H10" s="35" t="n">
        <v>400408</v>
      </c>
      <c r="I10" s="35" t="n">
        <v>494311</v>
      </c>
      <c r="J10" s="20">
        <f>(I10-H10)/1000</f>
        <v/>
      </c>
      <c r="K10" s="17" t="inlineStr">
        <is>
          <t>Yes</t>
        </is>
      </c>
      <c r="L10" s="17" t="n">
        <v>23</v>
      </c>
      <c r="M10" s="36" t="inlineStr">
        <is>
          <t>- (full trip)</t>
        </is>
      </c>
    </row>
    <row r="11">
      <c r="A11" s="17" t="inlineStr">
        <is>
          <t>1 Jul</t>
        </is>
      </c>
      <c r="B11" s="17" t="inlineStr">
        <is>
          <t>39248</t>
        </is>
      </c>
      <c r="C11" s="17" t="n">
        <v>5367</v>
      </c>
      <c r="D11" s="17" t="n">
        <v>5367</v>
      </c>
      <c r="E11" s="17" t="n">
        <v>4064</v>
      </c>
      <c r="F11" s="35" t="n">
        <v>363344</v>
      </c>
      <c r="G11" s="35" t="n">
        <v>494963</v>
      </c>
      <c r="H11" s="35" t="n">
        <v>400413</v>
      </c>
      <c r="I11" s="35" t="n">
        <v>494310</v>
      </c>
      <c r="J11" s="20">
        <f>(I11-H11)/1000</f>
        <v/>
      </c>
      <c r="K11" s="17" t="inlineStr">
        <is>
          <t>Yes</t>
        </is>
      </c>
      <c r="L11" s="17" t="n">
        <v>23</v>
      </c>
      <c r="M11" s="36" t="inlineStr">
        <is>
          <t>- (full trip)</t>
        </is>
      </c>
    </row>
    <row r="12">
      <c r="A12" s="17" t="inlineStr">
        <is>
          <t>1 Jul</t>
        </is>
      </c>
      <c r="B12" s="17" t="inlineStr">
        <is>
          <t>30300</t>
        </is>
      </c>
      <c r="C12" s="17" t="n">
        <v>6037</v>
      </c>
      <c r="D12" s="17" t="n">
        <v>6034</v>
      </c>
      <c r="E12" s="17" t="n">
        <v>5052</v>
      </c>
      <c r="F12" s="35" t="n">
        <v>370232</v>
      </c>
      <c r="G12" s="35" t="n">
        <v>495812</v>
      </c>
      <c r="H12" s="35" t="n">
        <v>400416</v>
      </c>
      <c r="I12" s="35" t="n">
        <v>494311</v>
      </c>
      <c r="J12" s="20">
        <f>(I12-H12)/1000</f>
        <v/>
      </c>
      <c r="K12" s="17" t="inlineStr">
        <is>
          <t>Yes</t>
        </is>
      </c>
      <c r="L12" s="17" t="n">
        <v>23</v>
      </c>
      <c r="M12" s="36" t="inlineStr">
        <is>
          <t>- (full trip)</t>
        </is>
      </c>
    </row>
    <row r="13">
      <c r="A13" s="17" t="inlineStr">
        <is>
          <t>1 Jul</t>
        </is>
      </c>
      <c r="B13" s="17" t="inlineStr">
        <is>
          <t>37489</t>
        </is>
      </c>
      <c r="C13" s="17" t="n">
        <v>4492</v>
      </c>
      <c r="D13" s="17" t="n">
        <v>4492</v>
      </c>
      <c r="E13" s="17" t="n">
        <v>3913</v>
      </c>
      <c r="F13" s="35" t="n">
        <v>394396</v>
      </c>
      <c r="G13" s="35" t="n">
        <v>495776</v>
      </c>
      <c r="H13" s="35" t="n">
        <v>400414</v>
      </c>
      <c r="I13" s="35" t="n">
        <v>494308</v>
      </c>
      <c r="J13" s="20">
        <f>(I13-H13)/1000</f>
        <v/>
      </c>
      <c r="K13" s="17" t="inlineStr">
        <is>
          <t>Yes</t>
        </is>
      </c>
      <c r="L13" s="17" t="n">
        <v>23</v>
      </c>
      <c r="M13" s="36" t="inlineStr">
        <is>
          <t>- (full trip)</t>
        </is>
      </c>
    </row>
    <row r="14">
      <c r="A14" s="17" t="inlineStr">
        <is>
          <t>1 Jul</t>
        </is>
      </c>
      <c r="B14" s="17" t="inlineStr">
        <is>
          <t>39522</t>
        </is>
      </c>
      <c r="C14" s="17" t="n">
        <v>4264</v>
      </c>
      <c r="D14" s="17" t="n">
        <v>4264</v>
      </c>
      <c r="E14" s="17" t="n">
        <v>3846</v>
      </c>
      <c r="F14" s="35" t="n">
        <v>393827</v>
      </c>
      <c r="G14" s="35" t="n">
        <v>495810</v>
      </c>
      <c r="H14" s="35" t="n">
        <v>400425</v>
      </c>
      <c r="I14" s="35" t="n">
        <v>494310</v>
      </c>
      <c r="J14" s="20">
        <f>(I14-H14)/1000</f>
        <v/>
      </c>
      <c r="K14" s="17" t="inlineStr">
        <is>
          <t>Yes</t>
        </is>
      </c>
      <c r="L14" s="17" t="n">
        <v>23</v>
      </c>
      <c r="M14" s="36" t="inlineStr">
        <is>
          <t>- (full trip)</t>
        </is>
      </c>
    </row>
    <row r="15">
      <c r="A15" s="17" t="inlineStr">
        <is>
          <t>1 Jul</t>
        </is>
      </c>
      <c r="B15" s="17" t="inlineStr">
        <is>
          <t>37507</t>
        </is>
      </c>
      <c r="C15" s="17" t="n">
        <v>2325</v>
      </c>
      <c r="D15" s="17" t="n">
        <v>2325</v>
      </c>
      <c r="E15" s="17" t="n">
        <v>1858</v>
      </c>
      <c r="F15" s="35" t="n">
        <v>368441</v>
      </c>
      <c r="G15" s="35" t="n">
        <v>495793</v>
      </c>
      <c r="H15" s="35" t="n">
        <v>400429</v>
      </c>
      <c r="I15" s="35" t="n">
        <v>494309</v>
      </c>
      <c r="J15" s="20">
        <f>(I15-H15)/1000</f>
        <v/>
      </c>
      <c r="K15" s="17" t="inlineStr">
        <is>
          <t>Yes</t>
        </is>
      </c>
      <c r="L15" s="17" t="n">
        <v>23</v>
      </c>
      <c r="M15" s="36" t="inlineStr">
        <is>
          <t>- (full trip)</t>
        </is>
      </c>
    </row>
    <row r="16">
      <c r="A16" s="17" t="inlineStr">
        <is>
          <t>1 Jul</t>
        </is>
      </c>
      <c r="B16" s="17" t="inlineStr">
        <is>
          <t>39030</t>
        </is>
      </c>
      <c r="C16" s="17" t="n">
        <v>5860</v>
      </c>
      <c r="D16" s="17" t="n">
        <v>5860</v>
      </c>
      <c r="E16" s="17" t="n">
        <v>4864</v>
      </c>
      <c r="F16" s="35" t="n">
        <v>361859</v>
      </c>
      <c r="G16" s="35" t="n">
        <v>495595</v>
      </c>
      <c r="H16" s="35" t="n">
        <v>400432</v>
      </c>
      <c r="I16" s="35" t="n">
        <v>494309</v>
      </c>
      <c r="J16" s="20">
        <f>(I16-H16)/1000</f>
        <v/>
      </c>
      <c r="K16" s="17" t="inlineStr">
        <is>
          <t>Yes</t>
        </is>
      </c>
      <c r="L16" s="17" t="n">
        <v>23</v>
      </c>
      <c r="M16" s="36" t="inlineStr">
        <is>
          <t>- (full trip)</t>
        </is>
      </c>
    </row>
    <row r="17">
      <c r="A17" s="17" t="inlineStr">
        <is>
          <t>1 Jul</t>
        </is>
      </c>
      <c r="B17" s="17" t="inlineStr">
        <is>
          <t>37490</t>
        </is>
      </c>
      <c r="C17" s="17" t="n">
        <v>4712</v>
      </c>
      <c r="D17" s="17" t="n">
        <v>4712</v>
      </c>
      <c r="E17" s="17" t="n">
        <v>4112</v>
      </c>
      <c r="F17" s="35" t="n">
        <v>369929</v>
      </c>
      <c r="G17" s="35" t="n">
        <v>495806</v>
      </c>
      <c r="H17" s="35" t="n">
        <v>400443</v>
      </c>
      <c r="I17" s="35" t="n">
        <v>494311</v>
      </c>
      <c r="J17" s="20">
        <f>(I17-H17)/1000</f>
        <v/>
      </c>
      <c r="K17" s="17" t="inlineStr">
        <is>
          <t>Yes</t>
        </is>
      </c>
      <c r="L17" s="17" t="n">
        <v>23</v>
      </c>
      <c r="M17" s="36" t="inlineStr">
        <is>
          <t>- (full trip)</t>
        </is>
      </c>
    </row>
    <row r="18">
      <c r="A18" s="17" t="inlineStr">
        <is>
          <t>1 Jul</t>
        </is>
      </c>
      <c r="B18" s="17" t="inlineStr">
        <is>
          <t>37492</t>
        </is>
      </c>
      <c r="C18" s="17" t="n">
        <v>4713</v>
      </c>
      <c r="D18" s="17" t="n">
        <v>4713</v>
      </c>
      <c r="E18" s="17" t="n">
        <v>4104</v>
      </c>
      <c r="F18" s="35" t="n">
        <v>385541</v>
      </c>
      <c r="G18" s="35" t="n">
        <v>495808</v>
      </c>
      <c r="H18" s="35" t="n">
        <v>400496</v>
      </c>
      <c r="I18" s="35" t="n">
        <v>494310</v>
      </c>
      <c r="J18" s="20">
        <f>(I18-H18)/1000</f>
        <v/>
      </c>
      <c r="K18" s="17" t="inlineStr">
        <is>
          <t>Yes</t>
        </is>
      </c>
      <c r="L18" s="17" t="n">
        <v>23</v>
      </c>
      <c r="M18" s="36" t="inlineStr">
        <is>
          <t>- (full trip)</t>
        </is>
      </c>
    </row>
    <row r="19">
      <c r="A19" s="17" t="inlineStr">
        <is>
          <t>1 Jul</t>
        </is>
      </c>
      <c r="B19" s="17" t="inlineStr">
        <is>
          <t>37625</t>
        </is>
      </c>
      <c r="C19" s="17" t="n">
        <v>91</v>
      </c>
      <c r="D19" s="17" t="n">
        <v>91</v>
      </c>
      <c r="E19" s="17" t="n">
        <v>49</v>
      </c>
      <c r="F19" s="35" t="n">
        <v>391286</v>
      </c>
      <c r="G19" s="35" t="n">
        <v>494693</v>
      </c>
      <c r="H19" s="35" t="n">
        <v>400415</v>
      </c>
      <c r="I19" s="35" t="n">
        <v>494050</v>
      </c>
      <c r="J19" s="20">
        <f>(I19-H19)/1000</f>
        <v/>
      </c>
      <c r="K19" s="17" t="inlineStr">
        <is>
          <t>Yes</t>
        </is>
      </c>
      <c r="L19" s="17" t="n">
        <v>23</v>
      </c>
      <c r="M19" s="36" t="inlineStr">
        <is>
          <t>- (full trip)</t>
        </is>
      </c>
    </row>
    <row r="20">
      <c r="A20" s="17" t="inlineStr">
        <is>
          <t>1 Jul</t>
        </is>
      </c>
      <c r="B20" s="17" t="inlineStr">
        <is>
          <t>30533</t>
        </is>
      </c>
      <c r="C20" s="17" t="n">
        <v>5425</v>
      </c>
      <c r="D20" s="17" t="n">
        <v>5414</v>
      </c>
      <c r="E20" s="17" t="n">
        <v>5181</v>
      </c>
      <c r="F20" s="35" t="n">
        <v>400991</v>
      </c>
      <c r="G20" s="35" t="n">
        <v>494983</v>
      </c>
      <c r="H20" s="35" t="n">
        <v>400991</v>
      </c>
      <c r="I20" s="35" t="n">
        <v>494312</v>
      </c>
      <c r="J20" s="20">
        <f>(I20-H20)/1000</f>
        <v/>
      </c>
      <c r="K20" s="17" t="inlineStr">
        <is>
          <t>Yes</t>
        </is>
      </c>
      <c r="L20" s="17" t="n">
        <v>23</v>
      </c>
      <c r="M20" s="36" t="inlineStr">
        <is>
          <t>- (full trip)</t>
        </is>
      </c>
    </row>
    <row r="21">
      <c r="A21" s="17" t="inlineStr">
        <is>
          <t>1 Jul</t>
        </is>
      </c>
      <c r="B21" s="17" t="inlineStr">
        <is>
          <t>37275</t>
        </is>
      </c>
      <c r="C21" s="17" t="n">
        <v>6150</v>
      </c>
      <c r="D21" s="17" t="n">
        <v>6114</v>
      </c>
      <c r="E21" s="17" t="n">
        <v>5838</v>
      </c>
      <c r="F21" s="35" t="n">
        <v>400991</v>
      </c>
      <c r="G21" s="35" t="n">
        <v>494989</v>
      </c>
      <c r="H21" s="35" t="n">
        <v>400991</v>
      </c>
      <c r="I21" s="35" t="n">
        <v>494309</v>
      </c>
      <c r="J21" s="20">
        <f>(I21-H21)/1000</f>
        <v/>
      </c>
      <c r="K21" s="17" t="inlineStr">
        <is>
          <t>Yes</t>
        </is>
      </c>
      <c r="L21" s="17" t="n">
        <v>23</v>
      </c>
      <c r="M21" s="36" t="inlineStr">
        <is>
          <t>- (full trip)</t>
        </is>
      </c>
    </row>
    <row r="22">
      <c r="A22" s="17" t="inlineStr">
        <is>
          <t>1 Jul</t>
        </is>
      </c>
      <c r="B22" s="17" t="inlineStr">
        <is>
          <t>37465</t>
        </is>
      </c>
      <c r="C22" s="17" t="n">
        <v>10686</v>
      </c>
      <c r="D22" s="17" t="n">
        <v>10655</v>
      </c>
      <c r="E22" s="17" t="n">
        <v>10185</v>
      </c>
      <c r="F22" s="35" t="n">
        <v>400993</v>
      </c>
      <c r="G22" s="35" t="n">
        <v>495633</v>
      </c>
      <c r="H22" s="35" t="n">
        <v>400993</v>
      </c>
      <c r="I22" s="35" t="n">
        <v>494312</v>
      </c>
      <c r="J22" s="20">
        <f>(I22-H22)/1000</f>
        <v/>
      </c>
      <c r="K22" s="17" t="inlineStr">
        <is>
          <t>Yes</t>
        </is>
      </c>
      <c r="L22" s="17" t="n">
        <v>23</v>
      </c>
      <c r="M22" s="36" t="inlineStr">
        <is>
          <t>- (full trip)</t>
        </is>
      </c>
    </row>
    <row r="23">
      <c r="A23" s="17" t="inlineStr">
        <is>
          <t>1 Jul</t>
        </is>
      </c>
      <c r="B23" s="17" t="inlineStr">
        <is>
          <t>30507</t>
        </is>
      </c>
      <c r="C23" s="17" t="n">
        <v>5792</v>
      </c>
      <c r="D23" s="17" t="n">
        <v>5792</v>
      </c>
      <c r="E23" s="17" t="n">
        <v>5489</v>
      </c>
      <c r="F23" s="35" t="n">
        <v>400995</v>
      </c>
      <c r="G23" s="35" t="n">
        <v>495792</v>
      </c>
      <c r="H23" s="35" t="n">
        <v>400995</v>
      </c>
      <c r="I23" s="35" t="n">
        <v>494307</v>
      </c>
      <c r="J23" s="20">
        <f>(I23-H23)/1000</f>
        <v/>
      </c>
      <c r="K23" s="17" t="inlineStr">
        <is>
          <t>Yes</t>
        </is>
      </c>
      <c r="L23" s="17" t="n">
        <v>23</v>
      </c>
      <c r="M23" s="36" t="inlineStr">
        <is>
          <t>- (full trip)</t>
        </is>
      </c>
    </row>
    <row r="24">
      <c r="A24" s="17" t="inlineStr">
        <is>
          <t>1 Jul</t>
        </is>
      </c>
      <c r="B24" s="17" t="inlineStr">
        <is>
          <t>37655</t>
        </is>
      </c>
      <c r="C24" s="17" t="n">
        <v>6863</v>
      </c>
      <c r="D24" s="17" t="n">
        <v>6863</v>
      </c>
      <c r="E24" s="17" t="n">
        <v>6605</v>
      </c>
      <c r="F24" s="35" t="n">
        <v>402570</v>
      </c>
      <c r="G24" s="35" t="n">
        <v>494966</v>
      </c>
      <c r="H24" s="35" t="n">
        <v>402570</v>
      </c>
      <c r="I24" s="35" t="n">
        <v>494310</v>
      </c>
      <c r="J24" s="20">
        <f>(I24-H24)/1000</f>
        <v/>
      </c>
      <c r="K24" s="17" t="inlineStr">
        <is>
          <t>Yes</t>
        </is>
      </c>
      <c r="L24" s="17" t="n">
        <v>23</v>
      </c>
      <c r="M24" s="36" t="inlineStr">
        <is>
          <t>- (full trip)</t>
        </is>
      </c>
    </row>
    <row r="25">
      <c r="A25" s="17" t="inlineStr">
        <is>
          <t>1 Jul</t>
        </is>
      </c>
      <c r="B25" s="17" t="inlineStr">
        <is>
          <t>39259</t>
        </is>
      </c>
      <c r="C25" s="17" t="n">
        <v>4004</v>
      </c>
      <c r="D25" s="17" t="n">
        <v>4004</v>
      </c>
      <c r="E25" s="17" t="n">
        <v>3786</v>
      </c>
      <c r="F25" s="35" t="n">
        <v>402621</v>
      </c>
      <c r="G25" s="35" t="n">
        <v>494947</v>
      </c>
      <c r="H25" s="35" t="n">
        <v>402621</v>
      </c>
      <c r="I25" s="35" t="n">
        <v>494312</v>
      </c>
      <c r="J25" s="20">
        <f>(I25-H25)/1000</f>
        <v/>
      </c>
      <c r="K25" s="17" t="inlineStr">
        <is>
          <t>Yes</t>
        </is>
      </c>
      <c r="L25" s="17" t="n">
        <v>23</v>
      </c>
      <c r="M25" s="36" t="inlineStr">
        <is>
          <t>- (full trip)</t>
        </is>
      </c>
    </row>
    <row r="26">
      <c r="A26" s="17" t="inlineStr">
        <is>
          <t>1 Jul</t>
        </is>
      </c>
      <c r="B26" s="17" t="inlineStr">
        <is>
          <t>37112</t>
        </is>
      </c>
      <c r="C26" s="17" t="n">
        <v>5464</v>
      </c>
      <c r="D26" s="17" t="n">
        <v>5464</v>
      </c>
      <c r="E26" s="17" t="n">
        <v>5238</v>
      </c>
      <c r="F26" s="35" t="n">
        <v>402864</v>
      </c>
      <c r="G26" s="35" t="n">
        <v>494981</v>
      </c>
      <c r="H26" s="35" t="n">
        <v>402864</v>
      </c>
      <c r="I26" s="35" t="n">
        <v>494312</v>
      </c>
      <c r="J26" s="20">
        <f>(I26-H26)/1000</f>
        <v/>
      </c>
      <c r="K26" s="17" t="inlineStr">
        <is>
          <t>Yes</t>
        </is>
      </c>
      <c r="L26" s="17" t="n">
        <v>23</v>
      </c>
      <c r="M26" s="36" t="inlineStr">
        <is>
          <t>- (full trip)</t>
        </is>
      </c>
    </row>
    <row r="27">
      <c r="A27" s="17" t="inlineStr">
        <is>
          <t>1 Jul</t>
        </is>
      </c>
      <c r="B27" s="17" t="inlineStr">
        <is>
          <t>39465</t>
        </is>
      </c>
      <c r="C27" s="17" t="n">
        <v>3870</v>
      </c>
      <c r="D27" s="17" t="n">
        <v>3870</v>
      </c>
      <c r="E27" s="17" t="n">
        <v>3632</v>
      </c>
      <c r="F27" s="35" t="n">
        <v>403424</v>
      </c>
      <c r="G27" s="35" t="n">
        <v>495784</v>
      </c>
      <c r="H27" s="35" t="n">
        <v>403424</v>
      </c>
      <c r="I27" s="35" t="n">
        <v>494306</v>
      </c>
      <c r="J27" s="20">
        <f>(I27-H27)/1000</f>
        <v/>
      </c>
      <c r="K27" s="17" t="inlineStr">
        <is>
          <t>Yes</t>
        </is>
      </c>
      <c r="L27" s="17" t="n">
        <v>23</v>
      </c>
      <c r="M27" s="36" t="inlineStr">
        <is>
          <t>- (full trip)</t>
        </is>
      </c>
    </row>
    <row r="28">
      <c r="A28" s="17" t="inlineStr">
        <is>
          <t>1 Jul</t>
        </is>
      </c>
      <c r="B28" s="17" t="inlineStr">
        <is>
          <t>37660</t>
        </is>
      </c>
      <c r="C28" s="17" t="n">
        <v>148</v>
      </c>
      <c r="D28" s="17" t="n">
        <v>148</v>
      </c>
      <c r="E28" s="17" t="n">
        <v>148</v>
      </c>
      <c r="F28" s="35" t="n">
        <v>401035</v>
      </c>
      <c r="G28" s="35" t="n">
        <v>477187</v>
      </c>
      <c r="H28" s="35" t="n">
        <v>401035</v>
      </c>
      <c r="I28" s="35" t="n">
        <v>477187</v>
      </c>
      <c r="J28" s="20">
        <f>(I28-H28)/1000</f>
        <v/>
      </c>
      <c r="K28" s="17" t="inlineStr">
        <is>
          <t>Yes</t>
        </is>
      </c>
      <c r="L28" s="17" t="n">
        <v>19</v>
      </c>
      <c r="M28" s="36" t="inlineStr">
        <is>
          <t>GERATPUR, VATVA, KANKARIYA CABIN, AHMEDABAD Jn</t>
        </is>
      </c>
    </row>
    <row r="29" ht="49" customHeight="1">
      <c r="A29" s="17" t="inlineStr">
        <is>
          <t>1 Jul</t>
        </is>
      </c>
      <c r="B29" s="17" t="inlineStr">
        <is>
          <t>39371</t>
        </is>
      </c>
      <c r="C29" s="17" t="n">
        <v>2161</v>
      </c>
      <c r="D29" s="17" t="n">
        <v>2161</v>
      </c>
      <c r="E29" s="17" t="n">
        <v>955</v>
      </c>
      <c r="F29" s="35" t="n">
        <v>367942</v>
      </c>
      <c r="G29" s="35" t="n">
        <v>453757</v>
      </c>
      <c r="H29" s="35" t="n">
        <v>400407</v>
      </c>
      <c r="I29" s="35" t="n">
        <v>453757</v>
      </c>
      <c r="J29" s="20">
        <f>(I29-H29)/1000</f>
        <v/>
      </c>
      <c r="K29" s="17" t="inlineStr">
        <is>
          <t>Yes</t>
        </is>
      </c>
      <c r="L29" s="17" t="n">
        <v>13</v>
      </c>
      <c r="M29" s="36" t="inlineStr">
        <is>
          <t>GOTHAJ, LC-286, MAHEMDABAD AND KHEDA ROAD, LC-294, KANIJ, BAREJADI NANDEJ, GERATPUR, VATVA, KANKARIYA CABIN, AHMEDABAD Jn</t>
        </is>
      </c>
    </row>
    <row r="30" ht="34" customHeight="1">
      <c r="A30" s="17" t="inlineStr">
        <is>
          <t>1 Jul</t>
        </is>
      </c>
      <c r="B30" s="17" t="inlineStr">
        <is>
          <t>30758</t>
        </is>
      </c>
      <c r="C30" s="17" t="n">
        <v>2284</v>
      </c>
      <c r="D30" s="17" t="n">
        <v>2284</v>
      </c>
      <c r="E30" s="17" t="n">
        <v>2035</v>
      </c>
      <c r="F30" s="35" t="n">
        <v>451892</v>
      </c>
      <c r="G30" s="35" t="n">
        <v>495011</v>
      </c>
      <c r="H30" s="35" t="n">
        <v>451892</v>
      </c>
      <c r="I30" s="35" t="n">
        <v>494312</v>
      </c>
      <c r="J30" s="20">
        <f>(I30-H30)/1000</f>
        <v/>
      </c>
      <c r="K30" s="17" t="inlineStr">
        <is>
          <t>Yes</t>
        </is>
      </c>
      <c r="L30" s="17" t="n">
        <v>12</v>
      </c>
      <c r="M30" s="36" t="inlineStr">
        <is>
          <t>BAJWA, RANOLI, LC-246, VASAD, ADAS ROAD, VADOD, LC-258, ANAND Jn, LC-264, KANJARI BORIYAVI, UTARSANDA</t>
        </is>
      </c>
    </row>
    <row r="31" ht="49" customHeight="1">
      <c r="A31" s="17" t="inlineStr">
        <is>
          <t>1 Jul</t>
        </is>
      </c>
      <c r="B31" s="17" t="inlineStr">
        <is>
          <t>30770</t>
        </is>
      </c>
      <c r="C31" s="17" t="n">
        <v>3681</v>
      </c>
      <c r="D31" s="17" t="n">
        <v>3681</v>
      </c>
      <c r="E31" s="17" t="n">
        <v>2228</v>
      </c>
      <c r="F31" s="35" t="n">
        <v>361229</v>
      </c>
      <c r="G31" s="35" t="n">
        <v>442670</v>
      </c>
      <c r="H31" s="35" t="n">
        <v>400398</v>
      </c>
      <c r="I31" s="35" t="n">
        <v>442670</v>
      </c>
      <c r="J31" s="20">
        <f>(I31-H31)/1000</f>
        <v/>
      </c>
      <c r="K31" s="17" t="inlineStr">
        <is>
          <t>Yes</t>
        </is>
      </c>
      <c r="L31" s="17" t="n">
        <v>11</v>
      </c>
      <c r="M31" s="36" t="inlineStr">
        <is>
          <t>NADIAD, LC-278, GOTHAJ, LC-286, MAHEMDABAD AND KHEDA ROAD, LC-294, KANIJ, BAREJADI NANDEJ, GERATPUR, VATVA, KANKARIYA CABIN, AHMEDABAD Jn</t>
        </is>
      </c>
    </row>
    <row r="32" ht="49" customHeight="1">
      <c r="A32" s="17" t="inlineStr">
        <is>
          <t>1 Jul</t>
        </is>
      </c>
      <c r="B32" s="17" t="inlineStr">
        <is>
          <t>37633</t>
        </is>
      </c>
      <c r="C32" s="17" t="n">
        <v>2366</v>
      </c>
      <c r="D32" s="17" t="n">
        <v>2366</v>
      </c>
      <c r="E32" s="17" t="n">
        <v>1629</v>
      </c>
      <c r="F32" s="35" t="n">
        <v>370362</v>
      </c>
      <c r="G32" s="35" t="n">
        <v>440771</v>
      </c>
      <c r="H32" s="35" t="n">
        <v>400403</v>
      </c>
      <c r="I32" s="35" t="n">
        <v>440771</v>
      </c>
      <c r="J32" s="20">
        <f>(I32-H32)/1000</f>
        <v/>
      </c>
      <c r="K32" s="17" t="inlineStr">
        <is>
          <t>Yes</t>
        </is>
      </c>
      <c r="L32" s="17" t="n">
        <v>10</v>
      </c>
      <c r="M32" s="36" t="inlineStr">
        <is>
          <t>UTARSANDA, NADIAD, LC-278, GOTHAJ, LC-286, MAHEMDABAD AND KHEDA ROAD, LC-294, KANIJ, BAREJADI NANDEJ, GERATPUR, VATVA, KANKARIYA CABIN, AHMEDABAD Jn</t>
        </is>
      </c>
    </row>
    <row r="33" ht="49" customHeight="1">
      <c r="A33" s="17" t="inlineStr">
        <is>
          <t>1 Jul</t>
        </is>
      </c>
      <c r="B33" s="17" t="inlineStr">
        <is>
          <t>39027</t>
        </is>
      </c>
      <c r="C33" s="17" t="n">
        <v>2497</v>
      </c>
      <c r="D33" s="17" t="n">
        <v>2497</v>
      </c>
      <c r="E33" s="17" t="n">
        <v>1623</v>
      </c>
      <c r="F33" s="35" t="n">
        <v>375124</v>
      </c>
      <c r="G33" s="35" t="n">
        <v>440816</v>
      </c>
      <c r="H33" s="35" t="n">
        <v>400450</v>
      </c>
      <c r="I33" s="35" t="n">
        <v>440816</v>
      </c>
      <c r="J33" s="20">
        <f>(I33-H33)/1000</f>
        <v/>
      </c>
      <c r="K33" s="17" t="inlineStr">
        <is>
          <t>Yes</t>
        </is>
      </c>
      <c r="L33" s="17" t="n">
        <v>10</v>
      </c>
      <c r="M33" s="36" t="inlineStr">
        <is>
          <t>UTARSANDA, NADIAD, LC-278, GOTHAJ, LC-286, MAHEMDABAD AND KHEDA ROAD, LC-294, KANIJ, BAREJADI NANDEJ, GERATPUR, VATVA, KANKARIYA CABIN, AHMEDABAD Jn</t>
        </is>
      </c>
    </row>
    <row r="34" ht="49" customHeight="1">
      <c r="A34" s="17" t="inlineStr">
        <is>
          <t>1 Jul</t>
        </is>
      </c>
      <c r="B34" s="17" t="inlineStr">
        <is>
          <t>30474</t>
        </is>
      </c>
      <c r="C34" s="17" t="n">
        <v>1177</v>
      </c>
      <c r="D34" s="17" t="n">
        <v>969</v>
      </c>
      <c r="E34" s="17" t="n">
        <v>577</v>
      </c>
      <c r="F34" s="35" t="n">
        <v>375576</v>
      </c>
      <c r="G34" s="35" t="n">
        <v>437302</v>
      </c>
      <c r="H34" s="35" t="n">
        <v>400403</v>
      </c>
      <c r="I34" s="35" t="n">
        <v>437302</v>
      </c>
      <c r="J34" s="20">
        <f>(I34-H34)/1000</f>
        <v/>
      </c>
      <c r="K34" s="17" t="inlineStr">
        <is>
          <t>Yes</t>
        </is>
      </c>
      <c r="L34" s="17" t="n">
        <v>10</v>
      </c>
      <c r="M34" s="36" t="inlineStr">
        <is>
          <t>UTARSANDA, NADIAD, LC-278, GOTHAJ, LC-286, MAHEMDABAD AND KHEDA ROAD, LC-294, KANIJ, BAREJADI NANDEJ, GERATPUR, VATVA, KANKARIYA CABIN, AHMEDABAD Jn</t>
        </is>
      </c>
    </row>
    <row r="35" ht="49" customHeight="1">
      <c r="A35" s="17" t="inlineStr">
        <is>
          <t>1 Jul</t>
        </is>
      </c>
      <c r="B35" s="17" t="inlineStr">
        <is>
          <t>37020</t>
        </is>
      </c>
      <c r="C35" s="17" t="n">
        <v>1682</v>
      </c>
      <c r="D35" s="17" t="n">
        <v>1682</v>
      </c>
      <c r="E35" s="17" t="n">
        <v>730</v>
      </c>
      <c r="F35" s="35" t="n">
        <v>369692</v>
      </c>
      <c r="G35" s="35" t="n">
        <v>437309</v>
      </c>
      <c r="H35" s="35" t="n">
        <v>400406</v>
      </c>
      <c r="I35" s="35" t="n">
        <v>437309</v>
      </c>
      <c r="J35" s="20">
        <f>(I35-H35)/1000</f>
        <v/>
      </c>
      <c r="K35" s="17" t="inlineStr">
        <is>
          <t>Yes</t>
        </is>
      </c>
      <c r="L35" s="17" t="n">
        <v>10</v>
      </c>
      <c r="M35" s="36" t="inlineStr">
        <is>
          <t>UTARSANDA, NADIAD, LC-278, GOTHAJ, LC-286, MAHEMDABAD AND KHEDA ROAD, LC-294, KANIJ, BAREJADI NANDEJ, GERATPUR, VATVA, KANKARIYA CABIN, AHMEDABAD Jn</t>
        </is>
      </c>
    </row>
    <row r="36" ht="49" customHeight="1">
      <c r="A36" s="17" t="inlineStr">
        <is>
          <t>1 Jul</t>
        </is>
      </c>
      <c r="B36" s="17" t="inlineStr">
        <is>
          <t>37569</t>
        </is>
      </c>
      <c r="C36" s="17" t="n">
        <v>2990</v>
      </c>
      <c r="D36" s="17" t="n">
        <v>2989</v>
      </c>
      <c r="E36" s="17" t="n">
        <v>2070</v>
      </c>
      <c r="F36" s="35" t="n">
        <v>360452</v>
      </c>
      <c r="G36" s="35" t="n">
        <v>436778</v>
      </c>
      <c r="H36" s="35" t="n">
        <v>400460</v>
      </c>
      <c r="I36" s="35" t="n">
        <v>436778</v>
      </c>
      <c r="J36" s="20">
        <f>(I36-H36)/1000</f>
        <v/>
      </c>
      <c r="K36" s="17" t="inlineStr">
        <is>
          <t>Yes</t>
        </is>
      </c>
      <c r="L36" s="17" t="n">
        <v>9</v>
      </c>
      <c r="M36" s="36" t="inlineStr">
        <is>
          <t>KANJARI BORIYAVI, UTARSANDA, NADIAD, LC-278, GOTHAJ, LC-286, MAHEMDABAD AND KHEDA ROAD, LC-294, KANIJ, BAREJADI NANDEJ, GERATPUR, VATVA, KANKARIYA CABIN, AHMEDABAD Jn</t>
        </is>
      </c>
    </row>
    <row r="37" ht="49" customHeight="1">
      <c r="A37" s="17" t="inlineStr">
        <is>
          <t>1 Jul</t>
        </is>
      </c>
      <c r="B37" s="17" t="inlineStr">
        <is>
          <t>45035</t>
        </is>
      </c>
      <c r="C37" s="17" t="n">
        <v>2000</v>
      </c>
      <c r="D37" s="17" t="n">
        <v>2000</v>
      </c>
      <c r="E37" s="17" t="n">
        <v>1297</v>
      </c>
      <c r="F37" s="35" t="n">
        <v>380477</v>
      </c>
      <c r="G37" s="35" t="n">
        <v>435152</v>
      </c>
      <c r="H37" s="35" t="n">
        <v>400405</v>
      </c>
      <c r="I37" s="35" t="n">
        <v>435152</v>
      </c>
      <c r="J37" s="20">
        <f>(I37-H37)/1000</f>
        <v/>
      </c>
      <c r="K37" s="17" t="inlineStr">
        <is>
          <t>Yes</t>
        </is>
      </c>
      <c r="L37" s="17" t="n">
        <v>9</v>
      </c>
      <c r="M37" s="36" t="inlineStr">
        <is>
          <t>KANJARI BORIYAVI, UTARSANDA, NADIAD, LC-278, GOTHAJ, LC-286, MAHEMDABAD AND KHEDA ROAD, LC-294, KANIJ, BAREJADI NANDEJ, GERATPUR, VATVA, KANKARIYA CABIN, AHMEDABAD Jn</t>
        </is>
      </c>
    </row>
    <row r="38" ht="49" customHeight="1">
      <c r="A38" s="17" t="inlineStr">
        <is>
          <t>1 Jul</t>
        </is>
      </c>
      <c r="B38" s="17" t="inlineStr">
        <is>
          <t>37505</t>
        </is>
      </c>
      <c r="C38" s="17" t="n">
        <v>1737</v>
      </c>
      <c r="D38" s="17" t="n">
        <v>1737</v>
      </c>
      <c r="E38" s="17" t="n">
        <v>900</v>
      </c>
      <c r="F38" s="35" t="n">
        <v>370404</v>
      </c>
      <c r="G38" s="35" t="n">
        <v>435042</v>
      </c>
      <c r="H38" s="35" t="n">
        <v>400404</v>
      </c>
      <c r="I38" s="35" t="n">
        <v>435042</v>
      </c>
      <c r="J38" s="20">
        <f>(I38-H38)/1000</f>
        <v/>
      </c>
      <c r="K38" s="17" t="inlineStr">
        <is>
          <t>Yes</t>
        </is>
      </c>
      <c r="L38" s="17" t="n">
        <v>9</v>
      </c>
      <c r="M38" s="36" t="inlineStr">
        <is>
          <t>KANJARI BORIYAVI, UTARSANDA, NADIAD, LC-278, GOTHAJ, LC-286, MAHEMDABAD AND KHEDA ROAD, LC-294, KANIJ, BAREJADI NANDEJ, GERATPUR, VATVA, KANKARIYA CABIN, AHMEDABAD Jn</t>
        </is>
      </c>
    </row>
    <row r="39" ht="49" customHeight="1">
      <c r="A39" s="17" t="inlineStr">
        <is>
          <t>1 Jul</t>
        </is>
      </c>
      <c r="B39" s="17" t="inlineStr">
        <is>
          <t>39283</t>
        </is>
      </c>
      <c r="C39" s="17" t="n">
        <v>1147</v>
      </c>
      <c r="D39" s="17" t="n">
        <v>1147</v>
      </c>
      <c r="E39" s="17" t="n">
        <v>676</v>
      </c>
      <c r="F39" s="35" t="n">
        <v>395423</v>
      </c>
      <c r="G39" s="35" t="n">
        <v>434960</v>
      </c>
      <c r="H39" s="35" t="n">
        <v>400483</v>
      </c>
      <c r="I39" s="35" t="n">
        <v>434960</v>
      </c>
      <c r="J39" s="20">
        <f>(I39-H39)/1000</f>
        <v/>
      </c>
      <c r="K39" s="17" t="inlineStr">
        <is>
          <t>Yes</t>
        </is>
      </c>
      <c r="L39" s="17" t="n">
        <v>9</v>
      </c>
      <c r="M39" s="36" t="inlineStr">
        <is>
          <t>KANJARI BORIYAVI, UTARSANDA, NADIAD, LC-278, GOTHAJ, LC-286, MAHEMDABAD AND KHEDA ROAD, LC-294, KANIJ, BAREJADI NANDEJ, GERATPUR, VATVA, KANKARIYA CABIN, AHMEDABAD Jn</t>
        </is>
      </c>
    </row>
    <row r="40" ht="49" customHeight="1">
      <c r="A40" s="17" t="inlineStr">
        <is>
          <t>1 Jul</t>
        </is>
      </c>
      <c r="B40" s="17" t="inlineStr">
        <is>
          <t>37839</t>
        </is>
      </c>
      <c r="C40" s="17" t="n">
        <v>1350</v>
      </c>
      <c r="D40" s="17" t="n">
        <v>1350</v>
      </c>
      <c r="E40" s="17" t="n">
        <v>598</v>
      </c>
      <c r="F40" s="35" t="n">
        <v>374157</v>
      </c>
      <c r="G40" s="35" t="n">
        <v>433171</v>
      </c>
      <c r="H40" s="35" t="n">
        <v>400399</v>
      </c>
      <c r="I40" s="35" t="n">
        <v>433171</v>
      </c>
      <c r="J40" s="20">
        <f>(I40-H40)/1000</f>
        <v/>
      </c>
      <c r="K40" s="17" t="inlineStr">
        <is>
          <t>Yes</t>
        </is>
      </c>
      <c r="L40" s="17" t="n">
        <v>8</v>
      </c>
      <c r="M40" s="36" t="inlineStr">
        <is>
          <t>LC-264, KANJARI BORIYAVI, UTARSANDA, NADIAD, LC-278, GOTHAJ, LC-286, MAHEMDABAD AND KHEDA ROAD, LC-294, KANIJ, BAREJADI NANDEJ, GERATPUR, VATVA, KANKARIYA CABIN, AHMEDABAD Jn</t>
        </is>
      </c>
    </row>
    <row r="41" ht="49" customHeight="1">
      <c r="A41" s="17" t="inlineStr">
        <is>
          <t>1 Jul</t>
        </is>
      </c>
      <c r="B41" s="17" t="inlineStr">
        <is>
          <t>30786</t>
        </is>
      </c>
      <c r="C41" s="17" t="n">
        <v>1505</v>
      </c>
      <c r="D41" s="17" t="n">
        <v>1505</v>
      </c>
      <c r="E41" s="17" t="n">
        <v>579</v>
      </c>
      <c r="F41" s="35" t="n">
        <v>369867</v>
      </c>
      <c r="G41" s="35" t="n">
        <v>433094</v>
      </c>
      <c r="H41" s="35" t="n">
        <v>400398</v>
      </c>
      <c r="I41" s="35" t="n">
        <v>433094</v>
      </c>
      <c r="J41" s="20">
        <f>(I41-H41)/1000</f>
        <v/>
      </c>
      <c r="K41" s="17" t="inlineStr">
        <is>
          <t>Yes</t>
        </is>
      </c>
      <c r="L41" s="17" t="n">
        <v>8</v>
      </c>
      <c r="M41" s="36" t="inlineStr">
        <is>
          <t>LC-264, KANJARI BORIYAVI, UTARSANDA, NADIAD, LC-278, GOTHAJ, LC-286, MAHEMDABAD AND KHEDA ROAD, LC-294, KANIJ, BAREJADI NANDEJ, GERATPUR, VATVA, KANKARIYA CABIN, AHMEDABAD Jn</t>
        </is>
      </c>
    </row>
    <row r="42" ht="64" customHeight="1">
      <c r="A42" s="17" t="inlineStr">
        <is>
          <t>1 Jul</t>
        </is>
      </c>
      <c r="B42" s="17" t="inlineStr">
        <is>
          <t>30480</t>
        </is>
      </c>
      <c r="C42" s="17" t="n">
        <v>20</v>
      </c>
      <c r="D42" s="17" t="n">
        <v>20</v>
      </c>
      <c r="E42" s="17" t="n">
        <v>20</v>
      </c>
      <c r="F42" s="35" t="n">
        <v>431299</v>
      </c>
      <c r="G42" s="35" t="n">
        <v>439909</v>
      </c>
      <c r="H42" s="35" t="n">
        <v>431299</v>
      </c>
      <c r="I42" s="35" t="n">
        <v>439909</v>
      </c>
      <c r="J42" s="20">
        <f>(I42-H42)/1000</f>
        <v/>
      </c>
      <c r="K42" s="17" t="inlineStr">
        <is>
          <t>Yes</t>
        </is>
      </c>
      <c r="L42" s="17" t="n">
        <v>3</v>
      </c>
      <c r="M42" s="36" t="inlineStr">
        <is>
          <t>BAJWA, RANOLI, LC-246, VASAD, ADAS ROAD, VADOD, LC-258, UTARSANDA, NADIAD, LC-278, GOTHAJ, LC-286, MAHEMDABAD AND KHEDA ROAD, LC-294, KANIJ, BAREJADI NANDEJ, GERATPUR, VATVA, KANKARIYA CABIN, AHMEDABAD Jn</t>
        </is>
      </c>
    </row>
    <row r="43" ht="64" customHeight="1">
      <c r="A43" s="33" t="inlineStr">
        <is>
          <t>1 Jul</t>
        </is>
      </c>
      <c r="B43" s="33" t="inlineStr">
        <is>
          <t>120850</t>
        </is>
      </c>
      <c r="C43" s="33" t="n">
        <v>2029</v>
      </c>
      <c r="D43" s="33" t="n">
        <v>2022</v>
      </c>
      <c r="E43" s="33" t="n">
        <v>0</v>
      </c>
      <c r="F43" s="37" t="n">
        <v>498004</v>
      </c>
      <c r="G43" s="37" t="n">
        <v>503995</v>
      </c>
      <c r="H43" s="37" t="inlineStr">
        <is>
          <t>-</t>
        </is>
      </c>
      <c r="I43" s="37" t="inlineStr">
        <is>
          <t>-</t>
        </is>
      </c>
      <c r="J43" s="38" t="n">
        <v>0</v>
      </c>
      <c r="K43" s="33" t="inlineStr">
        <is>
          <t>No</t>
        </is>
      </c>
      <c r="L43" s="33" t="n">
        <v>0</v>
      </c>
      <c r="M43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4" ht="64" customHeight="1">
      <c r="A44" s="33" t="inlineStr">
        <is>
          <t>1 Jul</t>
        </is>
      </c>
      <c r="B44" s="33" t="inlineStr">
        <is>
          <t>31551</t>
        </is>
      </c>
      <c r="C44" s="33" t="n">
        <v>7</v>
      </c>
      <c r="D44" s="33" t="n">
        <v>0</v>
      </c>
      <c r="E44" s="33" t="n">
        <v>0</v>
      </c>
      <c r="F44" s="37" t="inlineStr">
        <is>
          <t>-</t>
        </is>
      </c>
      <c r="G44" s="37" t="inlineStr">
        <is>
          <t>-</t>
        </is>
      </c>
      <c r="H44" s="37" t="inlineStr">
        <is>
          <t>-</t>
        </is>
      </c>
      <c r="I44" s="37" t="inlineStr">
        <is>
          <t>-</t>
        </is>
      </c>
      <c r="J44" s="38" t="n">
        <v>0</v>
      </c>
      <c r="K44" s="33" t="inlineStr">
        <is>
          <t>No</t>
        </is>
      </c>
      <c r="L44" s="33" t="n">
        <v>0</v>
      </c>
      <c r="M44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5" ht="64" customHeight="1">
      <c r="A45" s="33" t="inlineStr">
        <is>
          <t>1 Jul</t>
        </is>
      </c>
      <c r="B45" s="33" t="inlineStr">
        <is>
          <t>37330</t>
        </is>
      </c>
      <c r="C45" s="33" t="n">
        <v>1</v>
      </c>
      <c r="D45" s="33" t="n">
        <v>0</v>
      </c>
      <c r="E45" s="33" t="n">
        <v>0</v>
      </c>
      <c r="F45" s="37" t="inlineStr">
        <is>
          <t>-</t>
        </is>
      </c>
      <c r="G45" s="37" t="inlineStr">
        <is>
          <t>-</t>
        </is>
      </c>
      <c r="H45" s="37" t="inlineStr">
        <is>
          <t>-</t>
        </is>
      </c>
      <c r="I45" s="37" t="inlineStr">
        <is>
          <t>-</t>
        </is>
      </c>
      <c r="J45" s="38" t="n">
        <v>0</v>
      </c>
      <c r="K45" s="33" t="inlineStr">
        <is>
          <t>No</t>
        </is>
      </c>
      <c r="L45" s="33" t="n">
        <v>0</v>
      </c>
      <c r="M45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6" ht="64" customHeight="1">
      <c r="A46" s="33" t="inlineStr">
        <is>
          <t>1 Jul</t>
        </is>
      </c>
      <c r="B46" s="33" t="inlineStr">
        <is>
          <t>38972</t>
        </is>
      </c>
      <c r="C46" s="33" t="n">
        <v>256</v>
      </c>
      <c r="D46" s="33" t="n">
        <v>222</v>
      </c>
      <c r="E46" s="33" t="n">
        <v>0</v>
      </c>
      <c r="F46" s="37" t="n">
        <v>2499976</v>
      </c>
      <c r="G46" s="37" t="n">
        <v>2500599</v>
      </c>
      <c r="H46" s="37" t="inlineStr">
        <is>
          <t>-</t>
        </is>
      </c>
      <c r="I46" s="37" t="inlineStr">
        <is>
          <t>-</t>
        </is>
      </c>
      <c r="J46" s="38" t="n">
        <v>0</v>
      </c>
      <c r="K46" s="33" t="inlineStr">
        <is>
          <t>No</t>
        </is>
      </c>
      <c r="L46" s="33" t="n">
        <v>0</v>
      </c>
      <c r="M46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7" ht="64" customHeight="1">
      <c r="A47" s="33" t="inlineStr">
        <is>
          <t>1 Jul</t>
        </is>
      </c>
      <c r="B47" s="33" t="inlineStr">
        <is>
          <t>39214</t>
        </is>
      </c>
      <c r="C47" s="33" t="n">
        <v>4</v>
      </c>
      <c r="D47" s="33" t="n">
        <v>0</v>
      </c>
      <c r="E47" s="33" t="n">
        <v>0</v>
      </c>
      <c r="F47" s="37" t="inlineStr">
        <is>
          <t>-</t>
        </is>
      </c>
      <c r="G47" s="37" t="inlineStr">
        <is>
          <t>-</t>
        </is>
      </c>
      <c r="H47" s="37" t="inlineStr">
        <is>
          <t>-</t>
        </is>
      </c>
      <c r="I47" s="37" t="inlineStr">
        <is>
          <t>-</t>
        </is>
      </c>
      <c r="J47" s="38" t="n">
        <v>0</v>
      </c>
      <c r="K47" s="33" t="inlineStr">
        <is>
          <t>No</t>
        </is>
      </c>
      <c r="L47" s="33" t="n">
        <v>0</v>
      </c>
      <c r="M47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8" ht="64" customHeight="1">
      <c r="A48" s="33" t="inlineStr">
        <is>
          <t>1 Jul</t>
        </is>
      </c>
      <c r="B48" s="33" t="inlineStr">
        <is>
          <t>39238</t>
        </is>
      </c>
      <c r="C48" s="33" t="n">
        <v>8</v>
      </c>
      <c r="D48" s="33" t="n">
        <v>0</v>
      </c>
      <c r="E48" s="33" t="n">
        <v>0</v>
      </c>
      <c r="F48" s="37" t="inlineStr">
        <is>
          <t>-</t>
        </is>
      </c>
      <c r="G48" s="37" t="inlineStr">
        <is>
          <t>-</t>
        </is>
      </c>
      <c r="H48" s="37" t="inlineStr">
        <is>
          <t>-</t>
        </is>
      </c>
      <c r="I48" s="37" t="inlineStr">
        <is>
          <t>-</t>
        </is>
      </c>
      <c r="J48" s="38" t="n">
        <v>0</v>
      </c>
      <c r="K48" s="33" t="inlineStr">
        <is>
          <t>No</t>
        </is>
      </c>
      <c r="L48" s="33" t="n">
        <v>0</v>
      </c>
      <c r="M48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49" ht="64" customHeight="1">
      <c r="A49" s="33" t="inlineStr">
        <is>
          <t>1 Jul</t>
        </is>
      </c>
      <c r="B49" s="33" t="inlineStr">
        <is>
          <t>39289</t>
        </is>
      </c>
      <c r="C49" s="33" t="n">
        <v>158</v>
      </c>
      <c r="D49" s="33" t="n">
        <v>108</v>
      </c>
      <c r="E49" s="33" t="n">
        <v>0</v>
      </c>
      <c r="F49" s="37" t="n">
        <v>2499999</v>
      </c>
      <c r="G49" s="37" t="n">
        <v>2500585</v>
      </c>
      <c r="H49" s="37" t="inlineStr">
        <is>
          <t>-</t>
        </is>
      </c>
      <c r="I49" s="37" t="inlineStr">
        <is>
          <t>-</t>
        </is>
      </c>
      <c r="J49" s="38" t="n">
        <v>0</v>
      </c>
      <c r="K49" s="33" t="inlineStr">
        <is>
          <t>No</t>
        </is>
      </c>
      <c r="L49" s="33" t="n">
        <v>0</v>
      </c>
      <c r="M49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0" ht="64" customHeight="1">
      <c r="A50" s="33" t="inlineStr">
        <is>
          <t>1 Jul</t>
        </is>
      </c>
      <c r="B50" s="33" t="inlineStr">
        <is>
          <t>39314</t>
        </is>
      </c>
      <c r="C50" s="33" t="n">
        <v>7</v>
      </c>
      <c r="D50" s="33" t="n">
        <v>0</v>
      </c>
      <c r="E50" s="33" t="n">
        <v>0</v>
      </c>
      <c r="F50" s="37" t="inlineStr">
        <is>
          <t>-</t>
        </is>
      </c>
      <c r="G50" s="37" t="inlineStr">
        <is>
          <t>-</t>
        </is>
      </c>
      <c r="H50" s="37" t="inlineStr">
        <is>
          <t>-</t>
        </is>
      </c>
      <c r="I50" s="37" t="inlineStr">
        <is>
          <t>-</t>
        </is>
      </c>
      <c r="J50" s="38" t="n">
        <v>0</v>
      </c>
      <c r="K50" s="33" t="inlineStr">
        <is>
          <t>No</t>
        </is>
      </c>
      <c r="L50" s="33" t="n">
        <v>0</v>
      </c>
      <c r="M50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1" ht="64" customHeight="1">
      <c r="A51" s="33" t="inlineStr">
        <is>
          <t>1 Jul</t>
        </is>
      </c>
      <c r="B51" s="33" t="inlineStr">
        <is>
          <t>41529</t>
        </is>
      </c>
      <c r="C51" s="33" t="n">
        <v>4</v>
      </c>
      <c r="D51" s="33" t="n">
        <v>0</v>
      </c>
      <c r="E51" s="33" t="n">
        <v>0</v>
      </c>
      <c r="F51" s="37" t="inlineStr">
        <is>
          <t>-</t>
        </is>
      </c>
      <c r="G51" s="37" t="inlineStr">
        <is>
          <t>-</t>
        </is>
      </c>
      <c r="H51" s="37" t="inlineStr">
        <is>
          <t>-</t>
        </is>
      </c>
      <c r="I51" s="37" t="inlineStr">
        <is>
          <t>-</t>
        </is>
      </c>
      <c r="J51" s="38" t="n">
        <v>0</v>
      </c>
      <c r="K51" s="33" t="inlineStr">
        <is>
          <t>No</t>
        </is>
      </c>
      <c r="L51" s="33" t="n">
        <v>0</v>
      </c>
      <c r="M51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2" ht="64" customHeight="1">
      <c r="A52" s="33" t="inlineStr">
        <is>
          <t>1 Jul</t>
        </is>
      </c>
      <c r="B52" s="33" t="inlineStr">
        <is>
          <t>45011</t>
        </is>
      </c>
      <c r="C52" s="33" t="n">
        <v>1</v>
      </c>
      <c r="D52" s="33" t="n">
        <v>0</v>
      </c>
      <c r="E52" s="33" t="n">
        <v>0</v>
      </c>
      <c r="F52" s="37" t="inlineStr">
        <is>
          <t>-</t>
        </is>
      </c>
      <c r="G52" s="37" t="inlineStr">
        <is>
          <t>-</t>
        </is>
      </c>
      <c r="H52" s="37" t="inlineStr">
        <is>
          <t>-</t>
        </is>
      </c>
      <c r="I52" s="37" t="inlineStr">
        <is>
          <t>-</t>
        </is>
      </c>
      <c r="J52" s="38" t="n">
        <v>0</v>
      </c>
      <c r="K52" s="33" t="inlineStr">
        <is>
          <t>No</t>
        </is>
      </c>
      <c r="L52" s="33" t="n">
        <v>0</v>
      </c>
      <c r="M52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3" ht="64" customHeight="1">
      <c r="A53" s="33" t="inlineStr">
        <is>
          <t>1 Jul</t>
        </is>
      </c>
      <c r="B53" s="33" t="inlineStr">
        <is>
          <t>45026</t>
        </is>
      </c>
      <c r="C53" s="33" t="n">
        <v>498</v>
      </c>
      <c r="D53" s="33" t="n">
        <v>498</v>
      </c>
      <c r="E53" s="33" t="n">
        <v>0</v>
      </c>
      <c r="F53" s="37" t="n">
        <v>375231</v>
      </c>
      <c r="G53" s="37" t="n">
        <v>397487</v>
      </c>
      <c r="H53" s="37" t="inlineStr">
        <is>
          <t>-</t>
        </is>
      </c>
      <c r="I53" s="37" t="inlineStr">
        <is>
          <t>-</t>
        </is>
      </c>
      <c r="J53" s="38" t="n">
        <v>0</v>
      </c>
      <c r="K53" s="33" t="inlineStr">
        <is>
          <t>No</t>
        </is>
      </c>
      <c r="L53" s="33" t="n">
        <v>0</v>
      </c>
      <c r="M53" s="39" t="inlineStr">
        <is>
          <t>BAJWA, RANOLI, LC-246, VASAD, ADAS ROAD, VADOD, LC-258, ANAND Jn, LC-264, KANJARI BORIYAVI, UTARSANDA, NADIAD, LC-278, GOTHAJ, LC-286, MAHEMDABAD AND KHEDA ROAD, LC-294, KANIJ, BAREJADI NANDEJ, GERATPUR, VATVA, KANKARIYA CABIN, AHMEDABAD Jn</t>
        </is>
      </c>
    </row>
    <row r="54" ht="64" customHeight="1">
      <c r="A54" s="33" t="inlineStr">
        <is>
          <t>1 Jul</t>
        </is>
      </c>
      <c r="B54" s="33" t="inlineStr">
        <is>
          <t>55555</t>
        </is>
      </c>
      <c r="C54" s="33" t="n">
        <v>8</v>
      </c>
      <c r="D54" s="33" t="n">
        <v>8</v>
      </c>
      <c r="E54" s="33" t="n">
        <v>8</v>
      </c>
      <c r="F54" s="37" t="n">
        <v>452975</v>
      </c>
      <c r="G54" s="37" t="n">
        <v>452975</v>
      </c>
      <c r="H54" s="37" t="n">
        <v>452975</v>
      </c>
      <c r="I54" s="37" t="n">
        <v>452975</v>
      </c>
      <c r="J54" s="38">
        <f>(I54-H54)/1000</f>
        <v/>
      </c>
      <c r="K54" s="33" t="inlineStr">
        <is>
          <t>No</t>
        </is>
      </c>
      <c r="L54" s="33" t="n">
        <v>1</v>
      </c>
      <c r="M54" s="39" t="inlineStr">
        <is>
          <t>BAJWA, RANOLI, LC-246, VASAD, ADAS ROAD, VADOD, LC-258, ANAND Jn, LC-264, KANJARI BORIYAVI, UTARSANDA, LC-278, GOTHAJ, LC-286, MAHEMDABAD AND KHEDA ROAD, LC-294, KANIJ, BAREJADI NANDEJ, GERATPUR, VATVA, KANKARIYA CABIN, AHMEDABAD Jn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0" t="inlineStr">
        <is>
          <t>Methodology</t>
        </is>
      </c>
    </row>
    <row r="2"/>
    <row r="3" ht="34" customHeight="1">
      <c r="B3" s="41" t="inlineStr">
        <is>
          <t>Excluded</t>
        </is>
      </c>
      <c r="C3" s="42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1" t="inlineStr">
        <is>
          <t>No of Trips</t>
        </is>
      </c>
      <c r="C4" s="42" t="inlineStr">
        <is>
          <t>A direction-run covering within 5 km of its line length (DN 93.91 / UP 93.91 km) = one FULL trip; out-and-back = 2. A loco with &gt;=1 full trip is 'valid' (its EBs count as Valid). KM Verification lists each loco-day's stations passed / not passed.</t>
        </is>
      </c>
    </row>
    <row r="5" ht="49" customHeight="1">
      <c r="B5" s="41" t="inlineStr">
        <is>
          <t>Total KMs Run on Kavach</t>
        </is>
      </c>
      <c r="C5" s="42" t="inlineStr">
        <is>
          <t>Section coverage per loco = how far it travelled across the section = (max - min) of its abs within the section limits (400398-494312). Capped at the section length; 0 if the loco never reported inside the section.</t>
        </is>
      </c>
    </row>
    <row r="6">
      <c r="B6" s="41" t="inlineStr">
        <is>
          <t>Availability (FS+OS)</t>
        </is>
      </c>
      <c r="C6" s="42" t="inlineStr">
        <is>
          <t>Packets in FS or OnSight ÷ all packets (all modes) × 100.</t>
        </is>
      </c>
    </row>
    <row r="7" ht="34" customHeight="1">
      <c r="B7" s="41" t="inlineStr">
        <is>
          <t>Total EB</t>
        </is>
      </c>
      <c r="C7" s="42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1" t="inlineStr">
        <is>
          <t>Mode Degradation</t>
        </is>
      </c>
      <c r="C8" s="42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1" t="inlineStr">
        <is>
          <t>EB diagnostics</t>
        </is>
      </c>
      <c r="C9" s="42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1" t="inlineStr">
        <is>
          <t>Ratios</t>
        </is>
      </c>
      <c r="C10" s="42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2026-07-02T01:32:12Z</dcterms:created>
  <dcterms:modified xsi:type="dcterms:W3CDTF">2026-07-02T01:32:12Z</dcterms:modified>
</cp:coreProperties>
</file>
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NCR — Kavach Unified KPI</t>
        </is>
      </c>
    </row>
    <row r="2">
      <c r="A2" s="2" t="inlineStr">
        <is>
          <t>Period: 01 Jun - 07 Jun 2026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01 Jun - 07 Jun 2026</t>
        </is>
      </c>
      <c r="B5" s="4" t="inlineStr">
        <is>
          <t>NCR</t>
        </is>
      </c>
      <c r="C5" s="4" t="inlineStr">
        <is>
          <t>36001_LC563 → 36014_VRBD</t>
        </is>
      </c>
      <c r="D5" s="5">
        <f>'Daily Breakdown'!C222</f>
        <v/>
      </c>
      <c r="E5" s="6">
        <f>'Daily Breakdown'!D222</f>
        <v/>
      </c>
      <c r="F5" s="7">
        <f>'Daily Breakdown'!G222</f>
        <v/>
      </c>
      <c r="G5" s="5">
        <f>'Daily Breakdown'!H222</f>
        <v/>
      </c>
      <c r="H5" s="8">
        <f>'Daily Breakdown'!I222</f>
        <v/>
      </c>
      <c r="I5" s="8">
        <f>'Daily Breakdown'!J222</f>
        <v/>
      </c>
      <c r="J5" s="44">
        <f>IFERROR(G5/D5,0)</f>
        <v/>
      </c>
      <c r="K5" s="45">
        <f>IFERROR(G5/E5,0)</f>
        <v/>
      </c>
      <c r="L5" s="46">
        <f>IFERROR(G5/E5*100,0)</f>
        <v/>
      </c>
      <c r="M5" s="45">
        <f>IFERROR(G5/(D5*E5/1000),0)</f>
        <v/>
      </c>
      <c r="N5" s="5">
        <f>'Daily Breakdown'!K222</f>
        <v/>
      </c>
      <c r="O5" s="44">
        <f>IFERROR(N5/D5,0)</f>
        <v/>
      </c>
      <c r="P5" s="45">
        <f>IFERROR(N5/E5,0)</f>
        <v/>
      </c>
      <c r="Q5" s="45">
        <f>IFERROR(N5/(D5*E5/100),0)</f>
        <v/>
      </c>
      <c r="R5" s="46">
        <f>IFERROR(N5/E5*100,0)</f>
        <v/>
      </c>
      <c r="S5" s="8" t="n">
        <v>6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>
      <c r="A2" s="37" t="inlineStr">
        <is>
          <t>Availability base excludes locos with FS+OS pkts = 0 (they are still listed; only the Total-pkts availability base drops them).</t>
        </is>
      </c>
    </row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1 Jun</t>
        </is>
      </c>
      <c r="B4" s="15" t="inlineStr">
        <is>
          <t>30086</t>
        </is>
      </c>
      <c r="C4" s="16" t="n">
        <v>2</v>
      </c>
      <c r="D4" s="47" t="n">
        <v>77.87</v>
      </c>
      <c r="E4" s="18" t="n">
        <v>9129</v>
      </c>
      <c r="F4" s="18" t="n">
        <v>9152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1</v>
      </c>
    </row>
    <row r="5">
      <c r="A5" s="15" t="inlineStr">
        <is>
          <t>1 Jun</t>
        </is>
      </c>
      <c r="B5" s="15" t="inlineStr">
        <is>
          <t>43821</t>
        </is>
      </c>
      <c r="C5" s="16" t="n">
        <v>2</v>
      </c>
      <c r="D5" s="47" t="n">
        <v>77.87</v>
      </c>
      <c r="E5" s="18" t="n">
        <v>7756</v>
      </c>
      <c r="F5" s="18" t="n">
        <v>7855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2</v>
      </c>
    </row>
    <row r="6">
      <c r="A6" s="15" t="inlineStr">
        <is>
          <t>1 Jun</t>
        </is>
      </c>
      <c r="B6" s="15" t="inlineStr">
        <is>
          <t>30822</t>
        </is>
      </c>
      <c r="C6" s="16" t="n">
        <v>2</v>
      </c>
      <c r="D6" s="47" t="n">
        <v>77.84999999999999</v>
      </c>
      <c r="E6" s="18" t="n">
        <v>7690</v>
      </c>
      <c r="F6" s="18" t="n">
        <v>7736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1</v>
      </c>
    </row>
    <row r="7">
      <c r="A7" s="15" t="inlineStr">
        <is>
          <t>1 Jun</t>
        </is>
      </c>
      <c r="B7" s="15" t="inlineStr">
        <is>
          <t>30466</t>
        </is>
      </c>
      <c r="C7" s="16" t="n">
        <v>2</v>
      </c>
      <c r="D7" s="47" t="n">
        <v>77.83</v>
      </c>
      <c r="E7" s="18" t="n">
        <v>6865</v>
      </c>
      <c r="F7" s="18" t="n">
        <v>6963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4</v>
      </c>
    </row>
    <row r="8">
      <c r="A8" s="15" t="inlineStr">
        <is>
          <t>1 Jun</t>
        </is>
      </c>
      <c r="B8" s="15" t="inlineStr">
        <is>
          <t>39328</t>
        </is>
      </c>
      <c r="C8" s="16" t="n">
        <v>2</v>
      </c>
      <c r="D8" s="47" t="n">
        <v>77.87</v>
      </c>
      <c r="E8" s="18" t="n">
        <v>6512</v>
      </c>
      <c r="F8" s="18" t="n">
        <v>6611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3</v>
      </c>
    </row>
    <row r="9">
      <c r="A9" s="15" t="inlineStr">
        <is>
          <t>1 Jun</t>
        </is>
      </c>
      <c r="B9" s="15" t="inlineStr">
        <is>
          <t>37354</t>
        </is>
      </c>
      <c r="C9" s="16" t="n">
        <v>2</v>
      </c>
      <c r="D9" s="47" t="n">
        <v>77.83</v>
      </c>
      <c r="E9" s="18" t="n">
        <v>5980</v>
      </c>
      <c r="F9" s="18" t="n">
        <v>6002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0</v>
      </c>
    </row>
    <row r="10">
      <c r="A10" s="15" t="inlineStr">
        <is>
          <t>1 Jun</t>
        </is>
      </c>
      <c r="B10" s="15" t="inlineStr">
        <is>
          <t>30339</t>
        </is>
      </c>
      <c r="C10" s="16" t="n">
        <v>2</v>
      </c>
      <c r="D10" s="47" t="n">
        <v>77.83</v>
      </c>
      <c r="E10" s="18" t="n">
        <v>5431</v>
      </c>
      <c r="F10" s="18" t="n">
        <v>5501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2</v>
      </c>
    </row>
    <row r="11">
      <c r="A11" s="15" t="inlineStr">
        <is>
          <t>1 Jun</t>
        </is>
      </c>
      <c r="B11" s="15" t="inlineStr">
        <is>
          <t>39340</t>
        </is>
      </c>
      <c r="C11" s="16" t="n">
        <v>2</v>
      </c>
      <c r="D11" s="47" t="n">
        <v>77.86</v>
      </c>
      <c r="E11" s="18" t="n">
        <v>5401</v>
      </c>
      <c r="F11" s="18" t="n">
        <v>5446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1</v>
      </c>
    </row>
    <row r="12">
      <c r="A12" s="15" t="inlineStr">
        <is>
          <t>1 Jun</t>
        </is>
      </c>
      <c r="B12" s="15" t="inlineStr">
        <is>
          <t>30739</t>
        </is>
      </c>
      <c r="C12" s="16" t="n">
        <v>2</v>
      </c>
      <c r="D12" s="47" t="n">
        <v>77.76000000000001</v>
      </c>
      <c r="E12" s="18" t="n">
        <v>3163</v>
      </c>
      <c r="F12" s="18" t="n">
        <v>3222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6</v>
      </c>
    </row>
    <row r="13">
      <c r="A13" s="15" t="inlineStr">
        <is>
          <t>1 Jun</t>
        </is>
      </c>
      <c r="B13" s="15" t="inlineStr">
        <is>
          <t>39078</t>
        </is>
      </c>
      <c r="C13" s="16" t="n">
        <v>2</v>
      </c>
      <c r="D13" s="47" t="n">
        <v>77.16</v>
      </c>
      <c r="E13" s="18" t="n">
        <v>2888</v>
      </c>
      <c r="F13" s="18" t="n">
        <v>2988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1</v>
      </c>
    </row>
    <row r="14">
      <c r="A14" s="15" t="inlineStr">
        <is>
          <t>1 Jun</t>
        </is>
      </c>
      <c r="B14" s="15" t="inlineStr">
        <is>
          <t>39217</t>
        </is>
      </c>
      <c r="C14" s="16" t="n">
        <v>2</v>
      </c>
      <c r="D14" s="47" t="n">
        <v>74.55</v>
      </c>
      <c r="E14" s="18" t="n">
        <v>1464</v>
      </c>
      <c r="F14" s="18" t="n">
        <v>1534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1</v>
      </c>
    </row>
    <row r="15">
      <c r="A15" s="15" t="inlineStr">
        <is>
          <t>1 Jun</t>
        </is>
      </c>
      <c r="B15" s="15" t="inlineStr">
        <is>
          <t>37816</t>
        </is>
      </c>
      <c r="C15" s="16" t="n">
        <v>1</v>
      </c>
      <c r="D15" s="47" t="n">
        <v>77.67</v>
      </c>
      <c r="E15" s="18" t="n">
        <v>4700</v>
      </c>
      <c r="F15" s="18" t="n">
        <v>4758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1</v>
      </c>
    </row>
    <row r="16">
      <c r="A16" s="15" t="inlineStr">
        <is>
          <t>1 Jun</t>
        </is>
      </c>
      <c r="B16" s="15" t="inlineStr">
        <is>
          <t>37324</t>
        </is>
      </c>
      <c r="C16" s="16" t="n">
        <v>1</v>
      </c>
      <c r="D16" s="47" t="n">
        <v>77.73</v>
      </c>
      <c r="E16" s="18" t="n">
        <v>3241</v>
      </c>
      <c r="F16" s="18" t="n">
        <v>3299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2</v>
      </c>
    </row>
    <row r="17">
      <c r="A17" s="15" t="inlineStr">
        <is>
          <t>1 Jun</t>
        </is>
      </c>
      <c r="B17" s="15" t="inlineStr">
        <is>
          <t>37063</t>
        </is>
      </c>
      <c r="C17" s="16" t="n">
        <v>1</v>
      </c>
      <c r="D17" s="47" t="n">
        <v>77.73999999999999</v>
      </c>
      <c r="E17" s="18" t="n">
        <v>3219</v>
      </c>
      <c r="F17" s="18" t="n">
        <v>3225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0</v>
      </c>
    </row>
    <row r="18">
      <c r="A18" s="15" t="inlineStr">
        <is>
          <t>1 Jun</t>
        </is>
      </c>
      <c r="B18" s="15" t="inlineStr">
        <is>
          <t>39046</t>
        </is>
      </c>
      <c r="C18" s="16" t="n">
        <v>1</v>
      </c>
      <c r="D18" s="47" t="n">
        <v>77.64</v>
      </c>
      <c r="E18" s="18" t="n">
        <v>3052</v>
      </c>
      <c r="F18" s="18" t="n">
        <v>3107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2</v>
      </c>
    </row>
    <row r="19">
      <c r="A19" s="15" t="inlineStr">
        <is>
          <t>1 Jun</t>
        </is>
      </c>
      <c r="B19" s="15" t="inlineStr">
        <is>
          <t>30340</t>
        </is>
      </c>
      <c r="C19" s="16" t="n">
        <v>1</v>
      </c>
      <c r="D19" s="47" t="n">
        <v>77.72</v>
      </c>
      <c r="E19" s="18" t="n">
        <v>3017</v>
      </c>
      <c r="F19" s="18" t="n">
        <v>3063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1</v>
      </c>
    </row>
    <row r="20">
      <c r="A20" s="15" t="inlineStr">
        <is>
          <t>1 Jun</t>
        </is>
      </c>
      <c r="B20" s="15" t="inlineStr">
        <is>
          <t>37467</t>
        </is>
      </c>
      <c r="C20" s="16" t="n">
        <v>1</v>
      </c>
      <c r="D20" s="47" t="n">
        <v>76.90000000000001</v>
      </c>
      <c r="E20" s="18" t="n">
        <v>2706</v>
      </c>
      <c r="F20" s="18" t="n">
        <v>2801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1</v>
      </c>
    </row>
    <row r="21">
      <c r="A21" s="15" t="inlineStr">
        <is>
          <t>1 Jun</t>
        </is>
      </c>
      <c r="B21" s="15" t="inlineStr">
        <is>
          <t>37847</t>
        </is>
      </c>
      <c r="C21" s="16" t="n">
        <v>1</v>
      </c>
      <c r="D21" s="47" t="n">
        <v>77.83</v>
      </c>
      <c r="E21" s="18" t="n">
        <v>2740</v>
      </c>
      <c r="F21" s="18" t="n">
        <v>2796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2</v>
      </c>
    </row>
    <row r="22">
      <c r="A22" s="15" t="inlineStr">
        <is>
          <t>1 Jun</t>
        </is>
      </c>
      <c r="B22" s="15" t="inlineStr">
        <is>
          <t>30706</t>
        </is>
      </c>
      <c r="C22" s="16" t="n">
        <v>1</v>
      </c>
      <c r="D22" s="47" t="n">
        <v>77.84999999999999</v>
      </c>
      <c r="E22" s="18" t="n">
        <v>2725</v>
      </c>
      <c r="F22" s="18" t="n">
        <v>2743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1</v>
      </c>
    </row>
    <row r="23">
      <c r="A23" s="15" t="inlineStr">
        <is>
          <t>1 Jun</t>
        </is>
      </c>
      <c r="B23" s="15" t="inlineStr">
        <is>
          <t>30356</t>
        </is>
      </c>
      <c r="C23" s="16" t="n">
        <v>1</v>
      </c>
      <c r="D23" s="47" t="n">
        <v>77.69</v>
      </c>
      <c r="E23" s="18" t="n">
        <v>2722</v>
      </c>
      <c r="F23" s="18" t="n">
        <v>2730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0</v>
      </c>
    </row>
    <row r="24">
      <c r="A24" s="15" t="inlineStr">
        <is>
          <t>1 Jun</t>
        </is>
      </c>
      <c r="B24" s="15" t="inlineStr">
        <is>
          <t>30542</t>
        </is>
      </c>
      <c r="C24" s="16" t="n">
        <v>1</v>
      </c>
      <c r="D24" s="47" t="n">
        <v>77.83</v>
      </c>
      <c r="E24" s="18" t="n">
        <v>2709</v>
      </c>
      <c r="F24" s="18" t="n">
        <v>2723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1</v>
      </c>
    </row>
    <row r="25">
      <c r="A25" s="15" t="inlineStr">
        <is>
          <t>1 Jun</t>
        </is>
      </c>
      <c r="B25" s="15" t="inlineStr">
        <is>
          <t>37834</t>
        </is>
      </c>
      <c r="C25" s="16" t="n">
        <v>1</v>
      </c>
      <c r="D25" s="47" t="n">
        <v>77.8</v>
      </c>
      <c r="E25" s="18" t="n">
        <v>2650</v>
      </c>
      <c r="F25" s="18" t="n">
        <v>2655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</v>
      </c>
    </row>
    <row r="26">
      <c r="A26" s="15" t="inlineStr">
        <is>
          <t>1 Jun</t>
        </is>
      </c>
      <c r="B26" s="15" t="inlineStr">
        <is>
          <t>37555</t>
        </is>
      </c>
      <c r="C26" s="16" t="n">
        <v>1</v>
      </c>
      <c r="D26" s="47" t="n">
        <v>77.70999999999999</v>
      </c>
      <c r="E26" s="18" t="n">
        <v>2637</v>
      </c>
      <c r="F26" s="18" t="n">
        <v>2643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0</v>
      </c>
    </row>
    <row r="27">
      <c r="A27" s="15" t="inlineStr">
        <is>
          <t>1 Jun</t>
        </is>
      </c>
      <c r="B27" s="15" t="inlineStr">
        <is>
          <t>39374</t>
        </is>
      </c>
      <c r="C27" s="16" t="n">
        <v>1</v>
      </c>
      <c r="D27" s="47" t="n">
        <v>77.69</v>
      </c>
      <c r="E27" s="18" t="n">
        <v>2603</v>
      </c>
      <c r="F27" s="18" t="n">
        <v>2642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3</v>
      </c>
    </row>
    <row r="28">
      <c r="A28" s="15" t="inlineStr">
        <is>
          <t>1 Jun</t>
        </is>
      </c>
      <c r="B28" s="15" t="inlineStr">
        <is>
          <t>39322</t>
        </is>
      </c>
      <c r="C28" s="16" t="n">
        <v>1</v>
      </c>
      <c r="D28" s="47" t="n">
        <v>77.67</v>
      </c>
      <c r="E28" s="18" t="n">
        <v>2582</v>
      </c>
      <c r="F28" s="18" t="n">
        <v>2584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1 Jun</t>
        </is>
      </c>
      <c r="B29" s="15" t="inlineStr">
        <is>
          <t>39514</t>
        </is>
      </c>
      <c r="C29" s="16" t="n">
        <v>1</v>
      </c>
      <c r="D29" s="47" t="n">
        <v>77.64</v>
      </c>
      <c r="E29" s="18" t="n">
        <v>2541</v>
      </c>
      <c r="F29" s="18" t="n">
        <v>2545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1 Jun</t>
        </is>
      </c>
      <c r="B30" s="15" t="inlineStr">
        <is>
          <t>39388</t>
        </is>
      </c>
      <c r="C30" s="16" t="n">
        <v>1</v>
      </c>
      <c r="D30" s="47" t="n">
        <v>77.67</v>
      </c>
      <c r="E30" s="18" t="n">
        <v>2539</v>
      </c>
      <c r="F30" s="18" t="n">
        <v>2544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0</v>
      </c>
    </row>
    <row r="31">
      <c r="A31" s="15" t="inlineStr">
        <is>
          <t>1 Jun</t>
        </is>
      </c>
      <c r="B31" s="15" t="inlineStr">
        <is>
          <t>39353</t>
        </is>
      </c>
      <c r="C31" s="16" t="n">
        <v>1</v>
      </c>
      <c r="D31" s="47" t="n">
        <v>77.72</v>
      </c>
      <c r="E31" s="18" t="n">
        <v>2518</v>
      </c>
      <c r="F31" s="18" t="n">
        <v>2526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1 Jun</t>
        </is>
      </c>
      <c r="B32" s="15" t="inlineStr">
        <is>
          <t>37258</t>
        </is>
      </c>
      <c r="C32" s="16" t="n">
        <v>1</v>
      </c>
      <c r="D32" s="47" t="n">
        <v>77.7</v>
      </c>
      <c r="E32" s="18" t="n">
        <v>2508</v>
      </c>
      <c r="F32" s="18" t="n">
        <v>2516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1 Jun</t>
        </is>
      </c>
      <c r="B33" s="15" t="inlineStr">
        <is>
          <t>30736</t>
        </is>
      </c>
      <c r="C33" s="16" t="n">
        <v>1</v>
      </c>
      <c r="D33" s="47" t="n">
        <v>77.70999999999999</v>
      </c>
      <c r="E33" s="18" t="n">
        <v>2509</v>
      </c>
      <c r="F33" s="18" t="n">
        <v>2512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1 Jun</t>
        </is>
      </c>
      <c r="B34" s="15" t="inlineStr">
        <is>
          <t>39032</t>
        </is>
      </c>
      <c r="C34" s="16" t="n">
        <v>0</v>
      </c>
      <c r="D34" s="47" t="n">
        <v>3.76</v>
      </c>
      <c r="E34" s="18" t="n">
        <v>0</v>
      </c>
      <c r="F34" s="18" t="n">
        <v>4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20" t="inlineStr">
        <is>
          <t>1 Jun</t>
        </is>
      </c>
      <c r="B35" s="20" t="inlineStr">
        <is>
          <t>Day Total</t>
        </is>
      </c>
      <c r="C35" s="21">
        <f>SUM(C4:C34)</f>
        <v/>
      </c>
      <c r="D35" s="48">
        <f>SUM(D4:D34)</f>
        <v/>
      </c>
      <c r="E35" s="23">
        <f>SUM(E4:E34)</f>
        <v/>
      </c>
      <c r="F35" s="23">
        <f>SUMIF(E4:E34,"&gt;0",F4:F34)</f>
        <v/>
      </c>
      <c r="G35" s="24">
        <f>IF(F35=0,0,E35/F35*100)</f>
        <v/>
      </c>
      <c r="H35" s="21">
        <f>SUM(H4:H34)</f>
        <v/>
      </c>
      <c r="I35" s="21">
        <f>SUM(I4:I34)</f>
        <v/>
      </c>
      <c r="J35" s="21">
        <f>SUM(J4:J34)</f>
        <v/>
      </c>
      <c r="K35" s="21">
        <f>SUM(K4:K34)</f>
        <v/>
      </c>
    </row>
    <row r="36">
      <c r="A36" s="15" t="inlineStr">
        <is>
          <t>2 Jun</t>
        </is>
      </c>
      <c r="B36" s="15" t="inlineStr">
        <is>
          <t>37163</t>
        </is>
      </c>
      <c r="C36" s="16" t="n">
        <v>2</v>
      </c>
      <c r="D36" s="47" t="n">
        <v>77.84</v>
      </c>
      <c r="E36" s="18" t="n">
        <v>6768</v>
      </c>
      <c r="F36" s="18" t="n">
        <v>6875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3</v>
      </c>
    </row>
    <row r="37">
      <c r="A37" s="15" t="inlineStr">
        <is>
          <t>2 Jun</t>
        </is>
      </c>
      <c r="B37" s="15" t="inlineStr">
        <is>
          <t>30484</t>
        </is>
      </c>
      <c r="C37" s="16" t="n">
        <v>2</v>
      </c>
      <c r="D37" s="47" t="n">
        <v>77.84999999999999</v>
      </c>
      <c r="E37" s="18" t="n">
        <v>5409</v>
      </c>
      <c r="F37" s="18" t="n">
        <v>5676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3</v>
      </c>
    </row>
    <row r="38">
      <c r="A38" s="15" t="inlineStr">
        <is>
          <t>2 Jun</t>
        </is>
      </c>
      <c r="B38" s="15" t="inlineStr">
        <is>
          <t>30335</t>
        </is>
      </c>
      <c r="C38" s="16" t="n">
        <v>1</v>
      </c>
      <c r="D38" s="47" t="n">
        <v>77.84999999999999</v>
      </c>
      <c r="E38" s="18" t="n">
        <v>4165</v>
      </c>
      <c r="F38" s="18" t="n">
        <v>4212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1</v>
      </c>
    </row>
    <row r="39">
      <c r="A39" s="15" t="inlineStr">
        <is>
          <t>2 Jun</t>
        </is>
      </c>
      <c r="B39" s="15" t="inlineStr">
        <is>
          <t>37258</t>
        </is>
      </c>
      <c r="C39" s="16" t="n">
        <v>1</v>
      </c>
      <c r="D39" s="47" t="n">
        <v>77.84</v>
      </c>
      <c r="E39" s="18" t="n">
        <v>4160</v>
      </c>
      <c r="F39" s="18" t="n">
        <v>4198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2</v>
      </c>
    </row>
    <row r="40">
      <c r="A40" s="15" t="inlineStr">
        <is>
          <t>2 Jun</t>
        </is>
      </c>
      <c r="B40" s="15" t="inlineStr">
        <is>
          <t>37158</t>
        </is>
      </c>
      <c r="C40" s="16" t="n">
        <v>1</v>
      </c>
      <c r="D40" s="47" t="n">
        <v>77.86</v>
      </c>
      <c r="E40" s="18" t="n">
        <v>3798</v>
      </c>
      <c r="F40" s="18" t="n">
        <v>3814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1</v>
      </c>
    </row>
    <row r="41">
      <c r="A41" s="15" t="inlineStr">
        <is>
          <t>2 Jun</t>
        </is>
      </c>
      <c r="B41" s="15" t="inlineStr">
        <is>
          <t>37261</t>
        </is>
      </c>
      <c r="C41" s="16" t="n">
        <v>1</v>
      </c>
      <c r="D41" s="47" t="n">
        <v>77.7</v>
      </c>
      <c r="E41" s="18" t="n">
        <v>3669</v>
      </c>
      <c r="F41" s="18" t="n">
        <v>3680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1</v>
      </c>
    </row>
    <row r="42">
      <c r="A42" s="15" t="inlineStr">
        <is>
          <t>2 Jun</t>
        </is>
      </c>
      <c r="B42" s="15" t="inlineStr">
        <is>
          <t>30460</t>
        </is>
      </c>
      <c r="C42" s="16" t="n">
        <v>1</v>
      </c>
      <c r="D42" s="47" t="n">
        <v>60.51</v>
      </c>
      <c r="E42" s="18" t="n">
        <v>3457</v>
      </c>
      <c r="F42" s="18" t="n">
        <v>3542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1</v>
      </c>
    </row>
    <row r="43">
      <c r="A43" s="15" t="inlineStr">
        <is>
          <t>2 Jun</t>
        </is>
      </c>
      <c r="B43" s="15" t="inlineStr">
        <is>
          <t>39049</t>
        </is>
      </c>
      <c r="C43" s="16" t="n">
        <v>1</v>
      </c>
      <c r="D43" s="47" t="n">
        <v>77.7</v>
      </c>
      <c r="E43" s="18" t="n">
        <v>3481</v>
      </c>
      <c r="F43" s="18" t="n">
        <v>3487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1</v>
      </c>
    </row>
    <row r="44">
      <c r="A44" s="15" t="inlineStr">
        <is>
          <t>2 Jun</t>
        </is>
      </c>
      <c r="B44" s="15" t="inlineStr">
        <is>
          <t>30488</t>
        </is>
      </c>
      <c r="C44" s="16" t="n">
        <v>1</v>
      </c>
      <c r="D44" s="47" t="n">
        <v>77.66</v>
      </c>
      <c r="E44" s="18" t="n">
        <v>3343</v>
      </c>
      <c r="F44" s="18" t="n">
        <v>3386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1</v>
      </c>
    </row>
    <row r="45">
      <c r="A45" s="15" t="inlineStr">
        <is>
          <t>2 Jun</t>
        </is>
      </c>
      <c r="B45" s="15" t="inlineStr">
        <is>
          <t>37054</t>
        </is>
      </c>
      <c r="C45" s="16" t="n">
        <v>1</v>
      </c>
      <c r="D45" s="47" t="n">
        <v>77.68000000000001</v>
      </c>
      <c r="E45" s="18" t="n">
        <v>3297</v>
      </c>
      <c r="F45" s="18" t="n">
        <v>3306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0</v>
      </c>
    </row>
    <row r="46">
      <c r="A46" s="15" t="inlineStr">
        <is>
          <t>2 Jun</t>
        </is>
      </c>
      <c r="B46" s="15" t="inlineStr">
        <is>
          <t>37816</t>
        </is>
      </c>
      <c r="C46" s="16" t="n">
        <v>1</v>
      </c>
      <c r="D46" s="47" t="n">
        <v>77.84999999999999</v>
      </c>
      <c r="E46" s="18" t="n">
        <v>3247</v>
      </c>
      <c r="F46" s="18" t="n">
        <v>3291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2</v>
      </c>
    </row>
    <row r="47">
      <c r="A47" s="15" t="inlineStr">
        <is>
          <t>2 Jun</t>
        </is>
      </c>
      <c r="B47" s="15" t="inlineStr">
        <is>
          <t>39336</t>
        </is>
      </c>
      <c r="C47" s="16" t="n">
        <v>1</v>
      </c>
      <c r="D47" s="47" t="n">
        <v>77.87</v>
      </c>
      <c r="E47" s="18" t="n">
        <v>3225</v>
      </c>
      <c r="F47" s="18" t="n">
        <v>3250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1</v>
      </c>
    </row>
    <row r="48">
      <c r="A48" s="15" t="inlineStr">
        <is>
          <t>2 Jun</t>
        </is>
      </c>
      <c r="B48" s="15" t="inlineStr">
        <is>
          <t>39192</t>
        </is>
      </c>
      <c r="C48" s="16" t="n">
        <v>1</v>
      </c>
      <c r="D48" s="47" t="n">
        <v>77.69</v>
      </c>
      <c r="E48" s="18" t="n">
        <v>3057</v>
      </c>
      <c r="F48" s="18" t="n">
        <v>3061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0</v>
      </c>
    </row>
    <row r="49">
      <c r="A49" s="15" t="inlineStr">
        <is>
          <t>2 Jun</t>
        </is>
      </c>
      <c r="B49" s="15" t="inlineStr">
        <is>
          <t>37332</t>
        </is>
      </c>
      <c r="C49" s="16" t="n">
        <v>1</v>
      </c>
      <c r="D49" s="47" t="n">
        <v>77.72</v>
      </c>
      <c r="E49" s="18" t="n">
        <v>2954</v>
      </c>
      <c r="F49" s="18" t="n">
        <v>2960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0</v>
      </c>
    </row>
    <row r="50">
      <c r="A50" s="15" t="inlineStr">
        <is>
          <t>2 Jun</t>
        </is>
      </c>
      <c r="B50" s="15" t="inlineStr">
        <is>
          <t>39320</t>
        </is>
      </c>
      <c r="C50" s="16" t="n">
        <v>1</v>
      </c>
      <c r="D50" s="47" t="n">
        <v>77.67</v>
      </c>
      <c r="E50" s="18" t="n">
        <v>2950</v>
      </c>
      <c r="F50" s="18" t="n">
        <v>2956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0</v>
      </c>
    </row>
    <row r="51">
      <c r="A51" s="15" t="inlineStr">
        <is>
          <t>2 Jun</t>
        </is>
      </c>
      <c r="B51" s="15" t="inlineStr">
        <is>
          <t>30397</t>
        </is>
      </c>
      <c r="C51" s="16" t="n">
        <v>1</v>
      </c>
      <c r="D51" s="47" t="n">
        <v>77.79000000000001</v>
      </c>
      <c r="E51" s="18" t="n">
        <v>2864</v>
      </c>
      <c r="F51" s="18" t="n">
        <v>2885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1</v>
      </c>
    </row>
    <row r="52">
      <c r="A52" s="15" t="inlineStr">
        <is>
          <t>2 Jun</t>
        </is>
      </c>
      <c r="B52" s="15" t="inlineStr">
        <is>
          <t>37677</t>
        </is>
      </c>
      <c r="C52" s="16" t="n">
        <v>1</v>
      </c>
      <c r="D52" s="47" t="n">
        <v>77.84999999999999</v>
      </c>
      <c r="E52" s="18" t="n">
        <v>2748</v>
      </c>
      <c r="F52" s="18" t="n">
        <v>2775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0</v>
      </c>
    </row>
    <row r="53">
      <c r="A53" s="15" t="inlineStr">
        <is>
          <t>2 Jun</t>
        </is>
      </c>
      <c r="B53" s="15" t="inlineStr">
        <is>
          <t>30206</t>
        </is>
      </c>
      <c r="C53" s="16" t="n">
        <v>1</v>
      </c>
      <c r="D53" s="47" t="n">
        <v>77.73</v>
      </c>
      <c r="E53" s="18" t="n">
        <v>2740</v>
      </c>
      <c r="F53" s="18" t="n">
        <v>2752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3</v>
      </c>
    </row>
    <row r="54">
      <c r="A54" s="15" t="inlineStr">
        <is>
          <t>2 Jun</t>
        </is>
      </c>
      <c r="B54" s="15" t="inlineStr">
        <is>
          <t>37917</t>
        </is>
      </c>
      <c r="C54" s="16" t="n">
        <v>1</v>
      </c>
      <c r="D54" s="47" t="n">
        <v>77.66</v>
      </c>
      <c r="E54" s="18" t="n">
        <v>2735</v>
      </c>
      <c r="F54" s="18" t="n">
        <v>2740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0</v>
      </c>
    </row>
    <row r="55">
      <c r="A55" s="15" t="inlineStr">
        <is>
          <t>2 Jun</t>
        </is>
      </c>
      <c r="B55" s="15" t="inlineStr">
        <is>
          <t>30543</t>
        </is>
      </c>
      <c r="C55" s="16" t="n">
        <v>1</v>
      </c>
      <c r="D55" s="47" t="n">
        <v>77.83</v>
      </c>
      <c r="E55" s="18" t="n">
        <v>2636</v>
      </c>
      <c r="F55" s="18" t="n">
        <v>2654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0</v>
      </c>
    </row>
    <row r="56">
      <c r="A56" s="15" t="inlineStr">
        <is>
          <t>2 Jun</t>
        </is>
      </c>
      <c r="B56" s="15" t="inlineStr">
        <is>
          <t>39381</t>
        </is>
      </c>
      <c r="C56" s="16" t="n">
        <v>1</v>
      </c>
      <c r="D56" s="47" t="n">
        <v>77.84999999999999</v>
      </c>
      <c r="E56" s="18" t="n">
        <v>2565</v>
      </c>
      <c r="F56" s="18" t="n">
        <v>2584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1</v>
      </c>
    </row>
    <row r="57">
      <c r="A57" s="15" t="inlineStr">
        <is>
          <t>2 Jun</t>
        </is>
      </c>
      <c r="B57" s="15" t="inlineStr">
        <is>
          <t>37453</t>
        </is>
      </c>
      <c r="C57" s="16" t="n">
        <v>1</v>
      </c>
      <c r="D57" s="47" t="n">
        <v>77.81999999999999</v>
      </c>
      <c r="E57" s="18" t="n">
        <v>2509</v>
      </c>
      <c r="F57" s="18" t="n">
        <v>2548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1</v>
      </c>
    </row>
    <row r="58">
      <c r="A58" s="15" t="inlineStr">
        <is>
          <t>2 Jun</t>
        </is>
      </c>
      <c r="B58" s="15" t="inlineStr">
        <is>
          <t>39364</t>
        </is>
      </c>
      <c r="C58" s="16" t="n">
        <v>1</v>
      </c>
      <c r="D58" s="47" t="n">
        <v>77.86</v>
      </c>
      <c r="E58" s="18" t="n">
        <v>1813</v>
      </c>
      <c r="F58" s="18" t="n">
        <v>1868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6</v>
      </c>
    </row>
    <row r="59">
      <c r="A59" s="15" t="inlineStr">
        <is>
          <t>2 Jun</t>
        </is>
      </c>
      <c r="B59" s="15" t="inlineStr">
        <is>
          <t>37864</t>
        </is>
      </c>
      <c r="C59" s="16" t="n">
        <v>1</v>
      </c>
      <c r="D59" s="47" t="n">
        <v>77.84</v>
      </c>
      <c r="E59" s="18" t="n">
        <v>0</v>
      </c>
      <c r="F59" s="18" t="n">
        <v>1638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0</v>
      </c>
    </row>
    <row r="60">
      <c r="A60" s="15" t="inlineStr">
        <is>
          <t>2 Jun</t>
        </is>
      </c>
      <c r="B60" s="15" t="inlineStr">
        <is>
          <t>37961</t>
        </is>
      </c>
      <c r="C60" s="16" t="n">
        <v>1</v>
      </c>
      <c r="D60" s="47" t="n">
        <v>77.73999999999999</v>
      </c>
      <c r="E60" s="18" t="n">
        <v>0</v>
      </c>
      <c r="F60" s="18" t="n">
        <v>1595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0</v>
      </c>
    </row>
    <row r="61">
      <c r="A61" s="15" t="inlineStr">
        <is>
          <t>2 Jun</t>
        </is>
      </c>
      <c r="B61" s="15" t="inlineStr">
        <is>
          <t>37325</t>
        </is>
      </c>
      <c r="C61" s="16" t="n">
        <v>1</v>
      </c>
      <c r="D61" s="47" t="n">
        <v>70.48</v>
      </c>
      <c r="E61" s="18" t="n">
        <v>0</v>
      </c>
      <c r="F61" s="18" t="n">
        <v>1573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0</v>
      </c>
    </row>
    <row r="62">
      <c r="A62" s="15" t="inlineStr">
        <is>
          <t>2 Jun</t>
        </is>
      </c>
      <c r="B62" s="15" t="inlineStr">
        <is>
          <t>39403</t>
        </is>
      </c>
      <c r="C62" s="16" t="n">
        <v>1</v>
      </c>
      <c r="D62" s="47" t="n">
        <v>77.83</v>
      </c>
      <c r="E62" s="18" t="n">
        <v>0</v>
      </c>
      <c r="F62" s="18" t="n">
        <v>1502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0</v>
      </c>
    </row>
    <row r="63">
      <c r="A63" s="15" t="inlineStr">
        <is>
          <t>2 Jun</t>
        </is>
      </c>
      <c r="B63" s="15" t="inlineStr">
        <is>
          <t>39217</t>
        </is>
      </c>
      <c r="C63" s="16" t="n">
        <v>0</v>
      </c>
      <c r="D63" s="47" t="n">
        <v>18.89</v>
      </c>
      <c r="E63" s="18" t="n">
        <v>749</v>
      </c>
      <c r="F63" s="18" t="n">
        <v>749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0</v>
      </c>
    </row>
    <row r="64">
      <c r="A64" s="15" t="inlineStr">
        <is>
          <t>2 Jun</t>
        </is>
      </c>
      <c r="B64" s="15" t="inlineStr">
        <is>
          <t>30197</t>
        </is>
      </c>
      <c r="C64" s="16" t="n">
        <v>0</v>
      </c>
      <c r="D64" s="47" t="n">
        <v>7.02</v>
      </c>
      <c r="E64" s="18" t="n">
        <v>195</v>
      </c>
      <c r="F64" s="18" t="n">
        <v>214</v>
      </c>
      <c r="G64" s="19">
        <f>IF(F64=0,0,E64/F64*100)</f>
        <v/>
      </c>
      <c r="H64" s="16" t="n">
        <v>1</v>
      </c>
      <c r="I64" s="16" t="n">
        <v>0</v>
      </c>
      <c r="J64" s="16" t="n">
        <v>1</v>
      </c>
      <c r="K64" s="16" t="n">
        <v>2</v>
      </c>
    </row>
    <row r="65">
      <c r="A65" s="20" t="inlineStr">
        <is>
          <t>2 Jun</t>
        </is>
      </c>
      <c r="B65" s="20" t="inlineStr">
        <is>
          <t>Day Total</t>
        </is>
      </c>
      <c r="C65" s="21">
        <f>SUM(C36:C64)</f>
        <v/>
      </c>
      <c r="D65" s="48">
        <f>SUM(D36:D64)</f>
        <v/>
      </c>
      <c r="E65" s="23">
        <f>SUM(E36:E64)</f>
        <v/>
      </c>
      <c r="F65" s="23">
        <f>SUMIF(E36:E64,"&gt;0",F36:F64)</f>
        <v/>
      </c>
      <c r="G65" s="24">
        <f>IF(F65=0,0,E65/F65*100)</f>
        <v/>
      </c>
      <c r="H65" s="21">
        <f>SUM(H36:H64)</f>
        <v/>
      </c>
      <c r="I65" s="21">
        <f>SUM(I36:I64)</f>
        <v/>
      </c>
      <c r="J65" s="21">
        <f>SUM(J36:J64)</f>
        <v/>
      </c>
      <c r="K65" s="21">
        <f>SUM(K36:K64)</f>
        <v/>
      </c>
    </row>
    <row r="66">
      <c r="A66" s="15" t="inlineStr">
        <is>
          <t>3 Jun</t>
        </is>
      </c>
      <c r="B66" s="15" t="inlineStr">
        <is>
          <t>39336</t>
        </is>
      </c>
      <c r="C66" s="16" t="n">
        <v>2</v>
      </c>
      <c r="D66" s="47" t="n">
        <v>77.87</v>
      </c>
      <c r="E66" s="18" t="n">
        <v>8611</v>
      </c>
      <c r="F66" s="18" t="n">
        <v>8733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2</v>
      </c>
    </row>
    <row r="67">
      <c r="A67" s="15" t="inlineStr">
        <is>
          <t>3 Jun</t>
        </is>
      </c>
      <c r="B67" s="15" t="inlineStr">
        <is>
          <t>39364</t>
        </is>
      </c>
      <c r="C67" s="16" t="n">
        <v>2</v>
      </c>
      <c r="D67" s="47" t="n">
        <v>77.84999999999999</v>
      </c>
      <c r="E67" s="18" t="n">
        <v>7237</v>
      </c>
      <c r="F67" s="18" t="n">
        <v>7355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2</v>
      </c>
    </row>
    <row r="68">
      <c r="A68" s="15" t="inlineStr">
        <is>
          <t>3 Jun</t>
        </is>
      </c>
      <c r="B68" s="15" t="inlineStr">
        <is>
          <t>30466</t>
        </is>
      </c>
      <c r="C68" s="16" t="n">
        <v>2</v>
      </c>
      <c r="D68" s="47" t="n">
        <v>77.84999999999999</v>
      </c>
      <c r="E68" s="18" t="n">
        <v>7175</v>
      </c>
      <c r="F68" s="18" t="n">
        <v>7287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4</v>
      </c>
    </row>
    <row r="69">
      <c r="A69" s="15" t="inlineStr">
        <is>
          <t>3 Jun</t>
        </is>
      </c>
      <c r="B69" s="15" t="inlineStr">
        <is>
          <t>30619</t>
        </is>
      </c>
      <c r="C69" s="16" t="n">
        <v>2</v>
      </c>
      <c r="D69" s="47" t="n">
        <v>77.84999999999999</v>
      </c>
      <c r="E69" s="18" t="n">
        <v>5594</v>
      </c>
      <c r="F69" s="18" t="n">
        <v>5641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4</v>
      </c>
    </row>
    <row r="70">
      <c r="A70" s="15" t="inlineStr">
        <is>
          <t>3 Jun</t>
        </is>
      </c>
      <c r="B70" s="15" t="inlineStr">
        <is>
          <t>37885</t>
        </is>
      </c>
      <c r="C70" s="16" t="n">
        <v>2</v>
      </c>
      <c r="D70" s="47" t="n">
        <v>77.69</v>
      </c>
      <c r="E70" s="18" t="n">
        <v>5341</v>
      </c>
      <c r="F70" s="18" t="n">
        <v>5477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2</v>
      </c>
    </row>
    <row r="71">
      <c r="A71" s="15" t="inlineStr">
        <is>
          <t>3 Jun</t>
        </is>
      </c>
      <c r="B71" s="15" t="inlineStr">
        <is>
          <t>37628</t>
        </is>
      </c>
      <c r="C71" s="16" t="n">
        <v>2</v>
      </c>
      <c r="D71" s="47" t="n">
        <v>77.84</v>
      </c>
      <c r="E71" s="18" t="n">
        <v>0</v>
      </c>
      <c r="F71" s="18" t="n">
        <v>3384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0</v>
      </c>
    </row>
    <row r="72">
      <c r="A72" s="15" t="inlineStr">
        <is>
          <t>3 Jun</t>
        </is>
      </c>
      <c r="B72" s="15" t="inlineStr">
        <is>
          <t>30739</t>
        </is>
      </c>
      <c r="C72" s="16" t="n">
        <v>2</v>
      </c>
      <c r="D72" s="47" t="n">
        <v>77.72</v>
      </c>
      <c r="E72" s="18" t="n">
        <v>2898</v>
      </c>
      <c r="F72" s="18" t="n">
        <v>2982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3</v>
      </c>
    </row>
    <row r="73">
      <c r="A73" s="15" t="inlineStr">
        <is>
          <t>3 Jun</t>
        </is>
      </c>
      <c r="B73" s="15" t="inlineStr">
        <is>
          <t>37780</t>
        </is>
      </c>
      <c r="C73" s="16" t="n">
        <v>1</v>
      </c>
      <c r="D73" s="47" t="n">
        <v>77.87</v>
      </c>
      <c r="E73" s="18" t="n">
        <v>7402</v>
      </c>
      <c r="F73" s="18" t="n">
        <v>7480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1</v>
      </c>
    </row>
    <row r="74">
      <c r="A74" s="15" t="inlineStr">
        <is>
          <t>3 Jun</t>
        </is>
      </c>
      <c r="B74" s="15" t="inlineStr">
        <is>
          <t>37934</t>
        </is>
      </c>
      <c r="C74" s="16" t="n">
        <v>1</v>
      </c>
      <c r="D74" s="47" t="n">
        <v>77.7</v>
      </c>
      <c r="E74" s="18" t="n">
        <v>4221</v>
      </c>
      <c r="F74" s="18" t="n">
        <v>4277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1</v>
      </c>
    </row>
    <row r="75">
      <c r="A75" s="15" t="inlineStr">
        <is>
          <t>3 Jun</t>
        </is>
      </c>
      <c r="B75" s="15" t="inlineStr">
        <is>
          <t>30335</t>
        </is>
      </c>
      <c r="C75" s="16" t="n">
        <v>1</v>
      </c>
      <c r="D75" s="47" t="n">
        <v>77.69</v>
      </c>
      <c r="E75" s="18" t="n">
        <v>4040</v>
      </c>
      <c r="F75" s="18" t="n">
        <v>4112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1</v>
      </c>
    </row>
    <row r="76">
      <c r="A76" s="15" t="inlineStr">
        <is>
          <t>3 Jun</t>
        </is>
      </c>
      <c r="B76" s="15" t="inlineStr">
        <is>
          <t>39328</t>
        </is>
      </c>
      <c r="C76" s="16" t="n">
        <v>1</v>
      </c>
      <c r="D76" s="47" t="n">
        <v>77.63</v>
      </c>
      <c r="E76" s="18" t="n">
        <v>3398</v>
      </c>
      <c r="F76" s="18" t="n">
        <v>3504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3</v>
      </c>
    </row>
    <row r="77">
      <c r="A77" s="15" t="inlineStr">
        <is>
          <t>3 Jun</t>
        </is>
      </c>
      <c r="B77" s="15" t="inlineStr">
        <is>
          <t>37224</t>
        </is>
      </c>
      <c r="C77" s="16" t="n">
        <v>1</v>
      </c>
      <c r="D77" s="47" t="n">
        <v>77.75</v>
      </c>
      <c r="E77" s="18" t="n">
        <v>3470</v>
      </c>
      <c r="F77" s="18" t="n">
        <v>3490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3</v>
      </c>
    </row>
    <row r="78">
      <c r="A78" s="15" t="inlineStr">
        <is>
          <t>3 Jun</t>
        </is>
      </c>
      <c r="B78" s="15" t="inlineStr">
        <is>
          <t>30339</t>
        </is>
      </c>
      <c r="C78" s="16" t="n">
        <v>1</v>
      </c>
      <c r="D78" s="47" t="n">
        <v>77.81</v>
      </c>
      <c r="E78" s="18" t="n">
        <v>3383</v>
      </c>
      <c r="F78" s="18" t="n">
        <v>3406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2</v>
      </c>
    </row>
    <row r="79">
      <c r="A79" s="15" t="inlineStr">
        <is>
          <t>3 Jun</t>
        </is>
      </c>
      <c r="B79" s="15" t="inlineStr">
        <is>
          <t>37033</t>
        </is>
      </c>
      <c r="C79" s="16" t="n">
        <v>1</v>
      </c>
      <c r="D79" s="47" t="n">
        <v>77.73</v>
      </c>
      <c r="E79" s="18" t="n">
        <v>3292</v>
      </c>
      <c r="F79" s="18" t="n">
        <v>3298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0</v>
      </c>
    </row>
    <row r="80">
      <c r="A80" s="15" t="inlineStr">
        <is>
          <t>3 Jun</t>
        </is>
      </c>
      <c r="B80" s="15" t="inlineStr">
        <is>
          <t>30463</t>
        </is>
      </c>
      <c r="C80" s="16" t="n">
        <v>1</v>
      </c>
      <c r="D80" s="47" t="n">
        <v>77.87</v>
      </c>
      <c r="E80" s="18" t="n">
        <v>3153</v>
      </c>
      <c r="F80" s="18" t="n">
        <v>3197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3</v>
      </c>
    </row>
    <row r="81">
      <c r="A81" s="15" t="inlineStr">
        <is>
          <t>3 Jun</t>
        </is>
      </c>
      <c r="B81" s="15" t="inlineStr">
        <is>
          <t>37830</t>
        </is>
      </c>
      <c r="C81" s="16" t="n">
        <v>1</v>
      </c>
      <c r="D81" s="47" t="n">
        <v>77.86</v>
      </c>
      <c r="E81" s="18" t="n">
        <v>2993</v>
      </c>
      <c r="F81" s="18" t="n">
        <v>3021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1</v>
      </c>
    </row>
    <row r="82">
      <c r="A82" s="15" t="inlineStr">
        <is>
          <t>3 Jun</t>
        </is>
      </c>
      <c r="B82" s="15" t="inlineStr">
        <is>
          <t>37569</t>
        </is>
      </c>
      <c r="C82" s="16" t="n">
        <v>1</v>
      </c>
      <c r="D82" s="47" t="n">
        <v>77.67</v>
      </c>
      <c r="E82" s="18" t="n">
        <v>2924</v>
      </c>
      <c r="F82" s="18" t="n">
        <v>2929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0</v>
      </c>
    </row>
    <row r="83">
      <c r="A83" s="15" t="inlineStr">
        <is>
          <t>3 Jun</t>
        </is>
      </c>
      <c r="B83" s="15" t="inlineStr">
        <is>
          <t>30340</t>
        </is>
      </c>
      <c r="C83" s="16" t="n">
        <v>1</v>
      </c>
      <c r="D83" s="47" t="n">
        <v>77.84</v>
      </c>
      <c r="E83" s="18" t="n">
        <v>2813</v>
      </c>
      <c r="F83" s="18" t="n">
        <v>2848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0</v>
      </c>
    </row>
    <row r="84">
      <c r="A84" s="15" t="inlineStr">
        <is>
          <t>3 Jun</t>
        </is>
      </c>
      <c r="B84" s="15" t="inlineStr">
        <is>
          <t>37322</t>
        </is>
      </c>
      <c r="C84" s="16" t="n">
        <v>1</v>
      </c>
      <c r="D84" s="47" t="n">
        <v>77.84</v>
      </c>
      <c r="E84" s="18" t="n">
        <v>2781</v>
      </c>
      <c r="F84" s="18" t="n">
        <v>2799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0</v>
      </c>
    </row>
    <row r="85">
      <c r="A85" s="15" t="inlineStr">
        <is>
          <t>3 Jun</t>
        </is>
      </c>
      <c r="B85" s="15" t="inlineStr">
        <is>
          <t>37853</t>
        </is>
      </c>
      <c r="C85" s="16" t="n">
        <v>1</v>
      </c>
      <c r="D85" s="47" t="n">
        <v>77.7</v>
      </c>
      <c r="E85" s="18" t="n">
        <v>2651</v>
      </c>
      <c r="F85" s="18" t="n">
        <v>2660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1</v>
      </c>
    </row>
    <row r="86">
      <c r="A86" s="15" t="inlineStr">
        <is>
          <t>3 Jun</t>
        </is>
      </c>
      <c r="B86" s="15" t="inlineStr">
        <is>
          <t>30240</t>
        </is>
      </c>
      <c r="C86" s="16" t="n">
        <v>1</v>
      </c>
      <c r="D86" s="47" t="n">
        <v>77.69</v>
      </c>
      <c r="E86" s="18" t="n">
        <v>2594</v>
      </c>
      <c r="F86" s="18" t="n">
        <v>2633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0</v>
      </c>
    </row>
    <row r="87">
      <c r="A87" s="15" t="inlineStr">
        <is>
          <t>3 Jun</t>
        </is>
      </c>
      <c r="B87" s="15" t="inlineStr">
        <is>
          <t>30352</t>
        </is>
      </c>
      <c r="C87" s="16" t="n">
        <v>1</v>
      </c>
      <c r="D87" s="47" t="n">
        <v>77.84999999999999</v>
      </c>
      <c r="E87" s="18" t="n">
        <v>2542</v>
      </c>
      <c r="F87" s="18" t="n">
        <v>2568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1</v>
      </c>
    </row>
    <row r="88">
      <c r="A88" s="15" t="inlineStr">
        <is>
          <t>3 Jun</t>
        </is>
      </c>
      <c r="B88" s="15" t="inlineStr">
        <is>
          <t>39351</t>
        </is>
      </c>
      <c r="C88" s="16" t="n">
        <v>1</v>
      </c>
      <c r="D88" s="47" t="n">
        <v>77.58</v>
      </c>
      <c r="E88" s="18" t="n">
        <v>0</v>
      </c>
      <c r="F88" s="18" t="n">
        <v>2536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0</v>
      </c>
    </row>
    <row r="89">
      <c r="A89" s="15" t="inlineStr">
        <is>
          <t>3 Jun</t>
        </is>
      </c>
      <c r="B89" s="15" t="inlineStr">
        <is>
          <t>30624</t>
        </is>
      </c>
      <c r="C89" s="16" t="n">
        <v>1</v>
      </c>
      <c r="D89" s="47" t="n">
        <v>77.73999999999999</v>
      </c>
      <c r="E89" s="18" t="n">
        <v>2391</v>
      </c>
      <c r="F89" s="18" t="n">
        <v>2505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2</v>
      </c>
    </row>
    <row r="90">
      <c r="A90" s="15" t="inlineStr">
        <is>
          <t>3 Jun</t>
        </is>
      </c>
      <c r="B90" s="15" t="inlineStr">
        <is>
          <t>30537</t>
        </is>
      </c>
      <c r="C90" s="16" t="n">
        <v>1</v>
      </c>
      <c r="D90" s="47" t="n">
        <v>77.84999999999999</v>
      </c>
      <c r="E90" s="18" t="n">
        <v>2308</v>
      </c>
      <c r="F90" s="18" t="n">
        <v>2329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0</v>
      </c>
    </row>
    <row r="91">
      <c r="A91" s="15" t="inlineStr">
        <is>
          <t>3 Jun</t>
        </is>
      </c>
      <c r="B91" s="15" t="inlineStr">
        <is>
          <t>30484</t>
        </is>
      </c>
      <c r="C91" s="16" t="n">
        <v>1</v>
      </c>
      <c r="D91" s="47" t="n">
        <v>0</v>
      </c>
      <c r="E91" s="18" t="n">
        <v>2050</v>
      </c>
      <c r="F91" s="18" t="n">
        <v>2070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0</v>
      </c>
    </row>
    <row r="92">
      <c r="A92" s="15" t="inlineStr">
        <is>
          <t>3 Jun</t>
        </is>
      </c>
      <c r="B92" s="15" t="inlineStr">
        <is>
          <t>39046</t>
        </is>
      </c>
      <c r="C92" s="16" t="n">
        <v>1</v>
      </c>
      <c r="D92" s="47" t="n">
        <v>0</v>
      </c>
      <c r="E92" s="18" t="n">
        <v>1500</v>
      </c>
      <c r="F92" s="18" t="n">
        <v>1510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0</v>
      </c>
    </row>
    <row r="93">
      <c r="A93" s="15" t="inlineStr">
        <is>
          <t>3 Jun</t>
        </is>
      </c>
      <c r="B93" s="15" t="inlineStr">
        <is>
          <t>37325</t>
        </is>
      </c>
      <c r="C93" s="16" t="n">
        <v>0</v>
      </c>
      <c r="D93" s="47" t="n">
        <v>7.27</v>
      </c>
      <c r="E93" s="18" t="n">
        <v>0</v>
      </c>
      <c r="F93" s="18" t="n">
        <v>261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0</v>
      </c>
    </row>
    <row r="94">
      <c r="A94" s="15" t="inlineStr">
        <is>
          <t>3 Jun</t>
        </is>
      </c>
      <c r="B94" s="15" t="inlineStr">
        <is>
          <t>30197</t>
        </is>
      </c>
      <c r="C94" s="16" t="n">
        <v>0</v>
      </c>
      <c r="D94" s="47" t="n">
        <v>2.56</v>
      </c>
      <c r="E94" s="18" t="n">
        <v>42</v>
      </c>
      <c r="F94" s="18" t="n">
        <v>74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0</v>
      </c>
    </row>
    <row r="95">
      <c r="A95" s="20" t="inlineStr">
        <is>
          <t>3 Jun</t>
        </is>
      </c>
      <c r="B95" s="20" t="inlineStr">
        <is>
          <t>Day Total</t>
        </is>
      </c>
      <c r="C95" s="21">
        <f>SUM(C66:C94)</f>
        <v/>
      </c>
      <c r="D95" s="48">
        <f>SUM(D66:D94)</f>
        <v/>
      </c>
      <c r="E95" s="23">
        <f>SUM(E66:E94)</f>
        <v/>
      </c>
      <c r="F95" s="23">
        <f>SUMIF(E66:E94,"&gt;0",F66:F94)</f>
        <v/>
      </c>
      <c r="G95" s="24">
        <f>IF(F95=0,0,E95/F95*100)</f>
        <v/>
      </c>
      <c r="H95" s="21">
        <f>SUM(H66:H94)</f>
        <v/>
      </c>
      <c r="I95" s="21">
        <f>SUM(I66:I94)</f>
        <v/>
      </c>
      <c r="J95" s="21">
        <f>SUM(J66:J94)</f>
        <v/>
      </c>
      <c r="K95" s="21">
        <f>SUM(K66:K94)</f>
        <v/>
      </c>
    </row>
    <row r="96">
      <c r="A96" s="15" t="inlineStr">
        <is>
          <t>4 Jun</t>
        </is>
      </c>
      <c r="B96" s="15" t="inlineStr">
        <is>
          <t>37793</t>
        </is>
      </c>
      <c r="C96" s="16" t="n">
        <v>2</v>
      </c>
      <c r="D96" s="47" t="n">
        <v>77.87</v>
      </c>
      <c r="E96" s="18" t="n">
        <v>9399</v>
      </c>
      <c r="F96" s="18" t="n">
        <v>9569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10</v>
      </c>
    </row>
    <row r="97">
      <c r="A97" s="15" t="inlineStr">
        <is>
          <t>4 Jun</t>
        </is>
      </c>
      <c r="B97" s="15" t="inlineStr">
        <is>
          <t>37163</t>
        </is>
      </c>
      <c r="C97" s="16" t="n">
        <v>2</v>
      </c>
      <c r="D97" s="47" t="n">
        <v>77.84999999999999</v>
      </c>
      <c r="E97" s="18" t="n">
        <v>8163</v>
      </c>
      <c r="F97" s="18" t="n">
        <v>8263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3</v>
      </c>
    </row>
    <row r="98">
      <c r="A98" s="15" t="inlineStr">
        <is>
          <t>4 Jun</t>
        </is>
      </c>
      <c r="B98" s="15" t="inlineStr">
        <is>
          <t>30669</t>
        </is>
      </c>
      <c r="C98" s="16" t="n">
        <v>2</v>
      </c>
      <c r="D98" s="47" t="n">
        <v>77.84999999999999</v>
      </c>
      <c r="E98" s="18" t="n">
        <v>7336</v>
      </c>
      <c r="F98" s="18" t="n">
        <v>7369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0</v>
      </c>
    </row>
    <row r="99">
      <c r="A99" s="15" t="inlineStr">
        <is>
          <t>4 Jun</t>
        </is>
      </c>
      <c r="B99" s="15" t="inlineStr">
        <is>
          <t>39252</t>
        </is>
      </c>
      <c r="C99" s="16" t="n">
        <v>2</v>
      </c>
      <c r="D99" s="47" t="n">
        <v>77.84999999999999</v>
      </c>
      <c r="E99" s="18" t="n">
        <v>6831</v>
      </c>
      <c r="F99" s="18" t="n">
        <v>6879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1</v>
      </c>
    </row>
    <row r="100">
      <c r="A100" s="15" t="inlineStr">
        <is>
          <t>4 Jun</t>
        </is>
      </c>
      <c r="B100" s="15" t="inlineStr">
        <is>
          <t>39565</t>
        </is>
      </c>
      <c r="C100" s="16" t="n">
        <v>2</v>
      </c>
      <c r="D100" s="47" t="n">
        <v>77.86</v>
      </c>
      <c r="E100" s="18" t="n">
        <v>6181</v>
      </c>
      <c r="F100" s="18" t="n">
        <v>6269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4</v>
      </c>
    </row>
    <row r="101">
      <c r="A101" s="15" t="inlineStr">
        <is>
          <t>4 Jun</t>
        </is>
      </c>
      <c r="B101" s="15" t="inlineStr">
        <is>
          <t>30339</t>
        </is>
      </c>
      <c r="C101" s="16" t="n">
        <v>2</v>
      </c>
      <c r="D101" s="47" t="n">
        <v>77.83</v>
      </c>
      <c r="E101" s="18" t="n">
        <v>5875</v>
      </c>
      <c r="F101" s="18" t="n">
        <v>5940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4</v>
      </c>
    </row>
    <row r="102">
      <c r="A102" s="15" t="inlineStr">
        <is>
          <t>4 Jun</t>
        </is>
      </c>
      <c r="B102" s="15" t="inlineStr">
        <is>
          <t>39514</t>
        </is>
      </c>
      <c r="C102" s="16" t="n">
        <v>1</v>
      </c>
      <c r="D102" s="47" t="n">
        <v>77.84999999999999</v>
      </c>
      <c r="E102" s="18" t="n">
        <v>5143</v>
      </c>
      <c r="F102" s="18" t="n">
        <v>5178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2</v>
      </c>
    </row>
    <row r="103">
      <c r="A103" s="15" t="inlineStr">
        <is>
          <t>4 Jun</t>
        </is>
      </c>
      <c r="B103" s="15" t="inlineStr">
        <is>
          <t>30488</t>
        </is>
      </c>
      <c r="C103" s="16" t="n">
        <v>1</v>
      </c>
      <c r="D103" s="47" t="n">
        <v>77.86</v>
      </c>
      <c r="E103" s="18" t="n">
        <v>4518</v>
      </c>
      <c r="F103" s="18" t="n">
        <v>4557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1</v>
      </c>
    </row>
    <row r="104">
      <c r="A104" s="15" t="inlineStr">
        <is>
          <t>4 Jun</t>
        </is>
      </c>
      <c r="B104" s="15" t="inlineStr">
        <is>
          <t>39046</t>
        </is>
      </c>
      <c r="C104" s="16" t="n">
        <v>1</v>
      </c>
      <c r="D104" s="47" t="n">
        <v>77.68000000000001</v>
      </c>
      <c r="E104" s="18" t="n">
        <v>4442</v>
      </c>
      <c r="F104" s="18" t="n">
        <v>4501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3</v>
      </c>
    </row>
    <row r="105">
      <c r="A105" s="15" t="inlineStr">
        <is>
          <t>4 Jun</t>
        </is>
      </c>
      <c r="B105" s="15" t="inlineStr">
        <is>
          <t>30206</t>
        </is>
      </c>
      <c r="C105" s="16" t="n">
        <v>1</v>
      </c>
      <c r="D105" s="47" t="n">
        <v>77.84999999999999</v>
      </c>
      <c r="E105" s="18" t="n">
        <v>3681</v>
      </c>
      <c r="F105" s="18" t="n">
        <v>3716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1</v>
      </c>
    </row>
    <row r="106">
      <c r="A106" s="15" t="inlineStr">
        <is>
          <t>4 Jun</t>
        </is>
      </c>
      <c r="B106" s="15" t="inlineStr">
        <is>
          <t>37356</t>
        </is>
      </c>
      <c r="C106" s="16" t="n">
        <v>1</v>
      </c>
      <c r="D106" s="47" t="n">
        <v>77.7</v>
      </c>
      <c r="E106" s="18" t="n">
        <v>3526</v>
      </c>
      <c r="F106" s="18" t="n">
        <v>3534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0</v>
      </c>
    </row>
    <row r="107">
      <c r="A107" s="15" t="inlineStr">
        <is>
          <t>4 Jun</t>
        </is>
      </c>
      <c r="B107" s="15" t="inlineStr">
        <is>
          <t>37816</t>
        </is>
      </c>
      <c r="C107" s="16" t="n">
        <v>1</v>
      </c>
      <c r="D107" s="47" t="n">
        <v>77.68000000000001</v>
      </c>
      <c r="E107" s="18" t="n">
        <v>3302</v>
      </c>
      <c r="F107" s="18" t="n">
        <v>3355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1</v>
      </c>
    </row>
    <row r="108">
      <c r="A108" s="15" t="inlineStr">
        <is>
          <t>4 Jun</t>
        </is>
      </c>
      <c r="B108" s="15" t="inlineStr">
        <is>
          <t>37332</t>
        </is>
      </c>
      <c r="C108" s="16" t="n">
        <v>1</v>
      </c>
      <c r="D108" s="47" t="n">
        <v>77.86</v>
      </c>
      <c r="E108" s="18" t="n">
        <v>3215</v>
      </c>
      <c r="F108" s="18" t="n">
        <v>3229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0</v>
      </c>
    </row>
    <row r="109">
      <c r="A109" s="15" t="inlineStr">
        <is>
          <t>4 Jun</t>
        </is>
      </c>
      <c r="B109" s="15" t="inlineStr">
        <is>
          <t>30466</t>
        </is>
      </c>
      <c r="C109" s="16" t="n">
        <v>1</v>
      </c>
      <c r="D109" s="47" t="n">
        <v>77.72</v>
      </c>
      <c r="E109" s="18" t="n">
        <v>2936</v>
      </c>
      <c r="F109" s="18" t="n">
        <v>2989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4</v>
      </c>
    </row>
    <row r="110">
      <c r="A110" s="15" t="inlineStr">
        <is>
          <t>4 Jun</t>
        </is>
      </c>
      <c r="B110" s="15" t="inlineStr">
        <is>
          <t>30576</t>
        </is>
      </c>
      <c r="C110" s="16" t="n">
        <v>1</v>
      </c>
      <c r="D110" s="47" t="n">
        <v>77.84999999999999</v>
      </c>
      <c r="E110" s="18" t="n">
        <v>2591</v>
      </c>
      <c r="F110" s="18" t="n">
        <v>2613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0</v>
      </c>
    </row>
    <row r="111">
      <c r="A111" s="15" t="inlineStr">
        <is>
          <t>4 Jun</t>
        </is>
      </c>
      <c r="B111" s="15" t="inlineStr">
        <is>
          <t>30451</t>
        </is>
      </c>
      <c r="C111" s="16" t="n">
        <v>1</v>
      </c>
      <c r="D111" s="47" t="n">
        <v>77.59</v>
      </c>
      <c r="E111" s="18" t="n">
        <v>2439</v>
      </c>
      <c r="F111" s="18" t="n">
        <v>2446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0</v>
      </c>
    </row>
    <row r="112">
      <c r="A112" s="15" t="inlineStr">
        <is>
          <t>4 Jun</t>
        </is>
      </c>
      <c r="B112" s="15" t="inlineStr">
        <is>
          <t>30542</t>
        </is>
      </c>
      <c r="C112" s="16" t="n">
        <v>1</v>
      </c>
      <c r="D112" s="47" t="n">
        <v>77.86</v>
      </c>
      <c r="E112" s="18" t="n">
        <v>2304</v>
      </c>
      <c r="F112" s="18" t="n">
        <v>2319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1</v>
      </c>
    </row>
    <row r="113">
      <c r="A113" s="15" t="inlineStr">
        <is>
          <t>4 Jun</t>
        </is>
      </c>
      <c r="B113" s="15" t="inlineStr">
        <is>
          <t>37340</t>
        </is>
      </c>
      <c r="C113" s="16" t="n">
        <v>1</v>
      </c>
      <c r="D113" s="47" t="n">
        <v>19.18</v>
      </c>
      <c r="E113" s="18" t="n">
        <v>2227</v>
      </c>
      <c r="F113" s="18" t="n">
        <v>2248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1</v>
      </c>
    </row>
    <row r="114">
      <c r="A114" s="15" t="inlineStr">
        <is>
          <t>4 Jun</t>
        </is>
      </c>
      <c r="B114" s="15" t="inlineStr">
        <is>
          <t>37437</t>
        </is>
      </c>
      <c r="C114" s="16" t="n">
        <v>1</v>
      </c>
      <c r="D114" s="47" t="n">
        <v>77.70999999999999</v>
      </c>
      <c r="E114" s="18" t="n">
        <v>2055</v>
      </c>
      <c r="F114" s="18" t="n">
        <v>2168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2</v>
      </c>
    </row>
    <row r="115">
      <c r="A115" s="15" t="inlineStr">
        <is>
          <t>4 Jun</t>
        </is>
      </c>
      <c r="B115" s="15" t="inlineStr">
        <is>
          <t>39143</t>
        </is>
      </c>
      <c r="C115" s="16" t="n">
        <v>1</v>
      </c>
      <c r="D115" s="47" t="n">
        <v>27.78</v>
      </c>
      <c r="E115" s="18" t="n">
        <v>1696</v>
      </c>
      <c r="F115" s="18" t="n">
        <v>1737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1</v>
      </c>
    </row>
    <row r="116">
      <c r="A116" s="15" t="inlineStr">
        <is>
          <t>4 Jun</t>
        </is>
      </c>
      <c r="B116" s="15" t="inlineStr">
        <is>
          <t>30795</t>
        </is>
      </c>
      <c r="C116" s="16" t="n">
        <v>1</v>
      </c>
      <c r="D116" s="47" t="n">
        <v>0</v>
      </c>
      <c r="E116" s="18" t="n">
        <v>1557</v>
      </c>
      <c r="F116" s="18" t="n">
        <v>1616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1</v>
      </c>
    </row>
    <row r="117">
      <c r="A117" s="15" t="inlineStr">
        <is>
          <t>4 Jun</t>
        </is>
      </c>
      <c r="B117" s="15" t="inlineStr">
        <is>
          <t>30223</t>
        </is>
      </c>
      <c r="C117" s="16" t="n">
        <v>1</v>
      </c>
      <c r="D117" s="47" t="n">
        <v>0</v>
      </c>
      <c r="E117" s="18" t="n">
        <v>1575</v>
      </c>
      <c r="F117" s="18" t="n">
        <v>1607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1</v>
      </c>
    </row>
    <row r="118">
      <c r="A118" s="15" t="inlineStr">
        <is>
          <t>4 Jun</t>
        </is>
      </c>
      <c r="B118" s="15" t="inlineStr">
        <is>
          <t>30428</t>
        </is>
      </c>
      <c r="C118" s="16" t="n">
        <v>1</v>
      </c>
      <c r="D118" s="47" t="n">
        <v>77.8</v>
      </c>
      <c r="E118" s="18" t="n">
        <v>1480</v>
      </c>
      <c r="F118" s="18" t="n">
        <v>1525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7</v>
      </c>
    </row>
    <row r="119">
      <c r="A119" s="15" t="inlineStr">
        <is>
          <t>4 Jun</t>
        </is>
      </c>
      <c r="B119" s="15" t="inlineStr">
        <is>
          <t>39351</t>
        </is>
      </c>
      <c r="C119" s="16" t="n">
        <v>1</v>
      </c>
      <c r="D119" s="47" t="n">
        <v>51.77</v>
      </c>
      <c r="E119" s="18" t="n">
        <v>0</v>
      </c>
      <c r="F119" s="18" t="n">
        <v>1436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0</v>
      </c>
    </row>
    <row r="120">
      <c r="A120" s="15" t="inlineStr">
        <is>
          <t>4 Jun</t>
        </is>
      </c>
      <c r="B120" s="15" t="inlineStr">
        <is>
          <t>30739</t>
        </is>
      </c>
      <c r="C120" s="16" t="n">
        <v>1</v>
      </c>
      <c r="D120" s="47" t="n">
        <v>0</v>
      </c>
      <c r="E120" s="18" t="n">
        <v>718</v>
      </c>
      <c r="F120" s="18" t="n">
        <v>718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0</v>
      </c>
    </row>
    <row r="121">
      <c r="A121" s="15" t="inlineStr">
        <is>
          <t>4 Jun</t>
        </is>
      </c>
      <c r="B121" s="15" t="inlineStr">
        <is>
          <t>37885</t>
        </is>
      </c>
      <c r="C121" s="16" t="n">
        <v>1</v>
      </c>
      <c r="D121" s="47" t="n">
        <v>0</v>
      </c>
      <c r="E121" s="18" t="n">
        <v>0</v>
      </c>
      <c r="F121" s="18" t="n">
        <v>23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0</v>
      </c>
    </row>
    <row r="122">
      <c r="A122" s="15" t="inlineStr">
        <is>
          <t>4 Jun</t>
        </is>
      </c>
      <c r="B122" s="15" t="inlineStr">
        <is>
          <t>30197</t>
        </is>
      </c>
      <c r="C122" s="16" t="n">
        <v>0</v>
      </c>
      <c r="D122" s="47" t="n">
        <v>1.24</v>
      </c>
      <c r="E122" s="18" t="n">
        <v>8</v>
      </c>
      <c r="F122" s="18" t="n">
        <v>31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0</v>
      </c>
    </row>
    <row r="123">
      <c r="A123" s="20" t="inlineStr">
        <is>
          <t>4 Jun</t>
        </is>
      </c>
      <c r="B123" s="20" t="inlineStr">
        <is>
          <t>Day Total</t>
        </is>
      </c>
      <c r="C123" s="21">
        <f>SUM(C96:C122)</f>
        <v/>
      </c>
      <c r="D123" s="48">
        <f>SUM(D96:D122)</f>
        <v/>
      </c>
      <c r="E123" s="23">
        <f>SUM(E96:E122)</f>
        <v/>
      </c>
      <c r="F123" s="23">
        <f>SUMIF(E96:E122,"&gt;0",F96:F122)</f>
        <v/>
      </c>
      <c r="G123" s="24">
        <f>IF(F123=0,0,E123/F123*100)</f>
        <v/>
      </c>
      <c r="H123" s="21">
        <f>SUM(H96:H122)</f>
        <v/>
      </c>
      <c r="I123" s="21">
        <f>SUM(I96:I122)</f>
        <v/>
      </c>
      <c r="J123" s="21">
        <f>SUM(J96:J122)</f>
        <v/>
      </c>
      <c r="K123" s="21">
        <f>SUM(K96:K122)</f>
        <v/>
      </c>
    </row>
    <row r="124">
      <c r="A124" s="15" t="inlineStr">
        <is>
          <t>5 Jun</t>
        </is>
      </c>
      <c r="B124" s="15" t="inlineStr">
        <is>
          <t>39336</t>
        </is>
      </c>
      <c r="C124" s="16" t="n">
        <v>2</v>
      </c>
      <c r="D124" s="47" t="n">
        <v>77.86</v>
      </c>
      <c r="E124" s="18" t="n">
        <v>7310</v>
      </c>
      <c r="F124" s="18" t="n">
        <v>7346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1</v>
      </c>
    </row>
    <row r="125">
      <c r="A125" s="15" t="inlineStr">
        <is>
          <t>5 Jun</t>
        </is>
      </c>
      <c r="B125" s="15" t="inlineStr">
        <is>
          <t>30339</t>
        </is>
      </c>
      <c r="C125" s="16" t="n">
        <v>2</v>
      </c>
      <c r="D125" s="47" t="n">
        <v>77.84999999999999</v>
      </c>
      <c r="E125" s="18" t="n">
        <v>7041</v>
      </c>
      <c r="F125" s="18" t="n">
        <v>7070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0</v>
      </c>
    </row>
    <row r="126">
      <c r="A126" s="15" t="inlineStr">
        <is>
          <t>5 Jun</t>
        </is>
      </c>
      <c r="B126" s="15" t="inlineStr">
        <is>
          <t>30488</t>
        </is>
      </c>
      <c r="C126" s="16" t="n">
        <v>2</v>
      </c>
      <c r="D126" s="47" t="n">
        <v>77.86</v>
      </c>
      <c r="E126" s="18" t="n">
        <v>6842</v>
      </c>
      <c r="F126" s="18" t="n">
        <v>6922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3</v>
      </c>
    </row>
    <row r="127">
      <c r="A127" s="15" t="inlineStr">
        <is>
          <t>5 Jun</t>
        </is>
      </c>
      <c r="B127" s="15" t="inlineStr">
        <is>
          <t>30739</t>
        </is>
      </c>
      <c r="C127" s="16" t="n">
        <v>2</v>
      </c>
      <c r="D127" s="47" t="n">
        <v>77.81999999999999</v>
      </c>
      <c r="E127" s="18" t="n">
        <v>3587</v>
      </c>
      <c r="F127" s="18" t="n">
        <v>3658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9</v>
      </c>
    </row>
    <row r="128">
      <c r="A128" s="15" t="inlineStr">
        <is>
          <t>5 Jun</t>
        </is>
      </c>
      <c r="B128" s="15" t="inlineStr">
        <is>
          <t>39328</t>
        </is>
      </c>
      <c r="C128" s="16" t="n">
        <v>1</v>
      </c>
      <c r="D128" s="47" t="n">
        <v>77.83</v>
      </c>
      <c r="E128" s="18" t="n">
        <v>4279</v>
      </c>
      <c r="F128" s="18" t="n">
        <v>4321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2</v>
      </c>
    </row>
    <row r="129">
      <c r="A129" s="15" t="inlineStr">
        <is>
          <t>5 Jun</t>
        </is>
      </c>
      <c r="B129" s="15" t="inlineStr">
        <is>
          <t>39501</t>
        </is>
      </c>
      <c r="C129" s="16" t="n">
        <v>1</v>
      </c>
      <c r="D129" s="47" t="n">
        <v>77.70999999999999</v>
      </c>
      <c r="E129" s="18" t="n">
        <v>4178</v>
      </c>
      <c r="F129" s="18" t="n">
        <v>4219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1</v>
      </c>
    </row>
    <row r="130">
      <c r="A130" s="15" t="inlineStr">
        <is>
          <t>5 Jun</t>
        </is>
      </c>
      <c r="B130" s="15" t="inlineStr">
        <is>
          <t>37856</t>
        </is>
      </c>
      <c r="C130" s="16" t="n">
        <v>1</v>
      </c>
      <c r="D130" s="47" t="n">
        <v>77.73999999999999</v>
      </c>
      <c r="E130" s="18" t="n">
        <v>4097</v>
      </c>
      <c r="F130" s="18" t="n">
        <v>4106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0</v>
      </c>
    </row>
    <row r="131">
      <c r="A131" s="15" t="inlineStr">
        <is>
          <t>5 Jun</t>
        </is>
      </c>
      <c r="B131" s="15" t="inlineStr">
        <is>
          <t>30215</t>
        </is>
      </c>
      <c r="C131" s="16" t="n">
        <v>1</v>
      </c>
      <c r="D131" s="47" t="n">
        <v>77.7</v>
      </c>
      <c r="E131" s="18" t="n">
        <v>4013</v>
      </c>
      <c r="F131" s="18" t="n">
        <v>4073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2</v>
      </c>
    </row>
    <row r="132">
      <c r="A132" s="15" t="inlineStr">
        <is>
          <t>5 Jun</t>
        </is>
      </c>
      <c r="B132" s="15" t="inlineStr">
        <is>
          <t>30721</t>
        </is>
      </c>
      <c r="C132" s="16" t="n">
        <v>1</v>
      </c>
      <c r="D132" s="47" t="n">
        <v>77.75</v>
      </c>
      <c r="E132" s="18" t="n">
        <v>3783</v>
      </c>
      <c r="F132" s="18" t="n">
        <v>3792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1</v>
      </c>
    </row>
    <row r="133">
      <c r="A133" s="15" t="inlineStr">
        <is>
          <t>5 Jun</t>
        </is>
      </c>
      <c r="B133" s="15" t="inlineStr">
        <is>
          <t>37786</t>
        </is>
      </c>
      <c r="C133" s="16" t="n">
        <v>1</v>
      </c>
      <c r="D133" s="47" t="n">
        <v>77.72</v>
      </c>
      <c r="E133" s="18" t="n">
        <v>3698</v>
      </c>
      <c r="F133" s="18" t="n">
        <v>3719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1</v>
      </c>
    </row>
    <row r="134">
      <c r="A134" s="15" t="inlineStr">
        <is>
          <t>5 Jun</t>
        </is>
      </c>
      <c r="B134" s="15" t="inlineStr">
        <is>
          <t>30352</t>
        </is>
      </c>
      <c r="C134" s="16" t="n">
        <v>1</v>
      </c>
      <c r="D134" s="47" t="n">
        <v>77.86</v>
      </c>
      <c r="E134" s="18" t="n">
        <v>3539</v>
      </c>
      <c r="F134" s="18" t="n">
        <v>3566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1</v>
      </c>
    </row>
    <row r="135">
      <c r="A135" s="15" t="inlineStr">
        <is>
          <t>5 Jun</t>
        </is>
      </c>
      <c r="B135" s="15" t="inlineStr">
        <is>
          <t>30464</t>
        </is>
      </c>
      <c r="C135" s="16" t="n">
        <v>1</v>
      </c>
      <c r="D135" s="47" t="n">
        <v>77.63</v>
      </c>
      <c r="E135" s="18" t="n">
        <v>3491</v>
      </c>
      <c r="F135" s="18" t="n">
        <v>3530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1</v>
      </c>
    </row>
    <row r="136">
      <c r="A136" s="15" t="inlineStr">
        <is>
          <t>5 Jun</t>
        </is>
      </c>
      <c r="B136" s="15" t="inlineStr">
        <is>
          <t>39159</t>
        </is>
      </c>
      <c r="C136" s="16" t="n">
        <v>1</v>
      </c>
      <c r="D136" s="47" t="n">
        <v>77.62</v>
      </c>
      <c r="E136" s="18" t="n">
        <v>3283</v>
      </c>
      <c r="F136" s="18" t="n">
        <v>3388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3</v>
      </c>
    </row>
    <row r="137">
      <c r="A137" s="15" t="inlineStr">
        <is>
          <t>5 Jun</t>
        </is>
      </c>
      <c r="B137" s="15" t="inlineStr">
        <is>
          <t>30335</t>
        </is>
      </c>
      <c r="C137" s="16" t="n">
        <v>1</v>
      </c>
      <c r="D137" s="47" t="n">
        <v>77.83</v>
      </c>
      <c r="E137" s="18" t="n">
        <v>3135</v>
      </c>
      <c r="F137" s="18" t="n">
        <v>3182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2</v>
      </c>
    </row>
    <row r="138">
      <c r="A138" s="15" t="inlineStr">
        <is>
          <t>5 Jun</t>
        </is>
      </c>
      <c r="B138" s="15" t="inlineStr">
        <is>
          <t>39466</t>
        </is>
      </c>
      <c r="C138" s="16" t="n">
        <v>1</v>
      </c>
      <c r="D138" s="47" t="n">
        <v>77.84999999999999</v>
      </c>
      <c r="E138" s="18" t="n">
        <v>3022</v>
      </c>
      <c r="F138" s="18" t="n">
        <v>3065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1</v>
      </c>
    </row>
    <row r="139">
      <c r="A139" s="15" t="inlineStr">
        <is>
          <t>5 Jun</t>
        </is>
      </c>
      <c r="B139" s="15" t="inlineStr">
        <is>
          <t>39046</t>
        </is>
      </c>
      <c r="C139" s="16" t="n">
        <v>1</v>
      </c>
      <c r="D139" s="47" t="n">
        <v>77.87</v>
      </c>
      <c r="E139" s="18" t="n">
        <v>2723</v>
      </c>
      <c r="F139" s="18" t="n">
        <v>2756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0</v>
      </c>
    </row>
    <row r="140">
      <c r="A140" s="15" t="inlineStr">
        <is>
          <t>5 Jun</t>
        </is>
      </c>
      <c r="B140" s="15" t="inlineStr">
        <is>
          <t>37853</t>
        </is>
      </c>
      <c r="C140" s="16" t="n">
        <v>1</v>
      </c>
      <c r="D140" s="47" t="n">
        <v>77.84</v>
      </c>
      <c r="E140" s="18" t="n">
        <v>2686</v>
      </c>
      <c r="F140" s="18" t="n">
        <v>2703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1</v>
      </c>
    </row>
    <row r="141">
      <c r="A141" s="15" t="inlineStr">
        <is>
          <t>5 Jun</t>
        </is>
      </c>
      <c r="B141" s="15" t="inlineStr">
        <is>
          <t>30006</t>
        </is>
      </c>
      <c r="C141" s="16" t="n">
        <v>1</v>
      </c>
      <c r="D141" s="47" t="n">
        <v>77.84</v>
      </c>
      <c r="E141" s="18" t="n">
        <v>2656</v>
      </c>
      <c r="F141" s="18" t="n">
        <v>2676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1</v>
      </c>
    </row>
    <row r="142">
      <c r="A142" s="15" t="inlineStr">
        <is>
          <t>5 Jun</t>
        </is>
      </c>
      <c r="B142" s="15" t="inlineStr">
        <is>
          <t>39353</t>
        </is>
      </c>
      <c r="C142" s="16" t="n">
        <v>1</v>
      </c>
      <c r="D142" s="47" t="n">
        <v>77.7</v>
      </c>
      <c r="E142" s="18" t="n">
        <v>2626</v>
      </c>
      <c r="F142" s="18" t="n">
        <v>2633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0</v>
      </c>
    </row>
    <row r="143">
      <c r="A143" s="15" t="inlineStr">
        <is>
          <t>5 Jun</t>
        </is>
      </c>
      <c r="B143" s="15" t="inlineStr">
        <is>
          <t>30543</t>
        </is>
      </c>
      <c r="C143" s="16" t="n">
        <v>1</v>
      </c>
      <c r="D143" s="47" t="n">
        <v>77.81</v>
      </c>
      <c r="E143" s="18" t="n">
        <v>2440</v>
      </c>
      <c r="F143" s="18" t="n">
        <v>2456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2</v>
      </c>
    </row>
    <row r="144">
      <c r="A144" s="15" t="inlineStr">
        <is>
          <t>5 Jun</t>
        </is>
      </c>
      <c r="B144" s="15" t="inlineStr">
        <is>
          <t>37834</t>
        </is>
      </c>
      <c r="C144" s="16" t="n">
        <v>1</v>
      </c>
      <c r="D144" s="47" t="n">
        <v>77.77</v>
      </c>
      <c r="E144" s="18" t="n">
        <v>2391</v>
      </c>
      <c r="F144" s="18" t="n">
        <v>2394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1</v>
      </c>
    </row>
    <row r="145">
      <c r="A145" s="15" t="inlineStr">
        <is>
          <t>5 Jun</t>
        </is>
      </c>
      <c r="B145" s="15" t="inlineStr">
        <is>
          <t>37464</t>
        </is>
      </c>
      <c r="C145" s="16" t="n">
        <v>1</v>
      </c>
      <c r="D145" s="47" t="n">
        <v>77.83</v>
      </c>
      <c r="E145" s="18" t="n">
        <v>1685</v>
      </c>
      <c r="F145" s="18" t="n">
        <v>1710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2</v>
      </c>
    </row>
    <row r="146">
      <c r="A146" s="15" t="inlineStr">
        <is>
          <t>5 Jun</t>
        </is>
      </c>
      <c r="B146" s="15" t="inlineStr">
        <is>
          <t>37494</t>
        </is>
      </c>
      <c r="C146" s="16" t="n">
        <v>1</v>
      </c>
      <c r="D146" s="47" t="n">
        <v>77.86</v>
      </c>
      <c r="E146" s="18" t="n">
        <v>0</v>
      </c>
      <c r="F146" s="18" t="n">
        <v>1637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0</v>
      </c>
    </row>
    <row r="147">
      <c r="A147" s="15" t="inlineStr">
        <is>
          <t>5 Jun</t>
        </is>
      </c>
      <c r="B147" s="15" t="inlineStr">
        <is>
          <t>37325</t>
        </is>
      </c>
      <c r="C147" s="16" t="n">
        <v>1</v>
      </c>
      <c r="D147" s="47" t="n">
        <v>77.7</v>
      </c>
      <c r="E147" s="18" t="n">
        <v>0</v>
      </c>
      <c r="F147" s="18" t="n">
        <v>1485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0</v>
      </c>
    </row>
    <row r="148">
      <c r="A148" s="15" t="inlineStr">
        <is>
          <t>5 Jun</t>
        </is>
      </c>
      <c r="B148" s="15" t="inlineStr">
        <is>
          <t>37628</t>
        </is>
      </c>
      <c r="C148" s="16" t="n">
        <v>1</v>
      </c>
      <c r="D148" s="47" t="n">
        <v>77.8</v>
      </c>
      <c r="E148" s="18" t="n">
        <v>0</v>
      </c>
      <c r="F148" s="18" t="n">
        <v>1425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0</v>
      </c>
    </row>
    <row r="149">
      <c r="A149" s="15" t="inlineStr">
        <is>
          <t>5 Jun</t>
        </is>
      </c>
      <c r="B149" s="15" t="inlineStr">
        <is>
          <t>30197</t>
        </is>
      </c>
      <c r="C149" s="16" t="n">
        <v>0</v>
      </c>
      <c r="D149" s="47" t="n">
        <v>8.59</v>
      </c>
      <c r="E149" s="18" t="n">
        <v>57</v>
      </c>
      <c r="F149" s="18" t="n">
        <v>106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0</v>
      </c>
    </row>
    <row r="150">
      <c r="A150" s="20" t="inlineStr">
        <is>
          <t>5 Jun</t>
        </is>
      </c>
      <c r="B150" s="20" t="inlineStr">
        <is>
          <t>Day Total</t>
        </is>
      </c>
      <c r="C150" s="21">
        <f>SUM(C124:C149)</f>
        <v/>
      </c>
      <c r="D150" s="48">
        <f>SUM(D124:D149)</f>
        <v/>
      </c>
      <c r="E150" s="23">
        <f>SUM(E124:E149)</f>
        <v/>
      </c>
      <c r="F150" s="23">
        <f>SUMIF(E124:E149,"&gt;0",F124:F149)</f>
        <v/>
      </c>
      <c r="G150" s="24">
        <f>IF(F150=0,0,E150/F150*100)</f>
        <v/>
      </c>
      <c r="H150" s="21">
        <f>SUM(H124:H149)</f>
        <v/>
      </c>
      <c r="I150" s="21">
        <f>SUM(I124:I149)</f>
        <v/>
      </c>
      <c r="J150" s="21">
        <f>SUM(J124:J149)</f>
        <v/>
      </c>
      <c r="K150" s="21">
        <f>SUM(K124:K149)</f>
        <v/>
      </c>
    </row>
    <row r="151">
      <c r="A151" s="15" t="inlineStr">
        <is>
          <t>6 Jun</t>
        </is>
      </c>
      <c r="B151" s="15" t="inlineStr">
        <is>
          <t>37793</t>
        </is>
      </c>
      <c r="C151" s="16" t="n">
        <v>2</v>
      </c>
      <c r="D151" s="47" t="n">
        <v>77.81999999999999</v>
      </c>
      <c r="E151" s="18" t="n">
        <v>9299</v>
      </c>
      <c r="F151" s="18" t="n">
        <v>9406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2</v>
      </c>
    </row>
    <row r="152">
      <c r="A152" s="15" t="inlineStr">
        <is>
          <t>6 Jun</t>
        </is>
      </c>
      <c r="B152" s="15" t="inlineStr">
        <is>
          <t>33672</t>
        </is>
      </c>
      <c r="C152" s="16" t="n">
        <v>2</v>
      </c>
      <c r="D152" s="47" t="n">
        <v>77.69</v>
      </c>
      <c r="E152" s="18" t="n">
        <v>8521</v>
      </c>
      <c r="F152" s="18" t="n">
        <v>8571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1</v>
      </c>
    </row>
    <row r="153">
      <c r="A153" s="15" t="inlineStr">
        <is>
          <t>6 Jun</t>
        </is>
      </c>
      <c r="B153" s="15" t="inlineStr">
        <is>
          <t>39252</t>
        </is>
      </c>
      <c r="C153" s="16" t="n">
        <v>2</v>
      </c>
      <c r="D153" s="47" t="n">
        <v>77.86</v>
      </c>
      <c r="E153" s="18" t="n">
        <v>7955</v>
      </c>
      <c r="F153" s="18" t="n">
        <v>8103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4</v>
      </c>
    </row>
    <row r="154">
      <c r="A154" s="15" t="inlineStr">
        <is>
          <t>6 Jun</t>
        </is>
      </c>
      <c r="B154" s="15" t="inlineStr">
        <is>
          <t>37163</t>
        </is>
      </c>
      <c r="C154" s="16" t="n">
        <v>2</v>
      </c>
      <c r="D154" s="47" t="n">
        <v>77.84999999999999</v>
      </c>
      <c r="E154" s="18" t="n">
        <v>7613</v>
      </c>
      <c r="F154" s="18" t="n">
        <v>7728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2</v>
      </c>
    </row>
    <row r="155">
      <c r="A155" s="15" t="inlineStr">
        <is>
          <t>6 Jun</t>
        </is>
      </c>
      <c r="B155" s="15" t="inlineStr">
        <is>
          <t>37219</t>
        </is>
      </c>
      <c r="C155" s="16" t="n">
        <v>2</v>
      </c>
      <c r="D155" s="47" t="n">
        <v>77.84999999999999</v>
      </c>
      <c r="E155" s="18" t="n">
        <v>7388</v>
      </c>
      <c r="F155" s="18" t="n">
        <v>7441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1</v>
      </c>
    </row>
    <row r="156">
      <c r="A156" s="15" t="inlineStr">
        <is>
          <t>6 Jun</t>
        </is>
      </c>
      <c r="B156" s="15" t="inlineStr">
        <is>
          <t>30335</t>
        </is>
      </c>
      <c r="C156" s="16" t="n">
        <v>2</v>
      </c>
      <c r="D156" s="47" t="n">
        <v>77.84</v>
      </c>
      <c r="E156" s="18" t="n">
        <v>7077</v>
      </c>
      <c r="F156" s="18" t="n">
        <v>7201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2</v>
      </c>
    </row>
    <row r="157">
      <c r="A157" s="15" t="inlineStr">
        <is>
          <t>6 Jun</t>
        </is>
      </c>
      <c r="B157" s="15" t="inlineStr">
        <is>
          <t>37677</t>
        </is>
      </c>
      <c r="C157" s="16" t="n">
        <v>2</v>
      </c>
      <c r="D157" s="47" t="n">
        <v>77.86</v>
      </c>
      <c r="E157" s="18" t="n">
        <v>5321</v>
      </c>
      <c r="F157" s="18" t="n">
        <v>6077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4</v>
      </c>
    </row>
    <row r="158">
      <c r="A158" s="15" t="inlineStr">
        <is>
          <t>6 Jun</t>
        </is>
      </c>
      <c r="B158" s="15" t="inlineStr">
        <is>
          <t>39014</t>
        </is>
      </c>
      <c r="C158" s="16" t="n">
        <v>2</v>
      </c>
      <c r="D158" s="47" t="n">
        <v>77.86</v>
      </c>
      <c r="E158" s="18" t="n">
        <v>5973</v>
      </c>
      <c r="F158" s="18" t="n">
        <v>6025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3</v>
      </c>
    </row>
    <row r="159">
      <c r="A159" s="15" t="inlineStr">
        <is>
          <t>6 Jun</t>
        </is>
      </c>
      <c r="B159" s="15" t="inlineStr">
        <is>
          <t>39565</t>
        </is>
      </c>
      <c r="C159" s="16" t="n">
        <v>2</v>
      </c>
      <c r="D159" s="47" t="n">
        <v>77.87</v>
      </c>
      <c r="E159" s="18" t="n">
        <v>5580</v>
      </c>
      <c r="F159" s="18" t="n">
        <v>6017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1</v>
      </c>
    </row>
    <row r="160">
      <c r="A160" s="15" t="inlineStr">
        <is>
          <t>6 Jun</t>
        </is>
      </c>
      <c r="B160" s="15" t="inlineStr">
        <is>
          <t>30006</t>
        </is>
      </c>
      <c r="C160" s="16" t="n">
        <v>2</v>
      </c>
      <c r="D160" s="47" t="n">
        <v>77.86</v>
      </c>
      <c r="E160" s="18" t="n">
        <v>4922</v>
      </c>
      <c r="F160" s="18" t="n">
        <v>4954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2</v>
      </c>
    </row>
    <row r="161">
      <c r="A161" s="15" t="inlineStr">
        <is>
          <t>6 Jun</t>
        </is>
      </c>
      <c r="B161" s="15" t="inlineStr">
        <is>
          <t>37424</t>
        </is>
      </c>
      <c r="C161" s="16" t="n">
        <v>1</v>
      </c>
      <c r="D161" s="47" t="n">
        <v>77.84999999999999</v>
      </c>
      <c r="E161" s="18" t="n">
        <v>4872</v>
      </c>
      <c r="F161" s="18" t="n">
        <v>4930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2</v>
      </c>
    </row>
    <row r="162">
      <c r="A162" s="15" t="inlineStr">
        <is>
          <t>6 Jun</t>
        </is>
      </c>
      <c r="B162" s="15" t="inlineStr">
        <is>
          <t>37618</t>
        </is>
      </c>
      <c r="C162" s="16" t="n">
        <v>1</v>
      </c>
      <c r="D162" s="47" t="n">
        <v>77.84</v>
      </c>
      <c r="E162" s="18" t="n">
        <v>4312</v>
      </c>
      <c r="F162" s="18" t="n">
        <v>4359</v>
      </c>
      <c r="G162" s="19">
        <f>IF(F162=0,0,E162/F162*100)</f>
        <v/>
      </c>
      <c r="H162" s="16" t="n">
        <v>1</v>
      </c>
      <c r="I162" s="16" t="n">
        <v>1</v>
      </c>
      <c r="J162" s="16" t="n">
        <v>0</v>
      </c>
      <c r="K162" s="16" t="n">
        <v>0</v>
      </c>
    </row>
    <row r="163">
      <c r="A163" s="15" t="inlineStr">
        <is>
          <t>6 Jun</t>
        </is>
      </c>
      <c r="B163" s="15" t="inlineStr">
        <is>
          <t>30466</t>
        </is>
      </c>
      <c r="C163" s="16" t="n">
        <v>1</v>
      </c>
      <c r="D163" s="47" t="n">
        <v>77.81</v>
      </c>
      <c r="E163" s="18" t="n">
        <v>3728</v>
      </c>
      <c r="F163" s="18" t="n">
        <v>3773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1</v>
      </c>
    </row>
    <row r="164">
      <c r="A164" s="15" t="inlineStr">
        <is>
          <t>6 Jun</t>
        </is>
      </c>
      <c r="B164" s="15" t="inlineStr">
        <is>
          <t>30722</t>
        </is>
      </c>
      <c r="C164" s="16" t="n">
        <v>1</v>
      </c>
      <c r="D164" s="47" t="n">
        <v>77.84</v>
      </c>
      <c r="E164" s="18" t="n">
        <v>3538</v>
      </c>
      <c r="F164" s="18" t="n">
        <v>3593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3</v>
      </c>
    </row>
    <row r="165">
      <c r="A165" s="15" t="inlineStr">
        <is>
          <t>6 Jun</t>
        </is>
      </c>
      <c r="B165" s="15" t="inlineStr">
        <is>
          <t>37397</t>
        </is>
      </c>
      <c r="C165" s="16" t="n">
        <v>1</v>
      </c>
      <c r="D165" s="47" t="n">
        <v>77.83</v>
      </c>
      <c r="E165" s="18" t="n">
        <v>3461</v>
      </c>
      <c r="F165" s="18" t="n">
        <v>3506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1</v>
      </c>
    </row>
    <row r="166">
      <c r="A166" s="15" t="inlineStr">
        <is>
          <t>6 Jun</t>
        </is>
      </c>
      <c r="B166" s="15" t="inlineStr">
        <is>
          <t>39197</t>
        </is>
      </c>
      <c r="C166" s="16" t="n">
        <v>1</v>
      </c>
      <c r="D166" s="47" t="n">
        <v>77.83</v>
      </c>
      <c r="E166" s="18" t="n">
        <v>3247</v>
      </c>
      <c r="F166" s="18" t="n">
        <v>3267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1</v>
      </c>
    </row>
    <row r="167">
      <c r="A167" s="15" t="inlineStr">
        <is>
          <t>6 Jun</t>
        </is>
      </c>
      <c r="B167" s="15" t="inlineStr">
        <is>
          <t>39017</t>
        </is>
      </c>
      <c r="C167" s="16" t="n">
        <v>1</v>
      </c>
      <c r="D167" s="47" t="n">
        <v>16.77</v>
      </c>
      <c r="E167" s="18" t="n">
        <v>2986</v>
      </c>
      <c r="F167" s="18" t="n">
        <v>3121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3</v>
      </c>
    </row>
    <row r="168">
      <c r="A168" s="15" t="inlineStr">
        <is>
          <t>6 Jun</t>
        </is>
      </c>
      <c r="B168" s="15" t="inlineStr">
        <is>
          <t>30572</t>
        </is>
      </c>
      <c r="C168" s="16" t="n">
        <v>1</v>
      </c>
      <c r="D168" s="47" t="n">
        <v>77.65000000000001</v>
      </c>
      <c r="E168" s="18" t="n">
        <v>2920</v>
      </c>
      <c r="F168" s="18" t="n">
        <v>3105</v>
      </c>
      <c r="G168" s="19">
        <f>IF(F168=0,0,E168/F168*100)</f>
        <v/>
      </c>
      <c r="H168" s="16" t="n">
        <v>1</v>
      </c>
      <c r="I168" s="16" t="n">
        <v>1</v>
      </c>
      <c r="J168" s="16" t="n">
        <v>0</v>
      </c>
      <c r="K168" s="16" t="n">
        <v>1</v>
      </c>
    </row>
    <row r="169">
      <c r="A169" s="15" t="inlineStr">
        <is>
          <t>6 Jun</t>
        </is>
      </c>
      <c r="B169" s="15" t="inlineStr">
        <is>
          <t>37552</t>
        </is>
      </c>
      <c r="C169" s="16" t="n">
        <v>1</v>
      </c>
      <c r="D169" s="47" t="n">
        <v>77.70999999999999</v>
      </c>
      <c r="E169" s="18" t="n">
        <v>2931</v>
      </c>
      <c r="F169" s="18" t="n">
        <v>2939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0</v>
      </c>
    </row>
    <row r="170">
      <c r="A170" s="15" t="inlineStr">
        <is>
          <t>6 Jun</t>
        </is>
      </c>
      <c r="B170" s="15" t="inlineStr">
        <is>
          <t>30463</t>
        </is>
      </c>
      <c r="C170" s="16" t="n">
        <v>1</v>
      </c>
      <c r="D170" s="47" t="n">
        <v>77.69</v>
      </c>
      <c r="E170" s="18" t="n">
        <v>2783</v>
      </c>
      <c r="F170" s="18" t="n">
        <v>2818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4</v>
      </c>
    </row>
    <row r="171">
      <c r="A171" s="15" t="inlineStr">
        <is>
          <t>6 Jun</t>
        </is>
      </c>
      <c r="B171" s="15" t="inlineStr">
        <is>
          <t>37513</t>
        </is>
      </c>
      <c r="C171" s="16" t="n">
        <v>1</v>
      </c>
      <c r="D171" s="47" t="n">
        <v>77.83</v>
      </c>
      <c r="E171" s="18" t="n">
        <v>2631</v>
      </c>
      <c r="F171" s="18" t="n">
        <v>2683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3</v>
      </c>
    </row>
    <row r="172">
      <c r="A172" s="15" t="inlineStr">
        <is>
          <t>6 Jun</t>
        </is>
      </c>
      <c r="B172" s="15" t="inlineStr">
        <is>
          <t>30443</t>
        </is>
      </c>
      <c r="C172" s="16" t="n">
        <v>1</v>
      </c>
      <c r="D172" s="47" t="n">
        <v>77.67</v>
      </c>
      <c r="E172" s="18" t="n">
        <v>2538</v>
      </c>
      <c r="F172" s="18" t="n">
        <v>2645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1</v>
      </c>
    </row>
    <row r="173">
      <c r="A173" s="15" t="inlineStr">
        <is>
          <t>6 Jun</t>
        </is>
      </c>
      <c r="B173" s="15" t="inlineStr">
        <is>
          <t>37073</t>
        </is>
      </c>
      <c r="C173" s="16" t="n">
        <v>1</v>
      </c>
      <c r="D173" s="47" t="n">
        <v>77.69</v>
      </c>
      <c r="E173" s="18" t="n">
        <v>2572</v>
      </c>
      <c r="F173" s="18" t="n">
        <v>2637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0</v>
      </c>
    </row>
    <row r="174">
      <c r="A174" s="15" t="inlineStr">
        <is>
          <t>6 Jun</t>
        </is>
      </c>
      <c r="B174" s="15" t="inlineStr">
        <is>
          <t>35047</t>
        </is>
      </c>
      <c r="C174" s="16" t="n">
        <v>1</v>
      </c>
      <c r="D174" s="47" t="n">
        <v>77.83</v>
      </c>
      <c r="E174" s="18" t="n">
        <v>2575</v>
      </c>
      <c r="F174" s="18" t="n">
        <v>2589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0</v>
      </c>
    </row>
    <row r="175">
      <c r="A175" s="15" t="inlineStr">
        <is>
          <t>6 Jun</t>
        </is>
      </c>
      <c r="B175" s="15" t="inlineStr">
        <is>
          <t>37054</t>
        </is>
      </c>
      <c r="C175" s="16" t="n">
        <v>1</v>
      </c>
      <c r="D175" s="47" t="n">
        <v>77.70999999999999</v>
      </c>
      <c r="E175" s="18" t="n">
        <v>2500</v>
      </c>
      <c r="F175" s="18" t="n">
        <v>2508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0</v>
      </c>
    </row>
    <row r="176">
      <c r="A176" s="15" t="inlineStr">
        <is>
          <t>6 Jun</t>
        </is>
      </c>
      <c r="B176" s="15" t="inlineStr">
        <is>
          <t>37353</t>
        </is>
      </c>
      <c r="C176" s="16" t="n">
        <v>1</v>
      </c>
      <c r="D176" s="47" t="n">
        <v>19.2</v>
      </c>
      <c r="E176" s="18" t="n">
        <v>2103</v>
      </c>
      <c r="F176" s="18" t="n">
        <v>2475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6</v>
      </c>
    </row>
    <row r="177">
      <c r="A177" s="15" t="inlineStr">
        <is>
          <t>6 Jun</t>
        </is>
      </c>
      <c r="B177" s="15" t="inlineStr">
        <is>
          <t>30339</t>
        </is>
      </c>
      <c r="C177" s="16" t="n">
        <v>1</v>
      </c>
      <c r="D177" s="47" t="n">
        <v>77.72</v>
      </c>
      <c r="E177" s="18" t="n">
        <v>2423</v>
      </c>
      <c r="F177" s="18" t="n">
        <v>2431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0</v>
      </c>
    </row>
    <row r="178">
      <c r="A178" s="15" t="inlineStr">
        <is>
          <t>6 Jun</t>
        </is>
      </c>
      <c r="B178" s="15" t="inlineStr">
        <is>
          <t>30537</t>
        </is>
      </c>
      <c r="C178" s="16" t="n">
        <v>1</v>
      </c>
      <c r="D178" s="47" t="n">
        <v>77.84999999999999</v>
      </c>
      <c r="E178" s="18" t="n">
        <v>2379</v>
      </c>
      <c r="F178" s="18" t="n">
        <v>2392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1</v>
      </c>
    </row>
    <row r="179">
      <c r="A179" s="15" t="inlineStr">
        <is>
          <t>6 Jun</t>
        </is>
      </c>
      <c r="B179" s="15" t="inlineStr">
        <is>
          <t>39403</t>
        </is>
      </c>
      <c r="C179" s="16" t="n">
        <v>1</v>
      </c>
      <c r="D179" s="47" t="n">
        <v>77.78</v>
      </c>
      <c r="E179" s="18" t="n">
        <v>0</v>
      </c>
      <c r="F179" s="18" t="n">
        <v>2328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0</v>
      </c>
    </row>
    <row r="180">
      <c r="A180" s="15" t="inlineStr">
        <is>
          <t>6 Jun</t>
        </is>
      </c>
      <c r="B180" s="15" t="inlineStr">
        <is>
          <t>30404</t>
        </is>
      </c>
      <c r="C180" s="16" t="n">
        <v>1</v>
      </c>
      <c r="D180" s="47" t="n">
        <v>77.7</v>
      </c>
      <c r="E180" s="18" t="n">
        <v>1792</v>
      </c>
      <c r="F180" s="18" t="n">
        <v>1908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1</v>
      </c>
    </row>
    <row r="181">
      <c r="A181" s="15" t="inlineStr">
        <is>
          <t>6 Jun</t>
        </is>
      </c>
      <c r="B181" s="15" t="inlineStr">
        <is>
          <t>39472</t>
        </is>
      </c>
      <c r="C181" s="16" t="n">
        <v>1</v>
      </c>
      <c r="D181" s="47" t="n">
        <v>77.36</v>
      </c>
      <c r="E181" s="18" t="n">
        <v>0</v>
      </c>
      <c r="F181" s="18" t="n">
        <v>1700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0</v>
      </c>
    </row>
    <row r="182">
      <c r="A182" s="15" t="inlineStr">
        <is>
          <t>6 Jun</t>
        </is>
      </c>
      <c r="B182" s="15" t="inlineStr">
        <is>
          <t>37629</t>
        </is>
      </c>
      <c r="C182" s="16" t="n">
        <v>1</v>
      </c>
      <c r="D182" s="47" t="n">
        <v>77.79000000000001</v>
      </c>
      <c r="E182" s="18" t="n">
        <v>0</v>
      </c>
      <c r="F182" s="18" t="n">
        <v>1536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0</v>
      </c>
    </row>
    <row r="183">
      <c r="A183" s="15" t="inlineStr">
        <is>
          <t>6 Jun</t>
        </is>
      </c>
      <c r="B183" s="15" t="inlineStr">
        <is>
          <t>30748</t>
        </is>
      </c>
      <c r="C183" s="16" t="n">
        <v>1</v>
      </c>
      <c r="D183" s="47" t="n">
        <v>72.3</v>
      </c>
      <c r="E183" s="18" t="n">
        <v>0</v>
      </c>
      <c r="F183" s="18" t="n">
        <v>59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0</v>
      </c>
    </row>
    <row r="184">
      <c r="A184" s="15" t="inlineStr">
        <is>
          <t>6 Jun</t>
        </is>
      </c>
      <c r="B184" s="15" t="inlineStr">
        <is>
          <t>43821</t>
        </is>
      </c>
      <c r="C184" s="16" t="n">
        <v>0</v>
      </c>
      <c r="D184" s="47" t="n">
        <v>32.16</v>
      </c>
      <c r="E184" s="18" t="n">
        <v>1363</v>
      </c>
      <c r="F184" s="18" t="n">
        <v>1509</v>
      </c>
      <c r="G184" s="19">
        <f>IF(F184=0,0,E184/F184*100)</f>
        <v/>
      </c>
      <c r="H184" s="16" t="n">
        <v>2</v>
      </c>
      <c r="I184" s="16" t="n">
        <v>2</v>
      </c>
      <c r="J184" s="16" t="n">
        <v>0</v>
      </c>
      <c r="K184" s="16" t="n">
        <v>2</v>
      </c>
    </row>
    <row r="185">
      <c r="A185" s="15" t="inlineStr">
        <is>
          <t>6 Jun</t>
        </is>
      </c>
      <c r="B185" s="15" t="inlineStr">
        <is>
          <t>37325</t>
        </is>
      </c>
      <c r="C185" s="16" t="n">
        <v>0</v>
      </c>
      <c r="D185" s="47" t="n">
        <v>16.38</v>
      </c>
      <c r="E185" s="18" t="n">
        <v>0</v>
      </c>
      <c r="F185" s="18" t="n">
        <v>416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0</v>
      </c>
    </row>
    <row r="186">
      <c r="A186" s="20" t="inlineStr">
        <is>
          <t>6 Jun</t>
        </is>
      </c>
      <c r="B186" s="20" t="inlineStr">
        <is>
          <t>Day Total</t>
        </is>
      </c>
      <c r="C186" s="21">
        <f>SUM(C151:C185)</f>
        <v/>
      </c>
      <c r="D186" s="48">
        <f>SUM(D151:D185)</f>
        <v/>
      </c>
      <c r="E186" s="23">
        <f>SUM(E151:E185)</f>
        <v/>
      </c>
      <c r="F186" s="23">
        <f>SUMIF(E151:E185,"&gt;0",F151:F185)</f>
        <v/>
      </c>
      <c r="G186" s="24">
        <f>IF(F186=0,0,E186/F186*100)</f>
        <v/>
      </c>
      <c r="H186" s="21">
        <f>SUM(H151:H185)</f>
        <v/>
      </c>
      <c r="I186" s="21">
        <f>SUM(I151:I185)</f>
        <v/>
      </c>
      <c r="J186" s="21">
        <f>SUM(J151:J185)</f>
        <v/>
      </c>
      <c r="K186" s="21">
        <f>SUM(K151:K185)</f>
        <v/>
      </c>
    </row>
    <row r="187">
      <c r="A187" s="15" t="inlineStr">
        <is>
          <t>7 Jun</t>
        </is>
      </c>
      <c r="B187" s="15" t="inlineStr">
        <is>
          <t>30488</t>
        </is>
      </c>
      <c r="C187" s="16" t="n">
        <v>2</v>
      </c>
      <c r="D187" s="47" t="n">
        <v>77.81999999999999</v>
      </c>
      <c r="E187" s="18" t="n">
        <v>8338</v>
      </c>
      <c r="F187" s="18" t="n">
        <v>8437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5</v>
      </c>
    </row>
    <row r="188">
      <c r="A188" s="15" t="inlineStr">
        <is>
          <t>7 Jun</t>
        </is>
      </c>
      <c r="B188" s="15" t="inlineStr">
        <is>
          <t>30307</t>
        </is>
      </c>
      <c r="C188" s="16" t="n">
        <v>2</v>
      </c>
      <c r="D188" s="47" t="n">
        <v>77.87</v>
      </c>
      <c r="E188" s="18" t="n">
        <v>6820</v>
      </c>
      <c r="F188" s="18" t="n">
        <v>7080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0</v>
      </c>
    </row>
    <row r="189">
      <c r="A189" s="15" t="inlineStr">
        <is>
          <t>7 Jun</t>
        </is>
      </c>
      <c r="B189" s="15" t="inlineStr">
        <is>
          <t>39217</t>
        </is>
      </c>
      <c r="C189" s="16" t="n">
        <v>2</v>
      </c>
      <c r="D189" s="47" t="n">
        <v>77.86</v>
      </c>
      <c r="E189" s="18" t="n">
        <v>6170</v>
      </c>
      <c r="F189" s="18" t="n">
        <v>6210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3</v>
      </c>
    </row>
    <row r="190">
      <c r="A190" s="15" t="inlineStr">
        <is>
          <t>7 Jun</t>
        </is>
      </c>
      <c r="B190" s="15" t="inlineStr">
        <is>
          <t>39336</t>
        </is>
      </c>
      <c r="C190" s="16" t="n">
        <v>2</v>
      </c>
      <c r="D190" s="47" t="n">
        <v>77.86</v>
      </c>
      <c r="E190" s="18" t="n">
        <v>5528</v>
      </c>
      <c r="F190" s="18" t="n">
        <v>5553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1</v>
      </c>
    </row>
    <row r="191">
      <c r="A191" s="15" t="inlineStr">
        <is>
          <t>7 Jun</t>
        </is>
      </c>
      <c r="B191" s="15" t="inlineStr">
        <is>
          <t>37917</t>
        </is>
      </c>
      <c r="C191" s="16" t="n">
        <v>2</v>
      </c>
      <c r="D191" s="47" t="n">
        <v>77.86</v>
      </c>
      <c r="E191" s="18" t="n">
        <v>5410</v>
      </c>
      <c r="F191" s="18" t="n">
        <v>5426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2</v>
      </c>
    </row>
    <row r="192">
      <c r="A192" s="15" t="inlineStr">
        <is>
          <t>7 Jun</t>
        </is>
      </c>
      <c r="B192" s="15" t="inlineStr">
        <is>
          <t>30006</t>
        </is>
      </c>
      <c r="C192" s="16" t="n">
        <v>2</v>
      </c>
      <c r="D192" s="47" t="n">
        <v>77.86</v>
      </c>
      <c r="E192" s="18" t="n">
        <v>4970</v>
      </c>
      <c r="F192" s="18" t="n">
        <v>5002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2</v>
      </c>
    </row>
    <row r="193">
      <c r="A193" s="15" t="inlineStr">
        <is>
          <t>7 Jun</t>
        </is>
      </c>
      <c r="B193" s="15" t="inlineStr">
        <is>
          <t>30572</t>
        </is>
      </c>
      <c r="C193" s="16" t="n">
        <v>1</v>
      </c>
      <c r="D193" s="47" t="n">
        <v>77.84</v>
      </c>
      <c r="E193" s="18" t="n">
        <v>4823</v>
      </c>
      <c r="F193" s="18" t="n">
        <v>4893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2</v>
      </c>
    </row>
    <row r="194">
      <c r="A194" s="15" t="inlineStr">
        <is>
          <t>7 Jun</t>
        </is>
      </c>
      <c r="B194" s="15" t="inlineStr">
        <is>
          <t>37286</t>
        </is>
      </c>
      <c r="C194" s="16" t="n">
        <v>1</v>
      </c>
      <c r="D194" s="47" t="n">
        <v>77.59999999999999</v>
      </c>
      <c r="E194" s="18" t="n">
        <v>4376</v>
      </c>
      <c r="F194" s="18" t="n">
        <v>4441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1</v>
      </c>
    </row>
    <row r="195">
      <c r="A195" s="15" t="inlineStr">
        <is>
          <t>7 Jun</t>
        </is>
      </c>
      <c r="B195" s="15" t="inlineStr">
        <is>
          <t>37356</t>
        </is>
      </c>
      <c r="C195" s="16" t="n">
        <v>1</v>
      </c>
      <c r="D195" s="47" t="n">
        <v>77.73</v>
      </c>
      <c r="E195" s="18" t="n">
        <v>4146</v>
      </c>
      <c r="F195" s="18" t="n">
        <v>4165</v>
      </c>
      <c r="G195" s="19">
        <f>IF(F195=0,0,E195/F195*100)</f>
        <v/>
      </c>
      <c r="H195" s="16" t="n">
        <v>0</v>
      </c>
      <c r="I195" s="16" t="n">
        <v>0</v>
      </c>
      <c r="J195" s="16" t="n">
        <v>0</v>
      </c>
      <c r="K195" s="16" t="n">
        <v>0</v>
      </c>
    </row>
    <row r="196">
      <c r="A196" s="15" t="inlineStr">
        <is>
          <t>7 Jun</t>
        </is>
      </c>
      <c r="B196" s="15" t="inlineStr">
        <is>
          <t>37474</t>
        </is>
      </c>
      <c r="C196" s="16" t="n">
        <v>1</v>
      </c>
      <c r="D196" s="47" t="n">
        <v>12.84</v>
      </c>
      <c r="E196" s="18" t="n">
        <v>3370</v>
      </c>
      <c r="F196" s="18" t="n">
        <v>4134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12</v>
      </c>
    </row>
    <row r="197">
      <c r="A197" s="15" t="inlineStr">
        <is>
          <t>7 Jun</t>
        </is>
      </c>
      <c r="B197" s="15" t="inlineStr">
        <is>
          <t>39131</t>
        </is>
      </c>
      <c r="C197" s="16" t="n">
        <v>1</v>
      </c>
      <c r="D197" s="47" t="n">
        <v>77.59999999999999</v>
      </c>
      <c r="E197" s="18" t="n">
        <v>3931</v>
      </c>
      <c r="F197" s="18" t="n">
        <v>4032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4</v>
      </c>
    </row>
    <row r="198">
      <c r="A198" s="15" t="inlineStr">
        <is>
          <t>7 Jun</t>
        </is>
      </c>
      <c r="B198" s="15" t="inlineStr">
        <is>
          <t>30460</t>
        </is>
      </c>
      <c r="C198" s="16" t="n">
        <v>1</v>
      </c>
      <c r="D198" s="47" t="n">
        <v>77.86</v>
      </c>
      <c r="E198" s="18" t="n">
        <v>3925</v>
      </c>
      <c r="F198" s="18" t="n">
        <v>3972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0</v>
      </c>
    </row>
    <row r="199">
      <c r="A199" s="15" t="inlineStr">
        <is>
          <t>7 Jun</t>
        </is>
      </c>
      <c r="B199" s="15" t="inlineStr">
        <is>
          <t>30466</t>
        </is>
      </c>
      <c r="C199" s="16" t="n">
        <v>1</v>
      </c>
      <c r="D199" s="47" t="n">
        <v>77.72</v>
      </c>
      <c r="E199" s="18" t="n">
        <v>3833</v>
      </c>
      <c r="F199" s="18" t="n">
        <v>3922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4</v>
      </c>
    </row>
    <row r="200">
      <c r="A200" s="15" t="inlineStr">
        <is>
          <t>7 Jun</t>
        </is>
      </c>
      <c r="B200" s="15" t="inlineStr">
        <is>
          <t>37131</t>
        </is>
      </c>
      <c r="C200" s="16" t="n">
        <v>1</v>
      </c>
      <c r="D200" s="47" t="n">
        <v>77.84</v>
      </c>
      <c r="E200" s="18" t="n">
        <v>3897</v>
      </c>
      <c r="F200" s="18" t="n">
        <v>3921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1</v>
      </c>
    </row>
    <row r="201">
      <c r="A201" s="15" t="inlineStr">
        <is>
          <t>7 Jun</t>
        </is>
      </c>
      <c r="B201" s="15" t="inlineStr">
        <is>
          <t>30352</t>
        </is>
      </c>
      <c r="C201" s="16" t="n">
        <v>1</v>
      </c>
      <c r="D201" s="47" t="n">
        <v>77.73999999999999</v>
      </c>
      <c r="E201" s="18" t="n">
        <v>3743</v>
      </c>
      <c r="F201" s="18" t="n">
        <v>3751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0</v>
      </c>
    </row>
    <row r="202">
      <c r="A202" s="15" t="inlineStr">
        <is>
          <t>7 Jun</t>
        </is>
      </c>
      <c r="B202" s="15" t="inlineStr">
        <is>
          <t>39243</t>
        </is>
      </c>
      <c r="C202" s="16" t="n">
        <v>1</v>
      </c>
      <c r="D202" s="47" t="n">
        <v>77.65000000000001</v>
      </c>
      <c r="E202" s="18" t="n">
        <v>3341</v>
      </c>
      <c r="F202" s="18" t="n">
        <v>3396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1</v>
      </c>
    </row>
    <row r="203">
      <c r="A203" s="15" t="inlineStr">
        <is>
          <t>7 Jun</t>
        </is>
      </c>
      <c r="B203" s="15" t="inlineStr">
        <is>
          <t>33672</t>
        </is>
      </c>
      <c r="C203" s="16" t="n">
        <v>1</v>
      </c>
      <c r="D203" s="47" t="n">
        <v>3.87</v>
      </c>
      <c r="E203" s="18" t="n">
        <v>3160</v>
      </c>
      <c r="F203" s="18" t="n">
        <v>3224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3</v>
      </c>
    </row>
    <row r="204">
      <c r="A204" s="15" t="inlineStr">
        <is>
          <t>7 Jun</t>
        </is>
      </c>
      <c r="B204" s="15" t="inlineStr">
        <is>
          <t>30377</t>
        </is>
      </c>
      <c r="C204" s="16" t="n">
        <v>1</v>
      </c>
      <c r="D204" s="47" t="n">
        <v>77.83</v>
      </c>
      <c r="E204" s="18" t="n">
        <v>3171</v>
      </c>
      <c r="F204" s="18" t="n">
        <v>3199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1</v>
      </c>
    </row>
    <row r="205">
      <c r="A205" s="15" t="inlineStr">
        <is>
          <t>7 Jun</t>
        </is>
      </c>
      <c r="B205" s="15" t="inlineStr">
        <is>
          <t>30463</t>
        </is>
      </c>
      <c r="C205" s="16" t="n">
        <v>1</v>
      </c>
      <c r="D205" s="47" t="n">
        <v>77.84999999999999</v>
      </c>
      <c r="E205" s="18" t="n">
        <v>2949</v>
      </c>
      <c r="F205" s="18" t="n">
        <v>2988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3</v>
      </c>
    </row>
    <row r="206">
      <c r="A206" s="15" t="inlineStr">
        <is>
          <t>7 Jun</t>
        </is>
      </c>
      <c r="B206" s="15" t="inlineStr">
        <is>
          <t>37954</t>
        </is>
      </c>
      <c r="C206" s="16" t="n">
        <v>1</v>
      </c>
      <c r="D206" s="47" t="n">
        <v>77.7</v>
      </c>
      <c r="E206" s="18" t="n">
        <v>2946</v>
      </c>
      <c r="F206" s="18" t="n">
        <v>2959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0</v>
      </c>
    </row>
    <row r="207">
      <c r="A207" s="15" t="inlineStr">
        <is>
          <t>7 Jun</t>
        </is>
      </c>
      <c r="B207" s="15" t="inlineStr">
        <is>
          <t>30793</t>
        </is>
      </c>
      <c r="C207" s="16" t="n">
        <v>1</v>
      </c>
      <c r="D207" s="47" t="n">
        <v>77.7</v>
      </c>
      <c r="E207" s="18" t="n">
        <v>2922</v>
      </c>
      <c r="F207" s="18" t="n">
        <v>2926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1</v>
      </c>
    </row>
    <row r="208">
      <c r="A208" s="15" t="inlineStr">
        <is>
          <t>7 Jun</t>
        </is>
      </c>
      <c r="B208" s="15" t="inlineStr">
        <is>
          <t>37514</t>
        </is>
      </c>
      <c r="C208" s="16" t="n">
        <v>1</v>
      </c>
      <c r="D208" s="47" t="n">
        <v>77.81999999999999</v>
      </c>
      <c r="E208" s="18" t="n">
        <v>2892</v>
      </c>
      <c r="F208" s="18" t="n">
        <v>2915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1</v>
      </c>
    </row>
    <row r="209">
      <c r="A209" s="15" t="inlineStr">
        <is>
          <t>7 Jun</t>
        </is>
      </c>
      <c r="B209" s="15" t="inlineStr">
        <is>
          <t>39329</t>
        </is>
      </c>
      <c r="C209" s="16" t="n">
        <v>1</v>
      </c>
      <c r="D209" s="47" t="n">
        <v>77.72</v>
      </c>
      <c r="E209" s="18" t="n">
        <v>2877</v>
      </c>
      <c r="F209" s="18" t="n">
        <v>2884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0</v>
      </c>
    </row>
    <row r="210">
      <c r="A210" s="15" t="inlineStr">
        <is>
          <t>7 Jun</t>
        </is>
      </c>
      <c r="B210" s="15" t="inlineStr">
        <is>
          <t>37420</t>
        </is>
      </c>
      <c r="C210" s="16" t="n">
        <v>1</v>
      </c>
      <c r="D210" s="47" t="n">
        <v>77.66</v>
      </c>
      <c r="E210" s="18" t="n">
        <v>2570</v>
      </c>
      <c r="F210" s="18" t="n">
        <v>2577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0</v>
      </c>
    </row>
    <row r="211">
      <c r="A211" s="15" t="inlineStr">
        <is>
          <t>7 Jun</t>
        </is>
      </c>
      <c r="B211" s="15" t="inlineStr">
        <is>
          <t>37424</t>
        </is>
      </c>
      <c r="C211" s="16" t="n">
        <v>1</v>
      </c>
      <c r="D211" s="47" t="n">
        <v>0</v>
      </c>
      <c r="E211" s="18" t="n">
        <v>2521</v>
      </c>
      <c r="F211" s="18" t="n">
        <v>2530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0</v>
      </c>
    </row>
    <row r="212">
      <c r="A212" s="15" t="inlineStr">
        <is>
          <t>7 Jun</t>
        </is>
      </c>
      <c r="B212" s="15" t="inlineStr">
        <is>
          <t>30739</t>
        </is>
      </c>
      <c r="C212" s="16" t="n">
        <v>1</v>
      </c>
      <c r="D212" s="47" t="n">
        <v>77.67</v>
      </c>
      <c r="E212" s="18" t="n">
        <v>2478</v>
      </c>
      <c r="F212" s="18" t="n">
        <v>2517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3</v>
      </c>
    </row>
    <row r="213">
      <c r="A213" s="15" t="inlineStr">
        <is>
          <t>7 Jun</t>
        </is>
      </c>
      <c r="B213" s="15" t="inlineStr">
        <is>
          <t>30542</t>
        </is>
      </c>
      <c r="C213" s="16" t="n">
        <v>1</v>
      </c>
      <c r="D213" s="47" t="n">
        <v>77.83</v>
      </c>
      <c r="E213" s="18" t="n">
        <v>2409</v>
      </c>
      <c r="F213" s="18" t="n">
        <v>2429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1</v>
      </c>
    </row>
    <row r="214">
      <c r="A214" s="15" t="inlineStr">
        <is>
          <t>7 Jun</t>
        </is>
      </c>
      <c r="B214" s="15" t="inlineStr">
        <is>
          <t>30334</t>
        </is>
      </c>
      <c r="C214" s="16" t="n">
        <v>1</v>
      </c>
      <c r="D214" s="47" t="n">
        <v>68.09</v>
      </c>
      <c r="E214" s="18" t="n">
        <v>2318</v>
      </c>
      <c r="F214" s="18" t="n">
        <v>2318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0</v>
      </c>
    </row>
    <row r="215">
      <c r="A215" s="15" t="inlineStr">
        <is>
          <t>7 Jun</t>
        </is>
      </c>
      <c r="B215" s="15" t="inlineStr">
        <is>
          <t>37289</t>
        </is>
      </c>
      <c r="C215" s="16" t="n">
        <v>1</v>
      </c>
      <c r="D215" s="47" t="n">
        <v>51.07</v>
      </c>
      <c r="E215" s="18" t="n">
        <v>1985</v>
      </c>
      <c r="F215" s="18" t="n">
        <v>2084</v>
      </c>
      <c r="G215" s="19">
        <f>IF(F215=0,0,E215/F215*100)</f>
        <v/>
      </c>
      <c r="H215" s="16" t="n">
        <v>1</v>
      </c>
      <c r="I215" s="16" t="n">
        <v>1</v>
      </c>
      <c r="J215" s="16" t="n">
        <v>0</v>
      </c>
      <c r="K215" s="16" t="n">
        <v>2</v>
      </c>
    </row>
    <row r="216">
      <c r="A216" s="15" t="inlineStr">
        <is>
          <t>7 Jun</t>
        </is>
      </c>
      <c r="B216" s="15" t="inlineStr">
        <is>
          <t>30395</t>
        </is>
      </c>
      <c r="C216" s="16" t="n">
        <v>1</v>
      </c>
      <c r="D216" s="47" t="n">
        <v>77.83</v>
      </c>
      <c r="E216" s="18" t="n">
        <v>1468</v>
      </c>
      <c r="F216" s="18" t="n">
        <v>1530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5</v>
      </c>
    </row>
    <row r="217">
      <c r="A217" s="15" t="inlineStr">
        <is>
          <t>7 Jun</t>
        </is>
      </c>
      <c r="B217" s="15" t="inlineStr">
        <is>
          <t>37012</t>
        </is>
      </c>
      <c r="C217" s="16" t="n">
        <v>1</v>
      </c>
      <c r="D217" s="47" t="n">
        <v>77.7</v>
      </c>
      <c r="E217" s="18" t="n">
        <v>0</v>
      </c>
      <c r="F217" s="18" t="n">
        <v>1526</v>
      </c>
      <c r="G217" s="19">
        <f>IF(F217=0,0,E217/F217*100)</f>
        <v/>
      </c>
      <c r="H217" s="16" t="n">
        <v>0</v>
      </c>
      <c r="I217" s="16" t="n">
        <v>0</v>
      </c>
      <c r="J217" s="16" t="n">
        <v>0</v>
      </c>
      <c r="K217" s="16" t="n">
        <v>0</v>
      </c>
    </row>
    <row r="218">
      <c r="A218" s="15" t="inlineStr">
        <is>
          <t>7 Jun</t>
        </is>
      </c>
      <c r="B218" s="15" t="inlineStr">
        <is>
          <t>37628</t>
        </is>
      </c>
      <c r="C218" s="16" t="n">
        <v>1</v>
      </c>
      <c r="D218" s="47" t="n">
        <v>77.83</v>
      </c>
      <c r="E218" s="18" t="n">
        <v>0</v>
      </c>
      <c r="F218" s="18" t="n">
        <v>1488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0</v>
      </c>
    </row>
    <row r="219">
      <c r="A219" s="15" t="inlineStr">
        <is>
          <t>7 Jun</t>
        </is>
      </c>
      <c r="B219" s="15" t="inlineStr">
        <is>
          <t>30464</t>
        </is>
      </c>
      <c r="C219" s="16" t="n">
        <v>1</v>
      </c>
      <c r="D219" s="47" t="n">
        <v>20.14</v>
      </c>
      <c r="E219" s="18" t="n">
        <v>982</v>
      </c>
      <c r="F219" s="18" t="n">
        <v>1009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1</v>
      </c>
    </row>
    <row r="220">
      <c r="A220" s="15" t="inlineStr">
        <is>
          <t>7 Jun</t>
        </is>
      </c>
      <c r="B220" s="15" t="inlineStr">
        <is>
          <t>30752</t>
        </is>
      </c>
      <c r="C220" s="16" t="n">
        <v>1</v>
      </c>
      <c r="D220" s="47" t="n">
        <v>0</v>
      </c>
      <c r="E220" s="18" t="n">
        <v>607</v>
      </c>
      <c r="F220" s="18" t="n">
        <v>611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0</v>
      </c>
    </row>
    <row r="221">
      <c r="A221" s="20" t="inlineStr">
        <is>
          <t>7 Jun</t>
        </is>
      </c>
      <c r="B221" s="20" t="inlineStr">
        <is>
          <t>Day Total</t>
        </is>
      </c>
      <c r="C221" s="21">
        <f>SUM(C187:C220)</f>
        <v/>
      </c>
      <c r="D221" s="48">
        <f>SUM(D187:D220)</f>
        <v/>
      </c>
      <c r="E221" s="23">
        <f>SUM(E187:E220)</f>
        <v/>
      </c>
      <c r="F221" s="23">
        <f>SUMIF(E187:E220,"&gt;0",F187:F220)</f>
        <v/>
      </c>
      <c r="G221" s="24">
        <f>IF(F221=0,0,E221/F221*100)</f>
        <v/>
      </c>
      <c r="H221" s="21">
        <f>SUM(H187:H220)</f>
        <v/>
      </c>
      <c r="I221" s="21">
        <f>SUM(I187:I220)</f>
        <v/>
      </c>
      <c r="J221" s="21">
        <f>SUM(J187:J220)</f>
        <v/>
      </c>
      <c r="K221" s="21">
        <f>SUM(K187:K220)</f>
        <v/>
      </c>
    </row>
    <row r="222">
      <c r="A222" s="25" t="inlineStr">
        <is>
          <t>GRAND TOTAL</t>
        </is>
      </c>
      <c r="B222" s="25" t="n"/>
      <c r="C222" s="26">
        <f>C35+C65+C95+C123+C150+C186+C221</f>
        <v/>
      </c>
      <c r="D222" s="49">
        <f>D35+D65+D95+D123+D150+D186+D221</f>
        <v/>
      </c>
      <c r="E222" s="28">
        <f>E35+E65+E95+E123+E150+E186+E221</f>
        <v/>
      </c>
      <c r="F222" s="28">
        <f>F35+F65+F95+F123+F150+F186+F221</f>
        <v/>
      </c>
      <c r="G222" s="29">
        <f>IF(F222=0,0,E222/F222*100)</f>
        <v/>
      </c>
      <c r="H222" s="26">
        <f>H35+H65+H95+H123+H150+H186+H221</f>
        <v/>
      </c>
      <c r="I222" s="26">
        <f>I35+I65+I95+I123+I150+I186+I221</f>
        <v/>
      </c>
      <c r="J222" s="26">
        <f>J35+J65+J95+J123+J150+J186+J221</f>
        <v/>
      </c>
      <c r="K222" s="26">
        <f>K35+K65+K95+K123+K150+K186+K221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6   ·   Valid trips = 5   ·   Non-valid trips = 1   ·   Undesirable = 6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 ht="49" customHeight="1">
      <c r="A6" s="31" t="inlineStr">
        <is>
          <t>2 Jun</t>
        </is>
      </c>
      <c r="B6" s="31" t="inlineStr">
        <is>
          <t>30197</t>
        </is>
      </c>
      <c r="C6" s="31" t="inlineStr">
        <is>
          <t>Non-Valid</t>
        </is>
      </c>
      <c r="D6" s="31" t="inlineStr">
        <is>
          <t>15:50:48</t>
        </is>
      </c>
      <c r="E6" s="31" t="inlineStr">
        <is>
          <t>15:50:48</t>
        </is>
      </c>
      <c r="F6" s="31" t="n">
        <v>0</v>
      </c>
      <c r="G6" s="31" t="n">
        <v>1</v>
      </c>
      <c r="H6" s="31" t="n">
        <v>107</v>
      </c>
      <c r="I6" s="31" t="inlineStr">
        <is>
          <t>OS</t>
        </is>
      </c>
      <c r="J6" s="32" t="n">
        <v>1459.09</v>
      </c>
      <c r="K6" s="31" t="inlineStr">
        <is>
          <t>N</t>
        </is>
      </c>
      <c r="L6" s="31" t="inlineStr">
        <is>
          <t>Sholaka</t>
        </is>
      </c>
      <c r="M6" s="33" t="inlineStr">
        <is>
          <t>107 km/h
There was an abnormal speed fluctuation of 9 kmph (from 116 to 107 km/h). Possible suspect: PG issue.</t>
        </is>
      </c>
      <c r="N6" s="33" t="inlineStr">
        <is>
          <t>1000</t>
        </is>
      </c>
      <c r="O6" s="31" t="inlineStr">
        <is>
          <t>-</t>
        </is>
      </c>
      <c r="P6" s="34" t="inlineStr">
        <is>
          <t>PG issue (speed fluctuation)</t>
        </is>
      </c>
      <c r="Q6" s="31" t="inlineStr">
        <is>
          <t>HBL</t>
        </is>
      </c>
    </row>
    <row r="7" ht="34" customHeight="1">
      <c r="A7" s="16" t="inlineStr">
        <is>
          <t>6 Jun</t>
        </is>
      </c>
      <c r="B7" s="16" t="inlineStr">
        <is>
          <t>37618</t>
        </is>
      </c>
      <c r="C7" s="16" t="inlineStr">
        <is>
          <t>Valid</t>
        </is>
      </c>
      <c r="D7" s="16" t="inlineStr">
        <is>
          <t>07:46:18</t>
        </is>
      </c>
      <c r="E7" s="16" t="inlineStr">
        <is>
          <t>07:46:18</t>
        </is>
      </c>
      <c r="F7" s="16" t="n">
        <v>0</v>
      </c>
      <c r="G7" s="16" t="n">
        <v>1</v>
      </c>
      <c r="H7" s="16" t="n">
        <v>39</v>
      </c>
      <c r="I7" s="16" t="inlineStr">
        <is>
          <t>SR</t>
        </is>
      </c>
      <c r="J7" s="35" t="n">
        <v>1401.6</v>
      </c>
      <c r="K7" s="16" t="inlineStr">
        <is>
          <t>R</t>
        </is>
      </c>
      <c r="L7" s="16" t="inlineStr">
        <is>
          <t>Vrindavan Road</t>
        </is>
      </c>
      <c r="M7" s="36" t="inlineStr">
        <is>
          <t>39 km/h</t>
        </is>
      </c>
      <c r="N7" s="36" t="inlineStr">
        <is>
          <t>2952</t>
        </is>
      </c>
      <c r="O7" s="16" t="inlineStr">
        <is>
          <t>-</t>
        </is>
      </c>
      <c r="P7" s="34" t="inlineStr">
        <is>
          <t>FS-&gt;SR degradation + EB</t>
        </is>
      </c>
      <c r="Q7" s="16" t="inlineStr">
        <is>
          <t>Medha/Kernex</t>
        </is>
      </c>
    </row>
    <row r="8">
      <c r="A8" s="16" t="inlineStr">
        <is>
          <t>6 Jun</t>
        </is>
      </c>
      <c r="B8" s="16" t="inlineStr">
        <is>
          <t>43821</t>
        </is>
      </c>
      <c r="C8" s="16" t="inlineStr">
        <is>
          <t>Valid</t>
        </is>
      </c>
      <c r="D8" s="16" t="inlineStr">
        <is>
          <t>09:32:06</t>
        </is>
      </c>
      <c r="E8" s="16" t="inlineStr">
        <is>
          <t>09:32:44</t>
        </is>
      </c>
      <c r="F8" s="16" t="n">
        <v>38</v>
      </c>
      <c r="G8" s="16" t="n">
        <v>19</v>
      </c>
      <c r="H8" s="16" t="n">
        <v>98</v>
      </c>
      <c r="I8" s="16" t="inlineStr">
        <is>
          <t>TRIP</t>
        </is>
      </c>
      <c r="J8" s="35" t="n">
        <v>1447.88</v>
      </c>
      <c r="K8" s="16" t="inlineStr">
        <is>
          <t>R</t>
        </is>
      </c>
      <c r="L8" s="16" t="inlineStr">
        <is>
          <t>LC551</t>
        </is>
      </c>
      <c r="M8" s="36" t="inlineStr">
        <is>
          <t>98 km/h</t>
        </is>
      </c>
      <c r="N8" s="36" t="inlineStr">
        <is>
          <t>n/a</t>
        </is>
      </c>
      <c r="O8" s="16" t="inlineStr">
        <is>
          <t>-</t>
        </is>
      </c>
      <c r="P8" s="34" t="inlineStr">
        <is>
          <t>Trip mode</t>
        </is>
      </c>
      <c r="Q8" s="16" t="inlineStr">
        <is>
          <t>HBL</t>
        </is>
      </c>
    </row>
    <row r="9">
      <c r="A9" s="16" t="inlineStr">
        <is>
          <t>6 Jun</t>
        </is>
      </c>
      <c r="B9" s="16" t="inlineStr">
        <is>
          <t>43821</t>
        </is>
      </c>
      <c r="C9" s="16" t="inlineStr">
        <is>
          <t>Valid</t>
        </is>
      </c>
      <c r="D9" s="16" t="inlineStr">
        <is>
          <t>09:34:12</t>
        </is>
      </c>
      <c r="E9" s="16" t="inlineStr">
        <is>
          <t>09:34:12</t>
        </is>
      </c>
      <c r="F9" s="16" t="n">
        <v>0</v>
      </c>
      <c r="G9" s="16" t="n">
        <v>1</v>
      </c>
      <c r="H9" s="16" t="n">
        <v>1</v>
      </c>
      <c r="I9" s="16" t="inlineStr">
        <is>
          <t>POSTTRIP</t>
        </is>
      </c>
      <c r="J9" s="35" t="n">
        <v>1447.26</v>
      </c>
      <c r="K9" s="16" t="inlineStr">
        <is>
          <t>R</t>
        </is>
      </c>
      <c r="L9" s="16" t="inlineStr">
        <is>
          <t>LC551</t>
        </is>
      </c>
      <c r="M9" s="36" t="inlineStr">
        <is>
          <t>1 km/h</t>
        </is>
      </c>
      <c r="N9" s="36" t="inlineStr">
        <is>
          <t>0</t>
        </is>
      </c>
      <c r="O9" s="16" t="inlineStr">
        <is>
          <t>-</t>
        </is>
      </c>
      <c r="P9" s="34" t="inlineStr">
        <is>
          <t>EB at 0-1 km/h</t>
        </is>
      </c>
      <c r="Q9" s="16" t="inlineStr">
        <is>
          <t>HBL</t>
        </is>
      </c>
    </row>
    <row r="10">
      <c r="A10" s="16" t="inlineStr">
        <is>
          <t>6 Jun</t>
        </is>
      </c>
      <c r="B10" s="16" t="inlineStr">
        <is>
          <t>30572</t>
        </is>
      </c>
      <c r="C10" s="16" t="inlineStr">
        <is>
          <t>Valid</t>
        </is>
      </c>
      <c r="D10" s="16" t="inlineStr">
        <is>
          <t>17:13:30</t>
        </is>
      </c>
      <c r="E10" s="16" t="inlineStr">
        <is>
          <t>17:14:10</t>
        </is>
      </c>
      <c r="F10" s="16" t="n">
        <v>40</v>
      </c>
      <c r="G10" s="16" t="n">
        <v>20</v>
      </c>
      <c r="H10" s="16" t="n">
        <v>104</v>
      </c>
      <c r="I10" s="16" t="inlineStr">
        <is>
          <t>SR</t>
        </is>
      </c>
      <c r="J10" s="35" t="n">
        <v>1451.71</v>
      </c>
      <c r="K10" s="16" t="inlineStr">
        <is>
          <t>U</t>
        </is>
      </c>
      <c r="L10" s="16" t="inlineStr">
        <is>
          <t>Hodal</t>
        </is>
      </c>
      <c r="M10" s="36" t="inlineStr">
        <is>
          <t>104 km/h</t>
        </is>
      </c>
      <c r="N10" s="36" t="inlineStr">
        <is>
          <t>5412</t>
        </is>
      </c>
      <c r="O10" s="16" t="inlineStr">
        <is>
          <t>-</t>
        </is>
      </c>
      <c r="P10" s="34" t="inlineStr">
        <is>
          <t>FS-&gt;SR degradation + EB</t>
        </is>
      </c>
      <c r="Q10" s="16" t="inlineStr">
        <is>
          <t>Medha/Kernex</t>
        </is>
      </c>
    </row>
    <row r="11">
      <c r="A11" s="16" t="inlineStr">
        <is>
          <t>7 Jun</t>
        </is>
      </c>
      <c r="B11" s="16" t="inlineStr">
        <is>
          <t>37289</t>
        </is>
      </c>
      <c r="C11" s="16" t="inlineStr">
        <is>
          <t>Valid</t>
        </is>
      </c>
      <c r="D11" s="16" t="inlineStr">
        <is>
          <t>05:06:40</t>
        </is>
      </c>
      <c r="E11" s="16" t="inlineStr">
        <is>
          <t>05:09:06</t>
        </is>
      </c>
      <c r="F11" s="16" t="n">
        <v>146</v>
      </c>
      <c r="G11" s="16" t="n">
        <v>74</v>
      </c>
      <c r="H11" s="16" t="n">
        <v>109</v>
      </c>
      <c r="I11" s="16" t="inlineStr">
        <is>
          <t>TRIP</t>
        </is>
      </c>
      <c r="J11" s="35" t="n">
        <v>1452.02</v>
      </c>
      <c r="K11" s="16" t="inlineStr">
        <is>
          <t>N</t>
        </is>
      </c>
      <c r="L11" s="16" t="inlineStr">
        <is>
          <t>Hodal</t>
        </is>
      </c>
      <c r="M11" s="36" t="inlineStr">
        <is>
          <t>109 km/h</t>
        </is>
      </c>
      <c r="N11" s="36" t="inlineStr">
        <is>
          <t>5412</t>
        </is>
      </c>
      <c r="O11" s="16" t="inlineStr">
        <is>
          <t>-</t>
        </is>
      </c>
      <c r="P11" s="34" t="inlineStr">
        <is>
          <t>Trip mode</t>
        </is>
      </c>
      <c r="Q11" s="16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1401554 - 1479434  (36001 &lt;-&gt; 36014).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</row>
    <row r="5">
      <c r="A5" s="16" t="inlineStr">
        <is>
          <t>1 Jun</t>
        </is>
      </c>
      <c r="B5" s="16" t="inlineStr">
        <is>
          <t>30086</t>
        </is>
      </c>
      <c r="C5" s="16" t="n">
        <v>9152</v>
      </c>
      <c r="D5" s="16" t="n">
        <v>9151</v>
      </c>
      <c r="E5" s="16" t="n">
        <v>7307</v>
      </c>
      <c r="F5" s="38" t="n">
        <v>1401342</v>
      </c>
      <c r="G5" s="38" t="n">
        <v>1508695</v>
      </c>
      <c r="H5" s="38" t="n">
        <v>1401561</v>
      </c>
      <c r="I5" s="38" t="n">
        <v>1479432</v>
      </c>
      <c r="J5" s="19">
        <f>(I5-H5)/1000</f>
        <v/>
      </c>
      <c r="K5" s="16" t="inlineStr">
        <is>
          <t>Yes</t>
        </is>
      </c>
    </row>
    <row r="6">
      <c r="A6" s="16" t="inlineStr">
        <is>
          <t>1 Jun</t>
        </is>
      </c>
      <c r="B6" s="16" t="inlineStr">
        <is>
          <t>39328</t>
        </is>
      </c>
      <c r="C6" s="16" t="n">
        <v>6611</v>
      </c>
      <c r="D6" s="16" t="n">
        <v>6609</v>
      </c>
      <c r="E6" s="16" t="n">
        <v>4982</v>
      </c>
      <c r="F6" s="38" t="n">
        <v>1194037</v>
      </c>
      <c r="G6" s="38" t="n">
        <v>1516125</v>
      </c>
      <c r="H6" s="38" t="n">
        <v>1401562</v>
      </c>
      <c r="I6" s="38" t="n">
        <v>1479431</v>
      </c>
      <c r="J6" s="19">
        <f>(I6-H6)/1000</f>
        <v/>
      </c>
      <c r="K6" s="16" t="inlineStr">
        <is>
          <t>Yes</t>
        </is>
      </c>
    </row>
    <row r="7">
      <c r="A7" s="16" t="inlineStr">
        <is>
          <t>1 Jun</t>
        </is>
      </c>
      <c r="B7" s="16" t="inlineStr">
        <is>
          <t>43821</t>
        </is>
      </c>
      <c r="C7" s="16" t="n">
        <v>7855</v>
      </c>
      <c r="D7" s="16" t="n">
        <v>7831</v>
      </c>
      <c r="E7" s="16" t="n">
        <v>6162</v>
      </c>
      <c r="F7" s="38" t="n">
        <v>1197489</v>
      </c>
      <c r="G7" s="38" t="n">
        <v>1508562</v>
      </c>
      <c r="H7" s="38" t="n">
        <v>1401561</v>
      </c>
      <c r="I7" s="38" t="n">
        <v>1479427</v>
      </c>
      <c r="J7" s="19">
        <f>(I7-H7)/1000</f>
        <v/>
      </c>
      <c r="K7" s="16" t="inlineStr">
        <is>
          <t>Yes</t>
        </is>
      </c>
    </row>
    <row r="8">
      <c r="A8" s="16" t="inlineStr">
        <is>
          <t>1 Jun</t>
        </is>
      </c>
      <c r="B8" s="16" t="inlineStr">
        <is>
          <t>39340</t>
        </is>
      </c>
      <c r="C8" s="16" t="n">
        <v>5446</v>
      </c>
      <c r="D8" s="16" t="n">
        <v>5446</v>
      </c>
      <c r="E8" s="16" t="n">
        <v>4624</v>
      </c>
      <c r="F8" s="38" t="n">
        <v>1203595</v>
      </c>
      <c r="G8" s="38" t="n">
        <v>1518335</v>
      </c>
      <c r="H8" s="38" t="n">
        <v>1401565</v>
      </c>
      <c r="I8" s="38" t="n">
        <v>1479428</v>
      </c>
      <c r="J8" s="19">
        <f>(I8-H8)/1000</f>
        <v/>
      </c>
      <c r="K8" s="16" t="inlineStr">
        <is>
          <t>Yes</t>
        </is>
      </c>
    </row>
    <row r="9">
      <c r="A9" s="16" t="inlineStr">
        <is>
          <t>1 Jun</t>
        </is>
      </c>
      <c r="B9" s="16" t="inlineStr">
        <is>
          <t>30706</t>
        </is>
      </c>
      <c r="C9" s="16" t="n">
        <v>2743</v>
      </c>
      <c r="D9" s="16" t="n">
        <v>2743</v>
      </c>
      <c r="E9" s="16" t="n">
        <v>2550</v>
      </c>
      <c r="F9" s="38" t="n">
        <v>1401329</v>
      </c>
      <c r="G9" s="38" t="n">
        <v>1506089</v>
      </c>
      <c r="H9" s="38" t="n">
        <v>1401569</v>
      </c>
      <c r="I9" s="38" t="n">
        <v>1479419</v>
      </c>
      <c r="J9" s="19">
        <f>(I9-H9)/1000</f>
        <v/>
      </c>
      <c r="K9" s="16" t="inlineStr">
        <is>
          <t>Yes</t>
        </is>
      </c>
    </row>
    <row r="10">
      <c r="A10" s="16" t="inlineStr">
        <is>
          <t>1 Jun</t>
        </is>
      </c>
      <c r="B10" s="16" t="inlineStr">
        <is>
          <t>30822</t>
        </is>
      </c>
      <c r="C10" s="16" t="n">
        <v>7736</v>
      </c>
      <c r="D10" s="16" t="n">
        <v>7732</v>
      </c>
      <c r="E10" s="16" t="n">
        <v>6549</v>
      </c>
      <c r="F10" s="38" t="n">
        <v>1197313</v>
      </c>
      <c r="G10" s="38" t="n">
        <v>1516047</v>
      </c>
      <c r="H10" s="38" t="n">
        <v>1401571</v>
      </c>
      <c r="I10" s="38" t="n">
        <v>1479424</v>
      </c>
      <c r="J10" s="19">
        <f>(I10-H10)/1000</f>
        <v/>
      </c>
      <c r="K10" s="16" t="inlineStr">
        <is>
          <t>Yes</t>
        </is>
      </c>
    </row>
    <row r="11">
      <c r="A11" s="16" t="inlineStr">
        <is>
          <t>1 Jun</t>
        </is>
      </c>
      <c r="B11" s="16" t="inlineStr">
        <is>
          <t>30339</t>
        </is>
      </c>
      <c r="C11" s="16" t="n">
        <v>5501</v>
      </c>
      <c r="D11" s="16" t="n">
        <v>5497</v>
      </c>
      <c r="E11" s="16" t="n">
        <v>5016</v>
      </c>
      <c r="F11" s="38" t="n">
        <v>1222311</v>
      </c>
      <c r="G11" s="38" t="n">
        <v>1494222</v>
      </c>
      <c r="H11" s="38" t="n">
        <v>1401575</v>
      </c>
      <c r="I11" s="38" t="n">
        <v>1479405</v>
      </c>
      <c r="J11" s="19">
        <f>(I11-H11)/1000</f>
        <v/>
      </c>
      <c r="K11" s="16" t="inlineStr">
        <is>
          <t>Yes</t>
        </is>
      </c>
    </row>
    <row r="12">
      <c r="A12" s="16" t="inlineStr">
        <is>
          <t>1 Jun</t>
        </is>
      </c>
      <c r="B12" s="16" t="inlineStr">
        <is>
          <t>30466</t>
        </is>
      </c>
      <c r="C12" s="16" t="n">
        <v>6963</v>
      </c>
      <c r="D12" s="16" t="n">
        <v>6942</v>
      </c>
      <c r="E12" s="16" t="n">
        <v>5731</v>
      </c>
      <c r="F12" s="38" t="n">
        <v>1203739</v>
      </c>
      <c r="G12" s="38" t="n">
        <v>1503124</v>
      </c>
      <c r="H12" s="38" t="n">
        <v>1401584</v>
      </c>
      <c r="I12" s="38" t="n">
        <v>1479411</v>
      </c>
      <c r="J12" s="19">
        <f>(I12-H12)/1000</f>
        <v/>
      </c>
      <c r="K12" s="16" t="inlineStr">
        <is>
          <t>Yes</t>
        </is>
      </c>
    </row>
    <row r="13">
      <c r="A13" s="16" t="inlineStr">
        <is>
          <t>1 Jun</t>
        </is>
      </c>
      <c r="B13" s="16" t="inlineStr">
        <is>
          <t>30542</t>
        </is>
      </c>
      <c r="C13" s="16" t="n">
        <v>2723</v>
      </c>
      <c r="D13" s="16" t="n">
        <v>2720</v>
      </c>
      <c r="E13" s="16" t="n">
        <v>2607</v>
      </c>
      <c r="F13" s="38" t="n">
        <v>1401381</v>
      </c>
      <c r="G13" s="38" t="n">
        <v>1490727</v>
      </c>
      <c r="H13" s="38" t="n">
        <v>1401560</v>
      </c>
      <c r="I13" s="38" t="n">
        <v>1479386</v>
      </c>
      <c r="J13" s="19">
        <f>(I13-H13)/1000</f>
        <v/>
      </c>
      <c r="K13" s="16" t="inlineStr">
        <is>
          <t>Yes</t>
        </is>
      </c>
    </row>
    <row r="14">
      <c r="A14" s="16" t="inlineStr">
        <is>
          <t>1 Jun</t>
        </is>
      </c>
      <c r="B14" s="16" t="inlineStr">
        <is>
          <t>37354</t>
        </is>
      </c>
      <c r="C14" s="16" t="n">
        <v>6002</v>
      </c>
      <c r="D14" s="16" t="n">
        <v>6001</v>
      </c>
      <c r="E14" s="16" t="n">
        <v>5545</v>
      </c>
      <c r="F14" s="38" t="n">
        <v>1401421</v>
      </c>
      <c r="G14" s="38" t="n">
        <v>1517299</v>
      </c>
      <c r="H14" s="38" t="n">
        <v>1401587</v>
      </c>
      <c r="I14" s="38" t="n">
        <v>1479419</v>
      </c>
      <c r="J14" s="19">
        <f>(I14-H14)/1000</f>
        <v/>
      </c>
      <c r="K14" s="16" t="inlineStr">
        <is>
          <t>Yes</t>
        </is>
      </c>
    </row>
    <row r="15">
      <c r="A15" s="16" t="inlineStr">
        <is>
          <t>1 Jun</t>
        </is>
      </c>
      <c r="B15" s="16" t="inlineStr">
        <is>
          <t>37847</t>
        </is>
      </c>
      <c r="C15" s="16" t="n">
        <v>2796</v>
      </c>
      <c r="D15" s="16" t="n">
        <v>2788</v>
      </c>
      <c r="E15" s="16" t="n">
        <v>2569</v>
      </c>
      <c r="F15" s="38" t="n">
        <v>1401325</v>
      </c>
      <c r="G15" s="38" t="n">
        <v>1513986</v>
      </c>
      <c r="H15" s="38" t="n">
        <v>1401561</v>
      </c>
      <c r="I15" s="38" t="n">
        <v>1479388</v>
      </c>
      <c r="J15" s="19">
        <f>(I15-H15)/1000</f>
        <v/>
      </c>
      <c r="K15" s="16" t="inlineStr">
        <is>
          <t>Yes</t>
        </is>
      </c>
    </row>
    <row r="16">
      <c r="A16" s="16" t="inlineStr">
        <is>
          <t>1 Jun</t>
        </is>
      </c>
      <c r="B16" s="16" t="inlineStr">
        <is>
          <t>37834</t>
        </is>
      </c>
      <c r="C16" s="16" t="n">
        <v>2655</v>
      </c>
      <c r="D16" s="16" t="n">
        <v>2655</v>
      </c>
      <c r="E16" s="16" t="n">
        <v>2489</v>
      </c>
      <c r="F16" s="38" t="n">
        <v>1401358</v>
      </c>
      <c r="G16" s="38" t="n">
        <v>1508602</v>
      </c>
      <c r="H16" s="38" t="n">
        <v>1401623</v>
      </c>
      <c r="I16" s="38" t="n">
        <v>1479421</v>
      </c>
      <c r="J16" s="19">
        <f>(I16-H16)/1000</f>
        <v/>
      </c>
      <c r="K16" s="16" t="inlineStr">
        <is>
          <t>Yes</t>
        </is>
      </c>
    </row>
    <row r="17">
      <c r="A17" s="16" t="inlineStr">
        <is>
          <t>1 Jun</t>
        </is>
      </c>
      <c r="B17" s="16" t="inlineStr">
        <is>
          <t>30739</t>
        </is>
      </c>
      <c r="C17" s="16" t="n">
        <v>3222</v>
      </c>
      <c r="D17" s="16" t="n">
        <v>3212</v>
      </c>
      <c r="E17" s="16" t="n">
        <v>2501</v>
      </c>
      <c r="F17" s="38" t="n">
        <v>1191893</v>
      </c>
      <c r="G17" s="38" t="n">
        <v>1516222</v>
      </c>
      <c r="H17" s="38" t="n">
        <v>1401627</v>
      </c>
      <c r="I17" s="38" t="n">
        <v>1479388</v>
      </c>
      <c r="J17" s="19">
        <f>(I17-H17)/1000</f>
        <v/>
      </c>
      <c r="K17" s="16" t="inlineStr">
        <is>
          <t>Yes</t>
        </is>
      </c>
    </row>
    <row r="18">
      <c r="A18" s="16" t="inlineStr">
        <is>
          <t>1 Jun</t>
        </is>
      </c>
      <c r="B18" s="16" t="inlineStr">
        <is>
          <t>37063</t>
        </is>
      </c>
      <c r="C18" s="16" t="n">
        <v>3225</v>
      </c>
      <c r="D18" s="16" t="n">
        <v>3223</v>
      </c>
      <c r="E18" s="16" t="n">
        <v>2603</v>
      </c>
      <c r="F18" s="38" t="n">
        <v>1401680</v>
      </c>
      <c r="G18" s="38" t="n">
        <v>1500723</v>
      </c>
      <c r="H18" s="38" t="n">
        <v>1401680</v>
      </c>
      <c r="I18" s="38" t="n">
        <v>1479416</v>
      </c>
      <c r="J18" s="19">
        <f>(I18-H18)/1000</f>
        <v/>
      </c>
      <c r="K18" s="16" t="inlineStr">
        <is>
          <t>Yes</t>
        </is>
      </c>
    </row>
    <row r="19">
      <c r="A19" s="16" t="inlineStr">
        <is>
          <t>1 Jun</t>
        </is>
      </c>
      <c r="B19" s="16" t="inlineStr">
        <is>
          <t>37324</t>
        </is>
      </c>
      <c r="C19" s="16" t="n">
        <v>3299</v>
      </c>
      <c r="D19" s="16" t="n">
        <v>3297</v>
      </c>
      <c r="E19" s="16" t="n">
        <v>2409</v>
      </c>
      <c r="F19" s="38" t="n">
        <v>1178063</v>
      </c>
      <c r="G19" s="38" t="n">
        <v>1500672</v>
      </c>
      <c r="H19" s="38" t="n">
        <v>1401695</v>
      </c>
      <c r="I19" s="38" t="n">
        <v>1479422</v>
      </c>
      <c r="J19" s="19">
        <f>(I19-H19)/1000</f>
        <v/>
      </c>
      <c r="K19" s="16" t="inlineStr">
        <is>
          <t>Yes</t>
        </is>
      </c>
    </row>
    <row r="20">
      <c r="A20" s="16" t="inlineStr">
        <is>
          <t>1 Jun</t>
        </is>
      </c>
      <c r="B20" s="16" t="inlineStr">
        <is>
          <t>30340</t>
        </is>
      </c>
      <c r="C20" s="16" t="n">
        <v>3063</v>
      </c>
      <c r="D20" s="16" t="n">
        <v>3061</v>
      </c>
      <c r="E20" s="16" t="n">
        <v>2491</v>
      </c>
      <c r="F20" s="38" t="n">
        <v>1202552</v>
      </c>
      <c r="G20" s="38" t="n">
        <v>1517866</v>
      </c>
      <c r="H20" s="38" t="n">
        <v>1401680</v>
      </c>
      <c r="I20" s="38" t="n">
        <v>1479403</v>
      </c>
      <c r="J20" s="19">
        <f>(I20-H20)/1000</f>
        <v/>
      </c>
      <c r="K20" s="16" t="inlineStr">
        <is>
          <t>Yes</t>
        </is>
      </c>
    </row>
    <row r="21">
      <c r="A21" s="16" t="inlineStr">
        <is>
          <t>1 Jun</t>
        </is>
      </c>
      <c r="B21" s="16" t="inlineStr">
        <is>
          <t>39353</t>
        </is>
      </c>
      <c r="C21" s="16" t="n">
        <v>2526</v>
      </c>
      <c r="D21" s="16" t="n">
        <v>2524</v>
      </c>
      <c r="E21" s="16" t="n">
        <v>2309</v>
      </c>
      <c r="F21" s="38" t="n">
        <v>1401680</v>
      </c>
      <c r="G21" s="38" t="n">
        <v>1508191</v>
      </c>
      <c r="H21" s="38" t="n">
        <v>1401680</v>
      </c>
      <c r="I21" s="38" t="n">
        <v>1479402</v>
      </c>
      <c r="J21" s="19">
        <f>(I21-H21)/1000</f>
        <v/>
      </c>
      <c r="K21" s="16" t="inlineStr">
        <is>
          <t>Yes</t>
        </is>
      </c>
    </row>
    <row r="22">
      <c r="A22" s="16" t="inlineStr">
        <is>
          <t>1 Jun</t>
        </is>
      </c>
      <c r="B22" s="16" t="inlineStr">
        <is>
          <t>30736</t>
        </is>
      </c>
      <c r="C22" s="16" t="n">
        <v>2512</v>
      </c>
      <c r="D22" s="16" t="n">
        <v>2512</v>
      </c>
      <c r="E22" s="16" t="n">
        <v>2286</v>
      </c>
      <c r="F22" s="38" t="n">
        <v>1401685</v>
      </c>
      <c r="G22" s="38" t="n">
        <v>1518878</v>
      </c>
      <c r="H22" s="38" t="n">
        <v>1401685</v>
      </c>
      <c r="I22" s="38" t="n">
        <v>1479399</v>
      </c>
      <c r="J22" s="19">
        <f>(I22-H22)/1000</f>
        <v/>
      </c>
      <c r="K22" s="16" t="inlineStr">
        <is>
          <t>Yes</t>
        </is>
      </c>
    </row>
    <row r="23">
      <c r="A23" s="16" t="inlineStr">
        <is>
          <t>1 Jun</t>
        </is>
      </c>
      <c r="B23" s="16" t="inlineStr">
        <is>
          <t>37555</t>
        </is>
      </c>
      <c r="C23" s="16" t="n">
        <v>2643</v>
      </c>
      <c r="D23" s="16" t="n">
        <v>2641</v>
      </c>
      <c r="E23" s="16" t="n">
        <v>2353</v>
      </c>
      <c r="F23" s="38" t="n">
        <v>1401680</v>
      </c>
      <c r="G23" s="38" t="n">
        <v>1500604</v>
      </c>
      <c r="H23" s="38" t="n">
        <v>1401680</v>
      </c>
      <c r="I23" s="38" t="n">
        <v>1479388</v>
      </c>
      <c r="J23" s="19">
        <f>(I23-H23)/1000</f>
        <v/>
      </c>
      <c r="K23" s="16" t="inlineStr">
        <is>
          <t>Yes</t>
        </is>
      </c>
    </row>
    <row r="24">
      <c r="A24" s="16" t="inlineStr">
        <is>
          <t>1 Jun</t>
        </is>
      </c>
      <c r="B24" s="16" t="inlineStr">
        <is>
          <t>37258</t>
        </is>
      </c>
      <c r="C24" s="16" t="n">
        <v>2516</v>
      </c>
      <c r="D24" s="16" t="n">
        <v>2514</v>
      </c>
      <c r="E24" s="16" t="n">
        <v>2286</v>
      </c>
      <c r="F24" s="38" t="n">
        <v>1401689</v>
      </c>
      <c r="G24" s="38" t="n">
        <v>1516035</v>
      </c>
      <c r="H24" s="38" t="n">
        <v>1401689</v>
      </c>
      <c r="I24" s="38" t="n">
        <v>1479389</v>
      </c>
      <c r="J24" s="19">
        <f>(I24-H24)/1000</f>
        <v/>
      </c>
      <c r="K24" s="16" t="inlineStr">
        <is>
          <t>Yes</t>
        </is>
      </c>
    </row>
    <row r="25">
      <c r="A25" s="16" t="inlineStr">
        <is>
          <t>1 Jun</t>
        </is>
      </c>
      <c r="B25" s="16" t="inlineStr">
        <is>
          <t>30356</t>
        </is>
      </c>
      <c r="C25" s="16" t="n">
        <v>2730</v>
      </c>
      <c r="D25" s="16" t="n">
        <v>2727</v>
      </c>
      <c r="E25" s="16" t="n">
        <v>2463</v>
      </c>
      <c r="F25" s="38" t="n">
        <v>1401715</v>
      </c>
      <c r="G25" s="38" t="n">
        <v>1497599</v>
      </c>
      <c r="H25" s="38" t="n">
        <v>1401715</v>
      </c>
      <c r="I25" s="38" t="n">
        <v>1479404</v>
      </c>
      <c r="J25" s="19">
        <f>(I25-H25)/1000</f>
        <v/>
      </c>
      <c r="K25" s="16" t="inlineStr">
        <is>
          <t>Yes</t>
        </is>
      </c>
    </row>
    <row r="26">
      <c r="A26" s="16" t="inlineStr">
        <is>
          <t>1 Jun</t>
        </is>
      </c>
      <c r="B26" s="16" t="inlineStr">
        <is>
          <t>39374</t>
        </is>
      </c>
      <c r="C26" s="16" t="n">
        <v>2642</v>
      </c>
      <c r="D26" s="16" t="n">
        <v>2641</v>
      </c>
      <c r="E26" s="16" t="n">
        <v>2240</v>
      </c>
      <c r="F26" s="38" t="n">
        <v>1199649</v>
      </c>
      <c r="G26" s="38" t="n">
        <v>1500663</v>
      </c>
      <c r="H26" s="38" t="n">
        <v>1401740</v>
      </c>
      <c r="I26" s="38" t="n">
        <v>1479432</v>
      </c>
      <c r="J26" s="19">
        <f>(I26-H26)/1000</f>
        <v/>
      </c>
      <c r="K26" s="16" t="inlineStr">
        <is>
          <t>Yes</t>
        </is>
      </c>
    </row>
    <row r="27">
      <c r="A27" s="16" t="inlineStr">
        <is>
          <t>1 Jun</t>
        </is>
      </c>
      <c r="B27" s="16" t="inlineStr">
        <is>
          <t>37816</t>
        </is>
      </c>
      <c r="C27" s="16" t="n">
        <v>4758</v>
      </c>
      <c r="D27" s="16" t="n">
        <v>4752</v>
      </c>
      <c r="E27" s="16" t="n">
        <v>3074</v>
      </c>
      <c r="F27" s="38" t="n">
        <v>1130293</v>
      </c>
      <c r="G27" s="38" t="n">
        <v>1507686</v>
      </c>
      <c r="H27" s="38" t="n">
        <v>1401759</v>
      </c>
      <c r="I27" s="38" t="n">
        <v>1479430</v>
      </c>
      <c r="J27" s="19">
        <f>(I27-H27)/1000</f>
        <v/>
      </c>
      <c r="K27" s="16" t="inlineStr">
        <is>
          <t>Yes</t>
        </is>
      </c>
    </row>
    <row r="28">
      <c r="A28" s="16" t="inlineStr">
        <is>
          <t>1 Jun</t>
        </is>
      </c>
      <c r="B28" s="16" t="inlineStr">
        <is>
          <t>39322</t>
        </is>
      </c>
      <c r="C28" s="16" t="n">
        <v>2584</v>
      </c>
      <c r="D28" s="16" t="n">
        <v>2584</v>
      </c>
      <c r="E28" s="16" t="n">
        <v>2373</v>
      </c>
      <c r="F28" s="38" t="n">
        <v>1401760</v>
      </c>
      <c r="G28" s="38" t="n">
        <v>1506138</v>
      </c>
      <c r="H28" s="38" t="n">
        <v>1401760</v>
      </c>
      <c r="I28" s="38" t="n">
        <v>1479426</v>
      </c>
      <c r="J28" s="19">
        <f>(I28-H28)/1000</f>
        <v/>
      </c>
      <c r="K28" s="16" t="inlineStr">
        <is>
          <t>Yes</t>
        </is>
      </c>
    </row>
    <row r="29">
      <c r="A29" s="16" t="inlineStr">
        <is>
          <t>1 Jun</t>
        </is>
      </c>
      <c r="B29" s="16" t="inlineStr">
        <is>
          <t>39388</t>
        </is>
      </c>
      <c r="C29" s="16" t="n">
        <v>2544</v>
      </c>
      <c r="D29" s="16" t="n">
        <v>2543</v>
      </c>
      <c r="E29" s="16" t="n">
        <v>2363</v>
      </c>
      <c r="F29" s="38" t="n">
        <v>1401710</v>
      </c>
      <c r="G29" s="38" t="n">
        <v>1501146</v>
      </c>
      <c r="H29" s="38" t="n">
        <v>1401710</v>
      </c>
      <c r="I29" s="38" t="n">
        <v>1479382</v>
      </c>
      <c r="J29" s="19">
        <f>(I29-H29)/1000</f>
        <v/>
      </c>
      <c r="K29" s="16" t="inlineStr">
        <is>
          <t>Yes</t>
        </is>
      </c>
    </row>
    <row r="30">
      <c r="A30" s="16" t="inlineStr">
        <is>
          <t>1 Jun</t>
        </is>
      </c>
      <c r="B30" s="16" t="inlineStr">
        <is>
          <t>39046</t>
        </is>
      </c>
      <c r="C30" s="16" t="n">
        <v>3107</v>
      </c>
      <c r="D30" s="16" t="n">
        <v>3106</v>
      </c>
      <c r="E30" s="16" t="n">
        <v>2302</v>
      </c>
      <c r="F30" s="38" t="n">
        <v>1178747</v>
      </c>
      <c r="G30" s="38" t="n">
        <v>1516164</v>
      </c>
      <c r="H30" s="38" t="n">
        <v>1401776</v>
      </c>
      <c r="I30" s="38" t="n">
        <v>1479414</v>
      </c>
      <c r="J30" s="19">
        <f>(I30-H30)/1000</f>
        <v/>
      </c>
      <c r="K30" s="16" t="inlineStr">
        <is>
          <t>Yes</t>
        </is>
      </c>
    </row>
    <row r="31">
      <c r="A31" s="16" t="inlineStr">
        <is>
          <t>1 Jun</t>
        </is>
      </c>
      <c r="B31" s="16" t="inlineStr">
        <is>
          <t>39514</t>
        </is>
      </c>
      <c r="C31" s="16" t="n">
        <v>2545</v>
      </c>
      <c r="D31" s="16" t="n">
        <v>2545</v>
      </c>
      <c r="E31" s="16" t="n">
        <v>2331</v>
      </c>
      <c r="F31" s="38" t="n">
        <v>1401748</v>
      </c>
      <c r="G31" s="38" t="n">
        <v>1516054</v>
      </c>
      <c r="H31" s="38" t="n">
        <v>1401748</v>
      </c>
      <c r="I31" s="38" t="n">
        <v>1479391</v>
      </c>
      <c r="J31" s="19">
        <f>(I31-H31)/1000</f>
        <v/>
      </c>
      <c r="K31" s="16" t="inlineStr">
        <is>
          <t>Yes</t>
        </is>
      </c>
    </row>
    <row r="32">
      <c r="A32" s="16" t="inlineStr">
        <is>
          <t>1 Jun</t>
        </is>
      </c>
      <c r="B32" s="16" t="inlineStr">
        <is>
          <t>39078</t>
        </is>
      </c>
      <c r="C32" s="16" t="n">
        <v>2988</v>
      </c>
      <c r="D32" s="16" t="n">
        <v>2987</v>
      </c>
      <c r="E32" s="16" t="n">
        <v>2325</v>
      </c>
      <c r="F32" s="38" t="n">
        <v>1170275</v>
      </c>
      <c r="G32" s="38" t="n">
        <v>1495695</v>
      </c>
      <c r="H32" s="38" t="n">
        <v>1401760</v>
      </c>
      <c r="I32" s="38" t="n">
        <v>1478922</v>
      </c>
      <c r="J32" s="19">
        <f>(I32-H32)/1000</f>
        <v/>
      </c>
      <c r="K32" s="16" t="inlineStr">
        <is>
          <t>Yes</t>
        </is>
      </c>
    </row>
    <row r="33">
      <c r="A33" s="16" t="inlineStr">
        <is>
          <t>1 Jun</t>
        </is>
      </c>
      <c r="B33" s="16" t="inlineStr">
        <is>
          <t>37467</t>
        </is>
      </c>
      <c r="C33" s="16" t="n">
        <v>2801</v>
      </c>
      <c r="D33" s="16" t="n">
        <v>2779</v>
      </c>
      <c r="E33" s="16" t="n">
        <v>2537</v>
      </c>
      <c r="F33" s="38" t="n">
        <v>1399207</v>
      </c>
      <c r="G33" s="38" t="n">
        <v>1508592</v>
      </c>
      <c r="H33" s="38" t="n">
        <v>1402531</v>
      </c>
      <c r="I33" s="38" t="n">
        <v>1479434</v>
      </c>
      <c r="J33" s="19">
        <f>(I33-H33)/1000</f>
        <v/>
      </c>
      <c r="K33" s="16" t="inlineStr">
        <is>
          <t>Yes</t>
        </is>
      </c>
    </row>
    <row r="34">
      <c r="A34" s="16" t="inlineStr">
        <is>
          <t>1 Jun</t>
        </is>
      </c>
      <c r="B34" s="16" t="inlineStr">
        <is>
          <t>39217</t>
        </is>
      </c>
      <c r="C34" s="16" t="n">
        <v>1534</v>
      </c>
      <c r="D34" s="16" t="n">
        <v>1532</v>
      </c>
      <c r="E34" s="16" t="n">
        <v>77</v>
      </c>
      <c r="F34" s="38" t="n">
        <v>1062698</v>
      </c>
      <c r="G34" s="38" t="n">
        <v>1488915</v>
      </c>
      <c r="H34" s="38" t="n">
        <v>1401580</v>
      </c>
      <c r="I34" s="38" t="n">
        <v>1476134</v>
      </c>
      <c r="J34" s="19">
        <f>(I34-H34)/1000</f>
        <v/>
      </c>
      <c r="K34" s="16" t="inlineStr">
        <is>
          <t>Yes</t>
        </is>
      </c>
    </row>
    <row r="35">
      <c r="A35" s="16" t="inlineStr">
        <is>
          <t>1 Jun</t>
        </is>
      </c>
      <c r="B35" s="16" t="inlineStr">
        <is>
          <t>39032</t>
        </is>
      </c>
      <c r="C35" s="16" t="n">
        <v>4</v>
      </c>
      <c r="D35" s="16" t="n">
        <v>4</v>
      </c>
      <c r="E35" s="16" t="n">
        <v>4</v>
      </c>
      <c r="F35" s="38" t="n">
        <v>1402113</v>
      </c>
      <c r="G35" s="38" t="n">
        <v>1405875</v>
      </c>
      <c r="H35" s="38" t="n">
        <v>1402113</v>
      </c>
      <c r="I35" s="38" t="n">
        <v>1405875</v>
      </c>
      <c r="J35" s="19">
        <f>(I35-H35)/1000</f>
        <v/>
      </c>
      <c r="K35" s="16" t="inlineStr">
        <is>
          <t>Yes</t>
        </is>
      </c>
    </row>
    <row r="36">
      <c r="A36" s="31" t="inlineStr">
        <is>
          <t>1 Jun</t>
        </is>
      </c>
      <c r="B36" s="31" t="inlineStr">
        <is>
          <t>30464</t>
        </is>
      </c>
      <c r="C36" s="31" t="n">
        <v>10</v>
      </c>
      <c r="D36" s="31" t="n">
        <v>0</v>
      </c>
      <c r="E36" s="31" t="n">
        <v>0</v>
      </c>
      <c r="F36" s="39" t="inlineStr">
        <is>
          <t>-</t>
        </is>
      </c>
      <c r="G36" s="39" t="inlineStr">
        <is>
          <t>-</t>
        </is>
      </c>
      <c r="H36" s="39" t="inlineStr">
        <is>
          <t>-</t>
        </is>
      </c>
      <c r="I36" s="39" t="inlineStr">
        <is>
          <t>-</t>
        </is>
      </c>
      <c r="J36" s="40" t="n">
        <v>0</v>
      </c>
      <c r="K36" s="31" t="inlineStr">
        <is>
          <t>No</t>
        </is>
      </c>
    </row>
    <row r="37">
      <c r="A37" s="31" t="inlineStr">
        <is>
          <t>1 Jun</t>
        </is>
      </c>
      <c r="B37" s="31" t="inlineStr">
        <is>
          <t>37275</t>
        </is>
      </c>
      <c r="C37" s="31" t="n">
        <v>266</v>
      </c>
      <c r="D37" s="31" t="n">
        <v>264</v>
      </c>
      <c r="E37" s="31" t="n">
        <v>0</v>
      </c>
      <c r="F37" s="39" t="n">
        <v>1193995</v>
      </c>
      <c r="G37" s="39" t="n">
        <v>1210803</v>
      </c>
      <c r="H37" s="39" t="inlineStr">
        <is>
          <t>-</t>
        </is>
      </c>
      <c r="I37" s="39" t="inlineStr">
        <is>
          <t>-</t>
        </is>
      </c>
      <c r="J37" s="40" t="n">
        <v>0</v>
      </c>
      <c r="K37" s="31" t="inlineStr">
        <is>
          <t>No</t>
        </is>
      </c>
    </row>
    <row r="38">
      <c r="A38" s="31" t="inlineStr">
        <is>
          <t>1 Jun</t>
        </is>
      </c>
      <c r="B38" s="31" t="inlineStr">
        <is>
          <t>37332</t>
        </is>
      </c>
      <c r="C38" s="31" t="n">
        <v>210</v>
      </c>
      <c r="D38" s="31" t="n">
        <v>210</v>
      </c>
      <c r="E38" s="31" t="n">
        <v>0</v>
      </c>
      <c r="F38" s="39" t="n">
        <v>1483988</v>
      </c>
      <c r="G38" s="39" t="n">
        <v>1518660</v>
      </c>
      <c r="H38" s="39" t="inlineStr">
        <is>
          <t>-</t>
        </is>
      </c>
      <c r="I38" s="39" t="inlineStr">
        <is>
          <t>-</t>
        </is>
      </c>
      <c r="J38" s="40" t="n">
        <v>0</v>
      </c>
      <c r="K38" s="31" t="inlineStr">
        <is>
          <t>No</t>
        </is>
      </c>
    </row>
    <row r="39">
      <c r="A39" s="31" t="inlineStr">
        <is>
          <t>1 Jun</t>
        </is>
      </c>
      <c r="B39" s="31" t="inlineStr">
        <is>
          <t>37380</t>
        </is>
      </c>
      <c r="C39" s="31" t="n">
        <v>199</v>
      </c>
      <c r="D39" s="31" t="n">
        <v>199</v>
      </c>
      <c r="E39" s="31" t="n">
        <v>0</v>
      </c>
      <c r="F39" s="39" t="n">
        <v>1082002</v>
      </c>
      <c r="G39" s="39" t="n">
        <v>1396991</v>
      </c>
      <c r="H39" s="39" t="inlineStr">
        <is>
          <t>-</t>
        </is>
      </c>
      <c r="I39" s="39" t="inlineStr">
        <is>
          <t>-</t>
        </is>
      </c>
      <c r="J39" s="40" t="n">
        <v>0</v>
      </c>
      <c r="K39" s="31" t="inlineStr">
        <is>
          <t>No</t>
        </is>
      </c>
    </row>
    <row r="40">
      <c r="A40" s="31" t="inlineStr">
        <is>
          <t>1 Jun</t>
        </is>
      </c>
      <c r="B40" s="31" t="inlineStr">
        <is>
          <t>41408</t>
        </is>
      </c>
      <c r="C40" s="31" t="n">
        <v>14</v>
      </c>
      <c r="D40" s="31" t="n">
        <v>0</v>
      </c>
      <c r="E40" s="31" t="n">
        <v>0</v>
      </c>
      <c r="F40" s="39" t="inlineStr">
        <is>
          <t>-</t>
        </is>
      </c>
      <c r="G40" s="39" t="inlineStr">
        <is>
          <t>-</t>
        </is>
      </c>
      <c r="H40" s="39" t="inlineStr">
        <is>
          <t>-</t>
        </is>
      </c>
      <c r="I40" s="39" t="inlineStr">
        <is>
          <t>-</t>
        </is>
      </c>
      <c r="J40" s="40" t="n">
        <v>0</v>
      </c>
      <c r="K40" s="31" t="inlineStr">
        <is>
          <t>No</t>
        </is>
      </c>
    </row>
    <row r="41">
      <c r="A41" s="16" t="inlineStr">
        <is>
          <t>2 Jun</t>
        </is>
      </c>
      <c r="B41" s="16" t="inlineStr">
        <is>
          <t>39336</t>
        </is>
      </c>
      <c r="C41" s="16" t="n">
        <v>3250</v>
      </c>
      <c r="D41" s="16" t="n">
        <v>3250</v>
      </c>
      <c r="E41" s="16" t="n">
        <v>2464</v>
      </c>
      <c r="F41" s="38" t="n">
        <v>1198564</v>
      </c>
      <c r="G41" s="38" t="n">
        <v>1508554</v>
      </c>
      <c r="H41" s="38" t="n">
        <v>1401562</v>
      </c>
      <c r="I41" s="38" t="n">
        <v>1479432</v>
      </c>
      <c r="J41" s="19">
        <f>(I41-H41)/1000</f>
        <v/>
      </c>
      <c r="K41" s="16" t="inlineStr">
        <is>
          <t>Yes</t>
        </is>
      </c>
    </row>
    <row r="42">
      <c r="A42" s="16" t="inlineStr">
        <is>
          <t>2 Jun</t>
        </is>
      </c>
      <c r="B42" s="16" t="inlineStr">
        <is>
          <t>37158</t>
        </is>
      </c>
      <c r="C42" s="16" t="n">
        <v>3814</v>
      </c>
      <c r="D42" s="16" t="n">
        <v>3813</v>
      </c>
      <c r="E42" s="16" t="n">
        <v>3336</v>
      </c>
      <c r="F42" s="38" t="n">
        <v>1401392</v>
      </c>
      <c r="G42" s="38" t="n">
        <v>1513951</v>
      </c>
      <c r="H42" s="38" t="n">
        <v>1401566</v>
      </c>
      <c r="I42" s="38" t="n">
        <v>1479422</v>
      </c>
      <c r="J42" s="19">
        <f>(I42-H42)/1000</f>
        <v/>
      </c>
      <c r="K42" s="16" t="inlineStr">
        <is>
          <t>Yes</t>
        </is>
      </c>
    </row>
    <row r="43">
      <c r="A43" s="16" t="inlineStr">
        <is>
          <t>2 Jun</t>
        </is>
      </c>
      <c r="B43" s="16" t="inlineStr">
        <is>
          <t>39364</t>
        </is>
      </c>
      <c r="C43" s="16" t="n">
        <v>1868</v>
      </c>
      <c r="D43" s="16" t="n">
        <v>1856</v>
      </c>
      <c r="E43" s="16" t="n">
        <v>1223</v>
      </c>
      <c r="F43" s="38" t="n">
        <v>1106986</v>
      </c>
      <c r="G43" s="38" t="n">
        <v>1517302</v>
      </c>
      <c r="H43" s="38" t="n">
        <v>1401573</v>
      </c>
      <c r="I43" s="38" t="n">
        <v>1479430</v>
      </c>
      <c r="J43" s="19">
        <f>(I43-H43)/1000</f>
        <v/>
      </c>
      <c r="K43" s="16" t="inlineStr">
        <is>
          <t>Yes</t>
        </is>
      </c>
    </row>
    <row r="44">
      <c r="A44" s="16" t="inlineStr">
        <is>
          <t>2 Jun</t>
        </is>
      </c>
      <c r="B44" s="16" t="inlineStr">
        <is>
          <t>30335</t>
        </is>
      </c>
      <c r="C44" s="16" t="n">
        <v>4212</v>
      </c>
      <c r="D44" s="16" t="n">
        <v>4184</v>
      </c>
      <c r="E44" s="16" t="n">
        <v>2622</v>
      </c>
      <c r="F44" s="38" t="n">
        <v>1147602</v>
      </c>
      <c r="G44" s="38" t="n">
        <v>1499305</v>
      </c>
      <c r="H44" s="38" t="n">
        <v>1401569</v>
      </c>
      <c r="I44" s="38" t="n">
        <v>1479416</v>
      </c>
      <c r="J44" s="19">
        <f>(I44-H44)/1000</f>
        <v/>
      </c>
      <c r="K44" s="16" t="inlineStr">
        <is>
          <t>Yes</t>
        </is>
      </c>
    </row>
    <row r="45">
      <c r="A45" s="16" t="inlineStr">
        <is>
          <t>2 Jun</t>
        </is>
      </c>
      <c r="B45" s="16" t="inlineStr">
        <is>
          <t>30484</t>
        </is>
      </c>
      <c r="C45" s="16" t="n">
        <v>5676</v>
      </c>
      <c r="D45" s="16" t="n">
        <v>5548</v>
      </c>
      <c r="E45" s="16" t="n">
        <v>4356</v>
      </c>
      <c r="F45" s="38" t="n">
        <v>1191343</v>
      </c>
      <c r="G45" s="38" t="n">
        <v>1518263</v>
      </c>
      <c r="H45" s="38" t="n">
        <v>1401573</v>
      </c>
      <c r="I45" s="38" t="n">
        <v>1479423</v>
      </c>
      <c r="J45" s="19">
        <f>(I45-H45)/1000</f>
        <v/>
      </c>
      <c r="K45" s="16" t="inlineStr">
        <is>
          <t>Yes</t>
        </is>
      </c>
    </row>
    <row r="46">
      <c r="A46" s="16" t="inlineStr">
        <is>
          <t>2 Jun</t>
        </is>
      </c>
      <c r="B46" s="16" t="inlineStr">
        <is>
          <t>37677</t>
        </is>
      </c>
      <c r="C46" s="16" t="n">
        <v>2775</v>
      </c>
      <c r="D46" s="16" t="n">
        <v>2775</v>
      </c>
      <c r="E46" s="16" t="n">
        <v>2543</v>
      </c>
      <c r="F46" s="38" t="n">
        <v>1401371</v>
      </c>
      <c r="G46" s="38" t="n">
        <v>1508520</v>
      </c>
      <c r="H46" s="38" t="n">
        <v>1401566</v>
      </c>
      <c r="I46" s="38" t="n">
        <v>1479420</v>
      </c>
      <c r="J46" s="19">
        <f>(I46-H46)/1000</f>
        <v/>
      </c>
      <c r="K46" s="16" t="inlineStr">
        <is>
          <t>Yes</t>
        </is>
      </c>
    </row>
    <row r="47">
      <c r="A47" s="16" t="inlineStr">
        <is>
          <t>2 Jun</t>
        </is>
      </c>
      <c r="B47" s="16" t="inlineStr">
        <is>
          <t>37816</t>
        </is>
      </c>
      <c r="C47" s="16" t="n">
        <v>3291</v>
      </c>
      <c r="D47" s="16" t="n">
        <v>3290</v>
      </c>
      <c r="E47" s="16" t="n">
        <v>2317</v>
      </c>
      <c r="F47" s="38" t="n">
        <v>1170776</v>
      </c>
      <c r="G47" s="38" t="n">
        <v>1508597</v>
      </c>
      <c r="H47" s="38" t="n">
        <v>1401572</v>
      </c>
      <c r="I47" s="38" t="n">
        <v>1479418</v>
      </c>
      <c r="J47" s="19">
        <f>(I47-H47)/1000</f>
        <v/>
      </c>
      <c r="K47" s="16" t="inlineStr">
        <is>
          <t>Yes</t>
        </is>
      </c>
    </row>
    <row r="48">
      <c r="A48" s="16" t="inlineStr">
        <is>
          <t>2 Jun</t>
        </is>
      </c>
      <c r="B48" s="16" t="inlineStr">
        <is>
          <t>39381</t>
        </is>
      </c>
      <c r="C48" s="16" t="n">
        <v>2584</v>
      </c>
      <c r="D48" s="16" t="n">
        <v>2584</v>
      </c>
      <c r="E48" s="16" t="n">
        <v>2319</v>
      </c>
      <c r="F48" s="38" t="n">
        <v>1401317</v>
      </c>
      <c r="G48" s="38" t="n">
        <v>1518226</v>
      </c>
      <c r="H48" s="38" t="n">
        <v>1401561</v>
      </c>
      <c r="I48" s="38" t="n">
        <v>1479412</v>
      </c>
      <c r="J48" s="19">
        <f>(I48-H48)/1000</f>
        <v/>
      </c>
      <c r="K48" s="16" t="inlineStr">
        <is>
          <t>Yes</t>
        </is>
      </c>
    </row>
    <row r="49">
      <c r="A49" s="16" t="inlineStr">
        <is>
          <t>2 Jun</t>
        </is>
      </c>
      <c r="B49" s="16" t="inlineStr">
        <is>
          <t>37163</t>
        </is>
      </c>
      <c r="C49" s="16" t="n">
        <v>6875</v>
      </c>
      <c r="D49" s="16" t="n">
        <v>6872</v>
      </c>
      <c r="E49" s="16" t="n">
        <v>4866</v>
      </c>
      <c r="F49" s="38" t="n">
        <v>1170844</v>
      </c>
      <c r="G49" s="38" t="n">
        <v>1508470</v>
      </c>
      <c r="H49" s="38" t="n">
        <v>1401589</v>
      </c>
      <c r="I49" s="38" t="n">
        <v>1479426</v>
      </c>
      <c r="J49" s="19">
        <f>(I49-H49)/1000</f>
        <v/>
      </c>
      <c r="K49" s="16" t="inlineStr">
        <is>
          <t>Yes</t>
        </is>
      </c>
    </row>
    <row r="50">
      <c r="A50" s="16" t="inlineStr">
        <is>
          <t>2 Jun</t>
        </is>
      </c>
      <c r="B50" s="16" t="inlineStr">
        <is>
          <t>37258</t>
        </is>
      </c>
      <c r="C50" s="16" t="n">
        <v>4198</v>
      </c>
      <c r="D50" s="16" t="n">
        <v>4193</v>
      </c>
      <c r="E50" s="16" t="n">
        <v>3930</v>
      </c>
      <c r="F50" s="38" t="n">
        <v>1401330</v>
      </c>
      <c r="G50" s="38" t="n">
        <v>1508622</v>
      </c>
      <c r="H50" s="38" t="n">
        <v>1401564</v>
      </c>
      <c r="I50" s="38" t="n">
        <v>1479406</v>
      </c>
      <c r="J50" s="19">
        <f>(I50-H50)/1000</f>
        <v/>
      </c>
      <c r="K50" s="16" t="inlineStr">
        <is>
          <t>Yes</t>
        </is>
      </c>
    </row>
    <row r="51">
      <c r="A51" s="16" t="inlineStr">
        <is>
          <t>2 Jun</t>
        </is>
      </c>
      <c r="B51" s="16" t="inlineStr">
        <is>
          <t>37864</t>
        </is>
      </c>
      <c r="C51" s="16" t="n">
        <v>1638</v>
      </c>
      <c r="D51" s="16" t="n">
        <v>1638</v>
      </c>
      <c r="E51" s="16" t="n">
        <v>1405</v>
      </c>
      <c r="F51" s="38" t="n">
        <v>1401326</v>
      </c>
      <c r="G51" s="38" t="n">
        <v>1508570</v>
      </c>
      <c r="H51" s="38" t="n">
        <v>1401561</v>
      </c>
      <c r="I51" s="38" t="n">
        <v>1479403</v>
      </c>
      <c r="J51" s="19">
        <f>(I51-H51)/1000</f>
        <v/>
      </c>
      <c r="K51" s="16" t="inlineStr">
        <is>
          <t>Yes</t>
        </is>
      </c>
    </row>
    <row r="52">
      <c r="A52" s="16" t="inlineStr">
        <is>
          <t>2 Jun</t>
        </is>
      </c>
      <c r="B52" s="16" t="inlineStr">
        <is>
          <t>30543</t>
        </is>
      </c>
      <c r="C52" s="16" t="n">
        <v>2654</v>
      </c>
      <c r="D52" s="16" t="n">
        <v>2649</v>
      </c>
      <c r="E52" s="16" t="n">
        <v>2445</v>
      </c>
      <c r="F52" s="38" t="n">
        <v>1401346</v>
      </c>
      <c r="G52" s="38" t="n">
        <v>1503180</v>
      </c>
      <c r="H52" s="38" t="n">
        <v>1401599</v>
      </c>
      <c r="I52" s="38" t="n">
        <v>1479434</v>
      </c>
      <c r="J52" s="19">
        <f>(I52-H52)/1000</f>
        <v/>
      </c>
      <c r="K52" s="16" t="inlineStr">
        <is>
          <t>Yes</t>
        </is>
      </c>
    </row>
    <row r="53">
      <c r="A53" s="16" t="inlineStr">
        <is>
          <t>2 Jun</t>
        </is>
      </c>
      <c r="B53" s="16" t="inlineStr">
        <is>
          <t>39403</t>
        </is>
      </c>
      <c r="C53" s="16" t="n">
        <v>1502</v>
      </c>
      <c r="D53" s="16" t="n">
        <v>1501</v>
      </c>
      <c r="E53" s="16" t="n">
        <v>1255</v>
      </c>
      <c r="F53" s="38" t="n">
        <v>1401363</v>
      </c>
      <c r="G53" s="38" t="n">
        <v>1513971</v>
      </c>
      <c r="H53" s="38" t="n">
        <v>1401601</v>
      </c>
      <c r="I53" s="38" t="n">
        <v>1479429</v>
      </c>
      <c r="J53" s="19">
        <f>(I53-H53)/1000</f>
        <v/>
      </c>
      <c r="K53" s="16" t="inlineStr">
        <is>
          <t>Yes</t>
        </is>
      </c>
    </row>
    <row r="54">
      <c r="A54" s="16" t="inlineStr">
        <is>
          <t>2 Jun</t>
        </is>
      </c>
      <c r="B54" s="16" t="inlineStr">
        <is>
          <t>37453</t>
        </is>
      </c>
      <c r="C54" s="16" t="n">
        <v>2548</v>
      </c>
      <c r="D54" s="16" t="n">
        <v>2532</v>
      </c>
      <c r="E54" s="16" t="n">
        <v>2338</v>
      </c>
      <c r="F54" s="38" t="n">
        <v>1401350</v>
      </c>
      <c r="G54" s="38" t="n">
        <v>1508319</v>
      </c>
      <c r="H54" s="38" t="n">
        <v>1401577</v>
      </c>
      <c r="I54" s="38" t="n">
        <v>1479394</v>
      </c>
      <c r="J54" s="19">
        <f>(I54-H54)/1000</f>
        <v/>
      </c>
      <c r="K54" s="16" t="inlineStr">
        <is>
          <t>Yes</t>
        </is>
      </c>
    </row>
    <row r="55">
      <c r="A55" s="16" t="inlineStr">
        <is>
          <t>2 Jun</t>
        </is>
      </c>
      <c r="B55" s="16" t="inlineStr">
        <is>
          <t>30397</t>
        </is>
      </c>
      <c r="C55" s="16" t="n">
        <v>2885</v>
      </c>
      <c r="D55" s="16" t="n">
        <v>2880</v>
      </c>
      <c r="E55" s="16" t="n">
        <v>2751</v>
      </c>
      <c r="F55" s="38" t="n">
        <v>1401323</v>
      </c>
      <c r="G55" s="38" t="n">
        <v>1497568</v>
      </c>
      <c r="H55" s="38" t="n">
        <v>1401560</v>
      </c>
      <c r="I55" s="38" t="n">
        <v>1479351</v>
      </c>
      <c r="J55" s="19">
        <f>(I55-H55)/1000</f>
        <v/>
      </c>
      <c r="K55" s="16" t="inlineStr">
        <is>
          <t>Yes</t>
        </is>
      </c>
    </row>
    <row r="56">
      <c r="A56" s="16" t="inlineStr">
        <is>
          <t>2 Jun</t>
        </is>
      </c>
      <c r="B56" s="16" t="inlineStr">
        <is>
          <t>37961</t>
        </is>
      </c>
      <c r="C56" s="16" t="n">
        <v>1595</v>
      </c>
      <c r="D56" s="16" t="n">
        <v>1594</v>
      </c>
      <c r="E56" s="16" t="n">
        <v>1354</v>
      </c>
      <c r="F56" s="38" t="n">
        <v>1401396</v>
      </c>
      <c r="G56" s="38" t="n">
        <v>1509840</v>
      </c>
      <c r="H56" s="38" t="n">
        <v>1401602</v>
      </c>
      <c r="I56" s="38" t="n">
        <v>1479338</v>
      </c>
      <c r="J56" s="19">
        <f>(I56-H56)/1000</f>
        <v/>
      </c>
      <c r="K56" s="16" t="inlineStr">
        <is>
          <t>Yes</t>
        </is>
      </c>
    </row>
    <row r="57">
      <c r="A57" s="16" t="inlineStr">
        <is>
          <t>2 Jun</t>
        </is>
      </c>
      <c r="B57" s="16" t="inlineStr">
        <is>
          <t>30206</t>
        </is>
      </c>
      <c r="C57" s="16" t="n">
        <v>2752</v>
      </c>
      <c r="D57" s="16" t="n">
        <v>2750</v>
      </c>
      <c r="E57" s="16" t="n">
        <v>2553</v>
      </c>
      <c r="F57" s="38" t="n">
        <v>1401680</v>
      </c>
      <c r="G57" s="38" t="n">
        <v>1512661</v>
      </c>
      <c r="H57" s="38" t="n">
        <v>1401680</v>
      </c>
      <c r="I57" s="38" t="n">
        <v>1479409</v>
      </c>
      <c r="J57" s="19">
        <f>(I57-H57)/1000</f>
        <v/>
      </c>
      <c r="K57" s="16" t="inlineStr">
        <is>
          <t>Yes</t>
        </is>
      </c>
    </row>
    <row r="58">
      <c r="A58" s="16" t="inlineStr">
        <is>
          <t>2 Jun</t>
        </is>
      </c>
      <c r="B58" s="16" t="inlineStr">
        <is>
          <t>37332</t>
        </is>
      </c>
      <c r="C58" s="16" t="n">
        <v>2960</v>
      </c>
      <c r="D58" s="16" t="n">
        <v>2960</v>
      </c>
      <c r="E58" s="16" t="n">
        <v>2750</v>
      </c>
      <c r="F58" s="38" t="n">
        <v>1401702</v>
      </c>
      <c r="G58" s="38" t="n">
        <v>1491648</v>
      </c>
      <c r="H58" s="38" t="n">
        <v>1401702</v>
      </c>
      <c r="I58" s="38" t="n">
        <v>1479425</v>
      </c>
      <c r="J58" s="19">
        <f>(I58-H58)/1000</f>
        <v/>
      </c>
      <c r="K58" s="16" t="inlineStr">
        <is>
          <t>Yes</t>
        </is>
      </c>
    </row>
    <row r="59">
      <c r="A59" s="16" t="inlineStr">
        <is>
          <t>2 Jun</t>
        </is>
      </c>
      <c r="B59" s="16" t="inlineStr">
        <is>
          <t>37261</t>
        </is>
      </c>
      <c r="C59" s="16" t="n">
        <v>3680</v>
      </c>
      <c r="D59" s="16" t="n">
        <v>3678</v>
      </c>
      <c r="E59" s="16" t="n">
        <v>3351</v>
      </c>
      <c r="F59" s="38" t="n">
        <v>1401702</v>
      </c>
      <c r="G59" s="38" t="n">
        <v>1499146</v>
      </c>
      <c r="H59" s="38" t="n">
        <v>1401702</v>
      </c>
      <c r="I59" s="38" t="n">
        <v>1479406</v>
      </c>
      <c r="J59" s="19">
        <f>(I59-H59)/1000</f>
        <v/>
      </c>
      <c r="K59" s="16" t="inlineStr">
        <is>
          <t>Yes</t>
        </is>
      </c>
    </row>
    <row r="60">
      <c r="A60" s="16" t="inlineStr">
        <is>
          <t>2 Jun</t>
        </is>
      </c>
      <c r="B60" s="16" t="inlineStr">
        <is>
          <t>39049</t>
        </is>
      </c>
      <c r="C60" s="16" t="n">
        <v>3487</v>
      </c>
      <c r="D60" s="16" t="n">
        <v>3485</v>
      </c>
      <c r="E60" s="16" t="n">
        <v>3242</v>
      </c>
      <c r="F60" s="38" t="n">
        <v>1401725</v>
      </c>
      <c r="G60" s="38" t="n">
        <v>1508672</v>
      </c>
      <c r="H60" s="38" t="n">
        <v>1401725</v>
      </c>
      <c r="I60" s="38" t="n">
        <v>1479423</v>
      </c>
      <c r="J60" s="19">
        <f>(I60-H60)/1000</f>
        <v/>
      </c>
      <c r="K60" s="16" t="inlineStr">
        <is>
          <t>Yes</t>
        </is>
      </c>
    </row>
    <row r="61">
      <c r="A61" s="16" t="inlineStr">
        <is>
          <t>2 Jun</t>
        </is>
      </c>
      <c r="B61" s="16" t="inlineStr">
        <is>
          <t>39192</t>
        </is>
      </c>
      <c r="C61" s="16" t="n">
        <v>3061</v>
      </c>
      <c r="D61" s="16" t="n">
        <v>3061</v>
      </c>
      <c r="E61" s="16" t="n">
        <v>2775</v>
      </c>
      <c r="F61" s="38" t="n">
        <v>1401741</v>
      </c>
      <c r="G61" s="38" t="n">
        <v>1507970</v>
      </c>
      <c r="H61" s="38" t="n">
        <v>1401741</v>
      </c>
      <c r="I61" s="38" t="n">
        <v>1479428</v>
      </c>
      <c r="J61" s="19">
        <f>(I61-H61)/1000</f>
        <v/>
      </c>
      <c r="K61" s="16" t="inlineStr">
        <is>
          <t>Yes</t>
        </is>
      </c>
    </row>
    <row r="62">
      <c r="A62" s="16" t="inlineStr">
        <is>
          <t>2 Jun</t>
        </is>
      </c>
      <c r="B62" s="16" t="inlineStr">
        <is>
          <t>37054</t>
        </is>
      </c>
      <c r="C62" s="16" t="n">
        <v>3306</v>
      </c>
      <c r="D62" s="16" t="n">
        <v>3304</v>
      </c>
      <c r="E62" s="16" t="n">
        <v>2991</v>
      </c>
      <c r="F62" s="38" t="n">
        <v>1274569</v>
      </c>
      <c r="G62" s="38" t="n">
        <v>1500803</v>
      </c>
      <c r="H62" s="38" t="n">
        <v>1401719</v>
      </c>
      <c r="I62" s="38" t="n">
        <v>1479403</v>
      </c>
      <c r="J62" s="19">
        <f>(I62-H62)/1000</f>
        <v/>
      </c>
      <c r="K62" s="16" t="inlineStr">
        <is>
          <t>Yes</t>
        </is>
      </c>
    </row>
    <row r="63">
      <c r="A63" s="16" t="inlineStr">
        <is>
          <t>2 Jun</t>
        </is>
      </c>
      <c r="B63" s="16" t="inlineStr">
        <is>
          <t>39320</t>
        </is>
      </c>
      <c r="C63" s="16" t="n">
        <v>2956</v>
      </c>
      <c r="D63" s="16" t="n">
        <v>2954</v>
      </c>
      <c r="E63" s="16" t="n">
        <v>2806</v>
      </c>
      <c r="F63" s="38" t="n">
        <v>1401729</v>
      </c>
      <c r="G63" s="38" t="n">
        <v>1495727</v>
      </c>
      <c r="H63" s="38" t="n">
        <v>1401729</v>
      </c>
      <c r="I63" s="38" t="n">
        <v>1479403</v>
      </c>
      <c r="J63" s="19">
        <f>(I63-H63)/1000</f>
        <v/>
      </c>
      <c r="K63" s="16" t="inlineStr">
        <is>
          <t>Yes</t>
        </is>
      </c>
    </row>
    <row r="64">
      <c r="A64" s="16" t="inlineStr">
        <is>
          <t>2 Jun</t>
        </is>
      </c>
      <c r="B64" s="16" t="inlineStr">
        <is>
          <t>30488</t>
        </is>
      </c>
      <c r="C64" s="16" t="n">
        <v>3386</v>
      </c>
      <c r="D64" s="16" t="n">
        <v>3384</v>
      </c>
      <c r="E64" s="16" t="n">
        <v>2361</v>
      </c>
      <c r="F64" s="38" t="n">
        <v>1172279</v>
      </c>
      <c r="G64" s="38" t="n">
        <v>1499539</v>
      </c>
      <c r="H64" s="38" t="n">
        <v>1401724</v>
      </c>
      <c r="I64" s="38" t="n">
        <v>1479384</v>
      </c>
      <c r="J64" s="19">
        <f>(I64-H64)/1000</f>
        <v/>
      </c>
      <c r="K64" s="16" t="inlineStr">
        <is>
          <t>Yes</t>
        </is>
      </c>
    </row>
    <row r="65">
      <c r="A65" s="16" t="inlineStr">
        <is>
          <t>2 Jun</t>
        </is>
      </c>
      <c r="B65" s="16" t="inlineStr">
        <is>
          <t>37917</t>
        </is>
      </c>
      <c r="C65" s="16" t="n">
        <v>2740</v>
      </c>
      <c r="D65" s="16" t="n">
        <v>2740</v>
      </c>
      <c r="E65" s="16" t="n">
        <v>2519</v>
      </c>
      <c r="F65" s="38" t="n">
        <v>1401721</v>
      </c>
      <c r="G65" s="38" t="n">
        <v>1508619</v>
      </c>
      <c r="H65" s="38" t="n">
        <v>1401721</v>
      </c>
      <c r="I65" s="38" t="n">
        <v>1479382</v>
      </c>
      <c r="J65" s="19">
        <f>(I65-H65)/1000</f>
        <v/>
      </c>
      <c r="K65" s="16" t="inlineStr">
        <is>
          <t>Yes</t>
        </is>
      </c>
    </row>
    <row r="66">
      <c r="A66" s="16" t="inlineStr">
        <is>
          <t>2 Jun</t>
        </is>
      </c>
      <c r="B66" s="16" t="inlineStr">
        <is>
          <t>37325</t>
        </is>
      </c>
      <c r="C66" s="16" t="n">
        <v>1573</v>
      </c>
      <c r="D66" s="16" t="n">
        <v>1573</v>
      </c>
      <c r="E66" s="16" t="n">
        <v>1247</v>
      </c>
      <c r="F66" s="38" t="n">
        <v>1408935</v>
      </c>
      <c r="G66" s="38" t="n">
        <v>1508591</v>
      </c>
      <c r="H66" s="38" t="n">
        <v>1408935</v>
      </c>
      <c r="I66" s="38" t="n">
        <v>1479418</v>
      </c>
      <c r="J66" s="19">
        <f>(I66-H66)/1000</f>
        <v/>
      </c>
      <c r="K66" s="16" t="inlineStr">
        <is>
          <t>Yes</t>
        </is>
      </c>
    </row>
    <row r="67">
      <c r="A67" s="16" t="inlineStr">
        <is>
          <t>2 Jun</t>
        </is>
      </c>
      <c r="B67" s="16" t="inlineStr">
        <is>
          <t>30460</t>
        </is>
      </c>
      <c r="C67" s="16" t="n">
        <v>3542</v>
      </c>
      <c r="D67" s="16" t="n">
        <v>3541</v>
      </c>
      <c r="E67" s="16" t="n">
        <v>2430</v>
      </c>
      <c r="F67" s="38" t="n">
        <v>1172049</v>
      </c>
      <c r="G67" s="38" t="n">
        <v>1496690</v>
      </c>
      <c r="H67" s="38" t="n">
        <v>1418916</v>
      </c>
      <c r="I67" s="38" t="n">
        <v>1479429</v>
      </c>
      <c r="J67" s="19">
        <f>(I67-H67)/1000</f>
        <v/>
      </c>
      <c r="K67" s="16" t="inlineStr">
        <is>
          <t>Yes</t>
        </is>
      </c>
    </row>
    <row r="68">
      <c r="A68" s="16" t="inlineStr">
        <is>
          <t>2 Jun</t>
        </is>
      </c>
      <c r="B68" s="16" t="inlineStr">
        <is>
          <t>39217</t>
        </is>
      </c>
      <c r="C68" s="16" t="n">
        <v>749</v>
      </c>
      <c r="D68" s="16" t="n">
        <v>749</v>
      </c>
      <c r="E68" s="16" t="n">
        <v>17</v>
      </c>
      <c r="F68" s="38" t="n">
        <v>1268649</v>
      </c>
      <c r="G68" s="38" t="n">
        <v>1420713</v>
      </c>
      <c r="H68" s="38" t="n">
        <v>1401818</v>
      </c>
      <c r="I68" s="38" t="n">
        <v>1420713</v>
      </c>
      <c r="J68" s="19">
        <f>(I68-H68)/1000</f>
        <v/>
      </c>
      <c r="K68" s="16" t="inlineStr">
        <is>
          <t>Yes</t>
        </is>
      </c>
    </row>
    <row r="69">
      <c r="A69" s="16" t="inlineStr">
        <is>
          <t>2 Jun</t>
        </is>
      </c>
      <c r="B69" s="16" t="inlineStr">
        <is>
          <t>30197</t>
        </is>
      </c>
      <c r="C69" s="16" t="n">
        <v>214</v>
      </c>
      <c r="D69" s="16" t="n">
        <v>211</v>
      </c>
      <c r="E69" s="16" t="n">
        <v>211</v>
      </c>
      <c r="F69" s="38" t="n">
        <v>1457355</v>
      </c>
      <c r="G69" s="38" t="n">
        <v>1464378</v>
      </c>
      <c r="H69" s="38" t="n">
        <v>1457355</v>
      </c>
      <c r="I69" s="38" t="n">
        <v>1464378</v>
      </c>
      <c r="J69" s="19">
        <f>(I69-H69)/1000</f>
        <v/>
      </c>
      <c r="K69" s="16" t="inlineStr">
        <is>
          <t>Yes</t>
        </is>
      </c>
    </row>
    <row r="70">
      <c r="A70" s="31" t="inlineStr">
        <is>
          <t>2 Jun</t>
        </is>
      </c>
      <c r="B70" s="31" t="inlineStr">
        <is>
          <t>30176</t>
        </is>
      </c>
      <c r="C70" s="31" t="n">
        <v>35</v>
      </c>
      <c r="D70" s="31" t="n">
        <v>35</v>
      </c>
      <c r="E70" s="31" t="n">
        <v>0</v>
      </c>
      <c r="F70" s="39" t="n">
        <v>1166696</v>
      </c>
      <c r="G70" s="39" t="n">
        <v>1172468</v>
      </c>
      <c r="H70" s="39" t="inlineStr">
        <is>
          <t>-</t>
        </is>
      </c>
      <c r="I70" s="39" t="inlineStr">
        <is>
          <t>-</t>
        </is>
      </c>
      <c r="J70" s="40" t="n">
        <v>0</v>
      </c>
      <c r="K70" s="31" t="inlineStr">
        <is>
          <t>No</t>
        </is>
      </c>
    </row>
    <row r="71">
      <c r="A71" s="31" t="inlineStr">
        <is>
          <t>2 Jun</t>
        </is>
      </c>
      <c r="B71" s="31" t="inlineStr">
        <is>
          <t>30739</t>
        </is>
      </c>
      <c r="C71" s="31" t="n">
        <v>110</v>
      </c>
      <c r="D71" s="31" t="n">
        <v>110</v>
      </c>
      <c r="E71" s="31" t="n">
        <v>0</v>
      </c>
      <c r="F71" s="39" t="n">
        <v>1198292</v>
      </c>
      <c r="G71" s="39" t="n">
        <v>1224395</v>
      </c>
      <c r="H71" s="39" t="inlineStr">
        <is>
          <t>-</t>
        </is>
      </c>
      <c r="I71" s="39" t="inlineStr">
        <is>
          <t>-</t>
        </is>
      </c>
      <c r="J71" s="40" t="n">
        <v>0</v>
      </c>
      <c r="K71" s="31" t="inlineStr">
        <is>
          <t>No</t>
        </is>
      </c>
    </row>
    <row r="72">
      <c r="A72" s="31" t="inlineStr">
        <is>
          <t>2 Jun</t>
        </is>
      </c>
      <c r="B72" s="31" t="inlineStr">
        <is>
          <t>30815</t>
        </is>
      </c>
      <c r="C72" s="31" t="n">
        <v>1</v>
      </c>
      <c r="D72" s="31" t="n">
        <v>0</v>
      </c>
      <c r="E72" s="31" t="n">
        <v>0</v>
      </c>
      <c r="F72" s="39" t="inlineStr">
        <is>
          <t>-</t>
        </is>
      </c>
      <c r="G72" s="39" t="inlineStr">
        <is>
          <t>-</t>
        </is>
      </c>
      <c r="H72" s="39" t="inlineStr">
        <is>
          <t>-</t>
        </is>
      </c>
      <c r="I72" s="39" t="inlineStr">
        <is>
          <t>-</t>
        </is>
      </c>
      <c r="J72" s="40" t="n">
        <v>0</v>
      </c>
      <c r="K72" s="31" t="inlineStr">
        <is>
          <t>No</t>
        </is>
      </c>
    </row>
    <row r="73">
      <c r="A73" s="31" t="inlineStr">
        <is>
          <t>2 Jun</t>
        </is>
      </c>
      <c r="B73" s="31" t="inlineStr">
        <is>
          <t>37275</t>
        </is>
      </c>
      <c r="C73" s="31" t="n">
        <v>135</v>
      </c>
      <c r="D73" s="31" t="n">
        <v>133</v>
      </c>
      <c r="E73" s="31" t="n">
        <v>0</v>
      </c>
      <c r="F73" s="39" t="n">
        <v>1200505</v>
      </c>
      <c r="G73" s="39" t="n">
        <v>1210840</v>
      </c>
      <c r="H73" s="39" t="inlineStr">
        <is>
          <t>-</t>
        </is>
      </c>
      <c r="I73" s="39" t="inlineStr">
        <is>
          <t>-</t>
        </is>
      </c>
      <c r="J73" s="40" t="n">
        <v>0</v>
      </c>
      <c r="K73" s="31" t="inlineStr">
        <is>
          <t>No</t>
        </is>
      </c>
    </row>
    <row r="74">
      <c r="A74" s="31" t="inlineStr">
        <is>
          <t>2 Jun</t>
        </is>
      </c>
      <c r="B74" s="31" t="inlineStr">
        <is>
          <t>37366</t>
        </is>
      </c>
      <c r="C74" s="31" t="n">
        <v>53</v>
      </c>
      <c r="D74" s="31" t="n">
        <v>53</v>
      </c>
      <c r="E74" s="31" t="n">
        <v>0</v>
      </c>
      <c r="F74" s="39" t="n">
        <v>1106439</v>
      </c>
      <c r="G74" s="39" t="n">
        <v>1172585</v>
      </c>
      <c r="H74" s="39" t="inlineStr">
        <is>
          <t>-</t>
        </is>
      </c>
      <c r="I74" s="39" t="inlineStr">
        <is>
          <t>-</t>
        </is>
      </c>
      <c r="J74" s="40" t="n">
        <v>0</v>
      </c>
      <c r="K74" s="31" t="inlineStr">
        <is>
          <t>No</t>
        </is>
      </c>
    </row>
    <row r="75">
      <c r="A75" s="31" t="inlineStr">
        <is>
          <t>2 Jun</t>
        </is>
      </c>
      <c r="B75" s="31" t="inlineStr">
        <is>
          <t>37458</t>
        </is>
      </c>
      <c r="C75" s="31" t="n">
        <v>69</v>
      </c>
      <c r="D75" s="31" t="n">
        <v>69</v>
      </c>
      <c r="E75" s="31" t="n">
        <v>0</v>
      </c>
      <c r="F75" s="39" t="n">
        <v>1274676</v>
      </c>
      <c r="G75" s="39" t="n">
        <v>1396619</v>
      </c>
      <c r="H75" s="39" t="inlineStr">
        <is>
          <t>-</t>
        </is>
      </c>
      <c r="I75" s="39" t="inlineStr">
        <is>
          <t>-</t>
        </is>
      </c>
      <c r="J75" s="40" t="n">
        <v>0</v>
      </c>
      <c r="K75" s="31" t="inlineStr">
        <is>
          <t>No</t>
        </is>
      </c>
    </row>
    <row r="76">
      <c r="A76" s="31" t="inlineStr">
        <is>
          <t>2 Jun</t>
        </is>
      </c>
      <c r="B76" s="31" t="inlineStr">
        <is>
          <t>39465</t>
        </is>
      </c>
      <c r="C76" s="31" t="n">
        <v>650</v>
      </c>
      <c r="D76" s="31" t="n">
        <v>607</v>
      </c>
      <c r="E76" s="31" t="n">
        <v>0</v>
      </c>
      <c r="F76" s="39" t="n">
        <v>1144499</v>
      </c>
      <c r="G76" s="39" t="n">
        <v>1210417</v>
      </c>
      <c r="H76" s="39" t="inlineStr">
        <is>
          <t>-</t>
        </is>
      </c>
      <c r="I76" s="39" t="inlineStr">
        <is>
          <t>-</t>
        </is>
      </c>
      <c r="J76" s="40" t="n">
        <v>0</v>
      </c>
      <c r="K76" s="31" t="inlineStr">
        <is>
          <t>No</t>
        </is>
      </c>
    </row>
    <row r="77">
      <c r="A77" s="16" t="inlineStr">
        <is>
          <t>3 Jun</t>
        </is>
      </c>
      <c r="B77" s="16" t="inlineStr">
        <is>
          <t>30463</t>
        </is>
      </c>
      <c r="C77" s="16" t="n">
        <v>3197</v>
      </c>
      <c r="D77" s="16" t="n">
        <v>3192</v>
      </c>
      <c r="E77" s="16" t="n">
        <v>2808</v>
      </c>
      <c r="F77" s="38" t="n">
        <v>1401323</v>
      </c>
      <c r="G77" s="38" t="n">
        <v>1518682</v>
      </c>
      <c r="H77" s="38" t="n">
        <v>1401555</v>
      </c>
      <c r="I77" s="38" t="n">
        <v>1479421</v>
      </c>
      <c r="J77" s="19">
        <f>(I77-H77)/1000</f>
        <v/>
      </c>
      <c r="K77" s="16" t="inlineStr">
        <is>
          <t>Yes</t>
        </is>
      </c>
    </row>
    <row r="78">
      <c r="A78" s="16" t="inlineStr">
        <is>
          <t>3 Jun</t>
        </is>
      </c>
      <c r="B78" s="16" t="inlineStr">
        <is>
          <t>37780</t>
        </is>
      </c>
      <c r="C78" s="16" t="n">
        <v>7480</v>
      </c>
      <c r="D78" s="16" t="n">
        <v>7468</v>
      </c>
      <c r="E78" s="16" t="n">
        <v>4640</v>
      </c>
      <c r="F78" s="38" t="n">
        <v>1100858</v>
      </c>
      <c r="G78" s="38" t="n">
        <v>1518271</v>
      </c>
      <c r="H78" s="38" t="n">
        <v>1401562</v>
      </c>
      <c r="I78" s="38" t="n">
        <v>1479429</v>
      </c>
      <c r="J78" s="19">
        <f>(I78-H78)/1000</f>
        <v/>
      </c>
      <c r="K78" s="16" t="inlineStr">
        <is>
          <t>Yes</t>
        </is>
      </c>
    </row>
    <row r="79">
      <c r="A79" s="16" t="inlineStr">
        <is>
          <t>3 Jun</t>
        </is>
      </c>
      <c r="B79" s="16" t="inlineStr">
        <is>
          <t>39336</t>
        </is>
      </c>
      <c r="C79" s="16" t="n">
        <v>8733</v>
      </c>
      <c r="D79" s="16" t="n">
        <v>8708</v>
      </c>
      <c r="E79" s="16" t="n">
        <v>5480</v>
      </c>
      <c r="F79" s="38" t="n">
        <v>1131546</v>
      </c>
      <c r="G79" s="38" t="n">
        <v>1523903</v>
      </c>
      <c r="H79" s="38" t="n">
        <v>1401564</v>
      </c>
      <c r="I79" s="38" t="n">
        <v>1479433</v>
      </c>
      <c r="J79" s="19">
        <f>(I79-H79)/1000</f>
        <v/>
      </c>
      <c r="K79" s="16" t="inlineStr">
        <is>
          <t>Yes</t>
        </is>
      </c>
    </row>
    <row r="80">
      <c r="A80" s="16" t="inlineStr">
        <is>
          <t>3 Jun</t>
        </is>
      </c>
      <c r="B80" s="16" t="inlineStr">
        <is>
          <t>37830</t>
        </is>
      </c>
      <c r="C80" s="16" t="n">
        <v>3021</v>
      </c>
      <c r="D80" s="16" t="n">
        <v>3020</v>
      </c>
      <c r="E80" s="16" t="n">
        <v>2321</v>
      </c>
      <c r="F80" s="38" t="n">
        <v>1191886</v>
      </c>
      <c r="G80" s="38" t="n">
        <v>1507798</v>
      </c>
      <c r="H80" s="38" t="n">
        <v>1401574</v>
      </c>
      <c r="I80" s="38" t="n">
        <v>1479429</v>
      </c>
      <c r="J80" s="19">
        <f>(I80-H80)/1000</f>
        <v/>
      </c>
      <c r="K80" s="16" t="inlineStr">
        <is>
          <t>Yes</t>
        </is>
      </c>
    </row>
    <row r="81">
      <c r="A81" s="16" t="inlineStr">
        <is>
          <t>3 Jun</t>
        </is>
      </c>
      <c r="B81" s="16" t="inlineStr">
        <is>
          <t>30352</t>
        </is>
      </c>
      <c r="C81" s="16" t="n">
        <v>2568</v>
      </c>
      <c r="D81" s="16" t="n">
        <v>2562</v>
      </c>
      <c r="E81" s="16" t="n">
        <v>2353</v>
      </c>
      <c r="F81" s="38" t="n">
        <v>1401323</v>
      </c>
      <c r="G81" s="38" t="n">
        <v>1507892</v>
      </c>
      <c r="H81" s="38" t="n">
        <v>1401575</v>
      </c>
      <c r="I81" s="38" t="n">
        <v>1479429</v>
      </c>
      <c r="J81" s="19">
        <f>(I81-H81)/1000</f>
        <v/>
      </c>
      <c r="K81" s="16" t="inlineStr">
        <is>
          <t>Yes</t>
        </is>
      </c>
    </row>
    <row r="82">
      <c r="A82" s="16" t="inlineStr">
        <is>
          <t>3 Jun</t>
        </is>
      </c>
      <c r="B82" s="16" t="inlineStr">
        <is>
          <t>30466</t>
        </is>
      </c>
      <c r="C82" s="16" t="n">
        <v>7287</v>
      </c>
      <c r="D82" s="16" t="n">
        <v>7246</v>
      </c>
      <c r="E82" s="16" t="n">
        <v>5360</v>
      </c>
      <c r="F82" s="38" t="n">
        <v>1170883</v>
      </c>
      <c r="G82" s="38" t="n">
        <v>1508627</v>
      </c>
      <c r="H82" s="38" t="n">
        <v>1401576</v>
      </c>
      <c r="I82" s="38" t="n">
        <v>1479422</v>
      </c>
      <c r="J82" s="19">
        <f>(I82-H82)/1000</f>
        <v/>
      </c>
      <c r="K82" s="16" t="inlineStr">
        <is>
          <t>Yes</t>
        </is>
      </c>
    </row>
    <row r="83">
      <c r="A83" s="16" t="inlineStr">
        <is>
          <t>3 Jun</t>
        </is>
      </c>
      <c r="B83" s="16" t="inlineStr">
        <is>
          <t>30537</t>
        </is>
      </c>
      <c r="C83" s="16" t="n">
        <v>2329</v>
      </c>
      <c r="D83" s="16" t="n">
        <v>2327</v>
      </c>
      <c r="E83" s="16" t="n">
        <v>2182</v>
      </c>
      <c r="F83" s="38" t="n">
        <v>1401353</v>
      </c>
      <c r="G83" s="38" t="n">
        <v>1496908</v>
      </c>
      <c r="H83" s="38" t="n">
        <v>1401585</v>
      </c>
      <c r="I83" s="38" t="n">
        <v>1479431</v>
      </c>
      <c r="J83" s="19">
        <f>(I83-H83)/1000</f>
        <v/>
      </c>
      <c r="K83" s="16" t="inlineStr">
        <is>
          <t>Yes</t>
        </is>
      </c>
    </row>
    <row r="84">
      <c r="A84" s="16" t="inlineStr">
        <is>
          <t>3 Jun</t>
        </is>
      </c>
      <c r="B84" s="16" t="inlineStr">
        <is>
          <t>30619</t>
        </is>
      </c>
      <c r="C84" s="16" t="n">
        <v>5641</v>
      </c>
      <c r="D84" s="16" t="n">
        <v>5633</v>
      </c>
      <c r="E84" s="16" t="n">
        <v>5092</v>
      </c>
      <c r="F84" s="38" t="n">
        <v>1269266</v>
      </c>
      <c r="G84" s="38" t="n">
        <v>1518499</v>
      </c>
      <c r="H84" s="38" t="n">
        <v>1401572</v>
      </c>
      <c r="I84" s="38" t="n">
        <v>1479423</v>
      </c>
      <c r="J84" s="19">
        <f>(I84-H84)/1000</f>
        <v/>
      </c>
      <c r="K84" s="16" t="inlineStr">
        <is>
          <t>Yes</t>
        </is>
      </c>
    </row>
    <row r="85">
      <c r="A85" s="16" t="inlineStr">
        <is>
          <t>3 Jun</t>
        </is>
      </c>
      <c r="B85" s="16" t="inlineStr">
        <is>
          <t>39364</t>
        </is>
      </c>
      <c r="C85" s="16" t="n">
        <v>7355</v>
      </c>
      <c r="D85" s="16" t="n">
        <v>7346</v>
      </c>
      <c r="E85" s="16" t="n">
        <v>4539</v>
      </c>
      <c r="F85" s="38" t="n">
        <v>1148616</v>
      </c>
      <c r="G85" s="38" t="n">
        <v>1516287</v>
      </c>
      <c r="H85" s="38" t="n">
        <v>1401575</v>
      </c>
      <c r="I85" s="38" t="n">
        <v>1479425</v>
      </c>
      <c r="J85" s="19">
        <f>(I85-H85)/1000</f>
        <v/>
      </c>
      <c r="K85" s="16" t="inlineStr">
        <is>
          <t>Yes</t>
        </is>
      </c>
    </row>
    <row r="86">
      <c r="A86" s="16" t="inlineStr">
        <is>
          <t>3 Jun</t>
        </is>
      </c>
      <c r="B86" s="16" t="inlineStr">
        <is>
          <t>30340</t>
        </is>
      </c>
      <c r="C86" s="16" t="n">
        <v>2848</v>
      </c>
      <c r="D86" s="16" t="n">
        <v>2836</v>
      </c>
      <c r="E86" s="16" t="n">
        <v>2329</v>
      </c>
      <c r="F86" s="38" t="n">
        <v>1204095</v>
      </c>
      <c r="G86" s="38" t="n">
        <v>1499278</v>
      </c>
      <c r="H86" s="38" t="n">
        <v>1401555</v>
      </c>
      <c r="I86" s="38" t="n">
        <v>1479397</v>
      </c>
      <c r="J86" s="19">
        <f>(I86-H86)/1000</f>
        <v/>
      </c>
      <c r="K86" s="16" t="inlineStr">
        <is>
          <t>Yes</t>
        </is>
      </c>
    </row>
    <row r="87">
      <c r="A87" s="16" t="inlineStr">
        <is>
          <t>3 Jun</t>
        </is>
      </c>
      <c r="B87" s="16" t="inlineStr">
        <is>
          <t>37322</t>
        </is>
      </c>
      <c r="C87" s="16" t="n">
        <v>2799</v>
      </c>
      <c r="D87" s="16" t="n">
        <v>2798</v>
      </c>
      <c r="E87" s="16" t="n">
        <v>2586</v>
      </c>
      <c r="F87" s="38" t="n">
        <v>1401381</v>
      </c>
      <c r="G87" s="38" t="n">
        <v>1499503</v>
      </c>
      <c r="H87" s="38" t="n">
        <v>1401578</v>
      </c>
      <c r="I87" s="38" t="n">
        <v>1479414</v>
      </c>
      <c r="J87" s="19">
        <f>(I87-H87)/1000</f>
        <v/>
      </c>
      <c r="K87" s="16" t="inlineStr">
        <is>
          <t>Yes</t>
        </is>
      </c>
    </row>
    <row r="88">
      <c r="A88" s="16" t="inlineStr">
        <is>
          <t>3 Jun</t>
        </is>
      </c>
      <c r="B88" s="16" t="inlineStr">
        <is>
          <t>37628</t>
        </is>
      </c>
      <c r="C88" s="16" t="n">
        <v>3384</v>
      </c>
      <c r="D88" s="16" t="n">
        <v>3382</v>
      </c>
      <c r="E88" s="16" t="n">
        <v>2718</v>
      </c>
      <c r="F88" s="38" t="n">
        <v>1401357</v>
      </c>
      <c r="G88" s="38" t="n">
        <v>1495160</v>
      </c>
      <c r="H88" s="38" t="n">
        <v>1401581</v>
      </c>
      <c r="I88" s="38" t="n">
        <v>1479419</v>
      </c>
      <c r="J88" s="19">
        <f>(I88-H88)/1000</f>
        <v/>
      </c>
      <c r="K88" s="16" t="inlineStr">
        <is>
          <t>Yes</t>
        </is>
      </c>
    </row>
    <row r="89">
      <c r="A89" s="16" t="inlineStr">
        <is>
          <t>3 Jun</t>
        </is>
      </c>
      <c r="B89" s="16" t="inlineStr">
        <is>
          <t>30339</t>
        </is>
      </c>
      <c r="C89" s="16" t="n">
        <v>3406</v>
      </c>
      <c r="D89" s="16" t="n">
        <v>3403</v>
      </c>
      <c r="E89" s="16" t="n">
        <v>2223</v>
      </c>
      <c r="F89" s="38" t="n">
        <v>1170748</v>
      </c>
      <c r="G89" s="38" t="n">
        <v>1493389</v>
      </c>
      <c r="H89" s="38" t="n">
        <v>1401563</v>
      </c>
      <c r="I89" s="38" t="n">
        <v>1479374</v>
      </c>
      <c r="J89" s="19">
        <f>(I89-H89)/1000</f>
        <v/>
      </c>
      <c r="K89" s="16" t="inlineStr">
        <is>
          <t>Yes</t>
        </is>
      </c>
    </row>
    <row r="90">
      <c r="A90" s="16" t="inlineStr">
        <is>
          <t>3 Jun</t>
        </is>
      </c>
      <c r="B90" s="16" t="inlineStr">
        <is>
          <t>37224</t>
        </is>
      </c>
      <c r="C90" s="16" t="n">
        <v>3490</v>
      </c>
      <c r="D90" s="16" t="n">
        <v>3488</v>
      </c>
      <c r="E90" s="16" t="n">
        <v>2766</v>
      </c>
      <c r="F90" s="38" t="n">
        <v>1401680</v>
      </c>
      <c r="G90" s="38" t="n">
        <v>1508394</v>
      </c>
      <c r="H90" s="38" t="n">
        <v>1401680</v>
      </c>
      <c r="I90" s="38" t="n">
        <v>1479430</v>
      </c>
      <c r="J90" s="19">
        <f>(I90-H90)/1000</f>
        <v/>
      </c>
      <c r="K90" s="16" t="inlineStr">
        <is>
          <t>Yes</t>
        </is>
      </c>
    </row>
    <row r="91">
      <c r="A91" s="16" t="inlineStr">
        <is>
          <t>3 Jun</t>
        </is>
      </c>
      <c r="B91" s="16" t="inlineStr">
        <is>
          <t>30624</t>
        </is>
      </c>
      <c r="C91" s="16" t="n">
        <v>2505</v>
      </c>
      <c r="D91" s="16" t="n">
        <v>2461</v>
      </c>
      <c r="E91" s="16" t="n">
        <v>1640</v>
      </c>
      <c r="F91" s="38" t="n">
        <v>1401680</v>
      </c>
      <c r="G91" s="38" t="n">
        <v>1500657</v>
      </c>
      <c r="H91" s="38" t="n">
        <v>1401680</v>
      </c>
      <c r="I91" s="38" t="n">
        <v>1479422</v>
      </c>
      <c r="J91" s="19">
        <f>(I91-H91)/1000</f>
        <v/>
      </c>
      <c r="K91" s="16" t="inlineStr">
        <is>
          <t>Yes</t>
        </is>
      </c>
    </row>
    <row r="92">
      <c r="A92" s="16" t="inlineStr">
        <is>
          <t>3 Jun</t>
        </is>
      </c>
      <c r="B92" s="16" t="inlineStr">
        <is>
          <t>37033</t>
        </is>
      </c>
      <c r="C92" s="16" t="n">
        <v>3298</v>
      </c>
      <c r="D92" s="16" t="n">
        <v>3296</v>
      </c>
      <c r="E92" s="16" t="n">
        <v>2668</v>
      </c>
      <c r="F92" s="38" t="n">
        <v>1273679</v>
      </c>
      <c r="G92" s="38" t="n">
        <v>1516189</v>
      </c>
      <c r="H92" s="38" t="n">
        <v>1401696</v>
      </c>
      <c r="I92" s="38" t="n">
        <v>1479431</v>
      </c>
      <c r="J92" s="19">
        <f>(I92-H92)/1000</f>
        <v/>
      </c>
      <c r="K92" s="16" t="inlineStr">
        <is>
          <t>Yes</t>
        </is>
      </c>
    </row>
    <row r="93">
      <c r="A93" s="16" t="inlineStr">
        <is>
          <t>3 Jun</t>
        </is>
      </c>
      <c r="B93" s="16" t="inlineStr">
        <is>
          <t>30739</t>
        </is>
      </c>
      <c r="C93" s="16" t="n">
        <v>2982</v>
      </c>
      <c r="D93" s="16" t="n">
        <v>2959</v>
      </c>
      <c r="E93" s="16" t="n">
        <v>1322</v>
      </c>
      <c r="F93" s="38" t="n">
        <v>1106692</v>
      </c>
      <c r="G93" s="38" t="n">
        <v>1516305</v>
      </c>
      <c r="H93" s="38" t="n">
        <v>1401688</v>
      </c>
      <c r="I93" s="38" t="n">
        <v>1479411</v>
      </c>
      <c r="J93" s="19">
        <f>(I93-H93)/1000</f>
        <v/>
      </c>
      <c r="K93" s="16" t="inlineStr">
        <is>
          <t>Yes</t>
        </is>
      </c>
    </row>
    <row r="94">
      <c r="A94" s="16" t="inlineStr">
        <is>
          <t>3 Jun</t>
        </is>
      </c>
      <c r="B94" s="16" t="inlineStr">
        <is>
          <t>37853</t>
        </is>
      </c>
      <c r="C94" s="16" t="n">
        <v>2660</v>
      </c>
      <c r="D94" s="16" t="n">
        <v>2660</v>
      </c>
      <c r="E94" s="16" t="n">
        <v>2418</v>
      </c>
      <c r="F94" s="38" t="n">
        <v>1401727</v>
      </c>
      <c r="G94" s="38" t="n">
        <v>1513975</v>
      </c>
      <c r="H94" s="38" t="n">
        <v>1401727</v>
      </c>
      <c r="I94" s="38" t="n">
        <v>1479430</v>
      </c>
      <c r="J94" s="19">
        <f>(I94-H94)/1000</f>
        <v/>
      </c>
      <c r="K94" s="16" t="inlineStr">
        <is>
          <t>Yes</t>
        </is>
      </c>
    </row>
    <row r="95">
      <c r="A95" s="16" t="inlineStr">
        <is>
          <t>3 Jun</t>
        </is>
      </c>
      <c r="B95" s="16" t="inlineStr">
        <is>
          <t>37934</t>
        </is>
      </c>
      <c r="C95" s="16" t="n">
        <v>4277</v>
      </c>
      <c r="D95" s="16" t="n">
        <v>4276</v>
      </c>
      <c r="E95" s="16" t="n">
        <v>2393</v>
      </c>
      <c r="F95" s="38" t="n">
        <v>1095334</v>
      </c>
      <c r="G95" s="38" t="n">
        <v>1508280</v>
      </c>
      <c r="H95" s="38" t="n">
        <v>1401732</v>
      </c>
      <c r="I95" s="38" t="n">
        <v>1479432</v>
      </c>
      <c r="J95" s="19">
        <f>(I95-H95)/1000</f>
        <v/>
      </c>
      <c r="K95" s="16" t="inlineStr">
        <is>
          <t>Yes</t>
        </is>
      </c>
    </row>
    <row r="96">
      <c r="A96" s="16" t="inlineStr">
        <is>
          <t>3 Jun</t>
        </is>
      </c>
      <c r="B96" s="16" t="inlineStr">
        <is>
          <t>30240</t>
        </is>
      </c>
      <c r="C96" s="16" t="n">
        <v>2633</v>
      </c>
      <c r="D96" s="16" t="n">
        <v>2609</v>
      </c>
      <c r="E96" s="16" t="n">
        <v>2398</v>
      </c>
      <c r="F96" s="38" t="n">
        <v>1260971</v>
      </c>
      <c r="G96" s="38" t="n">
        <v>1506781</v>
      </c>
      <c r="H96" s="38" t="n">
        <v>1401727</v>
      </c>
      <c r="I96" s="38" t="n">
        <v>1479418</v>
      </c>
      <c r="J96" s="19">
        <f>(I96-H96)/1000</f>
        <v/>
      </c>
      <c r="K96" s="16" t="inlineStr">
        <is>
          <t>Yes</t>
        </is>
      </c>
    </row>
    <row r="97">
      <c r="A97" s="16" t="inlineStr">
        <is>
          <t>3 Jun</t>
        </is>
      </c>
      <c r="B97" s="16" t="inlineStr">
        <is>
          <t>30335</t>
        </is>
      </c>
      <c r="C97" s="16" t="n">
        <v>4112</v>
      </c>
      <c r="D97" s="16" t="n">
        <v>4110</v>
      </c>
      <c r="E97" s="16" t="n">
        <v>2574</v>
      </c>
      <c r="F97" s="38" t="n">
        <v>1170283</v>
      </c>
      <c r="G97" s="38" t="n">
        <v>1500712</v>
      </c>
      <c r="H97" s="38" t="n">
        <v>1401680</v>
      </c>
      <c r="I97" s="38" t="n">
        <v>1479371</v>
      </c>
      <c r="J97" s="19">
        <f>(I97-H97)/1000</f>
        <v/>
      </c>
      <c r="K97" s="16" t="inlineStr">
        <is>
          <t>Yes</t>
        </is>
      </c>
    </row>
    <row r="98">
      <c r="A98" s="16" t="inlineStr">
        <is>
          <t>3 Jun</t>
        </is>
      </c>
      <c r="B98" s="16" t="inlineStr">
        <is>
          <t>37885</t>
        </is>
      </c>
      <c r="C98" s="16" t="n">
        <v>5477</v>
      </c>
      <c r="D98" s="16" t="n">
        <v>5453</v>
      </c>
      <c r="E98" s="16" t="n">
        <v>2462</v>
      </c>
      <c r="F98" s="38" t="n">
        <v>1102895</v>
      </c>
      <c r="G98" s="38" t="n">
        <v>1516086</v>
      </c>
      <c r="H98" s="38" t="n">
        <v>1401738</v>
      </c>
      <c r="I98" s="38" t="n">
        <v>1479433</v>
      </c>
      <c r="J98" s="19">
        <f>(I98-H98)/1000</f>
        <v/>
      </c>
      <c r="K98" s="16" t="inlineStr">
        <is>
          <t>Yes</t>
        </is>
      </c>
    </row>
    <row r="99">
      <c r="A99" s="16" t="inlineStr">
        <is>
          <t>3 Jun</t>
        </is>
      </c>
      <c r="B99" s="16" t="inlineStr">
        <is>
          <t>37569</t>
        </is>
      </c>
      <c r="C99" s="16" t="n">
        <v>2929</v>
      </c>
      <c r="D99" s="16" t="n">
        <v>2929</v>
      </c>
      <c r="E99" s="16" t="n">
        <v>2606</v>
      </c>
      <c r="F99" s="38" t="n">
        <v>1401762</v>
      </c>
      <c r="G99" s="38" t="n">
        <v>1513593</v>
      </c>
      <c r="H99" s="38" t="n">
        <v>1401762</v>
      </c>
      <c r="I99" s="38" t="n">
        <v>1479434</v>
      </c>
      <c r="J99" s="19">
        <f>(I99-H99)/1000</f>
        <v/>
      </c>
      <c r="K99" s="16" t="inlineStr">
        <is>
          <t>Yes</t>
        </is>
      </c>
    </row>
    <row r="100">
      <c r="A100" s="16" t="inlineStr">
        <is>
          <t>3 Jun</t>
        </is>
      </c>
      <c r="B100" s="16" t="inlineStr">
        <is>
          <t>39328</t>
        </is>
      </c>
      <c r="C100" s="16" t="n">
        <v>3504</v>
      </c>
      <c r="D100" s="16" t="n">
        <v>3498</v>
      </c>
      <c r="E100" s="16" t="n">
        <v>2556</v>
      </c>
      <c r="F100" s="38" t="n">
        <v>1194090</v>
      </c>
      <c r="G100" s="38" t="n">
        <v>1508629</v>
      </c>
      <c r="H100" s="38" t="n">
        <v>1401759</v>
      </c>
      <c r="I100" s="38" t="n">
        <v>1479385</v>
      </c>
      <c r="J100" s="19">
        <f>(I100-H100)/1000</f>
        <v/>
      </c>
      <c r="K100" s="16" t="inlineStr">
        <is>
          <t>Yes</t>
        </is>
      </c>
    </row>
    <row r="101">
      <c r="A101" s="16" t="inlineStr">
        <is>
          <t>3 Jun</t>
        </is>
      </c>
      <c r="B101" s="16" t="inlineStr">
        <is>
          <t>39351</t>
        </is>
      </c>
      <c r="C101" s="16" t="n">
        <v>2536</v>
      </c>
      <c r="D101" s="16" t="n">
        <v>2456</v>
      </c>
      <c r="E101" s="16" t="n">
        <v>1997</v>
      </c>
      <c r="F101" s="38" t="n">
        <v>1401785</v>
      </c>
      <c r="G101" s="38" t="n">
        <v>1509565</v>
      </c>
      <c r="H101" s="38" t="n">
        <v>1401785</v>
      </c>
      <c r="I101" s="38" t="n">
        <v>1479366</v>
      </c>
      <c r="J101" s="19">
        <f>(I101-H101)/1000</f>
        <v/>
      </c>
      <c r="K101" s="16" t="inlineStr">
        <is>
          <t>Yes</t>
        </is>
      </c>
    </row>
    <row r="102">
      <c r="A102" s="16" t="inlineStr">
        <is>
          <t>3 Jun</t>
        </is>
      </c>
      <c r="B102" s="16" t="inlineStr">
        <is>
          <t>37325</t>
        </is>
      </c>
      <c r="C102" s="16" t="n">
        <v>261</v>
      </c>
      <c r="D102" s="16" t="n">
        <v>260</v>
      </c>
      <c r="E102" s="16" t="n">
        <v>254</v>
      </c>
      <c r="F102" s="38" t="n">
        <v>1268398</v>
      </c>
      <c r="G102" s="38" t="n">
        <v>1408870</v>
      </c>
      <c r="H102" s="38" t="n">
        <v>1401597</v>
      </c>
      <c r="I102" s="38" t="n">
        <v>1408870</v>
      </c>
      <c r="J102" s="19">
        <f>(I102-H102)/1000</f>
        <v/>
      </c>
      <c r="K102" s="16" t="inlineStr">
        <is>
          <t>Yes</t>
        </is>
      </c>
    </row>
    <row r="103">
      <c r="A103" s="16" t="inlineStr">
        <is>
          <t>3 Jun</t>
        </is>
      </c>
      <c r="B103" s="16" t="inlineStr">
        <is>
          <t>30197</t>
        </is>
      </c>
      <c r="C103" s="16" t="n">
        <v>74</v>
      </c>
      <c r="D103" s="16" t="n">
        <v>67</v>
      </c>
      <c r="E103" s="16" t="n">
        <v>67</v>
      </c>
      <c r="F103" s="38" t="n">
        <v>1449402</v>
      </c>
      <c r="G103" s="38" t="n">
        <v>1451959</v>
      </c>
      <c r="H103" s="38" t="n">
        <v>1449402</v>
      </c>
      <c r="I103" s="38" t="n">
        <v>1451959</v>
      </c>
      <c r="J103" s="19">
        <f>(I103-H103)/1000</f>
        <v/>
      </c>
      <c r="K103" s="16" t="inlineStr">
        <is>
          <t>Yes</t>
        </is>
      </c>
    </row>
    <row r="104">
      <c r="A104" s="16" t="inlineStr">
        <is>
          <t>3 Jun</t>
        </is>
      </c>
      <c r="B104" s="16" t="inlineStr">
        <is>
          <t>30484</t>
        </is>
      </c>
      <c r="C104" s="16" t="n">
        <v>2070</v>
      </c>
      <c r="D104" s="16" t="n">
        <v>2057</v>
      </c>
      <c r="E104" s="16" t="n">
        <v>0</v>
      </c>
      <c r="F104" s="38" t="n">
        <v>1106702</v>
      </c>
      <c r="G104" s="38" t="n">
        <v>1236676</v>
      </c>
      <c r="H104" s="38" t="inlineStr">
        <is>
          <t>-</t>
        </is>
      </c>
      <c r="I104" s="38" t="inlineStr">
        <is>
          <t>-</t>
        </is>
      </c>
      <c r="J104" s="19" t="n">
        <v>0</v>
      </c>
      <c r="K104" s="16" t="inlineStr">
        <is>
          <t>Yes</t>
        </is>
      </c>
    </row>
    <row r="105">
      <c r="A105" s="31" t="inlineStr">
        <is>
          <t>3 Jun</t>
        </is>
      </c>
      <c r="B105" s="31" t="inlineStr">
        <is>
          <t>37105</t>
        </is>
      </c>
      <c r="C105" s="31" t="n">
        <v>158</v>
      </c>
      <c r="D105" s="31" t="n">
        <v>158</v>
      </c>
      <c r="E105" s="31" t="n">
        <v>0</v>
      </c>
      <c r="F105" s="39" t="n">
        <v>1492527</v>
      </c>
      <c r="G105" s="39" t="n">
        <v>1519157</v>
      </c>
      <c r="H105" s="39" t="inlineStr">
        <is>
          <t>-</t>
        </is>
      </c>
      <c r="I105" s="39" t="inlineStr">
        <is>
          <t>-</t>
        </is>
      </c>
      <c r="J105" s="40" t="n">
        <v>0</v>
      </c>
      <c r="K105" s="31" t="inlineStr">
        <is>
          <t>No</t>
        </is>
      </c>
    </row>
    <row r="106">
      <c r="A106" s="31" t="inlineStr">
        <is>
          <t>3 Jun</t>
        </is>
      </c>
      <c r="B106" s="31" t="inlineStr">
        <is>
          <t>37251</t>
        </is>
      </c>
      <c r="C106" s="31" t="n">
        <v>3</v>
      </c>
      <c r="D106" s="31" t="n">
        <v>0</v>
      </c>
      <c r="E106" s="31" t="n">
        <v>0</v>
      </c>
      <c r="F106" s="39" t="inlineStr">
        <is>
          <t>-</t>
        </is>
      </c>
      <c r="G106" s="39" t="inlineStr">
        <is>
          <t>-</t>
        </is>
      </c>
      <c r="H106" s="39" t="inlineStr">
        <is>
          <t>-</t>
        </is>
      </c>
      <c r="I106" s="39" t="inlineStr">
        <is>
          <t>-</t>
        </is>
      </c>
      <c r="J106" s="40" t="n">
        <v>0</v>
      </c>
      <c r="K106" s="31" t="inlineStr">
        <is>
          <t>No</t>
        </is>
      </c>
    </row>
    <row r="107">
      <c r="A107" s="31" t="inlineStr">
        <is>
          <t>3 Jun</t>
        </is>
      </c>
      <c r="B107" s="31" t="inlineStr">
        <is>
          <t>37332</t>
        </is>
      </c>
      <c r="C107" s="31" t="n">
        <v>122</v>
      </c>
      <c r="D107" s="31" t="n">
        <v>122</v>
      </c>
      <c r="E107" s="31" t="n">
        <v>0</v>
      </c>
      <c r="F107" s="39" t="n">
        <v>1492774</v>
      </c>
      <c r="G107" s="39" t="n">
        <v>1505008</v>
      </c>
      <c r="H107" s="39" t="inlineStr">
        <is>
          <t>-</t>
        </is>
      </c>
      <c r="I107" s="39" t="inlineStr">
        <is>
          <t>-</t>
        </is>
      </c>
      <c r="J107" s="40" t="n">
        <v>0</v>
      </c>
      <c r="K107" s="31" t="inlineStr">
        <is>
          <t>No</t>
        </is>
      </c>
    </row>
    <row r="108">
      <c r="A108" s="31" t="inlineStr">
        <is>
          <t>3 Jun</t>
        </is>
      </c>
      <c r="B108" s="31" t="inlineStr">
        <is>
          <t>37366</t>
        </is>
      </c>
      <c r="C108" s="31" t="n">
        <v>20</v>
      </c>
      <c r="D108" s="31" t="n">
        <v>20</v>
      </c>
      <c r="E108" s="31" t="n">
        <v>0</v>
      </c>
      <c r="F108" s="39" t="n">
        <v>1170750</v>
      </c>
      <c r="G108" s="39" t="n">
        <v>1172067</v>
      </c>
      <c r="H108" s="39" t="inlineStr">
        <is>
          <t>-</t>
        </is>
      </c>
      <c r="I108" s="39" t="inlineStr">
        <is>
          <t>-</t>
        </is>
      </c>
      <c r="J108" s="40" t="n">
        <v>0</v>
      </c>
      <c r="K108" s="31" t="inlineStr">
        <is>
          <t>No</t>
        </is>
      </c>
    </row>
    <row r="109">
      <c r="A109" s="16" t="inlineStr">
        <is>
          <t>3 Jun</t>
        </is>
      </c>
      <c r="B109" s="16" t="inlineStr">
        <is>
          <t>39046</t>
        </is>
      </c>
      <c r="C109" s="16" t="n">
        <v>1510</v>
      </c>
      <c r="D109" s="16" t="n">
        <v>1501</v>
      </c>
      <c r="E109" s="16" t="n">
        <v>0</v>
      </c>
      <c r="F109" s="38" t="n">
        <v>1114109</v>
      </c>
      <c r="G109" s="38" t="n">
        <v>1242957</v>
      </c>
      <c r="H109" s="38" t="inlineStr">
        <is>
          <t>-</t>
        </is>
      </c>
      <c r="I109" s="38" t="inlineStr">
        <is>
          <t>-</t>
        </is>
      </c>
      <c r="J109" s="19" t="n">
        <v>0</v>
      </c>
      <c r="K109" s="16" t="inlineStr">
        <is>
          <t>Yes</t>
        </is>
      </c>
    </row>
    <row r="110">
      <c r="A110" s="31" t="inlineStr">
        <is>
          <t>3 Jun</t>
        </is>
      </c>
      <c r="B110" s="31" t="inlineStr">
        <is>
          <t>41796</t>
        </is>
      </c>
      <c r="C110" s="31" t="n">
        <v>616</v>
      </c>
      <c r="D110" s="31" t="n">
        <v>602</v>
      </c>
      <c r="E110" s="31" t="n">
        <v>0</v>
      </c>
      <c r="F110" s="39" t="n">
        <v>1227483</v>
      </c>
      <c r="G110" s="39" t="n">
        <v>1242964</v>
      </c>
      <c r="H110" s="39" t="inlineStr">
        <is>
          <t>-</t>
        </is>
      </c>
      <c r="I110" s="39" t="inlineStr">
        <is>
          <t>-</t>
        </is>
      </c>
      <c r="J110" s="40" t="n">
        <v>0</v>
      </c>
      <c r="K110" s="31" t="inlineStr">
        <is>
          <t>No</t>
        </is>
      </c>
    </row>
    <row r="111">
      <c r="A111" s="16" t="inlineStr">
        <is>
          <t>4 Jun</t>
        </is>
      </c>
      <c r="B111" s="16" t="inlineStr">
        <is>
          <t>37793</t>
        </is>
      </c>
      <c r="C111" s="16" t="n">
        <v>9569</v>
      </c>
      <c r="D111" s="16" t="n">
        <v>9560</v>
      </c>
      <c r="E111" s="16" t="n">
        <v>5123</v>
      </c>
      <c r="F111" s="38" t="n">
        <v>1108148</v>
      </c>
      <c r="G111" s="38" t="n">
        <v>1528597</v>
      </c>
      <c r="H111" s="38" t="n">
        <v>1401568</v>
      </c>
      <c r="I111" s="38" t="n">
        <v>1479434</v>
      </c>
      <c r="J111" s="19">
        <f>(I111-H111)/1000</f>
        <v/>
      </c>
      <c r="K111" s="16" t="inlineStr">
        <is>
          <t>Yes</t>
        </is>
      </c>
    </row>
    <row r="112">
      <c r="A112" s="16" t="inlineStr">
        <is>
          <t>4 Jun</t>
        </is>
      </c>
      <c r="B112" s="16" t="inlineStr">
        <is>
          <t>30488</t>
        </is>
      </c>
      <c r="C112" s="16" t="n">
        <v>4557</v>
      </c>
      <c r="D112" s="16" t="n">
        <v>4538</v>
      </c>
      <c r="E112" s="16" t="n">
        <v>2397</v>
      </c>
      <c r="F112" s="38" t="n">
        <v>1084923</v>
      </c>
      <c r="G112" s="38" t="n">
        <v>1528837</v>
      </c>
      <c r="H112" s="38" t="n">
        <v>1401573</v>
      </c>
      <c r="I112" s="38" t="n">
        <v>1479433</v>
      </c>
      <c r="J112" s="19">
        <f>(I112-H112)/1000</f>
        <v/>
      </c>
      <c r="K112" s="16" t="inlineStr">
        <is>
          <t>Yes</t>
        </is>
      </c>
    </row>
    <row r="113">
      <c r="A113" s="16" t="inlineStr">
        <is>
          <t>4 Jun</t>
        </is>
      </c>
      <c r="B113" s="16" t="inlineStr">
        <is>
          <t>30542</t>
        </is>
      </c>
      <c r="C113" s="16" t="n">
        <v>2319</v>
      </c>
      <c r="D113" s="16" t="n">
        <v>2317</v>
      </c>
      <c r="E113" s="16" t="n">
        <v>2168</v>
      </c>
      <c r="F113" s="38" t="n">
        <v>1401378</v>
      </c>
      <c r="G113" s="38" t="n">
        <v>1490956</v>
      </c>
      <c r="H113" s="38" t="n">
        <v>1401576</v>
      </c>
      <c r="I113" s="38" t="n">
        <v>1479432</v>
      </c>
      <c r="J113" s="19">
        <f>(I113-H113)/1000</f>
        <v/>
      </c>
      <c r="K113" s="16" t="inlineStr">
        <is>
          <t>Yes</t>
        </is>
      </c>
    </row>
    <row r="114">
      <c r="A114" s="16" t="inlineStr">
        <is>
          <t>4 Jun</t>
        </is>
      </c>
      <c r="B114" s="16" t="inlineStr">
        <is>
          <t>37332</t>
        </is>
      </c>
      <c r="C114" s="16" t="n">
        <v>3229</v>
      </c>
      <c r="D114" s="16" t="n">
        <v>3228</v>
      </c>
      <c r="E114" s="16" t="n">
        <v>2941</v>
      </c>
      <c r="F114" s="38" t="n">
        <v>1401441</v>
      </c>
      <c r="G114" s="38" t="n">
        <v>1503934</v>
      </c>
      <c r="H114" s="38" t="n">
        <v>1401560</v>
      </c>
      <c r="I114" s="38" t="n">
        <v>1479424</v>
      </c>
      <c r="J114" s="19">
        <f>(I114-H114)/1000</f>
        <v/>
      </c>
      <c r="K114" s="16" t="inlineStr">
        <is>
          <t>Yes</t>
        </is>
      </c>
    </row>
    <row r="115">
      <c r="A115" s="16" t="inlineStr">
        <is>
          <t>4 Jun</t>
        </is>
      </c>
      <c r="B115" s="16" t="inlineStr">
        <is>
          <t>39565</t>
        </is>
      </c>
      <c r="C115" s="16" t="n">
        <v>6269</v>
      </c>
      <c r="D115" s="16" t="n">
        <v>6267</v>
      </c>
      <c r="E115" s="16" t="n">
        <v>4651</v>
      </c>
      <c r="F115" s="38" t="n">
        <v>1022997</v>
      </c>
      <c r="G115" s="38" t="n">
        <v>1513885</v>
      </c>
      <c r="H115" s="38" t="n">
        <v>1401569</v>
      </c>
      <c r="I115" s="38" t="n">
        <v>1479427</v>
      </c>
      <c r="J115" s="19">
        <f>(I115-H115)/1000</f>
        <v/>
      </c>
      <c r="K115" s="16" t="inlineStr">
        <is>
          <t>Yes</t>
        </is>
      </c>
    </row>
    <row r="116">
      <c r="A116" s="16" t="inlineStr">
        <is>
          <t>4 Jun</t>
        </is>
      </c>
      <c r="B116" s="16" t="inlineStr">
        <is>
          <t>30206</t>
        </is>
      </c>
      <c r="C116" s="16" t="n">
        <v>3716</v>
      </c>
      <c r="D116" s="16" t="n">
        <v>3706</v>
      </c>
      <c r="E116" s="16" t="n">
        <v>3419</v>
      </c>
      <c r="F116" s="38" t="n">
        <v>1401344</v>
      </c>
      <c r="G116" s="38" t="n">
        <v>1528693</v>
      </c>
      <c r="H116" s="38" t="n">
        <v>1401580</v>
      </c>
      <c r="I116" s="38" t="n">
        <v>1479428</v>
      </c>
      <c r="J116" s="19">
        <f>(I116-H116)/1000</f>
        <v/>
      </c>
      <c r="K116" s="16" t="inlineStr">
        <is>
          <t>Yes</t>
        </is>
      </c>
    </row>
    <row r="117">
      <c r="A117" s="16" t="inlineStr">
        <is>
          <t>4 Jun</t>
        </is>
      </c>
      <c r="B117" s="16" t="inlineStr">
        <is>
          <t>30576</t>
        </is>
      </c>
      <c r="C117" s="16" t="n">
        <v>2613</v>
      </c>
      <c r="D117" s="16" t="n">
        <v>2612</v>
      </c>
      <c r="E117" s="16" t="n">
        <v>2358</v>
      </c>
      <c r="F117" s="38" t="n">
        <v>1401325</v>
      </c>
      <c r="G117" s="38" t="n">
        <v>1518761</v>
      </c>
      <c r="H117" s="38" t="n">
        <v>1401573</v>
      </c>
      <c r="I117" s="38" t="n">
        <v>1479426</v>
      </c>
      <c r="J117" s="19">
        <f>(I117-H117)/1000</f>
        <v/>
      </c>
      <c r="K117" s="16" t="inlineStr">
        <is>
          <t>Yes</t>
        </is>
      </c>
    </row>
    <row r="118">
      <c r="A118" s="16" t="inlineStr">
        <is>
          <t>4 Jun</t>
        </is>
      </c>
      <c r="B118" s="16" t="inlineStr">
        <is>
          <t>30669</t>
        </is>
      </c>
      <c r="C118" s="16" t="n">
        <v>7369</v>
      </c>
      <c r="D118" s="16" t="n">
        <v>7363</v>
      </c>
      <c r="E118" s="16" t="n">
        <v>6018</v>
      </c>
      <c r="F118" s="38" t="n">
        <v>1401339</v>
      </c>
      <c r="G118" s="38" t="n">
        <v>1523938</v>
      </c>
      <c r="H118" s="38" t="n">
        <v>1401570</v>
      </c>
      <c r="I118" s="38" t="n">
        <v>1479418</v>
      </c>
      <c r="J118" s="19">
        <f>(I118-H118)/1000</f>
        <v/>
      </c>
      <c r="K118" s="16" t="inlineStr">
        <is>
          <t>Yes</t>
        </is>
      </c>
    </row>
    <row r="119">
      <c r="A119" s="16" t="inlineStr">
        <is>
          <t>4 Jun</t>
        </is>
      </c>
      <c r="B119" s="16" t="inlineStr">
        <is>
          <t>37163</t>
        </is>
      </c>
      <c r="C119" s="16" t="n">
        <v>8263</v>
      </c>
      <c r="D119" s="16" t="n">
        <v>8261</v>
      </c>
      <c r="E119" s="16" t="n">
        <v>4682</v>
      </c>
      <c r="F119" s="38" t="n">
        <v>1097433</v>
      </c>
      <c r="G119" s="38" t="n">
        <v>1523566</v>
      </c>
      <c r="H119" s="38" t="n">
        <v>1401578</v>
      </c>
      <c r="I119" s="38" t="n">
        <v>1479426</v>
      </c>
      <c r="J119" s="19">
        <f>(I119-H119)/1000</f>
        <v/>
      </c>
      <c r="K119" s="16" t="inlineStr">
        <is>
          <t>Yes</t>
        </is>
      </c>
    </row>
    <row r="120">
      <c r="A120" s="16" t="inlineStr">
        <is>
          <t>4 Jun</t>
        </is>
      </c>
      <c r="B120" s="16" t="inlineStr">
        <is>
          <t>39252</t>
        </is>
      </c>
      <c r="C120" s="16" t="n">
        <v>6879</v>
      </c>
      <c r="D120" s="16" t="n">
        <v>6857</v>
      </c>
      <c r="E120" s="16" t="n">
        <v>5030</v>
      </c>
      <c r="F120" s="38" t="n">
        <v>1107600</v>
      </c>
      <c r="G120" s="38" t="n">
        <v>1519022</v>
      </c>
      <c r="H120" s="38" t="n">
        <v>1401582</v>
      </c>
      <c r="I120" s="38" t="n">
        <v>1479433</v>
      </c>
      <c r="J120" s="19">
        <f>(I120-H120)/1000</f>
        <v/>
      </c>
      <c r="K120" s="16" t="inlineStr">
        <is>
          <t>Yes</t>
        </is>
      </c>
    </row>
    <row r="121">
      <c r="A121" s="16" t="inlineStr">
        <is>
          <t>4 Jun</t>
        </is>
      </c>
      <c r="B121" s="16" t="inlineStr">
        <is>
          <t>39514</t>
        </is>
      </c>
      <c r="C121" s="16" t="n">
        <v>5178</v>
      </c>
      <c r="D121" s="16" t="n">
        <v>5170</v>
      </c>
      <c r="E121" s="16" t="n">
        <v>2542</v>
      </c>
      <c r="F121" s="38" t="n">
        <v>1037989</v>
      </c>
      <c r="G121" s="38" t="n">
        <v>1519040</v>
      </c>
      <c r="H121" s="38" t="n">
        <v>1401574</v>
      </c>
      <c r="I121" s="38" t="n">
        <v>1479426</v>
      </c>
      <c r="J121" s="19">
        <f>(I121-H121)/1000</f>
        <v/>
      </c>
      <c r="K121" s="16" t="inlineStr">
        <is>
          <t>Yes</t>
        </is>
      </c>
    </row>
    <row r="122">
      <c r="A122" s="16" t="inlineStr">
        <is>
          <t>4 Jun</t>
        </is>
      </c>
      <c r="B122" s="16" t="inlineStr">
        <is>
          <t>30339</t>
        </is>
      </c>
      <c r="C122" s="16" t="n">
        <v>5940</v>
      </c>
      <c r="D122" s="16" t="n">
        <v>5932</v>
      </c>
      <c r="E122" s="16" t="n">
        <v>5454</v>
      </c>
      <c r="F122" s="38" t="n">
        <v>1199914</v>
      </c>
      <c r="G122" s="38" t="n">
        <v>1493156</v>
      </c>
      <c r="H122" s="38" t="n">
        <v>1401566</v>
      </c>
      <c r="I122" s="38" t="n">
        <v>1479401</v>
      </c>
      <c r="J122" s="19">
        <f>(I122-H122)/1000</f>
        <v/>
      </c>
      <c r="K122" s="16" t="inlineStr">
        <is>
          <t>Yes</t>
        </is>
      </c>
    </row>
    <row r="123">
      <c r="A123" s="16" t="inlineStr">
        <is>
          <t>4 Jun</t>
        </is>
      </c>
      <c r="B123" s="16" t="inlineStr">
        <is>
          <t>30428</t>
        </is>
      </c>
      <c r="C123" s="16" t="n">
        <v>1525</v>
      </c>
      <c r="D123" s="16" t="n">
        <v>1524</v>
      </c>
      <c r="E123" s="16" t="n">
        <v>1296</v>
      </c>
      <c r="F123" s="38" t="n">
        <v>1401331</v>
      </c>
      <c r="G123" s="38" t="n">
        <v>1523971</v>
      </c>
      <c r="H123" s="38" t="n">
        <v>1401589</v>
      </c>
      <c r="I123" s="38" t="n">
        <v>1479387</v>
      </c>
      <c r="J123" s="19">
        <f>(I123-H123)/1000</f>
        <v/>
      </c>
      <c r="K123" s="16" t="inlineStr">
        <is>
          <t>Yes</t>
        </is>
      </c>
    </row>
    <row r="124">
      <c r="A124" s="16" t="inlineStr">
        <is>
          <t>4 Jun</t>
        </is>
      </c>
      <c r="B124" s="16" t="inlineStr">
        <is>
          <t>30466</t>
        </is>
      </c>
      <c r="C124" s="16" t="n">
        <v>2989</v>
      </c>
      <c r="D124" s="16" t="n">
        <v>2987</v>
      </c>
      <c r="E124" s="16" t="n">
        <v>2251</v>
      </c>
      <c r="F124" s="38" t="n">
        <v>1198792</v>
      </c>
      <c r="G124" s="38" t="n">
        <v>1500702</v>
      </c>
      <c r="H124" s="38" t="n">
        <v>1401680</v>
      </c>
      <c r="I124" s="38" t="n">
        <v>1479396</v>
      </c>
      <c r="J124" s="19">
        <f>(I124-H124)/1000</f>
        <v/>
      </c>
      <c r="K124" s="16" t="inlineStr">
        <is>
          <t>Yes</t>
        </is>
      </c>
    </row>
    <row r="125">
      <c r="A125" s="16" t="inlineStr">
        <is>
          <t>4 Jun</t>
        </is>
      </c>
      <c r="B125" s="16" t="inlineStr">
        <is>
          <t>37437</t>
        </is>
      </c>
      <c r="C125" s="16" t="n">
        <v>2168</v>
      </c>
      <c r="D125" s="16" t="n">
        <v>2124</v>
      </c>
      <c r="E125" s="16" t="n">
        <v>1446</v>
      </c>
      <c r="F125" s="38" t="n">
        <v>1401695</v>
      </c>
      <c r="G125" s="38" t="n">
        <v>1499407</v>
      </c>
      <c r="H125" s="38" t="n">
        <v>1401695</v>
      </c>
      <c r="I125" s="38" t="n">
        <v>1479409</v>
      </c>
      <c r="J125" s="19">
        <f>(I125-H125)/1000</f>
        <v/>
      </c>
      <c r="K125" s="16" t="inlineStr">
        <is>
          <t>Yes</t>
        </is>
      </c>
    </row>
    <row r="126">
      <c r="A126" s="16" t="inlineStr">
        <is>
          <t>4 Jun</t>
        </is>
      </c>
      <c r="B126" s="16" t="inlineStr">
        <is>
          <t>37356</t>
        </is>
      </c>
      <c r="C126" s="16" t="n">
        <v>3534</v>
      </c>
      <c r="D126" s="16" t="n">
        <v>3531</v>
      </c>
      <c r="E126" s="16" t="n">
        <v>2783</v>
      </c>
      <c r="F126" s="38" t="n">
        <v>1401717</v>
      </c>
      <c r="G126" s="38" t="n">
        <v>1500604</v>
      </c>
      <c r="H126" s="38" t="n">
        <v>1401717</v>
      </c>
      <c r="I126" s="38" t="n">
        <v>1479421</v>
      </c>
      <c r="J126" s="19">
        <f>(I126-H126)/1000</f>
        <v/>
      </c>
      <c r="K126" s="16" t="inlineStr">
        <is>
          <t>Yes</t>
        </is>
      </c>
    </row>
    <row r="127">
      <c r="A127" s="16" t="inlineStr">
        <is>
          <t>4 Jun</t>
        </is>
      </c>
      <c r="B127" s="16" t="inlineStr">
        <is>
          <t>37816</t>
        </is>
      </c>
      <c r="C127" s="16" t="n">
        <v>3355</v>
      </c>
      <c r="D127" s="16" t="n">
        <v>3355</v>
      </c>
      <c r="E127" s="16" t="n">
        <v>2563</v>
      </c>
      <c r="F127" s="38" t="n">
        <v>1022595</v>
      </c>
      <c r="G127" s="38" t="n">
        <v>1516633</v>
      </c>
      <c r="H127" s="38" t="n">
        <v>1401735</v>
      </c>
      <c r="I127" s="38" t="n">
        <v>1479414</v>
      </c>
      <c r="J127" s="19">
        <f>(I127-H127)/1000</f>
        <v/>
      </c>
      <c r="K127" s="16" t="inlineStr">
        <is>
          <t>Yes</t>
        </is>
      </c>
    </row>
    <row r="128">
      <c r="A128" s="16" t="inlineStr">
        <is>
          <t>4 Jun</t>
        </is>
      </c>
      <c r="B128" s="16" t="inlineStr">
        <is>
          <t>39046</t>
        </is>
      </c>
      <c r="C128" s="16" t="n">
        <v>4501</v>
      </c>
      <c r="D128" s="16" t="n">
        <v>4500</v>
      </c>
      <c r="E128" s="16" t="n">
        <v>3287</v>
      </c>
      <c r="F128" s="38" t="n">
        <v>1148617</v>
      </c>
      <c r="G128" s="38" t="n">
        <v>1500583</v>
      </c>
      <c r="H128" s="38" t="n">
        <v>1401731</v>
      </c>
      <c r="I128" s="38" t="n">
        <v>1479409</v>
      </c>
      <c r="J128" s="19">
        <f>(I128-H128)/1000</f>
        <v/>
      </c>
      <c r="K128" s="16" t="inlineStr">
        <is>
          <t>Yes</t>
        </is>
      </c>
    </row>
    <row r="129">
      <c r="A129" s="16" t="inlineStr">
        <is>
          <t>4 Jun</t>
        </is>
      </c>
      <c r="B129" s="16" t="inlineStr">
        <is>
          <t>30451</t>
        </is>
      </c>
      <c r="C129" s="16" t="n">
        <v>2446</v>
      </c>
      <c r="D129" s="16" t="n">
        <v>2444</v>
      </c>
      <c r="E129" s="16" t="n">
        <v>2305</v>
      </c>
      <c r="F129" s="38" t="n">
        <v>1401813</v>
      </c>
      <c r="G129" s="38" t="n">
        <v>1495869</v>
      </c>
      <c r="H129" s="38" t="n">
        <v>1401813</v>
      </c>
      <c r="I129" s="38" t="n">
        <v>1479402</v>
      </c>
      <c r="J129" s="19">
        <f>(I129-H129)/1000</f>
        <v/>
      </c>
      <c r="K129" s="16" t="inlineStr">
        <is>
          <t>Yes</t>
        </is>
      </c>
    </row>
    <row r="130">
      <c r="A130" s="16" t="inlineStr">
        <is>
          <t>4 Jun</t>
        </is>
      </c>
      <c r="B130" s="16" t="inlineStr">
        <is>
          <t>39351</t>
        </is>
      </c>
      <c r="C130" s="16" t="n">
        <v>1436</v>
      </c>
      <c r="D130" s="16" t="n">
        <v>1422</v>
      </c>
      <c r="E130" s="16" t="n">
        <v>927</v>
      </c>
      <c r="F130" s="38" t="n">
        <v>1427613</v>
      </c>
      <c r="G130" s="38" t="n">
        <v>1524627</v>
      </c>
      <c r="H130" s="38" t="n">
        <v>1427613</v>
      </c>
      <c r="I130" s="38" t="n">
        <v>1479388</v>
      </c>
      <c r="J130" s="19">
        <f>(I130-H130)/1000</f>
        <v/>
      </c>
      <c r="K130" s="16" t="inlineStr">
        <is>
          <t>Yes</t>
        </is>
      </c>
    </row>
    <row r="131">
      <c r="A131" s="16" t="inlineStr">
        <is>
          <t>4 Jun</t>
        </is>
      </c>
      <c r="B131" s="16" t="inlineStr">
        <is>
          <t>39143</t>
        </is>
      </c>
      <c r="C131" s="16" t="n">
        <v>1737</v>
      </c>
      <c r="D131" s="16" t="n">
        <v>1737</v>
      </c>
      <c r="E131" s="16" t="n">
        <v>973</v>
      </c>
      <c r="F131" s="38" t="n">
        <v>1451646</v>
      </c>
      <c r="G131" s="38" t="n">
        <v>1518439</v>
      </c>
      <c r="H131" s="38" t="n">
        <v>1451646</v>
      </c>
      <c r="I131" s="38" t="n">
        <v>1479425</v>
      </c>
      <c r="J131" s="19">
        <f>(I131-H131)/1000</f>
        <v/>
      </c>
      <c r="K131" s="16" t="inlineStr">
        <is>
          <t>Yes</t>
        </is>
      </c>
    </row>
    <row r="132">
      <c r="A132" s="16" t="inlineStr">
        <is>
          <t>4 Jun</t>
        </is>
      </c>
      <c r="B132" s="16" t="inlineStr">
        <is>
          <t>37340</t>
        </is>
      </c>
      <c r="C132" s="16" t="n">
        <v>2248</v>
      </c>
      <c r="D132" s="16" t="n">
        <v>2248</v>
      </c>
      <c r="E132" s="16" t="n">
        <v>129</v>
      </c>
      <c r="F132" s="38" t="n">
        <v>1121462</v>
      </c>
      <c r="G132" s="38" t="n">
        <v>1531968</v>
      </c>
      <c r="H132" s="38" t="n">
        <v>1401711</v>
      </c>
      <c r="I132" s="38" t="n">
        <v>1420894</v>
      </c>
      <c r="J132" s="19">
        <f>(I132-H132)/1000</f>
        <v/>
      </c>
      <c r="K132" s="16" t="inlineStr">
        <is>
          <t>Yes</t>
        </is>
      </c>
    </row>
    <row r="133">
      <c r="A133" s="16" t="inlineStr">
        <is>
          <t>4 Jun</t>
        </is>
      </c>
      <c r="B133" s="16" t="inlineStr">
        <is>
          <t>30197</t>
        </is>
      </c>
      <c r="C133" s="16" t="n">
        <v>31</v>
      </c>
      <c r="D133" s="16" t="n">
        <v>18</v>
      </c>
      <c r="E133" s="16" t="n">
        <v>18</v>
      </c>
      <c r="F133" s="38" t="n">
        <v>1435595</v>
      </c>
      <c r="G133" s="38" t="n">
        <v>1436835</v>
      </c>
      <c r="H133" s="38" t="n">
        <v>1435595</v>
      </c>
      <c r="I133" s="38" t="n">
        <v>1436835</v>
      </c>
      <c r="J133" s="19">
        <f>(I133-H133)/1000</f>
        <v/>
      </c>
      <c r="K133" s="16" t="inlineStr">
        <is>
          <t>Yes</t>
        </is>
      </c>
    </row>
    <row r="134">
      <c r="A134" s="31" t="inlineStr">
        <is>
          <t>4 Jun</t>
        </is>
      </c>
      <c r="B134" s="31" t="inlineStr">
        <is>
          <t>30177</t>
        </is>
      </c>
      <c r="C134" s="31" t="n">
        <v>287</v>
      </c>
      <c r="D134" s="31" t="n">
        <v>287</v>
      </c>
      <c r="E134" s="31" t="n">
        <v>0</v>
      </c>
      <c r="F134" s="39" t="n">
        <v>1113519</v>
      </c>
      <c r="G134" s="39" t="n">
        <v>1172546</v>
      </c>
      <c r="H134" s="39" t="inlineStr">
        <is>
          <t>-</t>
        </is>
      </c>
      <c r="I134" s="39" t="inlineStr">
        <is>
          <t>-</t>
        </is>
      </c>
      <c r="J134" s="40" t="n">
        <v>0</v>
      </c>
      <c r="K134" s="31" t="inlineStr">
        <is>
          <t>No</t>
        </is>
      </c>
    </row>
    <row r="135">
      <c r="A135" s="16" t="inlineStr">
        <is>
          <t>4 Jun</t>
        </is>
      </c>
      <c r="B135" s="16" t="inlineStr">
        <is>
          <t>30223</t>
        </is>
      </c>
      <c r="C135" s="16" t="n">
        <v>1607</v>
      </c>
      <c r="D135" s="16" t="n">
        <v>1580</v>
      </c>
      <c r="E135" s="16" t="n">
        <v>0</v>
      </c>
      <c r="F135" s="38" t="n">
        <v>1146338</v>
      </c>
      <c r="G135" s="38" t="n">
        <v>1242984</v>
      </c>
      <c r="H135" s="38" t="inlineStr">
        <is>
          <t>-</t>
        </is>
      </c>
      <c r="I135" s="38" t="inlineStr">
        <is>
          <t>-</t>
        </is>
      </c>
      <c r="J135" s="19" t="n">
        <v>0</v>
      </c>
      <c r="K135" s="16" t="inlineStr">
        <is>
          <t>Yes</t>
        </is>
      </c>
    </row>
    <row r="136">
      <c r="A136" s="16" t="inlineStr">
        <is>
          <t>4 Jun</t>
        </is>
      </c>
      <c r="B136" s="16" t="inlineStr">
        <is>
          <t>30739</t>
        </is>
      </c>
      <c r="C136" s="16" t="n">
        <v>718</v>
      </c>
      <c r="D136" s="16" t="n">
        <v>718</v>
      </c>
      <c r="E136" s="16" t="n">
        <v>0</v>
      </c>
      <c r="F136" s="38" t="n">
        <v>1037152</v>
      </c>
      <c r="G136" s="38" t="n">
        <v>1232320</v>
      </c>
      <c r="H136" s="38" t="inlineStr">
        <is>
          <t>-</t>
        </is>
      </c>
      <c r="I136" s="38" t="inlineStr">
        <is>
          <t>-</t>
        </is>
      </c>
      <c r="J136" s="19" t="n">
        <v>0</v>
      </c>
      <c r="K136" s="16" t="inlineStr">
        <is>
          <t>Yes</t>
        </is>
      </c>
    </row>
    <row r="137">
      <c r="A137" s="31" t="inlineStr">
        <is>
          <t>4 Jun</t>
        </is>
      </c>
      <c r="B137" s="31" t="inlineStr">
        <is>
          <t>30752</t>
        </is>
      </c>
      <c r="C137" s="31" t="n">
        <v>2</v>
      </c>
      <c r="D137" s="31" t="n">
        <v>2</v>
      </c>
      <c r="E137" s="31" t="n">
        <v>0</v>
      </c>
      <c r="F137" s="39" t="n">
        <v>1100840</v>
      </c>
      <c r="G137" s="39" t="n">
        <v>1100888</v>
      </c>
      <c r="H137" s="39" t="inlineStr">
        <is>
          <t>-</t>
        </is>
      </c>
      <c r="I137" s="39" t="inlineStr">
        <is>
          <t>-</t>
        </is>
      </c>
      <c r="J137" s="40" t="n">
        <v>0</v>
      </c>
      <c r="K137" s="31" t="inlineStr">
        <is>
          <t>No</t>
        </is>
      </c>
    </row>
    <row r="138">
      <c r="A138" s="16" t="inlineStr">
        <is>
          <t>4 Jun</t>
        </is>
      </c>
      <c r="B138" s="16" t="inlineStr">
        <is>
          <t>30795</t>
        </is>
      </c>
      <c r="C138" s="16" t="n">
        <v>1616</v>
      </c>
      <c r="D138" s="16" t="n">
        <v>1601</v>
      </c>
      <c r="E138" s="16" t="n">
        <v>0</v>
      </c>
      <c r="F138" s="38" t="n">
        <v>1169865</v>
      </c>
      <c r="G138" s="38" t="n">
        <v>1242941</v>
      </c>
      <c r="H138" s="38" t="inlineStr">
        <is>
          <t>-</t>
        </is>
      </c>
      <c r="I138" s="38" t="inlineStr">
        <is>
          <t>-</t>
        </is>
      </c>
      <c r="J138" s="19" t="n">
        <v>0</v>
      </c>
      <c r="K138" s="16" t="inlineStr">
        <is>
          <t>Yes</t>
        </is>
      </c>
    </row>
    <row r="139">
      <c r="A139" s="31" t="inlineStr">
        <is>
          <t>4 Jun</t>
        </is>
      </c>
      <c r="B139" s="31" t="inlineStr">
        <is>
          <t>37105</t>
        </is>
      </c>
      <c r="C139" s="31" t="n">
        <v>1</v>
      </c>
      <c r="D139" s="31" t="n">
        <v>0</v>
      </c>
      <c r="E139" s="31" t="n">
        <v>0</v>
      </c>
      <c r="F139" s="39" t="inlineStr">
        <is>
          <t>-</t>
        </is>
      </c>
      <c r="G139" s="39" t="inlineStr">
        <is>
          <t>-</t>
        </is>
      </c>
      <c r="H139" s="39" t="inlineStr">
        <is>
          <t>-</t>
        </is>
      </c>
      <c r="I139" s="39" t="inlineStr">
        <is>
          <t>-</t>
        </is>
      </c>
      <c r="J139" s="40" t="n">
        <v>0</v>
      </c>
      <c r="K139" s="31" t="inlineStr">
        <is>
          <t>No</t>
        </is>
      </c>
    </row>
    <row r="140">
      <c r="A140" s="31" t="inlineStr">
        <is>
          <t>4 Jun</t>
        </is>
      </c>
      <c r="B140" s="31" t="inlineStr">
        <is>
          <t>37361</t>
        </is>
      </c>
      <c r="C140" s="31" t="n">
        <v>7</v>
      </c>
      <c r="D140" s="31" t="n">
        <v>7</v>
      </c>
      <c r="E140" s="31" t="n">
        <v>0</v>
      </c>
      <c r="F140" s="39" t="n">
        <v>1146994</v>
      </c>
      <c r="G140" s="39" t="n">
        <v>1154127</v>
      </c>
      <c r="H140" s="39" t="inlineStr">
        <is>
          <t>-</t>
        </is>
      </c>
      <c r="I140" s="39" t="inlineStr">
        <is>
          <t>-</t>
        </is>
      </c>
      <c r="J140" s="40" t="n">
        <v>0</v>
      </c>
      <c r="K140" s="31" t="inlineStr">
        <is>
          <t>No</t>
        </is>
      </c>
    </row>
    <row r="141">
      <c r="A141" s="31" t="inlineStr">
        <is>
          <t>4 Jun</t>
        </is>
      </c>
      <c r="B141" s="31" t="inlineStr">
        <is>
          <t>37786</t>
        </is>
      </c>
      <c r="C141" s="31" t="n">
        <v>40</v>
      </c>
      <c r="D141" s="31" t="n">
        <v>40</v>
      </c>
      <c r="E141" s="31" t="n">
        <v>0</v>
      </c>
      <c r="F141" s="39" t="n">
        <v>1231377</v>
      </c>
      <c r="G141" s="39" t="n">
        <v>1261360</v>
      </c>
      <c r="H141" s="39" t="inlineStr">
        <is>
          <t>-</t>
        </is>
      </c>
      <c r="I141" s="39" t="inlineStr">
        <is>
          <t>-</t>
        </is>
      </c>
      <c r="J141" s="40" t="n">
        <v>0</v>
      </c>
      <c r="K141" s="31" t="inlineStr">
        <is>
          <t>No</t>
        </is>
      </c>
    </row>
    <row r="142">
      <c r="A142" s="31" t="inlineStr">
        <is>
          <t>4 Jun</t>
        </is>
      </c>
      <c r="B142" s="31" t="inlineStr">
        <is>
          <t>37856</t>
        </is>
      </c>
      <c r="C142" s="31" t="n">
        <v>35</v>
      </c>
      <c r="D142" s="31" t="n">
        <v>34</v>
      </c>
      <c r="E142" s="31" t="n">
        <v>0</v>
      </c>
      <c r="F142" s="39" t="n">
        <v>1260786</v>
      </c>
      <c r="G142" s="39" t="n">
        <v>1276927</v>
      </c>
      <c r="H142" s="39" t="inlineStr">
        <is>
          <t>-</t>
        </is>
      </c>
      <c r="I142" s="39" t="inlineStr">
        <is>
          <t>-</t>
        </is>
      </c>
      <c r="J142" s="40" t="n">
        <v>0</v>
      </c>
      <c r="K142" s="31" t="inlineStr">
        <is>
          <t>No</t>
        </is>
      </c>
    </row>
    <row r="143">
      <c r="A143" s="16" t="inlineStr">
        <is>
          <t>4 Jun</t>
        </is>
      </c>
      <c r="B143" s="16" t="inlineStr">
        <is>
          <t>37885</t>
        </is>
      </c>
      <c r="C143" s="16" t="n">
        <v>23</v>
      </c>
      <c r="D143" s="16" t="n">
        <v>23</v>
      </c>
      <c r="E143" s="16" t="n">
        <v>0</v>
      </c>
      <c r="F143" s="38" t="n">
        <v>1172299</v>
      </c>
      <c r="G143" s="38" t="n">
        <v>1239966</v>
      </c>
      <c r="H143" s="38" t="inlineStr">
        <is>
          <t>-</t>
        </is>
      </c>
      <c r="I143" s="38" t="inlineStr">
        <is>
          <t>-</t>
        </is>
      </c>
      <c r="J143" s="19" t="n">
        <v>0</v>
      </c>
      <c r="K143" s="16" t="inlineStr">
        <is>
          <t>Yes</t>
        </is>
      </c>
    </row>
    <row r="144">
      <c r="A144" s="16" t="inlineStr">
        <is>
          <t>5 Jun</t>
        </is>
      </c>
      <c r="B144" s="16" t="inlineStr">
        <is>
          <t>39046</t>
        </is>
      </c>
      <c r="C144" s="16" t="n">
        <v>2756</v>
      </c>
      <c r="D144" s="16" t="n">
        <v>2744</v>
      </c>
      <c r="E144" s="16" t="n">
        <v>2237</v>
      </c>
      <c r="F144" s="38" t="n">
        <v>1152907</v>
      </c>
      <c r="G144" s="38" t="n">
        <v>1508575</v>
      </c>
      <c r="H144" s="38" t="n">
        <v>1401555</v>
      </c>
      <c r="I144" s="38" t="n">
        <v>1479426</v>
      </c>
      <c r="J144" s="19">
        <f>(I144-H144)/1000</f>
        <v/>
      </c>
      <c r="K144" s="16" t="inlineStr">
        <is>
          <t>Yes</t>
        </is>
      </c>
    </row>
    <row r="145">
      <c r="A145" s="16" t="inlineStr">
        <is>
          <t>5 Jun</t>
        </is>
      </c>
      <c r="B145" s="16" t="inlineStr">
        <is>
          <t>30352</t>
        </is>
      </c>
      <c r="C145" s="16" t="n">
        <v>3566</v>
      </c>
      <c r="D145" s="16" t="n">
        <v>3560</v>
      </c>
      <c r="E145" s="16" t="n">
        <v>3066</v>
      </c>
      <c r="F145" s="38" t="n">
        <v>1401324</v>
      </c>
      <c r="G145" s="38" t="n">
        <v>1507859</v>
      </c>
      <c r="H145" s="38" t="n">
        <v>1401555</v>
      </c>
      <c r="I145" s="38" t="n">
        <v>1479414</v>
      </c>
      <c r="J145" s="19">
        <f>(I145-H145)/1000</f>
        <v/>
      </c>
      <c r="K145" s="16" t="inlineStr">
        <is>
          <t>Yes</t>
        </is>
      </c>
    </row>
    <row r="146">
      <c r="A146" s="16" t="inlineStr">
        <is>
          <t>5 Jun</t>
        </is>
      </c>
      <c r="B146" s="16" t="inlineStr">
        <is>
          <t>30488</t>
        </is>
      </c>
      <c r="C146" s="16" t="n">
        <v>6922</v>
      </c>
      <c r="D146" s="16" t="n">
        <v>6909</v>
      </c>
      <c r="E146" s="16" t="n">
        <v>5510</v>
      </c>
      <c r="F146" s="38" t="n">
        <v>1191400</v>
      </c>
      <c r="G146" s="38" t="n">
        <v>1503078</v>
      </c>
      <c r="H146" s="38" t="n">
        <v>1401568</v>
      </c>
      <c r="I146" s="38" t="n">
        <v>1479425</v>
      </c>
      <c r="J146" s="19">
        <f>(I146-H146)/1000</f>
        <v/>
      </c>
      <c r="K146" s="16" t="inlineStr">
        <is>
          <t>Yes</t>
        </is>
      </c>
    </row>
    <row r="147">
      <c r="A147" s="16" t="inlineStr">
        <is>
          <t>5 Jun</t>
        </is>
      </c>
      <c r="B147" s="16" t="inlineStr">
        <is>
          <t>37494</t>
        </is>
      </c>
      <c r="C147" s="16" t="n">
        <v>1637</v>
      </c>
      <c r="D147" s="16" t="n">
        <v>1637</v>
      </c>
      <c r="E147" s="16" t="n">
        <v>1415</v>
      </c>
      <c r="F147" s="38" t="n">
        <v>1401336</v>
      </c>
      <c r="G147" s="38" t="n">
        <v>1518253</v>
      </c>
      <c r="H147" s="38" t="n">
        <v>1401576</v>
      </c>
      <c r="I147" s="38" t="n">
        <v>1479431</v>
      </c>
      <c r="J147" s="19">
        <f>(I147-H147)/1000</f>
        <v/>
      </c>
      <c r="K147" s="16" t="inlineStr">
        <is>
          <t>Yes</t>
        </is>
      </c>
    </row>
    <row r="148">
      <c r="A148" s="16" t="inlineStr">
        <is>
          <t>5 Jun</t>
        </is>
      </c>
      <c r="B148" s="16" t="inlineStr">
        <is>
          <t>39336</t>
        </is>
      </c>
      <c r="C148" s="16" t="n">
        <v>7346</v>
      </c>
      <c r="D148" s="16" t="n">
        <v>7344</v>
      </c>
      <c r="E148" s="16" t="n">
        <v>6689</v>
      </c>
      <c r="F148" s="38" t="n">
        <v>1253389</v>
      </c>
      <c r="G148" s="38" t="n">
        <v>1518039</v>
      </c>
      <c r="H148" s="38" t="n">
        <v>1401574</v>
      </c>
      <c r="I148" s="38" t="n">
        <v>1479433</v>
      </c>
      <c r="J148" s="19">
        <f>(I148-H148)/1000</f>
        <v/>
      </c>
      <c r="K148" s="16" t="inlineStr">
        <is>
          <t>Yes</t>
        </is>
      </c>
    </row>
    <row r="149">
      <c r="A149" s="16" t="inlineStr">
        <is>
          <t>5 Jun</t>
        </is>
      </c>
      <c r="B149" s="16" t="inlineStr">
        <is>
          <t>30339</t>
        </is>
      </c>
      <c r="C149" s="16" t="n">
        <v>7070</v>
      </c>
      <c r="D149" s="16" t="n">
        <v>7064</v>
      </c>
      <c r="E149" s="16" t="n">
        <v>5685</v>
      </c>
      <c r="F149" s="38" t="n">
        <v>1170936</v>
      </c>
      <c r="G149" s="38" t="n">
        <v>1499014</v>
      </c>
      <c r="H149" s="38" t="n">
        <v>1401555</v>
      </c>
      <c r="I149" s="38" t="n">
        <v>1479407</v>
      </c>
      <c r="J149" s="19">
        <f>(I149-H149)/1000</f>
        <v/>
      </c>
      <c r="K149" s="16" t="inlineStr">
        <is>
          <t>Yes</t>
        </is>
      </c>
    </row>
    <row r="150">
      <c r="A150" s="16" t="inlineStr">
        <is>
          <t>5 Jun</t>
        </is>
      </c>
      <c r="B150" s="16" t="inlineStr">
        <is>
          <t>39466</t>
        </is>
      </c>
      <c r="C150" s="16" t="n">
        <v>3065</v>
      </c>
      <c r="D150" s="16" t="n">
        <v>3063</v>
      </c>
      <c r="E150" s="16" t="n">
        <v>2353</v>
      </c>
      <c r="F150" s="38" t="n">
        <v>1170938</v>
      </c>
      <c r="G150" s="38" t="n">
        <v>1506268</v>
      </c>
      <c r="H150" s="38" t="n">
        <v>1401579</v>
      </c>
      <c r="I150" s="38" t="n">
        <v>1479425</v>
      </c>
      <c r="J150" s="19">
        <f>(I150-H150)/1000</f>
        <v/>
      </c>
      <c r="K150" s="16" t="inlineStr">
        <is>
          <t>Yes</t>
        </is>
      </c>
    </row>
    <row r="151">
      <c r="A151" s="16" t="inlineStr">
        <is>
          <t>5 Jun</t>
        </is>
      </c>
      <c r="B151" s="16" t="inlineStr">
        <is>
          <t>30006</t>
        </is>
      </c>
      <c r="C151" s="16" t="n">
        <v>2676</v>
      </c>
      <c r="D151" s="16" t="n">
        <v>2675</v>
      </c>
      <c r="E151" s="16" t="n">
        <v>2361</v>
      </c>
      <c r="F151" s="38" t="n">
        <v>1401393</v>
      </c>
      <c r="G151" s="38" t="n">
        <v>1519038</v>
      </c>
      <c r="H151" s="38" t="n">
        <v>1401584</v>
      </c>
      <c r="I151" s="38" t="n">
        <v>1479421</v>
      </c>
      <c r="J151" s="19">
        <f>(I151-H151)/1000</f>
        <v/>
      </c>
      <c r="K151" s="16" t="inlineStr">
        <is>
          <t>Yes</t>
        </is>
      </c>
    </row>
    <row r="152">
      <c r="A152" s="16" t="inlineStr">
        <is>
          <t>5 Jun</t>
        </is>
      </c>
      <c r="B152" s="16" t="inlineStr">
        <is>
          <t>37853</t>
        </is>
      </c>
      <c r="C152" s="16" t="n">
        <v>2703</v>
      </c>
      <c r="D152" s="16" t="n">
        <v>2703</v>
      </c>
      <c r="E152" s="16" t="n">
        <v>2372</v>
      </c>
      <c r="F152" s="38" t="n">
        <v>1401409</v>
      </c>
      <c r="G152" s="38" t="n">
        <v>1518820</v>
      </c>
      <c r="H152" s="38" t="n">
        <v>1401578</v>
      </c>
      <c r="I152" s="38" t="n">
        <v>1479417</v>
      </c>
      <c r="J152" s="19">
        <f>(I152-H152)/1000</f>
        <v/>
      </c>
      <c r="K152" s="16" t="inlineStr">
        <is>
          <t>Yes</t>
        </is>
      </c>
    </row>
    <row r="153">
      <c r="A153" s="16" t="inlineStr">
        <is>
          <t>5 Jun</t>
        </is>
      </c>
      <c r="B153" s="16" t="inlineStr">
        <is>
          <t>30335</t>
        </is>
      </c>
      <c r="C153" s="16" t="n">
        <v>3182</v>
      </c>
      <c r="D153" s="16" t="n">
        <v>3157</v>
      </c>
      <c r="E153" s="16" t="n">
        <v>2303</v>
      </c>
      <c r="F153" s="38" t="n">
        <v>1197375</v>
      </c>
      <c r="G153" s="38" t="n">
        <v>1508694</v>
      </c>
      <c r="H153" s="38" t="n">
        <v>1401569</v>
      </c>
      <c r="I153" s="38" t="n">
        <v>1479400</v>
      </c>
      <c r="J153" s="19">
        <f>(I153-H153)/1000</f>
        <v/>
      </c>
      <c r="K153" s="16" t="inlineStr">
        <is>
          <t>Yes</t>
        </is>
      </c>
    </row>
    <row r="154">
      <c r="A154" s="16" t="inlineStr">
        <is>
          <t>5 Jun</t>
        </is>
      </c>
      <c r="B154" s="16" t="inlineStr">
        <is>
          <t>37464</t>
        </is>
      </c>
      <c r="C154" s="16" t="n">
        <v>1710</v>
      </c>
      <c r="D154" s="16" t="n">
        <v>1705</v>
      </c>
      <c r="E154" s="16" t="n">
        <v>1565</v>
      </c>
      <c r="F154" s="38" t="n">
        <v>1224948</v>
      </c>
      <c r="G154" s="38" t="n">
        <v>1493529</v>
      </c>
      <c r="H154" s="38" t="n">
        <v>1401581</v>
      </c>
      <c r="I154" s="38" t="n">
        <v>1479412</v>
      </c>
      <c r="J154" s="19">
        <f>(I154-H154)/1000</f>
        <v/>
      </c>
      <c r="K154" s="16" t="inlineStr">
        <is>
          <t>Yes</t>
        </is>
      </c>
    </row>
    <row r="155">
      <c r="A155" s="16" t="inlineStr">
        <is>
          <t>5 Jun</t>
        </is>
      </c>
      <c r="B155" s="16" t="inlineStr">
        <is>
          <t>39328</t>
        </is>
      </c>
      <c r="C155" s="16" t="n">
        <v>4321</v>
      </c>
      <c r="D155" s="16" t="n">
        <v>4321</v>
      </c>
      <c r="E155" s="16" t="n">
        <v>2330</v>
      </c>
      <c r="F155" s="38" t="n">
        <v>1087190</v>
      </c>
      <c r="G155" s="38" t="n">
        <v>1523897</v>
      </c>
      <c r="H155" s="38" t="n">
        <v>1401568</v>
      </c>
      <c r="I155" s="38" t="n">
        <v>1479402</v>
      </c>
      <c r="J155" s="19">
        <f>(I155-H155)/1000</f>
        <v/>
      </c>
      <c r="K155" s="16" t="inlineStr">
        <is>
          <t>Yes</t>
        </is>
      </c>
    </row>
    <row r="156">
      <c r="A156" s="16" t="inlineStr">
        <is>
          <t>5 Jun</t>
        </is>
      </c>
      <c r="B156" s="16" t="inlineStr">
        <is>
          <t>30739</t>
        </is>
      </c>
      <c r="C156" s="16" t="n">
        <v>3658</v>
      </c>
      <c r="D156" s="16" t="n">
        <v>3655</v>
      </c>
      <c r="E156" s="16" t="n">
        <v>2735</v>
      </c>
      <c r="F156" s="38" t="n">
        <v>1084689</v>
      </c>
      <c r="G156" s="38" t="n">
        <v>1515978</v>
      </c>
      <c r="H156" s="38" t="n">
        <v>1401557</v>
      </c>
      <c r="I156" s="38" t="n">
        <v>1479376</v>
      </c>
      <c r="J156" s="19">
        <f>(I156-H156)/1000</f>
        <v/>
      </c>
      <c r="K156" s="16" t="inlineStr">
        <is>
          <t>Yes</t>
        </is>
      </c>
    </row>
    <row r="157">
      <c r="A157" s="16" t="inlineStr">
        <is>
          <t>5 Jun</t>
        </is>
      </c>
      <c r="B157" s="16" t="inlineStr">
        <is>
          <t>30543</t>
        </is>
      </c>
      <c r="C157" s="16" t="n">
        <v>2456</v>
      </c>
      <c r="D157" s="16" t="n">
        <v>2453</v>
      </c>
      <c r="E157" s="16" t="n">
        <v>2266</v>
      </c>
      <c r="F157" s="38" t="n">
        <v>1401360</v>
      </c>
      <c r="G157" s="38" t="n">
        <v>1508367</v>
      </c>
      <c r="H157" s="38" t="n">
        <v>1401613</v>
      </c>
      <c r="I157" s="38" t="n">
        <v>1479424</v>
      </c>
      <c r="J157" s="19">
        <f>(I157-H157)/1000</f>
        <v/>
      </c>
      <c r="K157" s="16" t="inlineStr">
        <is>
          <t>Yes</t>
        </is>
      </c>
    </row>
    <row r="158">
      <c r="A158" s="16" t="inlineStr">
        <is>
          <t>5 Jun</t>
        </is>
      </c>
      <c r="B158" s="16" t="inlineStr">
        <is>
          <t>37628</t>
        </is>
      </c>
      <c r="C158" s="16" t="n">
        <v>1425</v>
      </c>
      <c r="D158" s="16" t="n">
        <v>1425</v>
      </c>
      <c r="E158" s="16" t="n">
        <v>1250</v>
      </c>
      <c r="F158" s="38" t="n">
        <v>1401398</v>
      </c>
      <c r="G158" s="38" t="n">
        <v>1496096</v>
      </c>
      <c r="H158" s="38" t="n">
        <v>1401575</v>
      </c>
      <c r="I158" s="38" t="n">
        <v>1479378</v>
      </c>
      <c r="J158" s="19">
        <f>(I158-H158)/1000</f>
        <v/>
      </c>
      <c r="K158" s="16" t="inlineStr">
        <is>
          <t>Yes</t>
        </is>
      </c>
    </row>
    <row r="159">
      <c r="A159" s="16" t="inlineStr">
        <is>
          <t>5 Jun</t>
        </is>
      </c>
      <c r="B159" s="16" t="inlineStr">
        <is>
          <t>37834</t>
        </is>
      </c>
      <c r="C159" s="16" t="n">
        <v>2394</v>
      </c>
      <c r="D159" s="16" t="n">
        <v>2394</v>
      </c>
      <c r="E159" s="16" t="n">
        <v>2116</v>
      </c>
      <c r="F159" s="38" t="n">
        <v>1401390</v>
      </c>
      <c r="G159" s="38" t="n">
        <v>1512501</v>
      </c>
      <c r="H159" s="38" t="n">
        <v>1401585</v>
      </c>
      <c r="I159" s="38" t="n">
        <v>1479356</v>
      </c>
      <c r="J159" s="19">
        <f>(I159-H159)/1000</f>
        <v/>
      </c>
      <c r="K159" s="16" t="inlineStr">
        <is>
          <t>Yes</t>
        </is>
      </c>
    </row>
    <row r="160">
      <c r="A160" s="16" t="inlineStr">
        <is>
          <t>5 Jun</t>
        </is>
      </c>
      <c r="B160" s="16" t="inlineStr">
        <is>
          <t>30721</t>
        </is>
      </c>
      <c r="C160" s="16" t="n">
        <v>3792</v>
      </c>
      <c r="D160" s="16" t="n">
        <v>3790</v>
      </c>
      <c r="E160" s="16" t="n">
        <v>3126</v>
      </c>
      <c r="F160" s="38" t="n">
        <v>1401680</v>
      </c>
      <c r="G160" s="38" t="n">
        <v>1500730</v>
      </c>
      <c r="H160" s="38" t="n">
        <v>1401680</v>
      </c>
      <c r="I160" s="38" t="n">
        <v>1479433</v>
      </c>
      <c r="J160" s="19">
        <f>(I160-H160)/1000</f>
        <v/>
      </c>
      <c r="K160" s="16" t="inlineStr">
        <is>
          <t>Yes</t>
        </is>
      </c>
    </row>
    <row r="161">
      <c r="A161" s="16" t="inlineStr">
        <is>
          <t>5 Jun</t>
        </is>
      </c>
      <c r="B161" s="16" t="inlineStr">
        <is>
          <t>37856</t>
        </is>
      </c>
      <c r="C161" s="16" t="n">
        <v>4106</v>
      </c>
      <c r="D161" s="16" t="n">
        <v>4104</v>
      </c>
      <c r="E161" s="16" t="n">
        <v>3477</v>
      </c>
      <c r="F161" s="38" t="n">
        <v>1401688</v>
      </c>
      <c r="G161" s="38" t="n">
        <v>1518594</v>
      </c>
      <c r="H161" s="38" t="n">
        <v>1401688</v>
      </c>
      <c r="I161" s="38" t="n">
        <v>1479429</v>
      </c>
      <c r="J161" s="19">
        <f>(I161-H161)/1000</f>
        <v/>
      </c>
      <c r="K161" s="16" t="inlineStr">
        <is>
          <t>Yes</t>
        </is>
      </c>
    </row>
    <row r="162">
      <c r="A162" s="16" t="inlineStr">
        <is>
          <t>5 Jun</t>
        </is>
      </c>
      <c r="B162" s="16" t="inlineStr">
        <is>
          <t>37786</t>
        </is>
      </c>
      <c r="C162" s="16" t="n">
        <v>3719</v>
      </c>
      <c r="D162" s="16" t="n">
        <v>3716</v>
      </c>
      <c r="E162" s="16" t="n">
        <v>2799</v>
      </c>
      <c r="F162" s="38" t="n">
        <v>1265719</v>
      </c>
      <c r="G162" s="38" t="n">
        <v>1518597</v>
      </c>
      <c r="H162" s="38" t="n">
        <v>1401702</v>
      </c>
      <c r="I162" s="38" t="n">
        <v>1479423</v>
      </c>
      <c r="J162" s="19">
        <f>(I162-H162)/1000</f>
        <v/>
      </c>
      <c r="K162" s="16" t="inlineStr">
        <is>
          <t>Yes</t>
        </is>
      </c>
    </row>
    <row r="163">
      <c r="A163" s="16" t="inlineStr">
        <is>
          <t>5 Jun</t>
        </is>
      </c>
      <c r="B163" s="16" t="inlineStr">
        <is>
          <t>39501</t>
        </is>
      </c>
      <c r="C163" s="16" t="n">
        <v>4219</v>
      </c>
      <c r="D163" s="16" t="n">
        <v>4217</v>
      </c>
      <c r="E163" s="16" t="n">
        <v>2521</v>
      </c>
      <c r="F163" s="38" t="n">
        <v>1148848</v>
      </c>
      <c r="G163" s="38" t="n">
        <v>1503273</v>
      </c>
      <c r="H163" s="38" t="n">
        <v>1401712</v>
      </c>
      <c r="I163" s="38" t="n">
        <v>1479425</v>
      </c>
      <c r="J163" s="19">
        <f>(I163-H163)/1000</f>
        <v/>
      </c>
      <c r="K163" s="16" t="inlineStr">
        <is>
          <t>Yes</t>
        </is>
      </c>
    </row>
    <row r="164">
      <c r="A164" s="16" t="inlineStr">
        <is>
          <t>5 Jun</t>
        </is>
      </c>
      <c r="B164" s="16" t="inlineStr">
        <is>
          <t>30215</t>
        </is>
      </c>
      <c r="C164" s="16" t="n">
        <v>4073</v>
      </c>
      <c r="D164" s="16" t="n">
        <v>4072</v>
      </c>
      <c r="E164" s="16" t="n">
        <v>2982</v>
      </c>
      <c r="F164" s="38" t="n">
        <v>1175022</v>
      </c>
      <c r="G164" s="38" t="n">
        <v>1506795</v>
      </c>
      <c r="H164" s="38" t="n">
        <v>1401689</v>
      </c>
      <c r="I164" s="38" t="n">
        <v>1479391</v>
      </c>
      <c r="J164" s="19">
        <f>(I164-H164)/1000</f>
        <v/>
      </c>
      <c r="K164" s="16" t="inlineStr">
        <is>
          <t>Yes</t>
        </is>
      </c>
    </row>
    <row r="165">
      <c r="A165" s="16" t="inlineStr">
        <is>
          <t>5 Jun</t>
        </is>
      </c>
      <c r="B165" s="16" t="inlineStr">
        <is>
          <t>37325</t>
        </is>
      </c>
      <c r="C165" s="16" t="n">
        <v>1485</v>
      </c>
      <c r="D165" s="16" t="n">
        <v>1478</v>
      </c>
      <c r="E165" s="16" t="n">
        <v>1148</v>
      </c>
      <c r="F165" s="38" t="n">
        <v>1401688</v>
      </c>
      <c r="G165" s="38" t="n">
        <v>1509201</v>
      </c>
      <c r="H165" s="38" t="n">
        <v>1401688</v>
      </c>
      <c r="I165" s="38" t="n">
        <v>1479384</v>
      </c>
      <c r="J165" s="19">
        <f>(I165-H165)/1000</f>
        <v/>
      </c>
      <c r="K165" s="16" t="inlineStr">
        <is>
          <t>Yes</t>
        </is>
      </c>
    </row>
    <row r="166">
      <c r="A166" s="16" t="inlineStr">
        <is>
          <t>5 Jun</t>
        </is>
      </c>
      <c r="B166" s="16" t="inlineStr">
        <is>
          <t>39353</t>
        </is>
      </c>
      <c r="C166" s="16" t="n">
        <v>2633</v>
      </c>
      <c r="D166" s="16" t="n">
        <v>2631</v>
      </c>
      <c r="E166" s="16" t="n">
        <v>2339</v>
      </c>
      <c r="F166" s="38" t="n">
        <v>1401703</v>
      </c>
      <c r="G166" s="38" t="n">
        <v>1499213</v>
      </c>
      <c r="H166" s="38" t="n">
        <v>1401703</v>
      </c>
      <c r="I166" s="38" t="n">
        <v>1479405</v>
      </c>
      <c r="J166" s="19">
        <f>(I166-H166)/1000</f>
        <v/>
      </c>
      <c r="K166" s="16" t="inlineStr">
        <is>
          <t>Yes</t>
        </is>
      </c>
    </row>
    <row r="167">
      <c r="A167" s="16" t="inlineStr">
        <is>
          <t>5 Jun</t>
        </is>
      </c>
      <c r="B167" s="16" t="inlineStr">
        <is>
          <t>30464</t>
        </is>
      </c>
      <c r="C167" s="16" t="n">
        <v>3530</v>
      </c>
      <c r="D167" s="16" t="n">
        <v>3528</v>
      </c>
      <c r="E167" s="16" t="n">
        <v>2181</v>
      </c>
      <c r="F167" s="38" t="n">
        <v>1132834</v>
      </c>
      <c r="G167" s="38" t="n">
        <v>1499201</v>
      </c>
      <c r="H167" s="38" t="n">
        <v>1401728</v>
      </c>
      <c r="I167" s="38" t="n">
        <v>1479359</v>
      </c>
      <c r="J167" s="19">
        <f>(I167-H167)/1000</f>
        <v/>
      </c>
      <c r="K167" s="16" t="inlineStr">
        <is>
          <t>Yes</t>
        </is>
      </c>
    </row>
    <row r="168">
      <c r="A168" s="16" t="inlineStr">
        <is>
          <t>5 Jun</t>
        </is>
      </c>
      <c r="B168" s="16" t="inlineStr">
        <is>
          <t>39159</t>
        </is>
      </c>
      <c r="C168" s="16" t="n">
        <v>3388</v>
      </c>
      <c r="D168" s="16" t="n">
        <v>3387</v>
      </c>
      <c r="E168" s="16" t="n">
        <v>2269</v>
      </c>
      <c r="F168" s="38" t="n">
        <v>1179166</v>
      </c>
      <c r="G168" s="38" t="n">
        <v>1513996</v>
      </c>
      <c r="H168" s="38" t="n">
        <v>1401768</v>
      </c>
      <c r="I168" s="38" t="n">
        <v>1479390</v>
      </c>
      <c r="J168" s="19">
        <f>(I168-H168)/1000</f>
        <v/>
      </c>
      <c r="K168" s="16" t="inlineStr">
        <is>
          <t>Yes</t>
        </is>
      </c>
    </row>
    <row r="169">
      <c r="A169" s="16" t="inlineStr">
        <is>
          <t>5 Jun</t>
        </is>
      </c>
      <c r="B169" s="16" t="inlineStr">
        <is>
          <t>30197</t>
        </is>
      </c>
      <c r="C169" s="16" t="n">
        <v>106</v>
      </c>
      <c r="D169" s="16" t="n">
        <v>92</v>
      </c>
      <c r="E169" s="16" t="n">
        <v>92</v>
      </c>
      <c r="F169" s="38" t="n">
        <v>1410881</v>
      </c>
      <c r="G169" s="38" t="n">
        <v>1419467</v>
      </c>
      <c r="H169" s="38" t="n">
        <v>1410881</v>
      </c>
      <c r="I169" s="38" t="n">
        <v>1419467</v>
      </c>
      <c r="J169" s="19">
        <f>(I169-H169)/1000</f>
        <v/>
      </c>
      <c r="K169" s="16" t="inlineStr">
        <is>
          <t>Yes</t>
        </is>
      </c>
    </row>
    <row r="170">
      <c r="A170" s="31" t="inlineStr">
        <is>
          <t>5 Jun</t>
        </is>
      </c>
      <c r="B170" s="31" t="inlineStr">
        <is>
          <t>30177</t>
        </is>
      </c>
      <c r="C170" s="31" t="n">
        <v>83</v>
      </c>
      <c r="D170" s="31" t="n">
        <v>83</v>
      </c>
      <c r="E170" s="31" t="n">
        <v>0</v>
      </c>
      <c r="F170" s="39" t="n">
        <v>1106360</v>
      </c>
      <c r="G170" s="39" t="n">
        <v>1112621</v>
      </c>
      <c r="H170" s="39" t="inlineStr">
        <is>
          <t>-</t>
        </is>
      </c>
      <c r="I170" s="39" t="inlineStr">
        <is>
          <t>-</t>
        </is>
      </c>
      <c r="J170" s="40" t="n">
        <v>0</v>
      </c>
      <c r="K170" s="31" t="inlineStr">
        <is>
          <t>No</t>
        </is>
      </c>
    </row>
    <row r="171">
      <c r="A171" s="31" t="inlineStr">
        <is>
          <t>5 Jun</t>
        </is>
      </c>
      <c r="B171" s="31" t="inlineStr">
        <is>
          <t>30404</t>
        </is>
      </c>
      <c r="C171" s="31" t="n">
        <v>96</v>
      </c>
      <c r="D171" s="31" t="n">
        <v>96</v>
      </c>
      <c r="E171" s="31" t="n">
        <v>0</v>
      </c>
      <c r="F171" s="39" t="n">
        <v>1241225</v>
      </c>
      <c r="G171" s="39" t="n">
        <v>1276902</v>
      </c>
      <c r="H171" s="39" t="inlineStr">
        <is>
          <t>-</t>
        </is>
      </c>
      <c r="I171" s="39" t="inlineStr">
        <is>
          <t>-</t>
        </is>
      </c>
      <c r="J171" s="40" t="n">
        <v>0</v>
      </c>
      <c r="K171" s="31" t="inlineStr">
        <is>
          <t>No</t>
        </is>
      </c>
    </row>
    <row r="172">
      <c r="A172" s="31" t="inlineStr">
        <is>
          <t>5 Jun</t>
        </is>
      </c>
      <c r="B172" s="31" t="inlineStr">
        <is>
          <t>30752</t>
        </is>
      </c>
      <c r="C172" s="31" t="n">
        <v>39</v>
      </c>
      <c r="D172" s="31" t="n">
        <v>39</v>
      </c>
      <c r="E172" s="31" t="n">
        <v>0</v>
      </c>
      <c r="F172" s="39" t="n">
        <v>1106202</v>
      </c>
      <c r="G172" s="39" t="n">
        <v>1154115</v>
      </c>
      <c r="H172" s="39" t="inlineStr">
        <is>
          <t>-</t>
        </is>
      </c>
      <c r="I172" s="39" t="inlineStr">
        <is>
          <t>-</t>
        </is>
      </c>
      <c r="J172" s="40" t="n">
        <v>0</v>
      </c>
      <c r="K172" s="31" t="inlineStr">
        <is>
          <t>No</t>
        </is>
      </c>
    </row>
    <row r="173">
      <c r="A173" s="31" t="inlineStr">
        <is>
          <t>5 Jun</t>
        </is>
      </c>
      <c r="B173" s="31" t="inlineStr">
        <is>
          <t>37219</t>
        </is>
      </c>
      <c r="C173" s="31" t="n">
        <v>1799</v>
      </c>
      <c r="D173" s="31" t="n">
        <v>1799</v>
      </c>
      <c r="E173" s="31" t="n">
        <v>0</v>
      </c>
      <c r="F173" s="39" t="n">
        <v>1166766</v>
      </c>
      <c r="G173" s="39" t="n">
        <v>1240710</v>
      </c>
      <c r="H173" s="39" t="inlineStr">
        <is>
          <t>-</t>
        </is>
      </c>
      <c r="I173" s="39" t="inlineStr">
        <is>
          <t>-</t>
        </is>
      </c>
      <c r="J173" s="40" t="n">
        <v>0</v>
      </c>
      <c r="K173" s="31" t="inlineStr">
        <is>
          <t>No</t>
        </is>
      </c>
    </row>
    <row r="174">
      <c r="A174" s="31" t="inlineStr">
        <is>
          <t>5 Jun</t>
        </is>
      </c>
      <c r="B174" s="31" t="inlineStr">
        <is>
          <t>37251</t>
        </is>
      </c>
      <c r="C174" s="31" t="n">
        <v>32</v>
      </c>
      <c r="D174" s="31" t="n">
        <v>30</v>
      </c>
      <c r="E174" s="31" t="n">
        <v>0</v>
      </c>
      <c r="F174" s="39" t="n">
        <v>1230328</v>
      </c>
      <c r="G174" s="39" t="n">
        <v>1243090</v>
      </c>
      <c r="H174" s="39" t="inlineStr">
        <is>
          <t>-</t>
        </is>
      </c>
      <c r="I174" s="39" t="inlineStr">
        <is>
          <t>-</t>
        </is>
      </c>
      <c r="J174" s="40" t="n">
        <v>0</v>
      </c>
      <c r="K174" s="31" t="inlineStr">
        <is>
          <t>No</t>
        </is>
      </c>
    </row>
    <row r="175">
      <c r="A175" s="31" t="inlineStr">
        <is>
          <t>5 Jun</t>
        </is>
      </c>
      <c r="B175" s="31" t="inlineStr">
        <is>
          <t>37257</t>
        </is>
      </c>
      <c r="C175" s="31" t="n">
        <v>39</v>
      </c>
      <c r="D175" s="31" t="n">
        <v>39</v>
      </c>
      <c r="E175" s="31" t="n">
        <v>0</v>
      </c>
      <c r="F175" s="39" t="n">
        <v>1168668</v>
      </c>
      <c r="G175" s="39" t="n">
        <v>1172539</v>
      </c>
      <c r="H175" s="39" t="inlineStr">
        <is>
          <t>-</t>
        </is>
      </c>
      <c r="I175" s="39" t="inlineStr">
        <is>
          <t>-</t>
        </is>
      </c>
      <c r="J175" s="40" t="n">
        <v>0</v>
      </c>
      <c r="K175" s="31" t="inlineStr">
        <is>
          <t>No</t>
        </is>
      </c>
    </row>
    <row r="176">
      <c r="A176" s="31" t="inlineStr">
        <is>
          <t>5 Jun</t>
        </is>
      </c>
      <c r="B176" s="31" t="inlineStr">
        <is>
          <t>39331</t>
        </is>
      </c>
      <c r="C176" s="31" t="n">
        <v>1836</v>
      </c>
      <c r="D176" s="31" t="n">
        <v>1836</v>
      </c>
      <c r="E176" s="31" t="n">
        <v>0</v>
      </c>
      <c r="F176" s="39" t="n">
        <v>1166941</v>
      </c>
      <c r="G176" s="39" t="n">
        <v>1240730</v>
      </c>
      <c r="H176" s="39" t="inlineStr">
        <is>
          <t>-</t>
        </is>
      </c>
      <c r="I176" s="39" t="inlineStr">
        <is>
          <t>-</t>
        </is>
      </c>
      <c r="J176" s="40" t="n">
        <v>0</v>
      </c>
      <c r="K176" s="31" t="inlineStr">
        <is>
          <t>No</t>
        </is>
      </c>
    </row>
    <row r="177">
      <c r="A177" s="31" t="inlineStr">
        <is>
          <t>5 Jun</t>
        </is>
      </c>
      <c r="B177" s="31" t="inlineStr">
        <is>
          <t>39421</t>
        </is>
      </c>
      <c r="C177" s="31" t="n">
        <v>201</v>
      </c>
      <c r="D177" s="31" t="n">
        <v>201</v>
      </c>
      <c r="E177" s="31" t="n">
        <v>0</v>
      </c>
      <c r="F177" s="39" t="n">
        <v>1274706</v>
      </c>
      <c r="G177" s="39" t="n">
        <v>1400152</v>
      </c>
      <c r="H177" s="39" t="inlineStr">
        <is>
          <t>-</t>
        </is>
      </c>
      <c r="I177" s="39" t="inlineStr">
        <is>
          <t>-</t>
        </is>
      </c>
      <c r="J177" s="40" t="n">
        <v>0</v>
      </c>
      <c r="K177" s="31" t="inlineStr">
        <is>
          <t>No</t>
        </is>
      </c>
    </row>
    <row r="178">
      <c r="A178" s="31" t="inlineStr">
        <is>
          <t>5 Jun</t>
        </is>
      </c>
      <c r="B178" s="31" t="inlineStr">
        <is>
          <t>39530</t>
        </is>
      </c>
      <c r="C178" s="31" t="n">
        <v>485</v>
      </c>
      <c r="D178" s="31" t="n">
        <v>485</v>
      </c>
      <c r="E178" s="31" t="n">
        <v>0</v>
      </c>
      <c r="F178" s="39" t="n">
        <v>1493658</v>
      </c>
      <c r="G178" s="39" t="n">
        <v>1508793</v>
      </c>
      <c r="H178" s="39" t="inlineStr">
        <is>
          <t>-</t>
        </is>
      </c>
      <c r="I178" s="39" t="inlineStr">
        <is>
          <t>-</t>
        </is>
      </c>
      <c r="J178" s="40" t="n">
        <v>0</v>
      </c>
      <c r="K178" s="31" t="inlineStr">
        <is>
          <t>No</t>
        </is>
      </c>
    </row>
    <row r="179">
      <c r="A179" s="16" t="inlineStr">
        <is>
          <t>6 Jun</t>
        </is>
      </c>
      <c r="B179" s="16" t="inlineStr">
        <is>
          <t>39565</t>
        </is>
      </c>
      <c r="C179" s="16" t="n">
        <v>6017</v>
      </c>
      <c r="D179" s="16" t="n">
        <v>5788</v>
      </c>
      <c r="E179" s="16" t="n">
        <v>4851</v>
      </c>
      <c r="F179" s="38" t="n">
        <v>1231916</v>
      </c>
      <c r="G179" s="38" t="n">
        <v>1518846</v>
      </c>
      <c r="H179" s="38" t="n">
        <v>1401558</v>
      </c>
      <c r="I179" s="38" t="n">
        <v>1479430</v>
      </c>
      <c r="J179" s="19">
        <f>(I179-H179)/1000</f>
        <v/>
      </c>
      <c r="K179" s="16" t="inlineStr">
        <is>
          <t>Yes</t>
        </is>
      </c>
    </row>
    <row r="180">
      <c r="A180" s="16" t="inlineStr">
        <is>
          <t>6 Jun</t>
        </is>
      </c>
      <c r="B180" s="16" t="inlineStr">
        <is>
          <t>30006</t>
        </is>
      </c>
      <c r="C180" s="16" t="n">
        <v>4954</v>
      </c>
      <c r="D180" s="16" t="n">
        <v>4953</v>
      </c>
      <c r="E180" s="16" t="n">
        <v>4407</v>
      </c>
      <c r="F180" s="38" t="n">
        <v>1401568</v>
      </c>
      <c r="G180" s="38" t="n">
        <v>1518561</v>
      </c>
      <c r="H180" s="38" t="n">
        <v>1401568</v>
      </c>
      <c r="I180" s="38" t="n">
        <v>1479425</v>
      </c>
      <c r="J180" s="19">
        <f>(I180-H180)/1000</f>
        <v/>
      </c>
      <c r="K180" s="16" t="inlineStr">
        <is>
          <t>Yes</t>
        </is>
      </c>
    </row>
    <row r="181">
      <c r="A181" s="16" t="inlineStr">
        <is>
          <t>6 Jun</t>
        </is>
      </c>
      <c r="B181" s="16" t="inlineStr">
        <is>
          <t>37677</t>
        </is>
      </c>
      <c r="C181" s="16" t="n">
        <v>6077</v>
      </c>
      <c r="D181" s="16" t="n">
        <v>5816</v>
      </c>
      <c r="E181" s="16" t="n">
        <v>4663</v>
      </c>
      <c r="F181" s="38" t="n">
        <v>1210933</v>
      </c>
      <c r="G181" s="38" t="n">
        <v>1524339</v>
      </c>
      <c r="H181" s="38" t="n">
        <v>1401554</v>
      </c>
      <c r="I181" s="38" t="n">
        <v>1479418</v>
      </c>
      <c r="J181" s="19">
        <f>(I181-H181)/1000</f>
        <v/>
      </c>
      <c r="K181" s="16" t="inlineStr">
        <is>
          <t>Yes</t>
        </is>
      </c>
    </row>
    <row r="182">
      <c r="A182" s="16" t="inlineStr">
        <is>
          <t>6 Jun</t>
        </is>
      </c>
      <c r="B182" s="16" t="inlineStr">
        <is>
          <t>39014</t>
        </is>
      </c>
      <c r="C182" s="16" t="n">
        <v>6025</v>
      </c>
      <c r="D182" s="16" t="n">
        <v>6022</v>
      </c>
      <c r="E182" s="16" t="n">
        <v>4707</v>
      </c>
      <c r="F182" s="38" t="n">
        <v>1151263</v>
      </c>
      <c r="G182" s="38" t="n">
        <v>1508504</v>
      </c>
      <c r="H182" s="38" t="n">
        <v>1401563</v>
      </c>
      <c r="I182" s="38" t="n">
        <v>1479420</v>
      </c>
      <c r="J182" s="19">
        <f>(I182-H182)/1000</f>
        <v/>
      </c>
      <c r="K182" s="16" t="inlineStr">
        <is>
          <t>Yes</t>
        </is>
      </c>
    </row>
    <row r="183">
      <c r="A183" s="16" t="inlineStr">
        <is>
          <t>6 Jun</t>
        </is>
      </c>
      <c r="B183" s="16" t="inlineStr">
        <is>
          <t>39252</t>
        </is>
      </c>
      <c r="C183" s="16" t="n">
        <v>8103</v>
      </c>
      <c r="D183" s="16" t="n">
        <v>8085</v>
      </c>
      <c r="E183" s="16" t="n">
        <v>5076</v>
      </c>
      <c r="F183" s="38" t="n">
        <v>1098870</v>
      </c>
      <c r="G183" s="38" t="n">
        <v>1518660</v>
      </c>
      <c r="H183" s="38" t="n">
        <v>1401569</v>
      </c>
      <c r="I183" s="38" t="n">
        <v>1479433</v>
      </c>
      <c r="J183" s="19">
        <f>(I183-H183)/1000</f>
        <v/>
      </c>
      <c r="K183" s="16" t="inlineStr">
        <is>
          <t>Yes</t>
        </is>
      </c>
    </row>
    <row r="184">
      <c r="A184" s="16" t="inlineStr">
        <is>
          <t>6 Jun</t>
        </is>
      </c>
      <c r="B184" s="16" t="inlineStr">
        <is>
          <t>30537</t>
        </is>
      </c>
      <c r="C184" s="16" t="n">
        <v>2392</v>
      </c>
      <c r="D184" s="16" t="n">
        <v>2388</v>
      </c>
      <c r="E184" s="16" t="n">
        <v>2220</v>
      </c>
      <c r="F184" s="38" t="n">
        <v>1401403</v>
      </c>
      <c r="G184" s="38" t="n">
        <v>1495639</v>
      </c>
      <c r="H184" s="38" t="n">
        <v>1401567</v>
      </c>
      <c r="I184" s="38" t="n">
        <v>1479414</v>
      </c>
      <c r="J184" s="19">
        <f>(I184-H184)/1000</f>
        <v/>
      </c>
      <c r="K184" s="16" t="inlineStr">
        <is>
          <t>Yes</t>
        </is>
      </c>
    </row>
    <row r="185">
      <c r="A185" s="16" t="inlineStr">
        <is>
          <t>6 Jun</t>
        </is>
      </c>
      <c r="B185" s="16" t="inlineStr">
        <is>
          <t>37163</t>
        </is>
      </c>
      <c r="C185" s="16" t="n">
        <v>7728</v>
      </c>
      <c r="D185" s="16" t="n">
        <v>7719</v>
      </c>
      <c r="E185" s="16" t="n">
        <v>4760</v>
      </c>
      <c r="F185" s="38" t="n">
        <v>1097279</v>
      </c>
      <c r="G185" s="38" t="n">
        <v>1516045</v>
      </c>
      <c r="H185" s="38" t="n">
        <v>1401570</v>
      </c>
      <c r="I185" s="38" t="n">
        <v>1479419</v>
      </c>
      <c r="J185" s="19">
        <f>(I185-H185)/1000</f>
        <v/>
      </c>
      <c r="K185" s="16" t="inlineStr">
        <is>
          <t>Yes</t>
        </is>
      </c>
    </row>
    <row r="186">
      <c r="A186" s="16" t="inlineStr">
        <is>
          <t>6 Jun</t>
        </is>
      </c>
      <c r="B186" s="16" t="inlineStr">
        <is>
          <t>37219</t>
        </is>
      </c>
      <c r="C186" s="16" t="n">
        <v>7441</v>
      </c>
      <c r="D186" s="16" t="n">
        <v>7423</v>
      </c>
      <c r="E186" s="16" t="n">
        <v>6134</v>
      </c>
      <c r="F186" s="38" t="n">
        <v>1094949</v>
      </c>
      <c r="G186" s="38" t="n">
        <v>1519029</v>
      </c>
      <c r="H186" s="38" t="n">
        <v>1401564</v>
      </c>
      <c r="I186" s="38" t="n">
        <v>1479411</v>
      </c>
      <c r="J186" s="19">
        <f>(I186-H186)/1000</f>
        <v/>
      </c>
      <c r="K186" s="16" t="inlineStr">
        <is>
          <t>Yes</t>
        </is>
      </c>
    </row>
    <row r="187">
      <c r="A187" s="16" t="inlineStr">
        <is>
          <t>6 Jun</t>
        </is>
      </c>
      <c r="B187" s="16" t="inlineStr">
        <is>
          <t>37424</t>
        </is>
      </c>
      <c r="C187" s="16" t="n">
        <v>4930</v>
      </c>
      <c r="D187" s="16" t="n">
        <v>4916</v>
      </c>
      <c r="E187" s="16" t="n">
        <v>2991</v>
      </c>
      <c r="F187" s="38" t="n">
        <v>1166447</v>
      </c>
      <c r="G187" s="38" t="n">
        <v>1518852</v>
      </c>
      <c r="H187" s="38" t="n">
        <v>1401555</v>
      </c>
      <c r="I187" s="38" t="n">
        <v>1479403</v>
      </c>
      <c r="J187" s="19">
        <f>(I187-H187)/1000</f>
        <v/>
      </c>
      <c r="K187" s="16" t="inlineStr">
        <is>
          <t>Yes</t>
        </is>
      </c>
    </row>
    <row r="188">
      <c r="A188" s="16" t="inlineStr">
        <is>
          <t>6 Jun</t>
        </is>
      </c>
      <c r="B188" s="16" t="inlineStr">
        <is>
          <t>30335</t>
        </is>
      </c>
      <c r="C188" s="16" t="n">
        <v>7201</v>
      </c>
      <c r="D188" s="16" t="n">
        <v>7179</v>
      </c>
      <c r="E188" s="16" t="n">
        <v>5274</v>
      </c>
      <c r="F188" s="38" t="n">
        <v>1084617</v>
      </c>
      <c r="G188" s="38" t="n">
        <v>1506879</v>
      </c>
      <c r="H188" s="38" t="n">
        <v>1401577</v>
      </c>
      <c r="I188" s="38" t="n">
        <v>1479422</v>
      </c>
      <c r="J188" s="19">
        <f>(I188-H188)/1000</f>
        <v/>
      </c>
      <c r="K188" s="16" t="inlineStr">
        <is>
          <t>Yes</t>
        </is>
      </c>
    </row>
    <row r="189">
      <c r="A189" s="16" t="inlineStr">
        <is>
          <t>6 Jun</t>
        </is>
      </c>
      <c r="B189" s="16" t="inlineStr">
        <is>
          <t>30722</t>
        </is>
      </c>
      <c r="C189" s="16" t="n">
        <v>3593</v>
      </c>
      <c r="D189" s="16" t="n">
        <v>3574</v>
      </c>
      <c r="E189" s="16" t="n">
        <v>2481</v>
      </c>
      <c r="F189" s="38" t="n">
        <v>1175683</v>
      </c>
      <c r="G189" s="38" t="n">
        <v>1503361</v>
      </c>
      <c r="H189" s="38" t="n">
        <v>1401567</v>
      </c>
      <c r="I189" s="38" t="n">
        <v>1479411</v>
      </c>
      <c r="J189" s="19">
        <f>(I189-H189)/1000</f>
        <v/>
      </c>
      <c r="K189" s="16" t="inlineStr">
        <is>
          <t>Yes</t>
        </is>
      </c>
    </row>
    <row r="190">
      <c r="A190" s="16" t="inlineStr">
        <is>
          <t>6 Jun</t>
        </is>
      </c>
      <c r="B190" s="16" t="inlineStr">
        <is>
          <t>37618</t>
        </is>
      </c>
      <c r="C190" s="16" t="n">
        <v>4359</v>
      </c>
      <c r="D190" s="16" t="n">
        <v>4359</v>
      </c>
      <c r="E190" s="16" t="n">
        <v>3970</v>
      </c>
      <c r="F190" s="38" t="n">
        <v>1399445</v>
      </c>
      <c r="G190" s="38" t="n">
        <v>1519058</v>
      </c>
      <c r="H190" s="38" t="n">
        <v>1401566</v>
      </c>
      <c r="I190" s="38" t="n">
        <v>1479408</v>
      </c>
      <c r="J190" s="19">
        <f>(I190-H190)/1000</f>
        <v/>
      </c>
      <c r="K190" s="16" t="inlineStr">
        <is>
          <t>Yes</t>
        </is>
      </c>
    </row>
    <row r="191">
      <c r="A191" s="16" t="inlineStr">
        <is>
          <t>6 Jun</t>
        </is>
      </c>
      <c r="B191" s="16" t="inlineStr">
        <is>
          <t>35047</t>
        </is>
      </c>
      <c r="C191" s="16" t="n">
        <v>2589</v>
      </c>
      <c r="D191" s="16" t="n">
        <v>2588</v>
      </c>
      <c r="E191" s="16" t="n">
        <v>2305</v>
      </c>
      <c r="F191" s="38" t="n">
        <v>1401440</v>
      </c>
      <c r="G191" s="38" t="n">
        <v>1518760</v>
      </c>
      <c r="H191" s="38" t="n">
        <v>1401560</v>
      </c>
      <c r="I191" s="38" t="n">
        <v>1479393</v>
      </c>
      <c r="J191" s="19">
        <f>(I191-H191)/1000</f>
        <v/>
      </c>
      <c r="K191" s="16" t="inlineStr">
        <is>
          <t>Yes</t>
        </is>
      </c>
    </row>
    <row r="192">
      <c r="A192" s="16" t="inlineStr">
        <is>
          <t>6 Jun</t>
        </is>
      </c>
      <c r="B192" s="16" t="inlineStr">
        <is>
          <t>37397</t>
        </is>
      </c>
      <c r="C192" s="16" t="n">
        <v>3506</v>
      </c>
      <c r="D192" s="16" t="n">
        <v>3500</v>
      </c>
      <c r="E192" s="16" t="n">
        <v>2509</v>
      </c>
      <c r="F192" s="38" t="n">
        <v>1199719</v>
      </c>
      <c r="G192" s="38" t="n">
        <v>1518314</v>
      </c>
      <c r="H192" s="38" t="n">
        <v>1401580</v>
      </c>
      <c r="I192" s="38" t="n">
        <v>1479409</v>
      </c>
      <c r="J192" s="19">
        <f>(I192-H192)/1000</f>
        <v/>
      </c>
      <c r="K192" s="16" t="inlineStr">
        <is>
          <t>Yes</t>
        </is>
      </c>
    </row>
    <row r="193">
      <c r="A193" s="16" t="inlineStr">
        <is>
          <t>6 Jun</t>
        </is>
      </c>
      <c r="B193" s="16" t="inlineStr">
        <is>
          <t>37513</t>
        </is>
      </c>
      <c r="C193" s="16" t="n">
        <v>2683</v>
      </c>
      <c r="D193" s="16" t="n">
        <v>2665</v>
      </c>
      <c r="E193" s="16" t="n">
        <v>2259</v>
      </c>
      <c r="F193" s="38" t="n">
        <v>1210302</v>
      </c>
      <c r="G193" s="38" t="n">
        <v>1507845</v>
      </c>
      <c r="H193" s="38" t="n">
        <v>1401588</v>
      </c>
      <c r="I193" s="38" t="n">
        <v>1479415</v>
      </c>
      <c r="J193" s="19">
        <f>(I193-H193)/1000</f>
        <v/>
      </c>
      <c r="K193" s="16" t="inlineStr">
        <is>
          <t>Yes</t>
        </is>
      </c>
    </row>
    <row r="194">
      <c r="A194" s="16" t="inlineStr">
        <is>
          <t>6 Jun</t>
        </is>
      </c>
      <c r="B194" s="16" t="inlineStr">
        <is>
          <t>39197</t>
        </is>
      </c>
      <c r="C194" s="16" t="n">
        <v>3267</v>
      </c>
      <c r="D194" s="16" t="n">
        <v>3266</v>
      </c>
      <c r="E194" s="16" t="n">
        <v>2915</v>
      </c>
      <c r="F194" s="38" t="n">
        <v>1401353</v>
      </c>
      <c r="G194" s="38" t="n">
        <v>1512548</v>
      </c>
      <c r="H194" s="38" t="n">
        <v>1401579</v>
      </c>
      <c r="I194" s="38" t="n">
        <v>1479410</v>
      </c>
      <c r="J194" s="19">
        <f>(I194-H194)/1000</f>
        <v/>
      </c>
      <c r="K194" s="16" t="inlineStr">
        <is>
          <t>Yes</t>
        </is>
      </c>
    </row>
    <row r="195">
      <c r="A195" s="16" t="inlineStr">
        <is>
          <t>6 Jun</t>
        </is>
      </c>
      <c r="B195" s="16" t="inlineStr">
        <is>
          <t>37793</t>
        </is>
      </c>
      <c r="C195" s="16" t="n">
        <v>9406</v>
      </c>
      <c r="D195" s="16" t="n">
        <v>9404</v>
      </c>
      <c r="E195" s="16" t="n">
        <v>5029</v>
      </c>
      <c r="F195" s="38" t="n">
        <v>1103624</v>
      </c>
      <c r="G195" s="38" t="n">
        <v>1519043</v>
      </c>
      <c r="H195" s="38" t="n">
        <v>1401582</v>
      </c>
      <c r="I195" s="38" t="n">
        <v>1479399</v>
      </c>
      <c r="J195" s="19">
        <f>(I195-H195)/1000</f>
        <v/>
      </c>
      <c r="K195" s="16" t="inlineStr">
        <is>
          <t>Yes</t>
        </is>
      </c>
    </row>
    <row r="196">
      <c r="A196" s="16" t="inlineStr">
        <is>
          <t>6 Jun</t>
        </is>
      </c>
      <c r="B196" s="16" t="inlineStr">
        <is>
          <t>30466</t>
        </is>
      </c>
      <c r="C196" s="16" t="n">
        <v>3773</v>
      </c>
      <c r="D196" s="16" t="n">
        <v>3753</v>
      </c>
      <c r="E196" s="16" t="n">
        <v>2244</v>
      </c>
      <c r="F196" s="38" t="n">
        <v>1170727</v>
      </c>
      <c r="G196" s="38" t="n">
        <v>1518557</v>
      </c>
      <c r="H196" s="38" t="n">
        <v>1401572</v>
      </c>
      <c r="I196" s="38" t="n">
        <v>1479380</v>
      </c>
      <c r="J196" s="19">
        <f>(I196-H196)/1000</f>
        <v/>
      </c>
      <c r="K196" s="16" t="inlineStr">
        <is>
          <t>Yes</t>
        </is>
      </c>
    </row>
    <row r="197">
      <c r="A197" s="16" t="inlineStr">
        <is>
          <t>6 Jun</t>
        </is>
      </c>
      <c r="B197" s="16" t="inlineStr">
        <is>
          <t>37629</t>
        </is>
      </c>
      <c r="C197" s="16" t="n">
        <v>1536</v>
      </c>
      <c r="D197" s="16" t="n">
        <v>1536</v>
      </c>
      <c r="E197" s="16" t="n">
        <v>1240</v>
      </c>
      <c r="F197" s="38" t="n">
        <v>1401470</v>
      </c>
      <c r="G197" s="38" t="n">
        <v>1497077</v>
      </c>
      <c r="H197" s="38" t="n">
        <v>1401587</v>
      </c>
      <c r="I197" s="38" t="n">
        <v>1479375</v>
      </c>
      <c r="J197" s="19">
        <f>(I197-H197)/1000</f>
        <v/>
      </c>
      <c r="K197" s="16" t="inlineStr">
        <is>
          <t>Yes</t>
        </is>
      </c>
    </row>
    <row r="198">
      <c r="A198" s="16" t="inlineStr">
        <is>
          <t>6 Jun</t>
        </is>
      </c>
      <c r="B198" s="16" t="inlineStr">
        <is>
          <t>39403</t>
        </is>
      </c>
      <c r="C198" s="16" t="n">
        <v>2328</v>
      </c>
      <c r="D198" s="16" t="n">
        <v>2327</v>
      </c>
      <c r="E198" s="16" t="n">
        <v>2056</v>
      </c>
      <c r="F198" s="38" t="n">
        <v>1401371</v>
      </c>
      <c r="G198" s="38" t="n">
        <v>1500692</v>
      </c>
      <c r="H198" s="38" t="n">
        <v>1401568</v>
      </c>
      <c r="I198" s="38" t="n">
        <v>1479345</v>
      </c>
      <c r="J198" s="19">
        <f>(I198-H198)/1000</f>
        <v/>
      </c>
      <c r="K198" s="16" t="inlineStr">
        <is>
          <t>Yes</t>
        </is>
      </c>
    </row>
    <row r="199">
      <c r="A199" s="16" t="inlineStr">
        <is>
          <t>6 Jun</t>
        </is>
      </c>
      <c r="B199" s="16" t="inlineStr">
        <is>
          <t>30339</t>
        </is>
      </c>
      <c r="C199" s="16" t="n">
        <v>2431</v>
      </c>
      <c r="D199" s="16" t="n">
        <v>2429</v>
      </c>
      <c r="E199" s="16" t="n">
        <v>2218</v>
      </c>
      <c r="F199" s="38" t="n">
        <v>1220854</v>
      </c>
      <c r="G199" s="38" t="n">
        <v>1493119</v>
      </c>
      <c r="H199" s="38" t="n">
        <v>1401680</v>
      </c>
      <c r="I199" s="38" t="n">
        <v>1479396</v>
      </c>
      <c r="J199" s="19">
        <f>(I199-H199)/1000</f>
        <v/>
      </c>
      <c r="K199" s="16" t="inlineStr">
        <is>
          <t>Yes</t>
        </is>
      </c>
    </row>
    <row r="200">
      <c r="A200" s="16" t="inlineStr">
        <is>
          <t>6 Jun</t>
        </is>
      </c>
      <c r="B200" s="16" t="inlineStr">
        <is>
          <t>37054</t>
        </is>
      </c>
      <c r="C200" s="16" t="n">
        <v>2508</v>
      </c>
      <c r="D200" s="16" t="n">
        <v>2506</v>
      </c>
      <c r="E200" s="16" t="n">
        <v>2318</v>
      </c>
      <c r="F200" s="38" t="n">
        <v>1401680</v>
      </c>
      <c r="G200" s="38" t="n">
        <v>1500724</v>
      </c>
      <c r="H200" s="38" t="n">
        <v>1401680</v>
      </c>
      <c r="I200" s="38" t="n">
        <v>1479393</v>
      </c>
      <c r="J200" s="19">
        <f>(I200-H200)/1000</f>
        <v/>
      </c>
      <c r="K200" s="16" t="inlineStr">
        <is>
          <t>Yes</t>
        </is>
      </c>
    </row>
    <row r="201">
      <c r="A201" s="16" t="inlineStr">
        <is>
          <t>6 Jun</t>
        </is>
      </c>
      <c r="B201" s="16" t="inlineStr">
        <is>
          <t>37552</t>
        </is>
      </c>
      <c r="C201" s="16" t="n">
        <v>2939</v>
      </c>
      <c r="D201" s="16" t="n">
        <v>2937</v>
      </c>
      <c r="E201" s="16" t="n">
        <v>2637</v>
      </c>
      <c r="F201" s="38" t="n">
        <v>1401680</v>
      </c>
      <c r="G201" s="38" t="n">
        <v>1496182</v>
      </c>
      <c r="H201" s="38" t="n">
        <v>1401680</v>
      </c>
      <c r="I201" s="38" t="n">
        <v>1479386</v>
      </c>
      <c r="J201" s="19">
        <f>(I201-H201)/1000</f>
        <v/>
      </c>
      <c r="K201" s="16" t="inlineStr">
        <is>
          <t>Yes</t>
        </is>
      </c>
    </row>
    <row r="202">
      <c r="A202" s="16" t="inlineStr">
        <is>
          <t>6 Jun</t>
        </is>
      </c>
      <c r="B202" s="16" t="inlineStr">
        <is>
          <t>30404</t>
        </is>
      </c>
      <c r="C202" s="16" t="n">
        <v>1908</v>
      </c>
      <c r="D202" s="16" t="n">
        <v>1901</v>
      </c>
      <c r="E202" s="16" t="n">
        <v>1579</v>
      </c>
      <c r="F202" s="38" t="n">
        <v>1401693</v>
      </c>
      <c r="G202" s="38" t="n">
        <v>1516238</v>
      </c>
      <c r="H202" s="38" t="n">
        <v>1401693</v>
      </c>
      <c r="I202" s="38" t="n">
        <v>1479398</v>
      </c>
      <c r="J202" s="19">
        <f>(I202-H202)/1000</f>
        <v/>
      </c>
      <c r="K202" s="16" t="inlineStr">
        <is>
          <t>Yes</t>
        </is>
      </c>
    </row>
    <row r="203">
      <c r="A203" s="16" t="inlineStr">
        <is>
          <t>6 Jun</t>
        </is>
      </c>
      <c r="B203" s="16" t="inlineStr">
        <is>
          <t>30463</t>
        </is>
      </c>
      <c r="C203" s="16" t="n">
        <v>2818</v>
      </c>
      <c r="D203" s="16" t="n">
        <v>2816</v>
      </c>
      <c r="E203" s="16" t="n">
        <v>2673</v>
      </c>
      <c r="F203" s="38" t="n">
        <v>1401698</v>
      </c>
      <c r="G203" s="38" t="n">
        <v>1500620</v>
      </c>
      <c r="H203" s="38" t="n">
        <v>1401698</v>
      </c>
      <c r="I203" s="38" t="n">
        <v>1479386</v>
      </c>
      <c r="J203" s="19">
        <f>(I203-H203)/1000</f>
        <v/>
      </c>
      <c r="K203" s="16" t="inlineStr">
        <is>
          <t>Yes</t>
        </is>
      </c>
    </row>
    <row r="204">
      <c r="A204" s="16" t="inlineStr">
        <is>
          <t>6 Jun</t>
        </is>
      </c>
      <c r="B204" s="16" t="inlineStr">
        <is>
          <t>33672</t>
        </is>
      </c>
      <c r="C204" s="16" t="n">
        <v>8571</v>
      </c>
      <c r="D204" s="16" t="n">
        <v>8567</v>
      </c>
      <c r="E204" s="16" t="n">
        <v>7087</v>
      </c>
      <c r="F204" s="38" t="n">
        <v>1196684</v>
      </c>
      <c r="G204" s="38" t="n">
        <v>1508555</v>
      </c>
      <c r="H204" s="38" t="n">
        <v>1401736</v>
      </c>
      <c r="I204" s="38" t="n">
        <v>1479422</v>
      </c>
      <c r="J204" s="19">
        <f>(I204-H204)/1000</f>
        <v/>
      </c>
      <c r="K204" s="16" t="inlineStr">
        <is>
          <t>Yes</t>
        </is>
      </c>
    </row>
    <row r="205">
      <c r="A205" s="16" t="inlineStr">
        <is>
          <t>6 Jun</t>
        </is>
      </c>
      <c r="B205" s="16" t="inlineStr">
        <is>
          <t>37073</t>
        </is>
      </c>
      <c r="C205" s="16" t="n">
        <v>2637</v>
      </c>
      <c r="D205" s="16" t="n">
        <v>2634</v>
      </c>
      <c r="E205" s="16" t="n">
        <v>2356</v>
      </c>
      <c r="F205" s="38" t="n">
        <v>1242239</v>
      </c>
      <c r="G205" s="38" t="n">
        <v>1500657</v>
      </c>
      <c r="H205" s="38" t="n">
        <v>1401711</v>
      </c>
      <c r="I205" s="38" t="n">
        <v>1479403</v>
      </c>
      <c r="J205" s="19">
        <f>(I205-H205)/1000</f>
        <v/>
      </c>
      <c r="K205" s="16" t="inlineStr">
        <is>
          <t>Yes</t>
        </is>
      </c>
    </row>
    <row r="206">
      <c r="A206" s="16" t="inlineStr">
        <is>
          <t>6 Jun</t>
        </is>
      </c>
      <c r="B206" s="16" t="inlineStr">
        <is>
          <t>30443</t>
        </is>
      </c>
      <c r="C206" s="16" t="n">
        <v>2645</v>
      </c>
      <c r="D206" s="16" t="n">
        <v>2643</v>
      </c>
      <c r="E206" s="16" t="n">
        <v>2369</v>
      </c>
      <c r="F206" s="38" t="n">
        <v>1260049</v>
      </c>
      <c r="G206" s="38" t="n">
        <v>1500931</v>
      </c>
      <c r="H206" s="38" t="n">
        <v>1401680</v>
      </c>
      <c r="I206" s="38" t="n">
        <v>1479346</v>
      </c>
      <c r="J206" s="19">
        <f>(I206-H206)/1000</f>
        <v/>
      </c>
      <c r="K206" s="16" t="inlineStr">
        <is>
          <t>Yes</t>
        </is>
      </c>
    </row>
    <row r="207">
      <c r="A207" s="16" t="inlineStr">
        <is>
          <t>6 Jun</t>
        </is>
      </c>
      <c r="B207" s="16" t="inlineStr">
        <is>
          <t>30572</t>
        </is>
      </c>
      <c r="C207" s="16" t="n">
        <v>3105</v>
      </c>
      <c r="D207" s="16" t="n">
        <v>2930</v>
      </c>
      <c r="E207" s="16" t="n">
        <v>2707</v>
      </c>
      <c r="F207" s="38" t="n">
        <v>1401778</v>
      </c>
      <c r="G207" s="38" t="n">
        <v>1518939</v>
      </c>
      <c r="H207" s="38" t="n">
        <v>1401778</v>
      </c>
      <c r="I207" s="38" t="n">
        <v>1479432</v>
      </c>
      <c r="J207" s="19">
        <f>(I207-H207)/1000</f>
        <v/>
      </c>
      <c r="K207" s="16" t="inlineStr">
        <is>
          <t>Yes</t>
        </is>
      </c>
    </row>
    <row r="208">
      <c r="A208" s="16" t="inlineStr">
        <is>
          <t>6 Jun</t>
        </is>
      </c>
      <c r="B208" s="16" t="inlineStr">
        <is>
          <t>39472</t>
        </is>
      </c>
      <c r="C208" s="16" t="n">
        <v>1700</v>
      </c>
      <c r="D208" s="16" t="n">
        <v>1700</v>
      </c>
      <c r="E208" s="16" t="n">
        <v>1666</v>
      </c>
      <c r="F208" s="38" t="n">
        <v>1401935</v>
      </c>
      <c r="G208" s="38" t="n">
        <v>1489947</v>
      </c>
      <c r="H208" s="38" t="n">
        <v>1401935</v>
      </c>
      <c r="I208" s="38" t="n">
        <v>1479292</v>
      </c>
      <c r="J208" s="19">
        <f>(I208-H208)/1000</f>
        <v/>
      </c>
      <c r="K208" s="16" t="inlineStr">
        <is>
          <t>Yes</t>
        </is>
      </c>
    </row>
    <row r="209">
      <c r="A209" s="16" t="inlineStr">
        <is>
          <t>6 Jun</t>
        </is>
      </c>
      <c r="B209" s="16" t="inlineStr">
        <is>
          <t>30748</t>
        </is>
      </c>
      <c r="C209" s="16" t="n">
        <v>59</v>
      </c>
      <c r="D209" s="16" t="n">
        <v>54</v>
      </c>
      <c r="E209" s="16" t="n">
        <v>27</v>
      </c>
      <c r="F209" s="38" t="n">
        <v>1168583</v>
      </c>
      <c r="G209" s="38" t="n">
        <v>1518543</v>
      </c>
      <c r="H209" s="38" t="n">
        <v>1405761</v>
      </c>
      <c r="I209" s="38" t="n">
        <v>1478060</v>
      </c>
      <c r="J209" s="19">
        <f>(I209-H209)/1000</f>
        <v/>
      </c>
      <c r="K209" s="16" t="inlineStr">
        <is>
          <t>Yes</t>
        </is>
      </c>
    </row>
    <row r="210">
      <c r="A210" s="16" t="inlineStr">
        <is>
          <t>6 Jun</t>
        </is>
      </c>
      <c r="B210" s="16" t="inlineStr">
        <is>
          <t>43821</t>
        </is>
      </c>
      <c r="C210" s="16" t="n">
        <v>1509</v>
      </c>
      <c r="D210" s="16" t="n">
        <v>1469</v>
      </c>
      <c r="E210" s="16" t="n">
        <v>1088</v>
      </c>
      <c r="F210" s="38" t="n">
        <v>1447263</v>
      </c>
      <c r="G210" s="38" t="n">
        <v>1508574</v>
      </c>
      <c r="H210" s="38" t="n">
        <v>1447263</v>
      </c>
      <c r="I210" s="38" t="n">
        <v>1479422</v>
      </c>
      <c r="J210" s="19">
        <f>(I210-H210)/1000</f>
        <v/>
      </c>
      <c r="K210" s="16" t="inlineStr">
        <is>
          <t>Yes</t>
        </is>
      </c>
    </row>
    <row r="211">
      <c r="A211" s="16" t="inlineStr">
        <is>
          <t>6 Jun</t>
        </is>
      </c>
      <c r="B211" s="16" t="inlineStr">
        <is>
          <t>37353</t>
        </is>
      </c>
      <c r="C211" s="16" t="n">
        <v>2475</v>
      </c>
      <c r="D211" s="16" t="n">
        <v>2455</v>
      </c>
      <c r="E211" s="16" t="n">
        <v>10</v>
      </c>
      <c r="F211" s="38" t="n">
        <v>1194701</v>
      </c>
      <c r="G211" s="38" t="n">
        <v>1420791</v>
      </c>
      <c r="H211" s="38" t="n">
        <v>1401589</v>
      </c>
      <c r="I211" s="38" t="n">
        <v>1420791</v>
      </c>
      <c r="J211" s="19">
        <f>(I211-H211)/1000</f>
        <v/>
      </c>
      <c r="K211" s="16" t="inlineStr">
        <is>
          <t>Yes</t>
        </is>
      </c>
    </row>
    <row r="212">
      <c r="A212" s="16" t="inlineStr">
        <is>
          <t>6 Jun</t>
        </is>
      </c>
      <c r="B212" s="16" t="inlineStr">
        <is>
          <t>39017</t>
        </is>
      </c>
      <c r="C212" s="16" t="n">
        <v>3121</v>
      </c>
      <c r="D212" s="16" t="n">
        <v>3098</v>
      </c>
      <c r="E212" s="16" t="n">
        <v>11</v>
      </c>
      <c r="F212" s="38" t="n">
        <v>1240527</v>
      </c>
      <c r="G212" s="38" t="n">
        <v>1420276</v>
      </c>
      <c r="H212" s="38" t="n">
        <v>1403505</v>
      </c>
      <c r="I212" s="38" t="n">
        <v>1420276</v>
      </c>
      <c r="J212" s="19">
        <f>(I212-H212)/1000</f>
        <v/>
      </c>
      <c r="K212" s="16" t="inlineStr">
        <is>
          <t>Yes</t>
        </is>
      </c>
    </row>
    <row r="213">
      <c r="A213" s="16" t="inlineStr">
        <is>
          <t>6 Jun</t>
        </is>
      </c>
      <c r="B213" s="16" t="inlineStr">
        <is>
          <t>37325</t>
        </is>
      </c>
      <c r="C213" s="16" t="n">
        <v>416</v>
      </c>
      <c r="D213" s="16" t="n">
        <v>416</v>
      </c>
      <c r="E213" s="16" t="n">
        <v>409</v>
      </c>
      <c r="F213" s="38" t="n">
        <v>1401331</v>
      </c>
      <c r="G213" s="38" t="n">
        <v>1417935</v>
      </c>
      <c r="H213" s="38" t="n">
        <v>1401558</v>
      </c>
      <c r="I213" s="38" t="n">
        <v>1417935</v>
      </c>
      <c r="J213" s="19">
        <f>(I213-H213)/1000</f>
        <v/>
      </c>
      <c r="K213" s="16" t="inlineStr">
        <is>
          <t>Yes</t>
        </is>
      </c>
    </row>
    <row r="214">
      <c r="A214" s="31" t="inlineStr">
        <is>
          <t>6 Jun</t>
        </is>
      </c>
      <c r="B214" s="31" t="inlineStr">
        <is>
          <t>30460</t>
        </is>
      </c>
      <c r="C214" s="31" t="n">
        <v>295</v>
      </c>
      <c r="D214" s="31" t="n">
        <v>295</v>
      </c>
      <c r="E214" s="31" t="n">
        <v>0</v>
      </c>
      <c r="F214" s="39" t="n">
        <v>1482392</v>
      </c>
      <c r="G214" s="39" t="n">
        <v>1500653</v>
      </c>
      <c r="H214" s="39" t="inlineStr">
        <is>
          <t>-</t>
        </is>
      </c>
      <c r="I214" s="39" t="inlineStr">
        <is>
          <t>-</t>
        </is>
      </c>
      <c r="J214" s="40" t="n">
        <v>0</v>
      </c>
      <c r="K214" s="31" t="inlineStr">
        <is>
          <t>No</t>
        </is>
      </c>
    </row>
    <row r="215">
      <c r="A215" s="31" t="inlineStr">
        <is>
          <t>6 Jun</t>
        </is>
      </c>
      <c r="B215" s="31" t="inlineStr">
        <is>
          <t>30739</t>
        </is>
      </c>
      <c r="C215" s="31" t="n">
        <v>816</v>
      </c>
      <c r="D215" s="31" t="n">
        <v>810</v>
      </c>
      <c r="E215" s="31" t="n">
        <v>0</v>
      </c>
      <c r="F215" s="39" t="n">
        <v>1084700</v>
      </c>
      <c r="G215" s="39" t="n">
        <v>1242968</v>
      </c>
      <c r="H215" s="39" t="inlineStr">
        <is>
          <t>-</t>
        </is>
      </c>
      <c r="I215" s="39" t="inlineStr">
        <is>
          <t>-</t>
        </is>
      </c>
      <c r="J215" s="40" t="n">
        <v>0</v>
      </c>
      <c r="K215" s="31" t="inlineStr">
        <is>
          <t>No</t>
        </is>
      </c>
    </row>
    <row r="216">
      <c r="A216" s="31" t="inlineStr">
        <is>
          <t>6 Jun</t>
        </is>
      </c>
      <c r="B216" s="31" t="inlineStr">
        <is>
          <t>30752</t>
        </is>
      </c>
      <c r="C216" s="31" t="n">
        <v>80</v>
      </c>
      <c r="D216" s="31" t="n">
        <v>80</v>
      </c>
      <c r="E216" s="31" t="n">
        <v>0</v>
      </c>
      <c r="F216" s="39" t="n">
        <v>1082302</v>
      </c>
      <c r="G216" s="39" t="n">
        <v>1168288</v>
      </c>
      <c r="H216" s="39" t="inlineStr">
        <is>
          <t>-</t>
        </is>
      </c>
      <c r="I216" s="39" t="inlineStr">
        <is>
          <t>-</t>
        </is>
      </c>
      <c r="J216" s="40" t="n">
        <v>0</v>
      </c>
      <c r="K216" s="31" t="inlineStr">
        <is>
          <t>No</t>
        </is>
      </c>
    </row>
    <row r="217">
      <c r="A217" s="31" t="inlineStr">
        <is>
          <t>6 Jun</t>
        </is>
      </c>
      <c r="B217" s="31" t="inlineStr">
        <is>
          <t>37257</t>
        </is>
      </c>
      <c r="C217" s="31" t="n">
        <v>461</v>
      </c>
      <c r="D217" s="31" t="n">
        <v>461</v>
      </c>
      <c r="E217" s="31" t="n">
        <v>0</v>
      </c>
      <c r="F217" s="39" t="n">
        <v>1110708</v>
      </c>
      <c r="G217" s="39" t="n">
        <v>1148945</v>
      </c>
      <c r="H217" s="39" t="inlineStr">
        <is>
          <t>-</t>
        </is>
      </c>
      <c r="I217" s="39" t="inlineStr">
        <is>
          <t>-</t>
        </is>
      </c>
      <c r="J217" s="40" t="n">
        <v>0</v>
      </c>
      <c r="K217" s="31" t="inlineStr">
        <is>
          <t>No</t>
        </is>
      </c>
    </row>
    <row r="218">
      <c r="A218" s="31" t="inlineStr">
        <is>
          <t>6 Jun</t>
        </is>
      </c>
      <c r="B218" s="31" t="inlineStr">
        <is>
          <t>37356</t>
        </is>
      </c>
      <c r="C218" s="31" t="n">
        <v>1</v>
      </c>
      <c r="D218" s="31" t="n">
        <v>1</v>
      </c>
      <c r="E218" s="31" t="n">
        <v>0</v>
      </c>
      <c r="F218" s="39" t="n">
        <v>1255727</v>
      </c>
      <c r="G218" s="39" t="n">
        <v>1255727</v>
      </c>
      <c r="H218" s="39" t="inlineStr">
        <is>
          <t>-</t>
        </is>
      </c>
      <c r="I218" s="39" t="inlineStr">
        <is>
          <t>-</t>
        </is>
      </c>
      <c r="J218" s="40" t="n">
        <v>0</v>
      </c>
      <c r="K218" s="31" t="inlineStr">
        <is>
          <t>No</t>
        </is>
      </c>
    </row>
    <row r="219">
      <c r="A219" s="31" t="inlineStr">
        <is>
          <t>6 Jun</t>
        </is>
      </c>
      <c r="B219" s="31" t="inlineStr">
        <is>
          <t>37834</t>
        </is>
      </c>
      <c r="C219" s="31" t="n">
        <v>1388</v>
      </c>
      <c r="D219" s="31" t="n">
        <v>1367</v>
      </c>
      <c r="E219" s="31" t="n">
        <v>0</v>
      </c>
      <c r="F219" s="39" t="n">
        <v>1084984</v>
      </c>
      <c r="G219" s="39" t="n">
        <v>1242984</v>
      </c>
      <c r="H219" s="39" t="inlineStr">
        <is>
          <t>-</t>
        </is>
      </c>
      <c r="I219" s="39" t="inlineStr">
        <is>
          <t>-</t>
        </is>
      </c>
      <c r="J219" s="40" t="n">
        <v>0</v>
      </c>
      <c r="K219" s="31" t="inlineStr">
        <is>
          <t>No</t>
        </is>
      </c>
    </row>
    <row r="220">
      <c r="A220" s="31" t="inlineStr">
        <is>
          <t>6 Jun</t>
        </is>
      </c>
      <c r="B220" s="31" t="inlineStr">
        <is>
          <t>39262</t>
        </is>
      </c>
      <c r="C220" s="31" t="n">
        <v>1</v>
      </c>
      <c r="D220" s="31" t="n">
        <v>1</v>
      </c>
      <c r="E220" s="31" t="n">
        <v>0</v>
      </c>
      <c r="F220" s="39" t="n">
        <v>1385986</v>
      </c>
      <c r="G220" s="39" t="n">
        <v>1385986</v>
      </c>
      <c r="H220" s="39" t="inlineStr">
        <is>
          <t>-</t>
        </is>
      </c>
      <c r="I220" s="39" t="inlineStr">
        <is>
          <t>-</t>
        </is>
      </c>
      <c r="J220" s="40" t="n">
        <v>0</v>
      </c>
      <c r="K220" s="31" t="inlineStr">
        <is>
          <t>No</t>
        </is>
      </c>
    </row>
    <row r="221">
      <c r="A221" s="16" t="inlineStr">
        <is>
          <t>7 Jun</t>
        </is>
      </c>
      <c r="B221" s="16" t="inlineStr">
        <is>
          <t>30307</t>
        </is>
      </c>
      <c r="C221" s="16" t="n">
        <v>7080</v>
      </c>
      <c r="D221" s="16" t="n">
        <v>6938</v>
      </c>
      <c r="E221" s="16" t="n">
        <v>4971</v>
      </c>
      <c r="F221" s="38" t="n">
        <v>1197486</v>
      </c>
      <c r="G221" s="38" t="n">
        <v>1528850</v>
      </c>
      <c r="H221" s="38" t="n">
        <v>1401557</v>
      </c>
      <c r="I221" s="38" t="n">
        <v>1479431</v>
      </c>
      <c r="J221" s="19">
        <f>(I221-H221)/1000</f>
        <v/>
      </c>
      <c r="K221" s="16" t="inlineStr">
        <is>
          <t>Yes</t>
        </is>
      </c>
    </row>
    <row r="222">
      <c r="A222" s="16" t="inlineStr">
        <is>
          <t>7 Jun</t>
        </is>
      </c>
      <c r="B222" s="16" t="inlineStr">
        <is>
          <t>30006</t>
        </is>
      </c>
      <c r="C222" s="16" t="n">
        <v>5002</v>
      </c>
      <c r="D222" s="16" t="n">
        <v>5002</v>
      </c>
      <c r="E222" s="16" t="n">
        <v>4436</v>
      </c>
      <c r="F222" s="38" t="n">
        <v>1401571</v>
      </c>
      <c r="G222" s="38" t="n">
        <v>1516073</v>
      </c>
      <c r="H222" s="38" t="n">
        <v>1401571</v>
      </c>
      <c r="I222" s="38" t="n">
        <v>1479431</v>
      </c>
      <c r="J222" s="19">
        <f>(I222-H222)/1000</f>
        <v/>
      </c>
      <c r="K222" s="16" t="inlineStr">
        <is>
          <t>Yes</t>
        </is>
      </c>
    </row>
    <row r="223">
      <c r="A223" s="16" t="inlineStr">
        <is>
          <t>7 Jun</t>
        </is>
      </c>
      <c r="B223" s="16" t="inlineStr">
        <is>
          <t>30460</t>
        </is>
      </c>
      <c r="C223" s="16" t="n">
        <v>3972</v>
      </c>
      <c r="D223" s="16" t="n">
        <v>3951</v>
      </c>
      <c r="E223" s="16" t="n">
        <v>2356</v>
      </c>
      <c r="F223" s="38" t="n">
        <v>1129669</v>
      </c>
      <c r="G223" s="38" t="n">
        <v>1482361</v>
      </c>
      <c r="H223" s="38" t="n">
        <v>1401557</v>
      </c>
      <c r="I223" s="38" t="n">
        <v>1479413</v>
      </c>
      <c r="J223" s="19">
        <f>(I223-H223)/1000</f>
        <v/>
      </c>
      <c r="K223" s="16" t="inlineStr">
        <is>
          <t>Yes</t>
        </is>
      </c>
    </row>
    <row r="224">
      <c r="A224" s="16" t="inlineStr">
        <is>
          <t>7 Jun</t>
        </is>
      </c>
      <c r="B224" s="16" t="inlineStr">
        <is>
          <t>37917</t>
        </is>
      </c>
      <c r="C224" s="16" t="n">
        <v>5426</v>
      </c>
      <c r="D224" s="16" t="n">
        <v>5425</v>
      </c>
      <c r="E224" s="16" t="n">
        <v>4845</v>
      </c>
      <c r="F224" s="38" t="n">
        <v>1401320</v>
      </c>
      <c r="G224" s="38" t="n">
        <v>1512513</v>
      </c>
      <c r="H224" s="38" t="n">
        <v>1401569</v>
      </c>
      <c r="I224" s="38" t="n">
        <v>1479431</v>
      </c>
      <c r="J224" s="19">
        <f>(I224-H224)/1000</f>
        <v/>
      </c>
      <c r="K224" s="16" t="inlineStr">
        <is>
          <t>Yes</t>
        </is>
      </c>
    </row>
    <row r="225">
      <c r="A225" s="16" t="inlineStr">
        <is>
          <t>7 Jun</t>
        </is>
      </c>
      <c r="B225" s="16" t="inlineStr">
        <is>
          <t>39217</t>
        </is>
      </c>
      <c r="C225" s="16" t="n">
        <v>6210</v>
      </c>
      <c r="D225" s="16" t="n">
        <v>6207</v>
      </c>
      <c r="E225" s="16" t="n">
        <v>5427</v>
      </c>
      <c r="F225" s="38" t="n">
        <v>1246321</v>
      </c>
      <c r="G225" s="38" t="n">
        <v>1518571</v>
      </c>
      <c r="H225" s="38" t="n">
        <v>1401560</v>
      </c>
      <c r="I225" s="38" t="n">
        <v>1479415</v>
      </c>
      <c r="J225" s="19">
        <f>(I225-H225)/1000</f>
        <v/>
      </c>
      <c r="K225" s="16" t="inlineStr">
        <is>
          <t>Yes</t>
        </is>
      </c>
    </row>
    <row r="226">
      <c r="A226" s="16" t="inlineStr">
        <is>
          <t>7 Jun</t>
        </is>
      </c>
      <c r="B226" s="16" t="inlineStr">
        <is>
          <t>39336</t>
        </is>
      </c>
      <c r="C226" s="16" t="n">
        <v>5553</v>
      </c>
      <c r="D226" s="16" t="n">
        <v>5553</v>
      </c>
      <c r="E226" s="16" t="n">
        <v>4952</v>
      </c>
      <c r="F226" s="38" t="n">
        <v>1401320</v>
      </c>
      <c r="G226" s="38" t="n">
        <v>1508660</v>
      </c>
      <c r="H226" s="38" t="n">
        <v>1401572</v>
      </c>
      <c r="I226" s="38" t="n">
        <v>1479434</v>
      </c>
      <c r="J226" s="19">
        <f>(I226-H226)/1000</f>
        <v/>
      </c>
      <c r="K226" s="16" t="inlineStr">
        <is>
          <t>Yes</t>
        </is>
      </c>
    </row>
    <row r="227">
      <c r="A227" s="16" t="inlineStr">
        <is>
          <t>7 Jun</t>
        </is>
      </c>
      <c r="B227" s="16" t="inlineStr">
        <is>
          <t>30463</t>
        </is>
      </c>
      <c r="C227" s="16" t="n">
        <v>2988</v>
      </c>
      <c r="D227" s="16" t="n">
        <v>2981</v>
      </c>
      <c r="E227" s="16" t="n">
        <v>2430</v>
      </c>
      <c r="F227" s="38" t="n">
        <v>1401365</v>
      </c>
      <c r="G227" s="38" t="n">
        <v>1517060</v>
      </c>
      <c r="H227" s="38" t="n">
        <v>1401568</v>
      </c>
      <c r="I227" s="38" t="n">
        <v>1479414</v>
      </c>
      <c r="J227" s="19">
        <f>(I227-H227)/1000</f>
        <v/>
      </c>
      <c r="K227" s="16" t="inlineStr">
        <is>
          <t>Yes</t>
        </is>
      </c>
    </row>
    <row r="228">
      <c r="A228" s="16" t="inlineStr">
        <is>
          <t>7 Jun</t>
        </is>
      </c>
      <c r="B228" s="16" t="inlineStr">
        <is>
          <t>30572</t>
        </is>
      </c>
      <c r="C228" s="16" t="n">
        <v>4893</v>
      </c>
      <c r="D228" s="16" t="n">
        <v>4879</v>
      </c>
      <c r="E228" s="16" t="n">
        <v>2423</v>
      </c>
      <c r="F228" s="38" t="n">
        <v>1127130</v>
      </c>
      <c r="G228" s="38" t="n">
        <v>1512401</v>
      </c>
      <c r="H228" s="38" t="n">
        <v>1401560</v>
      </c>
      <c r="I228" s="38" t="n">
        <v>1479399</v>
      </c>
      <c r="J228" s="19">
        <f>(I228-H228)/1000</f>
        <v/>
      </c>
      <c r="K228" s="16" t="inlineStr">
        <is>
          <t>Yes</t>
        </is>
      </c>
    </row>
    <row r="229">
      <c r="A229" s="16" t="inlineStr">
        <is>
          <t>7 Jun</t>
        </is>
      </c>
      <c r="B229" s="16" t="inlineStr">
        <is>
          <t>37131</t>
        </is>
      </c>
      <c r="C229" s="16" t="n">
        <v>3921</v>
      </c>
      <c r="D229" s="16" t="n">
        <v>3920</v>
      </c>
      <c r="E229" s="16" t="n">
        <v>3031</v>
      </c>
      <c r="F229" s="38" t="n">
        <v>1175644</v>
      </c>
      <c r="G229" s="38" t="n">
        <v>1508539</v>
      </c>
      <c r="H229" s="38" t="n">
        <v>1401576</v>
      </c>
      <c r="I229" s="38" t="n">
        <v>1479421</v>
      </c>
      <c r="J229" s="19">
        <f>(I229-H229)/1000</f>
        <v/>
      </c>
      <c r="K229" s="16" t="inlineStr">
        <is>
          <t>Yes</t>
        </is>
      </c>
    </row>
    <row r="230">
      <c r="A230" s="16" t="inlineStr">
        <is>
          <t>7 Jun</t>
        </is>
      </c>
      <c r="B230" s="16" t="inlineStr">
        <is>
          <t>30377</t>
        </is>
      </c>
      <c r="C230" s="16" t="n">
        <v>3199</v>
      </c>
      <c r="D230" s="16" t="n">
        <v>3187</v>
      </c>
      <c r="E230" s="16" t="n">
        <v>2757</v>
      </c>
      <c r="F230" s="38" t="n">
        <v>1401536</v>
      </c>
      <c r="G230" s="38" t="n">
        <v>1518710</v>
      </c>
      <c r="H230" s="38" t="n">
        <v>1401563</v>
      </c>
      <c r="I230" s="38" t="n">
        <v>1479390</v>
      </c>
      <c r="J230" s="19">
        <f>(I230-H230)/1000</f>
        <v/>
      </c>
      <c r="K230" s="16" t="inlineStr">
        <is>
          <t>Yes</t>
        </is>
      </c>
    </row>
    <row r="231">
      <c r="A231" s="16" t="inlineStr">
        <is>
          <t>7 Jun</t>
        </is>
      </c>
      <c r="B231" s="16" t="inlineStr">
        <is>
          <t>30395</t>
        </is>
      </c>
      <c r="C231" s="16" t="n">
        <v>1530</v>
      </c>
      <c r="D231" s="16" t="n">
        <v>1522</v>
      </c>
      <c r="E231" s="16" t="n">
        <v>1208</v>
      </c>
      <c r="F231" s="38" t="n">
        <v>1205477</v>
      </c>
      <c r="G231" s="38" t="n">
        <v>1497473</v>
      </c>
      <c r="H231" s="38" t="n">
        <v>1401578</v>
      </c>
      <c r="I231" s="38" t="n">
        <v>1479410</v>
      </c>
      <c r="J231" s="19">
        <f>(I231-H231)/1000</f>
        <v/>
      </c>
      <c r="K231" s="16" t="inlineStr">
        <is>
          <t>Yes</t>
        </is>
      </c>
    </row>
    <row r="232">
      <c r="A232" s="16" t="inlineStr">
        <is>
          <t>7 Jun</t>
        </is>
      </c>
      <c r="B232" s="16" t="inlineStr">
        <is>
          <t>30542</t>
        </is>
      </c>
      <c r="C232" s="16" t="n">
        <v>2429</v>
      </c>
      <c r="D232" s="16" t="n">
        <v>2425</v>
      </c>
      <c r="E232" s="16" t="n">
        <v>2216</v>
      </c>
      <c r="F232" s="38" t="n">
        <v>1401483</v>
      </c>
      <c r="G232" s="38" t="n">
        <v>1493547</v>
      </c>
      <c r="H232" s="38" t="n">
        <v>1401582</v>
      </c>
      <c r="I232" s="38" t="n">
        <v>1479409</v>
      </c>
      <c r="J232" s="19">
        <f>(I232-H232)/1000</f>
        <v/>
      </c>
      <c r="K232" s="16" t="inlineStr">
        <is>
          <t>Yes</t>
        </is>
      </c>
    </row>
    <row r="233">
      <c r="A233" s="16" t="inlineStr">
        <is>
          <t>7 Jun</t>
        </is>
      </c>
      <c r="B233" s="16" t="inlineStr">
        <is>
          <t>37628</t>
        </is>
      </c>
      <c r="C233" s="16" t="n">
        <v>1488</v>
      </c>
      <c r="D233" s="16" t="n">
        <v>1488</v>
      </c>
      <c r="E233" s="16" t="n">
        <v>1260</v>
      </c>
      <c r="F233" s="38" t="n">
        <v>1401542</v>
      </c>
      <c r="G233" s="38" t="n">
        <v>1494535</v>
      </c>
      <c r="H233" s="38" t="n">
        <v>1401596</v>
      </c>
      <c r="I233" s="38" t="n">
        <v>1479421</v>
      </c>
      <c r="J233" s="19">
        <f>(I233-H233)/1000</f>
        <v/>
      </c>
      <c r="K233" s="16" t="inlineStr">
        <is>
          <t>Yes</t>
        </is>
      </c>
    </row>
    <row r="234">
      <c r="A234" s="16" t="inlineStr">
        <is>
          <t>7 Jun</t>
        </is>
      </c>
      <c r="B234" s="16" t="inlineStr">
        <is>
          <t>30488</t>
        </is>
      </c>
      <c r="C234" s="16" t="n">
        <v>8437</v>
      </c>
      <c r="D234" s="16" t="n">
        <v>8419</v>
      </c>
      <c r="E234" s="16" t="n">
        <v>5580</v>
      </c>
      <c r="F234" s="38" t="n">
        <v>1132650</v>
      </c>
      <c r="G234" s="38" t="n">
        <v>1515978</v>
      </c>
      <c r="H234" s="38" t="n">
        <v>1401568</v>
      </c>
      <c r="I234" s="38" t="n">
        <v>1479391</v>
      </c>
      <c r="J234" s="19">
        <f>(I234-H234)/1000</f>
        <v/>
      </c>
      <c r="K234" s="16" t="inlineStr">
        <is>
          <t>Yes</t>
        </is>
      </c>
    </row>
    <row r="235">
      <c r="A235" s="16" t="inlineStr">
        <is>
          <t>7 Jun</t>
        </is>
      </c>
      <c r="B235" s="16" t="inlineStr">
        <is>
          <t>37514</t>
        </is>
      </c>
      <c r="C235" s="16" t="n">
        <v>2915</v>
      </c>
      <c r="D235" s="16" t="n">
        <v>2914</v>
      </c>
      <c r="E235" s="16" t="n">
        <v>2445</v>
      </c>
      <c r="F235" s="38" t="n">
        <v>1401340</v>
      </c>
      <c r="G235" s="38" t="n">
        <v>1518047</v>
      </c>
      <c r="H235" s="38" t="n">
        <v>1401573</v>
      </c>
      <c r="I235" s="38" t="n">
        <v>1479395</v>
      </c>
      <c r="J235" s="19">
        <f>(I235-H235)/1000</f>
        <v/>
      </c>
      <c r="K235" s="16" t="inlineStr">
        <is>
          <t>Yes</t>
        </is>
      </c>
    </row>
    <row r="236">
      <c r="A236" s="16" t="inlineStr">
        <is>
          <t>7 Jun</t>
        </is>
      </c>
      <c r="B236" s="16" t="inlineStr">
        <is>
          <t>30352</t>
        </is>
      </c>
      <c r="C236" s="16" t="n">
        <v>3751</v>
      </c>
      <c r="D236" s="16" t="n">
        <v>3749</v>
      </c>
      <c r="E236" s="16" t="n">
        <v>3220</v>
      </c>
      <c r="F236" s="38" t="n">
        <v>1401691</v>
      </c>
      <c r="G236" s="38" t="n">
        <v>1490472</v>
      </c>
      <c r="H236" s="38" t="n">
        <v>1401691</v>
      </c>
      <c r="I236" s="38" t="n">
        <v>1479430</v>
      </c>
      <c r="J236" s="19">
        <f>(I236-H236)/1000</f>
        <v/>
      </c>
      <c r="K236" s="16" t="inlineStr">
        <is>
          <t>Yes</t>
        </is>
      </c>
    </row>
    <row r="237">
      <c r="A237" s="16" t="inlineStr">
        <is>
          <t>7 Jun</t>
        </is>
      </c>
      <c r="B237" s="16" t="inlineStr">
        <is>
          <t>37356</t>
        </is>
      </c>
      <c r="C237" s="16" t="n">
        <v>4165</v>
      </c>
      <c r="D237" s="16" t="n">
        <v>4163</v>
      </c>
      <c r="E237" s="16" t="n">
        <v>3040</v>
      </c>
      <c r="F237" s="38" t="n">
        <v>1272658</v>
      </c>
      <c r="G237" s="38" t="n">
        <v>1518671</v>
      </c>
      <c r="H237" s="38" t="n">
        <v>1401699</v>
      </c>
      <c r="I237" s="38" t="n">
        <v>1479428</v>
      </c>
      <c r="J237" s="19">
        <f>(I237-H237)/1000</f>
        <v/>
      </c>
      <c r="K237" s="16" t="inlineStr">
        <is>
          <t>Yes</t>
        </is>
      </c>
    </row>
    <row r="238">
      <c r="A238" s="16" t="inlineStr">
        <is>
          <t>7 Jun</t>
        </is>
      </c>
      <c r="B238" s="16" t="inlineStr">
        <is>
          <t>30466</t>
        </is>
      </c>
      <c r="C238" s="16" t="n">
        <v>3922</v>
      </c>
      <c r="D238" s="16" t="n">
        <v>3916</v>
      </c>
      <c r="E238" s="16" t="n">
        <v>2152</v>
      </c>
      <c r="F238" s="38" t="n">
        <v>1152262</v>
      </c>
      <c r="G238" s="38" t="n">
        <v>1500761</v>
      </c>
      <c r="H238" s="38" t="n">
        <v>1401680</v>
      </c>
      <c r="I238" s="38" t="n">
        <v>1479404</v>
      </c>
      <c r="J238" s="19">
        <f>(I238-H238)/1000</f>
        <v/>
      </c>
      <c r="K238" s="16" t="inlineStr">
        <is>
          <t>Yes</t>
        </is>
      </c>
    </row>
    <row r="239">
      <c r="A239" s="16" t="inlineStr">
        <is>
          <t>7 Jun</t>
        </is>
      </c>
      <c r="B239" s="16" t="inlineStr">
        <is>
          <t>39329</t>
        </is>
      </c>
      <c r="C239" s="16" t="n">
        <v>2884</v>
      </c>
      <c r="D239" s="16" t="n">
        <v>2882</v>
      </c>
      <c r="E239" s="16" t="n">
        <v>2590</v>
      </c>
      <c r="F239" s="38" t="n">
        <v>1401699</v>
      </c>
      <c r="G239" s="38" t="n">
        <v>1500731</v>
      </c>
      <c r="H239" s="38" t="n">
        <v>1401699</v>
      </c>
      <c r="I239" s="38" t="n">
        <v>1479418</v>
      </c>
      <c r="J239" s="19">
        <f>(I239-H239)/1000</f>
        <v/>
      </c>
      <c r="K239" s="16" t="inlineStr">
        <is>
          <t>Yes</t>
        </is>
      </c>
    </row>
    <row r="240">
      <c r="A240" s="16" t="inlineStr">
        <is>
          <t>7 Jun</t>
        </is>
      </c>
      <c r="B240" s="16" t="inlineStr">
        <is>
          <t>30793</t>
        </is>
      </c>
      <c r="C240" s="16" t="n">
        <v>2926</v>
      </c>
      <c r="D240" s="16" t="n">
        <v>2925</v>
      </c>
      <c r="E240" s="16" t="n">
        <v>2706</v>
      </c>
      <c r="F240" s="38" t="n">
        <v>1401728</v>
      </c>
      <c r="G240" s="38" t="n">
        <v>1496624</v>
      </c>
      <c r="H240" s="38" t="n">
        <v>1401728</v>
      </c>
      <c r="I240" s="38" t="n">
        <v>1479429</v>
      </c>
      <c r="J240" s="19">
        <f>(I240-H240)/1000</f>
        <v/>
      </c>
      <c r="K240" s="16" t="inlineStr">
        <is>
          <t>Yes</t>
        </is>
      </c>
    </row>
    <row r="241">
      <c r="A241" s="16" t="inlineStr">
        <is>
          <t>7 Jun</t>
        </is>
      </c>
      <c r="B241" s="16" t="inlineStr">
        <is>
          <t>37012</t>
        </is>
      </c>
      <c r="C241" s="16" t="n">
        <v>1526</v>
      </c>
      <c r="D241" s="16" t="n">
        <v>1525</v>
      </c>
      <c r="E241" s="16" t="n">
        <v>1419</v>
      </c>
      <c r="F241" s="38" t="n">
        <v>1401727</v>
      </c>
      <c r="G241" s="38" t="n">
        <v>1493391</v>
      </c>
      <c r="H241" s="38" t="n">
        <v>1401727</v>
      </c>
      <c r="I241" s="38" t="n">
        <v>1479426</v>
      </c>
      <c r="J241" s="19">
        <f>(I241-H241)/1000</f>
        <v/>
      </c>
      <c r="K241" s="16" t="inlineStr">
        <is>
          <t>Yes</t>
        </is>
      </c>
    </row>
    <row r="242">
      <c r="A242" s="16" t="inlineStr">
        <is>
          <t>7 Jun</t>
        </is>
      </c>
      <c r="B242" s="16" t="inlineStr">
        <is>
          <t>37954</t>
        </is>
      </c>
      <c r="C242" s="16" t="n">
        <v>2959</v>
      </c>
      <c r="D242" s="16" t="n">
        <v>2957</v>
      </c>
      <c r="E242" s="16" t="n">
        <v>2347</v>
      </c>
      <c r="F242" s="38" t="n">
        <v>1265778</v>
      </c>
      <c r="G242" s="38" t="n">
        <v>1516069</v>
      </c>
      <c r="H242" s="38" t="n">
        <v>1401732</v>
      </c>
      <c r="I242" s="38" t="n">
        <v>1479428</v>
      </c>
      <c r="J242" s="19">
        <f>(I242-H242)/1000</f>
        <v/>
      </c>
      <c r="K242" s="16" t="inlineStr">
        <is>
          <t>Yes</t>
        </is>
      </c>
    </row>
    <row r="243">
      <c r="A243" s="16" t="inlineStr">
        <is>
          <t>7 Jun</t>
        </is>
      </c>
      <c r="B243" s="16" t="inlineStr">
        <is>
          <t>30739</t>
        </is>
      </c>
      <c r="C243" s="16" t="n">
        <v>2517</v>
      </c>
      <c r="D243" s="16" t="n">
        <v>2515</v>
      </c>
      <c r="E243" s="16" t="n">
        <v>1257</v>
      </c>
      <c r="F243" s="38" t="n">
        <v>1128106</v>
      </c>
      <c r="G243" s="38" t="n">
        <v>1500389</v>
      </c>
      <c r="H243" s="38" t="n">
        <v>1401760</v>
      </c>
      <c r="I243" s="38" t="n">
        <v>1479428</v>
      </c>
      <c r="J243" s="19">
        <f>(I243-H243)/1000</f>
        <v/>
      </c>
      <c r="K243" s="16" t="inlineStr">
        <is>
          <t>Yes</t>
        </is>
      </c>
    </row>
    <row r="244">
      <c r="A244" s="16" t="inlineStr">
        <is>
          <t>7 Jun</t>
        </is>
      </c>
      <c r="B244" s="16" t="inlineStr">
        <is>
          <t>37420</t>
        </is>
      </c>
      <c r="C244" s="16" t="n">
        <v>2577</v>
      </c>
      <c r="D244" s="16" t="n">
        <v>2577</v>
      </c>
      <c r="E244" s="16" t="n">
        <v>2332</v>
      </c>
      <c r="F244" s="38" t="n">
        <v>1401738</v>
      </c>
      <c r="G244" s="38" t="n">
        <v>1508631</v>
      </c>
      <c r="H244" s="38" t="n">
        <v>1401738</v>
      </c>
      <c r="I244" s="38" t="n">
        <v>1479395</v>
      </c>
      <c r="J244" s="19">
        <f>(I244-H244)/1000</f>
        <v/>
      </c>
      <c r="K244" s="16" t="inlineStr">
        <is>
          <t>Yes</t>
        </is>
      </c>
    </row>
    <row r="245">
      <c r="A245" s="16" t="inlineStr">
        <is>
          <t>7 Jun</t>
        </is>
      </c>
      <c r="B245" s="16" t="inlineStr">
        <is>
          <t>39243</t>
        </is>
      </c>
      <c r="C245" s="16" t="n">
        <v>3396</v>
      </c>
      <c r="D245" s="16" t="n">
        <v>3395</v>
      </c>
      <c r="E245" s="16" t="n">
        <v>2303</v>
      </c>
      <c r="F245" s="38" t="n">
        <v>1197199</v>
      </c>
      <c r="G245" s="38" t="n">
        <v>1508653</v>
      </c>
      <c r="H245" s="38" t="n">
        <v>1401755</v>
      </c>
      <c r="I245" s="38" t="n">
        <v>1479402</v>
      </c>
      <c r="J245" s="19">
        <f>(I245-H245)/1000</f>
        <v/>
      </c>
      <c r="K245" s="16" t="inlineStr">
        <is>
          <t>Yes</t>
        </is>
      </c>
    </row>
    <row r="246">
      <c r="A246" s="16" t="inlineStr">
        <is>
          <t>7 Jun</t>
        </is>
      </c>
      <c r="B246" s="16" t="inlineStr">
        <is>
          <t>37286</t>
        </is>
      </c>
      <c r="C246" s="16" t="n">
        <v>4441</v>
      </c>
      <c r="D246" s="16" t="n">
        <v>4441</v>
      </c>
      <c r="E246" s="16" t="n">
        <v>2305</v>
      </c>
      <c r="F246" s="38" t="n">
        <v>1097204</v>
      </c>
      <c r="G246" s="38" t="n">
        <v>1508285</v>
      </c>
      <c r="H246" s="38" t="n">
        <v>1401813</v>
      </c>
      <c r="I246" s="38" t="n">
        <v>1479415</v>
      </c>
      <c r="J246" s="19">
        <f>(I246-H246)/1000</f>
        <v/>
      </c>
      <c r="K246" s="16" t="inlineStr">
        <is>
          <t>Yes</t>
        </is>
      </c>
    </row>
    <row r="247">
      <c r="A247" s="16" t="inlineStr">
        <is>
          <t>7 Jun</t>
        </is>
      </c>
      <c r="B247" s="16" t="inlineStr">
        <is>
          <t>39131</t>
        </is>
      </c>
      <c r="C247" s="16" t="n">
        <v>4032</v>
      </c>
      <c r="D247" s="16" t="n">
        <v>4001</v>
      </c>
      <c r="E247" s="16" t="n">
        <v>2245</v>
      </c>
      <c r="F247" s="38" t="n">
        <v>1101256</v>
      </c>
      <c r="G247" s="38" t="n">
        <v>1513985</v>
      </c>
      <c r="H247" s="38" t="n">
        <v>1401782</v>
      </c>
      <c r="I247" s="38" t="n">
        <v>1479385</v>
      </c>
      <c r="J247" s="19">
        <f>(I247-H247)/1000</f>
        <v/>
      </c>
      <c r="K247" s="16" t="inlineStr">
        <is>
          <t>Yes</t>
        </is>
      </c>
    </row>
    <row r="248">
      <c r="A248" s="16" t="inlineStr">
        <is>
          <t>7 Jun</t>
        </is>
      </c>
      <c r="B248" s="16" t="inlineStr">
        <is>
          <t>30334</t>
        </is>
      </c>
      <c r="C248" s="16" t="n">
        <v>2318</v>
      </c>
      <c r="D248" s="16" t="n">
        <v>2318</v>
      </c>
      <c r="E248" s="16" t="n">
        <v>1881</v>
      </c>
      <c r="F248" s="38" t="n">
        <v>1411315</v>
      </c>
      <c r="G248" s="38" t="n">
        <v>1507854</v>
      </c>
      <c r="H248" s="38" t="n">
        <v>1411315</v>
      </c>
      <c r="I248" s="38" t="n">
        <v>1479401</v>
      </c>
      <c r="J248" s="19">
        <f>(I248-H248)/1000</f>
        <v/>
      </c>
      <c r="K248" s="16" t="inlineStr">
        <is>
          <t>Yes</t>
        </is>
      </c>
    </row>
    <row r="249">
      <c r="A249" s="16" t="inlineStr">
        <is>
          <t>7 Jun</t>
        </is>
      </c>
      <c r="B249" s="16" t="inlineStr">
        <is>
          <t>37289</t>
        </is>
      </c>
      <c r="C249" s="16" t="n">
        <v>2084</v>
      </c>
      <c r="D249" s="16" t="n">
        <v>2084</v>
      </c>
      <c r="E249" s="16" t="n">
        <v>2084</v>
      </c>
      <c r="F249" s="38" t="n">
        <v>1401731</v>
      </c>
      <c r="G249" s="38" t="n">
        <v>1452803</v>
      </c>
      <c r="H249" s="38" t="n">
        <v>1401731</v>
      </c>
      <c r="I249" s="38" t="n">
        <v>1452803</v>
      </c>
      <c r="J249" s="19">
        <f>(I249-H249)/1000</f>
        <v/>
      </c>
      <c r="K249" s="16" t="inlineStr">
        <is>
          <t>Yes</t>
        </is>
      </c>
    </row>
    <row r="250">
      <c r="A250" s="16" t="inlineStr">
        <is>
          <t>7 Jun</t>
        </is>
      </c>
      <c r="B250" s="16" t="inlineStr">
        <is>
          <t>30464</t>
        </is>
      </c>
      <c r="C250" s="16" t="n">
        <v>1009</v>
      </c>
      <c r="D250" s="16" t="n">
        <v>985</v>
      </c>
      <c r="E250" s="16" t="n">
        <v>574</v>
      </c>
      <c r="F250" s="38" t="n">
        <v>1459275</v>
      </c>
      <c r="G250" s="38" t="n">
        <v>1528829</v>
      </c>
      <c r="H250" s="38" t="n">
        <v>1459275</v>
      </c>
      <c r="I250" s="38" t="n">
        <v>1479415</v>
      </c>
      <c r="J250" s="19">
        <f>(I250-H250)/1000</f>
        <v/>
      </c>
      <c r="K250" s="16" t="inlineStr">
        <is>
          <t>Yes</t>
        </is>
      </c>
    </row>
    <row r="251">
      <c r="A251" s="16" t="inlineStr">
        <is>
          <t>7 Jun</t>
        </is>
      </c>
      <c r="B251" s="16" t="inlineStr">
        <is>
          <t>37474</t>
        </is>
      </c>
      <c r="C251" s="16" t="n">
        <v>4134</v>
      </c>
      <c r="D251" s="16" t="n">
        <v>4025</v>
      </c>
      <c r="E251" s="16" t="n">
        <v>107</v>
      </c>
      <c r="F251" s="38" t="n">
        <v>1143754</v>
      </c>
      <c r="G251" s="38" t="n">
        <v>1414447</v>
      </c>
      <c r="H251" s="38" t="n">
        <v>1401606</v>
      </c>
      <c r="I251" s="38" t="n">
        <v>1414447</v>
      </c>
      <c r="J251" s="19">
        <f>(I251-H251)/1000</f>
        <v/>
      </c>
      <c r="K251" s="16" t="inlineStr">
        <is>
          <t>Yes</t>
        </is>
      </c>
    </row>
    <row r="252">
      <c r="A252" s="16" t="inlineStr">
        <is>
          <t>7 Jun</t>
        </is>
      </c>
      <c r="B252" s="16" t="inlineStr">
        <is>
          <t>33672</t>
        </is>
      </c>
      <c r="C252" s="16" t="n">
        <v>3224</v>
      </c>
      <c r="D252" s="16" t="n">
        <v>3214</v>
      </c>
      <c r="E252" s="16" t="n">
        <v>402</v>
      </c>
      <c r="F252" s="38" t="n">
        <v>1114123</v>
      </c>
      <c r="G252" s="38" t="n">
        <v>1405442</v>
      </c>
      <c r="H252" s="38" t="n">
        <v>1401573</v>
      </c>
      <c r="I252" s="38" t="n">
        <v>1405442</v>
      </c>
      <c r="J252" s="19">
        <f>(I252-H252)/1000</f>
        <v/>
      </c>
      <c r="K252" s="16" t="inlineStr">
        <is>
          <t>Yes</t>
        </is>
      </c>
    </row>
    <row r="253">
      <c r="A253" s="31" t="inlineStr">
        <is>
          <t>7 Jun</t>
        </is>
      </c>
      <c r="B253" s="31" t="inlineStr">
        <is>
          <t>30435</t>
        </is>
      </c>
      <c r="C253" s="31" t="n">
        <v>1409</v>
      </c>
      <c r="D253" s="31" t="n">
        <v>1396</v>
      </c>
      <c r="E253" s="31" t="n">
        <v>0</v>
      </c>
      <c r="F253" s="39" t="n">
        <v>1107099</v>
      </c>
      <c r="G253" s="39" t="n">
        <v>1228679</v>
      </c>
      <c r="H253" s="39" t="inlineStr">
        <is>
          <t>-</t>
        </is>
      </c>
      <c r="I253" s="39" t="inlineStr">
        <is>
          <t>-</t>
        </is>
      </c>
      <c r="J253" s="40" t="n">
        <v>0</v>
      </c>
      <c r="K253" s="31" t="inlineStr">
        <is>
          <t>No</t>
        </is>
      </c>
    </row>
    <row r="254">
      <c r="A254" s="31" t="inlineStr">
        <is>
          <t>7 Jun</t>
        </is>
      </c>
      <c r="B254" s="31" t="inlineStr">
        <is>
          <t>30472</t>
        </is>
      </c>
      <c r="C254" s="31" t="n">
        <v>1</v>
      </c>
      <c r="D254" s="31" t="n">
        <v>1</v>
      </c>
      <c r="E254" s="31" t="n">
        <v>0</v>
      </c>
      <c r="F254" s="39" t="n">
        <v>1082473</v>
      </c>
      <c r="G254" s="39" t="n">
        <v>1082473</v>
      </c>
      <c r="H254" s="39" t="inlineStr">
        <is>
          <t>-</t>
        </is>
      </c>
      <c r="I254" s="39" t="inlineStr">
        <is>
          <t>-</t>
        </is>
      </c>
      <c r="J254" s="40" t="n">
        <v>0</v>
      </c>
      <c r="K254" s="31" t="inlineStr">
        <is>
          <t>No</t>
        </is>
      </c>
    </row>
    <row r="255">
      <c r="A255" s="31" t="inlineStr">
        <is>
          <t>7 Jun</t>
        </is>
      </c>
      <c r="B255" s="31" t="inlineStr">
        <is>
          <t>30722</t>
        </is>
      </c>
      <c r="C255" s="31" t="n">
        <v>271</v>
      </c>
      <c r="D255" s="31" t="n">
        <v>271</v>
      </c>
      <c r="E255" s="31" t="n">
        <v>0</v>
      </c>
      <c r="F255" s="39" t="n">
        <v>1098145</v>
      </c>
      <c r="G255" s="39" t="n">
        <v>1175548</v>
      </c>
      <c r="H255" s="39" t="inlineStr">
        <is>
          <t>-</t>
        </is>
      </c>
      <c r="I255" s="39" t="inlineStr">
        <is>
          <t>-</t>
        </is>
      </c>
      <c r="J255" s="40" t="n">
        <v>0</v>
      </c>
      <c r="K255" s="31" t="inlineStr">
        <is>
          <t>No</t>
        </is>
      </c>
    </row>
    <row r="256">
      <c r="A256" s="16" t="inlineStr">
        <is>
          <t>7 Jun</t>
        </is>
      </c>
      <c r="B256" s="16" t="inlineStr">
        <is>
          <t>30752</t>
        </is>
      </c>
      <c r="C256" s="16" t="n">
        <v>611</v>
      </c>
      <c r="D256" s="16" t="n">
        <v>607</v>
      </c>
      <c r="E256" s="16" t="n">
        <v>0</v>
      </c>
      <c r="F256" s="38" t="n">
        <v>1094596</v>
      </c>
      <c r="G256" s="38" t="n">
        <v>1169630</v>
      </c>
      <c r="H256" s="38" t="inlineStr">
        <is>
          <t>-</t>
        </is>
      </c>
      <c r="I256" s="38" t="inlineStr">
        <is>
          <t>-</t>
        </is>
      </c>
      <c r="J256" s="19" t="n">
        <v>0</v>
      </c>
      <c r="K256" s="16" t="inlineStr">
        <is>
          <t>Yes</t>
        </is>
      </c>
    </row>
    <row r="257">
      <c r="A257" s="31" t="inlineStr">
        <is>
          <t>7 Jun</t>
        </is>
      </c>
      <c r="B257" s="31" t="inlineStr">
        <is>
          <t>37219</t>
        </is>
      </c>
      <c r="C257" s="31" t="n">
        <v>12</v>
      </c>
      <c r="D257" s="31" t="n">
        <v>12</v>
      </c>
      <c r="E257" s="31" t="n">
        <v>0</v>
      </c>
      <c r="F257" s="39" t="n">
        <v>1082463</v>
      </c>
      <c r="G257" s="39" t="n">
        <v>1085135</v>
      </c>
      <c r="H257" s="39" t="inlineStr">
        <is>
          <t>-</t>
        </is>
      </c>
      <c r="I257" s="39" t="inlineStr">
        <is>
          <t>-</t>
        </is>
      </c>
      <c r="J257" s="40" t="n">
        <v>0</v>
      </c>
      <c r="K257" s="31" t="inlineStr">
        <is>
          <t>No</t>
        </is>
      </c>
    </row>
    <row r="258">
      <c r="A258" s="31" t="inlineStr">
        <is>
          <t>7 Jun</t>
        </is>
      </c>
      <c r="B258" s="31" t="inlineStr">
        <is>
          <t>37257</t>
        </is>
      </c>
      <c r="C258" s="31" t="n">
        <v>100</v>
      </c>
      <c r="D258" s="31" t="n">
        <v>100</v>
      </c>
      <c r="E258" s="31" t="n">
        <v>0</v>
      </c>
      <c r="F258" s="39" t="n">
        <v>1099601</v>
      </c>
      <c r="G258" s="39" t="n">
        <v>1172539</v>
      </c>
      <c r="H258" s="39" t="inlineStr">
        <is>
          <t>-</t>
        </is>
      </c>
      <c r="I258" s="39" t="inlineStr">
        <is>
          <t>-</t>
        </is>
      </c>
      <c r="J258" s="40" t="n">
        <v>0</v>
      </c>
      <c r="K258" s="31" t="inlineStr">
        <is>
          <t>No</t>
        </is>
      </c>
    </row>
    <row r="259">
      <c r="A259" s="31" t="inlineStr">
        <is>
          <t>7 Jun</t>
        </is>
      </c>
      <c r="B259" s="31" t="inlineStr">
        <is>
          <t>37277</t>
        </is>
      </c>
      <c r="C259" s="31" t="n">
        <v>300</v>
      </c>
      <c r="D259" s="31" t="n">
        <v>300</v>
      </c>
      <c r="E259" s="31" t="n">
        <v>0</v>
      </c>
      <c r="F259" s="39" t="n">
        <v>1107098</v>
      </c>
      <c r="G259" s="39" t="n">
        <v>1168382</v>
      </c>
      <c r="H259" s="39" t="inlineStr">
        <is>
          <t>-</t>
        </is>
      </c>
      <c r="I259" s="39" t="inlineStr">
        <is>
          <t>-</t>
        </is>
      </c>
      <c r="J259" s="40" t="n">
        <v>0</v>
      </c>
      <c r="K259" s="31" t="inlineStr">
        <is>
          <t>No</t>
        </is>
      </c>
    </row>
    <row r="260">
      <c r="A260" s="31" t="inlineStr">
        <is>
          <t>7 Jun</t>
        </is>
      </c>
      <c r="B260" s="31" t="inlineStr">
        <is>
          <t>37296</t>
        </is>
      </c>
      <c r="C260" s="31" t="n">
        <v>33</v>
      </c>
      <c r="D260" s="31" t="n">
        <v>33</v>
      </c>
      <c r="E260" s="31" t="n">
        <v>0</v>
      </c>
      <c r="F260" s="39" t="n">
        <v>1272042</v>
      </c>
      <c r="G260" s="39" t="n">
        <v>1396583</v>
      </c>
      <c r="H260" s="39" t="inlineStr">
        <is>
          <t>-</t>
        </is>
      </c>
      <c r="I260" s="39" t="inlineStr">
        <is>
          <t>-</t>
        </is>
      </c>
      <c r="J260" s="40" t="n">
        <v>0</v>
      </c>
      <c r="K260" s="31" t="inlineStr">
        <is>
          <t>No</t>
        </is>
      </c>
    </row>
    <row r="261">
      <c r="A261" s="16" t="inlineStr">
        <is>
          <t>7 Jun</t>
        </is>
      </c>
      <c r="B261" s="16" t="inlineStr">
        <is>
          <t>37424</t>
        </is>
      </c>
      <c r="C261" s="16" t="n">
        <v>2530</v>
      </c>
      <c r="D261" s="16" t="n">
        <v>2530</v>
      </c>
      <c r="E261" s="16" t="n">
        <v>0</v>
      </c>
      <c r="F261" s="38" t="n">
        <v>1142262</v>
      </c>
      <c r="G261" s="38" t="n">
        <v>1212071</v>
      </c>
      <c r="H261" s="38" t="inlineStr">
        <is>
          <t>-</t>
        </is>
      </c>
      <c r="I261" s="38" t="inlineStr">
        <is>
          <t>-</t>
        </is>
      </c>
      <c r="J261" s="19" t="n">
        <v>0</v>
      </c>
      <c r="K261" s="16" t="inlineStr">
        <is>
          <t>Yes</t>
        </is>
      </c>
    </row>
    <row r="262">
      <c r="A262" s="31" t="inlineStr">
        <is>
          <t>7 Jun</t>
        </is>
      </c>
      <c r="B262" s="31" t="inlineStr">
        <is>
          <t>37786</t>
        </is>
      </c>
      <c r="C262" s="31" t="n">
        <v>13</v>
      </c>
      <c r="D262" s="31" t="n">
        <v>12</v>
      </c>
      <c r="E262" s="31" t="n">
        <v>0</v>
      </c>
      <c r="F262" s="39" t="n">
        <v>1533513</v>
      </c>
      <c r="G262" s="39" t="n">
        <v>1534154</v>
      </c>
      <c r="H262" s="39" t="inlineStr">
        <is>
          <t>-</t>
        </is>
      </c>
      <c r="I262" s="39" t="inlineStr">
        <is>
          <t>-</t>
        </is>
      </c>
      <c r="J262" s="40" t="n">
        <v>0</v>
      </c>
      <c r="K262" s="31" t="inlineStr">
        <is>
          <t>No</t>
        </is>
      </c>
    </row>
    <row r="263">
      <c r="A263" s="31" t="inlineStr">
        <is>
          <t>7 Jun</t>
        </is>
      </c>
      <c r="B263" s="31" t="inlineStr">
        <is>
          <t>37793</t>
        </is>
      </c>
      <c r="C263" s="31" t="n">
        <v>974</v>
      </c>
      <c r="D263" s="31" t="n">
        <v>974</v>
      </c>
      <c r="E263" s="31" t="n">
        <v>0</v>
      </c>
      <c r="F263" s="39" t="n">
        <v>1084059</v>
      </c>
      <c r="G263" s="39" t="n">
        <v>1151833</v>
      </c>
      <c r="H263" s="39" t="inlineStr">
        <is>
          <t>-</t>
        </is>
      </c>
      <c r="I263" s="39" t="inlineStr">
        <is>
          <t>-</t>
        </is>
      </c>
      <c r="J263" s="40" t="n">
        <v>0</v>
      </c>
      <c r="K263" s="31" t="inlineStr">
        <is>
          <t>No</t>
        </is>
      </c>
    </row>
    <row r="264">
      <c r="A264" s="31" t="inlineStr">
        <is>
          <t>7 Jun</t>
        </is>
      </c>
      <c r="B264" s="31" t="inlineStr">
        <is>
          <t>37845</t>
        </is>
      </c>
      <c r="C264" s="31" t="n">
        <v>35</v>
      </c>
      <c r="D264" s="31" t="n">
        <v>0</v>
      </c>
      <c r="E264" s="31" t="n">
        <v>0</v>
      </c>
      <c r="F264" s="39" t="inlineStr">
        <is>
          <t>-</t>
        </is>
      </c>
      <c r="G264" s="39" t="inlineStr">
        <is>
          <t>-</t>
        </is>
      </c>
      <c r="H264" s="39" t="inlineStr">
        <is>
          <t>-</t>
        </is>
      </c>
      <c r="I264" s="39" t="inlineStr">
        <is>
          <t>-</t>
        </is>
      </c>
      <c r="J264" s="40" t="n">
        <v>0</v>
      </c>
      <c r="K264" s="31" t="inlineStr">
        <is>
          <t>No</t>
        </is>
      </c>
    </row>
    <row r="265">
      <c r="A265" s="31" t="inlineStr">
        <is>
          <t>7 Jun</t>
        </is>
      </c>
      <c r="B265" s="31" t="inlineStr">
        <is>
          <t>37846</t>
        </is>
      </c>
      <c r="C265" s="31" t="n">
        <v>1</v>
      </c>
      <c r="D265" s="31" t="n">
        <v>1</v>
      </c>
      <c r="E265" s="31" t="n">
        <v>0</v>
      </c>
      <c r="F265" s="39" t="n">
        <v>1514205</v>
      </c>
      <c r="G265" s="39" t="n">
        <v>1514205</v>
      </c>
      <c r="H265" s="39" t="inlineStr">
        <is>
          <t>-</t>
        </is>
      </c>
      <c r="I265" s="39" t="inlineStr">
        <is>
          <t>-</t>
        </is>
      </c>
      <c r="J265" s="40" t="n">
        <v>0</v>
      </c>
      <c r="K265" s="31" t="inlineStr">
        <is>
          <t>No</t>
        </is>
      </c>
    </row>
    <row r="266">
      <c r="A266" s="31" t="inlineStr">
        <is>
          <t>7 Jun</t>
        </is>
      </c>
      <c r="B266" s="31" t="inlineStr">
        <is>
          <t>39105</t>
        </is>
      </c>
      <c r="C266" s="31" t="n">
        <v>54</v>
      </c>
      <c r="D266" s="31" t="n">
        <v>1</v>
      </c>
      <c r="E266" s="31" t="n">
        <v>0</v>
      </c>
      <c r="F266" s="39" t="n">
        <v>1515968</v>
      </c>
      <c r="G266" s="39" t="n">
        <v>1515968</v>
      </c>
      <c r="H266" s="39" t="inlineStr">
        <is>
          <t>-</t>
        </is>
      </c>
      <c r="I266" s="39" t="inlineStr">
        <is>
          <t>-</t>
        </is>
      </c>
      <c r="J266" s="40" t="n">
        <v>0</v>
      </c>
      <c r="K266" s="31" t="inlineStr">
        <is>
          <t>No</t>
        </is>
      </c>
    </row>
    <row r="267">
      <c r="A267" s="31" t="inlineStr">
        <is>
          <t>7 Jun</t>
        </is>
      </c>
      <c r="B267" s="31" t="inlineStr">
        <is>
          <t>45049</t>
        </is>
      </c>
      <c r="C267" s="31" t="n">
        <v>200</v>
      </c>
      <c r="D267" s="31" t="n">
        <v>200</v>
      </c>
      <c r="E267" s="31" t="n">
        <v>0</v>
      </c>
      <c r="F267" s="39" t="n">
        <v>1231198</v>
      </c>
      <c r="G267" s="39" t="n">
        <v>1276880</v>
      </c>
      <c r="H267" s="39" t="inlineStr">
        <is>
          <t>-</t>
        </is>
      </c>
      <c r="I267" s="39" t="inlineStr">
        <is>
          <t>-</t>
        </is>
      </c>
      <c r="J267" s="40" t="n">
        <v>0</v>
      </c>
      <c r="K267" s="31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1" t="inlineStr">
        <is>
          <t>Methodology</t>
        </is>
      </c>
    </row>
    <row r="3" ht="34" customHeight="1">
      <c r="B3" s="42" t="inlineStr">
        <is>
          <t>Excluded</t>
        </is>
      </c>
      <c r="C3" s="43" t="inlineStr">
        <is>
          <t>Loco-days with 0 km in the section (abs never inside 36001-36014, i.e. no section travel) are dropped from the report, unless they completed a trip.</t>
        </is>
      </c>
    </row>
    <row r="4" ht="34" customHeight="1">
      <c r="B4" s="42" t="inlineStr">
        <is>
          <t>No of Trips</t>
        </is>
      </c>
      <c r="C4" s="43" t="inlineStr">
        <is>
          <t>A loco completing the section end-to-end (station 1→14 or 14→1). Reversal = new trip (out-and-back = 2). All loco types included.</t>
        </is>
      </c>
    </row>
    <row r="5" ht="49" customHeight="1">
      <c r="B5" s="42" t="inlineStr">
        <is>
          <t>Total KMs Run on Kavach</t>
        </is>
      </c>
      <c r="C5" s="43" t="inlineStr">
        <is>
          <t>Section coverage per loco = how far it travelled across the 36001-36014 section = (max - min) of its abs within the section limits (1401554-1479434). Capped at the section length (~78 km); 0 if the loco never reported inside the section.</t>
        </is>
      </c>
    </row>
    <row r="6">
      <c r="B6" s="42" t="inlineStr">
        <is>
          <t>Availability (FS+OS)</t>
        </is>
      </c>
      <c r="C6" s="43" t="inlineStr">
        <is>
          <t>Packets in FS or OnSight ÷ all packets (all modes) × 100.</t>
        </is>
      </c>
    </row>
    <row r="7" ht="34" customHeight="1">
      <c r="B7" s="42" t="inlineStr">
        <is>
          <t>Total EB</t>
        </is>
      </c>
      <c r="C7" s="43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2" t="inlineStr">
        <is>
          <t>Mode Degradation</t>
        </is>
      </c>
      <c r="C8" s="43" t="inlineStr">
        <is>
          <t>FS→Trip/LS/SR/Standby &amp; OS→SR/Standby (every transition). Excluded: start-of-mission/re-init SR, NonLeading→SR, FS→SR at 0 km/h, VRBD 917-reverse.</t>
        </is>
      </c>
    </row>
    <row r="9" ht="34" customHeight="1">
      <c r="B9" s="42" t="inlineStr">
        <is>
          <t>EB diagnostics</t>
        </is>
      </c>
      <c r="C9" s="43" t="inlineStr">
        <is>
          <t>Speed at EB + flag if ≥6 km/h jump vs previous packet (possible PG issue); MA from SReg 'MA wrt Sig' + flag drop &gt;500; Emergency from LReg.</t>
        </is>
      </c>
    </row>
    <row r="10" ht="34" customHeight="1">
      <c r="B10" s="42" t="inlineStr">
        <is>
          <t>Ratios</t>
        </is>
      </c>
      <c r="C10" s="43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2026-06-26T09:17:36Z</dcterms:created>
  <dcterms:modified xmlns:dcterms="http://purl.org/dc/terms/" xmlns:xsi="http://www.w3.org/2001/XMLSchema-instance" xsi:type="dcterms:W3CDTF">2026-07-01T05:57:03Z</dcterms:modified>
</cp:coreProperties>
</file>
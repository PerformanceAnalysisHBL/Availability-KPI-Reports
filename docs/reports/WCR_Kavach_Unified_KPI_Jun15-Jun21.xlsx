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15 Jun - 21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15 Jun - 21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Breakdown'!C266</f>
        <v/>
      </c>
      <c r="E5" s="6">
        <f>'Daily Breakdown'!D266</f>
        <v/>
      </c>
      <c r="F5" s="7">
        <f>'Daily Breakdown'!G266</f>
        <v/>
      </c>
      <c r="G5" s="5">
        <f>'Daily Breakdown'!H266</f>
        <v/>
      </c>
      <c r="H5" s="8">
        <f>'Daily Breakdown'!I266</f>
        <v/>
      </c>
      <c r="I5" s="8">
        <f>'Daily Breakdown'!J266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Breakdown'!K266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11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15 Jun</t>
        </is>
      </c>
      <c r="B4" s="15" t="inlineStr">
        <is>
          <t>37582</t>
        </is>
      </c>
      <c r="C4" s="16" t="n">
        <v>1</v>
      </c>
      <c r="D4" s="17" t="n">
        <v>543.84</v>
      </c>
      <c r="E4" s="18" t="n">
        <v>34670</v>
      </c>
      <c r="F4" s="18" t="n">
        <v>34892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8</v>
      </c>
    </row>
    <row r="5">
      <c r="A5" s="15" t="inlineStr">
        <is>
          <t>15 Jun</t>
        </is>
      </c>
      <c r="B5" s="15" t="inlineStr">
        <is>
          <t>37515</t>
        </is>
      </c>
      <c r="C5" s="16" t="n">
        <v>1</v>
      </c>
      <c r="D5" s="17" t="n">
        <v>541.63</v>
      </c>
      <c r="E5" s="18" t="n">
        <v>30468</v>
      </c>
      <c r="F5" s="18" t="n">
        <v>30642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15 Jun</t>
        </is>
      </c>
      <c r="B6" s="15" t="inlineStr">
        <is>
          <t>30396</t>
        </is>
      </c>
      <c r="C6" s="16" t="n">
        <v>1</v>
      </c>
      <c r="D6" s="17" t="n">
        <v>543.75</v>
      </c>
      <c r="E6" s="18" t="n">
        <v>30368</v>
      </c>
      <c r="F6" s="18" t="n">
        <v>30386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0</v>
      </c>
    </row>
    <row r="7">
      <c r="A7" s="15" t="inlineStr">
        <is>
          <t>15 Jun</t>
        </is>
      </c>
      <c r="B7" s="15" t="inlineStr">
        <is>
          <t>37091</t>
        </is>
      </c>
      <c r="C7" s="16" t="n">
        <v>1</v>
      </c>
      <c r="D7" s="17" t="n">
        <v>541.62</v>
      </c>
      <c r="E7" s="18" t="n">
        <v>19398</v>
      </c>
      <c r="F7" s="18" t="n">
        <v>19456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15 Jun</t>
        </is>
      </c>
      <c r="B8" s="15" t="inlineStr">
        <is>
          <t>39005</t>
        </is>
      </c>
      <c r="C8" s="16" t="n">
        <v>1</v>
      </c>
      <c r="D8" s="17" t="n">
        <v>543.67</v>
      </c>
      <c r="E8" s="18" t="n">
        <v>19304</v>
      </c>
      <c r="F8" s="18" t="n">
        <v>19342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15 Jun</t>
        </is>
      </c>
      <c r="B9" s="15" t="inlineStr">
        <is>
          <t>37063</t>
        </is>
      </c>
      <c r="C9" s="16" t="n">
        <v>0</v>
      </c>
      <c r="D9" s="17" t="n">
        <v>252.09</v>
      </c>
      <c r="E9" s="18" t="n">
        <v>32970</v>
      </c>
      <c r="F9" s="18" t="n">
        <v>33045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3</v>
      </c>
    </row>
    <row r="10">
      <c r="A10" s="15" t="inlineStr">
        <is>
          <t>15 Jun</t>
        </is>
      </c>
      <c r="B10" s="15" t="inlineStr">
        <is>
          <t>37257</t>
        </is>
      </c>
      <c r="C10" s="16" t="n">
        <v>0</v>
      </c>
      <c r="D10" s="17" t="n">
        <v>252.18</v>
      </c>
      <c r="E10" s="18" t="n">
        <v>30177</v>
      </c>
      <c r="F10" s="18" t="n">
        <v>30296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15 Jun</t>
        </is>
      </c>
      <c r="B11" s="15" t="inlineStr">
        <is>
          <t>37793</t>
        </is>
      </c>
      <c r="C11" s="16" t="n">
        <v>0</v>
      </c>
      <c r="D11" s="17" t="n">
        <v>329.88</v>
      </c>
      <c r="E11" s="18" t="n">
        <v>28339</v>
      </c>
      <c r="F11" s="18" t="n">
        <v>29851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5</v>
      </c>
    </row>
    <row r="12">
      <c r="A12" s="15" t="inlineStr">
        <is>
          <t>15 Jun</t>
        </is>
      </c>
      <c r="B12" s="15" t="inlineStr">
        <is>
          <t>39030</t>
        </is>
      </c>
      <c r="C12" s="16" t="n">
        <v>0</v>
      </c>
      <c r="D12" s="17" t="n">
        <v>470.59</v>
      </c>
      <c r="E12" s="18" t="n">
        <v>23878</v>
      </c>
      <c r="F12" s="18" t="n">
        <v>23972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</v>
      </c>
    </row>
    <row r="13">
      <c r="A13" s="15" t="inlineStr">
        <is>
          <t>15 Jun</t>
        </is>
      </c>
      <c r="B13" s="15" t="inlineStr">
        <is>
          <t>39014</t>
        </is>
      </c>
      <c r="C13" s="16" t="n">
        <v>0</v>
      </c>
      <c r="D13" s="17" t="n">
        <v>386.43</v>
      </c>
      <c r="E13" s="18" t="n">
        <v>22654</v>
      </c>
      <c r="F13" s="18" t="n">
        <v>22654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15 Jun</t>
        </is>
      </c>
      <c r="B14" s="15" t="inlineStr">
        <is>
          <t>30567</t>
        </is>
      </c>
      <c r="C14" s="16" t="n">
        <v>0</v>
      </c>
      <c r="D14" s="17" t="n">
        <v>464.15</v>
      </c>
      <c r="E14" s="18" t="n">
        <v>20161</v>
      </c>
      <c r="F14" s="18" t="n">
        <v>20243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15 Jun</t>
        </is>
      </c>
      <c r="B15" s="15" t="inlineStr">
        <is>
          <t>30334</t>
        </is>
      </c>
      <c r="C15" s="16" t="n">
        <v>0</v>
      </c>
      <c r="D15" s="17" t="n">
        <v>510.93</v>
      </c>
      <c r="E15" s="18" t="n">
        <v>18580</v>
      </c>
      <c r="F15" s="18" t="n">
        <v>18595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15 Jun</t>
        </is>
      </c>
      <c r="B16" s="15" t="inlineStr">
        <is>
          <t>30466</t>
        </is>
      </c>
      <c r="C16" s="16" t="n">
        <v>0</v>
      </c>
      <c r="D16" s="17" t="n">
        <v>321.73</v>
      </c>
      <c r="E16" s="18" t="n">
        <v>14408</v>
      </c>
      <c r="F16" s="18" t="n">
        <v>14488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15 Jun</t>
        </is>
      </c>
      <c r="B17" s="15" t="inlineStr">
        <is>
          <t>39331</t>
        </is>
      </c>
      <c r="C17" s="16" t="n">
        <v>0</v>
      </c>
      <c r="D17" s="17" t="n">
        <v>252.92</v>
      </c>
      <c r="E17" s="18" t="n">
        <v>14327</v>
      </c>
      <c r="F17" s="18" t="n">
        <v>14392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15 Jun</t>
        </is>
      </c>
      <c r="B18" s="15" t="inlineStr">
        <is>
          <t>43821</t>
        </is>
      </c>
      <c r="C18" s="16" t="n">
        <v>0</v>
      </c>
      <c r="D18" s="17" t="n">
        <v>319.18</v>
      </c>
      <c r="E18" s="18" t="n">
        <v>14092</v>
      </c>
      <c r="F18" s="18" t="n">
        <v>14168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2</v>
      </c>
    </row>
    <row r="19">
      <c r="A19" s="15" t="inlineStr">
        <is>
          <t>15 Jun</t>
        </is>
      </c>
      <c r="B19" s="15" t="inlineStr">
        <is>
          <t>37035</t>
        </is>
      </c>
      <c r="C19" s="16" t="n">
        <v>0</v>
      </c>
      <c r="D19" s="17" t="n">
        <v>108.66</v>
      </c>
      <c r="E19" s="18" t="n">
        <v>13821</v>
      </c>
      <c r="F19" s="18" t="n">
        <v>13954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4</v>
      </c>
    </row>
    <row r="20">
      <c r="A20" s="15" t="inlineStr">
        <is>
          <t>15 Jun</t>
        </is>
      </c>
      <c r="B20" s="15" t="inlineStr">
        <is>
          <t>30007</t>
        </is>
      </c>
      <c r="C20" s="16" t="n">
        <v>0</v>
      </c>
      <c r="D20" s="17" t="n">
        <v>192.11</v>
      </c>
      <c r="E20" s="18" t="n">
        <v>13069</v>
      </c>
      <c r="F20" s="18" t="n">
        <v>13148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15 Jun</t>
        </is>
      </c>
      <c r="B21" s="15" t="inlineStr">
        <is>
          <t>30488</t>
        </is>
      </c>
      <c r="C21" s="16" t="n">
        <v>0</v>
      </c>
      <c r="D21" s="17" t="n">
        <v>318.78</v>
      </c>
      <c r="E21" s="18" t="n">
        <v>12645</v>
      </c>
      <c r="F21" s="18" t="n">
        <v>12691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15 Jun</t>
        </is>
      </c>
      <c r="B22" s="15" t="inlineStr">
        <is>
          <t>39260</t>
        </is>
      </c>
      <c r="C22" s="16" t="n">
        <v>0</v>
      </c>
      <c r="D22" s="17" t="n">
        <v>329.91</v>
      </c>
      <c r="E22" s="18" t="n">
        <v>11958</v>
      </c>
      <c r="F22" s="18" t="n">
        <v>12008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3</v>
      </c>
    </row>
    <row r="23">
      <c r="A23" s="15" t="inlineStr">
        <is>
          <t>15 Jun</t>
        </is>
      </c>
      <c r="B23" s="15" t="inlineStr">
        <is>
          <t>37322</t>
        </is>
      </c>
      <c r="C23" s="16" t="n">
        <v>0</v>
      </c>
      <c r="D23" s="17" t="n">
        <v>320.11</v>
      </c>
      <c r="E23" s="18" t="n">
        <v>11411</v>
      </c>
      <c r="F23" s="18" t="n">
        <v>11548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6</v>
      </c>
    </row>
    <row r="24">
      <c r="A24" s="15" t="inlineStr">
        <is>
          <t>15 Jun</t>
        </is>
      </c>
      <c r="B24" s="15" t="inlineStr">
        <is>
          <t>39243</t>
        </is>
      </c>
      <c r="C24" s="16" t="n">
        <v>0</v>
      </c>
      <c r="D24" s="17" t="n">
        <v>221.56</v>
      </c>
      <c r="E24" s="18" t="n">
        <v>11191</v>
      </c>
      <c r="F24" s="18" t="n">
        <v>11195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15 Jun</t>
        </is>
      </c>
      <c r="B25" s="15" t="inlineStr">
        <is>
          <t>30463</t>
        </is>
      </c>
      <c r="C25" s="16" t="n">
        <v>0</v>
      </c>
      <c r="D25" s="17" t="n">
        <v>231.17</v>
      </c>
      <c r="E25" s="18" t="n">
        <v>10977</v>
      </c>
      <c r="F25" s="18" t="n">
        <v>11032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15 Jun</t>
        </is>
      </c>
      <c r="B26" s="15" t="inlineStr">
        <is>
          <t>30395</t>
        </is>
      </c>
      <c r="C26" s="16" t="n">
        <v>0</v>
      </c>
      <c r="D26" s="17" t="n">
        <v>322.12</v>
      </c>
      <c r="E26" s="18" t="n">
        <v>6956</v>
      </c>
      <c r="F26" s="18" t="n">
        <v>6992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15 Jun</t>
        </is>
      </c>
      <c r="B27" s="15" t="inlineStr">
        <is>
          <t>39245</t>
        </is>
      </c>
      <c r="C27" s="16" t="n">
        <v>0</v>
      </c>
      <c r="D27" s="17" t="n">
        <v>130.83</v>
      </c>
      <c r="E27" s="18" t="n">
        <v>4773</v>
      </c>
      <c r="F27" s="18" t="n">
        <v>4950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15 Jun</t>
        </is>
      </c>
      <c r="B28" s="15" t="inlineStr">
        <is>
          <t>37366</t>
        </is>
      </c>
      <c r="C28" s="16" t="n">
        <v>0</v>
      </c>
      <c r="D28" s="17" t="n">
        <v>107.53</v>
      </c>
      <c r="E28" s="18" t="n">
        <v>4498</v>
      </c>
      <c r="F28" s="18" t="n">
        <v>4542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15 Jun</t>
        </is>
      </c>
      <c r="B29" s="15" t="inlineStr">
        <is>
          <t>30507</t>
        </is>
      </c>
      <c r="C29" s="16" t="n">
        <v>0</v>
      </c>
      <c r="D29" s="17" t="n">
        <v>60.4</v>
      </c>
      <c r="E29" s="18" t="n">
        <v>2614</v>
      </c>
      <c r="F29" s="18" t="n">
        <v>2614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15 Jun</t>
        </is>
      </c>
      <c r="B30" s="15" t="inlineStr">
        <is>
          <t>30339</t>
        </is>
      </c>
      <c r="C30" s="16" t="n">
        <v>0</v>
      </c>
      <c r="D30" s="17" t="n">
        <v>51.05</v>
      </c>
      <c r="E30" s="18" t="n">
        <v>2358</v>
      </c>
      <c r="F30" s="18" t="n">
        <v>2374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15 Jun</t>
        </is>
      </c>
      <c r="B31" s="15" t="inlineStr">
        <is>
          <t>37629</t>
        </is>
      </c>
      <c r="C31" s="16" t="n">
        <v>0</v>
      </c>
      <c r="D31" s="17" t="n">
        <v>106.16</v>
      </c>
      <c r="E31" s="18" t="n">
        <v>0</v>
      </c>
      <c r="F31" s="18" t="n">
        <v>2131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15 Jun</t>
        </is>
      </c>
      <c r="B32" s="15" t="inlineStr">
        <is>
          <t>30220</t>
        </is>
      </c>
      <c r="C32" s="16" t="n">
        <v>0</v>
      </c>
      <c r="D32" s="17" t="n">
        <v>35.88</v>
      </c>
      <c r="E32" s="18" t="n">
        <v>1126</v>
      </c>
      <c r="F32" s="18" t="n">
        <v>1566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15 Jun</t>
        </is>
      </c>
      <c r="B33" s="15" t="inlineStr">
        <is>
          <t>30559</t>
        </is>
      </c>
      <c r="C33" s="16" t="n">
        <v>0</v>
      </c>
      <c r="D33" s="17" t="n">
        <v>24.44</v>
      </c>
      <c r="E33" s="18" t="n">
        <v>790</v>
      </c>
      <c r="F33" s="18" t="n">
        <v>933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15 Jun</t>
        </is>
      </c>
      <c r="B34" s="15" t="inlineStr">
        <is>
          <t>30721</t>
        </is>
      </c>
      <c r="C34" s="16" t="n">
        <v>0</v>
      </c>
      <c r="D34" s="17" t="n">
        <v>30.66</v>
      </c>
      <c r="E34" s="18" t="n">
        <v>0</v>
      </c>
      <c r="F34" s="18" t="n">
        <v>724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15 Jun</t>
        </is>
      </c>
      <c r="B35" s="15" t="inlineStr">
        <is>
          <t>37395</t>
        </is>
      </c>
      <c r="C35" s="16" t="n">
        <v>0</v>
      </c>
      <c r="D35" s="17" t="n">
        <v>30.52</v>
      </c>
      <c r="E35" s="18" t="n">
        <v>488</v>
      </c>
      <c r="F35" s="18" t="n">
        <v>684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15 Jun</t>
        </is>
      </c>
      <c r="B36" s="15" t="inlineStr">
        <is>
          <t>30819</t>
        </is>
      </c>
      <c r="C36" s="16" t="n">
        <v>0</v>
      </c>
      <c r="D36" s="17" t="n">
        <v>70.3</v>
      </c>
      <c r="E36" s="18" t="n">
        <v>429</v>
      </c>
      <c r="F36" s="18" t="n">
        <v>585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15 Jun</t>
        </is>
      </c>
      <c r="B37" s="15" t="inlineStr">
        <is>
          <t>37028</t>
        </is>
      </c>
      <c r="C37" s="16" t="n">
        <v>0</v>
      </c>
      <c r="D37" s="17" t="n">
        <v>35.41</v>
      </c>
      <c r="E37" s="18" t="n">
        <v>339</v>
      </c>
      <c r="F37" s="18" t="n">
        <v>515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15 Jun</t>
        </is>
      </c>
      <c r="B38" s="15" t="inlineStr">
        <is>
          <t>39439</t>
        </is>
      </c>
      <c r="C38" s="16" t="n">
        <v>0</v>
      </c>
      <c r="D38" s="17" t="n">
        <v>2.44</v>
      </c>
      <c r="E38" s="18" t="n">
        <v>271</v>
      </c>
      <c r="F38" s="18" t="n">
        <v>327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15 Jun</t>
        </is>
      </c>
      <c r="B39" s="15" t="inlineStr">
        <is>
          <t>37466</t>
        </is>
      </c>
      <c r="C39" s="16" t="n">
        <v>0</v>
      </c>
      <c r="D39" s="17" t="n">
        <v>328.28</v>
      </c>
      <c r="E39" s="18" t="n">
        <v>0</v>
      </c>
      <c r="F39" s="18" t="n">
        <v>169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15 Jun</t>
        </is>
      </c>
      <c r="B40" s="15" t="inlineStr">
        <is>
          <t>37839</t>
        </is>
      </c>
      <c r="C40" s="16" t="n">
        <v>0</v>
      </c>
      <c r="D40" s="17" t="n">
        <v>0.99</v>
      </c>
      <c r="E40" s="18" t="n">
        <v>0</v>
      </c>
      <c r="F40" s="18" t="n">
        <v>70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15 Jun</t>
        </is>
      </c>
      <c r="B41" s="15" t="inlineStr">
        <is>
          <t>39125</t>
        </is>
      </c>
      <c r="C41" s="16" t="n">
        <v>0</v>
      </c>
      <c r="D41" s="17" t="n">
        <v>112.92</v>
      </c>
      <c r="E41" s="18" t="n">
        <v>0</v>
      </c>
      <c r="F41" s="18" t="n">
        <v>48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15 Jun</t>
        </is>
      </c>
      <c r="B42" s="15" t="inlineStr">
        <is>
          <t>37208</t>
        </is>
      </c>
      <c r="C42" s="16" t="n">
        <v>0</v>
      </c>
      <c r="D42" s="17" t="n">
        <v>7.31</v>
      </c>
      <c r="E42" s="18" t="n">
        <v>0</v>
      </c>
      <c r="F42" s="18" t="n">
        <v>34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20" t="inlineStr">
        <is>
          <t>15 Jun</t>
        </is>
      </c>
      <c r="B43" s="20" t="inlineStr">
        <is>
          <t>Day Total</t>
        </is>
      </c>
      <c r="C43" s="21">
        <f>SUM(C4:C42)</f>
        <v/>
      </c>
      <c r="D43" s="22">
        <f>SUM(D4:D42)</f>
        <v/>
      </c>
      <c r="E43" s="23">
        <f>SUM(E4:E42)</f>
        <v/>
      </c>
      <c r="F43" s="23">
        <f>SUM(F4:F42)</f>
        <v/>
      </c>
      <c r="G43" s="24">
        <f>IF(F43=0,0,E43/F43*100)</f>
        <v/>
      </c>
      <c r="H43" s="21">
        <f>SUM(H4:H42)</f>
        <v/>
      </c>
      <c r="I43" s="21">
        <f>SUM(I4:I42)</f>
        <v/>
      </c>
      <c r="J43" s="21">
        <f>SUM(J4:J42)</f>
        <v/>
      </c>
      <c r="K43" s="21">
        <f>SUM(K4:K42)</f>
        <v/>
      </c>
    </row>
    <row r="44">
      <c r="A44" s="15" t="inlineStr">
        <is>
          <t>16 Jun</t>
        </is>
      </c>
      <c r="B44" s="15" t="inlineStr">
        <is>
          <t>39035</t>
        </is>
      </c>
      <c r="C44" s="16" t="n">
        <v>1</v>
      </c>
      <c r="D44" s="17" t="n">
        <v>543.87</v>
      </c>
      <c r="E44" s="18" t="n">
        <v>21859</v>
      </c>
      <c r="F44" s="18" t="n">
        <v>21951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6</v>
      </c>
    </row>
    <row r="45">
      <c r="A45" s="15" t="inlineStr">
        <is>
          <t>16 Jun</t>
        </is>
      </c>
      <c r="B45" s="15" t="inlineStr">
        <is>
          <t>39311</t>
        </is>
      </c>
      <c r="C45" s="16" t="n">
        <v>1</v>
      </c>
      <c r="D45" s="17" t="n">
        <v>543.83</v>
      </c>
      <c r="E45" s="18" t="n">
        <v>17723</v>
      </c>
      <c r="F45" s="18" t="n">
        <v>17921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4</v>
      </c>
    </row>
    <row r="46">
      <c r="A46" s="15" t="inlineStr">
        <is>
          <t>16 Jun</t>
        </is>
      </c>
      <c r="B46" s="15" t="inlineStr">
        <is>
          <t>37257</t>
        </is>
      </c>
      <c r="C46" s="16" t="n">
        <v>0</v>
      </c>
      <c r="D46" s="17" t="n">
        <v>251.26</v>
      </c>
      <c r="E46" s="18" t="n">
        <v>34387</v>
      </c>
      <c r="F46" s="18" t="n">
        <v>34469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3</v>
      </c>
    </row>
    <row r="47">
      <c r="A47" s="15" t="inlineStr">
        <is>
          <t>16 Jun</t>
        </is>
      </c>
      <c r="B47" s="15" t="inlineStr">
        <is>
          <t>37352</t>
        </is>
      </c>
      <c r="C47" s="16" t="n">
        <v>0</v>
      </c>
      <c r="D47" s="17" t="n">
        <v>473.44</v>
      </c>
      <c r="E47" s="18" t="n">
        <v>22471</v>
      </c>
      <c r="F47" s="18" t="n">
        <v>22979</v>
      </c>
      <c r="G47" s="19">
        <f>IF(F47=0,0,E47/F47*100)</f>
        <v/>
      </c>
      <c r="H47" s="16" t="n">
        <v>2</v>
      </c>
      <c r="I47" s="16" t="n">
        <v>0</v>
      </c>
      <c r="J47" s="16" t="n">
        <v>2</v>
      </c>
      <c r="K47" s="16" t="n">
        <v>13</v>
      </c>
    </row>
    <row r="48">
      <c r="A48" s="15" t="inlineStr">
        <is>
          <t>16 Jun</t>
        </is>
      </c>
      <c r="B48" s="15" t="inlineStr">
        <is>
          <t>30339</t>
        </is>
      </c>
      <c r="C48" s="16" t="n">
        <v>0</v>
      </c>
      <c r="D48" s="17" t="n">
        <v>321.5</v>
      </c>
      <c r="E48" s="18" t="n">
        <v>22222</v>
      </c>
      <c r="F48" s="18" t="n">
        <v>22327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1</v>
      </c>
    </row>
    <row r="49">
      <c r="A49" s="15" t="inlineStr">
        <is>
          <t>16 Jun</t>
        </is>
      </c>
      <c r="B49" s="15" t="inlineStr">
        <is>
          <t>37812</t>
        </is>
      </c>
      <c r="C49" s="16" t="n">
        <v>0</v>
      </c>
      <c r="D49" s="17" t="n">
        <v>513.86</v>
      </c>
      <c r="E49" s="18" t="n">
        <v>22185</v>
      </c>
      <c r="F49" s="18" t="n">
        <v>22198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1</v>
      </c>
    </row>
    <row r="50">
      <c r="A50" s="15" t="inlineStr">
        <is>
          <t>16 Jun</t>
        </is>
      </c>
      <c r="B50" s="15" t="inlineStr">
        <is>
          <t>37286</t>
        </is>
      </c>
      <c r="C50" s="16" t="n">
        <v>0</v>
      </c>
      <c r="D50" s="17" t="n">
        <v>458.39</v>
      </c>
      <c r="E50" s="18" t="n">
        <v>21973</v>
      </c>
      <c r="F50" s="18" t="n">
        <v>22094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3</v>
      </c>
    </row>
    <row r="51">
      <c r="A51" s="15" t="inlineStr">
        <is>
          <t>16 Jun</t>
        </is>
      </c>
      <c r="B51" s="15" t="inlineStr">
        <is>
          <t>37063</t>
        </is>
      </c>
      <c r="C51" s="16" t="n">
        <v>0</v>
      </c>
      <c r="D51" s="17" t="n">
        <v>246.56</v>
      </c>
      <c r="E51" s="18" t="n">
        <v>21544</v>
      </c>
      <c r="F51" s="18" t="n">
        <v>21588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2</v>
      </c>
    </row>
    <row r="52">
      <c r="A52" s="15" t="inlineStr">
        <is>
          <t>16 Jun</t>
        </is>
      </c>
      <c r="B52" s="15" t="inlineStr">
        <is>
          <t>39466</t>
        </is>
      </c>
      <c r="C52" s="16" t="n">
        <v>0</v>
      </c>
      <c r="D52" s="17" t="n">
        <v>518.27</v>
      </c>
      <c r="E52" s="18" t="n">
        <v>16683</v>
      </c>
      <c r="F52" s="18" t="n">
        <v>16864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3</v>
      </c>
    </row>
    <row r="53">
      <c r="A53" s="15" t="inlineStr">
        <is>
          <t>16 Jun</t>
        </is>
      </c>
      <c r="B53" s="15" t="inlineStr">
        <is>
          <t>39336</t>
        </is>
      </c>
      <c r="C53" s="16" t="n">
        <v>0</v>
      </c>
      <c r="D53" s="17" t="n">
        <v>329.84</v>
      </c>
      <c r="E53" s="18" t="n">
        <v>14407</v>
      </c>
      <c r="F53" s="18" t="n">
        <v>14631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3</v>
      </c>
    </row>
    <row r="54">
      <c r="A54" s="15" t="inlineStr">
        <is>
          <t>16 Jun</t>
        </is>
      </c>
      <c r="B54" s="15" t="inlineStr">
        <is>
          <t>37316</t>
        </is>
      </c>
      <c r="C54" s="16" t="n">
        <v>0</v>
      </c>
      <c r="D54" s="17" t="n">
        <v>323.24</v>
      </c>
      <c r="E54" s="18" t="n">
        <v>14201</v>
      </c>
      <c r="F54" s="18" t="n">
        <v>14385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11</v>
      </c>
    </row>
    <row r="55">
      <c r="A55" s="15" t="inlineStr">
        <is>
          <t>16 Jun</t>
        </is>
      </c>
      <c r="B55" s="15" t="inlineStr">
        <is>
          <t>37745</t>
        </is>
      </c>
      <c r="C55" s="16" t="n">
        <v>0</v>
      </c>
      <c r="D55" s="17" t="n">
        <v>324.35</v>
      </c>
      <c r="E55" s="18" t="n">
        <v>13484</v>
      </c>
      <c r="F55" s="18" t="n">
        <v>14148</v>
      </c>
      <c r="G55" s="19">
        <f>IF(F55=0,0,E55/F55*100)</f>
        <v/>
      </c>
      <c r="H55" s="16" t="n">
        <v>3</v>
      </c>
      <c r="I55" s="16" t="n">
        <v>0</v>
      </c>
      <c r="J55" s="16" t="n">
        <v>3</v>
      </c>
      <c r="K55" s="16" t="n">
        <v>3</v>
      </c>
    </row>
    <row r="56">
      <c r="A56" s="15" t="inlineStr">
        <is>
          <t>16 Jun</t>
        </is>
      </c>
      <c r="B56" s="15" t="inlineStr">
        <is>
          <t>30466</t>
        </is>
      </c>
      <c r="C56" s="16" t="n">
        <v>0</v>
      </c>
      <c r="D56" s="17" t="n">
        <v>319.24</v>
      </c>
      <c r="E56" s="18" t="n">
        <v>13154</v>
      </c>
      <c r="F56" s="18" t="n">
        <v>13238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16 Jun</t>
        </is>
      </c>
      <c r="B57" s="15" t="inlineStr">
        <is>
          <t>30335</t>
        </is>
      </c>
      <c r="C57" s="16" t="n">
        <v>0</v>
      </c>
      <c r="D57" s="17" t="n">
        <v>322.47</v>
      </c>
      <c r="E57" s="18" t="n">
        <v>13191</v>
      </c>
      <c r="F57" s="18" t="n">
        <v>13227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0</v>
      </c>
    </row>
    <row r="58">
      <c r="A58" s="15" t="inlineStr">
        <is>
          <t>16 Jun</t>
        </is>
      </c>
      <c r="B58" s="15" t="inlineStr">
        <is>
          <t>30415</t>
        </is>
      </c>
      <c r="C58" s="16" t="n">
        <v>0</v>
      </c>
      <c r="D58" s="17" t="n">
        <v>330.14</v>
      </c>
      <c r="E58" s="18" t="n">
        <v>11264</v>
      </c>
      <c r="F58" s="18" t="n">
        <v>12590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3</v>
      </c>
    </row>
    <row r="59">
      <c r="A59" s="15" t="inlineStr">
        <is>
          <t>16 Jun</t>
        </is>
      </c>
      <c r="B59" s="15" t="inlineStr">
        <is>
          <t>30396</t>
        </is>
      </c>
      <c r="C59" s="16" t="n">
        <v>0</v>
      </c>
      <c r="D59" s="17" t="n">
        <v>237.38</v>
      </c>
      <c r="E59" s="18" t="n">
        <v>12159</v>
      </c>
      <c r="F59" s="18" t="n">
        <v>12294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5</v>
      </c>
    </row>
    <row r="60">
      <c r="A60" s="15" t="inlineStr">
        <is>
          <t>16 Jun</t>
        </is>
      </c>
      <c r="B60" s="15" t="inlineStr">
        <is>
          <t>30351</t>
        </is>
      </c>
      <c r="C60" s="16" t="n">
        <v>0</v>
      </c>
      <c r="D60" s="17" t="n">
        <v>318.81</v>
      </c>
      <c r="E60" s="18" t="n">
        <v>11346</v>
      </c>
      <c r="F60" s="18" t="n">
        <v>11391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2</v>
      </c>
    </row>
    <row r="61">
      <c r="A61" s="15" t="inlineStr">
        <is>
          <t>16 Jun</t>
        </is>
      </c>
      <c r="B61" s="15" t="inlineStr">
        <is>
          <t>37515</t>
        </is>
      </c>
      <c r="C61" s="16" t="n">
        <v>0</v>
      </c>
      <c r="D61" s="17" t="n">
        <v>163.05</v>
      </c>
      <c r="E61" s="18" t="n">
        <v>11173</v>
      </c>
      <c r="F61" s="18" t="n">
        <v>11236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4</v>
      </c>
    </row>
    <row r="62">
      <c r="A62" s="15" t="inlineStr">
        <is>
          <t>16 Jun</t>
        </is>
      </c>
      <c r="B62" s="15" t="inlineStr">
        <is>
          <t>39331</t>
        </is>
      </c>
      <c r="C62" s="16" t="n">
        <v>0</v>
      </c>
      <c r="D62" s="17" t="n">
        <v>243.15</v>
      </c>
      <c r="E62" s="18" t="n">
        <v>11169</v>
      </c>
      <c r="F62" s="18" t="n">
        <v>11169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16 Jun</t>
        </is>
      </c>
      <c r="B63" s="15" t="inlineStr">
        <is>
          <t>37367</t>
        </is>
      </c>
      <c r="C63" s="16" t="n">
        <v>0</v>
      </c>
      <c r="D63" s="17" t="n">
        <v>170.69</v>
      </c>
      <c r="E63" s="18" t="n">
        <v>11148</v>
      </c>
      <c r="F63" s="18" t="n">
        <v>11155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16 Jun</t>
        </is>
      </c>
      <c r="B64" s="15" t="inlineStr">
        <is>
          <t>39108</t>
        </is>
      </c>
      <c r="C64" s="16" t="n">
        <v>0</v>
      </c>
      <c r="D64" s="17" t="n">
        <v>108.54</v>
      </c>
      <c r="E64" s="18" t="n">
        <v>10570</v>
      </c>
      <c r="F64" s="18" t="n">
        <v>10784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1</v>
      </c>
    </row>
    <row r="65">
      <c r="A65" s="15" t="inlineStr">
        <is>
          <t>16 Jun</t>
        </is>
      </c>
      <c r="B65" s="15" t="inlineStr">
        <is>
          <t>30334</t>
        </is>
      </c>
      <c r="C65" s="16" t="n">
        <v>0</v>
      </c>
      <c r="D65" s="17" t="n">
        <v>222.04</v>
      </c>
      <c r="E65" s="18" t="n">
        <v>9929</v>
      </c>
      <c r="F65" s="18" t="n">
        <v>10429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6</v>
      </c>
    </row>
    <row r="66">
      <c r="A66" s="15" t="inlineStr">
        <is>
          <t>16 Jun</t>
        </is>
      </c>
      <c r="B66" s="15" t="inlineStr">
        <is>
          <t>30608</t>
        </is>
      </c>
      <c r="C66" s="16" t="n">
        <v>0</v>
      </c>
      <c r="D66" s="17" t="n">
        <v>322.62</v>
      </c>
      <c r="E66" s="18" t="n">
        <v>9881</v>
      </c>
      <c r="F66" s="18" t="n">
        <v>9939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16 Jun</t>
        </is>
      </c>
      <c r="B67" s="15" t="inlineStr">
        <is>
          <t>37035</t>
        </is>
      </c>
      <c r="C67" s="16" t="n">
        <v>0</v>
      </c>
      <c r="D67" s="17" t="n">
        <v>108.67</v>
      </c>
      <c r="E67" s="18" t="n">
        <v>9034</v>
      </c>
      <c r="F67" s="18" t="n">
        <v>9112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16 Jun</t>
        </is>
      </c>
      <c r="B68" s="15" t="inlineStr">
        <is>
          <t>37366</t>
        </is>
      </c>
      <c r="C68" s="16" t="n">
        <v>0</v>
      </c>
      <c r="D68" s="17" t="n">
        <v>108.53</v>
      </c>
      <c r="E68" s="18" t="n">
        <v>8744</v>
      </c>
      <c r="F68" s="18" t="n">
        <v>8832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16 Jun</t>
        </is>
      </c>
      <c r="B69" s="15" t="inlineStr">
        <is>
          <t>37309</t>
        </is>
      </c>
      <c r="C69" s="16" t="n">
        <v>0</v>
      </c>
      <c r="D69" s="17" t="n">
        <v>292.96</v>
      </c>
      <c r="E69" s="18" t="n">
        <v>6824</v>
      </c>
      <c r="F69" s="18" t="n">
        <v>7195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1</v>
      </c>
    </row>
    <row r="70">
      <c r="A70" s="15" t="inlineStr">
        <is>
          <t>16 Jun</t>
        </is>
      </c>
      <c r="B70" s="15" t="inlineStr">
        <is>
          <t>39245</t>
        </is>
      </c>
      <c r="C70" s="16" t="n">
        <v>0</v>
      </c>
      <c r="D70" s="17" t="n">
        <v>149.78</v>
      </c>
      <c r="E70" s="18" t="n">
        <v>6072</v>
      </c>
      <c r="F70" s="18" t="n">
        <v>6073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16 Jun</t>
        </is>
      </c>
      <c r="B71" s="15" t="inlineStr">
        <is>
          <t>37458</t>
        </is>
      </c>
      <c r="C71" s="16" t="n">
        <v>0</v>
      </c>
      <c r="D71" s="17" t="n">
        <v>160.94</v>
      </c>
      <c r="E71" s="18" t="n">
        <v>3827</v>
      </c>
      <c r="F71" s="18" t="n">
        <v>4562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8</v>
      </c>
    </row>
    <row r="72">
      <c r="A72" s="15" t="inlineStr">
        <is>
          <t>16 Jun</t>
        </is>
      </c>
      <c r="B72" s="15" t="inlineStr">
        <is>
          <t>30753</t>
        </is>
      </c>
      <c r="C72" s="16" t="n">
        <v>0</v>
      </c>
      <c r="D72" s="17" t="n">
        <v>120.19</v>
      </c>
      <c r="E72" s="18" t="n">
        <v>4548</v>
      </c>
      <c r="F72" s="18" t="n">
        <v>4548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16 Jun</t>
        </is>
      </c>
      <c r="B73" s="15" t="inlineStr">
        <is>
          <t>39421</t>
        </is>
      </c>
      <c r="C73" s="16" t="n">
        <v>0</v>
      </c>
      <c r="D73" s="17" t="n">
        <v>110.39</v>
      </c>
      <c r="E73" s="18" t="n">
        <v>3768</v>
      </c>
      <c r="F73" s="18" t="n">
        <v>4144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2</v>
      </c>
    </row>
    <row r="74">
      <c r="A74" s="15" t="inlineStr">
        <is>
          <t>16 Jun</t>
        </is>
      </c>
      <c r="B74" s="15" t="inlineStr">
        <is>
          <t>30376</t>
        </is>
      </c>
      <c r="C74" s="16" t="n">
        <v>0</v>
      </c>
      <c r="D74" s="17" t="n">
        <v>13</v>
      </c>
      <c r="E74" s="18" t="n">
        <v>1806</v>
      </c>
      <c r="F74" s="18" t="n">
        <v>4047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6</v>
      </c>
    </row>
    <row r="75">
      <c r="A75" s="15" t="inlineStr">
        <is>
          <t>16 Jun</t>
        </is>
      </c>
      <c r="B75" s="15" t="inlineStr">
        <is>
          <t>30669</t>
        </is>
      </c>
      <c r="C75" s="16" t="n">
        <v>0</v>
      </c>
      <c r="D75" s="17" t="n">
        <v>106.78</v>
      </c>
      <c r="E75" s="18" t="n">
        <v>3712</v>
      </c>
      <c r="F75" s="18" t="n">
        <v>3939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2</v>
      </c>
    </row>
    <row r="76">
      <c r="A76" s="15" t="inlineStr">
        <is>
          <t>16 Jun</t>
        </is>
      </c>
      <c r="B76" s="15" t="inlineStr">
        <is>
          <t>39565</t>
        </is>
      </c>
      <c r="C76" s="16" t="n">
        <v>0</v>
      </c>
      <c r="D76" s="17" t="n">
        <v>14.25</v>
      </c>
      <c r="E76" s="18" t="n">
        <v>2018</v>
      </c>
      <c r="F76" s="18" t="n">
        <v>2884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10</v>
      </c>
    </row>
    <row r="77">
      <c r="A77" s="15" t="inlineStr">
        <is>
          <t>16 Jun</t>
        </is>
      </c>
      <c r="B77" s="15" t="inlineStr">
        <is>
          <t>30463</t>
        </is>
      </c>
      <c r="C77" s="16" t="n">
        <v>0</v>
      </c>
      <c r="D77" s="17" t="n">
        <v>42.7</v>
      </c>
      <c r="E77" s="18" t="n">
        <v>2381</v>
      </c>
      <c r="F77" s="18" t="n">
        <v>2389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0</v>
      </c>
    </row>
    <row r="78">
      <c r="A78" s="15" t="inlineStr">
        <is>
          <t>16 Jun</t>
        </is>
      </c>
      <c r="B78" s="15" t="inlineStr">
        <is>
          <t>37582</t>
        </is>
      </c>
      <c r="C78" s="16" t="n">
        <v>0</v>
      </c>
      <c r="D78" s="17" t="n">
        <v>34.59</v>
      </c>
      <c r="E78" s="18" t="n">
        <v>1952</v>
      </c>
      <c r="F78" s="18" t="n">
        <v>1952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0</v>
      </c>
    </row>
    <row r="79">
      <c r="A79" s="15" t="inlineStr">
        <is>
          <t>16 Jun</t>
        </is>
      </c>
      <c r="B79" s="15" t="inlineStr">
        <is>
          <t>39343</t>
        </is>
      </c>
      <c r="C79" s="16" t="n">
        <v>0</v>
      </c>
      <c r="D79" s="17" t="n">
        <v>99.95</v>
      </c>
      <c r="E79" s="18" t="n">
        <v>1499</v>
      </c>
      <c r="F79" s="18" t="n">
        <v>1726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2</v>
      </c>
    </row>
    <row r="80">
      <c r="A80" s="15" t="inlineStr">
        <is>
          <t>16 Jun</t>
        </is>
      </c>
      <c r="B80" s="15" t="inlineStr">
        <is>
          <t>37086</t>
        </is>
      </c>
      <c r="C80" s="16" t="n">
        <v>0</v>
      </c>
      <c r="D80" s="17" t="n">
        <v>25.3</v>
      </c>
      <c r="E80" s="18" t="n">
        <v>1170</v>
      </c>
      <c r="F80" s="18" t="n">
        <v>1174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15" t="inlineStr">
        <is>
          <t>16 Jun</t>
        </is>
      </c>
      <c r="B81" s="15" t="inlineStr">
        <is>
          <t>37922</t>
        </is>
      </c>
      <c r="C81" s="16" t="n">
        <v>0</v>
      </c>
      <c r="D81" s="17" t="n">
        <v>13.58</v>
      </c>
      <c r="E81" s="18" t="n">
        <v>0</v>
      </c>
      <c r="F81" s="18" t="n">
        <v>890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0</v>
      </c>
    </row>
    <row r="82">
      <c r="A82" s="15" t="inlineStr">
        <is>
          <t>16 Jun</t>
        </is>
      </c>
      <c r="B82" s="15" t="inlineStr">
        <is>
          <t>30447</t>
        </is>
      </c>
      <c r="C82" s="16" t="n">
        <v>0</v>
      </c>
      <c r="D82" s="17" t="n">
        <v>31.12</v>
      </c>
      <c r="E82" s="18" t="n">
        <v>0</v>
      </c>
      <c r="F82" s="18" t="n">
        <v>805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0</v>
      </c>
    </row>
    <row r="83">
      <c r="A83" s="15" t="inlineStr">
        <is>
          <t>16 Jun</t>
        </is>
      </c>
      <c r="B83" s="15" t="inlineStr">
        <is>
          <t>37208</t>
        </is>
      </c>
      <c r="C83" s="16" t="n">
        <v>0</v>
      </c>
      <c r="D83" s="17" t="n">
        <v>510.19</v>
      </c>
      <c r="E83" s="18" t="n">
        <v>0</v>
      </c>
      <c r="F83" s="18" t="n">
        <v>181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0</v>
      </c>
    </row>
    <row r="84">
      <c r="A84" s="20" t="inlineStr">
        <is>
          <t>16 Jun</t>
        </is>
      </c>
      <c r="B84" s="20" t="inlineStr">
        <is>
          <t>Day Total</t>
        </is>
      </c>
      <c r="C84" s="21">
        <f>SUM(C44:C83)</f>
        <v/>
      </c>
      <c r="D84" s="22">
        <f>SUM(D44:D83)</f>
        <v/>
      </c>
      <c r="E84" s="23">
        <f>SUM(E44:E83)</f>
        <v/>
      </c>
      <c r="F84" s="23">
        <f>SUM(F44:F83)</f>
        <v/>
      </c>
      <c r="G84" s="24">
        <f>IF(F84=0,0,E84/F84*100)</f>
        <v/>
      </c>
      <c r="H84" s="21">
        <f>SUM(H44:H83)</f>
        <v/>
      </c>
      <c r="I84" s="21">
        <f>SUM(I44:I83)</f>
        <v/>
      </c>
      <c r="J84" s="21">
        <f>SUM(J44:J83)</f>
        <v/>
      </c>
      <c r="K84" s="21">
        <f>SUM(K44:K83)</f>
        <v/>
      </c>
    </row>
    <row r="85">
      <c r="A85" s="15" t="inlineStr">
        <is>
          <t>17 Jun</t>
        </is>
      </c>
      <c r="B85" s="15" t="inlineStr">
        <is>
          <t>37582</t>
        </is>
      </c>
      <c r="C85" s="16" t="n">
        <v>1</v>
      </c>
      <c r="D85" s="17" t="n">
        <v>543.65</v>
      </c>
      <c r="E85" s="18" t="n">
        <v>36191</v>
      </c>
      <c r="F85" s="18" t="n">
        <v>36585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10</v>
      </c>
    </row>
    <row r="86">
      <c r="A86" s="15" t="inlineStr">
        <is>
          <t>17 Jun</t>
        </is>
      </c>
      <c r="B86" s="15" t="inlineStr">
        <is>
          <t>37548</t>
        </is>
      </c>
      <c r="C86" s="16" t="n">
        <v>1</v>
      </c>
      <c r="D86" s="17" t="n">
        <v>543.85</v>
      </c>
      <c r="E86" s="18" t="n">
        <v>36165</v>
      </c>
      <c r="F86" s="18" t="n">
        <v>36505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11</v>
      </c>
    </row>
    <row r="87">
      <c r="A87" s="15" t="inlineStr">
        <is>
          <t>17 Jun</t>
        </is>
      </c>
      <c r="B87" s="15" t="inlineStr">
        <is>
          <t>30753</t>
        </is>
      </c>
      <c r="C87" s="16" t="n">
        <v>1</v>
      </c>
      <c r="D87" s="17" t="n">
        <v>543.88</v>
      </c>
      <c r="E87" s="18" t="n">
        <v>33455</v>
      </c>
      <c r="F87" s="18" t="n">
        <v>33760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7</v>
      </c>
    </row>
    <row r="88">
      <c r="A88" s="15" t="inlineStr">
        <is>
          <t>17 Jun</t>
        </is>
      </c>
      <c r="B88" s="15" t="inlineStr">
        <is>
          <t>39331</t>
        </is>
      </c>
      <c r="C88" s="16" t="n">
        <v>1</v>
      </c>
      <c r="D88" s="17" t="n">
        <v>541.65</v>
      </c>
      <c r="E88" s="18" t="n">
        <v>22173</v>
      </c>
      <c r="F88" s="18" t="n">
        <v>22546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6</v>
      </c>
    </row>
    <row r="89">
      <c r="A89" s="15" t="inlineStr">
        <is>
          <t>17 Jun</t>
        </is>
      </c>
      <c r="B89" s="15" t="inlineStr">
        <is>
          <t>30606</t>
        </is>
      </c>
      <c r="C89" s="16" t="n">
        <v>1</v>
      </c>
      <c r="D89" s="17" t="n">
        <v>543.85</v>
      </c>
      <c r="E89" s="18" t="n">
        <v>19285</v>
      </c>
      <c r="F89" s="18" t="n">
        <v>19445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3</v>
      </c>
    </row>
    <row r="90">
      <c r="A90" s="15" t="inlineStr">
        <is>
          <t>17 Jun</t>
        </is>
      </c>
      <c r="B90" s="15" t="inlineStr">
        <is>
          <t>39552</t>
        </is>
      </c>
      <c r="C90" s="16" t="n">
        <v>1</v>
      </c>
      <c r="D90" s="17" t="n">
        <v>543.89</v>
      </c>
      <c r="E90" s="18" t="n">
        <v>18127</v>
      </c>
      <c r="F90" s="18" t="n">
        <v>18187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5</v>
      </c>
    </row>
    <row r="91">
      <c r="A91" s="15" t="inlineStr">
        <is>
          <t>17 Jun</t>
        </is>
      </c>
      <c r="B91" s="15" t="inlineStr">
        <is>
          <t>37322</t>
        </is>
      </c>
      <c r="C91" s="16" t="n">
        <v>1</v>
      </c>
      <c r="D91" s="17" t="n">
        <v>543.84</v>
      </c>
      <c r="E91" s="18" t="n">
        <v>13429</v>
      </c>
      <c r="F91" s="18" t="n">
        <v>13838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5</v>
      </c>
    </row>
    <row r="92">
      <c r="A92" s="15" t="inlineStr">
        <is>
          <t>17 Jun</t>
        </is>
      </c>
      <c r="B92" s="15" t="inlineStr">
        <is>
          <t>37367</t>
        </is>
      </c>
      <c r="C92" s="16" t="n">
        <v>0</v>
      </c>
      <c r="D92" s="17" t="n">
        <v>251.78</v>
      </c>
      <c r="E92" s="18" t="n">
        <v>33070</v>
      </c>
      <c r="F92" s="18" t="n">
        <v>33109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0</v>
      </c>
    </row>
    <row r="93">
      <c r="A93" s="15" t="inlineStr">
        <is>
          <t>17 Jun</t>
        </is>
      </c>
      <c r="B93" s="15" t="inlineStr">
        <is>
          <t>39308</t>
        </is>
      </c>
      <c r="C93" s="16" t="n">
        <v>0</v>
      </c>
      <c r="D93" s="17" t="n">
        <v>329.84</v>
      </c>
      <c r="E93" s="18" t="n">
        <v>28217</v>
      </c>
      <c r="F93" s="18" t="n">
        <v>28876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4</v>
      </c>
    </row>
    <row r="94">
      <c r="A94" s="15" t="inlineStr">
        <is>
          <t>17 Jun</t>
        </is>
      </c>
      <c r="B94" s="15" t="inlineStr">
        <is>
          <t>37859</t>
        </is>
      </c>
      <c r="C94" s="16" t="n">
        <v>0</v>
      </c>
      <c r="D94" s="17" t="n">
        <v>322.6</v>
      </c>
      <c r="E94" s="18" t="n">
        <v>25936</v>
      </c>
      <c r="F94" s="18" t="n">
        <v>26107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4</v>
      </c>
    </row>
    <row r="95">
      <c r="A95" s="15" t="inlineStr">
        <is>
          <t>17 Jun</t>
        </is>
      </c>
      <c r="B95" s="15" t="inlineStr">
        <is>
          <t>30335</t>
        </is>
      </c>
      <c r="C95" s="16" t="n">
        <v>0</v>
      </c>
      <c r="D95" s="17" t="n">
        <v>321.5</v>
      </c>
      <c r="E95" s="18" t="n">
        <v>22804</v>
      </c>
      <c r="F95" s="18" t="n">
        <v>22957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5</v>
      </c>
    </row>
    <row r="96">
      <c r="A96" s="15" t="inlineStr">
        <is>
          <t>17 Jun</t>
        </is>
      </c>
      <c r="B96" s="15" t="inlineStr">
        <is>
          <t>37515</t>
        </is>
      </c>
      <c r="C96" s="16" t="n">
        <v>0</v>
      </c>
      <c r="D96" s="17" t="n">
        <v>380.91</v>
      </c>
      <c r="E96" s="18" t="n">
        <v>22041</v>
      </c>
      <c r="F96" s="18" t="n">
        <v>22186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3</v>
      </c>
    </row>
    <row r="97">
      <c r="A97" s="15" t="inlineStr">
        <is>
          <t>17 Jun</t>
        </is>
      </c>
      <c r="B97" s="15" t="inlineStr">
        <is>
          <t>37366</t>
        </is>
      </c>
      <c r="C97" s="16" t="n">
        <v>0</v>
      </c>
      <c r="D97" s="17" t="n">
        <v>251.14</v>
      </c>
      <c r="E97" s="18" t="n">
        <v>21565</v>
      </c>
      <c r="F97" s="18" t="n">
        <v>21603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1</v>
      </c>
    </row>
    <row r="98">
      <c r="A98" s="15" t="inlineStr">
        <is>
          <t>17 Jun</t>
        </is>
      </c>
      <c r="B98" s="15" t="inlineStr">
        <is>
          <t>37321</t>
        </is>
      </c>
      <c r="C98" s="16" t="n">
        <v>0</v>
      </c>
      <c r="D98" s="17" t="n">
        <v>473.41</v>
      </c>
      <c r="E98" s="18" t="n">
        <v>17365</v>
      </c>
      <c r="F98" s="18" t="n">
        <v>17511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1</v>
      </c>
    </row>
    <row r="99">
      <c r="A99" s="15" t="inlineStr">
        <is>
          <t>17 Jun</t>
        </is>
      </c>
      <c r="B99" s="15" t="inlineStr">
        <is>
          <t>37035</t>
        </is>
      </c>
      <c r="C99" s="16" t="n">
        <v>0</v>
      </c>
      <c r="D99" s="17" t="n">
        <v>108.24</v>
      </c>
      <c r="E99" s="18" t="n">
        <v>14270</v>
      </c>
      <c r="F99" s="18" t="n">
        <v>14565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0</v>
      </c>
    </row>
    <row r="100">
      <c r="A100" s="15" t="inlineStr">
        <is>
          <t>17 Jun</t>
        </is>
      </c>
      <c r="B100" s="15" t="inlineStr">
        <is>
          <t>37286</t>
        </is>
      </c>
      <c r="C100" s="16" t="n">
        <v>0</v>
      </c>
      <c r="D100" s="17" t="n">
        <v>345.41</v>
      </c>
      <c r="E100" s="18" t="n">
        <v>14325</v>
      </c>
      <c r="F100" s="18" t="n">
        <v>14405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3</v>
      </c>
    </row>
    <row r="101">
      <c r="A101" s="15" t="inlineStr">
        <is>
          <t>17 Jun</t>
        </is>
      </c>
      <c r="B101" s="15" t="inlineStr">
        <is>
          <t>30339</t>
        </is>
      </c>
      <c r="C101" s="16" t="n">
        <v>0</v>
      </c>
      <c r="D101" s="17" t="n">
        <v>320.05</v>
      </c>
      <c r="E101" s="18" t="n">
        <v>13404</v>
      </c>
      <c r="F101" s="18" t="n">
        <v>13460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1</v>
      </c>
    </row>
    <row r="102">
      <c r="A102" s="15" t="inlineStr">
        <is>
          <t>17 Jun</t>
        </is>
      </c>
      <c r="B102" s="15" t="inlineStr">
        <is>
          <t>30440</t>
        </is>
      </c>
      <c r="C102" s="16" t="n">
        <v>0</v>
      </c>
      <c r="D102" s="17" t="n">
        <v>329.84</v>
      </c>
      <c r="E102" s="18" t="n">
        <v>12193</v>
      </c>
      <c r="F102" s="18" t="n">
        <v>12637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3</v>
      </c>
    </row>
    <row r="103">
      <c r="A103" s="15" t="inlineStr">
        <is>
          <t>17 Jun</t>
        </is>
      </c>
      <c r="B103" s="15" t="inlineStr">
        <is>
          <t>30791</t>
        </is>
      </c>
      <c r="C103" s="16" t="n">
        <v>0</v>
      </c>
      <c r="D103" s="17" t="n">
        <v>329.91</v>
      </c>
      <c r="E103" s="18" t="n">
        <v>12246</v>
      </c>
      <c r="F103" s="18" t="n">
        <v>12438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4</v>
      </c>
    </row>
    <row r="104">
      <c r="A104" s="15" t="inlineStr">
        <is>
          <t>17 Jun</t>
        </is>
      </c>
      <c r="B104" s="15" t="inlineStr">
        <is>
          <t>30488</t>
        </is>
      </c>
      <c r="C104" s="16" t="n">
        <v>0</v>
      </c>
      <c r="D104" s="17" t="n">
        <v>321.7</v>
      </c>
      <c r="E104" s="18" t="n">
        <v>12256</v>
      </c>
      <c r="F104" s="18" t="n">
        <v>12400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17 Jun</t>
        </is>
      </c>
      <c r="B105" s="15" t="inlineStr">
        <is>
          <t>30334</t>
        </is>
      </c>
      <c r="C105" s="16" t="n">
        <v>0</v>
      </c>
      <c r="D105" s="17" t="n">
        <v>319.57</v>
      </c>
      <c r="E105" s="18" t="n">
        <v>12185</v>
      </c>
      <c r="F105" s="18" t="n">
        <v>12246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2</v>
      </c>
    </row>
    <row r="106">
      <c r="A106" s="15" t="inlineStr">
        <is>
          <t>17 Jun</t>
        </is>
      </c>
      <c r="B106" s="15" t="inlineStr">
        <is>
          <t>39050</t>
        </is>
      </c>
      <c r="C106" s="16" t="n">
        <v>0</v>
      </c>
      <c r="D106" s="17" t="n">
        <v>319.1</v>
      </c>
      <c r="E106" s="18" t="n">
        <v>12012</v>
      </c>
      <c r="F106" s="18" t="n">
        <v>12100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6</v>
      </c>
    </row>
    <row r="107">
      <c r="A107" s="15" t="inlineStr">
        <is>
          <t>17 Jun</t>
        </is>
      </c>
      <c r="B107" s="15" t="inlineStr">
        <is>
          <t>37257</t>
        </is>
      </c>
      <c r="C107" s="16" t="n">
        <v>0</v>
      </c>
      <c r="D107" s="17" t="n">
        <v>192.18</v>
      </c>
      <c r="E107" s="18" t="n">
        <v>11769</v>
      </c>
      <c r="F107" s="18" t="n">
        <v>11781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17 Jun</t>
        </is>
      </c>
      <c r="B108" s="15" t="inlineStr">
        <is>
          <t>30608</t>
        </is>
      </c>
      <c r="C108" s="16" t="n">
        <v>0</v>
      </c>
      <c r="D108" s="17" t="n">
        <v>319.23</v>
      </c>
      <c r="E108" s="18" t="n">
        <v>10624</v>
      </c>
      <c r="F108" s="18" t="n">
        <v>10682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2</v>
      </c>
    </row>
    <row r="109">
      <c r="A109" s="15" t="inlineStr">
        <is>
          <t>17 Jun</t>
        </is>
      </c>
      <c r="B109" s="15" t="inlineStr">
        <is>
          <t>39014</t>
        </is>
      </c>
      <c r="C109" s="16" t="n">
        <v>0</v>
      </c>
      <c r="D109" s="17" t="n">
        <v>248.18</v>
      </c>
      <c r="E109" s="18" t="n">
        <v>10189</v>
      </c>
      <c r="F109" s="18" t="n">
        <v>10245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17 Jun</t>
        </is>
      </c>
      <c r="B110" s="15" t="inlineStr">
        <is>
          <t>39035</t>
        </is>
      </c>
      <c r="C110" s="16" t="n">
        <v>0</v>
      </c>
      <c r="D110" s="17" t="n">
        <v>243.81</v>
      </c>
      <c r="E110" s="18" t="n">
        <v>10089</v>
      </c>
      <c r="F110" s="18" t="n">
        <v>10173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</v>
      </c>
    </row>
    <row r="111">
      <c r="A111" s="15" t="inlineStr">
        <is>
          <t>17 Jun</t>
        </is>
      </c>
      <c r="B111" s="15" t="inlineStr">
        <is>
          <t>39108</t>
        </is>
      </c>
      <c r="C111" s="16" t="n">
        <v>0</v>
      </c>
      <c r="D111" s="17" t="n">
        <v>108.65</v>
      </c>
      <c r="E111" s="18" t="n">
        <v>9673</v>
      </c>
      <c r="F111" s="18" t="n">
        <v>9882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17 Jun</t>
        </is>
      </c>
      <c r="B112" s="15" t="inlineStr">
        <is>
          <t>30396</t>
        </is>
      </c>
      <c r="C112" s="16" t="n">
        <v>0</v>
      </c>
      <c r="D112" s="17" t="n">
        <v>214.04</v>
      </c>
      <c r="E112" s="18" t="n">
        <v>8249</v>
      </c>
      <c r="F112" s="18" t="n">
        <v>9257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</v>
      </c>
    </row>
    <row r="113">
      <c r="A113" s="15" t="inlineStr">
        <is>
          <t>17 Jun</t>
        </is>
      </c>
      <c r="B113" s="15" t="inlineStr">
        <is>
          <t>37086</t>
        </is>
      </c>
      <c r="C113" s="16" t="n">
        <v>0</v>
      </c>
      <c r="D113" s="17" t="n">
        <v>196.33</v>
      </c>
      <c r="E113" s="18" t="n">
        <v>7195</v>
      </c>
      <c r="F113" s="18" t="n">
        <v>7341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3</v>
      </c>
    </row>
    <row r="114">
      <c r="A114" s="15" t="inlineStr">
        <is>
          <t>17 Jun</t>
        </is>
      </c>
      <c r="B114" s="15" t="inlineStr">
        <is>
          <t>30460</t>
        </is>
      </c>
      <c r="C114" s="16" t="n">
        <v>0</v>
      </c>
      <c r="D114" s="17" t="n">
        <v>221.52</v>
      </c>
      <c r="E114" s="18" t="n">
        <v>7066</v>
      </c>
      <c r="F114" s="18" t="n">
        <v>7237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3</v>
      </c>
    </row>
    <row r="115">
      <c r="A115" s="15" t="inlineStr">
        <is>
          <t>17 Jun</t>
        </is>
      </c>
      <c r="B115" s="15" t="inlineStr">
        <is>
          <t>37309</t>
        </is>
      </c>
      <c r="C115" s="16" t="n">
        <v>0</v>
      </c>
      <c r="D115" s="17" t="n">
        <v>156.96</v>
      </c>
      <c r="E115" s="18" t="n">
        <v>6965</v>
      </c>
      <c r="F115" s="18" t="n">
        <v>7135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17 Jun</t>
        </is>
      </c>
      <c r="B116" s="15" t="inlineStr">
        <is>
          <t>30395</t>
        </is>
      </c>
      <c r="C116" s="16" t="n">
        <v>0</v>
      </c>
      <c r="D116" s="17" t="n">
        <v>319.2</v>
      </c>
      <c r="E116" s="18" t="n">
        <v>6556</v>
      </c>
      <c r="F116" s="18" t="n">
        <v>6600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2</v>
      </c>
    </row>
    <row r="117">
      <c r="A117" s="15" t="inlineStr">
        <is>
          <t>17 Jun</t>
        </is>
      </c>
      <c r="B117" s="15" t="inlineStr">
        <is>
          <t>30234</t>
        </is>
      </c>
      <c r="C117" s="16" t="n">
        <v>0</v>
      </c>
      <c r="D117" s="17" t="n">
        <v>270.77</v>
      </c>
      <c r="E117" s="18" t="n">
        <v>5301</v>
      </c>
      <c r="F117" s="18" t="n">
        <v>5330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17 Jun</t>
        </is>
      </c>
      <c r="B118" s="15" t="inlineStr">
        <is>
          <t>30358</t>
        </is>
      </c>
      <c r="C118" s="16" t="n">
        <v>0</v>
      </c>
      <c r="D118" s="17" t="n">
        <v>329.54</v>
      </c>
      <c r="E118" s="18" t="n">
        <v>0</v>
      </c>
      <c r="F118" s="18" t="n">
        <v>4810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0</v>
      </c>
    </row>
    <row r="119">
      <c r="A119" s="15" t="inlineStr">
        <is>
          <t>17 Jun</t>
        </is>
      </c>
      <c r="B119" s="15" t="inlineStr">
        <is>
          <t>30669</t>
        </is>
      </c>
      <c r="C119" s="16" t="n">
        <v>0</v>
      </c>
      <c r="D119" s="17" t="n">
        <v>105.43</v>
      </c>
      <c r="E119" s="18" t="n">
        <v>3474</v>
      </c>
      <c r="F119" s="18" t="n">
        <v>3554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17 Jun</t>
        </is>
      </c>
      <c r="B120" s="15" t="inlineStr">
        <is>
          <t>37566</t>
        </is>
      </c>
      <c r="C120" s="16" t="n">
        <v>0</v>
      </c>
      <c r="D120" s="17" t="n">
        <v>25.99</v>
      </c>
      <c r="E120" s="18" t="n">
        <v>2131</v>
      </c>
      <c r="F120" s="18" t="n">
        <v>2131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17 Jun</t>
        </is>
      </c>
      <c r="B121" s="15" t="inlineStr">
        <is>
          <t>39466</t>
        </is>
      </c>
      <c r="C121" s="16" t="n">
        <v>0</v>
      </c>
      <c r="D121" s="17" t="n">
        <v>25.64</v>
      </c>
      <c r="E121" s="18" t="n">
        <v>2048</v>
      </c>
      <c r="F121" s="18" t="n">
        <v>2048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17 Jun</t>
        </is>
      </c>
      <c r="B122" s="15" t="inlineStr">
        <is>
          <t>37484</t>
        </is>
      </c>
      <c r="C122" s="16" t="n">
        <v>0</v>
      </c>
      <c r="D122" s="17" t="n">
        <v>66.72</v>
      </c>
      <c r="E122" s="18" t="n">
        <v>1765</v>
      </c>
      <c r="F122" s="18" t="n">
        <v>1970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1</v>
      </c>
    </row>
    <row r="123">
      <c r="A123" s="15" t="inlineStr">
        <is>
          <t>17 Jun</t>
        </is>
      </c>
      <c r="B123" s="15" t="inlineStr">
        <is>
          <t>39340</t>
        </is>
      </c>
      <c r="C123" s="16" t="n">
        <v>0</v>
      </c>
      <c r="D123" s="17" t="n">
        <v>0.92</v>
      </c>
      <c r="E123" s="18" t="n">
        <v>1877</v>
      </c>
      <c r="F123" s="18" t="n">
        <v>1939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2</v>
      </c>
    </row>
    <row r="124">
      <c r="A124" s="15" t="inlineStr">
        <is>
          <t>17 Jun</t>
        </is>
      </c>
      <c r="B124" s="15" t="inlineStr">
        <is>
          <t>37580</t>
        </is>
      </c>
      <c r="C124" s="16" t="n">
        <v>0</v>
      </c>
      <c r="D124" s="17" t="n">
        <v>35.67</v>
      </c>
      <c r="E124" s="18" t="n">
        <v>1868</v>
      </c>
      <c r="F124" s="18" t="n">
        <v>1882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17 Jun</t>
        </is>
      </c>
      <c r="B125" s="15" t="inlineStr">
        <is>
          <t>37312</t>
        </is>
      </c>
      <c r="C125" s="16" t="n">
        <v>0</v>
      </c>
      <c r="D125" s="17" t="n">
        <v>100.3</v>
      </c>
      <c r="E125" s="18" t="n">
        <v>0</v>
      </c>
      <c r="F125" s="18" t="n">
        <v>1677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17 Jun</t>
        </is>
      </c>
      <c r="B126" s="15" t="inlineStr">
        <is>
          <t>37316</t>
        </is>
      </c>
      <c r="C126" s="16" t="n">
        <v>0</v>
      </c>
      <c r="D126" s="17" t="n">
        <v>0.91</v>
      </c>
      <c r="E126" s="18" t="n">
        <v>1076</v>
      </c>
      <c r="F126" s="18" t="n">
        <v>1162</v>
      </c>
      <c r="G126" s="19">
        <f>IF(F126=0,0,E126/F126*100)</f>
        <v/>
      </c>
      <c r="H126" s="16" t="n">
        <v>2</v>
      </c>
      <c r="I126" s="16" t="n">
        <v>0</v>
      </c>
      <c r="J126" s="16" t="n">
        <v>2</v>
      </c>
      <c r="K126" s="16" t="n">
        <v>3</v>
      </c>
    </row>
    <row r="127">
      <c r="A127" s="15" t="inlineStr">
        <is>
          <t>17 Jun</t>
        </is>
      </c>
      <c r="B127" s="15" t="inlineStr">
        <is>
          <t>44406</t>
        </is>
      </c>
      <c r="C127" s="16" t="n">
        <v>0</v>
      </c>
      <c r="D127" s="17" t="n">
        <v>82.23</v>
      </c>
      <c r="E127" s="18" t="n">
        <v>0</v>
      </c>
      <c r="F127" s="18" t="n">
        <v>96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>
      <c r="A128" s="15" t="inlineStr">
        <is>
          <t>17 Jun</t>
        </is>
      </c>
      <c r="B128" s="15" t="inlineStr">
        <is>
          <t>37458</t>
        </is>
      </c>
      <c r="C128" s="16" t="n">
        <v>0</v>
      </c>
      <c r="D128" s="17" t="n">
        <v>120.09</v>
      </c>
      <c r="E128" s="18" t="n">
        <v>50</v>
      </c>
      <c r="F128" s="18" t="n">
        <v>60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2</v>
      </c>
    </row>
    <row r="129">
      <c r="A129" s="15" t="inlineStr">
        <is>
          <t>17 Jun</t>
        </is>
      </c>
      <c r="B129" s="15" t="inlineStr">
        <is>
          <t>37495</t>
        </is>
      </c>
      <c r="C129" s="16" t="n">
        <v>0</v>
      </c>
      <c r="D129" s="17" t="n">
        <v>0.32</v>
      </c>
      <c r="E129" s="18" t="n">
        <v>0</v>
      </c>
      <c r="F129" s="18" t="n">
        <v>2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20" t="inlineStr">
        <is>
          <t>17 Jun</t>
        </is>
      </c>
      <c r="B130" s="20" t="inlineStr">
        <is>
          <t>Day Total</t>
        </is>
      </c>
      <c r="C130" s="21">
        <f>SUM(C85:C129)</f>
        <v/>
      </c>
      <c r="D130" s="22">
        <f>SUM(D85:D129)</f>
        <v/>
      </c>
      <c r="E130" s="23">
        <f>SUM(E85:E129)</f>
        <v/>
      </c>
      <c r="F130" s="23">
        <f>SUM(F85:F129)</f>
        <v/>
      </c>
      <c r="G130" s="24">
        <f>IF(F130=0,0,E130/F130*100)</f>
        <v/>
      </c>
      <c r="H130" s="21">
        <f>SUM(H85:H129)</f>
        <v/>
      </c>
      <c r="I130" s="21">
        <f>SUM(I85:I129)</f>
        <v/>
      </c>
      <c r="J130" s="21">
        <f>SUM(J85:J129)</f>
        <v/>
      </c>
      <c r="K130" s="21">
        <f>SUM(K85:K129)</f>
        <v/>
      </c>
    </row>
    <row r="131">
      <c r="A131" s="15" t="inlineStr">
        <is>
          <t>18 Jun</t>
        </is>
      </c>
      <c r="B131" s="15" t="inlineStr">
        <is>
          <t>37316</t>
        </is>
      </c>
      <c r="C131" s="16" t="n">
        <v>2</v>
      </c>
      <c r="D131" s="17" t="n">
        <v>543.88</v>
      </c>
      <c r="E131" s="18" t="n">
        <v>36675</v>
      </c>
      <c r="F131" s="18" t="n">
        <v>37629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39</v>
      </c>
    </row>
    <row r="132">
      <c r="A132" s="15" t="inlineStr">
        <is>
          <t>18 Jun</t>
        </is>
      </c>
      <c r="B132" s="15" t="inlineStr">
        <is>
          <t>37684</t>
        </is>
      </c>
      <c r="C132" s="16" t="n">
        <v>2</v>
      </c>
      <c r="D132" s="17" t="n">
        <v>543.63</v>
      </c>
      <c r="E132" s="18" t="n">
        <v>37026</v>
      </c>
      <c r="F132" s="18" t="n">
        <v>37492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14</v>
      </c>
    </row>
    <row r="133">
      <c r="A133" s="15" t="inlineStr">
        <is>
          <t>18 Jun</t>
        </is>
      </c>
      <c r="B133" s="15" t="inlineStr">
        <is>
          <t>37813</t>
        </is>
      </c>
      <c r="C133" s="16" t="n">
        <v>1</v>
      </c>
      <c r="D133" s="17" t="n">
        <v>543.86</v>
      </c>
      <c r="E133" s="18" t="n">
        <v>36230</v>
      </c>
      <c r="F133" s="18" t="n">
        <v>36732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10</v>
      </c>
    </row>
    <row r="134">
      <c r="A134" s="15" t="inlineStr">
        <is>
          <t>18 Jun</t>
        </is>
      </c>
      <c r="B134" s="15" t="inlineStr">
        <is>
          <t>37366</t>
        </is>
      </c>
      <c r="C134" s="16" t="n">
        <v>0</v>
      </c>
      <c r="D134" s="17" t="n">
        <v>251.86</v>
      </c>
      <c r="E134" s="18" t="n">
        <v>32745</v>
      </c>
      <c r="F134" s="18" t="n">
        <v>32826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18 Jun</t>
        </is>
      </c>
      <c r="B135" s="15" t="inlineStr">
        <is>
          <t>37367</t>
        </is>
      </c>
      <c r="C135" s="16" t="n">
        <v>0</v>
      </c>
      <c r="D135" s="17" t="n">
        <v>251.81</v>
      </c>
      <c r="E135" s="18" t="n">
        <v>31867</v>
      </c>
      <c r="F135" s="18" t="n">
        <v>31903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0</v>
      </c>
    </row>
    <row r="136">
      <c r="A136" s="15" t="inlineStr">
        <is>
          <t>18 Jun</t>
        </is>
      </c>
      <c r="B136" s="15" t="inlineStr">
        <is>
          <t>39030</t>
        </is>
      </c>
      <c r="C136" s="16" t="n">
        <v>0</v>
      </c>
      <c r="D136" s="17" t="n">
        <v>469.92</v>
      </c>
      <c r="E136" s="18" t="n">
        <v>21981</v>
      </c>
      <c r="F136" s="18" t="n">
        <v>21994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4</v>
      </c>
    </row>
    <row r="137">
      <c r="A137" s="15" t="inlineStr">
        <is>
          <t>18 Jun</t>
        </is>
      </c>
      <c r="B137" s="15" t="inlineStr">
        <is>
          <t>37515</t>
        </is>
      </c>
      <c r="C137" s="16" t="n">
        <v>0</v>
      </c>
      <c r="D137" s="17" t="n">
        <v>512.53</v>
      </c>
      <c r="E137" s="18" t="n">
        <v>20274</v>
      </c>
      <c r="F137" s="18" t="n">
        <v>20349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18 Jun</t>
        </is>
      </c>
      <c r="B138" s="15" t="inlineStr">
        <is>
          <t>37566</t>
        </is>
      </c>
      <c r="C138" s="16" t="n">
        <v>0</v>
      </c>
      <c r="D138" s="17" t="n">
        <v>515.66</v>
      </c>
      <c r="E138" s="18" t="n">
        <v>18848</v>
      </c>
      <c r="F138" s="18" t="n">
        <v>18984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4</v>
      </c>
    </row>
    <row r="139">
      <c r="A139" s="15" t="inlineStr">
        <is>
          <t>18 Jun</t>
        </is>
      </c>
      <c r="B139" s="15" t="inlineStr">
        <is>
          <t>37818</t>
        </is>
      </c>
      <c r="C139" s="16" t="n">
        <v>0</v>
      </c>
      <c r="D139" s="17" t="n">
        <v>470.59</v>
      </c>
      <c r="E139" s="18" t="n">
        <v>18827</v>
      </c>
      <c r="F139" s="18" t="n">
        <v>18906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1</v>
      </c>
    </row>
    <row r="140">
      <c r="A140" s="15" t="inlineStr">
        <is>
          <t>18 Jun</t>
        </is>
      </c>
      <c r="B140" s="15" t="inlineStr">
        <is>
          <t>39108</t>
        </is>
      </c>
      <c r="C140" s="16" t="n">
        <v>0</v>
      </c>
      <c r="D140" s="17" t="n">
        <v>108.67</v>
      </c>
      <c r="E140" s="18" t="n">
        <v>11316</v>
      </c>
      <c r="F140" s="18" t="n">
        <v>12908</v>
      </c>
      <c r="G140" s="19">
        <f>IF(F140=0,0,E140/F140*100)</f>
        <v/>
      </c>
      <c r="H140" s="16" t="n">
        <v>1</v>
      </c>
      <c r="I140" s="16" t="n">
        <v>0</v>
      </c>
      <c r="J140" s="16" t="n">
        <v>1</v>
      </c>
      <c r="K140" s="16" t="n">
        <v>0</v>
      </c>
    </row>
    <row r="141">
      <c r="A141" s="15" t="inlineStr">
        <is>
          <t>18 Jun</t>
        </is>
      </c>
      <c r="B141" s="15" t="inlineStr">
        <is>
          <t>30451</t>
        </is>
      </c>
      <c r="C141" s="16" t="n">
        <v>0</v>
      </c>
      <c r="D141" s="17" t="n">
        <v>322.6</v>
      </c>
      <c r="E141" s="18" t="n">
        <v>12755</v>
      </c>
      <c r="F141" s="18" t="n">
        <v>12820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1</v>
      </c>
    </row>
    <row r="142">
      <c r="A142" s="15" t="inlineStr">
        <is>
          <t>18 Jun</t>
        </is>
      </c>
      <c r="B142" s="15" t="inlineStr">
        <is>
          <t>30351</t>
        </is>
      </c>
      <c r="C142" s="16" t="n">
        <v>0</v>
      </c>
      <c r="D142" s="17" t="n">
        <v>321.74</v>
      </c>
      <c r="E142" s="18" t="n">
        <v>12303</v>
      </c>
      <c r="F142" s="18" t="n">
        <v>12375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18 Jun</t>
        </is>
      </c>
      <c r="B143" s="15" t="inlineStr">
        <is>
          <t>30791</t>
        </is>
      </c>
      <c r="C143" s="16" t="n">
        <v>0</v>
      </c>
      <c r="D143" s="17" t="n">
        <v>329.09</v>
      </c>
      <c r="E143" s="18" t="n">
        <v>11346</v>
      </c>
      <c r="F143" s="18" t="n">
        <v>11681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5</v>
      </c>
    </row>
    <row r="144">
      <c r="A144" s="15" t="inlineStr">
        <is>
          <t>18 Jun</t>
        </is>
      </c>
      <c r="B144" s="15" t="inlineStr">
        <is>
          <t>30488</t>
        </is>
      </c>
      <c r="C144" s="16" t="n">
        <v>0</v>
      </c>
      <c r="D144" s="17" t="n">
        <v>318.8</v>
      </c>
      <c r="E144" s="18" t="n">
        <v>11518</v>
      </c>
      <c r="F144" s="18" t="n">
        <v>11609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3</v>
      </c>
    </row>
    <row r="145">
      <c r="A145" s="15" t="inlineStr">
        <is>
          <t>18 Jun</t>
        </is>
      </c>
      <c r="B145" s="15" t="inlineStr">
        <is>
          <t>37580</t>
        </is>
      </c>
      <c r="C145" s="16" t="n">
        <v>0</v>
      </c>
      <c r="D145" s="17" t="n">
        <v>294.19</v>
      </c>
      <c r="E145" s="18" t="n">
        <v>11446</v>
      </c>
      <c r="F145" s="18" t="n">
        <v>11487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18 Jun</t>
        </is>
      </c>
      <c r="B146" s="15" t="inlineStr">
        <is>
          <t>39521</t>
        </is>
      </c>
      <c r="C146" s="16" t="n">
        <v>0</v>
      </c>
      <c r="D146" s="17" t="n">
        <v>319.22</v>
      </c>
      <c r="E146" s="18" t="n">
        <v>10193</v>
      </c>
      <c r="F146" s="18" t="n">
        <v>10295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2</v>
      </c>
    </row>
    <row r="147">
      <c r="A147" s="15" t="inlineStr">
        <is>
          <t>18 Jun</t>
        </is>
      </c>
      <c r="B147" s="15" t="inlineStr">
        <is>
          <t>37286</t>
        </is>
      </c>
      <c r="C147" s="16" t="n">
        <v>0</v>
      </c>
      <c r="D147" s="17" t="n">
        <v>198.5</v>
      </c>
      <c r="E147" s="18" t="n">
        <v>10054</v>
      </c>
      <c r="F147" s="18" t="n">
        <v>10054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18 Jun</t>
        </is>
      </c>
      <c r="B148" s="15" t="inlineStr">
        <is>
          <t>37035</t>
        </is>
      </c>
      <c r="C148" s="16" t="n">
        <v>0</v>
      </c>
      <c r="D148" s="17" t="n">
        <v>108.61</v>
      </c>
      <c r="E148" s="18" t="n">
        <v>9956</v>
      </c>
      <c r="F148" s="18" t="n">
        <v>10014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1</v>
      </c>
    </row>
    <row r="149">
      <c r="A149" s="15" t="inlineStr">
        <is>
          <t>18 Jun</t>
        </is>
      </c>
      <c r="B149" s="15" t="inlineStr">
        <is>
          <t>39035</t>
        </is>
      </c>
      <c r="C149" s="16" t="n">
        <v>0</v>
      </c>
      <c r="D149" s="17" t="n">
        <v>297.9</v>
      </c>
      <c r="E149" s="18" t="n">
        <v>9870</v>
      </c>
      <c r="F149" s="18" t="n">
        <v>9915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2</v>
      </c>
    </row>
    <row r="150">
      <c r="A150" s="15" t="inlineStr">
        <is>
          <t>18 Jun</t>
        </is>
      </c>
      <c r="B150" s="15" t="inlineStr">
        <is>
          <t>30440</t>
        </is>
      </c>
      <c r="C150" s="16" t="n">
        <v>0</v>
      </c>
      <c r="D150" s="17" t="n">
        <v>102.14</v>
      </c>
      <c r="E150" s="18" t="n">
        <v>3414</v>
      </c>
      <c r="F150" s="18" t="n">
        <v>3429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0</v>
      </c>
    </row>
    <row r="151">
      <c r="A151" s="15" t="inlineStr">
        <is>
          <t>18 Jun</t>
        </is>
      </c>
      <c r="B151" s="15" t="inlineStr">
        <is>
          <t>30234</t>
        </is>
      </c>
      <c r="C151" s="16" t="n">
        <v>0</v>
      </c>
      <c r="D151" s="17" t="n">
        <v>121.82</v>
      </c>
      <c r="E151" s="18" t="n">
        <v>3312</v>
      </c>
      <c r="F151" s="18" t="n">
        <v>3312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18 Jun</t>
        </is>
      </c>
      <c r="B152" s="15" t="inlineStr">
        <is>
          <t>37548</t>
        </is>
      </c>
      <c r="C152" s="16" t="n">
        <v>0</v>
      </c>
      <c r="D152" s="17" t="n">
        <v>68.31999999999999</v>
      </c>
      <c r="E152" s="18" t="n">
        <v>2649</v>
      </c>
      <c r="F152" s="18" t="n">
        <v>2649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18 Jun</t>
        </is>
      </c>
      <c r="B153" s="15" t="inlineStr">
        <is>
          <t>30335</t>
        </is>
      </c>
      <c r="C153" s="16" t="n">
        <v>0</v>
      </c>
      <c r="D153" s="17" t="n">
        <v>42.96</v>
      </c>
      <c r="E153" s="18" t="n">
        <v>2006</v>
      </c>
      <c r="F153" s="18" t="n">
        <v>2010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18 Jun</t>
        </is>
      </c>
      <c r="B154" s="15" t="inlineStr">
        <is>
          <t>39084</t>
        </is>
      </c>
      <c r="C154" s="16" t="n">
        <v>0</v>
      </c>
      <c r="D154" s="17" t="n">
        <v>100.78</v>
      </c>
      <c r="E154" s="18" t="n">
        <v>1647</v>
      </c>
      <c r="F154" s="18" t="n">
        <v>1864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18 Jun</t>
        </is>
      </c>
      <c r="B155" s="15" t="inlineStr">
        <is>
          <t>30716</t>
        </is>
      </c>
      <c r="C155" s="16" t="n">
        <v>0</v>
      </c>
      <c r="D155" s="17" t="n">
        <v>3.68</v>
      </c>
      <c r="E155" s="18" t="n">
        <v>586</v>
      </c>
      <c r="F155" s="18" t="n">
        <v>1811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18 Jun</t>
        </is>
      </c>
      <c r="B156" s="15" t="inlineStr">
        <is>
          <t>39328</t>
        </is>
      </c>
      <c r="C156" s="16" t="n">
        <v>0</v>
      </c>
      <c r="D156" s="17" t="n">
        <v>11.93</v>
      </c>
      <c r="E156" s="18" t="n">
        <v>1139</v>
      </c>
      <c r="F156" s="18" t="n">
        <v>1624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0</v>
      </c>
    </row>
    <row r="157">
      <c r="A157" s="15" t="inlineStr">
        <is>
          <t>18 Jun</t>
        </is>
      </c>
      <c r="B157" s="15" t="inlineStr">
        <is>
          <t>37582</t>
        </is>
      </c>
      <c r="C157" s="16" t="n">
        <v>0</v>
      </c>
      <c r="D157" s="17" t="n">
        <v>25.72</v>
      </c>
      <c r="E157" s="18" t="n">
        <v>1499</v>
      </c>
      <c r="F157" s="18" t="n">
        <v>1499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0</v>
      </c>
    </row>
    <row r="158">
      <c r="A158" s="15" t="inlineStr">
        <is>
          <t>18 Jun</t>
        </is>
      </c>
      <c r="B158" s="15" t="inlineStr">
        <is>
          <t>37054</t>
        </is>
      </c>
      <c r="C158" s="16" t="n">
        <v>0</v>
      </c>
      <c r="D158" s="17" t="n">
        <v>9.32</v>
      </c>
      <c r="E158" s="18" t="n">
        <v>235</v>
      </c>
      <c r="F158" s="18" t="n">
        <v>1245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18 Jun</t>
        </is>
      </c>
      <c r="B159" s="15" t="inlineStr">
        <is>
          <t>44406</t>
        </is>
      </c>
      <c r="C159" s="16" t="n">
        <v>0</v>
      </c>
      <c r="D159" s="17" t="n">
        <v>428.04</v>
      </c>
      <c r="E159" s="18" t="n">
        <v>0</v>
      </c>
      <c r="F159" s="18" t="n">
        <v>969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0</v>
      </c>
    </row>
    <row r="160">
      <c r="A160" s="15" t="inlineStr">
        <is>
          <t>18 Jun</t>
        </is>
      </c>
      <c r="B160" s="15" t="inlineStr">
        <is>
          <t>37429</t>
        </is>
      </c>
      <c r="C160" s="16" t="n">
        <v>0</v>
      </c>
      <c r="D160" s="17" t="n">
        <v>50.65</v>
      </c>
      <c r="E160" s="18" t="n">
        <v>200</v>
      </c>
      <c r="F160" s="18" t="n">
        <v>213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</v>
      </c>
    </row>
    <row r="161">
      <c r="A161" s="15" t="inlineStr">
        <is>
          <t>18 Jun</t>
        </is>
      </c>
      <c r="B161" s="15" t="inlineStr">
        <is>
          <t>30194</t>
        </is>
      </c>
      <c r="C161" s="16" t="n">
        <v>0</v>
      </c>
      <c r="D161" s="17" t="n">
        <v>510.18</v>
      </c>
      <c r="E161" s="18" t="n">
        <v>0</v>
      </c>
      <c r="F161" s="18" t="n">
        <v>154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0</v>
      </c>
    </row>
    <row r="162">
      <c r="A162" s="20" t="inlineStr">
        <is>
          <t>18 Jun</t>
        </is>
      </c>
      <c r="B162" s="20" t="inlineStr">
        <is>
          <t>Day Total</t>
        </is>
      </c>
      <c r="C162" s="21">
        <f>SUM(C131:C161)</f>
        <v/>
      </c>
      <c r="D162" s="22">
        <f>SUM(D131:D161)</f>
        <v/>
      </c>
      <c r="E162" s="23">
        <f>SUM(E131:E161)</f>
        <v/>
      </c>
      <c r="F162" s="23">
        <f>SUM(F131:F161)</f>
        <v/>
      </c>
      <c r="G162" s="24">
        <f>IF(F162=0,0,E162/F162*100)</f>
        <v/>
      </c>
      <c r="H162" s="21">
        <f>SUM(H131:H161)</f>
        <v/>
      </c>
      <c r="I162" s="21">
        <f>SUM(I131:I161)</f>
        <v/>
      </c>
      <c r="J162" s="21">
        <f>SUM(J131:J161)</f>
        <v/>
      </c>
      <c r="K162" s="21">
        <f>SUM(K131:K161)</f>
        <v/>
      </c>
    </row>
    <row r="163">
      <c r="A163" s="15" t="inlineStr">
        <is>
          <t>19 Jun</t>
        </is>
      </c>
      <c r="B163" s="15" t="inlineStr">
        <is>
          <t>37548</t>
        </is>
      </c>
      <c r="C163" s="16" t="n">
        <v>2</v>
      </c>
      <c r="D163" s="17" t="n">
        <v>543.85</v>
      </c>
      <c r="E163" s="18" t="n">
        <v>35808</v>
      </c>
      <c r="F163" s="18" t="n">
        <v>36114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8</v>
      </c>
    </row>
    <row r="164">
      <c r="A164" s="15" t="inlineStr">
        <is>
          <t>19 Jun</t>
        </is>
      </c>
      <c r="B164" s="15" t="inlineStr">
        <is>
          <t>30753</t>
        </is>
      </c>
      <c r="C164" s="16" t="n">
        <v>2</v>
      </c>
      <c r="D164" s="17" t="n">
        <v>543.88</v>
      </c>
      <c r="E164" s="18" t="n">
        <v>27394</v>
      </c>
      <c r="F164" s="18" t="n">
        <v>27932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15</v>
      </c>
    </row>
    <row r="165">
      <c r="A165" s="15" t="inlineStr">
        <is>
          <t>19 Jun</t>
        </is>
      </c>
      <c r="B165" s="15" t="inlineStr">
        <is>
          <t>37582</t>
        </is>
      </c>
      <c r="C165" s="16" t="n">
        <v>1</v>
      </c>
      <c r="D165" s="17" t="n">
        <v>543.86</v>
      </c>
      <c r="E165" s="18" t="n">
        <v>35877</v>
      </c>
      <c r="F165" s="18" t="n">
        <v>36206</v>
      </c>
      <c r="G165" s="19">
        <f>IF(F165=0,0,E165/F165*100)</f>
        <v/>
      </c>
      <c r="H165" s="16" t="n">
        <v>1</v>
      </c>
      <c r="I165" s="16" t="n">
        <v>1</v>
      </c>
      <c r="J165" s="16" t="n">
        <v>0</v>
      </c>
      <c r="K165" s="16" t="n">
        <v>11</v>
      </c>
    </row>
    <row r="166">
      <c r="A166" s="15" t="inlineStr">
        <is>
          <t>19 Jun</t>
        </is>
      </c>
      <c r="B166" s="15" t="inlineStr">
        <is>
          <t>39331</t>
        </is>
      </c>
      <c r="C166" s="16" t="n">
        <v>1</v>
      </c>
      <c r="D166" s="17" t="n">
        <v>543.86</v>
      </c>
      <c r="E166" s="18" t="n">
        <v>23678</v>
      </c>
      <c r="F166" s="18" t="n">
        <v>23813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3</v>
      </c>
    </row>
    <row r="167">
      <c r="A167" s="15" t="inlineStr">
        <is>
          <t>19 Jun</t>
        </is>
      </c>
      <c r="B167" s="15" t="inlineStr">
        <is>
          <t>39358</t>
        </is>
      </c>
      <c r="C167" s="16" t="n">
        <v>1</v>
      </c>
      <c r="D167" s="17" t="n">
        <v>543.91</v>
      </c>
      <c r="E167" s="18" t="n">
        <v>23244</v>
      </c>
      <c r="F167" s="18" t="n">
        <v>23381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</v>
      </c>
    </row>
    <row r="168">
      <c r="A168" s="15" t="inlineStr">
        <is>
          <t>19 Jun</t>
        </is>
      </c>
      <c r="B168" s="15" t="inlineStr">
        <is>
          <t>37566</t>
        </is>
      </c>
      <c r="C168" s="16" t="n">
        <v>1</v>
      </c>
      <c r="D168" s="17" t="n">
        <v>543.84</v>
      </c>
      <c r="E168" s="18" t="n">
        <v>22684</v>
      </c>
      <c r="F168" s="18" t="n">
        <v>22873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4</v>
      </c>
    </row>
    <row r="169">
      <c r="A169" s="15" t="inlineStr">
        <is>
          <t>19 Jun</t>
        </is>
      </c>
      <c r="B169" s="15" t="inlineStr">
        <is>
          <t>37812</t>
        </is>
      </c>
      <c r="C169" s="16" t="n">
        <v>1</v>
      </c>
      <c r="D169" s="17" t="n">
        <v>543.85</v>
      </c>
      <c r="E169" s="18" t="n">
        <v>19997</v>
      </c>
      <c r="F169" s="18" t="n">
        <v>20371</v>
      </c>
      <c r="G169" s="19">
        <f>IF(F169=0,0,E169/F169*100)</f>
        <v/>
      </c>
      <c r="H169" s="16" t="n">
        <v>2</v>
      </c>
      <c r="I169" s="16" t="n">
        <v>2</v>
      </c>
      <c r="J169" s="16" t="n">
        <v>0</v>
      </c>
      <c r="K169" s="16" t="n">
        <v>10</v>
      </c>
    </row>
    <row r="170">
      <c r="A170" s="15" t="inlineStr">
        <is>
          <t>19 Jun</t>
        </is>
      </c>
      <c r="B170" s="15" t="inlineStr">
        <is>
          <t>37781</t>
        </is>
      </c>
      <c r="C170" s="16" t="n">
        <v>1</v>
      </c>
      <c r="D170" s="17" t="n">
        <v>543.6</v>
      </c>
      <c r="E170" s="18" t="n">
        <v>19244</v>
      </c>
      <c r="F170" s="18" t="n">
        <v>19402</v>
      </c>
      <c r="G170" s="19">
        <f>IF(F170=0,0,E170/F170*100)</f>
        <v/>
      </c>
      <c r="H170" s="16" t="n">
        <v>1</v>
      </c>
      <c r="I170" s="16" t="n">
        <v>1</v>
      </c>
      <c r="J170" s="16" t="n">
        <v>0</v>
      </c>
      <c r="K170" s="16" t="n">
        <v>4</v>
      </c>
    </row>
    <row r="171">
      <c r="A171" s="15" t="inlineStr">
        <is>
          <t>19 Jun</t>
        </is>
      </c>
      <c r="B171" s="15" t="inlineStr">
        <is>
          <t>37367</t>
        </is>
      </c>
      <c r="C171" s="16" t="n">
        <v>0</v>
      </c>
      <c r="D171" s="17" t="n">
        <v>251.78</v>
      </c>
      <c r="E171" s="18" t="n">
        <v>31448</v>
      </c>
      <c r="F171" s="18" t="n">
        <v>31550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2</v>
      </c>
    </row>
    <row r="172">
      <c r="A172" s="15" t="inlineStr">
        <is>
          <t>19 Jun</t>
        </is>
      </c>
      <c r="B172" s="15" t="inlineStr">
        <is>
          <t>37780</t>
        </is>
      </c>
      <c r="C172" s="16" t="n">
        <v>0</v>
      </c>
      <c r="D172" s="17" t="n">
        <v>329.99</v>
      </c>
      <c r="E172" s="18" t="n">
        <v>29129</v>
      </c>
      <c r="F172" s="18" t="n">
        <v>29594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10</v>
      </c>
    </row>
    <row r="173">
      <c r="A173" s="15" t="inlineStr">
        <is>
          <t>19 Jun</t>
        </is>
      </c>
      <c r="B173" s="15" t="inlineStr">
        <is>
          <t>37384</t>
        </is>
      </c>
      <c r="C173" s="16" t="n">
        <v>0</v>
      </c>
      <c r="D173" s="17" t="n">
        <v>322.6</v>
      </c>
      <c r="E173" s="18" t="n">
        <v>25103</v>
      </c>
      <c r="F173" s="18" t="n">
        <v>25254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2</v>
      </c>
    </row>
    <row r="174">
      <c r="A174" s="15" t="inlineStr">
        <is>
          <t>19 Jun</t>
        </is>
      </c>
      <c r="B174" s="15" t="inlineStr">
        <is>
          <t>30335</t>
        </is>
      </c>
      <c r="C174" s="16" t="n">
        <v>0</v>
      </c>
      <c r="D174" s="17" t="n">
        <v>321.5</v>
      </c>
      <c r="E174" s="18" t="n">
        <v>22575</v>
      </c>
      <c r="F174" s="18" t="n">
        <v>22816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5</v>
      </c>
    </row>
    <row r="175">
      <c r="A175" s="15" t="inlineStr">
        <is>
          <t>19 Jun</t>
        </is>
      </c>
      <c r="B175" s="15" t="inlineStr">
        <is>
          <t>37275</t>
        </is>
      </c>
      <c r="C175" s="16" t="n">
        <v>0</v>
      </c>
      <c r="D175" s="17" t="n">
        <v>470.58</v>
      </c>
      <c r="E175" s="18" t="n">
        <v>19098</v>
      </c>
      <c r="F175" s="18" t="n">
        <v>19258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5</v>
      </c>
    </row>
    <row r="176">
      <c r="A176" s="15" t="inlineStr">
        <is>
          <t>19 Jun</t>
        </is>
      </c>
      <c r="B176" s="15" t="inlineStr">
        <is>
          <t>37163</t>
        </is>
      </c>
      <c r="C176" s="16" t="n">
        <v>0</v>
      </c>
      <c r="D176" s="17" t="n">
        <v>469.92</v>
      </c>
      <c r="E176" s="18" t="n">
        <v>18603</v>
      </c>
      <c r="F176" s="18" t="n">
        <v>18715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11</v>
      </c>
    </row>
    <row r="177">
      <c r="A177" s="15" t="inlineStr">
        <is>
          <t>19 Jun</t>
        </is>
      </c>
      <c r="B177" s="15" t="inlineStr">
        <is>
          <t>37366</t>
        </is>
      </c>
      <c r="C177" s="16" t="n">
        <v>0</v>
      </c>
      <c r="D177" s="17" t="n">
        <v>179.01</v>
      </c>
      <c r="E177" s="18" t="n">
        <v>14014</v>
      </c>
      <c r="F177" s="18" t="n">
        <v>14031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19 Jun</t>
        </is>
      </c>
      <c r="B178" s="15" t="inlineStr">
        <is>
          <t>39336</t>
        </is>
      </c>
      <c r="C178" s="16" t="n">
        <v>0</v>
      </c>
      <c r="D178" s="17" t="n">
        <v>108.66</v>
      </c>
      <c r="E178" s="18" t="n">
        <v>13049</v>
      </c>
      <c r="F178" s="18" t="n">
        <v>13471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19 Jun</t>
        </is>
      </c>
      <c r="B179" s="15" t="inlineStr">
        <is>
          <t>30415</t>
        </is>
      </c>
      <c r="C179" s="16" t="n">
        <v>0</v>
      </c>
      <c r="D179" s="17" t="n">
        <v>332.59</v>
      </c>
      <c r="E179" s="18" t="n">
        <v>12792</v>
      </c>
      <c r="F179" s="18" t="n">
        <v>13209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9</v>
      </c>
    </row>
    <row r="180">
      <c r="A180" s="15" t="inlineStr">
        <is>
          <t>19 Jun</t>
        </is>
      </c>
      <c r="B180" s="15" t="inlineStr">
        <is>
          <t>30346</t>
        </is>
      </c>
      <c r="C180" s="16" t="n">
        <v>0</v>
      </c>
      <c r="D180" s="17" t="n">
        <v>322.6</v>
      </c>
      <c r="E180" s="18" t="n">
        <v>12791</v>
      </c>
      <c r="F180" s="18" t="n">
        <v>12848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19 Jun</t>
        </is>
      </c>
      <c r="B181" s="15" t="inlineStr">
        <is>
          <t>39145</t>
        </is>
      </c>
      <c r="C181" s="16" t="n">
        <v>0</v>
      </c>
      <c r="D181" s="17" t="n">
        <v>330.22</v>
      </c>
      <c r="E181" s="18" t="n">
        <v>12003</v>
      </c>
      <c r="F181" s="18" t="n">
        <v>12661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9</v>
      </c>
    </row>
    <row r="182">
      <c r="A182" s="15" t="inlineStr">
        <is>
          <t>19 Jun</t>
        </is>
      </c>
      <c r="B182" s="15" t="inlineStr">
        <is>
          <t>30351</t>
        </is>
      </c>
      <c r="C182" s="16" t="n">
        <v>0</v>
      </c>
      <c r="D182" s="17" t="n">
        <v>319.23</v>
      </c>
      <c r="E182" s="18" t="n">
        <v>12368</v>
      </c>
      <c r="F182" s="18" t="n">
        <v>12472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19 Jun</t>
        </is>
      </c>
      <c r="B183" s="15" t="inlineStr">
        <is>
          <t>37853</t>
        </is>
      </c>
      <c r="C183" s="16" t="n">
        <v>0</v>
      </c>
      <c r="D183" s="17" t="n">
        <v>329.82</v>
      </c>
      <c r="E183" s="18" t="n">
        <v>12106</v>
      </c>
      <c r="F183" s="18" t="n">
        <v>12256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11</v>
      </c>
    </row>
    <row r="184">
      <c r="A184" s="15" t="inlineStr">
        <is>
          <t>19 Jun</t>
        </is>
      </c>
      <c r="B184" s="15" t="inlineStr">
        <is>
          <t>30339</t>
        </is>
      </c>
      <c r="C184" s="16" t="n">
        <v>0</v>
      </c>
      <c r="D184" s="17" t="n">
        <v>322.46</v>
      </c>
      <c r="E184" s="18" t="n">
        <v>11782</v>
      </c>
      <c r="F184" s="18" t="n">
        <v>11863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4</v>
      </c>
    </row>
    <row r="185">
      <c r="A185" s="15" t="inlineStr">
        <is>
          <t>19 Jun</t>
        </is>
      </c>
      <c r="B185" s="15" t="inlineStr">
        <is>
          <t>37856</t>
        </is>
      </c>
      <c r="C185" s="16" t="n">
        <v>0</v>
      </c>
      <c r="D185" s="17" t="n">
        <v>319.23</v>
      </c>
      <c r="E185" s="18" t="n">
        <v>11635</v>
      </c>
      <c r="F185" s="18" t="n">
        <v>11709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1</v>
      </c>
    </row>
    <row r="186">
      <c r="A186" s="15" t="inlineStr">
        <is>
          <t>19 Jun</t>
        </is>
      </c>
      <c r="B186" s="15" t="inlineStr">
        <is>
          <t>30464</t>
        </is>
      </c>
      <c r="C186" s="16" t="n">
        <v>0</v>
      </c>
      <c r="D186" s="17" t="n">
        <v>318.81</v>
      </c>
      <c r="E186" s="18" t="n">
        <v>11178</v>
      </c>
      <c r="F186" s="18" t="n">
        <v>11221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1</v>
      </c>
    </row>
    <row r="187">
      <c r="A187" s="15" t="inlineStr">
        <is>
          <t>19 Jun</t>
        </is>
      </c>
      <c r="B187" s="15" t="inlineStr">
        <is>
          <t>39108</t>
        </is>
      </c>
      <c r="C187" s="16" t="n">
        <v>0</v>
      </c>
      <c r="D187" s="17" t="n">
        <v>108.54</v>
      </c>
      <c r="E187" s="18" t="n">
        <v>10233</v>
      </c>
      <c r="F187" s="18" t="n">
        <v>10328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19 Jun</t>
        </is>
      </c>
      <c r="B188" s="15" t="inlineStr">
        <is>
          <t>30608</t>
        </is>
      </c>
      <c r="C188" s="16" t="n">
        <v>0</v>
      </c>
      <c r="D188" s="17" t="n">
        <v>322.18</v>
      </c>
      <c r="E188" s="18" t="n">
        <v>10217</v>
      </c>
      <c r="F188" s="18" t="n">
        <v>10312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6</v>
      </c>
    </row>
    <row r="189">
      <c r="A189" s="15" t="inlineStr">
        <is>
          <t>19 Jun</t>
        </is>
      </c>
      <c r="B189" s="15" t="inlineStr">
        <is>
          <t>37580</t>
        </is>
      </c>
      <c r="C189" s="16" t="n">
        <v>0</v>
      </c>
      <c r="D189" s="17" t="n">
        <v>179.17</v>
      </c>
      <c r="E189" s="18" t="n">
        <v>6982</v>
      </c>
      <c r="F189" s="18" t="n">
        <v>7337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0</v>
      </c>
    </row>
    <row r="190">
      <c r="A190" s="15" t="inlineStr">
        <is>
          <t>19 Jun</t>
        </is>
      </c>
      <c r="B190" s="15" t="inlineStr">
        <is>
          <t>30176</t>
        </is>
      </c>
      <c r="C190" s="16" t="n">
        <v>0</v>
      </c>
      <c r="D190" s="17" t="n">
        <v>108.27</v>
      </c>
      <c r="E190" s="18" t="n">
        <v>6637</v>
      </c>
      <c r="F190" s="18" t="n">
        <v>6711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19 Jun</t>
        </is>
      </c>
      <c r="B191" s="15" t="inlineStr">
        <is>
          <t>37035</t>
        </is>
      </c>
      <c r="C191" s="16" t="n">
        <v>0</v>
      </c>
      <c r="D191" s="17" t="n">
        <v>39.54</v>
      </c>
      <c r="E191" s="18" t="n">
        <v>2787</v>
      </c>
      <c r="F191" s="18" t="n">
        <v>2863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1</v>
      </c>
    </row>
    <row r="192">
      <c r="A192" s="15" t="inlineStr">
        <is>
          <t>19 Jun</t>
        </is>
      </c>
      <c r="B192" s="15" t="inlineStr">
        <is>
          <t>37813</t>
        </is>
      </c>
      <c r="C192" s="16" t="n">
        <v>0</v>
      </c>
      <c r="D192" s="17" t="n">
        <v>43.92</v>
      </c>
      <c r="E192" s="18" t="n">
        <v>1981</v>
      </c>
      <c r="F192" s="18" t="n">
        <v>1981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19 Jun</t>
        </is>
      </c>
      <c r="B193" s="15" t="inlineStr">
        <is>
          <t>39084</t>
        </is>
      </c>
      <c r="C193" s="16" t="n">
        <v>0</v>
      </c>
      <c r="D193" s="17" t="n">
        <v>39.84</v>
      </c>
      <c r="E193" s="18" t="n">
        <v>575</v>
      </c>
      <c r="F193" s="18" t="n">
        <v>602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1</v>
      </c>
    </row>
    <row r="194">
      <c r="A194" s="20" t="inlineStr">
        <is>
          <t>19 Jun</t>
        </is>
      </c>
      <c r="B194" s="20" t="inlineStr">
        <is>
          <t>Day Total</t>
        </is>
      </c>
      <c r="C194" s="21">
        <f>SUM(C163:C193)</f>
        <v/>
      </c>
      <c r="D194" s="22">
        <f>SUM(D163:D193)</f>
        <v/>
      </c>
      <c r="E194" s="23">
        <f>SUM(E163:E193)</f>
        <v/>
      </c>
      <c r="F194" s="23">
        <f>SUM(F163:F193)</f>
        <v/>
      </c>
      <c r="G194" s="24">
        <f>IF(F194=0,0,E194/F194*100)</f>
        <v/>
      </c>
      <c r="H194" s="21">
        <f>SUM(H163:H193)</f>
        <v/>
      </c>
      <c r="I194" s="21">
        <f>SUM(I163:I193)</f>
        <v/>
      </c>
      <c r="J194" s="21">
        <f>SUM(J163:J193)</f>
        <v/>
      </c>
      <c r="K194" s="21">
        <f>SUM(K163:K193)</f>
        <v/>
      </c>
    </row>
    <row r="195">
      <c r="A195" s="15" t="inlineStr">
        <is>
          <t>20 Jun</t>
        </is>
      </c>
      <c r="B195" s="15" t="inlineStr">
        <is>
          <t>30814</t>
        </is>
      </c>
      <c r="C195" s="16" t="n">
        <v>1</v>
      </c>
      <c r="D195" s="17" t="n">
        <v>543.88</v>
      </c>
      <c r="E195" s="18" t="n">
        <v>31261</v>
      </c>
      <c r="F195" s="18" t="n">
        <v>31812</v>
      </c>
      <c r="G195" s="19">
        <f>IF(F195=0,0,E195/F195*100)</f>
        <v/>
      </c>
      <c r="H195" s="16" t="n">
        <v>1</v>
      </c>
      <c r="I195" s="16" t="n">
        <v>1</v>
      </c>
      <c r="J195" s="16" t="n">
        <v>0</v>
      </c>
      <c r="K195" s="16" t="n">
        <v>10</v>
      </c>
    </row>
    <row r="196">
      <c r="A196" s="15" t="inlineStr">
        <is>
          <t>20 Jun</t>
        </is>
      </c>
      <c r="B196" s="15" t="inlineStr">
        <is>
          <t>30460</t>
        </is>
      </c>
      <c r="C196" s="16" t="n">
        <v>1</v>
      </c>
      <c r="D196" s="17" t="n">
        <v>543.87</v>
      </c>
      <c r="E196" s="18" t="n">
        <v>27261</v>
      </c>
      <c r="F196" s="18" t="n">
        <v>27380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6</v>
      </c>
    </row>
    <row r="197">
      <c r="A197" s="15" t="inlineStr">
        <is>
          <t>20 Jun</t>
        </is>
      </c>
      <c r="B197" s="15" t="inlineStr">
        <is>
          <t>37684</t>
        </is>
      </c>
      <c r="C197" s="16" t="n">
        <v>1</v>
      </c>
      <c r="D197" s="17" t="n">
        <v>541.64</v>
      </c>
      <c r="E197" s="18" t="n">
        <v>25263</v>
      </c>
      <c r="F197" s="18" t="n">
        <v>25383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6</v>
      </c>
    </row>
    <row r="198">
      <c r="A198" s="15" t="inlineStr">
        <is>
          <t>20 Jun</t>
        </is>
      </c>
      <c r="B198" s="15" t="inlineStr">
        <is>
          <t>30343</t>
        </is>
      </c>
      <c r="C198" s="16" t="n">
        <v>1</v>
      </c>
      <c r="D198" s="17" t="n">
        <v>541.58</v>
      </c>
      <c r="E198" s="18" t="n">
        <v>23953</v>
      </c>
      <c r="F198" s="18" t="n">
        <v>24005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20 Jun</t>
        </is>
      </c>
      <c r="B199" s="15" t="inlineStr">
        <is>
          <t>39035</t>
        </is>
      </c>
      <c r="C199" s="16" t="n">
        <v>1</v>
      </c>
      <c r="D199" s="17" t="n">
        <v>543.88</v>
      </c>
      <c r="E199" s="18" t="n">
        <v>21176</v>
      </c>
      <c r="F199" s="18" t="n">
        <v>21228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2</v>
      </c>
    </row>
    <row r="200">
      <c r="A200" s="15" t="inlineStr">
        <is>
          <t>20 Jun</t>
        </is>
      </c>
      <c r="B200" s="15" t="inlineStr">
        <is>
          <t>37397</t>
        </is>
      </c>
      <c r="C200" s="16" t="n">
        <v>1</v>
      </c>
      <c r="D200" s="17" t="n">
        <v>543.86</v>
      </c>
      <c r="E200" s="18" t="n">
        <v>20804</v>
      </c>
      <c r="F200" s="18" t="n">
        <v>20952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8</v>
      </c>
    </row>
    <row r="201">
      <c r="A201" s="15" t="inlineStr">
        <is>
          <t>20 Jun</t>
        </is>
      </c>
      <c r="B201" s="15" t="inlineStr">
        <is>
          <t>39147</t>
        </is>
      </c>
      <c r="C201" s="16" t="n">
        <v>1</v>
      </c>
      <c r="D201" s="17" t="n">
        <v>543.65</v>
      </c>
      <c r="E201" s="18" t="n">
        <v>18647</v>
      </c>
      <c r="F201" s="18" t="n">
        <v>18782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3</v>
      </c>
    </row>
    <row r="202">
      <c r="A202" s="15" t="inlineStr">
        <is>
          <t>20 Jun</t>
        </is>
      </c>
      <c r="B202" s="15" t="inlineStr">
        <is>
          <t>37780</t>
        </is>
      </c>
      <c r="C202" s="16" t="n">
        <v>0</v>
      </c>
      <c r="D202" s="17" t="n">
        <v>330.04</v>
      </c>
      <c r="E202" s="18" t="n">
        <v>29106</v>
      </c>
      <c r="F202" s="18" t="n">
        <v>29809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9</v>
      </c>
    </row>
    <row r="203">
      <c r="A203" s="15" t="inlineStr">
        <is>
          <t>20 Jun</t>
        </is>
      </c>
      <c r="B203" s="15" t="inlineStr">
        <is>
          <t>39336</t>
        </is>
      </c>
      <c r="C203" s="16" t="n">
        <v>0</v>
      </c>
      <c r="D203" s="17" t="n">
        <v>108.66</v>
      </c>
      <c r="E203" s="18" t="n">
        <v>22281</v>
      </c>
      <c r="F203" s="18" t="n">
        <v>23034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11</v>
      </c>
    </row>
    <row r="204">
      <c r="A204" s="15" t="inlineStr">
        <is>
          <t>20 Jun</t>
        </is>
      </c>
      <c r="B204" s="15" t="inlineStr">
        <is>
          <t>30451</t>
        </is>
      </c>
      <c r="C204" s="16" t="n">
        <v>0</v>
      </c>
      <c r="D204" s="17" t="n">
        <v>322.61</v>
      </c>
      <c r="E204" s="18" t="n">
        <v>22809</v>
      </c>
      <c r="F204" s="18" t="n">
        <v>22948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14</v>
      </c>
    </row>
    <row r="205">
      <c r="A205" s="15" t="inlineStr">
        <is>
          <t>20 Jun</t>
        </is>
      </c>
      <c r="B205" s="15" t="inlineStr">
        <is>
          <t>37884</t>
        </is>
      </c>
      <c r="C205" s="16" t="n">
        <v>0</v>
      </c>
      <c r="D205" s="17" t="n">
        <v>470.59</v>
      </c>
      <c r="E205" s="18" t="n">
        <v>22545</v>
      </c>
      <c r="F205" s="18" t="n">
        <v>22640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1</v>
      </c>
    </row>
    <row r="206">
      <c r="A206" s="15" t="inlineStr">
        <is>
          <t>20 Jun</t>
        </is>
      </c>
      <c r="B206" s="15" t="inlineStr">
        <is>
          <t>37367</t>
        </is>
      </c>
      <c r="C206" s="16" t="n">
        <v>0</v>
      </c>
      <c r="D206" s="17" t="n">
        <v>251.9</v>
      </c>
      <c r="E206" s="18" t="n">
        <v>21932</v>
      </c>
      <c r="F206" s="18" t="n">
        <v>22147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1</v>
      </c>
    </row>
    <row r="207">
      <c r="A207" s="15" t="inlineStr">
        <is>
          <t>20 Jun</t>
        </is>
      </c>
      <c r="B207" s="15" t="inlineStr">
        <is>
          <t>39014</t>
        </is>
      </c>
      <c r="C207" s="16" t="n">
        <v>0</v>
      </c>
      <c r="D207" s="17" t="n">
        <v>471.64</v>
      </c>
      <c r="E207" s="18" t="n">
        <v>21320</v>
      </c>
      <c r="F207" s="18" t="n">
        <v>21882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20 Jun</t>
        </is>
      </c>
      <c r="B208" s="15" t="inlineStr">
        <is>
          <t>30339</t>
        </is>
      </c>
      <c r="C208" s="16" t="n">
        <v>0</v>
      </c>
      <c r="D208" s="17" t="n">
        <v>321.44</v>
      </c>
      <c r="E208" s="18" t="n">
        <v>21216</v>
      </c>
      <c r="F208" s="18" t="n">
        <v>21411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7</v>
      </c>
    </row>
    <row r="209">
      <c r="A209" s="15" t="inlineStr">
        <is>
          <t>20 Jun</t>
        </is>
      </c>
      <c r="B209" s="15" t="inlineStr">
        <is>
          <t>39488</t>
        </is>
      </c>
      <c r="C209" s="16" t="n">
        <v>0</v>
      </c>
      <c r="D209" s="17" t="n">
        <v>470.59</v>
      </c>
      <c r="E209" s="18" t="n">
        <v>19128</v>
      </c>
      <c r="F209" s="18" t="n">
        <v>19551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8</v>
      </c>
    </row>
    <row r="210">
      <c r="A210" s="15" t="inlineStr">
        <is>
          <t>20 Jun</t>
        </is>
      </c>
      <c r="B210" s="15" t="inlineStr">
        <is>
          <t>37515</t>
        </is>
      </c>
      <c r="C210" s="16" t="n">
        <v>0</v>
      </c>
      <c r="D210" s="17" t="n">
        <v>392.71</v>
      </c>
      <c r="E210" s="18" t="n">
        <v>15776</v>
      </c>
      <c r="F210" s="18" t="n">
        <v>15780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20 Jun</t>
        </is>
      </c>
      <c r="B211" s="15" t="inlineStr">
        <is>
          <t>30488</t>
        </is>
      </c>
      <c r="C211" s="16" t="n">
        <v>0</v>
      </c>
      <c r="D211" s="17" t="n">
        <v>322.47</v>
      </c>
      <c r="E211" s="18" t="n">
        <v>12644</v>
      </c>
      <c r="F211" s="18" t="n">
        <v>12737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20 Jun</t>
        </is>
      </c>
      <c r="B212" s="15" t="inlineStr">
        <is>
          <t>30269</t>
        </is>
      </c>
      <c r="C212" s="16" t="n">
        <v>0</v>
      </c>
      <c r="D212" s="17" t="n">
        <v>319.21</v>
      </c>
      <c r="E212" s="18" t="n">
        <v>10861</v>
      </c>
      <c r="F212" s="18" t="n">
        <v>10935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3</v>
      </c>
    </row>
    <row r="213">
      <c r="A213" s="15" t="inlineStr">
        <is>
          <t>20 Jun</t>
        </is>
      </c>
      <c r="B213" s="15" t="inlineStr">
        <is>
          <t>37035</t>
        </is>
      </c>
      <c r="C213" s="16" t="n">
        <v>0</v>
      </c>
      <c r="D213" s="17" t="n">
        <v>108.55</v>
      </c>
      <c r="E213" s="18" t="n">
        <v>10281</v>
      </c>
      <c r="F213" s="18" t="n">
        <v>10527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20 Jun</t>
        </is>
      </c>
      <c r="B214" s="15" t="inlineStr">
        <is>
          <t>30346</t>
        </is>
      </c>
      <c r="C214" s="16" t="n">
        <v>0</v>
      </c>
      <c r="D214" s="17" t="n">
        <v>318.79</v>
      </c>
      <c r="E214" s="18" t="n">
        <v>10185</v>
      </c>
      <c r="F214" s="18" t="n">
        <v>10307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7</v>
      </c>
    </row>
    <row r="215">
      <c r="A215" s="15" t="inlineStr">
        <is>
          <t>20 Jun</t>
        </is>
      </c>
      <c r="B215" s="15" t="inlineStr">
        <is>
          <t>37818</t>
        </is>
      </c>
      <c r="C215" s="16" t="n">
        <v>0</v>
      </c>
      <c r="D215" s="17" t="n">
        <v>471.89</v>
      </c>
      <c r="E215" s="18" t="n">
        <v>9118</v>
      </c>
      <c r="F215" s="18" t="n">
        <v>9235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2</v>
      </c>
    </row>
    <row r="216">
      <c r="A216" s="15" t="inlineStr">
        <is>
          <t>20 Jun</t>
        </is>
      </c>
      <c r="B216" s="15" t="inlineStr">
        <is>
          <t>30608</t>
        </is>
      </c>
      <c r="C216" s="16" t="n">
        <v>0</v>
      </c>
      <c r="D216" s="17" t="n">
        <v>318.92</v>
      </c>
      <c r="E216" s="18" t="n">
        <v>8685</v>
      </c>
      <c r="F216" s="18" t="n">
        <v>8779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8</v>
      </c>
    </row>
    <row r="217">
      <c r="A217" s="15" t="inlineStr">
        <is>
          <t>20 Jun</t>
        </is>
      </c>
      <c r="B217" s="15" t="inlineStr">
        <is>
          <t>30415</t>
        </is>
      </c>
      <c r="C217" s="16" t="n">
        <v>0</v>
      </c>
      <c r="D217" s="17" t="n">
        <v>211.35</v>
      </c>
      <c r="E217" s="18" t="n">
        <v>8690</v>
      </c>
      <c r="F217" s="18" t="n">
        <v>8754</v>
      </c>
      <c r="G217" s="19">
        <f>IF(F217=0,0,E217/F217*100)</f>
        <v/>
      </c>
      <c r="H217" s="16" t="n">
        <v>1</v>
      </c>
      <c r="I217" s="16" t="n">
        <v>0</v>
      </c>
      <c r="J217" s="16" t="n">
        <v>1</v>
      </c>
      <c r="K217" s="16" t="n">
        <v>5</v>
      </c>
    </row>
    <row r="218">
      <c r="A218" s="15" t="inlineStr">
        <is>
          <t>20 Jun</t>
        </is>
      </c>
      <c r="B218" s="15" t="inlineStr">
        <is>
          <t>30753</t>
        </is>
      </c>
      <c r="C218" s="16" t="n">
        <v>0</v>
      </c>
      <c r="D218" s="17" t="n">
        <v>167.48</v>
      </c>
      <c r="E218" s="18" t="n">
        <v>7121</v>
      </c>
      <c r="F218" s="18" t="n">
        <v>7123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20 Jun</t>
        </is>
      </c>
      <c r="B219" s="15" t="inlineStr">
        <is>
          <t>37580</t>
        </is>
      </c>
      <c r="C219" s="16" t="n">
        <v>0</v>
      </c>
      <c r="D219" s="17" t="n">
        <v>150.35</v>
      </c>
      <c r="E219" s="18" t="n">
        <v>7064</v>
      </c>
      <c r="F219" s="18" t="n">
        <v>7066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0</v>
      </c>
    </row>
    <row r="220">
      <c r="A220" s="15" t="inlineStr">
        <is>
          <t>20 Jun</t>
        </is>
      </c>
      <c r="B220" s="15" t="inlineStr">
        <is>
          <t>39145</t>
        </is>
      </c>
      <c r="C220" s="16" t="n">
        <v>0</v>
      </c>
      <c r="D220" s="17" t="n">
        <v>140.13</v>
      </c>
      <c r="E220" s="18" t="n">
        <v>3810</v>
      </c>
      <c r="F220" s="18" t="n">
        <v>4219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11</v>
      </c>
    </row>
    <row r="221">
      <c r="A221" s="15" t="inlineStr">
        <is>
          <t>20 Jun</t>
        </is>
      </c>
      <c r="B221" s="15" t="inlineStr">
        <is>
          <t>37725</t>
        </is>
      </c>
      <c r="C221" s="16" t="n">
        <v>0</v>
      </c>
      <c r="D221" s="17" t="n">
        <v>64.91</v>
      </c>
      <c r="E221" s="18" t="n">
        <v>2142</v>
      </c>
      <c r="F221" s="18" t="n">
        <v>2205</v>
      </c>
      <c r="G221" s="19">
        <f>IF(F221=0,0,E221/F221*100)</f>
        <v/>
      </c>
      <c r="H221" s="16" t="n">
        <v>1</v>
      </c>
      <c r="I221" s="16" t="n">
        <v>0</v>
      </c>
      <c r="J221" s="16" t="n">
        <v>1</v>
      </c>
      <c r="K221" s="16" t="n">
        <v>0</v>
      </c>
    </row>
    <row r="222">
      <c r="A222" s="15" t="inlineStr">
        <is>
          <t>20 Jun</t>
        </is>
      </c>
      <c r="B222" s="15" t="inlineStr">
        <is>
          <t>37582</t>
        </is>
      </c>
      <c r="C222" s="16" t="n">
        <v>0</v>
      </c>
      <c r="D222" s="17" t="n">
        <v>31.71</v>
      </c>
      <c r="E222" s="18" t="n">
        <v>1941</v>
      </c>
      <c r="F222" s="18" t="n">
        <v>1941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0</v>
      </c>
    </row>
    <row r="223">
      <c r="A223" s="15" t="inlineStr">
        <is>
          <t>20 Jun</t>
        </is>
      </c>
      <c r="B223" s="15" t="inlineStr">
        <is>
          <t>30335</t>
        </is>
      </c>
      <c r="C223" s="16" t="n">
        <v>0</v>
      </c>
      <c r="D223" s="17" t="n">
        <v>40.93</v>
      </c>
      <c r="E223" s="18" t="n">
        <v>1679</v>
      </c>
      <c r="F223" s="18" t="n">
        <v>1683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0</v>
      </c>
    </row>
    <row r="224">
      <c r="A224" s="15" t="inlineStr">
        <is>
          <t>20 Jun</t>
        </is>
      </c>
      <c r="B224" s="15" t="inlineStr">
        <is>
          <t>30819</t>
        </is>
      </c>
      <c r="C224" s="16" t="n">
        <v>0</v>
      </c>
      <c r="D224" s="17" t="n">
        <v>10.53</v>
      </c>
      <c r="E224" s="18" t="n">
        <v>418</v>
      </c>
      <c r="F224" s="18" t="n">
        <v>568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2</v>
      </c>
    </row>
    <row r="225">
      <c r="A225" s="15" t="inlineStr">
        <is>
          <t>20 Jun</t>
        </is>
      </c>
      <c r="B225" s="15" t="inlineStr">
        <is>
          <t>37198</t>
        </is>
      </c>
      <c r="C225" s="16" t="n">
        <v>0</v>
      </c>
      <c r="D225" s="17" t="n">
        <v>1.32</v>
      </c>
      <c r="E225" s="18" t="n">
        <v>351</v>
      </c>
      <c r="F225" s="18" t="n">
        <v>533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3</v>
      </c>
    </row>
    <row r="226">
      <c r="A226" s="15" t="inlineStr">
        <is>
          <t>20 Jun</t>
        </is>
      </c>
      <c r="B226" s="15" t="inlineStr">
        <is>
          <t>37632</t>
        </is>
      </c>
      <c r="C226" s="16" t="n">
        <v>0</v>
      </c>
      <c r="D226" s="17" t="n">
        <v>320.85</v>
      </c>
      <c r="E226" s="18" t="n">
        <v>0</v>
      </c>
      <c r="F226" s="18" t="n">
        <v>121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0</v>
      </c>
    </row>
    <row r="227">
      <c r="A227" s="15" t="inlineStr">
        <is>
          <t>20 Jun</t>
        </is>
      </c>
      <c r="B227" s="15" t="inlineStr">
        <is>
          <t>30176</t>
        </is>
      </c>
      <c r="C227" s="16" t="n">
        <v>0</v>
      </c>
      <c r="D227" s="17" t="n">
        <v>8.42</v>
      </c>
      <c r="E227" s="18" t="n">
        <v>0</v>
      </c>
      <c r="F227" s="18" t="n">
        <v>66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0</v>
      </c>
    </row>
    <row r="228">
      <c r="A228" s="20" t="inlineStr">
        <is>
          <t>20 Jun</t>
        </is>
      </c>
      <c r="B228" s="20" t="inlineStr">
        <is>
          <t>Day Total</t>
        </is>
      </c>
      <c r="C228" s="21">
        <f>SUM(C195:C227)</f>
        <v/>
      </c>
      <c r="D228" s="22">
        <f>SUM(D195:D227)</f>
        <v/>
      </c>
      <c r="E228" s="23">
        <f>SUM(E195:E227)</f>
        <v/>
      </c>
      <c r="F228" s="23">
        <f>SUM(F195:F227)</f>
        <v/>
      </c>
      <c r="G228" s="24">
        <f>IF(F228=0,0,E228/F228*100)</f>
        <v/>
      </c>
      <c r="H228" s="21">
        <f>SUM(H195:H227)</f>
        <v/>
      </c>
      <c r="I228" s="21">
        <f>SUM(I195:I227)</f>
        <v/>
      </c>
      <c r="J228" s="21">
        <f>SUM(J195:J227)</f>
        <v/>
      </c>
      <c r="K228" s="21">
        <f>SUM(K195:K227)</f>
        <v/>
      </c>
    </row>
    <row r="229">
      <c r="A229" s="15" t="inlineStr">
        <is>
          <t>21 Jun</t>
        </is>
      </c>
      <c r="B229" s="15" t="inlineStr">
        <is>
          <t>37812</t>
        </is>
      </c>
      <c r="C229" s="16" t="n">
        <v>1</v>
      </c>
      <c r="D229" s="17" t="n">
        <v>543.88</v>
      </c>
      <c r="E229" s="18" t="n">
        <v>35766</v>
      </c>
      <c r="F229" s="18" t="n">
        <v>36136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17</v>
      </c>
    </row>
    <row r="230">
      <c r="A230" s="15" t="inlineStr">
        <is>
          <t>21 Jun</t>
        </is>
      </c>
      <c r="B230" s="15" t="inlineStr">
        <is>
          <t>37582</t>
        </is>
      </c>
      <c r="C230" s="16" t="n">
        <v>1</v>
      </c>
      <c r="D230" s="17" t="n">
        <v>543.86</v>
      </c>
      <c r="E230" s="18" t="n">
        <v>34686</v>
      </c>
      <c r="F230" s="18" t="n">
        <v>35023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12</v>
      </c>
    </row>
    <row r="231">
      <c r="A231" s="15" t="inlineStr">
        <is>
          <t>21 Jun</t>
        </is>
      </c>
      <c r="B231" s="15" t="inlineStr">
        <is>
          <t>39260</t>
        </is>
      </c>
      <c r="C231" s="16" t="n">
        <v>1</v>
      </c>
      <c r="D231" s="17" t="n">
        <v>541.64</v>
      </c>
      <c r="E231" s="18" t="n">
        <v>29473</v>
      </c>
      <c r="F231" s="18" t="n">
        <v>29669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10</v>
      </c>
    </row>
    <row r="232">
      <c r="A232" s="15" t="inlineStr">
        <is>
          <t>21 Jun</t>
        </is>
      </c>
      <c r="B232" s="15" t="inlineStr">
        <is>
          <t>30343</t>
        </is>
      </c>
      <c r="C232" s="16" t="n">
        <v>1</v>
      </c>
      <c r="D232" s="17" t="n">
        <v>543.88</v>
      </c>
      <c r="E232" s="18" t="n">
        <v>24046</v>
      </c>
      <c r="F232" s="18" t="n">
        <v>24198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11</v>
      </c>
    </row>
    <row r="233">
      <c r="A233" s="15" t="inlineStr">
        <is>
          <t>21 Jun</t>
        </is>
      </c>
      <c r="B233" s="15" t="inlineStr">
        <is>
          <t>45034</t>
        </is>
      </c>
      <c r="C233" s="16" t="n">
        <v>1</v>
      </c>
      <c r="D233" s="17" t="n">
        <v>543.62</v>
      </c>
      <c r="E233" s="18" t="n">
        <v>19040</v>
      </c>
      <c r="F233" s="18" t="n">
        <v>19111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6</v>
      </c>
    </row>
    <row r="234">
      <c r="A234" s="15" t="inlineStr">
        <is>
          <t>21 Jun</t>
        </is>
      </c>
      <c r="B234" s="15" t="inlineStr">
        <is>
          <t>37286</t>
        </is>
      </c>
      <c r="C234" s="16" t="n">
        <v>1</v>
      </c>
      <c r="D234" s="17" t="n">
        <v>543.88</v>
      </c>
      <c r="E234" s="18" t="n">
        <v>17757</v>
      </c>
      <c r="F234" s="18" t="n">
        <v>17885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3</v>
      </c>
    </row>
    <row r="235">
      <c r="A235" s="15" t="inlineStr">
        <is>
          <t>21 Jun</t>
        </is>
      </c>
      <c r="B235" s="15" t="inlineStr">
        <is>
          <t>39163</t>
        </is>
      </c>
      <c r="C235" s="16" t="n">
        <v>1</v>
      </c>
      <c r="D235" s="17" t="n">
        <v>543.64</v>
      </c>
      <c r="E235" s="18" t="n">
        <v>17455</v>
      </c>
      <c r="F235" s="18" t="n">
        <v>17878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19</v>
      </c>
    </row>
    <row r="236">
      <c r="A236" s="15" t="inlineStr">
        <is>
          <t>21 Jun</t>
        </is>
      </c>
      <c r="B236" s="15" t="inlineStr">
        <is>
          <t>30473</t>
        </is>
      </c>
      <c r="C236" s="16" t="n">
        <v>0</v>
      </c>
      <c r="D236" s="17" t="n">
        <v>329.9</v>
      </c>
      <c r="E236" s="18" t="n">
        <v>27701</v>
      </c>
      <c r="F236" s="18" t="n">
        <v>28189</v>
      </c>
      <c r="G236" s="19">
        <f>IF(F236=0,0,E236/F236*100)</f>
        <v/>
      </c>
      <c r="H236" s="16" t="n">
        <v>1</v>
      </c>
      <c r="I236" s="16" t="n">
        <v>0</v>
      </c>
      <c r="J236" s="16" t="n">
        <v>1</v>
      </c>
      <c r="K236" s="16" t="n">
        <v>10</v>
      </c>
    </row>
    <row r="237">
      <c r="A237" s="15" t="inlineStr">
        <is>
          <t>21 Jun</t>
        </is>
      </c>
      <c r="B237" s="15" t="inlineStr">
        <is>
          <t>30335</t>
        </is>
      </c>
      <c r="C237" s="16" t="n">
        <v>0</v>
      </c>
      <c r="D237" s="17" t="n">
        <v>321.31</v>
      </c>
      <c r="E237" s="18" t="n">
        <v>21097</v>
      </c>
      <c r="F237" s="18" t="n">
        <v>21402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7</v>
      </c>
    </row>
    <row r="238">
      <c r="A238" s="15" t="inlineStr">
        <is>
          <t>21 Jun</t>
        </is>
      </c>
      <c r="B238" s="15" t="inlineStr">
        <is>
          <t>37367</t>
        </is>
      </c>
      <c r="C238" s="16" t="n">
        <v>0</v>
      </c>
      <c r="D238" s="17" t="n">
        <v>251.8</v>
      </c>
      <c r="E238" s="18" t="n">
        <v>21114</v>
      </c>
      <c r="F238" s="18" t="n">
        <v>21191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21 Jun</t>
        </is>
      </c>
      <c r="B239" s="15" t="inlineStr">
        <is>
          <t>37465</t>
        </is>
      </c>
      <c r="C239" s="16" t="n">
        <v>0</v>
      </c>
      <c r="D239" s="17" t="n">
        <v>329.84</v>
      </c>
      <c r="E239" s="18" t="n">
        <v>19858</v>
      </c>
      <c r="F239" s="18" t="n">
        <v>19991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10</v>
      </c>
    </row>
    <row r="240">
      <c r="A240" s="15" t="inlineStr">
        <is>
          <t>21 Jun</t>
        </is>
      </c>
      <c r="B240" s="15" t="inlineStr">
        <is>
          <t>39035</t>
        </is>
      </c>
      <c r="C240" s="16" t="n">
        <v>0</v>
      </c>
      <c r="D240" s="17" t="n">
        <v>470.59</v>
      </c>
      <c r="E240" s="18" t="n">
        <v>19936</v>
      </c>
      <c r="F240" s="18" t="n">
        <v>19983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3</v>
      </c>
    </row>
    <row r="241">
      <c r="A241" s="15" t="inlineStr">
        <is>
          <t>21 Jun</t>
        </is>
      </c>
      <c r="B241" s="15" t="inlineStr">
        <is>
          <t>37515</t>
        </is>
      </c>
      <c r="C241" s="16" t="n">
        <v>0</v>
      </c>
      <c r="D241" s="17" t="n">
        <v>515.66</v>
      </c>
      <c r="E241" s="18" t="n">
        <v>19753</v>
      </c>
      <c r="F241" s="18" t="n">
        <v>19881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21 Jun</t>
        </is>
      </c>
      <c r="B242" s="15" t="inlineStr">
        <is>
          <t>37086</t>
        </is>
      </c>
      <c r="C242" s="16" t="n">
        <v>0</v>
      </c>
      <c r="D242" s="17" t="n">
        <v>469.2</v>
      </c>
      <c r="E242" s="18" t="n">
        <v>19688</v>
      </c>
      <c r="F242" s="18" t="n">
        <v>19798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3</v>
      </c>
    </row>
    <row r="243">
      <c r="A243" s="15" t="inlineStr">
        <is>
          <t>21 Jun</t>
        </is>
      </c>
      <c r="B243" s="15" t="inlineStr">
        <is>
          <t>39159</t>
        </is>
      </c>
      <c r="C243" s="16" t="n">
        <v>0</v>
      </c>
      <c r="D243" s="17" t="n">
        <v>538.42</v>
      </c>
      <c r="E243" s="18" t="n">
        <v>17099</v>
      </c>
      <c r="F243" s="18" t="n">
        <v>17239</v>
      </c>
      <c r="G243" s="19">
        <f>IF(F243=0,0,E243/F243*100)</f>
        <v/>
      </c>
      <c r="H243" s="16" t="n">
        <v>1</v>
      </c>
      <c r="I243" s="16" t="n">
        <v>0</v>
      </c>
      <c r="J243" s="16" t="n">
        <v>1</v>
      </c>
      <c r="K243" s="16" t="n">
        <v>4</v>
      </c>
    </row>
    <row r="244">
      <c r="A244" s="15" t="inlineStr">
        <is>
          <t>21 Jun</t>
        </is>
      </c>
      <c r="B244" s="15" t="inlineStr">
        <is>
          <t>37275</t>
        </is>
      </c>
      <c r="C244" s="16" t="n">
        <v>0</v>
      </c>
      <c r="D244" s="17" t="n">
        <v>392.71</v>
      </c>
      <c r="E244" s="18" t="n">
        <v>16904</v>
      </c>
      <c r="F244" s="18" t="n">
        <v>16939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21 Jun</t>
        </is>
      </c>
      <c r="B245" s="15" t="inlineStr">
        <is>
          <t>37792</t>
        </is>
      </c>
      <c r="C245" s="16" t="n">
        <v>0</v>
      </c>
      <c r="D245" s="17" t="n">
        <v>470.57</v>
      </c>
      <c r="E245" s="18" t="n">
        <v>16659</v>
      </c>
      <c r="F245" s="18" t="n">
        <v>16818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5</v>
      </c>
    </row>
    <row r="246">
      <c r="A246" s="15" t="inlineStr">
        <is>
          <t>21 Jun</t>
        </is>
      </c>
      <c r="B246" s="15" t="inlineStr">
        <is>
          <t>30012</t>
        </is>
      </c>
      <c r="C246" s="16" t="n">
        <v>0</v>
      </c>
      <c r="D246" s="17" t="n">
        <v>214.44</v>
      </c>
      <c r="E246" s="18" t="n">
        <v>14188</v>
      </c>
      <c r="F246" s="18" t="n">
        <v>14406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1</v>
      </c>
    </row>
    <row r="247">
      <c r="A247" s="15" t="inlineStr">
        <is>
          <t>21 Jun</t>
        </is>
      </c>
      <c r="B247" s="15" t="inlineStr">
        <is>
          <t>39095</t>
        </is>
      </c>
      <c r="C247" s="16" t="n">
        <v>0</v>
      </c>
      <c r="D247" s="17" t="n">
        <v>322.62</v>
      </c>
      <c r="E247" s="18" t="n">
        <v>13082</v>
      </c>
      <c r="F247" s="18" t="n">
        <v>13146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1</v>
      </c>
    </row>
    <row r="248">
      <c r="A248" s="15" t="inlineStr">
        <is>
          <t>21 Jun</t>
        </is>
      </c>
      <c r="B248" s="15" t="inlineStr">
        <is>
          <t>30753</t>
        </is>
      </c>
      <c r="C248" s="16" t="n">
        <v>0</v>
      </c>
      <c r="D248" s="17" t="n">
        <v>345.05</v>
      </c>
      <c r="E248" s="18" t="n">
        <v>12494</v>
      </c>
      <c r="F248" s="18" t="n">
        <v>12603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14</v>
      </c>
    </row>
    <row r="249">
      <c r="A249" s="15" t="inlineStr">
        <is>
          <t>21 Jun</t>
        </is>
      </c>
      <c r="B249" s="15" t="inlineStr">
        <is>
          <t>30464</t>
        </is>
      </c>
      <c r="C249" s="16" t="n">
        <v>0</v>
      </c>
      <c r="D249" s="17" t="n">
        <v>321.71</v>
      </c>
      <c r="E249" s="18" t="n">
        <v>12394</v>
      </c>
      <c r="F249" s="18" t="n">
        <v>12464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1</v>
      </c>
    </row>
    <row r="250">
      <c r="A250" s="15" t="inlineStr">
        <is>
          <t>21 Jun</t>
        </is>
      </c>
      <c r="B250" s="15" t="inlineStr">
        <is>
          <t>39552</t>
        </is>
      </c>
      <c r="C250" s="16" t="n">
        <v>0</v>
      </c>
      <c r="D250" s="17" t="n">
        <v>319.09</v>
      </c>
      <c r="E250" s="18" t="n">
        <v>11125</v>
      </c>
      <c r="F250" s="18" t="n">
        <v>11245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2</v>
      </c>
    </row>
    <row r="251">
      <c r="A251" s="15" t="inlineStr">
        <is>
          <t>21 Jun</t>
        </is>
      </c>
      <c r="B251" s="15" t="inlineStr">
        <is>
          <t>30339</t>
        </is>
      </c>
      <c r="C251" s="16" t="n">
        <v>0</v>
      </c>
      <c r="D251" s="17" t="n">
        <v>320.02</v>
      </c>
      <c r="E251" s="18" t="n">
        <v>11033</v>
      </c>
      <c r="F251" s="18" t="n">
        <v>11137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15</v>
      </c>
    </row>
    <row r="252">
      <c r="A252" s="15" t="inlineStr">
        <is>
          <t>21 Jun</t>
        </is>
      </c>
      <c r="B252" s="15" t="inlineStr">
        <is>
          <t>39108</t>
        </is>
      </c>
      <c r="C252" s="16" t="n">
        <v>0</v>
      </c>
      <c r="D252" s="17" t="n">
        <v>180.65</v>
      </c>
      <c r="E252" s="18" t="n">
        <v>10574</v>
      </c>
      <c r="F252" s="18" t="n">
        <v>10658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1</v>
      </c>
    </row>
    <row r="253">
      <c r="A253" s="15" t="inlineStr">
        <is>
          <t>21 Jun</t>
        </is>
      </c>
      <c r="B253" s="15" t="inlineStr">
        <is>
          <t>37035</t>
        </is>
      </c>
      <c r="C253" s="16" t="n">
        <v>0</v>
      </c>
      <c r="D253" s="17" t="n">
        <v>108.53</v>
      </c>
      <c r="E253" s="18" t="n">
        <v>9497</v>
      </c>
      <c r="F253" s="18" t="n">
        <v>9896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12</v>
      </c>
    </row>
    <row r="254">
      <c r="A254" s="15" t="inlineStr">
        <is>
          <t>21 Jun</t>
        </is>
      </c>
      <c r="B254" s="15" t="inlineStr">
        <is>
          <t>30746</t>
        </is>
      </c>
      <c r="C254" s="16" t="n">
        <v>0</v>
      </c>
      <c r="D254" s="17" t="n">
        <v>317.88</v>
      </c>
      <c r="E254" s="18" t="n">
        <v>9568</v>
      </c>
      <c r="F254" s="18" t="n">
        <v>9671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8</v>
      </c>
    </row>
    <row r="255">
      <c r="A255" s="15" t="inlineStr">
        <is>
          <t>21 Jun</t>
        </is>
      </c>
      <c r="B255" s="15" t="inlineStr">
        <is>
          <t>39236</t>
        </is>
      </c>
      <c r="C255" s="16" t="n">
        <v>0</v>
      </c>
      <c r="D255" s="17" t="n">
        <v>248.18</v>
      </c>
      <c r="E255" s="18" t="n">
        <v>8535</v>
      </c>
      <c r="F255" s="18" t="n">
        <v>8630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2</v>
      </c>
    </row>
    <row r="256">
      <c r="A256" s="15" t="inlineStr">
        <is>
          <t>21 Jun</t>
        </is>
      </c>
      <c r="B256" s="15" t="inlineStr">
        <is>
          <t>37322</t>
        </is>
      </c>
      <c r="C256" s="16" t="n">
        <v>0</v>
      </c>
      <c r="D256" s="17" t="n">
        <v>221.4</v>
      </c>
      <c r="E256" s="18" t="n">
        <v>7927</v>
      </c>
      <c r="F256" s="18" t="n">
        <v>7965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3</v>
      </c>
    </row>
    <row r="257">
      <c r="A257" s="15" t="inlineStr">
        <is>
          <t>21 Jun</t>
        </is>
      </c>
      <c r="B257" s="15" t="inlineStr">
        <is>
          <t>39145</t>
        </is>
      </c>
      <c r="C257" s="16" t="n">
        <v>0</v>
      </c>
      <c r="D257" s="17" t="n">
        <v>189.86</v>
      </c>
      <c r="E257" s="18" t="n">
        <v>6898</v>
      </c>
      <c r="F257" s="18" t="n">
        <v>6950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4</v>
      </c>
    </row>
    <row r="258">
      <c r="A258" s="15" t="inlineStr">
        <is>
          <t>21 Jun</t>
        </is>
      </c>
      <c r="B258" s="15" t="inlineStr">
        <is>
          <t>39336</t>
        </is>
      </c>
      <c r="C258" s="16" t="n">
        <v>0</v>
      </c>
      <c r="D258" s="17" t="n">
        <v>107.94</v>
      </c>
      <c r="E258" s="18" t="n">
        <v>6481</v>
      </c>
      <c r="F258" s="18" t="n">
        <v>6553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5</v>
      </c>
    </row>
    <row r="259">
      <c r="A259" s="15" t="inlineStr">
        <is>
          <t>21 Jun</t>
        </is>
      </c>
      <c r="B259" s="15" t="inlineStr">
        <is>
          <t>30396</t>
        </is>
      </c>
      <c r="C259" s="16" t="n">
        <v>0</v>
      </c>
      <c r="D259" s="17" t="n">
        <v>114.09</v>
      </c>
      <c r="E259" s="18" t="n">
        <v>3786</v>
      </c>
      <c r="F259" s="18" t="n">
        <v>3903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2</v>
      </c>
    </row>
    <row r="260">
      <c r="A260" s="15" t="inlineStr">
        <is>
          <t>21 Jun</t>
        </is>
      </c>
      <c r="B260" s="15" t="inlineStr">
        <is>
          <t>30440</t>
        </is>
      </c>
      <c r="C260" s="16" t="n">
        <v>0</v>
      </c>
      <c r="D260" s="17" t="n">
        <v>94.16</v>
      </c>
      <c r="E260" s="18" t="n">
        <v>3055</v>
      </c>
      <c r="F260" s="18" t="n">
        <v>3187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1</v>
      </c>
    </row>
    <row r="261">
      <c r="A261" s="15" t="inlineStr">
        <is>
          <t>21 Jun</t>
        </is>
      </c>
      <c r="B261" s="15" t="inlineStr">
        <is>
          <t>30451</t>
        </is>
      </c>
      <c r="C261" s="16" t="n">
        <v>0</v>
      </c>
      <c r="D261" s="17" t="n">
        <v>131.65</v>
      </c>
      <c r="E261" s="18" t="n">
        <v>2994</v>
      </c>
      <c r="F261" s="18" t="n">
        <v>3173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11</v>
      </c>
    </row>
    <row r="262">
      <c r="A262" s="15" t="inlineStr">
        <is>
          <t>21 Jun</t>
        </is>
      </c>
      <c r="B262" s="15" t="inlineStr">
        <is>
          <t>30814</t>
        </is>
      </c>
      <c r="C262" s="16" t="n">
        <v>0</v>
      </c>
      <c r="D262" s="17" t="n">
        <v>83.45999999999999</v>
      </c>
      <c r="E262" s="18" t="n">
        <v>3069</v>
      </c>
      <c r="F262" s="18" t="n">
        <v>3069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0</v>
      </c>
    </row>
    <row r="263">
      <c r="A263" s="15" t="inlineStr">
        <is>
          <t>21 Jun</t>
        </is>
      </c>
      <c r="B263" s="15" t="inlineStr">
        <is>
          <t>39245</t>
        </is>
      </c>
      <c r="C263" s="16" t="n">
        <v>0</v>
      </c>
      <c r="D263" s="17" t="n">
        <v>38.19</v>
      </c>
      <c r="E263" s="18" t="n">
        <v>1789</v>
      </c>
      <c r="F263" s="18" t="n">
        <v>2215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4</v>
      </c>
    </row>
    <row r="264">
      <c r="A264" s="15" t="inlineStr">
        <is>
          <t>21 Jun</t>
        </is>
      </c>
      <c r="B264" s="15" t="inlineStr">
        <is>
          <t>30269</t>
        </is>
      </c>
      <c r="C264" s="16" t="n">
        <v>0</v>
      </c>
      <c r="D264" s="17" t="n">
        <v>5.04</v>
      </c>
      <c r="E264" s="18" t="n">
        <v>0</v>
      </c>
      <c r="F264" s="18" t="n">
        <v>43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0</v>
      </c>
    </row>
    <row r="265">
      <c r="A265" s="20" t="inlineStr">
        <is>
          <t>21 Jun</t>
        </is>
      </c>
      <c r="B265" s="20" t="inlineStr">
        <is>
          <t>Day Total</t>
        </is>
      </c>
      <c r="C265" s="21">
        <f>SUM(C229:C264)</f>
        <v/>
      </c>
      <c r="D265" s="22">
        <f>SUM(D229:D264)</f>
        <v/>
      </c>
      <c r="E265" s="23">
        <f>SUM(E229:E264)</f>
        <v/>
      </c>
      <c r="F265" s="23">
        <f>SUM(F229:F264)</f>
        <v/>
      </c>
      <c r="G265" s="24">
        <f>IF(F265=0,0,E265/F265*100)</f>
        <v/>
      </c>
      <c r="H265" s="21">
        <f>SUM(H229:H264)</f>
        <v/>
      </c>
      <c r="I265" s="21">
        <f>SUM(I229:I264)</f>
        <v/>
      </c>
      <c r="J265" s="21">
        <f>SUM(J229:J264)</f>
        <v/>
      </c>
      <c r="K265" s="21">
        <f>SUM(K229:K264)</f>
        <v/>
      </c>
    </row>
    <row r="266">
      <c r="A266" s="25" t="inlineStr">
        <is>
          <t>GRAND TOTAL</t>
        </is>
      </c>
      <c r="B266" s="25" t="n"/>
      <c r="C266" s="26">
        <f>C43+C84+C130+C162+C194+C228+C265</f>
        <v/>
      </c>
      <c r="D266" s="27">
        <f>D43+D84+D130+D162+D194+D228+D265</f>
        <v/>
      </c>
      <c r="E266" s="28">
        <f>E43+E84+E130+E162+E194+E228+E265</f>
        <v/>
      </c>
      <c r="F266" s="28">
        <f>F43+F84+F130+F162+F194+F228+F265</f>
        <v/>
      </c>
      <c r="G266" s="29">
        <f>IF(F266=0,0,E266/F266*100)</f>
        <v/>
      </c>
      <c r="H266" s="26">
        <f>H43+H84+H130+H162+H194+H228+H265</f>
        <v/>
      </c>
      <c r="I266" s="26">
        <f>I43+I84+I130+I162+I194+I228+I265</f>
        <v/>
      </c>
      <c r="J266" s="26">
        <f>J43+J84+J130+J162+J194+J228+J265</f>
        <v/>
      </c>
      <c r="K266" s="26">
        <f>K43+K84+K130+K162+K194+K228+K265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17   ·   Valid trips = 5   ·   Non-valid trips = 12   ·   Undesirable = 11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31" t="inlineStr">
        <is>
          <t>16 Jun</t>
        </is>
      </c>
      <c r="B6" s="31" t="inlineStr">
        <is>
          <t>37352</t>
        </is>
      </c>
      <c r="C6" s="31" t="inlineStr">
        <is>
          <t>Non-Valid</t>
        </is>
      </c>
      <c r="D6" s="31" t="inlineStr">
        <is>
          <t>14:49:24</t>
        </is>
      </c>
      <c r="E6" s="31" t="inlineStr">
        <is>
          <t>14:50:00</t>
        </is>
      </c>
      <c r="F6" s="31" t="n">
        <v>36</v>
      </c>
      <c r="G6" s="31" t="n">
        <v>19</v>
      </c>
      <c r="H6" s="31" t="n">
        <v>55</v>
      </c>
      <c r="I6" s="31" t="inlineStr">
        <is>
          <t>FS</t>
        </is>
      </c>
      <c r="J6" s="32" t="n">
        <v>918.97</v>
      </c>
      <c r="K6" s="31" t="inlineStr">
        <is>
          <t>R</t>
        </is>
      </c>
      <c r="L6" s="31" t="inlineStr">
        <is>
          <t>Kota Jn.(KOTA) CENTRAL</t>
        </is>
      </c>
      <c r="M6" s="33" t="inlineStr">
        <is>
          <t>55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</row>
    <row r="7">
      <c r="A7" s="31" t="inlineStr">
        <is>
          <t>16 Jun</t>
        </is>
      </c>
      <c r="B7" s="31" t="inlineStr">
        <is>
          <t>37352</t>
        </is>
      </c>
      <c r="C7" s="31" t="inlineStr">
        <is>
          <t>Non-Valid</t>
        </is>
      </c>
      <c r="D7" s="31" t="inlineStr">
        <is>
          <t>14:51:28</t>
        </is>
      </c>
      <c r="E7" s="31" t="inlineStr">
        <is>
          <t>14:51:28</t>
        </is>
      </c>
      <c r="F7" s="31" t="n">
        <v>0</v>
      </c>
      <c r="G7" s="31" t="n">
        <v>1</v>
      </c>
      <c r="H7" s="31" t="n">
        <v>0</v>
      </c>
      <c r="I7" s="31" t="inlineStr">
        <is>
          <t>POSTTRIP</t>
        </is>
      </c>
      <c r="J7" s="32" t="n">
        <v>918.8</v>
      </c>
      <c r="K7" s="31" t="inlineStr">
        <is>
          <t>R</t>
        </is>
      </c>
      <c r="L7" s="31" t="inlineStr">
        <is>
          <t>KOTA SOUTH</t>
        </is>
      </c>
      <c r="M7" s="33" t="inlineStr">
        <is>
          <t>0 km/h</t>
        </is>
      </c>
      <c r="N7" s="33" t="inlineStr">
        <is>
          <t>n/a</t>
        </is>
      </c>
      <c r="O7" s="31" t="inlineStr">
        <is>
          <t>-</t>
        </is>
      </c>
      <c r="P7" s="34" t="inlineStr">
        <is>
          <t>EB at 0-1 km/h</t>
        </is>
      </c>
    </row>
    <row r="8">
      <c r="A8" s="31" t="inlineStr">
        <is>
          <t>16 Jun</t>
        </is>
      </c>
      <c r="B8" s="31" t="inlineStr">
        <is>
          <t>37745</t>
        </is>
      </c>
      <c r="C8" s="31" t="inlineStr">
        <is>
          <t>Non-Valid</t>
        </is>
      </c>
      <c r="D8" s="31" t="inlineStr">
        <is>
          <t>18:29:06</t>
        </is>
      </c>
      <c r="E8" s="31" t="inlineStr">
        <is>
          <t>18:29:30</t>
        </is>
      </c>
      <c r="F8" s="31" t="n">
        <v>24</v>
      </c>
      <c r="G8" s="31" t="n">
        <v>12</v>
      </c>
      <c r="H8" s="31" t="n">
        <v>52</v>
      </c>
      <c r="I8" s="31" t="inlineStr">
        <is>
          <t>FS</t>
        </is>
      </c>
      <c r="J8" s="32" t="n">
        <v>918.95</v>
      </c>
      <c r="K8" s="31" t="inlineStr">
        <is>
          <t>R</t>
        </is>
      </c>
      <c r="L8" s="31" t="inlineStr">
        <is>
          <t>Kota Jn.(KOTA) CENTRAL</t>
        </is>
      </c>
      <c r="M8" s="33" t="inlineStr">
        <is>
          <t>52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</row>
    <row r="9">
      <c r="A9" s="31" t="inlineStr">
        <is>
          <t>16 Jun</t>
        </is>
      </c>
      <c r="B9" s="31" t="inlineStr">
        <is>
          <t>37745</t>
        </is>
      </c>
      <c r="C9" s="31" t="inlineStr">
        <is>
          <t>Non-Valid</t>
        </is>
      </c>
      <c r="D9" s="31" t="inlineStr">
        <is>
          <t>18:30:36</t>
        </is>
      </c>
      <c r="E9" s="31" t="inlineStr">
        <is>
          <t>18:30:36</t>
        </is>
      </c>
      <c r="F9" s="31" t="n">
        <v>0</v>
      </c>
      <c r="G9" s="31" t="n">
        <v>1</v>
      </c>
      <c r="H9" s="31" t="n">
        <v>0</v>
      </c>
      <c r="I9" s="31" t="inlineStr">
        <is>
          <t>POSTTRIP</t>
        </is>
      </c>
      <c r="J9" s="32" t="n">
        <v>918.8200000000001</v>
      </c>
      <c r="K9" s="31" t="inlineStr">
        <is>
          <t>R</t>
        </is>
      </c>
      <c r="L9" s="31" t="inlineStr">
        <is>
          <t>KOTA SOUTH</t>
        </is>
      </c>
      <c r="M9" s="33" t="inlineStr">
        <is>
          <t>0 km/h</t>
        </is>
      </c>
      <c r="N9" s="33" t="inlineStr">
        <is>
          <t>0</t>
        </is>
      </c>
      <c r="O9" s="31" t="inlineStr">
        <is>
          <t>-</t>
        </is>
      </c>
      <c r="P9" s="34" t="inlineStr">
        <is>
          <t>EB at 0-1 km/h</t>
        </is>
      </c>
    </row>
    <row r="10">
      <c r="A10" s="31" t="inlineStr">
        <is>
          <t>16 Jun</t>
        </is>
      </c>
      <c r="B10" s="31" t="inlineStr">
        <is>
          <t>37745</t>
        </is>
      </c>
      <c r="C10" s="31" t="inlineStr">
        <is>
          <t>Non-Valid</t>
        </is>
      </c>
      <c r="D10" s="31" t="inlineStr">
        <is>
          <t>18:31:24</t>
        </is>
      </c>
      <c r="E10" s="31" t="inlineStr">
        <is>
          <t>18:31:26</t>
        </is>
      </c>
      <c r="F10" s="31" t="n">
        <v>2</v>
      </c>
      <c r="G10" s="31" t="n">
        <v>2</v>
      </c>
      <c r="H10" s="31" t="n">
        <v>0</v>
      </c>
      <c r="I10" s="31" t="inlineStr">
        <is>
          <t>POSTTRIP</t>
        </is>
      </c>
      <c r="J10" s="32" t="n">
        <v>918.8200000000001</v>
      </c>
      <c r="K10" s="31" t="inlineStr">
        <is>
          <t>R</t>
        </is>
      </c>
      <c r="L10" s="31" t="inlineStr">
        <is>
          <t>KOTA SOUTH</t>
        </is>
      </c>
      <c r="M10" s="33" t="inlineStr">
        <is>
          <t>0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EB at 0-1 km/h</t>
        </is>
      </c>
    </row>
    <row r="11" ht="49" customHeight="1">
      <c r="A11" s="31" t="inlineStr">
        <is>
          <t>17 Jun</t>
        </is>
      </c>
      <c r="B11" s="31" t="inlineStr">
        <is>
          <t>37316</t>
        </is>
      </c>
      <c r="C11" s="31" t="inlineStr">
        <is>
          <t>Non-Valid</t>
        </is>
      </c>
      <c r="D11" s="31" t="inlineStr">
        <is>
          <t>00:01:20</t>
        </is>
      </c>
      <c r="E11" s="31" t="inlineStr">
        <is>
          <t>00:01:56</t>
        </is>
      </c>
      <c r="F11" s="31" t="n">
        <v>36</v>
      </c>
      <c r="G11" s="31" t="n">
        <v>14</v>
      </c>
      <c r="H11" s="31" t="n">
        <v>4</v>
      </c>
      <c r="I11" s="31" t="inlineStr">
        <is>
          <t>TRIP</t>
        </is>
      </c>
      <c r="J11" s="32" t="n">
        <v>918.8200000000001</v>
      </c>
      <c r="K11" s="31" t="inlineStr">
        <is>
          <t>R</t>
        </is>
      </c>
      <c r="L11" s="31" t="inlineStr">
        <is>
          <t>KOTA SOUTH</t>
        </is>
      </c>
      <c r="M11" s="33" t="inlineStr">
        <is>
          <t>4 km/h
There was an abnormal speed fluctuation of 6 kmph (from 10 to 4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PG issue (speed fluctuation); Trip mode</t>
        </is>
      </c>
    </row>
    <row r="12">
      <c r="A12" s="31" t="inlineStr">
        <is>
          <t>17 Jun</t>
        </is>
      </c>
      <c r="B12" s="31" t="inlineStr">
        <is>
          <t>37316</t>
        </is>
      </c>
      <c r="C12" s="31" t="inlineStr">
        <is>
          <t>Non-Valid</t>
        </is>
      </c>
      <c r="D12" s="31" t="inlineStr">
        <is>
          <t>00:03:10</t>
        </is>
      </c>
      <c r="E12" s="31" t="inlineStr">
        <is>
          <t>00:03:10</t>
        </is>
      </c>
      <c r="F12" s="31" t="n">
        <v>0</v>
      </c>
      <c r="G12" s="31" t="n">
        <v>1</v>
      </c>
      <c r="H12" s="31" t="n">
        <v>0</v>
      </c>
      <c r="I12" s="31" t="inlineStr">
        <is>
          <t>POSTTRIP</t>
        </is>
      </c>
      <c r="J12" s="32" t="n">
        <v>918.8200000000001</v>
      </c>
      <c r="K12" s="31" t="inlineStr">
        <is>
          <t>R</t>
        </is>
      </c>
      <c r="L12" s="31" t="inlineStr">
        <is>
          <t>KOTA SOUTH</t>
        </is>
      </c>
      <c r="M12" s="33" t="inlineStr">
        <is>
          <t>0 km/h</t>
        </is>
      </c>
      <c r="N12" s="33" t="inlineStr">
        <is>
          <t>n/a</t>
        </is>
      </c>
      <c r="O12" s="31" t="inlineStr">
        <is>
          <t>-</t>
        </is>
      </c>
      <c r="P12" s="34" t="inlineStr">
        <is>
          <t>EB at 0-1 km/h</t>
        </is>
      </c>
    </row>
    <row r="13">
      <c r="A13" s="31" t="inlineStr">
        <is>
          <t>18 Jun</t>
        </is>
      </c>
      <c r="B13" s="31" t="inlineStr">
        <is>
          <t>39108</t>
        </is>
      </c>
      <c r="C13" s="31" t="inlineStr">
        <is>
          <t>Non-Valid</t>
        </is>
      </c>
      <c r="D13" s="31" t="inlineStr">
        <is>
          <t>02:15:04</t>
        </is>
      </c>
      <c r="E13" s="31" t="inlineStr">
        <is>
          <t>02:16:34</t>
        </is>
      </c>
      <c r="F13" s="31" t="n">
        <v>90</v>
      </c>
      <c r="G13" s="31" t="n">
        <v>46</v>
      </c>
      <c r="H13" s="31" t="n">
        <v>0</v>
      </c>
      <c r="I13" s="31" t="inlineStr">
        <is>
          <t>Shunting</t>
        </is>
      </c>
      <c r="J13" s="32" t="n">
        <v>1029.03</v>
      </c>
      <c r="K13" s="31" t="inlineStr">
        <is>
          <t>N</t>
        </is>
      </c>
      <c r="L13" s="31" t="inlineStr">
        <is>
          <t>SawaiMadhopurJn(SWM)</t>
        </is>
      </c>
      <c r="M13" s="33" t="inlineStr">
        <is>
          <t>0 km/h</t>
        </is>
      </c>
      <c r="N13" s="33" t="inlineStr">
        <is>
          <t>65535</t>
        </is>
      </c>
      <c r="O13" s="31" t="inlineStr">
        <is>
          <t>-</t>
        </is>
      </c>
      <c r="P13" s="34" t="inlineStr">
        <is>
          <t>EB at 0-1 km/h; Shunting mode</t>
        </is>
      </c>
    </row>
    <row r="14">
      <c r="A14" s="16" t="inlineStr">
        <is>
          <t>19 Jun</t>
        </is>
      </c>
      <c r="B14" s="16" t="inlineStr">
        <is>
          <t>37582</t>
        </is>
      </c>
      <c r="C14" s="16" t="inlineStr">
        <is>
          <t>Valid</t>
        </is>
      </c>
      <c r="D14" s="16" t="inlineStr">
        <is>
          <t>06:42:00</t>
        </is>
      </c>
      <c r="E14" s="16" t="inlineStr">
        <is>
          <t>06:42:00</t>
        </is>
      </c>
      <c r="F14" s="16" t="n">
        <v>0</v>
      </c>
      <c r="G14" s="16" t="n">
        <v>1</v>
      </c>
      <c r="H14" s="16" t="n">
        <v>77</v>
      </c>
      <c r="I14" s="16" t="inlineStr">
        <is>
          <t>FS</t>
        </is>
      </c>
      <c r="J14" s="35" t="n">
        <v>1166.03</v>
      </c>
      <c r="K14" s="16" t="inlineStr">
        <is>
          <t>N</t>
        </is>
      </c>
      <c r="L14" s="16" t="inlineStr">
        <is>
          <t>LC-217</t>
        </is>
      </c>
      <c r="M14" s="36" t="inlineStr">
        <is>
          <t>77 km/h</t>
        </is>
      </c>
      <c r="N14" s="36" t="inlineStr">
        <is>
          <t>13036</t>
        </is>
      </c>
      <c r="O14" s="16" t="inlineStr">
        <is>
          <t>-</t>
        </is>
      </c>
      <c r="P14" s="36" t="inlineStr">
        <is>
          <t>-</t>
        </is>
      </c>
    </row>
    <row r="15">
      <c r="A15" s="16" t="inlineStr">
        <is>
          <t>19 Jun</t>
        </is>
      </c>
      <c r="B15" s="16" t="inlineStr">
        <is>
          <t>37781</t>
        </is>
      </c>
      <c r="C15" s="16" t="inlineStr">
        <is>
          <t>Valid</t>
        </is>
      </c>
      <c r="D15" s="16" t="inlineStr">
        <is>
          <t>11:04:08</t>
        </is>
      </c>
      <c r="E15" s="16" t="inlineStr">
        <is>
          <t>11:04:18</t>
        </is>
      </c>
      <c r="F15" s="16" t="n">
        <v>10</v>
      </c>
      <c r="G15" s="16" t="n">
        <v>6</v>
      </c>
      <c r="H15" s="16" t="n">
        <v>21</v>
      </c>
      <c r="I15" s="16" t="inlineStr">
        <is>
          <t>SR</t>
        </is>
      </c>
      <c r="J15" s="35" t="n">
        <v>920.5</v>
      </c>
      <c r="K15" s="16" t="inlineStr">
        <is>
          <t>U</t>
        </is>
      </c>
      <c r="L15" s="16" t="inlineStr">
        <is>
          <t>Kota Jn.(KOTA) CENTRAL</t>
        </is>
      </c>
      <c r="M15" s="36" t="inlineStr">
        <is>
          <t>21 km/h</t>
        </is>
      </c>
      <c r="N15" s="36" t="inlineStr">
        <is>
          <t>7806</t>
        </is>
      </c>
      <c r="O15" s="16" t="inlineStr">
        <is>
          <t>-</t>
        </is>
      </c>
      <c r="P15" s="34" t="inlineStr">
        <is>
          <t>FS-&gt;SR degradation + EB</t>
        </is>
      </c>
    </row>
    <row r="16">
      <c r="A16" s="16" t="inlineStr">
        <is>
          <t>19 Jun</t>
        </is>
      </c>
      <c r="B16" s="16" t="inlineStr">
        <is>
          <t>37812</t>
        </is>
      </c>
      <c r="C16" s="16" t="inlineStr">
        <is>
          <t>Valid</t>
        </is>
      </c>
      <c r="D16" s="16" t="inlineStr">
        <is>
          <t>11:18:54</t>
        </is>
      </c>
      <c r="E16" s="16" t="inlineStr">
        <is>
          <t>11:19:40</t>
        </is>
      </c>
      <c r="F16" s="16" t="n">
        <v>46</v>
      </c>
      <c r="G16" s="16" t="n">
        <v>22</v>
      </c>
      <c r="H16" s="16" t="n">
        <v>128</v>
      </c>
      <c r="I16" s="16" t="inlineStr">
        <is>
          <t>Failure</t>
        </is>
      </c>
      <c r="J16" s="35" t="n">
        <v>1206.63</v>
      </c>
      <c r="K16" s="16" t="inlineStr">
        <is>
          <t>N</t>
        </is>
      </c>
      <c r="L16" s="16" t="inlineStr">
        <is>
          <t>IBH-242</t>
        </is>
      </c>
      <c r="M16" s="36" t="inlineStr">
        <is>
          <t>128 km/h</t>
        </is>
      </c>
      <c r="N16" s="36" t="inlineStr">
        <is>
          <t>5102</t>
        </is>
      </c>
      <c r="O16" s="16" t="inlineStr">
        <is>
          <t>-</t>
        </is>
      </c>
      <c r="P16" s="34" t="inlineStr">
        <is>
          <t>Failure mode</t>
        </is>
      </c>
    </row>
    <row r="17">
      <c r="A17" s="16" t="inlineStr">
        <is>
          <t>19 Jun</t>
        </is>
      </c>
      <c r="B17" s="16" t="inlineStr">
        <is>
          <t>37812</t>
        </is>
      </c>
      <c r="C17" s="16" t="inlineStr">
        <is>
          <t>Valid</t>
        </is>
      </c>
      <c r="D17" s="16" t="inlineStr">
        <is>
          <t>18:46:58</t>
        </is>
      </c>
      <c r="E17" s="16" t="inlineStr">
        <is>
          <t>18:47:42</t>
        </is>
      </c>
      <c r="F17" s="16" t="n">
        <v>44</v>
      </c>
      <c r="G17" s="16" t="n">
        <v>21</v>
      </c>
      <c r="H17" s="16" t="n">
        <v>124</v>
      </c>
      <c r="I17" s="16" t="inlineStr">
        <is>
          <t>Failure</t>
        </is>
      </c>
      <c r="J17" s="35" t="n">
        <v>1138.28</v>
      </c>
      <c r="K17" s="16" t="inlineStr">
        <is>
          <t>R</t>
        </is>
      </c>
      <c r="L17" s="16" t="inlineStr">
        <is>
          <t>Hindaun City(HAN)</t>
        </is>
      </c>
      <c r="M17" s="36" t="inlineStr">
        <is>
          <t>124 km/h</t>
        </is>
      </c>
      <c r="N17" s="36" t="inlineStr">
        <is>
          <t>6320</t>
        </is>
      </c>
      <c r="O17" s="16" t="inlineStr">
        <is>
          <t>-</t>
        </is>
      </c>
      <c r="P17" s="34" t="inlineStr">
        <is>
          <t>Failure mode</t>
        </is>
      </c>
    </row>
    <row r="18">
      <c r="A18" s="31" t="inlineStr">
        <is>
          <t>20 Jun</t>
        </is>
      </c>
      <c r="B18" s="31" t="inlineStr">
        <is>
          <t>30415</t>
        </is>
      </c>
      <c r="C18" s="31" t="inlineStr">
        <is>
          <t>Non-Valid</t>
        </is>
      </c>
      <c r="D18" s="31" t="inlineStr">
        <is>
          <t>01:42:06</t>
        </is>
      </c>
      <c r="E18" s="31" t="inlineStr">
        <is>
          <t>01:42:12</t>
        </is>
      </c>
      <c r="F18" s="31" t="n">
        <v>6</v>
      </c>
      <c r="G18" s="31" t="n">
        <v>4</v>
      </c>
      <c r="H18" s="31" t="n">
        <v>43</v>
      </c>
      <c r="I18" s="31" t="inlineStr">
        <is>
          <t>OS</t>
        </is>
      </c>
      <c r="J18" s="32" t="n">
        <v>785.5</v>
      </c>
      <c r="K18" s="31" t="inlineStr">
        <is>
          <t>R</t>
        </is>
      </c>
      <c r="L18" s="31" t="inlineStr">
        <is>
          <t>Shamgarh(SGZ)</t>
        </is>
      </c>
      <c r="M18" s="33" t="inlineStr">
        <is>
          <t>43 km/h</t>
        </is>
      </c>
      <c r="N18" s="33" t="inlineStr">
        <is>
          <t>5736</t>
        </is>
      </c>
      <c r="O18" s="31" t="inlineStr">
        <is>
          <t>-</t>
        </is>
      </c>
      <c r="P18" s="33" t="inlineStr">
        <is>
          <t>-</t>
        </is>
      </c>
    </row>
    <row r="19" ht="34" customHeight="1">
      <c r="A19" s="31" t="inlineStr">
        <is>
          <t>20 Jun</t>
        </is>
      </c>
      <c r="B19" s="31" t="inlineStr">
        <is>
          <t>37725</t>
        </is>
      </c>
      <c r="C19" s="31" t="inlineStr">
        <is>
          <t>Non-Valid</t>
        </is>
      </c>
      <c r="D19" s="31" t="inlineStr">
        <is>
          <t>15:45:16</t>
        </is>
      </c>
      <c r="E19" s="31" t="inlineStr">
        <is>
          <t>15:46:26</t>
        </is>
      </c>
      <c r="F19" s="31" t="n">
        <v>70</v>
      </c>
      <c r="G19" s="31" t="n">
        <v>31</v>
      </c>
      <c r="H19" s="31" t="n">
        <v>128</v>
      </c>
      <c r="I19" s="31" t="inlineStr">
        <is>
          <t>Failure</t>
        </is>
      </c>
      <c r="J19" s="32" t="n">
        <v>964.49</v>
      </c>
      <c r="K19" s="31" t="inlineStr">
        <is>
          <t>R</t>
        </is>
      </c>
      <c r="L19" s="31" t="inlineStr">
        <is>
          <t>Ghatkavarana(GKB)</t>
        </is>
      </c>
      <c r="M19" s="33" t="inlineStr">
        <is>
          <t>128 km/h</t>
        </is>
      </c>
      <c r="N19" s="33" t="inlineStr">
        <is>
          <t>0
MA dropped from 3806 to 0.</t>
        </is>
      </c>
      <c r="O19" s="31" t="inlineStr">
        <is>
          <t>-</t>
        </is>
      </c>
      <c r="P19" s="34" t="inlineStr">
        <is>
          <t>Sudden MA drop; Failure mode</t>
        </is>
      </c>
    </row>
    <row r="20">
      <c r="A20" s="16" t="inlineStr">
        <is>
          <t>20 Jun</t>
        </is>
      </c>
      <c r="B20" s="16" t="inlineStr">
        <is>
          <t>30814</t>
        </is>
      </c>
      <c r="C20" s="16" t="inlineStr">
        <is>
          <t>Valid</t>
        </is>
      </c>
      <c r="D20" s="16" t="inlineStr">
        <is>
          <t>21:11:08</t>
        </is>
      </c>
      <c r="E20" s="16" t="inlineStr">
        <is>
          <t>21:11:22</t>
        </is>
      </c>
      <c r="F20" s="16" t="n">
        <v>14</v>
      </c>
      <c r="G20" s="16" t="n">
        <v>8</v>
      </c>
      <c r="H20" s="16" t="n">
        <v>33</v>
      </c>
      <c r="I20" s="16" t="inlineStr">
        <is>
          <t>FS</t>
        </is>
      </c>
      <c r="J20" s="35" t="n">
        <v>1029.81</v>
      </c>
      <c r="K20" s="16" t="inlineStr">
        <is>
          <t>R</t>
        </is>
      </c>
      <c r="L20" s="16" t="inlineStr">
        <is>
          <t>SawaiMadhopurJn(SWM)</t>
        </is>
      </c>
      <c r="M20" s="36" t="inlineStr">
        <is>
          <t>33 km/h</t>
        </is>
      </c>
      <c r="N20" s="36" t="inlineStr">
        <is>
          <t>11223</t>
        </is>
      </c>
      <c r="O20" s="16" t="inlineStr">
        <is>
          <t>-</t>
        </is>
      </c>
      <c r="P20" s="36" t="inlineStr">
        <is>
          <t>-</t>
        </is>
      </c>
    </row>
    <row r="21">
      <c r="A21" s="31" t="inlineStr">
        <is>
          <t>21 Jun</t>
        </is>
      </c>
      <c r="B21" s="31" t="inlineStr">
        <is>
          <t>30473</t>
        </is>
      </c>
      <c r="C21" s="31" t="inlineStr">
        <is>
          <t>Non-Valid</t>
        </is>
      </c>
      <c r="D21" s="31" t="inlineStr">
        <is>
          <t>09:30:00</t>
        </is>
      </c>
      <c r="E21" s="31" t="inlineStr">
        <is>
          <t>09:31:12</t>
        </is>
      </c>
      <c r="F21" s="31" t="n">
        <v>72</v>
      </c>
      <c r="G21" s="31" t="n">
        <v>37</v>
      </c>
      <c r="H21" s="31" t="n">
        <v>9</v>
      </c>
      <c r="I21" s="31" t="inlineStr">
        <is>
          <t>TRIP</t>
        </is>
      </c>
      <c r="J21" s="32" t="n">
        <v>1028.97</v>
      </c>
      <c r="K21" s="31" t="inlineStr">
        <is>
          <t>N</t>
        </is>
      </c>
      <c r="L21" s="31" t="inlineStr">
        <is>
          <t>SawaiMadhopurJn(SWM)</t>
        </is>
      </c>
      <c r="M21" s="33" t="inlineStr">
        <is>
          <t>9 km/h</t>
        </is>
      </c>
      <c r="N21" s="33" t="inlineStr">
        <is>
          <t>0</t>
        </is>
      </c>
      <c r="O21" s="31" t="inlineStr">
        <is>
          <t>-</t>
        </is>
      </c>
      <c r="P21" s="34" t="inlineStr">
        <is>
          <t>Trip mode</t>
        </is>
      </c>
    </row>
    <row r="22">
      <c r="A22" s="31" t="inlineStr">
        <is>
          <t>21 Jun</t>
        </is>
      </c>
      <c r="B22" s="31" t="inlineStr">
        <is>
          <t>39159</t>
        </is>
      </c>
      <c r="C22" s="31" t="inlineStr">
        <is>
          <t>Non-Valid</t>
        </is>
      </c>
      <c r="D22" s="31" t="inlineStr">
        <is>
          <t>18:59:58</t>
        </is>
      </c>
      <c r="E22" s="31" t="inlineStr">
        <is>
          <t>19:00:02</t>
        </is>
      </c>
      <c r="F22" s="31" t="n">
        <v>4</v>
      </c>
      <c r="G22" s="31" t="n">
        <v>3</v>
      </c>
      <c r="H22" s="31" t="n">
        <v>115</v>
      </c>
      <c r="I22" s="31" t="inlineStr">
        <is>
          <t>FS</t>
        </is>
      </c>
      <c r="J22" s="32" t="n">
        <v>1210.07</v>
      </c>
      <c r="K22" s="31" t="inlineStr">
        <is>
          <t>R</t>
        </is>
      </c>
      <c r="L22" s="31" t="inlineStr">
        <is>
          <t>Bharatpur Jn.(BTE)</t>
        </is>
      </c>
      <c r="M22" s="33" t="inlineStr">
        <is>
          <t>115 km/h</t>
        </is>
      </c>
      <c r="N22" s="33" t="inlineStr">
        <is>
          <t>n/a</t>
        </is>
      </c>
      <c r="O22" s="31" t="inlineStr">
        <is>
          <t>-</t>
        </is>
      </c>
      <c r="P22" s="33" t="inlineStr">
        <is>
          <t>-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15 Jun</t>
        </is>
      </c>
      <c r="B5" s="16" t="inlineStr">
        <is>
          <t>37582</t>
        </is>
      </c>
      <c r="C5" s="16" t="n">
        <v>34892</v>
      </c>
      <c r="D5" s="16" t="n">
        <v>34857</v>
      </c>
      <c r="E5" s="16" t="n">
        <v>31506</v>
      </c>
      <c r="F5" s="38" t="n">
        <v>657236</v>
      </c>
      <c r="G5" s="38" t="n">
        <v>1490238</v>
      </c>
      <c r="H5" s="38" t="n">
        <v>699083</v>
      </c>
      <c r="I5" s="38" t="n">
        <v>1242925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15 Jun</t>
        </is>
      </c>
      <c r="B6" s="16" t="inlineStr">
        <is>
          <t>30396</t>
        </is>
      </c>
      <c r="C6" s="16" t="n">
        <v>30386</v>
      </c>
      <c r="D6" s="16" t="n">
        <v>30372</v>
      </c>
      <c r="E6" s="16" t="n">
        <v>29862</v>
      </c>
      <c r="F6" s="38" t="n">
        <v>695654</v>
      </c>
      <c r="G6" s="38" t="n">
        <v>1242829</v>
      </c>
      <c r="H6" s="38" t="n">
        <v>699079</v>
      </c>
      <c r="I6" s="38" t="n">
        <v>1242829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15 Jun</t>
        </is>
      </c>
      <c r="B7" s="16" t="inlineStr">
        <is>
          <t>39005</t>
        </is>
      </c>
      <c r="C7" s="16" t="n">
        <v>19342</v>
      </c>
      <c r="D7" s="16" t="n">
        <v>19326</v>
      </c>
      <c r="E7" s="16" t="n">
        <v>17089</v>
      </c>
      <c r="F7" s="38" t="n">
        <v>658539</v>
      </c>
      <c r="G7" s="38" t="n">
        <v>1512932</v>
      </c>
      <c r="H7" s="38" t="n">
        <v>699070</v>
      </c>
      <c r="I7" s="38" t="n">
        <v>1242736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15 Jun</t>
        </is>
      </c>
      <c r="B8" s="16" t="inlineStr">
        <is>
          <t>37515</t>
        </is>
      </c>
      <c r="C8" s="16" t="n">
        <v>30642</v>
      </c>
      <c r="D8" s="16" t="n">
        <v>30606</v>
      </c>
      <c r="E8" s="16" t="n">
        <v>29126</v>
      </c>
      <c r="F8" s="38" t="n">
        <v>657167</v>
      </c>
      <c r="G8" s="38" t="n">
        <v>1240707</v>
      </c>
      <c r="H8" s="38" t="n">
        <v>699074</v>
      </c>
      <c r="I8" s="38" t="n">
        <v>1240707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15 Jun</t>
        </is>
      </c>
      <c r="B9" s="16" t="inlineStr">
        <is>
          <t>37091</t>
        </is>
      </c>
      <c r="C9" s="16" t="n">
        <v>19456</v>
      </c>
      <c r="D9" s="16" t="n">
        <v>19448</v>
      </c>
      <c r="E9" s="16" t="n">
        <v>17523</v>
      </c>
      <c r="F9" s="38" t="n">
        <v>657400</v>
      </c>
      <c r="G9" s="38" t="n">
        <v>1435991</v>
      </c>
      <c r="H9" s="38" t="n">
        <v>699082</v>
      </c>
      <c r="I9" s="38" t="n">
        <v>1240697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 ht="34" customHeight="1">
      <c r="A10" s="16" t="inlineStr">
        <is>
          <t>15 Jun</t>
        </is>
      </c>
      <c r="B10" s="16" t="inlineStr">
        <is>
          <t>30334</t>
        </is>
      </c>
      <c r="C10" s="16" t="n">
        <v>18595</v>
      </c>
      <c r="D10" s="16" t="n">
        <v>18595</v>
      </c>
      <c r="E10" s="16" t="n">
        <v>16996</v>
      </c>
      <c r="F10" s="38" t="n">
        <v>665307</v>
      </c>
      <c r="G10" s="38" t="n">
        <v>1210020</v>
      </c>
      <c r="H10" s="38" t="n">
        <v>699092</v>
      </c>
      <c r="I10" s="38" t="n">
        <v>1210020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15 Jun</t>
        </is>
      </c>
      <c r="B11" s="16" t="inlineStr">
        <is>
          <t>39030</t>
        </is>
      </c>
      <c r="C11" s="16" t="n">
        <v>23972</v>
      </c>
      <c r="D11" s="16" t="n">
        <v>23938</v>
      </c>
      <c r="E11" s="16" t="n">
        <v>22200</v>
      </c>
      <c r="F11" s="38" t="n">
        <v>656397</v>
      </c>
      <c r="G11" s="38" t="n">
        <v>1169672</v>
      </c>
      <c r="H11" s="38" t="n">
        <v>699085</v>
      </c>
      <c r="I11" s="38" t="n">
        <v>1169672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64" customHeight="1">
      <c r="A12" s="16" t="inlineStr">
        <is>
          <t>15 Jun</t>
        </is>
      </c>
      <c r="B12" s="16" t="inlineStr">
        <is>
          <t>30567</t>
        </is>
      </c>
      <c r="C12" s="16" t="n">
        <v>20243</v>
      </c>
      <c r="D12" s="16" t="n">
        <v>20236</v>
      </c>
      <c r="E12" s="16" t="n">
        <v>19579</v>
      </c>
      <c r="F12" s="38" t="n">
        <v>776568</v>
      </c>
      <c r="G12" s="38" t="n">
        <v>1474567</v>
      </c>
      <c r="H12" s="38" t="n">
        <v>776568</v>
      </c>
      <c r="I12" s="38" t="n">
        <v>1240715</v>
      </c>
      <c r="J12" s="19">
        <f>(I12-H12)/1000</f>
        <v/>
      </c>
      <c r="K12" s="16" t="inlineStr">
        <is>
          <t>Yes</t>
        </is>
      </c>
      <c r="L12" s="16" t="n">
        <v>107</v>
      </c>
      <c r="M12" s="39" t="inlineStr">
        <is>
          <t>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24" customHeight="1">
      <c r="A13" s="16" t="inlineStr">
        <is>
          <t>15 Jun</t>
        </is>
      </c>
      <c r="B13" s="16" t="inlineStr">
        <is>
          <t>39014</t>
        </is>
      </c>
      <c r="C13" s="16" t="n">
        <v>22654</v>
      </c>
      <c r="D13" s="16" t="n">
        <v>22654</v>
      </c>
      <c r="E13" s="16" t="n">
        <v>21573</v>
      </c>
      <c r="F13" s="38" t="n">
        <v>657708</v>
      </c>
      <c r="G13" s="38" t="n">
        <v>1085530</v>
      </c>
      <c r="H13" s="38" t="n">
        <v>699098</v>
      </c>
      <c r="I13" s="38" t="n">
        <v>1085530</v>
      </c>
      <c r="J13" s="19">
        <f>(I13-H13)/1000</f>
        <v/>
      </c>
      <c r="K13" s="16" t="inlineStr">
        <is>
          <t>Yes</t>
        </is>
      </c>
      <c r="L13" s="16" t="n">
        <v>90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4" ht="169" customHeight="1">
      <c r="A14" s="16" t="inlineStr">
        <is>
          <t>15 Jun</t>
        </is>
      </c>
      <c r="B14" s="16" t="inlineStr">
        <is>
          <t>39260</t>
        </is>
      </c>
      <c r="C14" s="16" t="n">
        <v>12008</v>
      </c>
      <c r="D14" s="16" t="n">
        <v>11991</v>
      </c>
      <c r="E14" s="16" t="n">
        <v>11132</v>
      </c>
      <c r="F14" s="38" t="n">
        <v>656348</v>
      </c>
      <c r="G14" s="38" t="n">
        <v>1028993</v>
      </c>
      <c r="H14" s="38" t="n">
        <v>699079</v>
      </c>
      <c r="I14" s="38" t="n">
        <v>1028993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69" customHeight="1">
      <c r="A15" s="16" t="inlineStr">
        <is>
          <t>15 Jun</t>
        </is>
      </c>
      <c r="B15" s="16" t="inlineStr">
        <is>
          <t>37793</t>
        </is>
      </c>
      <c r="C15" s="16" t="n">
        <v>29851</v>
      </c>
      <c r="D15" s="16" t="n">
        <v>29656</v>
      </c>
      <c r="E15" s="16" t="n">
        <v>28397</v>
      </c>
      <c r="F15" s="38" t="n">
        <v>657214</v>
      </c>
      <c r="G15" s="38" t="n">
        <v>1028964</v>
      </c>
      <c r="H15" s="38" t="n">
        <v>699088</v>
      </c>
      <c r="I15" s="38" t="n">
        <v>1028964</v>
      </c>
      <c r="J15" s="19">
        <f>(I15-H15)/1000</f>
        <v/>
      </c>
      <c r="K15" s="16" t="inlineStr">
        <is>
          <t>Yes</t>
        </is>
      </c>
      <c r="L15" s="16" t="n">
        <v>77</v>
      </c>
      <c r="M1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" ht="169" customHeight="1">
      <c r="A16" s="16" t="inlineStr">
        <is>
          <t>15 Jun</t>
        </is>
      </c>
      <c r="B16" s="16" t="inlineStr">
        <is>
          <t>37466</t>
        </is>
      </c>
      <c r="C16" s="16" t="n">
        <v>169</v>
      </c>
      <c r="D16" s="16" t="n">
        <v>113</v>
      </c>
      <c r="E16" s="16" t="n">
        <v>105</v>
      </c>
      <c r="F16" s="38" t="n">
        <v>695294</v>
      </c>
      <c r="G16" s="38" t="n">
        <v>1027858</v>
      </c>
      <c r="H16" s="38" t="n">
        <v>699575</v>
      </c>
      <c r="I16" s="38" t="n">
        <v>1027858</v>
      </c>
      <c r="J16" s="19">
        <f>(I16-H16)/1000</f>
        <v/>
      </c>
      <c r="K16" s="16" t="inlineStr">
        <is>
          <t>Yes</t>
        </is>
      </c>
      <c r="L16" s="16" t="n">
        <v>77</v>
      </c>
      <c r="M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7" ht="184" customHeight="1">
      <c r="A17" s="16" t="inlineStr">
        <is>
          <t>15 Jun</t>
        </is>
      </c>
      <c r="B17" s="16" t="inlineStr">
        <is>
          <t>30395</t>
        </is>
      </c>
      <c r="C17" s="16" t="n">
        <v>6992</v>
      </c>
      <c r="D17" s="16" t="n">
        <v>6972</v>
      </c>
      <c r="E17" s="16" t="n">
        <v>6747</v>
      </c>
      <c r="F17" s="38" t="n">
        <v>920854</v>
      </c>
      <c r="G17" s="38" t="n">
        <v>1424687</v>
      </c>
      <c r="H17" s="38" t="n">
        <v>920854</v>
      </c>
      <c r="I17" s="38" t="n">
        <v>1242975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15 Jun</t>
        </is>
      </c>
      <c r="B18" s="16" t="inlineStr">
        <is>
          <t>30466</t>
        </is>
      </c>
      <c r="C18" s="16" t="n">
        <v>14488</v>
      </c>
      <c r="D18" s="16" t="n">
        <v>14445</v>
      </c>
      <c r="E18" s="16" t="n">
        <v>13138</v>
      </c>
      <c r="F18" s="38" t="n">
        <v>921247</v>
      </c>
      <c r="G18" s="38" t="n">
        <v>1500633</v>
      </c>
      <c r="H18" s="38" t="n">
        <v>921247</v>
      </c>
      <c r="I18" s="38" t="n">
        <v>1242978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15 Jun</t>
        </is>
      </c>
      <c r="B19" s="16" t="inlineStr">
        <is>
          <t>37322</t>
        </is>
      </c>
      <c r="C19" s="16" t="n">
        <v>11548</v>
      </c>
      <c r="D19" s="16" t="n">
        <v>11529</v>
      </c>
      <c r="E19" s="16" t="n">
        <v>11159</v>
      </c>
      <c r="F19" s="38" t="n">
        <v>920599</v>
      </c>
      <c r="G19" s="38" t="n">
        <v>1490524</v>
      </c>
      <c r="H19" s="38" t="n">
        <v>920599</v>
      </c>
      <c r="I19" s="38" t="n">
        <v>1240709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15 Jun</t>
        </is>
      </c>
      <c r="B20" s="16" t="inlineStr">
        <is>
          <t>43821</t>
        </is>
      </c>
      <c r="C20" s="16" t="n">
        <v>14168</v>
      </c>
      <c r="D20" s="16" t="n">
        <v>14148</v>
      </c>
      <c r="E20" s="16" t="n">
        <v>12638</v>
      </c>
      <c r="F20" s="38" t="n">
        <v>921492</v>
      </c>
      <c r="G20" s="38" t="n">
        <v>1516304</v>
      </c>
      <c r="H20" s="38" t="n">
        <v>921492</v>
      </c>
      <c r="I20" s="38" t="n">
        <v>1240668</v>
      </c>
      <c r="J20" s="19">
        <f>(I20-H20)/1000</f>
        <v/>
      </c>
      <c r="K20" s="16" t="inlineStr">
        <is>
          <t>Yes</t>
        </is>
      </c>
      <c r="L20" s="16" t="n">
        <v>78</v>
      </c>
      <c r="M2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15 Jun</t>
        </is>
      </c>
      <c r="B21" s="16" t="inlineStr">
        <is>
          <t>30488</t>
        </is>
      </c>
      <c r="C21" s="16" t="n">
        <v>12691</v>
      </c>
      <c r="D21" s="16" t="n">
        <v>12678</v>
      </c>
      <c r="E21" s="16" t="n">
        <v>10853</v>
      </c>
      <c r="F21" s="38" t="n">
        <v>921757</v>
      </c>
      <c r="G21" s="38" t="n">
        <v>1500617</v>
      </c>
      <c r="H21" s="38" t="n">
        <v>921757</v>
      </c>
      <c r="I21" s="38" t="n">
        <v>1240540</v>
      </c>
      <c r="J21" s="19">
        <f>(I21-H21)/1000</f>
        <v/>
      </c>
      <c r="K21" s="16" t="inlineStr">
        <is>
          <t>Yes</t>
        </is>
      </c>
      <c r="L21" s="16" t="n">
        <v>78</v>
      </c>
      <c r="M2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99" customHeight="1">
      <c r="A22" s="16" t="inlineStr">
        <is>
          <t>15 Jun</t>
        </is>
      </c>
      <c r="B22" s="16" t="inlineStr">
        <is>
          <t>39331</t>
        </is>
      </c>
      <c r="C22" s="16" t="n">
        <v>14392</v>
      </c>
      <c r="D22" s="16" t="n">
        <v>14376</v>
      </c>
      <c r="E22" s="16" t="n">
        <v>12112</v>
      </c>
      <c r="F22" s="38" t="n">
        <v>990042</v>
      </c>
      <c r="G22" s="38" t="n">
        <v>1500616</v>
      </c>
      <c r="H22" s="38" t="n">
        <v>990042</v>
      </c>
      <c r="I22" s="38" t="n">
        <v>1242960</v>
      </c>
      <c r="J22" s="19">
        <f>(I22-H22)/1000</f>
        <v/>
      </c>
      <c r="K22" s="16" t="inlineStr">
        <is>
          <t>Yes</t>
        </is>
      </c>
      <c r="L22" s="16" t="n">
        <v>58</v>
      </c>
      <c r="M22" s="39" t="inlineStr">
        <is>
          <t>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  ...(+16 more)</t>
        </is>
      </c>
    </row>
    <row r="23" ht="199" customHeight="1">
      <c r="A23" s="16" t="inlineStr">
        <is>
          <t>15 Jun</t>
        </is>
      </c>
      <c r="B23" s="16" t="inlineStr">
        <is>
          <t>37257</t>
        </is>
      </c>
      <c r="C23" s="16" t="n">
        <v>30296</v>
      </c>
      <c r="D23" s="16" t="n">
        <v>30227</v>
      </c>
      <c r="E23" s="16" t="n">
        <v>30227</v>
      </c>
      <c r="F23" s="38" t="n">
        <v>920738</v>
      </c>
      <c r="G23" s="38" t="n">
        <v>1172914</v>
      </c>
      <c r="H23" s="38" t="n">
        <v>920738</v>
      </c>
      <c r="I23" s="38" t="n">
        <v>1172914</v>
      </c>
      <c r="J23" s="19">
        <f>(I23-H23)/1000</f>
        <v/>
      </c>
      <c r="K23" s="16" t="inlineStr">
        <is>
          <t>Yes</t>
        </is>
      </c>
      <c r="L23" s="16" t="n">
        <v>63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4" ht="199" customHeight="1">
      <c r="A24" s="16" t="inlineStr">
        <is>
          <t>15 Jun</t>
        </is>
      </c>
      <c r="B24" s="16" t="inlineStr">
        <is>
          <t>37063</t>
        </is>
      </c>
      <c r="C24" s="16" t="n">
        <v>33045</v>
      </c>
      <c r="D24" s="16" t="n">
        <v>33021</v>
      </c>
      <c r="E24" s="16" t="n">
        <v>33021</v>
      </c>
      <c r="F24" s="38" t="n">
        <v>920826</v>
      </c>
      <c r="G24" s="38" t="n">
        <v>1172911</v>
      </c>
      <c r="H24" s="38" t="n">
        <v>920826</v>
      </c>
      <c r="I24" s="38" t="n">
        <v>1172911</v>
      </c>
      <c r="J24" s="19">
        <f>(I24-H24)/1000</f>
        <v/>
      </c>
      <c r="K24" s="16" t="inlineStr">
        <is>
          <t>Yes</t>
        </is>
      </c>
      <c r="L24" s="16" t="n">
        <v>63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5" ht="199" customHeight="1">
      <c r="A25" s="16" t="inlineStr">
        <is>
          <t>15 Jun</t>
        </is>
      </c>
      <c r="B25" s="16" t="inlineStr">
        <is>
          <t>30463</t>
        </is>
      </c>
      <c r="C25" s="16" t="n">
        <v>11032</v>
      </c>
      <c r="D25" s="16" t="n">
        <v>10998</v>
      </c>
      <c r="E25" s="16" t="n">
        <v>8595</v>
      </c>
      <c r="F25" s="38" t="n">
        <v>1011812</v>
      </c>
      <c r="G25" s="38" t="n">
        <v>1499250</v>
      </c>
      <c r="H25" s="38" t="n">
        <v>1011812</v>
      </c>
      <c r="I25" s="38" t="n">
        <v>1242984</v>
      </c>
      <c r="J25" s="19">
        <f>(I25-H25)/1000</f>
        <v/>
      </c>
      <c r="K25" s="16" t="inlineStr">
        <is>
          <t>Yes</t>
        </is>
      </c>
      <c r="L25" s="16" t="n">
        <v>53</v>
      </c>
      <c r="M25" s="39" t="inlineStr">
        <is>
          <t>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  ...(+21 more)</t>
        </is>
      </c>
    </row>
    <row r="26" ht="184" customHeight="1">
      <c r="A26" s="16" t="inlineStr">
        <is>
          <t>15 Jun</t>
        </is>
      </c>
      <c r="B26" s="16" t="inlineStr">
        <is>
          <t>39243</t>
        </is>
      </c>
      <c r="C26" s="16" t="n">
        <v>11195</v>
      </c>
      <c r="D26" s="16" t="n">
        <v>11195</v>
      </c>
      <c r="E26" s="16" t="n">
        <v>10100</v>
      </c>
      <c r="F26" s="38" t="n">
        <v>657190</v>
      </c>
      <c r="G26" s="38" t="n">
        <v>920631</v>
      </c>
      <c r="H26" s="38" t="n">
        <v>699074</v>
      </c>
      <c r="I26" s="38" t="n">
        <v>920631</v>
      </c>
      <c r="J26" s="19">
        <f>(I26-H26)/1000</f>
        <v/>
      </c>
      <c r="K26" s="16" t="inlineStr">
        <is>
          <t>Yes</t>
        </is>
      </c>
      <c r="L26" s="16" t="n">
        <v>47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7" ht="199" customHeight="1">
      <c r="A27" s="16" t="inlineStr">
        <is>
          <t>15 Jun</t>
        </is>
      </c>
      <c r="B27" s="16" t="inlineStr">
        <is>
          <t>30007</t>
        </is>
      </c>
      <c r="C27" s="16" t="n">
        <v>13148</v>
      </c>
      <c r="D27" s="16" t="n">
        <v>13131</v>
      </c>
      <c r="E27" s="16" t="n">
        <v>13131</v>
      </c>
      <c r="F27" s="38" t="n">
        <v>1048408</v>
      </c>
      <c r="G27" s="38" t="n">
        <v>1240518</v>
      </c>
      <c r="H27" s="38" t="n">
        <v>1048408</v>
      </c>
      <c r="I27" s="38" t="n">
        <v>1240518</v>
      </c>
      <c r="J27" s="19">
        <f>(I27-H27)/1000</f>
        <v/>
      </c>
      <c r="K27" s="16" t="inlineStr">
        <is>
          <t>Yes</t>
        </is>
      </c>
      <c r="L27" s="16" t="n">
        <v>44</v>
      </c>
      <c r="M27" s="39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28" ht="184" customHeight="1">
      <c r="A28" s="16" t="inlineStr">
        <is>
          <t>15 Jun</t>
        </is>
      </c>
      <c r="B28" s="16" t="inlineStr">
        <is>
          <t>39245</t>
        </is>
      </c>
      <c r="C28" s="16" t="n">
        <v>4950</v>
      </c>
      <c r="D28" s="16" t="n">
        <v>4788</v>
      </c>
      <c r="E28" s="16" t="n">
        <v>4788</v>
      </c>
      <c r="F28" s="38" t="n">
        <v>897781</v>
      </c>
      <c r="G28" s="38" t="n">
        <v>1028615</v>
      </c>
      <c r="H28" s="38" t="n">
        <v>897781</v>
      </c>
      <c r="I28" s="38" t="n">
        <v>1028615</v>
      </c>
      <c r="J28" s="19">
        <f>(I28-H28)/1000</f>
        <v/>
      </c>
      <c r="K28" s="16" t="inlineStr">
        <is>
          <t>Yes</t>
        </is>
      </c>
      <c r="L28" s="16" t="n">
        <v>36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 DHANIKASAR, Ravtha Road(RDT), IBH-95(7.25KM FROM DARA)  ...(+38 more)</t>
        </is>
      </c>
    </row>
    <row r="29" ht="184" customHeight="1">
      <c r="A29" s="16" t="inlineStr">
        <is>
          <t>15 Jun</t>
        </is>
      </c>
      <c r="B29" s="16" t="inlineStr">
        <is>
          <t>39125</t>
        </is>
      </c>
      <c r="C29" s="16" t="n">
        <v>48</v>
      </c>
      <c r="D29" s="16" t="n">
        <v>48</v>
      </c>
      <c r="E29" s="16" t="n">
        <v>48</v>
      </c>
      <c r="F29" s="38" t="n">
        <v>735416</v>
      </c>
      <c r="G29" s="38" t="n">
        <v>848336</v>
      </c>
      <c r="H29" s="38" t="n">
        <v>735416</v>
      </c>
      <c r="I29" s="38" t="n">
        <v>848336</v>
      </c>
      <c r="J29" s="19">
        <f>(I29-H29)/1000</f>
        <v/>
      </c>
      <c r="K29" s="16" t="inlineStr">
        <is>
          <t>Yes</t>
        </is>
      </c>
      <c r="L29" s="16" t="n">
        <v>24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...(+50 more)</t>
        </is>
      </c>
    </row>
    <row r="30" ht="184" customHeight="1">
      <c r="A30" s="16" t="inlineStr">
        <is>
          <t>15 Jun</t>
        </is>
      </c>
      <c r="B30" s="16" t="inlineStr">
        <is>
          <t>37035</t>
        </is>
      </c>
      <c r="C30" s="16" t="n">
        <v>13954</v>
      </c>
      <c r="D30" s="16" t="n">
        <v>13868</v>
      </c>
      <c r="E30" s="16" t="n">
        <v>13868</v>
      </c>
      <c r="F30" s="38" t="n">
        <v>920369</v>
      </c>
      <c r="G30" s="38" t="n">
        <v>1029024</v>
      </c>
      <c r="H30" s="38" t="n">
        <v>920369</v>
      </c>
      <c r="I30" s="38" t="n">
        <v>1029024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15 Jun</t>
        </is>
      </c>
      <c r="B31" s="16" t="inlineStr">
        <is>
          <t>37366</t>
        </is>
      </c>
      <c r="C31" s="16" t="n">
        <v>4542</v>
      </c>
      <c r="D31" s="16" t="n">
        <v>4502</v>
      </c>
      <c r="E31" s="16" t="n">
        <v>4502</v>
      </c>
      <c r="F31" s="38" t="n">
        <v>920363</v>
      </c>
      <c r="G31" s="38" t="n">
        <v>1027898</v>
      </c>
      <c r="H31" s="38" t="n">
        <v>920363</v>
      </c>
      <c r="I31" s="38" t="n">
        <v>1027898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15 Jun</t>
        </is>
      </c>
      <c r="B32" s="16" t="inlineStr">
        <is>
          <t>37629</t>
        </is>
      </c>
      <c r="C32" s="16" t="n">
        <v>2131</v>
      </c>
      <c r="D32" s="16" t="n">
        <v>2105</v>
      </c>
      <c r="E32" s="16" t="n">
        <v>2050</v>
      </c>
      <c r="F32" s="38" t="n">
        <v>1441</v>
      </c>
      <c r="G32" s="38" t="n">
        <v>1027891</v>
      </c>
      <c r="H32" s="38" t="n">
        <v>921727</v>
      </c>
      <c r="I32" s="38" t="n">
        <v>1027891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15 Jun</t>
        </is>
      </c>
      <c r="B33" s="16" t="inlineStr">
        <is>
          <t>30819</t>
        </is>
      </c>
      <c r="C33" s="16" t="n">
        <v>585</v>
      </c>
      <c r="D33" s="16" t="n">
        <v>559</v>
      </c>
      <c r="E33" s="16" t="n">
        <v>105</v>
      </c>
      <c r="F33" s="38" t="n">
        <v>1173576</v>
      </c>
      <c r="G33" s="38" t="n">
        <v>1298330</v>
      </c>
      <c r="H33" s="38" t="n">
        <v>1173576</v>
      </c>
      <c r="I33" s="38" t="n">
        <v>1243874</v>
      </c>
      <c r="J33" s="19">
        <f>(I33-H33)/1000</f>
        <v/>
      </c>
      <c r="K33" s="16" t="inlineStr">
        <is>
          <t>Yes</t>
        </is>
      </c>
      <c r="L33" s="16" t="n">
        <v>17</v>
      </c>
      <c r="M33" s="39" t="inlineStr">
        <is>
          <t>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  ...(+57 more)</t>
        </is>
      </c>
    </row>
    <row r="34" ht="184" customHeight="1">
      <c r="A34" s="16" t="inlineStr">
        <is>
          <t>15 Jun</t>
        </is>
      </c>
      <c r="B34" s="16" t="inlineStr">
        <is>
          <t>30507</t>
        </is>
      </c>
      <c r="C34" s="16" t="n">
        <v>2614</v>
      </c>
      <c r="D34" s="16" t="n">
        <v>2614</v>
      </c>
      <c r="E34" s="16" t="n">
        <v>1826</v>
      </c>
      <c r="F34" s="38" t="n">
        <v>657164</v>
      </c>
      <c r="G34" s="38" t="n">
        <v>759496</v>
      </c>
      <c r="H34" s="38" t="n">
        <v>699094</v>
      </c>
      <c r="I34" s="38" t="n">
        <v>759496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15 Jun</t>
        </is>
      </c>
      <c r="B35" s="16" t="inlineStr">
        <is>
          <t>30339</t>
        </is>
      </c>
      <c r="C35" s="16" t="n">
        <v>2374</v>
      </c>
      <c r="D35" s="16" t="n">
        <v>2369</v>
      </c>
      <c r="E35" s="16" t="n">
        <v>2369</v>
      </c>
      <c r="F35" s="38" t="n">
        <v>920536</v>
      </c>
      <c r="G35" s="38" t="n">
        <v>971585</v>
      </c>
      <c r="H35" s="38" t="n">
        <v>920536</v>
      </c>
      <c r="I35" s="38" t="n">
        <v>971585</v>
      </c>
      <c r="J35" s="19">
        <f>(I35-H35)/1000</f>
        <v/>
      </c>
      <c r="K35" s="16" t="inlineStr">
        <is>
          <t>Yes</t>
        </is>
      </c>
      <c r="L35" s="16" t="n">
        <v>17</v>
      </c>
      <c r="M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      </is>
      </c>
    </row>
    <row r="36" ht="184" customHeight="1">
      <c r="A36" s="16" t="inlineStr">
        <is>
          <t>15 Jun</t>
        </is>
      </c>
      <c r="B36" s="16" t="inlineStr">
        <is>
          <t>30220</t>
        </is>
      </c>
      <c r="C36" s="16" t="n">
        <v>1566</v>
      </c>
      <c r="D36" s="16" t="n">
        <v>1558</v>
      </c>
      <c r="E36" s="16" t="n">
        <v>310</v>
      </c>
      <c r="F36" s="38" t="n">
        <v>1207945</v>
      </c>
      <c r="G36" s="38" t="n">
        <v>1436242</v>
      </c>
      <c r="H36" s="38" t="n">
        <v>1207945</v>
      </c>
      <c r="I36" s="38" t="n">
        <v>1243825</v>
      </c>
      <c r="J36" s="19">
        <f>(I36-H36)/1000</f>
        <v/>
      </c>
      <c r="K36" s="16" t="inlineStr">
        <is>
          <t>Yes</t>
        </is>
      </c>
      <c r="L36" s="16" t="n">
        <v>8</v>
      </c>
      <c r="M36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37" ht="184" customHeight="1">
      <c r="A37" s="16" t="inlineStr">
        <is>
          <t>15 Jun</t>
        </is>
      </c>
      <c r="B37" s="16" t="inlineStr">
        <is>
          <t>37028</t>
        </is>
      </c>
      <c r="C37" s="16" t="n">
        <v>515</v>
      </c>
      <c r="D37" s="16" t="n">
        <v>511</v>
      </c>
      <c r="E37" s="16" t="n">
        <v>12</v>
      </c>
      <c r="F37" s="38" t="n">
        <v>1207869</v>
      </c>
      <c r="G37" s="38" t="n">
        <v>1493489</v>
      </c>
      <c r="H37" s="38" t="n">
        <v>1207869</v>
      </c>
      <c r="I37" s="38" t="n">
        <v>1243275</v>
      </c>
      <c r="J37" s="19">
        <f>(I37-H37)/1000</f>
        <v/>
      </c>
      <c r="K37" s="16" t="inlineStr">
        <is>
          <t>Yes</t>
        </is>
      </c>
      <c r="L37" s="16" t="n">
        <v>8</v>
      </c>
      <c r="M37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38" ht="184" customHeight="1">
      <c r="A38" s="16" t="inlineStr">
        <is>
          <t>15 Jun</t>
        </is>
      </c>
      <c r="B38" s="16" t="inlineStr">
        <is>
          <t>30721</t>
        </is>
      </c>
      <c r="C38" s="16" t="n">
        <v>724</v>
      </c>
      <c r="D38" s="16" t="n">
        <v>723</v>
      </c>
      <c r="E38" s="16" t="n">
        <v>62</v>
      </c>
      <c r="F38" s="38" t="n">
        <v>1210895</v>
      </c>
      <c r="G38" s="38" t="n">
        <v>1338554</v>
      </c>
      <c r="H38" s="38" t="n">
        <v>1210895</v>
      </c>
      <c r="I38" s="38" t="n">
        <v>1241558</v>
      </c>
      <c r="J38" s="19">
        <f>(I38-H38)/1000</f>
        <v/>
      </c>
      <c r="K38" s="16" t="inlineStr">
        <is>
          <t>Yes</t>
        </is>
      </c>
      <c r="L38" s="16" t="n">
        <v>7</v>
      </c>
      <c r="M38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9" ht="184" customHeight="1">
      <c r="A39" s="16" t="inlineStr">
        <is>
          <t>15 Jun</t>
        </is>
      </c>
      <c r="B39" s="16" t="inlineStr">
        <is>
          <t>37395</t>
        </is>
      </c>
      <c r="C39" s="16" t="n">
        <v>684</v>
      </c>
      <c r="D39" s="16" t="n">
        <v>684</v>
      </c>
      <c r="E39" s="16" t="n">
        <v>198</v>
      </c>
      <c r="F39" s="38" t="n">
        <v>1213431</v>
      </c>
      <c r="G39" s="38" t="n">
        <v>1312680</v>
      </c>
      <c r="H39" s="38" t="n">
        <v>1213431</v>
      </c>
      <c r="I39" s="38" t="n">
        <v>1243951</v>
      </c>
      <c r="J39" s="19">
        <f>(I39-H39)/1000</f>
        <v/>
      </c>
      <c r="K39" s="16" t="inlineStr">
        <is>
          <t>Yes</t>
        </is>
      </c>
      <c r="L39" s="16" t="n">
        <v>7</v>
      </c>
      <c r="M39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" ht="184" customHeight="1">
      <c r="A40" s="16" t="inlineStr">
        <is>
          <t>15 Jun</t>
        </is>
      </c>
      <c r="B40" s="16" t="inlineStr">
        <is>
          <t>30559</t>
        </is>
      </c>
      <c r="C40" s="16" t="n">
        <v>933</v>
      </c>
      <c r="D40" s="16" t="n">
        <v>906</v>
      </c>
      <c r="E40" s="16" t="n">
        <v>29</v>
      </c>
      <c r="F40" s="38" t="n">
        <v>1207578</v>
      </c>
      <c r="G40" s="38" t="n">
        <v>1437166</v>
      </c>
      <c r="H40" s="38" t="n">
        <v>1207578</v>
      </c>
      <c r="I40" s="38" t="n">
        <v>1232015</v>
      </c>
      <c r="J40" s="19">
        <f>(I40-H40)/1000</f>
        <v/>
      </c>
      <c r="K40" s="16" t="inlineStr">
        <is>
          <t>Yes</t>
        </is>
      </c>
      <c r="L40" s="16" t="n">
        <v>6</v>
      </c>
      <c r="M40" s="39" t="inlineStr">
        <is>
          <t>IBH 265, Murhesi Rampur(MSRP),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  ...(+68 more)</t>
        </is>
      </c>
    </row>
    <row r="41" ht="184" customHeight="1">
      <c r="A41" s="16" t="inlineStr">
        <is>
          <t>15 Jun</t>
        </is>
      </c>
      <c r="B41" s="16" t="inlineStr">
        <is>
          <t>37208</t>
        </is>
      </c>
      <c r="C41" s="16" t="n">
        <v>34</v>
      </c>
      <c r="D41" s="16" t="n">
        <v>32</v>
      </c>
      <c r="E41" s="16" t="n">
        <v>4</v>
      </c>
      <c r="F41" s="38" t="n">
        <v>1224635</v>
      </c>
      <c r="G41" s="38" t="n">
        <v>1495463</v>
      </c>
      <c r="H41" s="38" t="n">
        <v>1224635</v>
      </c>
      <c r="I41" s="38" t="n">
        <v>1231942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2" ht="184" customHeight="1">
      <c r="A42" s="16" t="inlineStr">
        <is>
          <t>15 Jun</t>
        </is>
      </c>
      <c r="B42" s="16" t="inlineStr">
        <is>
          <t>39439</t>
        </is>
      </c>
      <c r="C42" s="16" t="n">
        <v>327</v>
      </c>
      <c r="D42" s="16" t="n">
        <v>326</v>
      </c>
      <c r="E42" s="16" t="n">
        <v>35</v>
      </c>
      <c r="F42" s="38" t="n">
        <v>1229572</v>
      </c>
      <c r="G42" s="38" t="n">
        <v>1437012</v>
      </c>
      <c r="H42" s="38" t="n">
        <v>1229572</v>
      </c>
      <c r="I42" s="38" t="n">
        <v>1232015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3" ht="184" customHeight="1">
      <c r="A43" s="16" t="inlineStr">
        <is>
          <t>15 Jun</t>
        </is>
      </c>
      <c r="B43" s="16" t="inlineStr">
        <is>
          <t>37839</t>
        </is>
      </c>
      <c r="C43" s="16" t="n">
        <v>70</v>
      </c>
      <c r="D43" s="16" t="n">
        <v>8</v>
      </c>
      <c r="E43" s="16" t="n">
        <v>8</v>
      </c>
      <c r="F43" s="38" t="n">
        <v>1027718</v>
      </c>
      <c r="G43" s="38" t="n">
        <v>1028707</v>
      </c>
      <c r="H43" s="38" t="n">
        <v>1027718</v>
      </c>
      <c r="I43" s="38" t="n">
        <v>1028707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44" ht="184" customHeight="1">
      <c r="A44" s="31" t="inlineStr">
        <is>
          <t>15 Jun</t>
        </is>
      </c>
      <c r="B44" s="31" t="inlineStr">
        <is>
          <t>30197</t>
        </is>
      </c>
      <c r="C44" s="31" t="n">
        <v>604</v>
      </c>
      <c r="D44" s="31" t="n">
        <v>537</v>
      </c>
      <c r="E44" s="31" t="n">
        <v>0</v>
      </c>
      <c r="F44" s="40" t="n">
        <v>75255</v>
      </c>
      <c r="G44" s="40" t="n">
        <v>161259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15 Jun</t>
        </is>
      </c>
      <c r="B45" s="31" t="inlineStr">
        <is>
          <t>30227</t>
        </is>
      </c>
      <c r="C45" s="31" t="n">
        <v>409</v>
      </c>
      <c r="D45" s="31" t="n">
        <v>406</v>
      </c>
      <c r="E45" s="31" t="n">
        <v>0</v>
      </c>
      <c r="F45" s="40" t="n">
        <v>1407483</v>
      </c>
      <c r="G45" s="40" t="n">
        <v>1430385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15 Jun</t>
        </is>
      </c>
      <c r="B46" s="31" t="inlineStr">
        <is>
          <t>30228</t>
        </is>
      </c>
      <c r="C46" s="31" t="n">
        <v>939</v>
      </c>
      <c r="D46" s="31" t="n">
        <v>938</v>
      </c>
      <c r="E46" s="31" t="n">
        <v>0</v>
      </c>
      <c r="F46" s="40" t="n">
        <v>1401878</v>
      </c>
      <c r="G46" s="40" t="n">
        <v>1472050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15 Jun</t>
        </is>
      </c>
      <c r="B47" s="31" t="inlineStr">
        <is>
          <t>30537</t>
        </is>
      </c>
      <c r="C47" s="31" t="n">
        <v>887</v>
      </c>
      <c r="D47" s="31" t="n">
        <v>887</v>
      </c>
      <c r="E47" s="31" t="n">
        <v>0</v>
      </c>
      <c r="F47" s="40" t="n">
        <v>1401363</v>
      </c>
      <c r="G47" s="40" t="n">
        <v>1449173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15 Jun</t>
        </is>
      </c>
      <c r="B48" s="31" t="inlineStr">
        <is>
          <t>30628</t>
        </is>
      </c>
      <c r="C48" s="31" t="n">
        <v>2655</v>
      </c>
      <c r="D48" s="31" t="n">
        <v>2650</v>
      </c>
      <c r="E48" s="31" t="n">
        <v>0</v>
      </c>
      <c r="F48" s="40" t="n">
        <v>1326378</v>
      </c>
      <c r="G48" s="40" t="n">
        <v>1476838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15 Jun</t>
        </is>
      </c>
      <c r="B49" s="31" t="inlineStr">
        <is>
          <t>30635</t>
        </is>
      </c>
      <c r="C49" s="31" t="n">
        <v>1288</v>
      </c>
      <c r="D49" s="31" t="n">
        <v>1221</v>
      </c>
      <c r="E49" s="31" t="n">
        <v>0</v>
      </c>
      <c r="F49" s="40" t="n">
        <v>1889</v>
      </c>
      <c r="G49" s="40" t="n">
        <v>697887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15 Jun</t>
        </is>
      </c>
      <c r="B50" s="31" t="inlineStr">
        <is>
          <t>30793</t>
        </is>
      </c>
      <c r="C50" s="31" t="n">
        <v>1750</v>
      </c>
      <c r="D50" s="31" t="n">
        <v>1750</v>
      </c>
      <c r="E50" s="31" t="n">
        <v>0</v>
      </c>
      <c r="F50" s="40" t="n">
        <v>1401723</v>
      </c>
      <c r="G50" s="40" t="n">
        <v>1499213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15 Jun</t>
        </is>
      </c>
      <c r="B51" s="31" t="inlineStr">
        <is>
          <t>37184</t>
        </is>
      </c>
      <c r="C51" s="31" t="n">
        <v>1698</v>
      </c>
      <c r="D51" s="31" t="n">
        <v>1698</v>
      </c>
      <c r="E51" s="31" t="n">
        <v>0</v>
      </c>
      <c r="F51" s="40" t="n">
        <v>1330422</v>
      </c>
      <c r="G51" s="40" t="n">
        <v>1474583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15 Jun</t>
        </is>
      </c>
      <c r="B52" s="31" t="inlineStr">
        <is>
          <t>37286</t>
        </is>
      </c>
      <c r="C52" s="31" t="n">
        <v>1172</v>
      </c>
      <c r="D52" s="31" t="n">
        <v>1172</v>
      </c>
      <c r="E52" s="31" t="n">
        <v>0</v>
      </c>
      <c r="F52" s="40" t="n">
        <v>661553</v>
      </c>
      <c r="G52" s="40" t="n">
        <v>695502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15 Jun</t>
        </is>
      </c>
      <c r="B53" s="31" t="inlineStr">
        <is>
          <t>37314</t>
        </is>
      </c>
      <c r="C53" s="31" t="n">
        <v>775</v>
      </c>
      <c r="D53" s="31" t="n">
        <v>775</v>
      </c>
      <c r="E53" s="31" t="n">
        <v>0</v>
      </c>
      <c r="F53" s="40" t="n">
        <v>1401771</v>
      </c>
      <c r="G53" s="40" t="n">
        <v>1508330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15 Jun</t>
        </is>
      </c>
      <c r="B54" s="31" t="inlineStr">
        <is>
          <t>37458</t>
        </is>
      </c>
      <c r="C54" s="31" t="n">
        <v>125</v>
      </c>
      <c r="D54" s="31" t="n">
        <v>125</v>
      </c>
      <c r="E54" s="31" t="n">
        <v>0</v>
      </c>
      <c r="F54" s="40" t="n">
        <v>1249996</v>
      </c>
      <c r="G54" s="40" t="n">
        <v>1402997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15 Jun</t>
        </is>
      </c>
      <c r="B55" s="31" t="inlineStr">
        <is>
          <t>37513</t>
        </is>
      </c>
      <c r="C55" s="31" t="n">
        <v>1548</v>
      </c>
      <c r="D55" s="31" t="n">
        <v>1546</v>
      </c>
      <c r="E55" s="31" t="n">
        <v>0</v>
      </c>
      <c r="F55" s="40" t="n">
        <v>1273147</v>
      </c>
      <c r="G55" s="40" t="n">
        <v>1495237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15 Jun</t>
        </is>
      </c>
      <c r="B56" s="31" t="inlineStr">
        <is>
          <t>37541</t>
        </is>
      </c>
      <c r="C56" s="31" t="n">
        <v>284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15 Jun</t>
        </is>
      </c>
      <c r="B57" s="31" t="inlineStr">
        <is>
          <t>37569</t>
        </is>
      </c>
      <c r="C57" s="31" t="n">
        <v>1570</v>
      </c>
      <c r="D57" s="31" t="n">
        <v>1507</v>
      </c>
      <c r="E57" s="31" t="n">
        <v>0</v>
      </c>
      <c r="F57" s="40" t="n">
        <v>1893</v>
      </c>
      <c r="G57" s="40" t="n">
        <v>697885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15 Jun</t>
        </is>
      </c>
      <c r="B58" s="31" t="inlineStr">
        <is>
          <t>37636</t>
        </is>
      </c>
      <c r="C58" s="31" t="n">
        <v>1597</v>
      </c>
      <c r="D58" s="31" t="n">
        <v>1595</v>
      </c>
      <c r="E58" s="31" t="n">
        <v>0</v>
      </c>
      <c r="F58" s="40" t="n">
        <v>1401475</v>
      </c>
      <c r="G58" s="40" t="n">
        <v>1499035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15 Jun</t>
        </is>
      </c>
      <c r="B59" s="31" t="inlineStr">
        <is>
          <t>37796</t>
        </is>
      </c>
      <c r="C59" s="31" t="n">
        <v>2853</v>
      </c>
      <c r="D59" s="31" t="n">
        <v>2853</v>
      </c>
      <c r="E59" s="31" t="n">
        <v>0</v>
      </c>
      <c r="F59" s="40" t="n">
        <v>1401328</v>
      </c>
      <c r="G59" s="40" t="n">
        <v>1508340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15 Jun</t>
        </is>
      </c>
      <c r="B60" s="31" t="inlineStr">
        <is>
          <t>37955</t>
        </is>
      </c>
      <c r="C60" s="31" t="n">
        <v>1760</v>
      </c>
      <c r="D60" s="31" t="n">
        <v>1699</v>
      </c>
      <c r="E60" s="31" t="n">
        <v>0</v>
      </c>
      <c r="F60" s="40" t="n">
        <v>1599</v>
      </c>
      <c r="G60" s="40" t="n">
        <v>697376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15 Jun</t>
        </is>
      </c>
      <c r="B61" s="31" t="inlineStr">
        <is>
          <t>39015</t>
        </is>
      </c>
      <c r="C61" s="31" t="n">
        <v>3285</v>
      </c>
      <c r="D61" s="31" t="n">
        <v>3191</v>
      </c>
      <c r="E61" s="31" t="n">
        <v>0</v>
      </c>
      <c r="F61" s="40" t="n">
        <v>1890</v>
      </c>
      <c r="G61" s="40" t="n">
        <v>697888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15 Jun</t>
        </is>
      </c>
      <c r="B62" s="31" t="inlineStr">
        <is>
          <t>39029</t>
        </is>
      </c>
      <c r="C62" s="31" t="n">
        <v>49</v>
      </c>
      <c r="D62" s="31" t="n">
        <v>49</v>
      </c>
      <c r="E62" s="31" t="n">
        <v>0</v>
      </c>
      <c r="F62" s="40" t="n">
        <v>657199</v>
      </c>
      <c r="G62" s="40" t="n">
        <v>666317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15 Jun</t>
        </is>
      </c>
      <c r="B63" s="31" t="inlineStr">
        <is>
          <t>39035</t>
        </is>
      </c>
      <c r="C63" s="31" t="n">
        <v>1135</v>
      </c>
      <c r="D63" s="31" t="n">
        <v>1135</v>
      </c>
      <c r="E63" s="31" t="n">
        <v>0</v>
      </c>
      <c r="F63" s="40" t="n">
        <v>1419299</v>
      </c>
      <c r="G63" s="40" t="n">
        <v>1499075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15 Jun</t>
        </is>
      </c>
      <c r="B64" s="31" t="inlineStr">
        <is>
          <t>39072</t>
        </is>
      </c>
      <c r="C64" s="31" t="n">
        <v>33</v>
      </c>
      <c r="D64" s="31" t="n">
        <v>33</v>
      </c>
      <c r="E64" s="31" t="n">
        <v>0</v>
      </c>
      <c r="F64" s="40" t="n">
        <v>1260488</v>
      </c>
      <c r="G64" s="40" t="n">
        <v>1315816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15 Jun</t>
        </is>
      </c>
      <c r="B65" s="31" t="inlineStr">
        <is>
          <t>39108</t>
        </is>
      </c>
      <c r="C65" s="31" t="n">
        <v>2</v>
      </c>
      <c r="D65" s="31" t="n">
        <v>0</v>
      </c>
      <c r="E65" s="31" t="n">
        <v>0</v>
      </c>
      <c r="F65" s="40" t="inlineStr">
        <is>
          <t>-</t>
        </is>
      </c>
      <c r="G65" s="40" t="inlineStr">
        <is>
          <t>-</t>
        </is>
      </c>
      <c r="H65" s="40" t="inlineStr">
        <is>
          <t>-</t>
        </is>
      </c>
      <c r="I65" s="40" t="inlineStr">
        <is>
          <t>-</t>
        </is>
      </c>
      <c r="J65" s="41" t="n">
        <v>0</v>
      </c>
      <c r="K65" s="31" t="inlineStr">
        <is>
          <t>No</t>
        </is>
      </c>
      <c r="L65" s="31" t="n">
        <v>0</v>
      </c>
      <c r="M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15 Jun</t>
        </is>
      </c>
      <c r="B66" s="31" t="inlineStr">
        <is>
          <t>39383</t>
        </is>
      </c>
      <c r="C66" s="31" t="n">
        <v>210</v>
      </c>
      <c r="D66" s="31" t="n">
        <v>208</v>
      </c>
      <c r="E66" s="31" t="n">
        <v>0</v>
      </c>
      <c r="F66" s="40" t="n">
        <v>1401796</v>
      </c>
      <c r="G66" s="40" t="n">
        <v>1499249</v>
      </c>
      <c r="H66" s="40" t="inlineStr">
        <is>
          <t>-</t>
        </is>
      </c>
      <c r="I66" s="40" t="inlineStr">
        <is>
          <t>-</t>
        </is>
      </c>
      <c r="J66" s="41" t="n">
        <v>0</v>
      </c>
      <c r="K66" s="31" t="inlineStr">
        <is>
          <t>No</t>
        </is>
      </c>
      <c r="L66" s="31" t="n">
        <v>0</v>
      </c>
      <c r="M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15 Jun</t>
        </is>
      </c>
      <c r="B67" s="31" t="inlineStr">
        <is>
          <t>43142</t>
        </is>
      </c>
      <c r="C67" s="31" t="n">
        <v>32</v>
      </c>
      <c r="D67" s="31" t="n">
        <v>32</v>
      </c>
      <c r="E67" s="31" t="n">
        <v>0</v>
      </c>
      <c r="F67" s="40" t="n">
        <v>1286599</v>
      </c>
      <c r="G67" s="40" t="n">
        <v>1316796</v>
      </c>
      <c r="H67" s="40" t="inlineStr">
        <is>
          <t>-</t>
        </is>
      </c>
      <c r="I67" s="40" t="inlineStr">
        <is>
          <t>-</t>
        </is>
      </c>
      <c r="J67" s="41" t="n">
        <v>0</v>
      </c>
      <c r="K67" s="31" t="inlineStr">
        <is>
          <t>No</t>
        </is>
      </c>
      <c r="L67" s="31" t="n">
        <v>0</v>
      </c>
      <c r="M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15 Jun</t>
        </is>
      </c>
      <c r="B68" s="31" t="inlineStr">
        <is>
          <t>45048</t>
        </is>
      </c>
      <c r="C68" s="31" t="n">
        <v>506</v>
      </c>
      <c r="D68" s="31" t="n">
        <v>505</v>
      </c>
      <c r="E68" s="31" t="n">
        <v>0</v>
      </c>
      <c r="F68" s="40" t="n">
        <v>1401728</v>
      </c>
      <c r="G68" s="40" t="n">
        <v>1485663</v>
      </c>
      <c r="H68" s="40" t="inlineStr">
        <is>
          <t>-</t>
        </is>
      </c>
      <c r="I68" s="40" t="inlineStr">
        <is>
          <t>-</t>
        </is>
      </c>
      <c r="J68" s="41" t="n">
        <v>0</v>
      </c>
      <c r="K68" s="31" t="inlineStr">
        <is>
          <t>No</t>
        </is>
      </c>
      <c r="L68" s="31" t="n">
        <v>0</v>
      </c>
      <c r="M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>
      <c r="A69" s="16" t="inlineStr">
        <is>
          <t>16 Jun</t>
        </is>
      </c>
      <c r="B69" s="16" t="inlineStr">
        <is>
          <t>39035</t>
        </is>
      </c>
      <c r="C69" s="16" t="n">
        <v>21951</v>
      </c>
      <c r="D69" s="16" t="n">
        <v>21912</v>
      </c>
      <c r="E69" s="16" t="n">
        <v>20767</v>
      </c>
      <c r="F69" s="38" t="n">
        <v>661507</v>
      </c>
      <c r="G69" s="38" t="n">
        <v>1404270</v>
      </c>
      <c r="H69" s="38" t="n">
        <v>699083</v>
      </c>
      <c r="I69" s="38" t="n">
        <v>1242953</v>
      </c>
      <c r="J69" s="19">
        <f>(I69-H69)/1000</f>
        <v/>
      </c>
      <c r="K69" s="16" t="inlineStr">
        <is>
          <t>Yes</t>
        </is>
      </c>
      <c r="L69" s="16" t="n">
        <v>124</v>
      </c>
      <c r="M69" s="39" t="inlineStr">
        <is>
          <t>- (full trip)</t>
        </is>
      </c>
    </row>
    <row r="70">
      <c r="A70" s="16" t="inlineStr">
        <is>
          <t>16 Jun</t>
        </is>
      </c>
      <c r="B70" s="16" t="inlineStr">
        <is>
          <t>39311</t>
        </is>
      </c>
      <c r="C70" s="16" t="n">
        <v>17921</v>
      </c>
      <c r="D70" s="16" t="n">
        <v>17905</v>
      </c>
      <c r="E70" s="16" t="n">
        <v>17077</v>
      </c>
      <c r="F70" s="38" t="n">
        <v>695667</v>
      </c>
      <c r="G70" s="38" t="n">
        <v>1437267</v>
      </c>
      <c r="H70" s="38" t="n">
        <v>699094</v>
      </c>
      <c r="I70" s="38" t="n">
        <v>1242921</v>
      </c>
      <c r="J70" s="19">
        <f>(I70-H70)/1000</f>
        <v/>
      </c>
      <c r="K70" s="16" t="inlineStr">
        <is>
          <t>Yes</t>
        </is>
      </c>
      <c r="L70" s="16" t="n">
        <v>124</v>
      </c>
      <c r="M70" s="39" t="inlineStr">
        <is>
          <t>- (full trip)</t>
        </is>
      </c>
    </row>
    <row r="71" ht="34" customHeight="1">
      <c r="A71" s="16" t="inlineStr">
        <is>
          <t>16 Jun</t>
        </is>
      </c>
      <c r="B71" s="16" t="inlineStr">
        <is>
          <t>39466</t>
        </is>
      </c>
      <c r="C71" s="16" t="n">
        <v>16864</v>
      </c>
      <c r="D71" s="16" t="n">
        <v>16849</v>
      </c>
      <c r="E71" s="16" t="n">
        <v>16236</v>
      </c>
      <c r="F71" s="38" t="n">
        <v>724690</v>
      </c>
      <c r="G71" s="38" t="n">
        <v>1437158</v>
      </c>
      <c r="H71" s="38" t="n">
        <v>724690</v>
      </c>
      <c r="I71" s="38" t="n">
        <v>1242961</v>
      </c>
      <c r="J71" s="19">
        <f>(I71-H71)/1000</f>
        <v/>
      </c>
      <c r="K71" s="16" t="inlineStr">
        <is>
          <t>Yes</t>
        </is>
      </c>
      <c r="L71" s="16" t="n">
        <v>118</v>
      </c>
      <c r="M71" s="39" t="inlineStr">
        <is>
          <t>IBH-10, Mehidpur Road(MEP), 3.9 KM  from RLK, Rohalkhurd(RLK), LC-3, IBH-1</t>
        </is>
      </c>
    </row>
    <row r="72" ht="34" customHeight="1">
      <c r="A72" s="16" t="inlineStr">
        <is>
          <t>16 Jun</t>
        </is>
      </c>
      <c r="B72" s="16" t="inlineStr">
        <is>
          <t>37812</t>
        </is>
      </c>
      <c r="C72" s="16" t="n">
        <v>22198</v>
      </c>
      <c r="D72" s="16" t="n">
        <v>22198</v>
      </c>
      <c r="E72" s="16" t="n">
        <v>20778</v>
      </c>
      <c r="F72" s="38" t="n">
        <v>656320</v>
      </c>
      <c r="G72" s="38" t="n">
        <v>1212937</v>
      </c>
      <c r="H72" s="38" t="n">
        <v>699078</v>
      </c>
      <c r="I72" s="38" t="n">
        <v>1212937</v>
      </c>
      <c r="J72" s="19">
        <f>(I72-H72)/1000</f>
        <v/>
      </c>
      <c r="K72" s="16" t="inlineStr">
        <is>
          <t>Yes</t>
        </is>
      </c>
      <c r="L72" s="16" t="n">
        <v>118</v>
      </c>
      <c r="M72" s="39" t="inlineStr">
        <is>
          <t>IBH 265, Murhesi Rampur(MSRP), IBH/LC-258, Jajjanpatti(JJA), DhaurmuiJaghina(DUM), IBH-247</t>
        </is>
      </c>
    </row>
    <row r="73" ht="34" customHeight="1">
      <c r="A73" s="16" t="inlineStr">
        <is>
          <t>16 Jun</t>
        </is>
      </c>
      <c r="B73" s="16" t="inlineStr">
        <is>
          <t>37208</t>
        </is>
      </c>
      <c r="C73" s="16" t="n">
        <v>181</v>
      </c>
      <c r="D73" s="16" t="n">
        <v>181</v>
      </c>
      <c r="E73" s="16" t="n">
        <v>165</v>
      </c>
      <c r="F73" s="38" t="n">
        <v>678525</v>
      </c>
      <c r="G73" s="38" t="n">
        <v>1210855</v>
      </c>
      <c r="H73" s="38" t="n">
        <v>700662</v>
      </c>
      <c r="I73" s="38" t="n">
        <v>1210855</v>
      </c>
      <c r="J73" s="19">
        <f>(I73-H73)/1000</f>
        <v/>
      </c>
      <c r="K73" s="16" t="inlineStr">
        <is>
          <t>Yes</t>
        </is>
      </c>
      <c r="L73" s="16" t="n">
        <v>118</v>
      </c>
      <c r="M73" s="39" t="inlineStr">
        <is>
          <t>IBH 265, Murhesi Rampur(MSRP), IBH/LC-258, Jajjanpatti(JJA), DhaurmuiJaghina(DUM), IBH-247</t>
        </is>
      </c>
    </row>
    <row r="74" ht="64" customHeight="1">
      <c r="A74" s="16" t="inlineStr">
        <is>
          <t>16 Jun</t>
        </is>
      </c>
      <c r="B74" s="16" t="inlineStr">
        <is>
          <t>37352</t>
        </is>
      </c>
      <c r="C74" s="16" t="n">
        <v>22979</v>
      </c>
      <c r="D74" s="16" t="n">
        <v>22979</v>
      </c>
      <c r="E74" s="16" t="n">
        <v>21583</v>
      </c>
      <c r="F74" s="38" t="n">
        <v>657156</v>
      </c>
      <c r="G74" s="38" t="n">
        <v>1172516</v>
      </c>
      <c r="H74" s="38" t="n">
        <v>699076</v>
      </c>
      <c r="I74" s="38" t="n">
        <v>1172516</v>
      </c>
      <c r="J74" s="19">
        <f>(I74-H74)/1000</f>
        <v/>
      </c>
      <c r="K74" s="16" t="inlineStr">
        <is>
          <t>Yes</t>
        </is>
      </c>
      <c r="L74" s="16" t="n">
        <v>108</v>
      </c>
      <c r="M7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75" ht="64" customHeight="1">
      <c r="A75" s="16" t="inlineStr">
        <is>
          <t>16 Jun</t>
        </is>
      </c>
      <c r="B75" s="16" t="inlineStr">
        <is>
          <t>37286</t>
        </is>
      </c>
      <c r="C75" s="16" t="n">
        <v>22094</v>
      </c>
      <c r="D75" s="16" t="n">
        <v>22072</v>
      </c>
      <c r="E75" s="16" t="n">
        <v>20340</v>
      </c>
      <c r="F75" s="38" t="n">
        <v>782324</v>
      </c>
      <c r="G75" s="38" t="n">
        <v>1473358</v>
      </c>
      <c r="H75" s="38" t="n">
        <v>782324</v>
      </c>
      <c r="I75" s="38" t="n">
        <v>1240714</v>
      </c>
      <c r="J75" s="19">
        <f>(I75-H75)/1000</f>
        <v/>
      </c>
      <c r="K75" s="16" t="inlineStr">
        <is>
          <t>Yes</t>
        </is>
      </c>
      <c r="L75" s="16" t="n">
        <v>106</v>
      </c>
      <c r="M75" s="39" t="inlineStr">
        <is>
          <t>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69" customHeight="1">
      <c r="A76" s="16" t="inlineStr">
        <is>
          <t>16 Jun</t>
        </is>
      </c>
      <c r="B76" s="16" t="inlineStr">
        <is>
          <t>30415</t>
        </is>
      </c>
      <c r="C76" s="16" t="n">
        <v>12590</v>
      </c>
      <c r="D76" s="16" t="n">
        <v>12205</v>
      </c>
      <c r="E76" s="16" t="n">
        <v>10923</v>
      </c>
      <c r="F76" s="38" t="n">
        <v>657160</v>
      </c>
      <c r="G76" s="38" t="n">
        <v>1029219</v>
      </c>
      <c r="H76" s="38" t="n">
        <v>699077</v>
      </c>
      <c r="I76" s="38" t="n">
        <v>1029219</v>
      </c>
      <c r="J76" s="19">
        <f>(I76-H76)/1000</f>
        <v/>
      </c>
      <c r="K76" s="16" t="inlineStr">
        <is>
          <t>Yes</t>
        </is>
      </c>
      <c r="L76" s="16" t="n">
        <v>77</v>
      </c>
      <c r="M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7" ht="169" customHeight="1">
      <c r="A77" s="16" t="inlineStr">
        <is>
          <t>16 Jun</t>
        </is>
      </c>
      <c r="B77" s="16" t="inlineStr">
        <is>
          <t>39336</t>
        </is>
      </c>
      <c r="C77" s="16" t="n">
        <v>14631</v>
      </c>
      <c r="D77" s="16" t="n">
        <v>14605</v>
      </c>
      <c r="E77" s="16" t="n">
        <v>14388</v>
      </c>
      <c r="F77" s="38" t="n">
        <v>696429</v>
      </c>
      <c r="G77" s="38" t="n">
        <v>1028918</v>
      </c>
      <c r="H77" s="38" t="n">
        <v>699080</v>
      </c>
      <c r="I77" s="38" t="n">
        <v>1028918</v>
      </c>
      <c r="J77" s="19">
        <f>(I77-H77)/1000</f>
        <v/>
      </c>
      <c r="K77" s="16" t="inlineStr">
        <is>
          <t>Yes</t>
        </is>
      </c>
      <c r="L77" s="16" t="n">
        <v>77</v>
      </c>
      <c r="M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8" ht="169" customHeight="1">
      <c r="A78" s="16" t="inlineStr">
        <is>
          <t>16 Jun</t>
        </is>
      </c>
      <c r="B78" s="16" t="inlineStr">
        <is>
          <t>37745</t>
        </is>
      </c>
      <c r="C78" s="16" t="n">
        <v>14148</v>
      </c>
      <c r="D78" s="16" t="n">
        <v>13856</v>
      </c>
      <c r="E78" s="16" t="n">
        <v>10768</v>
      </c>
      <c r="F78" s="38" t="n">
        <v>918821</v>
      </c>
      <c r="G78" s="38" t="n">
        <v>1518506</v>
      </c>
      <c r="H78" s="38" t="n">
        <v>918821</v>
      </c>
      <c r="I78" s="38" t="n">
        <v>1243169</v>
      </c>
      <c r="J78" s="19">
        <f>(I78-H78)/1000</f>
        <v/>
      </c>
      <c r="K78" s="16" t="inlineStr">
        <is>
          <t>Yes</t>
        </is>
      </c>
      <c r="L78" s="16" t="n">
        <v>79</v>
      </c>
      <c r="M78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69" customHeight="1">
      <c r="A79" s="16" t="inlineStr">
        <is>
          <t>16 Jun</t>
        </is>
      </c>
      <c r="B79" s="16" t="inlineStr">
        <is>
          <t>37316</t>
        </is>
      </c>
      <c r="C79" s="16" t="n">
        <v>14385</v>
      </c>
      <c r="D79" s="16" t="n">
        <v>14349</v>
      </c>
      <c r="E79" s="16" t="n">
        <v>13613</v>
      </c>
      <c r="F79" s="38" t="n">
        <v>919711</v>
      </c>
      <c r="G79" s="38" t="n">
        <v>1440393</v>
      </c>
      <c r="H79" s="38" t="n">
        <v>919711</v>
      </c>
      <c r="I79" s="38" t="n">
        <v>1242949</v>
      </c>
      <c r="J79" s="19">
        <f>(I79-H79)/1000</f>
        <v/>
      </c>
      <c r="K79" s="16" t="inlineStr">
        <is>
          <t>Yes</t>
        </is>
      </c>
      <c r="L79" s="16" t="n">
        <v>79</v>
      </c>
      <c r="M79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 ht="184" customHeight="1">
      <c r="A80" s="16" t="inlineStr">
        <is>
          <t>16 Jun</t>
        </is>
      </c>
      <c r="B80" s="16" t="inlineStr">
        <is>
          <t>30608</t>
        </is>
      </c>
      <c r="C80" s="16" t="n">
        <v>9939</v>
      </c>
      <c r="D80" s="16" t="n">
        <v>9890</v>
      </c>
      <c r="E80" s="16" t="n">
        <v>9637</v>
      </c>
      <c r="F80" s="38" t="n">
        <v>920359</v>
      </c>
      <c r="G80" s="38" t="n">
        <v>1423855</v>
      </c>
      <c r="H80" s="38" t="n">
        <v>920359</v>
      </c>
      <c r="I80" s="38" t="n">
        <v>1242977</v>
      </c>
      <c r="J80" s="19">
        <f>(I80-H80)/1000</f>
        <v/>
      </c>
      <c r="K80" s="16" t="inlineStr">
        <is>
          <t>Yes</t>
        </is>
      </c>
      <c r="L80" s="16" t="n">
        <v>78</v>
      </c>
      <c r="M8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" ht="184" customHeight="1">
      <c r="A81" s="16" t="inlineStr">
        <is>
          <t>16 Jun</t>
        </is>
      </c>
      <c r="B81" s="16" t="inlineStr">
        <is>
          <t>30335</t>
        </is>
      </c>
      <c r="C81" s="16" t="n">
        <v>13227</v>
      </c>
      <c r="D81" s="16" t="n">
        <v>13202</v>
      </c>
      <c r="E81" s="16" t="n">
        <v>11567</v>
      </c>
      <c r="F81" s="38" t="n">
        <v>920513</v>
      </c>
      <c r="G81" s="38" t="n">
        <v>1499362</v>
      </c>
      <c r="H81" s="38" t="n">
        <v>920513</v>
      </c>
      <c r="I81" s="38" t="n">
        <v>1242984</v>
      </c>
      <c r="J81" s="19">
        <f>(I81-H81)/1000</f>
        <v/>
      </c>
      <c r="K81" s="16" t="inlineStr">
        <is>
          <t>Yes</t>
        </is>
      </c>
      <c r="L81" s="16" t="n">
        <v>78</v>
      </c>
      <c r="M8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" ht="184" customHeight="1">
      <c r="A82" s="16" t="inlineStr">
        <is>
          <t>16 Jun</t>
        </is>
      </c>
      <c r="B82" s="16" t="inlineStr">
        <is>
          <t>30339</t>
        </is>
      </c>
      <c r="C82" s="16" t="n">
        <v>22327</v>
      </c>
      <c r="D82" s="16" t="n">
        <v>22277</v>
      </c>
      <c r="E82" s="16" t="n">
        <v>21951</v>
      </c>
      <c r="F82" s="38" t="n">
        <v>921481</v>
      </c>
      <c r="G82" s="38" t="n">
        <v>1422604</v>
      </c>
      <c r="H82" s="38" t="n">
        <v>921481</v>
      </c>
      <c r="I82" s="38" t="n">
        <v>1242980</v>
      </c>
      <c r="J82" s="19">
        <f>(I82-H82)/1000</f>
        <v/>
      </c>
      <c r="K82" s="16" t="inlineStr">
        <is>
          <t>Yes</t>
        </is>
      </c>
      <c r="L82" s="16" t="n">
        <v>78</v>
      </c>
      <c r="M8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" ht="184" customHeight="1">
      <c r="A83" s="16" t="inlineStr">
        <is>
          <t>16 Jun</t>
        </is>
      </c>
      <c r="B83" s="16" t="inlineStr">
        <is>
          <t>30466</t>
        </is>
      </c>
      <c r="C83" s="16" t="n">
        <v>13238</v>
      </c>
      <c r="D83" s="16" t="n">
        <v>13216</v>
      </c>
      <c r="E83" s="16" t="n">
        <v>11148</v>
      </c>
      <c r="F83" s="38" t="n">
        <v>921483</v>
      </c>
      <c r="G83" s="38" t="n">
        <v>1499213</v>
      </c>
      <c r="H83" s="38" t="n">
        <v>921483</v>
      </c>
      <c r="I83" s="38" t="n">
        <v>1240718</v>
      </c>
      <c r="J83" s="19">
        <f>(I83-H83)/1000</f>
        <v/>
      </c>
      <c r="K83" s="16" t="inlineStr">
        <is>
          <t>Yes</t>
        </is>
      </c>
      <c r="L83" s="16" t="n">
        <v>78</v>
      </c>
      <c r="M8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4" ht="184" customHeight="1">
      <c r="A84" s="16" t="inlineStr">
        <is>
          <t>16 Jun</t>
        </is>
      </c>
      <c r="B84" s="16" t="inlineStr">
        <is>
          <t>30351</t>
        </is>
      </c>
      <c r="C84" s="16" t="n">
        <v>11391</v>
      </c>
      <c r="D84" s="16" t="n">
        <v>11380</v>
      </c>
      <c r="E84" s="16" t="n">
        <v>11205</v>
      </c>
      <c r="F84" s="38" t="n">
        <v>921754</v>
      </c>
      <c r="G84" s="38" t="n">
        <v>1436251</v>
      </c>
      <c r="H84" s="38" t="n">
        <v>921754</v>
      </c>
      <c r="I84" s="38" t="n">
        <v>1240568</v>
      </c>
      <c r="J84" s="19">
        <f>(I84-H84)/1000</f>
        <v/>
      </c>
      <c r="K84" s="16" t="inlineStr">
        <is>
          <t>Yes</t>
        </is>
      </c>
      <c r="L84" s="16" t="n">
        <v>78</v>
      </c>
      <c r="M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5" ht="184" customHeight="1">
      <c r="A85" s="16" t="inlineStr">
        <is>
          <t>16 Jun</t>
        </is>
      </c>
      <c r="B85" s="16" t="inlineStr">
        <is>
          <t>37309</t>
        </is>
      </c>
      <c r="C85" s="16" t="n">
        <v>7195</v>
      </c>
      <c r="D85" s="16" t="n">
        <v>6967</v>
      </c>
      <c r="E85" s="16" t="n">
        <v>6967</v>
      </c>
      <c r="F85" s="38" t="n">
        <v>735983</v>
      </c>
      <c r="G85" s="38" t="n">
        <v>1028939</v>
      </c>
      <c r="H85" s="38" t="n">
        <v>735983</v>
      </c>
      <c r="I85" s="38" t="n">
        <v>1028939</v>
      </c>
      <c r="J85" s="19">
        <f>(I85-H85)/1000</f>
        <v/>
      </c>
      <c r="K85" s="16" t="inlineStr">
        <is>
          <t>Yes</t>
        </is>
      </c>
      <c r="L85" s="16" t="n">
        <v>69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86" ht="199" customHeight="1">
      <c r="A86" s="16" t="inlineStr">
        <is>
          <t>16 Jun</t>
        </is>
      </c>
      <c r="B86" s="16" t="inlineStr">
        <is>
          <t>37257</t>
        </is>
      </c>
      <c r="C86" s="16" t="n">
        <v>34469</v>
      </c>
      <c r="D86" s="16" t="n">
        <v>34411</v>
      </c>
      <c r="E86" s="16" t="n">
        <v>34411</v>
      </c>
      <c r="F86" s="38" t="n">
        <v>921282</v>
      </c>
      <c r="G86" s="38" t="n">
        <v>1172539</v>
      </c>
      <c r="H86" s="38" t="n">
        <v>921282</v>
      </c>
      <c r="I86" s="38" t="n">
        <v>1172539</v>
      </c>
      <c r="J86" s="19">
        <f>(I86-H86)/1000</f>
        <v/>
      </c>
      <c r="K86" s="16" t="inlineStr">
        <is>
          <t>Yes</t>
        </is>
      </c>
      <c r="L86" s="16" t="n">
        <v>62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7" ht="199" customHeight="1">
      <c r="A87" s="16" t="inlineStr">
        <is>
          <t>16 Jun</t>
        </is>
      </c>
      <c r="B87" s="16" t="inlineStr">
        <is>
          <t>37063</t>
        </is>
      </c>
      <c r="C87" s="16" t="n">
        <v>21588</v>
      </c>
      <c r="D87" s="16" t="n">
        <v>21583</v>
      </c>
      <c r="E87" s="16" t="n">
        <v>21583</v>
      </c>
      <c r="F87" s="38" t="n">
        <v>926344</v>
      </c>
      <c r="G87" s="38" t="n">
        <v>1172906</v>
      </c>
      <c r="H87" s="38" t="n">
        <v>926344</v>
      </c>
      <c r="I87" s="38" t="n">
        <v>1172906</v>
      </c>
      <c r="J87" s="19">
        <f>(I87-H87)/1000</f>
        <v/>
      </c>
      <c r="K87" s="16" t="inlineStr">
        <is>
          <t>Yes</t>
        </is>
      </c>
      <c r="L87" s="16" t="n">
        <v>61</v>
      </c>
      <c r="M87" s="39" t="inlineStr">
        <is>
          <t>IBH 265, Murhesi Rampur(MSRP), IBH/LC-258, Jajjanpatti(JJA), DhaurmuiJaghina(DUM), IBH-247, Bharatpur Jn.(BTE), IBH-242, Sewar(SWAR), IBH-JCU, LC-232, Pingora(PNGR), IBH-229, 2.35 KM from KEV, Kela Devi(KEV),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  ...(+13 more)</t>
        </is>
      </c>
    </row>
    <row r="88" ht="184" customHeight="1">
      <c r="A88" s="16" t="inlineStr">
        <is>
          <t>16 Jun</t>
        </is>
      </c>
      <c r="B88" s="16" t="inlineStr">
        <is>
          <t>39331</t>
        </is>
      </c>
      <c r="C88" s="16" t="n">
        <v>11169</v>
      </c>
      <c r="D88" s="16" t="n">
        <v>11169</v>
      </c>
      <c r="E88" s="16" t="n">
        <v>9675</v>
      </c>
      <c r="F88" s="38" t="n">
        <v>657581</v>
      </c>
      <c r="G88" s="38" t="n">
        <v>942257</v>
      </c>
      <c r="H88" s="38" t="n">
        <v>699104</v>
      </c>
      <c r="I88" s="38" t="n">
        <v>942257</v>
      </c>
      <c r="J88" s="19">
        <f>(I88-H88)/1000</f>
        <v/>
      </c>
      <c r="K88" s="16" t="inlineStr">
        <is>
          <t>Yes</t>
        </is>
      </c>
      <c r="L88" s="16" t="n">
        <v>54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...(+20 more)</t>
        </is>
      </c>
    </row>
    <row r="89" ht="199" customHeight="1">
      <c r="A89" s="16" t="inlineStr">
        <is>
          <t>16 Jun</t>
        </is>
      </c>
      <c r="B89" s="16" t="inlineStr">
        <is>
          <t>30396</t>
        </is>
      </c>
      <c r="C89" s="16" t="n">
        <v>12294</v>
      </c>
      <c r="D89" s="16" t="n">
        <v>12245</v>
      </c>
      <c r="E89" s="16" t="n">
        <v>10093</v>
      </c>
      <c r="F89" s="38" t="n">
        <v>1005586</v>
      </c>
      <c r="G89" s="38" t="n">
        <v>1499032</v>
      </c>
      <c r="H89" s="38" t="n">
        <v>1005586</v>
      </c>
      <c r="I89" s="38" t="n">
        <v>1242971</v>
      </c>
      <c r="J89" s="19">
        <f>(I89-H89)/1000</f>
        <v/>
      </c>
      <c r="K89" s="16" t="inlineStr">
        <is>
          <t>Yes</t>
        </is>
      </c>
      <c r="L89" s="16" t="n">
        <v>55</v>
      </c>
      <c r="M89" s="39" t="inlineStr">
        <is>
          <t>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90" ht="184" customHeight="1">
      <c r="A90" s="16" t="inlineStr">
        <is>
          <t>16 Jun</t>
        </is>
      </c>
      <c r="B90" s="16" t="inlineStr">
        <is>
          <t>30334</t>
        </is>
      </c>
      <c r="C90" s="16" t="n">
        <v>10429</v>
      </c>
      <c r="D90" s="16" t="n">
        <v>10429</v>
      </c>
      <c r="E90" s="16" t="n">
        <v>9143</v>
      </c>
      <c r="F90" s="38" t="n">
        <v>663059</v>
      </c>
      <c r="G90" s="38" t="n">
        <v>921132</v>
      </c>
      <c r="H90" s="38" t="n">
        <v>699087</v>
      </c>
      <c r="I90" s="38" t="n">
        <v>921132</v>
      </c>
      <c r="J90" s="19">
        <f>(I90-H90)/1000</f>
        <v/>
      </c>
      <c r="K90" s="16" t="inlineStr">
        <is>
          <t>Yes</t>
        </is>
      </c>
      <c r="L90" s="16" t="n">
        <v>47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91" ht="184" customHeight="1">
      <c r="A91" s="16" t="inlineStr">
        <is>
          <t>16 Jun</t>
        </is>
      </c>
      <c r="B91" s="16" t="inlineStr">
        <is>
          <t>37367</t>
        </is>
      </c>
      <c r="C91" s="16" t="n">
        <v>11155</v>
      </c>
      <c r="D91" s="16" t="n">
        <v>11151</v>
      </c>
      <c r="E91" s="16" t="n">
        <v>11151</v>
      </c>
      <c r="F91" s="38" t="n">
        <v>921756</v>
      </c>
      <c r="G91" s="38" t="n">
        <v>1092444</v>
      </c>
      <c r="H91" s="38" t="n">
        <v>921756</v>
      </c>
      <c r="I91" s="38" t="n">
        <v>1092444</v>
      </c>
      <c r="J91" s="19">
        <f>(I91-H91)/1000</f>
        <v/>
      </c>
      <c r="K91" s="16" t="inlineStr">
        <is>
          <t>Yes</t>
        </is>
      </c>
      <c r="L91" s="16" t="n">
        <v>45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92" ht="184" customHeight="1">
      <c r="A92" s="16" t="inlineStr">
        <is>
          <t>16 Jun</t>
        </is>
      </c>
      <c r="B92" s="16" t="inlineStr">
        <is>
          <t>37515</t>
        </is>
      </c>
      <c r="C92" s="16" t="n">
        <v>11236</v>
      </c>
      <c r="D92" s="16" t="n">
        <v>11221</v>
      </c>
      <c r="E92" s="16" t="n">
        <v>7759</v>
      </c>
      <c r="F92" s="38" t="n">
        <v>1079910</v>
      </c>
      <c r="G92" s="38" t="n">
        <v>1499639</v>
      </c>
      <c r="H92" s="38" t="n">
        <v>1079910</v>
      </c>
      <c r="I92" s="38" t="n">
        <v>1242957</v>
      </c>
      <c r="J92" s="19">
        <f>(I92-H92)/1000</f>
        <v/>
      </c>
      <c r="K92" s="16" t="inlineStr">
        <is>
          <t>Yes</t>
        </is>
      </c>
      <c r="L92" s="16" t="n">
        <v>36</v>
      </c>
      <c r="M92" s="39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  ...(+38 more)</t>
        </is>
      </c>
    </row>
    <row r="93" ht="184" customHeight="1">
      <c r="A93" s="16" t="inlineStr">
        <is>
          <t>16 Jun</t>
        </is>
      </c>
      <c r="B93" s="16" t="inlineStr">
        <is>
          <t>37458</t>
        </is>
      </c>
      <c r="C93" s="16" t="n">
        <v>4562</v>
      </c>
      <c r="D93" s="16" t="n">
        <v>4562</v>
      </c>
      <c r="E93" s="16" t="n">
        <v>1570</v>
      </c>
      <c r="F93" s="38" t="n">
        <v>1082974</v>
      </c>
      <c r="G93" s="38" t="n">
        <v>1407316</v>
      </c>
      <c r="H93" s="38" t="n">
        <v>1082974</v>
      </c>
      <c r="I93" s="38" t="n">
        <v>1243911</v>
      </c>
      <c r="J93" s="19">
        <f>(I93-H93)/1000</f>
        <v/>
      </c>
      <c r="K93" s="16" t="inlineStr">
        <is>
          <t>Yes</t>
        </is>
      </c>
      <c r="L93" s="16" t="n">
        <v>36</v>
      </c>
      <c r="M93" s="39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  ...(+38 more)</t>
        </is>
      </c>
    </row>
    <row r="94" ht="184" customHeight="1">
      <c r="A94" s="16" t="inlineStr">
        <is>
          <t>16 Jun</t>
        </is>
      </c>
      <c r="B94" s="16" t="inlineStr">
        <is>
          <t>39245</t>
        </is>
      </c>
      <c r="C94" s="16" t="n">
        <v>6073</v>
      </c>
      <c r="D94" s="16" t="n">
        <v>6073</v>
      </c>
      <c r="E94" s="16" t="n">
        <v>5990</v>
      </c>
      <c r="F94" s="38" t="n">
        <v>695299</v>
      </c>
      <c r="G94" s="38" t="n">
        <v>848892</v>
      </c>
      <c r="H94" s="38" t="n">
        <v>699112</v>
      </c>
      <c r="I94" s="38" t="n">
        <v>848892</v>
      </c>
      <c r="J94" s="19">
        <f>(I94-H94)/1000</f>
        <v/>
      </c>
      <c r="K94" s="16" t="inlineStr">
        <is>
          <t>Yes</t>
        </is>
      </c>
      <c r="L94" s="16" t="n">
        <v>32</v>
      </c>
      <c r="M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95" ht="184" customHeight="1">
      <c r="A95" s="16" t="inlineStr">
        <is>
          <t>16 Jun</t>
        </is>
      </c>
      <c r="B95" s="16" t="inlineStr">
        <is>
          <t>30753</t>
        </is>
      </c>
      <c r="C95" s="16" t="n">
        <v>4548</v>
      </c>
      <c r="D95" s="16" t="n">
        <v>4548</v>
      </c>
      <c r="E95" s="16" t="n">
        <v>3443</v>
      </c>
      <c r="F95" s="38" t="n">
        <v>657170</v>
      </c>
      <c r="G95" s="38" t="n">
        <v>819282</v>
      </c>
      <c r="H95" s="38" t="n">
        <v>699090</v>
      </c>
      <c r="I95" s="38" t="n">
        <v>819282</v>
      </c>
      <c r="J95" s="19">
        <f>(I95-H95)/1000</f>
        <v/>
      </c>
      <c r="K95" s="16" t="inlineStr">
        <is>
          <t>Yes</t>
        </is>
      </c>
      <c r="L95" s="16" t="n">
        <v>27</v>
      </c>
      <c r="M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...(+47 more)</t>
        </is>
      </c>
    </row>
    <row r="96" ht="184" customHeight="1">
      <c r="A96" s="16" t="inlineStr">
        <is>
          <t>16 Jun</t>
        </is>
      </c>
      <c r="B96" s="16" t="inlineStr">
        <is>
          <t>39421</t>
        </is>
      </c>
      <c r="C96" s="16" t="n">
        <v>4144</v>
      </c>
      <c r="D96" s="16" t="n">
        <v>4132</v>
      </c>
      <c r="E96" s="16" t="n">
        <v>697</v>
      </c>
      <c r="F96" s="38" t="n">
        <v>1133598</v>
      </c>
      <c r="G96" s="38" t="n">
        <v>1403752</v>
      </c>
      <c r="H96" s="38" t="n">
        <v>1133598</v>
      </c>
      <c r="I96" s="38" t="n">
        <v>1243986</v>
      </c>
      <c r="J96" s="19">
        <f>(I96-H96)/1000</f>
        <v/>
      </c>
      <c r="K96" s="16" t="inlineStr">
        <is>
          <t>Yes</t>
        </is>
      </c>
      <c r="L96" s="16" t="n">
        <v>27</v>
      </c>
      <c r="M96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97" ht="184" customHeight="1">
      <c r="A97" s="16" t="inlineStr">
        <is>
          <t>16 Jun</t>
        </is>
      </c>
      <c r="B97" s="16" t="inlineStr">
        <is>
          <t>37035</t>
        </is>
      </c>
      <c r="C97" s="16" t="n">
        <v>9112</v>
      </c>
      <c r="D97" s="16" t="n">
        <v>9050</v>
      </c>
      <c r="E97" s="16" t="n">
        <v>9050</v>
      </c>
      <c r="F97" s="38" t="n">
        <v>920362</v>
      </c>
      <c r="G97" s="38" t="n">
        <v>1029034</v>
      </c>
      <c r="H97" s="38" t="n">
        <v>920362</v>
      </c>
      <c r="I97" s="38" t="n">
        <v>1029034</v>
      </c>
      <c r="J97" s="19">
        <f>(I97-H97)/1000</f>
        <v/>
      </c>
      <c r="K97" s="16" t="inlineStr">
        <is>
          <t>Yes</t>
        </is>
      </c>
      <c r="L97" s="16" t="n">
        <v>31</v>
      </c>
      <c r="M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8" ht="184" customHeight="1">
      <c r="A98" s="16" t="inlineStr">
        <is>
          <t>16 Jun</t>
        </is>
      </c>
      <c r="B98" s="16" t="inlineStr">
        <is>
          <t>39108</t>
        </is>
      </c>
      <c r="C98" s="16" t="n">
        <v>10784</v>
      </c>
      <c r="D98" s="16" t="n">
        <v>10742</v>
      </c>
      <c r="E98" s="16" t="n">
        <v>10742</v>
      </c>
      <c r="F98" s="38" t="n">
        <v>920371</v>
      </c>
      <c r="G98" s="38" t="n">
        <v>1028907</v>
      </c>
      <c r="H98" s="38" t="n">
        <v>920371</v>
      </c>
      <c r="I98" s="38" t="n">
        <v>1028907</v>
      </c>
      <c r="J98" s="19">
        <f>(I98-H98)/1000</f>
        <v/>
      </c>
      <c r="K98" s="16" t="inlineStr">
        <is>
          <t>Yes</t>
        </is>
      </c>
      <c r="L98" s="16" t="n">
        <v>31</v>
      </c>
      <c r="M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9" ht="184" customHeight="1">
      <c r="A99" s="16" t="inlineStr">
        <is>
          <t>16 Jun</t>
        </is>
      </c>
      <c r="B99" s="16" t="inlineStr">
        <is>
          <t>37366</t>
        </is>
      </c>
      <c r="C99" s="16" t="n">
        <v>8832</v>
      </c>
      <c r="D99" s="16" t="n">
        <v>8793</v>
      </c>
      <c r="E99" s="16" t="n">
        <v>8793</v>
      </c>
      <c r="F99" s="38" t="n">
        <v>920365</v>
      </c>
      <c r="G99" s="38" t="n">
        <v>1028897</v>
      </c>
      <c r="H99" s="38" t="n">
        <v>920365</v>
      </c>
      <c r="I99" s="38" t="n">
        <v>1028897</v>
      </c>
      <c r="J99" s="19">
        <f>(I99-H99)/1000</f>
        <v/>
      </c>
      <c r="K99" s="16" t="inlineStr">
        <is>
          <t>Yes</t>
        </is>
      </c>
      <c r="L99" s="16" t="n">
        <v>31</v>
      </c>
      <c r="M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00" ht="184" customHeight="1">
      <c r="A100" s="16" t="inlineStr">
        <is>
          <t>16 Jun</t>
        </is>
      </c>
      <c r="B100" s="16" t="inlineStr">
        <is>
          <t>30669</t>
        </is>
      </c>
      <c r="C100" s="16" t="n">
        <v>3939</v>
      </c>
      <c r="D100" s="16" t="n">
        <v>3834</v>
      </c>
      <c r="E100" s="16" t="n">
        <v>3489</v>
      </c>
      <c r="F100" s="38" t="n">
        <v>845</v>
      </c>
      <c r="G100" s="38" t="n">
        <v>1028910</v>
      </c>
      <c r="H100" s="38" t="n">
        <v>922133</v>
      </c>
      <c r="I100" s="38" t="n">
        <v>1028910</v>
      </c>
      <c r="J100" s="19">
        <f>(I100-H100)/1000</f>
        <v/>
      </c>
      <c r="K100" s="16" t="inlineStr">
        <is>
          <t>Yes</t>
        </is>
      </c>
      <c r="L100" s="16" t="n">
        <v>31</v>
      </c>
      <c r="M10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01" ht="184" customHeight="1">
      <c r="A101" s="16" t="inlineStr">
        <is>
          <t>16 Jun</t>
        </is>
      </c>
      <c r="B101" s="16" t="inlineStr">
        <is>
          <t>39343</t>
        </is>
      </c>
      <c r="C101" s="16" t="n">
        <v>1726</v>
      </c>
      <c r="D101" s="16" t="n">
        <v>1684</v>
      </c>
      <c r="E101" s="16" t="n">
        <v>1245</v>
      </c>
      <c r="F101" s="38" t="n">
        <v>1144011</v>
      </c>
      <c r="G101" s="38" t="n">
        <v>1317760</v>
      </c>
      <c r="H101" s="38" t="n">
        <v>1144011</v>
      </c>
      <c r="I101" s="38" t="n">
        <v>1243966</v>
      </c>
      <c r="J101" s="19">
        <f>(I101-H101)/1000</f>
        <v/>
      </c>
      <c r="K101" s="16" t="inlineStr">
        <is>
          <t>Yes</t>
        </is>
      </c>
      <c r="L101" s="16" t="n">
        <v>24</v>
      </c>
      <c r="M101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102" ht="184" customHeight="1">
      <c r="A102" s="16" t="inlineStr">
        <is>
          <t>16 Jun</t>
        </is>
      </c>
      <c r="B102" s="16" t="inlineStr">
        <is>
          <t>30463</t>
        </is>
      </c>
      <c r="C102" s="16" t="n">
        <v>2389</v>
      </c>
      <c r="D102" s="16" t="n">
        <v>2388</v>
      </c>
      <c r="E102" s="16" t="n">
        <v>2388</v>
      </c>
      <c r="F102" s="38" t="n">
        <v>920547</v>
      </c>
      <c r="G102" s="38" t="n">
        <v>963247</v>
      </c>
      <c r="H102" s="38" t="n">
        <v>920547</v>
      </c>
      <c r="I102" s="38" t="n">
        <v>963247</v>
      </c>
      <c r="J102" s="19">
        <f>(I102-H102)/1000</f>
        <v/>
      </c>
      <c r="K102" s="16" t="inlineStr">
        <is>
          <t>Yes</t>
        </is>
      </c>
      <c r="L102" s="16" t="n">
        <v>15</v>
      </c>
      <c r="M10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103" ht="184" customHeight="1">
      <c r="A103" s="16" t="inlineStr">
        <is>
          <t>16 Jun</t>
        </is>
      </c>
      <c r="B103" s="16" t="inlineStr">
        <is>
          <t>37582</t>
        </is>
      </c>
      <c r="C103" s="16" t="n">
        <v>1952</v>
      </c>
      <c r="D103" s="16" t="n">
        <v>1952</v>
      </c>
      <c r="E103" s="16" t="n">
        <v>956</v>
      </c>
      <c r="F103" s="38" t="n">
        <v>658702</v>
      </c>
      <c r="G103" s="38" t="n">
        <v>733676</v>
      </c>
      <c r="H103" s="38" t="n">
        <v>699089</v>
      </c>
      <c r="I103" s="38" t="n">
        <v>733676</v>
      </c>
      <c r="J103" s="19">
        <f>(I103-H103)/1000</f>
        <v/>
      </c>
      <c r="K103" s="16" t="inlineStr">
        <is>
          <t>Yes</t>
        </is>
      </c>
      <c r="L103" s="16" t="n">
        <v>9</v>
      </c>
      <c r="M10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04" ht="184" customHeight="1">
      <c r="A104" s="16" t="inlineStr">
        <is>
          <t>16 Jun</t>
        </is>
      </c>
      <c r="B104" s="16" t="inlineStr">
        <is>
          <t>30447</t>
        </is>
      </c>
      <c r="C104" s="16" t="n">
        <v>805</v>
      </c>
      <c r="D104" s="16" t="n">
        <v>565</v>
      </c>
      <c r="E104" s="16" t="n">
        <v>59</v>
      </c>
      <c r="F104" s="38" t="n">
        <v>1212375</v>
      </c>
      <c r="G104" s="38" t="n">
        <v>1436818</v>
      </c>
      <c r="H104" s="38" t="n">
        <v>1212375</v>
      </c>
      <c r="I104" s="38" t="n">
        <v>1243494</v>
      </c>
      <c r="J104" s="19">
        <f>(I104-H104)/1000</f>
        <v/>
      </c>
      <c r="K104" s="16" t="inlineStr">
        <is>
          <t>Yes</t>
        </is>
      </c>
      <c r="L104" s="16" t="n">
        <v>7</v>
      </c>
      <c r="M104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105" ht="184" customHeight="1">
      <c r="A105" s="16" t="inlineStr">
        <is>
          <t>16 Jun</t>
        </is>
      </c>
      <c r="B105" s="16" t="inlineStr">
        <is>
          <t>37086</t>
        </is>
      </c>
      <c r="C105" s="16" t="n">
        <v>1174</v>
      </c>
      <c r="D105" s="16" t="n">
        <v>1174</v>
      </c>
      <c r="E105" s="16" t="n">
        <v>1174</v>
      </c>
      <c r="F105" s="38" t="n">
        <v>895327</v>
      </c>
      <c r="G105" s="38" t="n">
        <v>920628</v>
      </c>
      <c r="H105" s="38" t="n">
        <v>895327</v>
      </c>
      <c r="I105" s="38" t="n">
        <v>920628</v>
      </c>
      <c r="J105" s="19">
        <f>(I105-H105)/1000</f>
        <v/>
      </c>
      <c r="K105" s="16" t="inlineStr">
        <is>
          <t>Yes</t>
        </is>
      </c>
      <c r="L105" s="16" t="n">
        <v>6</v>
      </c>
      <c r="M10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...(+68 more)</t>
        </is>
      </c>
    </row>
    <row r="106" ht="184" customHeight="1">
      <c r="A106" s="16" t="inlineStr">
        <is>
          <t>16 Jun</t>
        </is>
      </c>
      <c r="B106" s="16" t="inlineStr">
        <is>
          <t>39565</t>
        </is>
      </c>
      <c r="C106" s="16" t="n">
        <v>2884</v>
      </c>
      <c r="D106" s="16" t="n">
        <v>2636</v>
      </c>
      <c r="E106" s="16" t="n">
        <v>174</v>
      </c>
      <c r="F106" s="38" t="n">
        <v>1229188</v>
      </c>
      <c r="G106" s="38" t="n">
        <v>1516128</v>
      </c>
      <c r="H106" s="38" t="n">
        <v>1229188</v>
      </c>
      <c r="I106" s="38" t="n">
        <v>1243441</v>
      </c>
      <c r="J106" s="19">
        <f>(I106-H106)/1000</f>
        <v/>
      </c>
      <c r="K106" s="16" t="inlineStr">
        <is>
          <t>Yes</t>
        </is>
      </c>
      <c r="L106" s="16" t="n">
        <v>4</v>
      </c>
      <c r="M106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07" ht="184" customHeight="1">
      <c r="A107" s="16" t="inlineStr">
        <is>
          <t>16 Jun</t>
        </is>
      </c>
      <c r="B107" s="16" t="inlineStr">
        <is>
          <t>37922</t>
        </is>
      </c>
      <c r="C107" s="16" t="n">
        <v>890</v>
      </c>
      <c r="D107" s="16" t="n">
        <v>746</v>
      </c>
      <c r="E107" s="16" t="n">
        <v>57</v>
      </c>
      <c r="F107" s="38" t="n">
        <v>1229634</v>
      </c>
      <c r="G107" s="38" t="n">
        <v>1449750</v>
      </c>
      <c r="H107" s="38" t="n">
        <v>1229634</v>
      </c>
      <c r="I107" s="38" t="n">
        <v>1243217</v>
      </c>
      <c r="J107" s="19">
        <f>(I107-H107)/1000</f>
        <v/>
      </c>
      <c r="K107" s="16" t="inlineStr">
        <is>
          <t>Yes</t>
        </is>
      </c>
      <c r="L107" s="16" t="n">
        <v>4</v>
      </c>
      <c r="M10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08" ht="184" customHeight="1">
      <c r="A108" s="16" t="inlineStr">
        <is>
          <t>16 Jun</t>
        </is>
      </c>
      <c r="B108" s="16" t="inlineStr">
        <is>
          <t>30376</t>
        </is>
      </c>
      <c r="C108" s="16" t="n">
        <v>4047</v>
      </c>
      <c r="D108" s="16" t="n">
        <v>4043</v>
      </c>
      <c r="E108" s="16" t="n">
        <v>42</v>
      </c>
      <c r="F108" s="38" t="n">
        <v>1230188</v>
      </c>
      <c r="G108" s="38" t="n">
        <v>1478149</v>
      </c>
      <c r="H108" s="38" t="n">
        <v>1230188</v>
      </c>
      <c r="I108" s="38" t="n">
        <v>1243187</v>
      </c>
      <c r="J108" s="19">
        <f>(I108-H108)/1000</f>
        <v/>
      </c>
      <c r="K108" s="16" t="inlineStr">
        <is>
          <t>Yes</t>
        </is>
      </c>
      <c r="L108" s="16" t="n">
        <v>4</v>
      </c>
      <c r="M108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09" ht="184" customHeight="1">
      <c r="A109" s="31" t="inlineStr">
        <is>
          <t>16 Jun</t>
        </is>
      </c>
      <c r="B109" s="31" t="inlineStr">
        <is>
          <t>30006</t>
        </is>
      </c>
      <c r="C109" s="31" t="n">
        <v>929</v>
      </c>
      <c r="D109" s="31" t="n">
        <v>928</v>
      </c>
      <c r="E109" s="31" t="n">
        <v>0</v>
      </c>
      <c r="F109" s="40" t="n">
        <v>1401618</v>
      </c>
      <c r="G109" s="40" t="n">
        <v>1518644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16 Jun</t>
        </is>
      </c>
      <c r="B110" s="31" t="inlineStr">
        <is>
          <t>30128</t>
        </is>
      </c>
      <c r="C110" s="31" t="n">
        <v>1909</v>
      </c>
      <c r="D110" s="31" t="n">
        <v>1908</v>
      </c>
      <c r="E110" s="31" t="n">
        <v>0</v>
      </c>
      <c r="F110" s="40" t="n">
        <v>1401375</v>
      </c>
      <c r="G110" s="40" t="n">
        <v>1509305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16 Jun</t>
        </is>
      </c>
      <c r="B111" s="31" t="inlineStr">
        <is>
          <t>30147</t>
        </is>
      </c>
      <c r="C111" s="31" t="n">
        <v>1859</v>
      </c>
      <c r="D111" s="31" t="n">
        <v>1858</v>
      </c>
      <c r="E111" s="31" t="n">
        <v>0</v>
      </c>
      <c r="F111" s="40" t="n">
        <v>1401443</v>
      </c>
      <c r="G111" s="40" t="n">
        <v>1516066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16 Jun</t>
        </is>
      </c>
      <c r="B112" s="31" t="inlineStr">
        <is>
          <t>30197</t>
        </is>
      </c>
      <c r="C112" s="31" t="n">
        <v>565</v>
      </c>
      <c r="D112" s="31" t="n">
        <v>560</v>
      </c>
      <c r="E112" s="31" t="n">
        <v>0</v>
      </c>
      <c r="F112" s="40" t="n">
        <v>150727</v>
      </c>
      <c r="G112" s="40" t="n">
        <v>153409</v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16 Jun</t>
        </is>
      </c>
      <c r="B113" s="31" t="inlineStr">
        <is>
          <t>30302</t>
        </is>
      </c>
      <c r="C113" s="31" t="n">
        <v>588</v>
      </c>
      <c r="D113" s="31" t="n">
        <v>587</v>
      </c>
      <c r="E113" s="31" t="n">
        <v>0</v>
      </c>
      <c r="F113" s="40" t="n">
        <v>1401362</v>
      </c>
      <c r="G113" s="40" t="n">
        <v>1436702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16 Jun</t>
        </is>
      </c>
      <c r="B114" s="31" t="inlineStr">
        <is>
          <t>30316</t>
        </is>
      </c>
      <c r="C114" s="31" t="n">
        <v>91</v>
      </c>
      <c r="D114" s="31" t="n">
        <v>91</v>
      </c>
      <c r="E114" s="31" t="n">
        <v>0</v>
      </c>
      <c r="F114" s="40" t="n">
        <v>676579</v>
      </c>
      <c r="G114" s="40" t="n">
        <v>696176</v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16 Jun</t>
        </is>
      </c>
      <c r="B115" s="31" t="inlineStr">
        <is>
          <t>30451</t>
        </is>
      </c>
      <c r="C115" s="31" t="n">
        <v>257</v>
      </c>
      <c r="D115" s="31" t="n">
        <v>257</v>
      </c>
      <c r="E115" s="31" t="n">
        <v>0</v>
      </c>
      <c r="F115" s="40" t="n">
        <v>1401369</v>
      </c>
      <c r="G115" s="40" t="n">
        <v>1424941</v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16 Jun</t>
        </is>
      </c>
      <c r="B116" s="31" t="inlineStr">
        <is>
          <t>30533</t>
        </is>
      </c>
      <c r="C116" s="31" t="n">
        <v>2132</v>
      </c>
      <c r="D116" s="31" t="n">
        <v>2083</v>
      </c>
      <c r="E116" s="31" t="n">
        <v>0</v>
      </c>
      <c r="F116" s="40" t="n">
        <v>1596</v>
      </c>
      <c r="G116" s="40" t="n">
        <v>697371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16 Jun</t>
        </is>
      </c>
      <c r="B117" s="31" t="inlineStr">
        <is>
          <t>30542</t>
        </is>
      </c>
      <c r="C117" s="31" t="n">
        <v>180</v>
      </c>
      <c r="D117" s="31" t="n">
        <v>180</v>
      </c>
      <c r="E117" s="31" t="n">
        <v>0</v>
      </c>
      <c r="F117" s="40" t="n">
        <v>1401413</v>
      </c>
      <c r="G117" s="40" t="n">
        <v>1415398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16 Jun</t>
        </is>
      </c>
      <c r="B118" s="31" t="inlineStr">
        <is>
          <t>30606</t>
        </is>
      </c>
      <c r="C118" s="31" t="n">
        <v>1561</v>
      </c>
      <c r="D118" s="31" t="n">
        <v>1560</v>
      </c>
      <c r="E118" s="31" t="n">
        <v>0</v>
      </c>
      <c r="F118" s="40" t="n">
        <v>1401461</v>
      </c>
      <c r="G118" s="40" t="n">
        <v>1448373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 ht="184" customHeight="1">
      <c r="A119" s="31" t="inlineStr">
        <is>
          <t>16 Jun</t>
        </is>
      </c>
      <c r="B119" s="31" t="inlineStr">
        <is>
          <t>30716</t>
        </is>
      </c>
      <c r="C119" s="31" t="n">
        <v>990</v>
      </c>
      <c r="D119" s="31" t="n">
        <v>989</v>
      </c>
      <c r="E119" s="31" t="n">
        <v>0</v>
      </c>
      <c r="F119" s="40" t="n">
        <v>1401359</v>
      </c>
      <c r="G119" s="40" t="n">
        <v>1428954</v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1" t="inlineStr">
        <is>
          <t>No</t>
        </is>
      </c>
      <c r="L119" s="31" t="n">
        <v>0</v>
      </c>
      <c r="M1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0" ht="184" customHeight="1">
      <c r="A120" s="31" t="inlineStr">
        <is>
          <t>16 Jun</t>
        </is>
      </c>
      <c r="B120" s="31" t="inlineStr">
        <is>
          <t>30721</t>
        </is>
      </c>
      <c r="C120" s="31" t="n">
        <v>4025</v>
      </c>
      <c r="D120" s="31" t="n">
        <v>4025</v>
      </c>
      <c r="E120" s="31" t="n">
        <v>0</v>
      </c>
      <c r="F120" s="40" t="n">
        <v>1342833</v>
      </c>
      <c r="G120" s="40" t="n">
        <v>1499190</v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1" t="inlineStr">
        <is>
          <t>No</t>
        </is>
      </c>
      <c r="L120" s="31" t="n">
        <v>0</v>
      </c>
      <c r="M1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1" ht="184" customHeight="1">
      <c r="A121" s="31" t="inlineStr">
        <is>
          <t>16 Jun</t>
        </is>
      </c>
      <c r="B121" s="31" t="inlineStr">
        <is>
          <t>30746</t>
        </is>
      </c>
      <c r="C121" s="31" t="n">
        <v>129</v>
      </c>
      <c r="D121" s="31" t="n">
        <v>129</v>
      </c>
      <c r="E121" s="31" t="n">
        <v>0</v>
      </c>
      <c r="F121" s="40" t="n">
        <v>15372</v>
      </c>
      <c r="G121" s="40" t="n">
        <v>44186</v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1" t="inlineStr">
        <is>
          <t>No</t>
        </is>
      </c>
      <c r="L121" s="31" t="n">
        <v>0</v>
      </c>
      <c r="M1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2" ht="184" customHeight="1">
      <c r="A122" s="31" t="inlineStr">
        <is>
          <t>16 Jun</t>
        </is>
      </c>
      <c r="B122" s="31" t="inlineStr">
        <is>
          <t>37038</t>
        </is>
      </c>
      <c r="C122" s="31" t="n">
        <v>1322</v>
      </c>
      <c r="D122" s="31" t="n">
        <v>1322</v>
      </c>
      <c r="E122" s="31" t="n">
        <v>0</v>
      </c>
      <c r="F122" s="40" t="n">
        <v>1358115</v>
      </c>
      <c r="G122" s="40" t="n">
        <v>1436962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1" t="inlineStr">
        <is>
          <t>No</t>
        </is>
      </c>
      <c r="L122" s="31" t="n">
        <v>0</v>
      </c>
      <c r="M1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3" ht="184" customHeight="1">
      <c r="A123" s="31" t="inlineStr">
        <is>
          <t>16 Jun</t>
        </is>
      </c>
      <c r="B123" s="31" t="inlineStr">
        <is>
          <t>37048</t>
        </is>
      </c>
      <c r="C123" s="31" t="n">
        <v>808</v>
      </c>
      <c r="D123" s="31" t="n">
        <v>803</v>
      </c>
      <c r="E123" s="31" t="n">
        <v>0</v>
      </c>
      <c r="F123" s="40" t="n">
        <v>1401335</v>
      </c>
      <c r="G123" s="40" t="n">
        <v>1436185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1" t="inlineStr">
        <is>
          <t>No</t>
        </is>
      </c>
      <c r="L123" s="31" t="n">
        <v>0</v>
      </c>
      <c r="M1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4" ht="184" customHeight="1">
      <c r="A124" s="31" t="inlineStr">
        <is>
          <t>16 Jun</t>
        </is>
      </c>
      <c r="B124" s="31" t="inlineStr">
        <is>
          <t>37120</t>
        </is>
      </c>
      <c r="C124" s="31" t="n">
        <v>506</v>
      </c>
      <c r="D124" s="31" t="n">
        <v>506</v>
      </c>
      <c r="E124" s="31" t="n">
        <v>0</v>
      </c>
      <c r="F124" s="40" t="n">
        <v>1401367</v>
      </c>
      <c r="G124" s="40" t="n">
        <v>1426712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1" t="inlineStr">
        <is>
          <t>No</t>
        </is>
      </c>
      <c r="L124" s="31" t="n">
        <v>0</v>
      </c>
      <c r="M1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5" ht="184" customHeight="1">
      <c r="A125" s="31" t="inlineStr">
        <is>
          <t>16 Jun</t>
        </is>
      </c>
      <c r="B125" s="31" t="inlineStr">
        <is>
          <t>37197</t>
        </is>
      </c>
      <c r="C125" s="31" t="n">
        <v>817</v>
      </c>
      <c r="D125" s="31" t="n">
        <v>816</v>
      </c>
      <c r="E125" s="31" t="n">
        <v>0</v>
      </c>
      <c r="F125" s="40" t="n">
        <v>1250995</v>
      </c>
      <c r="G125" s="40" t="n">
        <v>1458184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1" t="inlineStr">
        <is>
          <t>No</t>
        </is>
      </c>
      <c r="L125" s="31" t="n">
        <v>0</v>
      </c>
      <c r="M1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6" ht="184" customHeight="1">
      <c r="A126" s="31" t="inlineStr">
        <is>
          <t>16 Jun</t>
        </is>
      </c>
      <c r="B126" s="31" t="inlineStr">
        <is>
          <t>37259</t>
        </is>
      </c>
      <c r="C126" s="31" t="n">
        <v>1800</v>
      </c>
      <c r="D126" s="31" t="n">
        <v>1787</v>
      </c>
      <c r="E126" s="31" t="n">
        <v>0</v>
      </c>
      <c r="F126" s="40" t="n">
        <v>1401341</v>
      </c>
      <c r="G126" s="40" t="n">
        <v>1498870</v>
      </c>
      <c r="H126" s="40" t="inlineStr">
        <is>
          <t>-</t>
        </is>
      </c>
      <c r="I126" s="40" t="inlineStr">
        <is>
          <t>-</t>
        </is>
      </c>
      <c r="J126" s="41" t="n">
        <v>0</v>
      </c>
      <c r="K126" s="31" t="inlineStr">
        <is>
          <t>No</t>
        </is>
      </c>
      <c r="L126" s="31" t="n">
        <v>0</v>
      </c>
      <c r="M1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7" ht="184" customHeight="1">
      <c r="A127" s="31" t="inlineStr">
        <is>
          <t>16 Jun</t>
        </is>
      </c>
      <c r="B127" s="31" t="inlineStr">
        <is>
          <t>37314</t>
        </is>
      </c>
      <c r="C127" s="31" t="n">
        <v>2744</v>
      </c>
      <c r="D127" s="31" t="n">
        <v>2678</v>
      </c>
      <c r="E127" s="31" t="n">
        <v>0</v>
      </c>
      <c r="F127" s="40" t="n">
        <v>1258365</v>
      </c>
      <c r="G127" s="40" t="n">
        <v>1465262</v>
      </c>
      <c r="H127" s="40" t="inlineStr">
        <is>
          <t>-</t>
        </is>
      </c>
      <c r="I127" s="40" t="inlineStr">
        <is>
          <t>-</t>
        </is>
      </c>
      <c r="J127" s="41" t="n">
        <v>0</v>
      </c>
      <c r="K127" s="31" t="inlineStr">
        <is>
          <t>No</t>
        </is>
      </c>
      <c r="L127" s="31" t="n">
        <v>0</v>
      </c>
      <c r="M1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8" ht="184" customHeight="1">
      <c r="A128" s="31" t="inlineStr">
        <is>
          <t>16 Jun</t>
        </is>
      </c>
      <c r="B128" s="31" t="inlineStr">
        <is>
          <t>37527</t>
        </is>
      </c>
      <c r="C128" s="31" t="n">
        <v>1</v>
      </c>
      <c r="D128" s="31" t="n">
        <v>0</v>
      </c>
      <c r="E128" s="31" t="n">
        <v>0</v>
      </c>
      <c r="F128" s="40" t="inlineStr">
        <is>
          <t>-</t>
        </is>
      </c>
      <c r="G128" s="40" t="inlineStr">
        <is>
          <t>-</t>
        </is>
      </c>
      <c r="H128" s="40" t="inlineStr">
        <is>
          <t>-</t>
        </is>
      </c>
      <c r="I128" s="40" t="inlineStr">
        <is>
          <t>-</t>
        </is>
      </c>
      <c r="J128" s="41" t="n">
        <v>0</v>
      </c>
      <c r="K128" s="31" t="inlineStr">
        <is>
          <t>No</t>
        </is>
      </c>
      <c r="L128" s="31" t="n">
        <v>0</v>
      </c>
      <c r="M1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9" ht="184" customHeight="1">
      <c r="A129" s="31" t="inlineStr">
        <is>
          <t>16 Jun</t>
        </is>
      </c>
      <c r="B129" s="31" t="inlineStr">
        <is>
          <t>37541</t>
        </is>
      </c>
      <c r="C129" s="31" t="n">
        <v>102</v>
      </c>
      <c r="D129" s="31" t="n">
        <v>0</v>
      </c>
      <c r="E129" s="31" t="n">
        <v>0</v>
      </c>
      <c r="F129" s="40" t="inlineStr">
        <is>
          <t>-</t>
        </is>
      </c>
      <c r="G129" s="40" t="inlineStr">
        <is>
          <t>-</t>
        </is>
      </c>
      <c r="H129" s="40" t="inlineStr">
        <is>
          <t>-</t>
        </is>
      </c>
      <c r="I129" s="40" t="inlineStr">
        <is>
          <t>-</t>
        </is>
      </c>
      <c r="J129" s="41" t="n">
        <v>0</v>
      </c>
      <c r="K129" s="31" t="inlineStr">
        <is>
          <t>No</t>
        </is>
      </c>
      <c r="L129" s="31" t="n">
        <v>0</v>
      </c>
      <c r="M1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0" ht="184" customHeight="1">
      <c r="A130" s="31" t="inlineStr">
        <is>
          <t>16 Jun</t>
        </is>
      </c>
      <c r="B130" s="31" t="inlineStr">
        <is>
          <t>37627</t>
        </is>
      </c>
      <c r="C130" s="31" t="n">
        <v>744</v>
      </c>
      <c r="D130" s="31" t="n">
        <v>743</v>
      </c>
      <c r="E130" s="31" t="n">
        <v>0</v>
      </c>
      <c r="F130" s="40" t="n">
        <v>1401321</v>
      </c>
      <c r="G130" s="40" t="n">
        <v>1436343</v>
      </c>
      <c r="H130" s="40" t="inlineStr">
        <is>
          <t>-</t>
        </is>
      </c>
      <c r="I130" s="40" t="inlineStr">
        <is>
          <t>-</t>
        </is>
      </c>
      <c r="J130" s="41" t="n">
        <v>0</v>
      </c>
      <c r="K130" s="31" t="inlineStr">
        <is>
          <t>No</t>
        </is>
      </c>
      <c r="L130" s="31" t="n">
        <v>0</v>
      </c>
      <c r="M1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1" ht="184" customHeight="1">
      <c r="A131" s="31" t="inlineStr">
        <is>
          <t>16 Jun</t>
        </is>
      </c>
      <c r="B131" s="31" t="inlineStr">
        <is>
          <t>37634</t>
        </is>
      </c>
      <c r="C131" s="31" t="n">
        <v>2695</v>
      </c>
      <c r="D131" s="31" t="n">
        <v>2694</v>
      </c>
      <c r="E131" s="31" t="n">
        <v>0</v>
      </c>
      <c r="F131" s="40" t="n">
        <v>1274078</v>
      </c>
      <c r="G131" s="40" t="n">
        <v>1473295</v>
      </c>
      <c r="H131" s="40" t="inlineStr">
        <is>
          <t>-</t>
        </is>
      </c>
      <c r="I131" s="40" t="inlineStr">
        <is>
          <t>-</t>
        </is>
      </c>
      <c r="J131" s="41" t="n">
        <v>0</v>
      </c>
      <c r="K131" s="31" t="inlineStr">
        <is>
          <t>No</t>
        </is>
      </c>
      <c r="L131" s="31" t="n">
        <v>0</v>
      </c>
      <c r="M1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2" ht="184" customHeight="1">
      <c r="A132" s="31" t="inlineStr">
        <is>
          <t>16 Jun</t>
        </is>
      </c>
      <c r="B132" s="31" t="inlineStr">
        <is>
          <t>37636</t>
        </is>
      </c>
      <c r="C132" s="31" t="n">
        <v>43</v>
      </c>
      <c r="D132" s="31" t="n">
        <v>43</v>
      </c>
      <c r="E132" s="31" t="n">
        <v>0</v>
      </c>
      <c r="F132" s="40" t="n">
        <v>1278175</v>
      </c>
      <c r="G132" s="40" t="n">
        <v>1289485</v>
      </c>
      <c r="H132" s="40" t="inlineStr">
        <is>
          <t>-</t>
        </is>
      </c>
      <c r="I132" s="40" t="inlineStr">
        <is>
          <t>-</t>
        </is>
      </c>
      <c r="J132" s="41" t="n">
        <v>0</v>
      </c>
      <c r="K132" s="31" t="inlineStr">
        <is>
          <t>No</t>
        </is>
      </c>
      <c r="L132" s="31" t="n">
        <v>0</v>
      </c>
      <c r="M1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3" ht="184" customHeight="1">
      <c r="A133" s="31" t="inlineStr">
        <is>
          <t>16 Jun</t>
        </is>
      </c>
      <c r="B133" s="31" t="inlineStr">
        <is>
          <t>37818</t>
        </is>
      </c>
      <c r="C133" s="31" t="n">
        <v>1053</v>
      </c>
      <c r="D133" s="31" t="n">
        <v>775</v>
      </c>
      <c r="E133" s="31" t="n">
        <v>0</v>
      </c>
      <c r="F133" s="40" t="n">
        <v>4281</v>
      </c>
      <c r="G133" s="40" t="n">
        <v>697385</v>
      </c>
      <c r="H133" s="40" t="inlineStr">
        <is>
          <t>-</t>
        </is>
      </c>
      <c r="I133" s="40" t="inlineStr">
        <is>
          <t>-</t>
        </is>
      </c>
      <c r="J133" s="41" t="n">
        <v>0</v>
      </c>
      <c r="K133" s="31" t="inlineStr">
        <is>
          <t>No</t>
        </is>
      </c>
      <c r="L133" s="31" t="n">
        <v>0</v>
      </c>
      <c r="M1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4" ht="184" customHeight="1">
      <c r="A134" s="31" t="inlineStr">
        <is>
          <t>16 Jun</t>
        </is>
      </c>
      <c r="B134" s="31" t="inlineStr">
        <is>
          <t>39015</t>
        </is>
      </c>
      <c r="C134" s="31" t="n">
        <v>1773</v>
      </c>
      <c r="D134" s="31" t="n">
        <v>1773</v>
      </c>
      <c r="E134" s="31" t="n">
        <v>0</v>
      </c>
      <c r="F134" s="40" t="n">
        <v>657186</v>
      </c>
      <c r="G134" s="40" t="n">
        <v>696192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5" ht="184" customHeight="1">
      <c r="A135" s="31" t="inlineStr">
        <is>
          <t>16 Jun</t>
        </is>
      </c>
      <c r="B135" s="31" t="inlineStr">
        <is>
          <t>39154</t>
        </is>
      </c>
      <c r="C135" s="31" t="n">
        <v>428</v>
      </c>
      <c r="D135" s="31" t="n">
        <v>427</v>
      </c>
      <c r="E135" s="31" t="n">
        <v>0</v>
      </c>
      <c r="F135" s="40" t="n">
        <v>1401550</v>
      </c>
      <c r="G135" s="40" t="n">
        <v>1518902</v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6" ht="184" customHeight="1">
      <c r="A136" s="31" t="inlineStr">
        <is>
          <t>16 Jun</t>
        </is>
      </c>
      <c r="B136" s="31" t="inlineStr">
        <is>
          <t>39254</t>
        </is>
      </c>
      <c r="C136" s="31" t="n">
        <v>79</v>
      </c>
      <c r="D136" s="31" t="n">
        <v>79</v>
      </c>
      <c r="E136" s="31" t="n">
        <v>0</v>
      </c>
      <c r="F136" s="40" t="n">
        <v>1449617</v>
      </c>
      <c r="G136" s="40" t="n">
        <v>1487988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16 Jun</t>
        </is>
      </c>
      <c r="B137" s="31" t="inlineStr">
        <is>
          <t>39299</t>
        </is>
      </c>
      <c r="C137" s="31" t="n">
        <v>1158</v>
      </c>
      <c r="D137" s="31" t="n">
        <v>1157</v>
      </c>
      <c r="E137" s="31" t="n">
        <v>0</v>
      </c>
      <c r="F137" s="40" t="n">
        <v>1401343</v>
      </c>
      <c r="G137" s="40" t="n">
        <v>1444200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16 Jun</t>
        </is>
      </c>
      <c r="B138" s="31" t="inlineStr">
        <is>
          <t>45049</t>
        </is>
      </c>
      <c r="C138" s="31" t="n">
        <v>1617</v>
      </c>
      <c r="D138" s="31" t="n">
        <v>1612</v>
      </c>
      <c r="E138" s="31" t="n">
        <v>0</v>
      </c>
      <c r="F138" s="40" t="n">
        <v>1249388</v>
      </c>
      <c r="G138" s="40" t="n">
        <v>1507079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 ht="184" customHeight="1">
      <c r="A139" s="31" t="inlineStr">
        <is>
          <t>16 Jun</t>
        </is>
      </c>
      <c r="B139" s="31" t="inlineStr">
        <is>
          <t>52196</t>
        </is>
      </c>
      <c r="C139" s="31" t="n">
        <v>3291</v>
      </c>
      <c r="D139" s="31" t="n">
        <v>3199</v>
      </c>
      <c r="E139" s="31" t="n">
        <v>0</v>
      </c>
      <c r="F139" s="40" t="n">
        <v>149846</v>
      </c>
      <c r="G139" s="40" t="n">
        <v>155984</v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0">
      <c r="A140" s="16" t="inlineStr">
        <is>
          <t>17 Jun</t>
        </is>
      </c>
      <c r="B140" s="16" t="inlineStr">
        <is>
          <t>39552</t>
        </is>
      </c>
      <c r="C140" s="16" t="n">
        <v>18187</v>
      </c>
      <c r="D140" s="16" t="n">
        <v>18153</v>
      </c>
      <c r="E140" s="16" t="n">
        <v>16829</v>
      </c>
      <c r="F140" s="38" t="n">
        <v>661344</v>
      </c>
      <c r="G140" s="38" t="n">
        <v>1499338</v>
      </c>
      <c r="H140" s="38" t="n">
        <v>699089</v>
      </c>
      <c r="I140" s="38" t="n">
        <v>1242984</v>
      </c>
      <c r="J140" s="19">
        <f>(I140-H140)/1000</f>
        <v/>
      </c>
      <c r="K140" s="16" t="inlineStr">
        <is>
          <t>Yes</t>
        </is>
      </c>
      <c r="L140" s="16" t="n">
        <v>124</v>
      </c>
      <c r="M140" s="39" t="inlineStr">
        <is>
          <t>- (full trip)</t>
        </is>
      </c>
    </row>
    <row r="141">
      <c r="A141" s="16" t="inlineStr">
        <is>
          <t>17 Jun</t>
        </is>
      </c>
      <c r="B141" s="16" t="inlineStr">
        <is>
          <t>30753</t>
        </is>
      </c>
      <c r="C141" s="16" t="n">
        <v>33760</v>
      </c>
      <c r="D141" s="16" t="n">
        <v>33718</v>
      </c>
      <c r="E141" s="16" t="n">
        <v>31799</v>
      </c>
      <c r="F141" s="38" t="n">
        <v>694995</v>
      </c>
      <c r="G141" s="38" t="n">
        <v>1516178</v>
      </c>
      <c r="H141" s="38" t="n">
        <v>699089</v>
      </c>
      <c r="I141" s="38" t="n">
        <v>1242966</v>
      </c>
      <c r="J141" s="19">
        <f>(I141-H141)/1000</f>
        <v/>
      </c>
      <c r="K141" s="16" t="inlineStr">
        <is>
          <t>Yes</t>
        </is>
      </c>
      <c r="L141" s="16" t="n">
        <v>124</v>
      </c>
      <c r="M141" s="39" t="inlineStr">
        <is>
          <t>- (full trip)</t>
        </is>
      </c>
    </row>
    <row r="142">
      <c r="A142" s="16" t="inlineStr">
        <is>
          <t>17 Jun</t>
        </is>
      </c>
      <c r="B142" s="16" t="inlineStr">
        <is>
          <t>30606</t>
        </is>
      </c>
      <c r="C142" s="16" t="n">
        <v>19445</v>
      </c>
      <c r="D142" s="16" t="n">
        <v>19431</v>
      </c>
      <c r="E142" s="16" t="n">
        <v>18824</v>
      </c>
      <c r="F142" s="38" t="n">
        <v>661658</v>
      </c>
      <c r="G142" s="38" t="n">
        <v>1242942</v>
      </c>
      <c r="H142" s="38" t="n">
        <v>699093</v>
      </c>
      <c r="I142" s="38" t="n">
        <v>1242942</v>
      </c>
      <c r="J142" s="19">
        <f>(I142-H142)/1000</f>
        <v/>
      </c>
      <c r="K142" s="16" t="inlineStr">
        <is>
          <t>Yes</t>
        </is>
      </c>
      <c r="L142" s="16" t="n">
        <v>124</v>
      </c>
      <c r="M142" s="39" t="inlineStr">
        <is>
          <t>- (full trip)</t>
        </is>
      </c>
    </row>
    <row r="143">
      <c r="A143" s="16" t="inlineStr">
        <is>
          <t>17 Jun</t>
        </is>
      </c>
      <c r="B143" s="16" t="inlineStr">
        <is>
          <t>37548</t>
        </is>
      </c>
      <c r="C143" s="16" t="n">
        <v>36505</v>
      </c>
      <c r="D143" s="16" t="n">
        <v>36465</v>
      </c>
      <c r="E143" s="16" t="n">
        <v>33751</v>
      </c>
      <c r="F143" s="38" t="n">
        <v>656316</v>
      </c>
      <c r="G143" s="38" t="n">
        <v>1436980</v>
      </c>
      <c r="H143" s="38" t="n">
        <v>699080</v>
      </c>
      <c r="I143" s="38" t="n">
        <v>1242931</v>
      </c>
      <c r="J143" s="19">
        <f>(I143-H143)/1000</f>
        <v/>
      </c>
      <c r="K143" s="16" t="inlineStr">
        <is>
          <t>Yes</t>
        </is>
      </c>
      <c r="L143" s="16" t="n">
        <v>124</v>
      </c>
      <c r="M143" s="39" t="inlineStr">
        <is>
          <t>- (full trip)</t>
        </is>
      </c>
    </row>
    <row r="144">
      <c r="A144" s="16" t="inlineStr">
        <is>
          <t>17 Jun</t>
        </is>
      </c>
      <c r="B144" s="16" t="inlineStr">
        <is>
          <t>37322</t>
        </is>
      </c>
      <c r="C144" s="16" t="n">
        <v>13838</v>
      </c>
      <c r="D144" s="16" t="n">
        <v>13534</v>
      </c>
      <c r="E144" s="16" t="n">
        <v>12523</v>
      </c>
      <c r="F144" s="38" t="n">
        <v>657174</v>
      </c>
      <c r="G144" s="38" t="n">
        <v>1425257</v>
      </c>
      <c r="H144" s="38" t="n">
        <v>699084</v>
      </c>
      <c r="I144" s="38" t="n">
        <v>1242927</v>
      </c>
      <c r="J144" s="19">
        <f>(I144-H144)/1000</f>
        <v/>
      </c>
      <c r="K144" s="16" t="inlineStr">
        <is>
          <t>Yes</t>
        </is>
      </c>
      <c r="L144" s="16" t="n">
        <v>124</v>
      </c>
      <c r="M144" s="39" t="inlineStr">
        <is>
          <t>- (full trip)</t>
        </is>
      </c>
    </row>
    <row r="145">
      <c r="A145" s="16" t="inlineStr">
        <is>
          <t>17 Jun</t>
        </is>
      </c>
      <c r="B145" s="16" t="inlineStr">
        <is>
          <t>37582</t>
        </is>
      </c>
      <c r="C145" s="16" t="n">
        <v>36585</v>
      </c>
      <c r="D145" s="16" t="n">
        <v>36548</v>
      </c>
      <c r="E145" s="16" t="n">
        <v>33255</v>
      </c>
      <c r="F145" s="38" t="n">
        <v>657099</v>
      </c>
      <c r="G145" s="38" t="n">
        <v>1499008</v>
      </c>
      <c r="H145" s="38" t="n">
        <v>699077</v>
      </c>
      <c r="I145" s="38" t="n">
        <v>1242729</v>
      </c>
      <c r="J145" s="19">
        <f>(I145-H145)/1000</f>
        <v/>
      </c>
      <c r="K145" s="16" t="inlineStr">
        <is>
          <t>Yes</t>
        </is>
      </c>
      <c r="L145" s="16" t="n">
        <v>124</v>
      </c>
      <c r="M145" s="39" t="inlineStr">
        <is>
          <t>- (full trip)</t>
        </is>
      </c>
    </row>
    <row r="146">
      <c r="A146" s="16" t="inlineStr">
        <is>
          <t>17 Jun</t>
        </is>
      </c>
      <c r="B146" s="16" t="inlineStr">
        <is>
          <t>39331</t>
        </is>
      </c>
      <c r="C146" s="16" t="n">
        <v>22546</v>
      </c>
      <c r="D146" s="16" t="n">
        <v>22488</v>
      </c>
      <c r="E146" s="16" t="n">
        <v>20539</v>
      </c>
      <c r="F146" s="38" t="n">
        <v>657171</v>
      </c>
      <c r="G146" s="38" t="n">
        <v>1436474</v>
      </c>
      <c r="H146" s="38" t="n">
        <v>699070</v>
      </c>
      <c r="I146" s="38" t="n">
        <v>1240724</v>
      </c>
      <c r="J146" s="19">
        <f>(I146-H146)/1000</f>
        <v/>
      </c>
      <c r="K146" s="16" t="inlineStr">
        <is>
          <t>Yes</t>
        </is>
      </c>
      <c r="L146" s="16" t="n">
        <v>124</v>
      </c>
      <c r="M146" s="39" t="inlineStr">
        <is>
          <t>- (full trip)</t>
        </is>
      </c>
    </row>
    <row r="147" ht="64" customHeight="1">
      <c r="A147" s="16" t="inlineStr">
        <is>
          <t>17 Jun</t>
        </is>
      </c>
      <c r="B147" s="16" t="inlineStr">
        <is>
          <t>37321</t>
        </is>
      </c>
      <c r="C147" s="16" t="n">
        <v>17511</v>
      </c>
      <c r="D147" s="16" t="n">
        <v>17511</v>
      </c>
      <c r="E147" s="16" t="n">
        <v>16831</v>
      </c>
      <c r="F147" s="38" t="n">
        <v>662940</v>
      </c>
      <c r="G147" s="38" t="n">
        <v>1172502</v>
      </c>
      <c r="H147" s="38" t="n">
        <v>699089</v>
      </c>
      <c r="I147" s="38" t="n">
        <v>1172502</v>
      </c>
      <c r="J147" s="19">
        <f>(I147-H147)/1000</f>
        <v/>
      </c>
      <c r="K147" s="16" t="inlineStr">
        <is>
          <t>Yes</t>
        </is>
      </c>
      <c r="L147" s="16" t="n">
        <v>108</v>
      </c>
      <c r="M14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48" ht="124" customHeight="1">
      <c r="A148" s="16" t="inlineStr">
        <is>
          <t>17 Jun</t>
        </is>
      </c>
      <c r="B148" s="16" t="inlineStr">
        <is>
          <t>37515</t>
        </is>
      </c>
      <c r="C148" s="16" t="n">
        <v>22186</v>
      </c>
      <c r="D148" s="16" t="n">
        <v>22186</v>
      </c>
      <c r="E148" s="16" t="n">
        <v>21156</v>
      </c>
      <c r="F148" s="38" t="n">
        <v>657245</v>
      </c>
      <c r="G148" s="38" t="n">
        <v>1079982</v>
      </c>
      <c r="H148" s="38" t="n">
        <v>699071</v>
      </c>
      <c r="I148" s="38" t="n">
        <v>1079982</v>
      </c>
      <c r="J148" s="19">
        <f>(I148-H148)/1000</f>
        <v/>
      </c>
      <c r="K148" s="16" t="inlineStr">
        <is>
          <t>Yes</t>
        </is>
      </c>
      <c r="L148" s="16" t="n">
        <v>89</v>
      </c>
      <c r="M1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</t>
        </is>
      </c>
    </row>
    <row r="149" ht="154" customHeight="1">
      <c r="A149" s="16" t="inlineStr">
        <is>
          <t>17 Jun</t>
        </is>
      </c>
      <c r="B149" s="16" t="inlineStr">
        <is>
          <t>37286</t>
        </is>
      </c>
      <c r="C149" s="16" t="n">
        <v>14405</v>
      </c>
      <c r="D149" s="16" t="n">
        <v>14392</v>
      </c>
      <c r="E149" s="16" t="n">
        <v>13604</v>
      </c>
      <c r="F149" s="38" t="n">
        <v>897563</v>
      </c>
      <c r="G149" s="38" t="n">
        <v>1435942</v>
      </c>
      <c r="H149" s="38" t="n">
        <v>897563</v>
      </c>
      <c r="I149" s="38" t="n">
        <v>1242972</v>
      </c>
      <c r="J149" s="19">
        <f>(I149-H149)/1000</f>
        <v/>
      </c>
      <c r="K149" s="16" t="inlineStr">
        <is>
          <t>Yes</t>
        </is>
      </c>
      <c r="L149" s="16" t="n">
        <v>83</v>
      </c>
      <c r="M149" s="39" t="inlineStr">
        <is>
          <t>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0" ht="169" customHeight="1">
      <c r="A150" s="16" t="inlineStr">
        <is>
          <t>17 Jun</t>
        </is>
      </c>
      <c r="B150" s="16" t="inlineStr">
        <is>
          <t>30791</t>
        </is>
      </c>
      <c r="C150" s="16" t="n">
        <v>12438</v>
      </c>
      <c r="D150" s="16" t="n">
        <v>12422</v>
      </c>
      <c r="E150" s="16" t="n">
        <v>11264</v>
      </c>
      <c r="F150" s="38" t="n">
        <v>656380</v>
      </c>
      <c r="G150" s="38" t="n">
        <v>1029001</v>
      </c>
      <c r="H150" s="38" t="n">
        <v>699087</v>
      </c>
      <c r="I150" s="38" t="n">
        <v>1029001</v>
      </c>
      <c r="J150" s="19">
        <f>(I150-H150)/1000</f>
        <v/>
      </c>
      <c r="K150" s="16" t="inlineStr">
        <is>
          <t>Yes</t>
        </is>
      </c>
      <c r="L150" s="16" t="n">
        <v>77</v>
      </c>
      <c r="M15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1" ht="169" customHeight="1">
      <c r="A151" s="16" t="inlineStr">
        <is>
          <t>17 Jun</t>
        </is>
      </c>
      <c r="B151" s="16" t="inlineStr">
        <is>
          <t>30440</t>
        </is>
      </c>
      <c r="C151" s="16" t="n">
        <v>12637</v>
      </c>
      <c r="D151" s="16" t="n">
        <v>12622</v>
      </c>
      <c r="E151" s="16" t="n">
        <v>12303</v>
      </c>
      <c r="F151" s="38" t="n">
        <v>696248</v>
      </c>
      <c r="G151" s="38" t="n">
        <v>1028915</v>
      </c>
      <c r="H151" s="38" t="n">
        <v>699071</v>
      </c>
      <c r="I151" s="38" t="n">
        <v>1028915</v>
      </c>
      <c r="J151" s="19">
        <f>(I151-H151)/1000</f>
        <v/>
      </c>
      <c r="K151" s="16" t="inlineStr">
        <is>
          <t>Yes</t>
        </is>
      </c>
      <c r="L151" s="16" t="n">
        <v>77</v>
      </c>
      <c r="M1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2" ht="169" customHeight="1">
      <c r="A152" s="16" t="inlineStr">
        <is>
          <t>17 Jun</t>
        </is>
      </c>
      <c r="B152" s="16" t="inlineStr">
        <is>
          <t>39308</t>
        </is>
      </c>
      <c r="C152" s="16" t="n">
        <v>28876</v>
      </c>
      <c r="D152" s="16" t="n">
        <v>28521</v>
      </c>
      <c r="E152" s="16" t="n">
        <v>27178</v>
      </c>
      <c r="F152" s="38" t="n">
        <v>656316</v>
      </c>
      <c r="G152" s="38" t="n">
        <v>1028914</v>
      </c>
      <c r="H152" s="38" t="n">
        <v>699077</v>
      </c>
      <c r="I152" s="38" t="n">
        <v>1028914</v>
      </c>
      <c r="J152" s="19">
        <f>(I152-H152)/1000</f>
        <v/>
      </c>
      <c r="K152" s="16" t="inlineStr">
        <is>
          <t>Yes</t>
        </is>
      </c>
      <c r="L152" s="16" t="n">
        <v>77</v>
      </c>
      <c r="M1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3" ht="169" customHeight="1">
      <c r="A153" s="16" t="inlineStr">
        <is>
          <t>17 Jun</t>
        </is>
      </c>
      <c r="B153" s="16" t="inlineStr">
        <is>
          <t>30358</t>
        </is>
      </c>
      <c r="C153" s="16" t="n">
        <v>4810</v>
      </c>
      <c r="D153" s="16" t="n">
        <v>4553</v>
      </c>
      <c r="E153" s="16" t="n">
        <v>4551</v>
      </c>
      <c r="F153" s="38" t="n">
        <v>696044</v>
      </c>
      <c r="G153" s="38" t="n">
        <v>1028908</v>
      </c>
      <c r="H153" s="38" t="n">
        <v>699365</v>
      </c>
      <c r="I153" s="38" t="n">
        <v>1028908</v>
      </c>
      <c r="J153" s="19">
        <f>(I153-H153)/1000</f>
        <v/>
      </c>
      <c r="K153" s="16" t="inlineStr">
        <is>
          <t>Yes</t>
        </is>
      </c>
      <c r="L153" s="16" t="n">
        <v>77</v>
      </c>
      <c r="M15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4" ht="184" customHeight="1">
      <c r="A154" s="16" t="inlineStr">
        <is>
          <t>17 Jun</t>
        </is>
      </c>
      <c r="B154" s="16" t="inlineStr">
        <is>
          <t>37859</t>
        </is>
      </c>
      <c r="C154" s="16" t="n">
        <v>26107</v>
      </c>
      <c r="D154" s="16" t="n">
        <v>26039</v>
      </c>
      <c r="E154" s="16" t="n">
        <v>26039</v>
      </c>
      <c r="F154" s="38" t="n">
        <v>920372</v>
      </c>
      <c r="G154" s="38" t="n">
        <v>1242974</v>
      </c>
      <c r="H154" s="38" t="n">
        <v>920372</v>
      </c>
      <c r="I154" s="38" t="n">
        <v>1242974</v>
      </c>
      <c r="J154" s="19">
        <f>(I154-H154)/1000</f>
        <v/>
      </c>
      <c r="K154" s="16" t="inlineStr">
        <is>
          <t>Yes</t>
        </is>
      </c>
      <c r="L154" s="16" t="n">
        <v>78</v>
      </c>
      <c r="M1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5" ht="184" customHeight="1">
      <c r="A155" s="16" t="inlineStr">
        <is>
          <t>17 Jun</t>
        </is>
      </c>
      <c r="B155" s="16" t="inlineStr">
        <is>
          <t>30488</t>
        </is>
      </c>
      <c r="C155" s="16" t="n">
        <v>12400</v>
      </c>
      <c r="D155" s="16" t="n">
        <v>12363</v>
      </c>
      <c r="E155" s="16" t="n">
        <v>11180</v>
      </c>
      <c r="F155" s="38" t="n">
        <v>921254</v>
      </c>
      <c r="G155" s="38" t="n">
        <v>1518099</v>
      </c>
      <c r="H155" s="38" t="n">
        <v>921254</v>
      </c>
      <c r="I155" s="38" t="n">
        <v>1242958</v>
      </c>
      <c r="J155" s="19">
        <f>(I155-H155)/1000</f>
        <v/>
      </c>
      <c r="K155" s="16" t="inlineStr">
        <is>
          <t>Yes</t>
        </is>
      </c>
      <c r="L155" s="16" t="n">
        <v>78</v>
      </c>
      <c r="M1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6" ht="184" customHeight="1">
      <c r="A156" s="16" t="inlineStr">
        <is>
          <t>17 Jun</t>
        </is>
      </c>
      <c r="B156" s="16" t="inlineStr">
        <is>
          <t>30335</t>
        </is>
      </c>
      <c r="C156" s="16" t="n">
        <v>22957</v>
      </c>
      <c r="D156" s="16" t="n">
        <v>22908</v>
      </c>
      <c r="E156" s="16" t="n">
        <v>21749</v>
      </c>
      <c r="F156" s="38" t="n">
        <v>921481</v>
      </c>
      <c r="G156" s="38" t="n">
        <v>1437944</v>
      </c>
      <c r="H156" s="38" t="n">
        <v>921481</v>
      </c>
      <c r="I156" s="38" t="n">
        <v>1242984</v>
      </c>
      <c r="J156" s="19">
        <f>(I156-H156)/1000</f>
        <v/>
      </c>
      <c r="K156" s="16" t="inlineStr">
        <is>
          <t>Yes</t>
        </is>
      </c>
      <c r="L156" s="16" t="n">
        <v>78</v>
      </c>
      <c r="M15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7" ht="184" customHeight="1">
      <c r="A157" s="16" t="inlineStr">
        <is>
          <t>17 Jun</t>
        </is>
      </c>
      <c r="B157" s="16" t="inlineStr">
        <is>
          <t>30339</t>
        </is>
      </c>
      <c r="C157" s="16" t="n">
        <v>13460</v>
      </c>
      <c r="D157" s="16" t="n">
        <v>13439</v>
      </c>
      <c r="E157" s="16" t="n">
        <v>13293</v>
      </c>
      <c r="F157" s="38" t="n">
        <v>920520</v>
      </c>
      <c r="G157" s="38" t="n">
        <v>1436844</v>
      </c>
      <c r="H157" s="38" t="n">
        <v>920520</v>
      </c>
      <c r="I157" s="38" t="n">
        <v>1240567</v>
      </c>
      <c r="J157" s="19">
        <f>(I157-H157)/1000</f>
        <v/>
      </c>
      <c r="K157" s="16" t="inlineStr">
        <is>
          <t>Yes</t>
        </is>
      </c>
      <c r="L157" s="16" t="n">
        <v>78</v>
      </c>
      <c r="M15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8" ht="184" customHeight="1">
      <c r="A158" s="16" t="inlineStr">
        <is>
          <t>17 Jun</t>
        </is>
      </c>
      <c r="B158" s="16" t="inlineStr">
        <is>
          <t>30334</t>
        </is>
      </c>
      <c r="C158" s="16" t="n">
        <v>12246</v>
      </c>
      <c r="D158" s="16" t="n">
        <v>12239</v>
      </c>
      <c r="E158" s="16" t="n">
        <v>11467</v>
      </c>
      <c r="F158" s="38" t="n">
        <v>921132</v>
      </c>
      <c r="G158" s="38" t="n">
        <v>1500775</v>
      </c>
      <c r="H158" s="38" t="n">
        <v>921132</v>
      </c>
      <c r="I158" s="38" t="n">
        <v>1240701</v>
      </c>
      <c r="J158" s="19">
        <f>(I158-H158)/1000</f>
        <v/>
      </c>
      <c r="K158" s="16" t="inlineStr">
        <is>
          <t>Yes</t>
        </is>
      </c>
      <c r="L158" s="16" t="n">
        <v>78</v>
      </c>
      <c r="M15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9" ht="184" customHeight="1">
      <c r="A159" s="16" t="inlineStr">
        <is>
          <t>17 Jun</t>
        </is>
      </c>
      <c r="B159" s="16" t="inlineStr">
        <is>
          <t>30608</t>
        </is>
      </c>
      <c r="C159" s="16" t="n">
        <v>10682</v>
      </c>
      <c r="D159" s="16" t="n">
        <v>10666</v>
      </c>
      <c r="E159" s="16" t="n">
        <v>10350</v>
      </c>
      <c r="F159" s="38" t="n">
        <v>921481</v>
      </c>
      <c r="G159" s="38" t="n">
        <v>1436987</v>
      </c>
      <c r="H159" s="38" t="n">
        <v>921481</v>
      </c>
      <c r="I159" s="38" t="n">
        <v>1240715</v>
      </c>
      <c r="J159" s="19">
        <f>(I159-H159)/1000</f>
        <v/>
      </c>
      <c r="K159" s="16" t="inlineStr">
        <is>
          <t>Yes</t>
        </is>
      </c>
      <c r="L159" s="16" t="n">
        <v>78</v>
      </c>
      <c r="M15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0" ht="184" customHeight="1">
      <c r="A160" s="16" t="inlineStr">
        <is>
          <t>17 Jun</t>
        </is>
      </c>
      <c r="B160" s="16" t="inlineStr">
        <is>
          <t>30395</t>
        </is>
      </c>
      <c r="C160" s="16" t="n">
        <v>6600</v>
      </c>
      <c r="D160" s="16" t="n">
        <v>6585</v>
      </c>
      <c r="E160" s="16" t="n">
        <v>6121</v>
      </c>
      <c r="F160" s="38" t="n">
        <v>921484</v>
      </c>
      <c r="G160" s="38" t="n">
        <v>1500430</v>
      </c>
      <c r="H160" s="38" t="n">
        <v>921484</v>
      </c>
      <c r="I160" s="38" t="n">
        <v>1240684</v>
      </c>
      <c r="J160" s="19">
        <f>(I160-H160)/1000</f>
        <v/>
      </c>
      <c r="K160" s="16" t="inlineStr">
        <is>
          <t>Yes</t>
        </is>
      </c>
      <c r="L160" s="16" t="n">
        <v>78</v>
      </c>
      <c r="M16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1" ht="184" customHeight="1">
      <c r="A161" s="16" t="inlineStr">
        <is>
          <t>17 Jun</t>
        </is>
      </c>
      <c r="B161" s="16" t="inlineStr">
        <is>
          <t>39050</t>
        </is>
      </c>
      <c r="C161" s="16" t="n">
        <v>12100</v>
      </c>
      <c r="D161" s="16" t="n">
        <v>12072</v>
      </c>
      <c r="E161" s="16" t="n">
        <v>10800</v>
      </c>
      <c r="F161" s="38" t="n">
        <v>921616</v>
      </c>
      <c r="G161" s="38" t="n">
        <v>1500577</v>
      </c>
      <c r="H161" s="38" t="n">
        <v>921616</v>
      </c>
      <c r="I161" s="38" t="n">
        <v>1240711</v>
      </c>
      <c r="J161" s="19">
        <f>(I161-H161)/1000</f>
        <v/>
      </c>
      <c r="K161" s="16" t="inlineStr">
        <is>
          <t>Yes</t>
        </is>
      </c>
      <c r="L161" s="16" t="n">
        <v>78</v>
      </c>
      <c r="M16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2" ht="184" customHeight="1">
      <c r="A162" s="16" t="inlineStr">
        <is>
          <t>17 Jun</t>
        </is>
      </c>
      <c r="B162" s="16" t="inlineStr">
        <is>
          <t>30234</t>
        </is>
      </c>
      <c r="C162" s="16" t="n">
        <v>5330</v>
      </c>
      <c r="D162" s="16" t="n">
        <v>5307</v>
      </c>
      <c r="E162" s="16" t="n">
        <v>5307</v>
      </c>
      <c r="F162" s="38" t="n">
        <v>821029</v>
      </c>
      <c r="G162" s="38" t="n">
        <v>1091802</v>
      </c>
      <c r="H162" s="38" t="n">
        <v>821029</v>
      </c>
      <c r="I162" s="38" t="n">
        <v>1091802</v>
      </c>
      <c r="J162" s="19">
        <f>(I162-H162)/1000</f>
        <v/>
      </c>
      <c r="K162" s="16" t="inlineStr">
        <is>
          <t>Yes</t>
        </is>
      </c>
      <c r="L162" s="16" t="n">
        <v>65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IBH-61(LC-60), Kurlasi(KRLS), IBH-55(7.5KM from GOH), Garoth(GOH), IBH-48, Shamgarh(SGZ), 3.0 Km From SGZ, IBH-HNU, Suwasra(SVA), NathuKheri(NKH), 4.5 KM from CMU, Chau Mahla(CMU), Talavli(TLZ), LC-28, IBH-27, Thuria(THUR), IBH-23  ...(+9 more)</t>
        </is>
      </c>
    </row>
    <row r="163" ht="199" customHeight="1">
      <c r="A163" s="16" t="inlineStr">
        <is>
          <t>17 Jun</t>
        </is>
      </c>
      <c r="B163" s="16" t="inlineStr">
        <is>
          <t>37367</t>
        </is>
      </c>
      <c r="C163" s="16" t="n">
        <v>33109</v>
      </c>
      <c r="D163" s="16" t="n">
        <v>33099</v>
      </c>
      <c r="E163" s="16" t="n">
        <v>33099</v>
      </c>
      <c r="F163" s="38" t="n">
        <v>920762</v>
      </c>
      <c r="G163" s="38" t="n">
        <v>1172539</v>
      </c>
      <c r="H163" s="38" t="n">
        <v>920762</v>
      </c>
      <c r="I163" s="38" t="n">
        <v>1172539</v>
      </c>
      <c r="J163" s="19">
        <f>(I163-H163)/1000</f>
        <v/>
      </c>
      <c r="K163" s="16" t="inlineStr">
        <is>
          <t>Yes</t>
        </is>
      </c>
      <c r="L163" s="16" t="n">
        <v>62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4" ht="199" customHeight="1">
      <c r="A164" s="16" t="inlineStr">
        <is>
          <t>17 Jun</t>
        </is>
      </c>
      <c r="B164" s="16" t="inlineStr">
        <is>
          <t>37366</t>
        </is>
      </c>
      <c r="C164" s="16" t="n">
        <v>21603</v>
      </c>
      <c r="D164" s="16" t="n">
        <v>21592</v>
      </c>
      <c r="E164" s="16" t="n">
        <v>21592</v>
      </c>
      <c r="F164" s="38" t="n">
        <v>921758</v>
      </c>
      <c r="G164" s="38" t="n">
        <v>1172898</v>
      </c>
      <c r="H164" s="38" t="n">
        <v>921758</v>
      </c>
      <c r="I164" s="38" t="n">
        <v>1172898</v>
      </c>
      <c r="J164" s="19">
        <f>(I164-H164)/1000</f>
        <v/>
      </c>
      <c r="K164" s="16" t="inlineStr">
        <is>
          <t>Yes</t>
        </is>
      </c>
      <c r="L164" s="16" t="n">
        <v>63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65" ht="199" customHeight="1">
      <c r="A165" s="16" t="inlineStr">
        <is>
          <t>17 Jun</t>
        </is>
      </c>
      <c r="B165" s="16" t="inlineStr">
        <is>
          <t>39014</t>
        </is>
      </c>
      <c r="C165" s="16" t="n">
        <v>10245</v>
      </c>
      <c r="D165" s="16" t="n">
        <v>10230</v>
      </c>
      <c r="E165" s="16" t="n">
        <v>10230</v>
      </c>
      <c r="F165" s="38" t="n">
        <v>921486</v>
      </c>
      <c r="G165" s="38" t="n">
        <v>1169661</v>
      </c>
      <c r="H165" s="38" t="n">
        <v>921486</v>
      </c>
      <c r="I165" s="38" t="n">
        <v>1169661</v>
      </c>
      <c r="J165" s="19">
        <f>(I165-H165)/1000</f>
        <v/>
      </c>
      <c r="K165" s="16" t="inlineStr">
        <is>
          <t>Yes</t>
        </is>
      </c>
      <c r="L165" s="16" t="n">
        <v>62</v>
      </c>
      <c r="M16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6" ht="184" customHeight="1">
      <c r="A166" s="16" t="inlineStr">
        <is>
          <t>17 Jun</t>
        </is>
      </c>
      <c r="B166" s="16" t="inlineStr">
        <is>
          <t>39035</t>
        </is>
      </c>
      <c r="C166" s="16" t="n">
        <v>10173</v>
      </c>
      <c r="D166" s="16" t="n">
        <v>10173</v>
      </c>
      <c r="E166" s="16" t="n">
        <v>8924</v>
      </c>
      <c r="F166" s="38" t="n">
        <v>657094</v>
      </c>
      <c r="G166" s="38" t="n">
        <v>942886</v>
      </c>
      <c r="H166" s="38" t="n">
        <v>699076</v>
      </c>
      <c r="I166" s="38" t="n">
        <v>942886</v>
      </c>
      <c r="J166" s="19">
        <f>(I166-H166)/1000</f>
        <v/>
      </c>
      <c r="K166" s="16" t="inlineStr">
        <is>
          <t>Yes</t>
        </is>
      </c>
      <c r="L166" s="16" t="n">
        <v>54</v>
      </c>
      <c r="M1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...(+20 more)</t>
        </is>
      </c>
    </row>
    <row r="167" ht="184" customHeight="1">
      <c r="A167" s="16" t="inlineStr">
        <is>
          <t>17 Jun</t>
        </is>
      </c>
      <c r="B167" s="16" t="inlineStr">
        <is>
          <t>30460</t>
        </is>
      </c>
      <c r="C167" s="16" t="n">
        <v>7237</v>
      </c>
      <c r="D167" s="16" t="n">
        <v>7222</v>
      </c>
      <c r="E167" s="16" t="n">
        <v>6632</v>
      </c>
      <c r="F167" s="38" t="n">
        <v>663085</v>
      </c>
      <c r="G167" s="38" t="n">
        <v>920634</v>
      </c>
      <c r="H167" s="38" t="n">
        <v>699113</v>
      </c>
      <c r="I167" s="38" t="n">
        <v>920634</v>
      </c>
      <c r="J167" s="19">
        <f>(I167-H167)/1000</f>
        <v/>
      </c>
      <c r="K167" s="16" t="inlineStr">
        <is>
          <t>Yes</t>
        </is>
      </c>
      <c r="L167" s="16" t="n">
        <v>47</v>
      </c>
      <c r="M1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68" ht="199" customHeight="1">
      <c r="A168" s="16" t="inlineStr">
        <is>
          <t>17 Jun</t>
        </is>
      </c>
      <c r="B168" s="16" t="inlineStr">
        <is>
          <t>30396</t>
        </is>
      </c>
      <c r="C168" s="16" t="n">
        <v>9257</v>
      </c>
      <c r="D168" s="16" t="n">
        <v>9252</v>
      </c>
      <c r="E168" s="16" t="n">
        <v>9252</v>
      </c>
      <c r="F168" s="38" t="n">
        <v>1028308</v>
      </c>
      <c r="G168" s="38" t="n">
        <v>1242347</v>
      </c>
      <c r="H168" s="38" t="n">
        <v>1028308</v>
      </c>
      <c r="I168" s="38" t="n">
        <v>1242347</v>
      </c>
      <c r="J168" s="19">
        <f>(I168-H168)/1000</f>
        <v/>
      </c>
      <c r="K168" s="16" t="inlineStr">
        <is>
          <t>Yes</t>
        </is>
      </c>
      <c r="L168" s="16" t="n">
        <v>48</v>
      </c>
      <c r="M168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169" ht="184" customHeight="1">
      <c r="A169" s="16" t="inlineStr">
        <is>
          <t>17 Jun</t>
        </is>
      </c>
      <c r="B169" s="16" t="inlineStr">
        <is>
          <t>37086</t>
        </is>
      </c>
      <c r="C169" s="16" t="n">
        <v>7341</v>
      </c>
      <c r="D169" s="16" t="n">
        <v>7341</v>
      </c>
      <c r="E169" s="16" t="n">
        <v>6009</v>
      </c>
      <c r="F169" s="38" t="n">
        <v>657167</v>
      </c>
      <c r="G169" s="38" t="n">
        <v>895413</v>
      </c>
      <c r="H169" s="38" t="n">
        <v>699080</v>
      </c>
      <c r="I169" s="38" t="n">
        <v>895413</v>
      </c>
      <c r="J169" s="19">
        <f>(I169-H169)/1000</f>
        <v/>
      </c>
      <c r="K169" s="16" t="inlineStr">
        <is>
          <t>Yes</t>
        </is>
      </c>
      <c r="L169" s="16" t="n">
        <v>42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170" ht="184" customHeight="1">
      <c r="A170" s="16" t="inlineStr">
        <is>
          <t>17 Jun</t>
        </is>
      </c>
      <c r="B170" s="16" t="inlineStr">
        <is>
          <t>37257</t>
        </is>
      </c>
      <c r="C170" s="16" t="n">
        <v>11781</v>
      </c>
      <c r="D170" s="16" t="n">
        <v>11780</v>
      </c>
      <c r="E170" s="16" t="n">
        <v>11780</v>
      </c>
      <c r="F170" s="38" t="n">
        <v>920691</v>
      </c>
      <c r="G170" s="38" t="n">
        <v>1112874</v>
      </c>
      <c r="H170" s="38" t="n">
        <v>920691</v>
      </c>
      <c r="I170" s="38" t="n">
        <v>1112874</v>
      </c>
      <c r="J170" s="19">
        <f>(I170-H170)/1000</f>
        <v/>
      </c>
      <c r="K170" s="16" t="inlineStr">
        <is>
          <t>Yes</t>
        </is>
      </c>
      <c r="L170" s="16" t="n">
        <v>49</v>
      </c>
      <c r="M1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71" ht="184" customHeight="1">
      <c r="A171" s="16" t="inlineStr">
        <is>
          <t>17 Jun</t>
        </is>
      </c>
      <c r="B171" s="16" t="inlineStr">
        <is>
          <t>37309</t>
        </is>
      </c>
      <c r="C171" s="16" t="n">
        <v>7135</v>
      </c>
      <c r="D171" s="16" t="n">
        <v>7135</v>
      </c>
      <c r="E171" s="16" t="n">
        <v>6674</v>
      </c>
      <c r="F171" s="38" t="n">
        <v>695298</v>
      </c>
      <c r="G171" s="38" t="n">
        <v>856034</v>
      </c>
      <c r="H171" s="38" t="n">
        <v>699076</v>
      </c>
      <c r="I171" s="38" t="n">
        <v>856034</v>
      </c>
      <c r="J171" s="19">
        <f>(I171-H171)/1000</f>
        <v/>
      </c>
      <c r="K171" s="16" t="inlineStr">
        <is>
          <t>Yes</t>
        </is>
      </c>
      <c r="L171" s="16" t="n">
        <v>34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172" ht="184" customHeight="1">
      <c r="A172" s="16" t="inlineStr">
        <is>
          <t>17 Jun</t>
        </is>
      </c>
      <c r="B172" s="16" t="inlineStr">
        <is>
          <t>37458</t>
        </is>
      </c>
      <c r="C172" s="16" t="n">
        <v>60</v>
      </c>
      <c r="D172" s="16" t="n">
        <v>60</v>
      </c>
      <c r="E172" s="16" t="n">
        <v>60</v>
      </c>
      <c r="F172" s="38" t="n">
        <v>1121814</v>
      </c>
      <c r="G172" s="38" t="n">
        <v>1241908</v>
      </c>
      <c r="H172" s="38" t="n">
        <v>1121814</v>
      </c>
      <c r="I172" s="38" t="n">
        <v>1241908</v>
      </c>
      <c r="J172" s="19">
        <f>(I172-H172)/1000</f>
        <v/>
      </c>
      <c r="K172" s="16" t="inlineStr">
        <is>
          <t>Yes</t>
        </is>
      </c>
      <c r="L172" s="16" t="n">
        <v>29</v>
      </c>
      <c r="M172" s="39" t="inlineStr">
        <is>
          <t>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  ...(+45 more)</t>
        </is>
      </c>
    </row>
    <row r="173" ht="184" customHeight="1">
      <c r="A173" s="16" t="inlineStr">
        <is>
          <t>17 Jun</t>
        </is>
      </c>
      <c r="B173" s="16" t="inlineStr">
        <is>
          <t>39108</t>
        </is>
      </c>
      <c r="C173" s="16" t="n">
        <v>9882</v>
      </c>
      <c r="D173" s="16" t="n">
        <v>9794</v>
      </c>
      <c r="E173" s="16" t="n">
        <v>9794</v>
      </c>
      <c r="F173" s="38" t="n">
        <v>920370</v>
      </c>
      <c r="G173" s="38" t="n">
        <v>1029019</v>
      </c>
      <c r="H173" s="38" t="n">
        <v>920370</v>
      </c>
      <c r="I173" s="38" t="n">
        <v>1029019</v>
      </c>
      <c r="J173" s="19">
        <f>(I173-H173)/1000</f>
        <v/>
      </c>
      <c r="K173" s="16" t="inlineStr">
        <is>
          <t>Yes</t>
        </is>
      </c>
      <c r="L173" s="16" t="n">
        <v>31</v>
      </c>
      <c r="M1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4" ht="184" customHeight="1">
      <c r="A174" s="16" t="inlineStr">
        <is>
          <t>17 Jun</t>
        </is>
      </c>
      <c r="B174" s="16" t="inlineStr">
        <is>
          <t>37035</t>
        </is>
      </c>
      <c r="C174" s="16" t="n">
        <v>14565</v>
      </c>
      <c r="D174" s="16" t="n">
        <v>14380</v>
      </c>
      <c r="E174" s="16" t="n">
        <v>14380</v>
      </c>
      <c r="F174" s="38" t="n">
        <v>920787</v>
      </c>
      <c r="G174" s="38" t="n">
        <v>1029028</v>
      </c>
      <c r="H174" s="38" t="n">
        <v>920787</v>
      </c>
      <c r="I174" s="38" t="n">
        <v>1029028</v>
      </c>
      <c r="J174" s="19">
        <f>(I174-H174)/1000</f>
        <v/>
      </c>
      <c r="K174" s="16" t="inlineStr">
        <is>
          <t>Yes</t>
        </is>
      </c>
      <c r="L174" s="16" t="n">
        <v>31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5" ht="184" customHeight="1">
      <c r="A175" s="16" t="inlineStr">
        <is>
          <t>17 Jun</t>
        </is>
      </c>
      <c r="B175" s="16" t="inlineStr">
        <is>
          <t>30669</t>
        </is>
      </c>
      <c r="C175" s="16" t="n">
        <v>3554</v>
      </c>
      <c r="D175" s="16" t="n">
        <v>3539</v>
      </c>
      <c r="E175" s="16" t="n">
        <v>3326</v>
      </c>
      <c r="F175" s="38" t="n">
        <v>1532</v>
      </c>
      <c r="G175" s="38" t="n">
        <v>1027042</v>
      </c>
      <c r="H175" s="38" t="n">
        <v>921610</v>
      </c>
      <c r="I175" s="38" t="n">
        <v>1027042</v>
      </c>
      <c r="J175" s="19">
        <f>(I175-H175)/1000</f>
        <v/>
      </c>
      <c r="K175" s="16" t="inlineStr">
        <is>
          <t>Yes</t>
        </is>
      </c>
      <c r="L175" s="16" t="n">
        <v>31</v>
      </c>
      <c r="M1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6" ht="184" customHeight="1">
      <c r="A176" s="16" t="inlineStr">
        <is>
          <t>17 Jun</t>
        </is>
      </c>
      <c r="B176" s="16" t="inlineStr">
        <is>
          <t>37312</t>
        </is>
      </c>
      <c r="C176" s="16" t="n">
        <v>1677</v>
      </c>
      <c r="D176" s="16" t="n">
        <v>1677</v>
      </c>
      <c r="E176" s="16" t="n">
        <v>1677</v>
      </c>
      <c r="F176" s="38" t="n">
        <v>921488</v>
      </c>
      <c r="G176" s="38" t="n">
        <v>1021783</v>
      </c>
      <c r="H176" s="38" t="n">
        <v>921488</v>
      </c>
      <c r="I176" s="38" t="n">
        <v>1021783</v>
      </c>
      <c r="J176" s="19">
        <f>(I176-H176)/1000</f>
        <v/>
      </c>
      <c r="K176" s="16" t="inlineStr">
        <is>
          <t>Yes</t>
        </is>
      </c>
      <c r="L176" s="16" t="n">
        <v>29</v>
      </c>
      <c r="M1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KOTA SOUTH  ...(+45 more)</t>
        </is>
      </c>
    </row>
    <row r="177" ht="184" customHeight="1">
      <c r="A177" s="16" t="inlineStr">
        <is>
          <t>17 Jun</t>
        </is>
      </c>
      <c r="B177" s="16" t="inlineStr">
        <is>
          <t>44406</t>
        </is>
      </c>
      <c r="C177" s="16" t="n">
        <v>96</v>
      </c>
      <c r="D177" s="16" t="n">
        <v>95</v>
      </c>
      <c r="E177" s="16" t="n">
        <v>95</v>
      </c>
      <c r="F177" s="38" t="n">
        <v>1129731</v>
      </c>
      <c r="G177" s="38" t="n">
        <v>1211958</v>
      </c>
      <c r="H177" s="38" t="n">
        <v>1129731</v>
      </c>
      <c r="I177" s="38" t="n">
        <v>1211958</v>
      </c>
      <c r="J177" s="19">
        <f>(I177-H177)/1000</f>
        <v/>
      </c>
      <c r="K177" s="16" t="inlineStr">
        <is>
          <t>Yes</t>
        </is>
      </c>
      <c r="L177" s="16" t="n">
        <v>22</v>
      </c>
      <c r="M177" s="39" t="inlineStr">
        <is>
          <t>IBH 265, Murhesi Rampur(MSRP), IBH/LC-258, Jajjanpatti(JJA), DhaurmuiJaghina(DUM), IBH-247,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  ...(+52 more)</t>
        </is>
      </c>
    </row>
    <row r="178" ht="184" customHeight="1">
      <c r="A178" s="16" t="inlineStr">
        <is>
          <t>17 Jun</t>
        </is>
      </c>
      <c r="B178" s="16" t="inlineStr">
        <is>
          <t>37484</t>
        </is>
      </c>
      <c r="C178" s="16" t="n">
        <v>1970</v>
      </c>
      <c r="D178" s="16" t="n">
        <v>1941</v>
      </c>
      <c r="E178" s="16" t="n">
        <v>20</v>
      </c>
      <c r="F178" s="38" t="n">
        <v>1177270</v>
      </c>
      <c r="G178" s="38" t="n">
        <v>1418793</v>
      </c>
      <c r="H178" s="38" t="n">
        <v>1177270</v>
      </c>
      <c r="I178" s="38" t="n">
        <v>1243991</v>
      </c>
      <c r="J178" s="19">
        <f>(I178-H178)/1000</f>
        <v/>
      </c>
      <c r="K178" s="16" t="inlineStr">
        <is>
          <t>Yes</t>
        </is>
      </c>
      <c r="L178" s="16" t="n">
        <v>16</v>
      </c>
      <c r="M178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179" ht="184" customHeight="1">
      <c r="A179" s="16" t="inlineStr">
        <is>
          <t>17 Jun</t>
        </is>
      </c>
      <c r="B179" s="16" t="inlineStr">
        <is>
          <t>37580</t>
        </is>
      </c>
      <c r="C179" s="16" t="n">
        <v>1882</v>
      </c>
      <c r="D179" s="16" t="n">
        <v>1878</v>
      </c>
      <c r="E179" s="16" t="n">
        <v>1606</v>
      </c>
      <c r="F179" s="38" t="n">
        <v>695150</v>
      </c>
      <c r="G179" s="38" t="n">
        <v>734740</v>
      </c>
      <c r="H179" s="38" t="n">
        <v>699070</v>
      </c>
      <c r="I179" s="38" t="n">
        <v>734740</v>
      </c>
      <c r="J179" s="19">
        <f>(I179-H179)/1000</f>
        <v/>
      </c>
      <c r="K179" s="16" t="inlineStr">
        <is>
          <t>Yes</t>
        </is>
      </c>
      <c r="L179" s="16" t="n">
        <v>9</v>
      </c>
      <c r="M1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80" ht="184" customHeight="1">
      <c r="A180" s="16" t="inlineStr">
        <is>
          <t>17 Jun</t>
        </is>
      </c>
      <c r="B180" s="16" t="inlineStr">
        <is>
          <t>37566</t>
        </is>
      </c>
      <c r="C180" s="16" t="n">
        <v>2131</v>
      </c>
      <c r="D180" s="16" t="n">
        <v>2131</v>
      </c>
      <c r="E180" s="16" t="n">
        <v>854</v>
      </c>
      <c r="F180" s="38" t="n">
        <v>656321</v>
      </c>
      <c r="G180" s="38" t="n">
        <v>725070</v>
      </c>
      <c r="H180" s="38" t="n">
        <v>699081</v>
      </c>
      <c r="I180" s="38" t="n">
        <v>725070</v>
      </c>
      <c r="J180" s="19">
        <f>(I180-H180)/1000</f>
        <v/>
      </c>
      <c r="K180" s="16" t="inlineStr">
        <is>
          <t>Yes</t>
        </is>
      </c>
      <c r="L180" s="16" t="n">
        <v>7</v>
      </c>
      <c r="M1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81" ht="184" customHeight="1">
      <c r="A181" s="16" t="inlineStr">
        <is>
          <t>17 Jun</t>
        </is>
      </c>
      <c r="B181" s="16" t="inlineStr">
        <is>
          <t>39466</t>
        </is>
      </c>
      <c r="C181" s="16" t="n">
        <v>2048</v>
      </c>
      <c r="D181" s="16" t="n">
        <v>2048</v>
      </c>
      <c r="E181" s="16" t="n">
        <v>705</v>
      </c>
      <c r="F181" s="38" t="n">
        <v>657156</v>
      </c>
      <c r="G181" s="38" t="n">
        <v>724736</v>
      </c>
      <c r="H181" s="38" t="n">
        <v>699092</v>
      </c>
      <c r="I181" s="38" t="n">
        <v>724736</v>
      </c>
      <c r="J181" s="19">
        <f>(I181-H181)/1000</f>
        <v/>
      </c>
      <c r="K181" s="16" t="inlineStr">
        <is>
          <t>Yes</t>
        </is>
      </c>
      <c r="L181" s="16" t="n">
        <v>7</v>
      </c>
      <c r="M1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82" ht="184" customHeight="1">
      <c r="A182" s="16" t="inlineStr">
        <is>
          <t>17 Jun</t>
        </is>
      </c>
      <c r="B182" s="16" t="inlineStr">
        <is>
          <t>39340</t>
        </is>
      </c>
      <c r="C182" s="16" t="n">
        <v>1939</v>
      </c>
      <c r="D182" s="16" t="n">
        <v>1936</v>
      </c>
      <c r="E182" s="16" t="n">
        <v>6</v>
      </c>
      <c r="F182" s="38" t="n">
        <v>1230827</v>
      </c>
      <c r="G182" s="38" t="n">
        <v>1516588</v>
      </c>
      <c r="H182" s="38" t="n">
        <v>1230827</v>
      </c>
      <c r="I182" s="38" t="n">
        <v>1231746</v>
      </c>
      <c r="J182" s="19">
        <f>(I182-H182)/1000</f>
        <v/>
      </c>
      <c r="K182" s="16" t="inlineStr">
        <is>
          <t>Yes</t>
        </is>
      </c>
      <c r="L182" s="16" t="n">
        <v>1</v>
      </c>
      <c r="M182" s="39" t="inlineStr">
        <is>
      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83" ht="184" customHeight="1">
      <c r="A183" s="16" t="inlineStr">
        <is>
          <t>17 Jun</t>
        </is>
      </c>
      <c r="B183" s="16" t="inlineStr">
        <is>
          <t>37316</t>
        </is>
      </c>
      <c r="C183" s="16" t="n">
        <v>1162</v>
      </c>
      <c r="D183" s="16" t="n">
        <v>1162</v>
      </c>
      <c r="E183" s="16" t="n">
        <v>155</v>
      </c>
      <c r="F183" s="38" t="n">
        <v>656304</v>
      </c>
      <c r="G183" s="38" t="n">
        <v>919737</v>
      </c>
      <c r="H183" s="38" t="n">
        <v>918824</v>
      </c>
      <c r="I183" s="38" t="n">
        <v>919737</v>
      </c>
      <c r="J183" s="19">
        <f>(I183-H183)/1000</f>
        <v/>
      </c>
      <c r="K183" s="16" t="inlineStr">
        <is>
          <t>Yes</t>
        </is>
      </c>
      <c r="L183" s="16" t="n">
        <v>2</v>
      </c>
      <c r="M1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84" ht="184" customHeight="1">
      <c r="A184" s="16" t="inlineStr">
        <is>
          <t>17 Jun</t>
        </is>
      </c>
      <c r="B184" s="16" t="inlineStr">
        <is>
          <t>37495</t>
        </is>
      </c>
      <c r="C184" s="16" t="n">
        <v>2</v>
      </c>
      <c r="D184" s="16" t="n">
        <v>2</v>
      </c>
      <c r="E184" s="16" t="n">
        <v>2</v>
      </c>
      <c r="F184" s="38" t="n">
        <v>1231108</v>
      </c>
      <c r="G184" s="38" t="n">
        <v>1231426</v>
      </c>
      <c r="H184" s="38" t="n">
        <v>1231108</v>
      </c>
      <c r="I184" s="38" t="n">
        <v>1231426</v>
      </c>
      <c r="J184" s="19">
        <f>(I184-H184)/1000</f>
        <v/>
      </c>
      <c r="K184" s="16" t="inlineStr">
        <is>
          <t>Yes</t>
        </is>
      </c>
      <c r="L184" s="16" t="n">
        <v>1</v>
      </c>
      <c r="M184" s="39" t="inlineStr">
        <is>
          <t>IBH 265, Murhesi Rampur(MSRP),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85" ht="184" customHeight="1">
      <c r="A185" s="31" t="inlineStr">
        <is>
          <t>17 Jun</t>
        </is>
      </c>
      <c r="B185" s="31" t="inlineStr">
        <is>
          <t>30006</t>
        </is>
      </c>
      <c r="C185" s="31" t="n">
        <v>778</v>
      </c>
      <c r="D185" s="31" t="n">
        <v>777</v>
      </c>
      <c r="E185" s="31" t="n">
        <v>0</v>
      </c>
      <c r="F185" s="40" t="n">
        <v>1401618</v>
      </c>
      <c r="G185" s="40" t="n">
        <v>1437040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17 Jun</t>
        </is>
      </c>
      <c r="B186" s="31" t="inlineStr">
        <is>
          <t>30010</t>
        </is>
      </c>
      <c r="C186" s="31" t="n">
        <v>1296</v>
      </c>
      <c r="D186" s="31" t="n">
        <v>1295</v>
      </c>
      <c r="E186" s="31" t="n">
        <v>0</v>
      </c>
      <c r="F186" s="40" t="n">
        <v>1401368</v>
      </c>
      <c r="G186" s="40" t="n">
        <v>1448723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17 Jun</t>
        </is>
      </c>
      <c r="B187" s="31" t="inlineStr">
        <is>
          <t>30197</t>
        </is>
      </c>
      <c r="C187" s="31" t="n">
        <v>11354</v>
      </c>
      <c r="D187" s="31" t="n">
        <v>11345</v>
      </c>
      <c r="E187" s="31" t="n">
        <v>0</v>
      </c>
      <c r="F187" s="40" t="n">
        <v>153408</v>
      </c>
      <c r="G187" s="40" t="n">
        <v>158855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17 Jun</t>
        </is>
      </c>
      <c r="B188" s="31" t="inlineStr">
        <is>
          <t>30220</t>
        </is>
      </c>
      <c r="C188" s="31" t="n">
        <v>2065</v>
      </c>
      <c r="D188" s="31" t="n">
        <v>2065</v>
      </c>
      <c r="E188" s="31" t="n">
        <v>0</v>
      </c>
      <c r="F188" s="40" t="n">
        <v>1357773</v>
      </c>
      <c r="G188" s="40" t="n">
        <v>1436221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17 Jun</t>
        </is>
      </c>
      <c r="B189" s="31" t="inlineStr">
        <is>
          <t>30227</t>
        </is>
      </c>
      <c r="C189" s="31" t="n">
        <v>333</v>
      </c>
      <c r="D189" s="31" t="n">
        <v>331</v>
      </c>
      <c r="E189" s="31" t="n">
        <v>0</v>
      </c>
      <c r="F189" s="40" t="n">
        <v>1401692</v>
      </c>
      <c r="G189" s="40" t="n">
        <v>1430850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17 Jun</t>
        </is>
      </c>
      <c r="B190" s="31" t="inlineStr">
        <is>
          <t>30397</t>
        </is>
      </c>
      <c r="C190" s="31" t="n">
        <v>1063</v>
      </c>
      <c r="D190" s="31" t="n">
        <v>1063</v>
      </c>
      <c r="E190" s="31" t="n">
        <v>0</v>
      </c>
      <c r="F190" s="40" t="n">
        <v>1401367</v>
      </c>
      <c r="G190" s="40" t="n">
        <v>1514053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17 Jun</t>
        </is>
      </c>
      <c r="B191" s="31" t="inlineStr">
        <is>
          <t>30746</t>
        </is>
      </c>
      <c r="C191" s="31" t="n">
        <v>1332</v>
      </c>
      <c r="D191" s="31" t="n">
        <v>1330</v>
      </c>
      <c r="E191" s="31" t="n">
        <v>0</v>
      </c>
      <c r="F191" s="40" t="n">
        <v>1896</v>
      </c>
      <c r="G191" s="40" t="n">
        <v>698465</v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17 Jun</t>
        </is>
      </c>
      <c r="B192" s="31" t="inlineStr">
        <is>
          <t>30793</t>
        </is>
      </c>
      <c r="C192" s="31" t="n">
        <v>737</v>
      </c>
      <c r="D192" s="31" t="n">
        <v>726</v>
      </c>
      <c r="E192" s="31" t="n">
        <v>0</v>
      </c>
      <c r="F192" s="40" t="n">
        <v>1401492</v>
      </c>
      <c r="G192" s="40" t="n">
        <v>1443896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17 Jun</t>
        </is>
      </c>
      <c r="B193" s="31" t="inlineStr">
        <is>
          <t>30810</t>
        </is>
      </c>
      <c r="C193" s="31" t="n">
        <v>132</v>
      </c>
      <c r="D193" s="31" t="n">
        <v>132</v>
      </c>
      <c r="E193" s="31" t="n">
        <v>0</v>
      </c>
      <c r="F193" s="40" t="n">
        <v>1280180</v>
      </c>
      <c r="G193" s="40" t="n">
        <v>1333842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17 Jun</t>
        </is>
      </c>
      <c r="B194" s="31" t="inlineStr">
        <is>
          <t>30828</t>
        </is>
      </c>
      <c r="C194" s="31" t="n">
        <v>2315</v>
      </c>
      <c r="D194" s="31" t="n">
        <v>2314</v>
      </c>
      <c r="E194" s="31" t="n">
        <v>1</v>
      </c>
      <c r="F194" s="40" t="n">
        <v>1229810</v>
      </c>
      <c r="G194" s="40" t="n">
        <v>1435891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2</v>
      </c>
      <c r="M194" s="42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195" ht="184" customHeight="1">
      <c r="A195" s="31" t="inlineStr">
        <is>
          <t>17 Jun</t>
        </is>
      </c>
      <c r="B195" s="31" t="inlineStr">
        <is>
          <t>37050</t>
        </is>
      </c>
      <c r="C195" s="31" t="n">
        <v>1921</v>
      </c>
      <c r="D195" s="31" t="n">
        <v>1917</v>
      </c>
      <c r="E195" s="31" t="n">
        <v>0</v>
      </c>
      <c r="F195" s="40" t="n">
        <v>1464</v>
      </c>
      <c r="G195" s="40" t="n">
        <v>697378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17 Jun</t>
        </is>
      </c>
      <c r="B196" s="31" t="inlineStr">
        <is>
          <t>37052</t>
        </is>
      </c>
      <c r="C196" s="31" t="n">
        <v>166</v>
      </c>
      <c r="D196" s="31" t="n">
        <v>166</v>
      </c>
      <c r="E196" s="31" t="n">
        <v>0</v>
      </c>
      <c r="F196" s="40" t="n">
        <v>1401348</v>
      </c>
      <c r="G196" s="40" t="n">
        <v>1415723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17 Jun</t>
        </is>
      </c>
      <c r="B197" s="31" t="inlineStr">
        <is>
          <t>37068</t>
        </is>
      </c>
      <c r="C197" s="31" t="n">
        <v>2345</v>
      </c>
      <c r="D197" s="31" t="n">
        <v>2343</v>
      </c>
      <c r="E197" s="31" t="n">
        <v>0</v>
      </c>
      <c r="F197" s="40" t="n">
        <v>1401296</v>
      </c>
      <c r="G197" s="40" t="n">
        <v>1516270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0</v>
      </c>
      <c r="M1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8" ht="184" customHeight="1">
      <c r="A198" s="31" t="inlineStr">
        <is>
          <t>17 Jun</t>
        </is>
      </c>
      <c r="B198" s="31" t="inlineStr">
        <is>
          <t>37628</t>
        </is>
      </c>
      <c r="C198" s="31" t="n">
        <v>151</v>
      </c>
      <c r="D198" s="31" t="n">
        <v>151</v>
      </c>
      <c r="E198" s="31" t="n">
        <v>0</v>
      </c>
      <c r="F198" s="40" t="n">
        <v>1401714</v>
      </c>
      <c r="G198" s="40" t="n">
        <v>1422076</v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17 Jun</t>
        </is>
      </c>
      <c r="B199" s="31" t="inlineStr">
        <is>
          <t>37793</t>
        </is>
      </c>
      <c r="C199" s="31" t="n">
        <v>1940</v>
      </c>
      <c r="D199" s="31" t="n">
        <v>1904</v>
      </c>
      <c r="E199" s="31" t="n">
        <v>0</v>
      </c>
      <c r="F199" s="40" t="n">
        <v>1603</v>
      </c>
      <c r="G199" s="40" t="n">
        <v>697383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 ht="184" customHeight="1">
      <c r="A200" s="31" t="inlineStr">
        <is>
          <t>17 Jun</t>
        </is>
      </c>
      <c r="B200" s="31" t="inlineStr">
        <is>
          <t>37837</t>
        </is>
      </c>
      <c r="C200" s="31" t="n">
        <v>336</v>
      </c>
      <c r="D200" s="31" t="n">
        <v>336</v>
      </c>
      <c r="E200" s="31" t="n">
        <v>0</v>
      </c>
      <c r="F200" s="40" t="n">
        <v>1401757</v>
      </c>
      <c r="G200" s="40" t="n">
        <v>1435835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17 Jun</t>
        </is>
      </c>
      <c r="B201" s="31" t="inlineStr">
        <is>
          <t>37919</t>
        </is>
      </c>
      <c r="C201" s="31" t="n">
        <v>1502</v>
      </c>
      <c r="D201" s="31" t="n">
        <v>1501</v>
      </c>
      <c r="E201" s="31" t="n">
        <v>0</v>
      </c>
      <c r="F201" s="40" t="n">
        <v>1401343</v>
      </c>
      <c r="G201" s="40" t="n">
        <v>1455650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17 Jun</t>
        </is>
      </c>
      <c r="B202" s="31" t="inlineStr">
        <is>
          <t>39037</t>
        </is>
      </c>
      <c r="C202" s="31" t="n">
        <v>16</v>
      </c>
      <c r="D202" s="31" t="n">
        <v>16</v>
      </c>
      <c r="E202" s="31" t="n">
        <v>0</v>
      </c>
      <c r="F202" s="40" t="n">
        <v>1341487</v>
      </c>
      <c r="G202" s="40" t="n">
        <v>1405691</v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17 Jun</t>
        </is>
      </c>
      <c r="B203" s="31" t="inlineStr">
        <is>
          <t>39254</t>
        </is>
      </c>
      <c r="C203" s="31" t="n">
        <v>1690</v>
      </c>
      <c r="D203" s="31" t="n">
        <v>1689</v>
      </c>
      <c r="E203" s="31" t="n">
        <v>0</v>
      </c>
      <c r="F203" s="40" t="n">
        <v>1401359</v>
      </c>
      <c r="G203" s="40" t="n">
        <v>1449414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17 Jun</t>
        </is>
      </c>
      <c r="B204" s="31" t="inlineStr">
        <is>
          <t>39271</t>
        </is>
      </c>
      <c r="C204" s="31" t="n">
        <v>2261</v>
      </c>
      <c r="D204" s="31" t="n">
        <v>2258</v>
      </c>
      <c r="E204" s="31" t="n">
        <v>0</v>
      </c>
      <c r="F204" s="40" t="n">
        <v>1401340</v>
      </c>
      <c r="G204" s="40" t="n">
        <v>1518685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 ht="184" customHeight="1">
      <c r="A205" s="31" t="inlineStr">
        <is>
          <t>17 Jun</t>
        </is>
      </c>
      <c r="B205" s="31" t="inlineStr">
        <is>
          <t>39311</t>
        </is>
      </c>
      <c r="C205" s="31" t="n">
        <v>644</v>
      </c>
      <c r="D205" s="31" t="n">
        <v>644</v>
      </c>
      <c r="E205" s="31" t="n">
        <v>0</v>
      </c>
      <c r="F205" s="40" t="n">
        <v>658448</v>
      </c>
      <c r="G205" s="40" t="n">
        <v>695585</v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1" t="inlineStr">
        <is>
          <t>No</t>
        </is>
      </c>
      <c r="L205" s="31" t="n">
        <v>0</v>
      </c>
      <c r="M2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6" ht="184" customHeight="1">
      <c r="A206" s="31" t="inlineStr">
        <is>
          <t>17 Jun</t>
        </is>
      </c>
      <c r="B206" s="31" t="inlineStr">
        <is>
          <t>39353</t>
        </is>
      </c>
      <c r="C206" s="31" t="n">
        <v>1343</v>
      </c>
      <c r="D206" s="31" t="n">
        <v>1343</v>
      </c>
      <c r="E206" s="31" t="n">
        <v>0</v>
      </c>
      <c r="F206" s="40" t="n">
        <v>1355341</v>
      </c>
      <c r="G206" s="40" t="n">
        <v>1436252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1" t="inlineStr">
        <is>
          <t>No</t>
        </is>
      </c>
      <c r="L206" s="31" t="n">
        <v>0</v>
      </c>
      <c r="M2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7" ht="184" customHeight="1">
      <c r="A207" s="31" t="inlineStr">
        <is>
          <t>17 Jun</t>
        </is>
      </c>
      <c r="B207" s="31" t="inlineStr">
        <is>
          <t>39421</t>
        </is>
      </c>
      <c r="C207" s="31" t="n">
        <v>2058</v>
      </c>
      <c r="D207" s="31" t="n">
        <v>2058</v>
      </c>
      <c r="E207" s="31" t="n">
        <v>1</v>
      </c>
      <c r="F207" s="40" t="n">
        <v>1235221</v>
      </c>
      <c r="G207" s="40" t="n">
        <v>1407404</v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1" t="inlineStr">
        <is>
          <t>No</t>
        </is>
      </c>
      <c r="L207" s="31" t="n">
        <v>1</v>
      </c>
      <c r="M207" s="42" t="inlineStr">
        <is>
          <t>IBH 265,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08" ht="184" customHeight="1">
      <c r="A208" s="31" t="inlineStr">
        <is>
          <t>17 Jun</t>
        </is>
      </c>
      <c r="B208" s="31" t="inlineStr">
        <is>
          <t>39423</t>
        </is>
      </c>
      <c r="C208" s="31" t="n">
        <v>1</v>
      </c>
      <c r="D208" s="31" t="n">
        <v>1</v>
      </c>
      <c r="E208" s="31" t="n">
        <v>0</v>
      </c>
      <c r="F208" s="40" t="n">
        <v>1294968</v>
      </c>
      <c r="G208" s="40" t="n">
        <v>1294968</v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1" t="inlineStr">
        <is>
          <t>No</t>
        </is>
      </c>
      <c r="L208" s="31" t="n">
        <v>0</v>
      </c>
      <c r="M2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9" ht="184" customHeight="1">
      <c r="A209" s="31" t="inlineStr">
        <is>
          <t>17 Jun</t>
        </is>
      </c>
      <c r="B209" s="31" t="inlineStr">
        <is>
          <t>39508</t>
        </is>
      </c>
      <c r="C209" s="31" t="n">
        <v>1035</v>
      </c>
      <c r="D209" s="31" t="n">
        <v>1034</v>
      </c>
      <c r="E209" s="31" t="n">
        <v>0</v>
      </c>
      <c r="F209" s="40" t="n">
        <v>1401367</v>
      </c>
      <c r="G209" s="40" t="n">
        <v>1516107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1" t="inlineStr">
        <is>
          <t>No</t>
        </is>
      </c>
      <c r="L209" s="31" t="n">
        <v>0</v>
      </c>
      <c r="M2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0" ht="184" customHeight="1">
      <c r="A210" s="31" t="inlineStr">
        <is>
          <t>17 Jun</t>
        </is>
      </c>
      <c r="B210" s="31" t="inlineStr">
        <is>
          <t>41045</t>
        </is>
      </c>
      <c r="C210" s="31" t="n">
        <v>263</v>
      </c>
      <c r="D210" s="31" t="n">
        <v>261</v>
      </c>
      <c r="E210" s="31" t="n">
        <v>0</v>
      </c>
      <c r="F210" s="40" t="n">
        <v>1401680</v>
      </c>
      <c r="G210" s="40" t="n">
        <v>1435699</v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1" t="inlineStr">
        <is>
          <t>No</t>
        </is>
      </c>
      <c r="L210" s="31" t="n">
        <v>0</v>
      </c>
      <c r="M2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1" ht="184" customHeight="1">
      <c r="A211" s="31" t="inlineStr">
        <is>
          <t>17 Jun</t>
        </is>
      </c>
      <c r="B211" s="31" t="inlineStr">
        <is>
          <t>52196</t>
        </is>
      </c>
      <c r="C211" s="31" t="n">
        <v>3</v>
      </c>
      <c r="D211" s="31" t="n">
        <v>0</v>
      </c>
      <c r="E211" s="31" t="n">
        <v>0</v>
      </c>
      <c r="F211" s="40" t="inlineStr">
        <is>
          <t>-</t>
        </is>
      </c>
      <c r="G211" s="40" t="inlineStr">
        <is>
          <t>-</t>
        </is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1" t="inlineStr">
        <is>
          <t>No</t>
        </is>
      </c>
      <c r="L211" s="31" t="n">
        <v>0</v>
      </c>
      <c r="M2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12">
      <c r="A212" s="16" t="inlineStr">
        <is>
          <t>18 Jun</t>
        </is>
      </c>
      <c r="B212" s="16" t="inlineStr">
        <is>
          <t>37316</t>
        </is>
      </c>
      <c r="C212" s="16" t="n">
        <v>37629</v>
      </c>
      <c r="D212" s="16" t="n">
        <v>37397</v>
      </c>
      <c r="E212" s="16" t="n">
        <v>34451</v>
      </c>
      <c r="F212" s="38" t="n">
        <v>656312</v>
      </c>
      <c r="G212" s="38" t="n">
        <v>1437116</v>
      </c>
      <c r="H212" s="38" t="n">
        <v>699078</v>
      </c>
      <c r="I212" s="38" t="n">
        <v>1242958</v>
      </c>
      <c r="J212" s="19">
        <f>(I212-H212)/1000</f>
        <v/>
      </c>
      <c r="K212" s="16" t="inlineStr">
        <is>
          <t>Yes</t>
        </is>
      </c>
      <c r="L212" s="16" t="n">
        <v>124</v>
      </c>
      <c r="M212" s="39" t="inlineStr">
        <is>
          <t>- (full trip)</t>
        </is>
      </c>
    </row>
    <row r="213">
      <c r="A213" s="16" t="inlineStr">
        <is>
          <t>18 Jun</t>
        </is>
      </c>
      <c r="B213" s="16" t="inlineStr">
        <is>
          <t>37813</t>
        </is>
      </c>
      <c r="C213" s="16" t="n">
        <v>36732</v>
      </c>
      <c r="D213" s="16" t="n">
        <v>36664</v>
      </c>
      <c r="E213" s="16" t="n">
        <v>34508</v>
      </c>
      <c r="F213" s="38" t="n">
        <v>657165</v>
      </c>
      <c r="G213" s="38" t="n">
        <v>1437104</v>
      </c>
      <c r="H213" s="38" t="n">
        <v>699088</v>
      </c>
      <c r="I213" s="38" t="n">
        <v>1242951</v>
      </c>
      <c r="J213" s="19">
        <f>(I213-H213)/1000</f>
        <v/>
      </c>
      <c r="K213" s="16" t="inlineStr">
        <is>
          <t>Yes</t>
        </is>
      </c>
      <c r="L213" s="16" t="n">
        <v>124</v>
      </c>
      <c r="M213" s="39" t="inlineStr">
        <is>
          <t>- (full trip)</t>
        </is>
      </c>
    </row>
    <row r="214">
      <c r="A214" s="16" t="inlineStr">
        <is>
          <t>18 Jun</t>
        </is>
      </c>
      <c r="B214" s="16" t="inlineStr">
        <is>
          <t>37684</t>
        </is>
      </c>
      <c r="C214" s="16" t="n">
        <v>37492</v>
      </c>
      <c r="D214" s="16" t="n">
        <v>37426</v>
      </c>
      <c r="E214" s="16" t="n">
        <v>34784</v>
      </c>
      <c r="F214" s="38" t="n">
        <v>656324</v>
      </c>
      <c r="G214" s="38" t="n">
        <v>1447483</v>
      </c>
      <c r="H214" s="38" t="n">
        <v>699076</v>
      </c>
      <c r="I214" s="38" t="n">
        <v>1242711</v>
      </c>
      <c r="J214" s="19">
        <f>(I214-H214)/1000</f>
        <v/>
      </c>
      <c r="K214" s="16" t="inlineStr">
        <is>
          <t>Yes</t>
        </is>
      </c>
      <c r="L214" s="16" t="n">
        <v>124</v>
      </c>
      <c r="M214" s="39" t="inlineStr">
        <is>
          <t>- (full trip)</t>
        </is>
      </c>
    </row>
    <row r="215" ht="34" customHeight="1">
      <c r="A215" s="16" t="inlineStr">
        <is>
          <t>18 Jun</t>
        </is>
      </c>
      <c r="B215" s="16" t="inlineStr">
        <is>
          <t>37566</t>
        </is>
      </c>
      <c r="C215" s="16" t="n">
        <v>18984</v>
      </c>
      <c r="D215" s="16" t="n">
        <v>18950</v>
      </c>
      <c r="E215" s="16" t="n">
        <v>18322</v>
      </c>
      <c r="F215" s="38" t="n">
        <v>725064</v>
      </c>
      <c r="G215" s="38" t="n">
        <v>1463082</v>
      </c>
      <c r="H215" s="38" t="n">
        <v>725064</v>
      </c>
      <c r="I215" s="38" t="n">
        <v>1240726</v>
      </c>
      <c r="J215" s="19">
        <f>(I215-H215)/1000</f>
        <v/>
      </c>
      <c r="K215" s="16" t="inlineStr">
        <is>
          <t>Yes</t>
        </is>
      </c>
      <c r="L215" s="16" t="n">
        <v>118</v>
      </c>
      <c r="M215" s="39" t="inlineStr">
        <is>
          <t>IBH-10, Mehidpur Road(MEP), 3.9 KM  from RLK, Rohalkhurd(RLK), LC-3, IBH-1</t>
        </is>
      </c>
    </row>
    <row r="216" ht="34" customHeight="1">
      <c r="A216" s="16" t="inlineStr">
        <is>
          <t>18 Jun</t>
        </is>
      </c>
      <c r="B216" s="16" t="inlineStr">
        <is>
          <t>37515</t>
        </is>
      </c>
      <c r="C216" s="16" t="n">
        <v>20349</v>
      </c>
      <c r="D216" s="16" t="n">
        <v>20316</v>
      </c>
      <c r="E216" s="16" t="n">
        <v>18503</v>
      </c>
      <c r="F216" s="38" t="n">
        <v>656339</v>
      </c>
      <c r="G216" s="38" t="n">
        <v>1211609</v>
      </c>
      <c r="H216" s="38" t="n">
        <v>699079</v>
      </c>
      <c r="I216" s="38" t="n">
        <v>1211609</v>
      </c>
      <c r="J216" s="19">
        <f>(I216-H216)/1000</f>
        <v/>
      </c>
      <c r="K216" s="16" t="inlineStr">
        <is>
          <t>Yes</t>
        </is>
      </c>
      <c r="L216" s="16" t="n">
        <v>118</v>
      </c>
      <c r="M216" s="39" t="inlineStr">
        <is>
          <t>IBH 265, Murhesi Rampur(MSRP), IBH/LC-258, Jajjanpatti(JJA), DhaurmuiJaghina(DUM), IBH-247</t>
        </is>
      </c>
    </row>
    <row r="217" ht="34" customHeight="1">
      <c r="A217" s="16" t="inlineStr">
        <is>
          <t>18 Jun</t>
        </is>
      </c>
      <c r="B217" s="16" t="inlineStr">
        <is>
          <t>30194</t>
        </is>
      </c>
      <c r="C217" s="16" t="n">
        <v>154</v>
      </c>
      <c r="D217" s="16" t="n">
        <v>105</v>
      </c>
      <c r="E217" s="16" t="n">
        <v>100</v>
      </c>
      <c r="F217" s="38" t="n">
        <v>680308</v>
      </c>
      <c r="G217" s="38" t="n">
        <v>1211350</v>
      </c>
      <c r="H217" s="38" t="n">
        <v>701173</v>
      </c>
      <c r="I217" s="38" t="n">
        <v>1211350</v>
      </c>
      <c r="J217" s="19">
        <f>(I217-H217)/1000</f>
        <v/>
      </c>
      <c r="K217" s="16" t="inlineStr">
        <is>
          <t>Yes</t>
        </is>
      </c>
      <c r="L217" s="16" t="n">
        <v>118</v>
      </c>
      <c r="M217" s="39" t="inlineStr">
        <is>
          <t>IBH 265, Murhesi Rampur(MSRP), IBH/LC-258, Jajjanpatti(JJA), DhaurmuiJaghina(DUM), IBH-247</t>
        </is>
      </c>
    </row>
    <row r="218" ht="64" customHeight="1">
      <c r="A218" s="16" t="inlineStr">
        <is>
          <t>18 Jun</t>
        </is>
      </c>
      <c r="B218" s="16" t="inlineStr">
        <is>
          <t>37818</t>
        </is>
      </c>
      <c r="C218" s="16" t="n">
        <v>18906</v>
      </c>
      <c r="D218" s="16" t="n">
        <v>18875</v>
      </c>
      <c r="E218" s="16" t="n">
        <v>17606</v>
      </c>
      <c r="F218" s="38" t="n">
        <v>656383</v>
      </c>
      <c r="G218" s="38" t="n">
        <v>1169672</v>
      </c>
      <c r="H218" s="38" t="n">
        <v>699083</v>
      </c>
      <c r="I218" s="38" t="n">
        <v>1169672</v>
      </c>
      <c r="J218" s="19">
        <f>(I218-H218)/1000</f>
        <v/>
      </c>
      <c r="K218" s="16" t="inlineStr">
        <is>
          <t>Yes</t>
        </is>
      </c>
      <c r="L218" s="16" t="n">
        <v>108</v>
      </c>
      <c r="M21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19" ht="64" customHeight="1">
      <c r="A219" s="16" t="inlineStr">
        <is>
          <t>18 Jun</t>
        </is>
      </c>
      <c r="B219" s="16" t="inlineStr">
        <is>
          <t>39030</t>
        </is>
      </c>
      <c r="C219" s="16" t="n">
        <v>21994</v>
      </c>
      <c r="D219" s="16" t="n">
        <v>21994</v>
      </c>
      <c r="E219" s="16" t="n">
        <v>20657</v>
      </c>
      <c r="F219" s="38" t="n">
        <v>657041</v>
      </c>
      <c r="G219" s="38" t="n">
        <v>1168998</v>
      </c>
      <c r="H219" s="38" t="n">
        <v>699077</v>
      </c>
      <c r="I219" s="38" t="n">
        <v>1168998</v>
      </c>
      <c r="J219" s="19">
        <f>(I219-H219)/1000</f>
        <v/>
      </c>
      <c r="K219" s="16" t="inlineStr">
        <is>
          <t>Yes</t>
        </is>
      </c>
      <c r="L219" s="16" t="n">
        <v>108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20" ht="94" customHeight="1">
      <c r="A220" s="16" t="inlineStr">
        <is>
          <t>18 Jun</t>
        </is>
      </c>
      <c r="B220" s="16" t="inlineStr">
        <is>
          <t>44406</t>
        </is>
      </c>
      <c r="C220" s="16" t="n">
        <v>969</v>
      </c>
      <c r="D220" s="16" t="n">
        <v>969</v>
      </c>
      <c r="E220" s="16" t="n">
        <v>943</v>
      </c>
      <c r="F220" s="38" t="n">
        <v>662270</v>
      </c>
      <c r="G220" s="38" t="n">
        <v>1128382</v>
      </c>
      <c r="H220" s="38" t="n">
        <v>700342</v>
      </c>
      <c r="I220" s="38" t="n">
        <v>1128382</v>
      </c>
      <c r="J220" s="19">
        <f>(I220-H220)/1000</f>
        <v/>
      </c>
      <c r="K220" s="16" t="inlineStr">
        <is>
          <t>Yes</t>
        </is>
      </c>
      <c r="L220" s="16" t="n">
        <v>97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</t>
        </is>
      </c>
    </row>
    <row r="221" ht="169" customHeight="1">
      <c r="A221" s="16" t="inlineStr">
        <is>
          <t>18 Jun</t>
        </is>
      </c>
      <c r="B221" s="16" t="inlineStr">
        <is>
          <t>30791</t>
        </is>
      </c>
      <c r="C221" s="16" t="n">
        <v>11681</v>
      </c>
      <c r="D221" s="16" t="n">
        <v>11667</v>
      </c>
      <c r="E221" s="16" t="n">
        <v>10600</v>
      </c>
      <c r="F221" s="38" t="n">
        <v>657136</v>
      </c>
      <c r="G221" s="38" t="n">
        <v>1028172</v>
      </c>
      <c r="H221" s="38" t="n">
        <v>699078</v>
      </c>
      <c r="I221" s="38" t="n">
        <v>1028172</v>
      </c>
      <c r="J221" s="19">
        <f>(I221-H221)/1000</f>
        <v/>
      </c>
      <c r="K221" s="16" t="inlineStr">
        <is>
          <t>Yes</t>
        </is>
      </c>
      <c r="L221" s="16" t="n">
        <v>77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22" ht="184" customHeight="1">
      <c r="A222" s="16" t="inlineStr">
        <is>
          <t>18 Jun</t>
        </is>
      </c>
      <c r="B222" s="16" t="inlineStr">
        <is>
          <t>30451</t>
        </is>
      </c>
      <c r="C222" s="16" t="n">
        <v>12820</v>
      </c>
      <c r="D222" s="16" t="n">
        <v>12767</v>
      </c>
      <c r="E222" s="16" t="n">
        <v>12550</v>
      </c>
      <c r="F222" s="38" t="n">
        <v>920375</v>
      </c>
      <c r="G222" s="38" t="n">
        <v>1420056</v>
      </c>
      <c r="H222" s="38" t="n">
        <v>920375</v>
      </c>
      <c r="I222" s="38" t="n">
        <v>1242970</v>
      </c>
      <c r="J222" s="19">
        <f>(I222-H222)/1000</f>
        <v/>
      </c>
      <c r="K222" s="16" t="inlineStr">
        <is>
          <t>Yes</t>
        </is>
      </c>
      <c r="L222" s="16" t="n">
        <v>78</v>
      </c>
      <c r="M22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3" ht="184" customHeight="1">
      <c r="A223" s="16" t="inlineStr">
        <is>
          <t>18 Jun</t>
        </is>
      </c>
      <c r="B223" s="16" t="inlineStr">
        <is>
          <t>30351</t>
        </is>
      </c>
      <c r="C223" s="16" t="n">
        <v>12375</v>
      </c>
      <c r="D223" s="16" t="n">
        <v>12317</v>
      </c>
      <c r="E223" s="16" t="n">
        <v>11847</v>
      </c>
      <c r="F223" s="38" t="n">
        <v>921246</v>
      </c>
      <c r="G223" s="38" t="n">
        <v>1436357</v>
      </c>
      <c r="H223" s="38" t="n">
        <v>921246</v>
      </c>
      <c r="I223" s="38" t="n">
        <v>1242984</v>
      </c>
      <c r="J223" s="19">
        <f>(I223-H223)/1000</f>
        <v/>
      </c>
      <c r="K223" s="16" t="inlineStr">
        <is>
          <t>Yes</t>
        </is>
      </c>
      <c r="L223" s="16" t="n">
        <v>78</v>
      </c>
      <c r="M22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4" ht="184" customHeight="1">
      <c r="A224" s="16" t="inlineStr">
        <is>
          <t>18 Jun</t>
        </is>
      </c>
      <c r="B224" s="16" t="inlineStr">
        <is>
          <t>39521</t>
        </is>
      </c>
      <c r="C224" s="16" t="n">
        <v>10295</v>
      </c>
      <c r="D224" s="16" t="n">
        <v>10279</v>
      </c>
      <c r="E224" s="16" t="n">
        <v>9945</v>
      </c>
      <c r="F224" s="38" t="n">
        <v>921487</v>
      </c>
      <c r="G224" s="38" t="n">
        <v>1435824</v>
      </c>
      <c r="H224" s="38" t="n">
        <v>921487</v>
      </c>
      <c r="I224" s="38" t="n">
        <v>1240711</v>
      </c>
      <c r="J224" s="19">
        <f>(I224-H224)/1000</f>
        <v/>
      </c>
      <c r="K224" s="16" t="inlineStr">
        <is>
          <t>Yes</t>
        </is>
      </c>
      <c r="L224" s="16" t="n">
        <v>78</v>
      </c>
      <c r="M22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5" ht="184" customHeight="1">
      <c r="A225" s="16" t="inlineStr">
        <is>
          <t>18 Jun</t>
        </is>
      </c>
      <c r="B225" s="16" t="inlineStr">
        <is>
          <t>30488</t>
        </is>
      </c>
      <c r="C225" s="16" t="n">
        <v>11609</v>
      </c>
      <c r="D225" s="16" t="n">
        <v>11579</v>
      </c>
      <c r="E225" s="16" t="n">
        <v>10807</v>
      </c>
      <c r="F225" s="38" t="n">
        <v>921756</v>
      </c>
      <c r="G225" s="38" t="n">
        <v>1495151</v>
      </c>
      <c r="H225" s="38" t="n">
        <v>921756</v>
      </c>
      <c r="I225" s="38" t="n">
        <v>1240557</v>
      </c>
      <c r="J225" s="19">
        <f>(I225-H225)/1000</f>
        <v/>
      </c>
      <c r="K225" s="16" t="inlineStr">
        <is>
          <t>Yes</t>
        </is>
      </c>
      <c r="L225" s="16" t="n">
        <v>78</v>
      </c>
      <c r="M22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6" ht="199" customHeight="1">
      <c r="A226" s="16" t="inlineStr">
        <is>
          <t>18 Jun</t>
        </is>
      </c>
      <c r="B226" s="16" t="inlineStr">
        <is>
          <t>39035</t>
        </is>
      </c>
      <c r="C226" s="16" t="n">
        <v>9915</v>
      </c>
      <c r="D226" s="16" t="n">
        <v>9909</v>
      </c>
      <c r="E226" s="16" t="n">
        <v>9453</v>
      </c>
      <c r="F226" s="38" t="n">
        <v>942814</v>
      </c>
      <c r="G226" s="38" t="n">
        <v>1436954</v>
      </c>
      <c r="H226" s="38" t="n">
        <v>942814</v>
      </c>
      <c r="I226" s="38" t="n">
        <v>1240710</v>
      </c>
      <c r="J226" s="19">
        <f>(I226-H226)/1000</f>
        <v/>
      </c>
      <c r="K226" s="16" t="inlineStr">
        <is>
          <t>Yes</t>
        </is>
      </c>
      <c r="L226" s="16" t="n">
        <v>71</v>
      </c>
      <c r="M226" s="39" t="inlineStr">
        <is>
          <t>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  ...(+3 more)</t>
        </is>
      </c>
    </row>
    <row r="227" ht="184" customHeight="1">
      <c r="A227" s="16" t="inlineStr">
        <is>
          <t>18 Jun</t>
        </is>
      </c>
      <c r="B227" s="16" t="inlineStr">
        <is>
          <t>37580</t>
        </is>
      </c>
      <c r="C227" s="16" t="n">
        <v>11487</v>
      </c>
      <c r="D227" s="16" t="n">
        <v>11470</v>
      </c>
      <c r="E227" s="16" t="n">
        <v>11470</v>
      </c>
      <c r="F227" s="38" t="n">
        <v>734722</v>
      </c>
      <c r="G227" s="38" t="n">
        <v>1028917</v>
      </c>
      <c r="H227" s="38" t="n">
        <v>734722</v>
      </c>
      <c r="I227" s="38" t="n">
        <v>1028917</v>
      </c>
      <c r="J227" s="19">
        <f>(I227-H227)/1000</f>
        <v/>
      </c>
      <c r="K227" s="16" t="inlineStr">
        <is>
          <t>Yes</t>
        </is>
      </c>
      <c r="L227" s="16" t="n">
        <v>69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28" ht="199" customHeight="1">
      <c r="A228" s="16" t="inlineStr">
        <is>
          <t>18 Jun</t>
        </is>
      </c>
      <c r="B228" s="16" t="inlineStr">
        <is>
          <t>37366</t>
        </is>
      </c>
      <c r="C228" s="16" t="n">
        <v>32826</v>
      </c>
      <c r="D228" s="16" t="n">
        <v>32769</v>
      </c>
      <c r="E228" s="16" t="n">
        <v>32769</v>
      </c>
      <c r="F228" s="38" t="n">
        <v>920681</v>
      </c>
      <c r="G228" s="38" t="n">
        <v>1172539</v>
      </c>
      <c r="H228" s="38" t="n">
        <v>920681</v>
      </c>
      <c r="I228" s="38" t="n">
        <v>1172539</v>
      </c>
      <c r="J228" s="19">
        <f>(I228-H228)/1000</f>
        <v/>
      </c>
      <c r="K228" s="16" t="inlineStr">
        <is>
          <t>Yes</t>
        </is>
      </c>
      <c r="L228" s="16" t="n">
        <v>62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9" ht="199" customHeight="1">
      <c r="A229" s="16" t="inlineStr">
        <is>
          <t>18 Jun</t>
        </is>
      </c>
      <c r="B229" s="16" t="inlineStr">
        <is>
          <t>37367</t>
        </is>
      </c>
      <c r="C229" s="16" t="n">
        <v>31903</v>
      </c>
      <c r="D229" s="16" t="n">
        <v>31897</v>
      </c>
      <c r="E229" s="16" t="n">
        <v>31897</v>
      </c>
      <c r="F229" s="38" t="n">
        <v>920753</v>
      </c>
      <c r="G229" s="38" t="n">
        <v>1172563</v>
      </c>
      <c r="H229" s="38" t="n">
        <v>920753</v>
      </c>
      <c r="I229" s="38" t="n">
        <v>1172563</v>
      </c>
      <c r="J229" s="19">
        <f>(I229-H229)/1000</f>
        <v/>
      </c>
      <c r="K229" s="16" t="inlineStr">
        <is>
          <t>Yes</t>
        </is>
      </c>
      <c r="L229" s="16" t="n">
        <v>62</v>
      </c>
      <c r="M22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0" ht="184" customHeight="1">
      <c r="A230" s="16" t="inlineStr">
        <is>
          <t>18 Jun</t>
        </is>
      </c>
      <c r="B230" s="16" t="inlineStr">
        <is>
          <t>37286</t>
        </is>
      </c>
      <c r="C230" s="16" t="n">
        <v>10054</v>
      </c>
      <c r="D230" s="16" t="n">
        <v>10054</v>
      </c>
      <c r="E230" s="16" t="n">
        <v>7583</v>
      </c>
      <c r="F230" s="38" t="n">
        <v>661455</v>
      </c>
      <c r="G230" s="38" t="n">
        <v>897594</v>
      </c>
      <c r="H230" s="38" t="n">
        <v>699094</v>
      </c>
      <c r="I230" s="38" t="n">
        <v>897594</v>
      </c>
      <c r="J230" s="19">
        <f>(I230-H230)/1000</f>
        <v/>
      </c>
      <c r="K230" s="16" t="inlineStr">
        <is>
          <t>Yes</t>
        </is>
      </c>
      <c r="L230" s="16" t="n">
        <v>42</v>
      </c>
      <c r="M2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231" ht="184" customHeight="1">
      <c r="A231" s="16" t="inlineStr">
        <is>
          <t>18 Jun</t>
        </is>
      </c>
      <c r="B231" s="16" t="inlineStr">
        <is>
          <t>30234</t>
        </is>
      </c>
      <c r="C231" s="16" t="n">
        <v>3312</v>
      </c>
      <c r="D231" s="16" t="n">
        <v>3312</v>
      </c>
      <c r="E231" s="16" t="n">
        <v>2524</v>
      </c>
      <c r="F231" s="38" t="n">
        <v>666285</v>
      </c>
      <c r="G231" s="38" t="n">
        <v>820906</v>
      </c>
      <c r="H231" s="38" t="n">
        <v>699082</v>
      </c>
      <c r="I231" s="38" t="n">
        <v>820906</v>
      </c>
      <c r="J231" s="19">
        <f>(I231-H231)/1000</f>
        <v/>
      </c>
      <c r="K231" s="16" t="inlineStr">
        <is>
          <t>Yes</t>
        </is>
      </c>
      <c r="L231" s="16" t="n">
        <v>27</v>
      </c>
      <c r="M2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...(+47 more)</t>
        </is>
      </c>
    </row>
    <row r="232" ht="184" customHeight="1">
      <c r="A232" s="16" t="inlineStr">
        <is>
          <t>18 Jun</t>
        </is>
      </c>
      <c r="B232" s="16" t="inlineStr">
        <is>
          <t>39108</t>
        </is>
      </c>
      <c r="C232" s="16" t="n">
        <v>12908</v>
      </c>
      <c r="D232" s="16" t="n">
        <v>11495</v>
      </c>
      <c r="E232" s="16" t="n">
        <v>11495</v>
      </c>
      <c r="F232" s="38" t="n">
        <v>920368</v>
      </c>
      <c r="G232" s="38" t="n">
        <v>1029033</v>
      </c>
      <c r="H232" s="38" t="n">
        <v>920368</v>
      </c>
      <c r="I232" s="38" t="n">
        <v>1029033</v>
      </c>
      <c r="J232" s="19">
        <f>(I232-H232)/1000</f>
        <v/>
      </c>
      <c r="K232" s="16" t="inlineStr">
        <is>
          <t>Yes</t>
        </is>
      </c>
      <c r="L232" s="16" t="n">
        <v>31</v>
      </c>
      <c r="M2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33" ht="184" customHeight="1">
      <c r="A233" s="16" t="inlineStr">
        <is>
          <t>18 Jun</t>
        </is>
      </c>
      <c r="B233" s="16" t="inlineStr">
        <is>
          <t>37035</t>
        </is>
      </c>
      <c r="C233" s="16" t="n">
        <v>10014</v>
      </c>
      <c r="D233" s="16" t="n">
        <v>9984</v>
      </c>
      <c r="E233" s="16" t="n">
        <v>9984</v>
      </c>
      <c r="F233" s="38" t="n">
        <v>920413</v>
      </c>
      <c r="G233" s="38" t="n">
        <v>1029025</v>
      </c>
      <c r="H233" s="38" t="n">
        <v>920413</v>
      </c>
      <c r="I233" s="38" t="n">
        <v>1029025</v>
      </c>
      <c r="J233" s="19">
        <f>(I233-H233)/1000</f>
        <v/>
      </c>
      <c r="K233" s="16" t="inlineStr">
        <is>
          <t>Yes</t>
        </is>
      </c>
      <c r="L233" s="16" t="n">
        <v>31</v>
      </c>
      <c r="M2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34" ht="184" customHeight="1">
      <c r="A234" s="16" t="inlineStr">
        <is>
          <t>18 Jun</t>
        </is>
      </c>
      <c r="B234" s="16" t="inlineStr">
        <is>
          <t>30440</t>
        </is>
      </c>
      <c r="C234" s="16" t="n">
        <v>3429</v>
      </c>
      <c r="D234" s="16" t="n">
        <v>3422</v>
      </c>
      <c r="E234" s="16" t="n">
        <v>3422</v>
      </c>
      <c r="F234" s="38" t="n">
        <v>926266</v>
      </c>
      <c r="G234" s="38" t="n">
        <v>1028408</v>
      </c>
      <c r="H234" s="38" t="n">
        <v>926266</v>
      </c>
      <c r="I234" s="38" t="n">
        <v>1028408</v>
      </c>
      <c r="J234" s="19">
        <f>(I234-H234)/1000</f>
        <v/>
      </c>
      <c r="K234" s="16" t="inlineStr">
        <is>
          <t>Yes</t>
        </is>
      </c>
      <c r="L234" s="16" t="n">
        <v>29</v>
      </c>
      <c r="M2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C, Kota Jn.(KOTA) CENTRAL, KOTA SOUTH  ...(+45 more)</t>
        </is>
      </c>
    </row>
    <row r="235" ht="184" customHeight="1">
      <c r="A235" s="16" t="inlineStr">
        <is>
          <t>18 Jun</t>
        </is>
      </c>
      <c r="B235" s="16" t="inlineStr">
        <is>
          <t>39084</t>
        </is>
      </c>
      <c r="C235" s="16" t="n">
        <v>1864</v>
      </c>
      <c r="D235" s="16" t="n">
        <v>1853</v>
      </c>
      <c r="E235" s="16" t="n">
        <v>459</v>
      </c>
      <c r="F235" s="38" t="n">
        <v>1143187</v>
      </c>
      <c r="G235" s="38" t="n">
        <v>1449331</v>
      </c>
      <c r="H235" s="38" t="n">
        <v>1143187</v>
      </c>
      <c r="I235" s="38" t="n">
        <v>1243962</v>
      </c>
      <c r="J235" s="19">
        <f>(I235-H235)/1000</f>
        <v/>
      </c>
      <c r="K235" s="16" t="inlineStr">
        <is>
          <t>Yes</t>
        </is>
      </c>
      <c r="L235" s="16" t="n">
        <v>24</v>
      </c>
      <c r="M235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236" ht="184" customHeight="1">
      <c r="A236" s="16" t="inlineStr">
        <is>
          <t>18 Jun</t>
        </is>
      </c>
      <c r="B236" s="16" t="inlineStr">
        <is>
          <t>37548</t>
        </is>
      </c>
      <c r="C236" s="16" t="n">
        <v>2649</v>
      </c>
      <c r="D236" s="16" t="n">
        <v>2649</v>
      </c>
      <c r="E236" s="16" t="n">
        <v>1876</v>
      </c>
      <c r="F236" s="38" t="n">
        <v>657433</v>
      </c>
      <c r="G236" s="38" t="n">
        <v>767399</v>
      </c>
      <c r="H236" s="38" t="n">
        <v>699083</v>
      </c>
      <c r="I236" s="38" t="n">
        <v>767399</v>
      </c>
      <c r="J236" s="19">
        <f>(I236-H236)/1000</f>
        <v/>
      </c>
      <c r="K236" s="16" t="inlineStr">
        <is>
          <t>Yes</t>
        </is>
      </c>
      <c r="L236" s="16" t="n">
        <v>17</v>
      </c>
      <c r="M2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...(+57 more)</t>
        </is>
      </c>
    </row>
    <row r="237" ht="199" customHeight="1">
      <c r="A237" s="16" t="inlineStr">
        <is>
          <t>18 Jun</t>
        </is>
      </c>
      <c r="B237" s="16" t="inlineStr">
        <is>
          <t>37429</t>
        </is>
      </c>
      <c r="C237" s="16" t="n">
        <v>213</v>
      </c>
      <c r="D237" s="16" t="n">
        <v>213</v>
      </c>
      <c r="E237" s="16" t="n">
        <v>213</v>
      </c>
      <c r="F237" s="38" t="n">
        <v>1160429</v>
      </c>
      <c r="G237" s="38" t="n">
        <v>1211082</v>
      </c>
      <c r="H237" s="38" t="n">
        <v>1160429</v>
      </c>
      <c r="I237" s="38" t="n">
        <v>1211082</v>
      </c>
      <c r="J237" s="19">
        <f>(I237-H237)/1000</f>
        <v/>
      </c>
      <c r="K237" s="16" t="inlineStr">
        <is>
          <t>Yes</t>
        </is>
      </c>
      <c r="L237" s="16" t="n">
        <v>15</v>
      </c>
      <c r="M237" s="39" t="inlineStr">
        <is>
          <t>IBH 265, Murhesi Rampur(MSRP), IBH/LC-258, Jajjanpatti(JJA), DhaurmuiJaghina(DUM), IBH-247,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  ...(+59 more)</t>
        </is>
      </c>
    </row>
    <row r="238" ht="184" customHeight="1">
      <c r="A238" s="16" t="inlineStr">
        <is>
          <t>18 Jun</t>
        </is>
      </c>
      <c r="B238" s="16" t="inlineStr">
        <is>
          <t>30335</t>
        </is>
      </c>
      <c r="C238" s="16" t="n">
        <v>2010</v>
      </c>
      <c r="D238" s="16" t="n">
        <v>2006</v>
      </c>
      <c r="E238" s="16" t="n">
        <v>2006</v>
      </c>
      <c r="F238" s="38" t="n">
        <v>920526</v>
      </c>
      <c r="G238" s="38" t="n">
        <v>963484</v>
      </c>
      <c r="H238" s="38" t="n">
        <v>920526</v>
      </c>
      <c r="I238" s="38" t="n">
        <v>963484</v>
      </c>
      <c r="J238" s="19">
        <f>(I238-H238)/1000</f>
        <v/>
      </c>
      <c r="K238" s="16" t="inlineStr">
        <is>
          <t>Yes</t>
        </is>
      </c>
      <c r="L238" s="16" t="n">
        <v>15</v>
      </c>
      <c r="M2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239" ht="184" customHeight="1">
      <c r="A239" s="16" t="inlineStr">
        <is>
          <t>18 Jun</t>
        </is>
      </c>
      <c r="B239" s="16" t="inlineStr">
        <is>
          <t>37582</t>
        </is>
      </c>
      <c r="C239" s="16" t="n">
        <v>1499</v>
      </c>
      <c r="D239" s="16" t="n">
        <v>1499</v>
      </c>
      <c r="E239" s="16" t="n">
        <v>664</v>
      </c>
      <c r="F239" s="38" t="n">
        <v>657169</v>
      </c>
      <c r="G239" s="38" t="n">
        <v>724827</v>
      </c>
      <c r="H239" s="38" t="n">
        <v>699105</v>
      </c>
      <c r="I239" s="38" t="n">
        <v>724827</v>
      </c>
      <c r="J239" s="19">
        <f>(I239-H239)/1000</f>
        <v/>
      </c>
      <c r="K239" s="16" t="inlineStr">
        <is>
          <t>Yes</t>
        </is>
      </c>
      <c r="L239" s="16" t="n">
        <v>7</v>
      </c>
      <c r="M2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240" ht="184" customHeight="1">
      <c r="A240" s="16" t="inlineStr">
        <is>
          <t>18 Jun</t>
        </is>
      </c>
      <c r="B240" s="16" t="inlineStr">
        <is>
          <t>39328</t>
        </is>
      </c>
      <c r="C240" s="16" t="n">
        <v>1624</v>
      </c>
      <c r="D240" s="16" t="n">
        <v>1379</v>
      </c>
      <c r="E240" s="16" t="n">
        <v>24</v>
      </c>
      <c r="F240" s="38" t="n">
        <v>1231116</v>
      </c>
      <c r="G240" s="38" t="n">
        <v>1459164</v>
      </c>
      <c r="H240" s="38" t="n">
        <v>1231116</v>
      </c>
      <c r="I240" s="38" t="n">
        <v>1243049</v>
      </c>
      <c r="J240" s="19">
        <f>(I240-H240)/1000</f>
        <v/>
      </c>
      <c r="K240" s="16" t="inlineStr">
        <is>
          <t>Yes</t>
        </is>
      </c>
      <c r="L240" s="16" t="n">
        <v>3</v>
      </c>
      <c r="M240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41" ht="184" customHeight="1">
      <c r="A241" s="16" t="inlineStr">
        <is>
          <t>18 Jun</t>
        </is>
      </c>
      <c r="B241" s="16" t="inlineStr">
        <is>
          <t>37054</t>
        </is>
      </c>
      <c r="C241" s="16" t="n">
        <v>1245</v>
      </c>
      <c r="D241" s="16" t="n">
        <v>1245</v>
      </c>
      <c r="E241" s="16" t="n">
        <v>12</v>
      </c>
      <c r="F241" s="38" t="n">
        <v>1210934</v>
      </c>
      <c r="G241" s="38" t="n">
        <v>1426054</v>
      </c>
      <c r="H241" s="38" t="n">
        <v>1210934</v>
      </c>
      <c r="I241" s="38" t="n">
        <v>1220258</v>
      </c>
      <c r="J241" s="19">
        <f>(I241-H241)/1000</f>
        <v/>
      </c>
      <c r="K241" s="16" t="inlineStr">
        <is>
          <t>Yes</t>
        </is>
      </c>
      <c r="L241" s="16" t="n">
        <v>3</v>
      </c>
      <c r="M241" s="39" t="inlineStr">
        <is>
          <t>IBH 265, Murhesi Rampur(MSRP), IBH/LC-258, Jajjanpatti(JJA),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42" ht="184" customHeight="1">
      <c r="A242" s="16" t="inlineStr">
        <is>
          <t>18 Jun</t>
        </is>
      </c>
      <c r="B242" s="16" t="inlineStr">
        <is>
          <t>30716</t>
        </is>
      </c>
      <c r="C242" s="16" t="n">
        <v>1811</v>
      </c>
      <c r="D242" s="16" t="n">
        <v>1806</v>
      </c>
      <c r="E242" s="16" t="n">
        <v>30</v>
      </c>
      <c r="F242" s="38" t="n">
        <v>1240119</v>
      </c>
      <c r="G242" s="38" t="n">
        <v>1426322</v>
      </c>
      <c r="H242" s="38" t="n">
        <v>1240119</v>
      </c>
      <c r="I242" s="38" t="n">
        <v>1243796</v>
      </c>
      <c r="J242" s="19">
        <f>(I242-H242)/1000</f>
        <v/>
      </c>
      <c r="K242" s="16" t="inlineStr">
        <is>
          <t>Yes</t>
        </is>
      </c>
      <c r="L242" s="16" t="n">
        <v>1</v>
      </c>
      <c r="M242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43" ht="184" customHeight="1">
      <c r="A243" s="31" t="inlineStr">
        <is>
          <t>18 Jun</t>
        </is>
      </c>
      <c r="B243" s="31" t="inlineStr">
        <is>
          <t>30006</t>
        </is>
      </c>
      <c r="C243" s="31" t="n">
        <v>316</v>
      </c>
      <c r="D243" s="31" t="n">
        <v>316</v>
      </c>
      <c r="E243" s="31" t="n">
        <v>0</v>
      </c>
      <c r="F243" s="40" t="n">
        <v>1401758</v>
      </c>
      <c r="G243" s="40" t="n">
        <v>1436992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18 Jun</t>
        </is>
      </c>
      <c r="B244" s="31" t="inlineStr">
        <is>
          <t>30147</t>
        </is>
      </c>
      <c r="C244" s="31" t="n">
        <v>1292</v>
      </c>
      <c r="D244" s="31" t="n">
        <v>1291</v>
      </c>
      <c r="E244" s="31" t="n">
        <v>0</v>
      </c>
      <c r="F244" s="40" t="n">
        <v>1401430</v>
      </c>
      <c r="G244" s="40" t="n">
        <v>1449767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18 Jun</t>
        </is>
      </c>
      <c r="B245" s="31" t="inlineStr">
        <is>
          <t>30240</t>
        </is>
      </c>
      <c r="C245" s="31" t="n">
        <v>522</v>
      </c>
      <c r="D245" s="31" t="n">
        <v>522</v>
      </c>
      <c r="E245" s="31" t="n">
        <v>0</v>
      </c>
      <c r="F245" s="40" t="n">
        <v>1401774</v>
      </c>
      <c r="G245" s="40" t="n">
        <v>1430908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18 Jun</t>
        </is>
      </c>
      <c r="B246" s="31" t="inlineStr">
        <is>
          <t>30355</t>
        </is>
      </c>
      <c r="C246" s="31" t="n">
        <v>713</v>
      </c>
      <c r="D246" s="31" t="n">
        <v>711</v>
      </c>
      <c r="E246" s="31" t="n">
        <v>0</v>
      </c>
      <c r="F246" s="40" t="n">
        <v>1401345</v>
      </c>
      <c r="G246" s="40" t="n">
        <v>1436963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18 Jun</t>
        </is>
      </c>
      <c r="B247" s="31" t="inlineStr">
        <is>
          <t>30366</t>
        </is>
      </c>
      <c r="C247" s="31" t="n">
        <v>1002</v>
      </c>
      <c r="D247" s="31" t="n">
        <v>1002</v>
      </c>
      <c r="E247" s="31" t="n">
        <v>0</v>
      </c>
      <c r="F247" s="40" t="n">
        <v>1248312</v>
      </c>
      <c r="G247" s="40" t="n">
        <v>1338503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18 Jun</t>
        </is>
      </c>
      <c r="B248" s="31" t="inlineStr">
        <is>
          <t>30426</t>
        </is>
      </c>
      <c r="C248" s="31" t="n">
        <v>1731</v>
      </c>
      <c r="D248" s="31" t="n">
        <v>1731</v>
      </c>
      <c r="E248" s="31" t="n">
        <v>0</v>
      </c>
      <c r="F248" s="40" t="n">
        <v>1401310</v>
      </c>
      <c r="G248" s="40" t="n">
        <v>1473482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18 Jun</t>
        </is>
      </c>
      <c r="B249" s="31" t="inlineStr">
        <is>
          <t>30537</t>
        </is>
      </c>
      <c r="C249" s="31" t="n">
        <v>344</v>
      </c>
      <c r="D249" s="31" t="n">
        <v>344</v>
      </c>
      <c r="E249" s="31" t="n">
        <v>0</v>
      </c>
      <c r="F249" s="40" t="n">
        <v>1401351</v>
      </c>
      <c r="G249" s="40" t="n">
        <v>1436370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18 Jun</t>
        </is>
      </c>
      <c r="B250" s="31" t="inlineStr">
        <is>
          <t>30708</t>
        </is>
      </c>
      <c r="C250" s="31" t="n">
        <v>910</v>
      </c>
      <c r="D250" s="31" t="n">
        <v>898</v>
      </c>
      <c r="E250" s="31" t="n">
        <v>0</v>
      </c>
      <c r="F250" s="40" t="n">
        <v>1401358</v>
      </c>
      <c r="G250" s="40" t="n">
        <v>1437112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18 Jun</t>
        </is>
      </c>
      <c r="B251" s="31" t="inlineStr">
        <is>
          <t>30753</t>
        </is>
      </c>
      <c r="C251" s="31" t="n">
        <v>525</v>
      </c>
      <c r="D251" s="31" t="n">
        <v>525</v>
      </c>
      <c r="E251" s="31" t="n">
        <v>0</v>
      </c>
      <c r="F251" s="40" t="n">
        <v>657566</v>
      </c>
      <c r="G251" s="40" t="n">
        <v>694954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18 Jun</t>
        </is>
      </c>
      <c r="B252" s="31" t="inlineStr">
        <is>
          <t>30810</t>
        </is>
      </c>
      <c r="C252" s="31" t="n">
        <v>2652</v>
      </c>
      <c r="D252" s="31" t="n">
        <v>2652</v>
      </c>
      <c r="E252" s="31" t="n">
        <v>0</v>
      </c>
      <c r="F252" s="40" t="n">
        <v>1336258</v>
      </c>
      <c r="G252" s="40" t="n">
        <v>1448985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18 Jun</t>
        </is>
      </c>
      <c r="B253" s="31" t="inlineStr">
        <is>
          <t>37100</t>
        </is>
      </c>
      <c r="C253" s="31" t="n">
        <v>1187</v>
      </c>
      <c r="D253" s="31" t="n">
        <v>1149</v>
      </c>
      <c r="E253" s="31" t="n">
        <v>0</v>
      </c>
      <c r="F253" s="40" t="n">
        <v>1260618</v>
      </c>
      <c r="G253" s="40" t="n">
        <v>1436623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18 Jun</t>
        </is>
      </c>
      <c r="B254" s="31" t="inlineStr">
        <is>
          <t>37184</t>
        </is>
      </c>
      <c r="C254" s="31" t="n">
        <v>445</v>
      </c>
      <c r="D254" s="31" t="n">
        <v>443</v>
      </c>
      <c r="E254" s="31" t="n">
        <v>0</v>
      </c>
      <c r="F254" s="40" t="n">
        <v>1401680</v>
      </c>
      <c r="G254" s="40" t="n">
        <v>1437031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18 Jun</t>
        </is>
      </c>
      <c r="B255" s="31" t="inlineStr">
        <is>
          <t>37407</t>
        </is>
      </c>
      <c r="C255" s="31" t="n">
        <v>203</v>
      </c>
      <c r="D255" s="31" t="n">
        <v>203</v>
      </c>
      <c r="E255" s="31" t="n">
        <v>0</v>
      </c>
      <c r="F255" s="40" t="n">
        <v>1401737</v>
      </c>
      <c r="G255" s="40" t="n">
        <v>1426183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18 Jun</t>
        </is>
      </c>
      <c r="B256" s="31" t="inlineStr">
        <is>
          <t>37415</t>
        </is>
      </c>
      <c r="C256" s="31" t="n">
        <v>1119</v>
      </c>
      <c r="D256" s="31" t="n">
        <v>1115</v>
      </c>
      <c r="E256" s="31" t="n">
        <v>0</v>
      </c>
      <c r="F256" s="40" t="n">
        <v>1259367</v>
      </c>
      <c r="G256" s="40" t="n">
        <v>1331490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18 Jun</t>
        </is>
      </c>
      <c r="B257" s="31" t="inlineStr">
        <is>
          <t>37495</t>
        </is>
      </c>
      <c r="C257" s="31" t="n">
        <v>4001</v>
      </c>
      <c r="D257" s="31" t="n">
        <v>4001</v>
      </c>
      <c r="E257" s="31" t="n">
        <v>0</v>
      </c>
      <c r="F257" s="40" t="n">
        <v>1274395</v>
      </c>
      <c r="G257" s="40" t="n">
        <v>1440307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18 Jun</t>
        </is>
      </c>
      <c r="B258" s="31" t="inlineStr">
        <is>
          <t>37545</t>
        </is>
      </c>
      <c r="C258" s="31" t="n">
        <v>17</v>
      </c>
      <c r="D258" s="31" t="n">
        <v>0</v>
      </c>
      <c r="E258" s="31" t="n">
        <v>0</v>
      </c>
      <c r="F258" s="40" t="inlineStr">
        <is>
          <t>-</t>
        </is>
      </c>
      <c r="G258" s="40" t="inlineStr">
        <is>
          <t>-</t>
        </is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18 Jun</t>
        </is>
      </c>
      <c r="B259" s="31" t="inlineStr">
        <is>
          <t>37837</t>
        </is>
      </c>
      <c r="C259" s="31" t="n">
        <v>1526</v>
      </c>
      <c r="D259" s="31" t="n">
        <v>1526</v>
      </c>
      <c r="E259" s="31" t="n">
        <v>0</v>
      </c>
      <c r="F259" s="40" t="n">
        <v>1401323</v>
      </c>
      <c r="G259" s="40" t="n">
        <v>1448961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18 Jun</t>
        </is>
      </c>
      <c r="B260" s="31" t="inlineStr">
        <is>
          <t>37908</t>
        </is>
      </c>
      <c r="C260" s="31" t="n">
        <v>2</v>
      </c>
      <c r="D260" s="31" t="n">
        <v>2</v>
      </c>
      <c r="E260" s="31" t="n">
        <v>0</v>
      </c>
      <c r="F260" s="40" t="n">
        <v>1419209</v>
      </c>
      <c r="G260" s="40" t="n">
        <v>1419345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18 Jun</t>
        </is>
      </c>
      <c r="B261" s="31" t="inlineStr">
        <is>
          <t>39034</t>
        </is>
      </c>
      <c r="C261" s="31" t="n">
        <v>268</v>
      </c>
      <c r="D261" s="31" t="n">
        <v>267</v>
      </c>
      <c r="E261" s="31" t="n">
        <v>0</v>
      </c>
      <c r="F261" s="40" t="n">
        <v>1401692</v>
      </c>
      <c r="G261" s="40" t="n">
        <v>1436975</v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 ht="184" customHeight="1">
      <c r="A262" s="31" t="inlineStr">
        <is>
          <t>18 Jun</t>
        </is>
      </c>
      <c r="B262" s="31" t="inlineStr">
        <is>
          <t>39154</t>
        </is>
      </c>
      <c r="C262" s="31" t="n">
        <v>412</v>
      </c>
      <c r="D262" s="31" t="n">
        <v>412</v>
      </c>
      <c r="E262" s="31" t="n">
        <v>0</v>
      </c>
      <c r="F262" s="40" t="n">
        <v>1401428</v>
      </c>
      <c r="G262" s="40" t="n">
        <v>1436327</v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1" t="inlineStr">
        <is>
          <t>No</t>
        </is>
      </c>
      <c r="L262" s="31" t="n">
        <v>0</v>
      </c>
      <c r="M2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3" ht="184" customHeight="1">
      <c r="A263" s="31" t="inlineStr">
        <is>
          <t>18 Jun</t>
        </is>
      </c>
      <c r="B263" s="31" t="inlineStr">
        <is>
          <t>39501</t>
        </is>
      </c>
      <c r="C263" s="31" t="n">
        <v>562</v>
      </c>
      <c r="D263" s="31" t="n">
        <v>562</v>
      </c>
      <c r="E263" s="31" t="n">
        <v>0</v>
      </c>
      <c r="F263" s="40" t="n">
        <v>1401722</v>
      </c>
      <c r="G263" s="40" t="n">
        <v>1436485</v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1" t="inlineStr">
        <is>
          <t>No</t>
        </is>
      </c>
      <c r="L263" s="31" t="n">
        <v>0</v>
      </c>
      <c r="M2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4" ht="184" customHeight="1">
      <c r="A264" s="31" t="inlineStr">
        <is>
          <t>18 Jun</t>
        </is>
      </c>
      <c r="B264" s="31" t="inlineStr">
        <is>
          <t>45034</t>
        </is>
      </c>
      <c r="C264" s="31" t="n">
        <v>3047</v>
      </c>
      <c r="D264" s="31" t="n">
        <v>3046</v>
      </c>
      <c r="E264" s="31" t="n">
        <v>0</v>
      </c>
      <c r="F264" s="40" t="n">
        <v>1250298</v>
      </c>
      <c r="G264" s="40" t="n">
        <v>1436847</v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1" t="inlineStr">
        <is>
          <t>No</t>
        </is>
      </c>
      <c r="L264" s="31" t="n">
        <v>0</v>
      </c>
      <c r="M2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5" ht="184" customHeight="1">
      <c r="A265" s="31" t="inlineStr">
        <is>
          <t>18 Jun</t>
        </is>
      </c>
      <c r="B265" s="31" t="inlineStr">
        <is>
          <t>52196</t>
        </is>
      </c>
      <c r="C265" s="31" t="n">
        <v>6540</v>
      </c>
      <c r="D265" s="31" t="n">
        <v>6424</v>
      </c>
      <c r="E265" s="31" t="n">
        <v>0</v>
      </c>
      <c r="F265" s="40" t="n">
        <v>151054</v>
      </c>
      <c r="G265" s="40" t="n">
        <v>161261</v>
      </c>
      <c r="H265" s="40" t="inlineStr">
        <is>
          <t>-</t>
        </is>
      </c>
      <c r="I265" s="40" t="inlineStr">
        <is>
          <t>-</t>
        </is>
      </c>
      <c r="J265" s="41" t="n">
        <v>0</v>
      </c>
      <c r="K265" s="31" t="inlineStr">
        <is>
          <t>No</t>
        </is>
      </c>
      <c r="L265" s="31" t="n">
        <v>0</v>
      </c>
      <c r="M2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6">
      <c r="A266" s="16" t="inlineStr">
        <is>
          <t>19 Jun</t>
        </is>
      </c>
      <c r="B266" s="16" t="inlineStr">
        <is>
          <t>39358</t>
        </is>
      </c>
      <c r="C266" s="16" t="n">
        <v>23381</v>
      </c>
      <c r="D266" s="16" t="n">
        <v>23261</v>
      </c>
      <c r="E266" s="16" t="n">
        <v>21646</v>
      </c>
      <c r="F266" s="38" t="n">
        <v>695671</v>
      </c>
      <c r="G266" s="38" t="n">
        <v>1455566</v>
      </c>
      <c r="H266" s="38" t="n">
        <v>699076</v>
      </c>
      <c r="I266" s="38" t="n">
        <v>1242984</v>
      </c>
      <c r="J266" s="19">
        <f>(I266-H266)/1000</f>
        <v/>
      </c>
      <c r="K266" s="16" t="inlineStr">
        <is>
          <t>Yes</t>
        </is>
      </c>
      <c r="L266" s="16" t="n">
        <v>124</v>
      </c>
      <c r="M266" s="39" t="inlineStr">
        <is>
          <t>- (full trip)</t>
        </is>
      </c>
    </row>
    <row r="267">
      <c r="A267" s="16" t="inlineStr">
        <is>
          <t>19 Jun</t>
        </is>
      </c>
      <c r="B267" s="16" t="inlineStr">
        <is>
          <t>30753</t>
        </is>
      </c>
      <c r="C267" s="16" t="n">
        <v>27932</v>
      </c>
      <c r="D267" s="16" t="n">
        <v>27904</v>
      </c>
      <c r="E267" s="16" t="n">
        <v>25617</v>
      </c>
      <c r="F267" s="38" t="n">
        <v>659492</v>
      </c>
      <c r="G267" s="38" t="n">
        <v>1436236</v>
      </c>
      <c r="H267" s="38" t="n">
        <v>699076</v>
      </c>
      <c r="I267" s="38" t="n">
        <v>1242955</v>
      </c>
      <c r="J267" s="19">
        <f>(I267-H267)/1000</f>
        <v/>
      </c>
      <c r="K267" s="16" t="inlineStr">
        <is>
          <t>Yes</t>
        </is>
      </c>
      <c r="L267" s="16" t="n">
        <v>124</v>
      </c>
      <c r="M267" s="39" t="inlineStr">
        <is>
          <t>- (full trip)</t>
        </is>
      </c>
    </row>
    <row r="268">
      <c r="A268" s="16" t="inlineStr">
        <is>
          <t>19 Jun</t>
        </is>
      </c>
      <c r="B268" s="16" t="inlineStr">
        <is>
          <t>37582</t>
        </is>
      </c>
      <c r="C268" s="16" t="n">
        <v>36206</v>
      </c>
      <c r="D268" s="16" t="n">
        <v>36147</v>
      </c>
      <c r="E268" s="16" t="n">
        <v>34034</v>
      </c>
      <c r="F268" s="38" t="n">
        <v>657097</v>
      </c>
      <c r="G268" s="38" t="n">
        <v>1436797</v>
      </c>
      <c r="H268" s="38" t="n">
        <v>699090</v>
      </c>
      <c r="I268" s="38" t="n">
        <v>1242947</v>
      </c>
      <c r="J268" s="19">
        <f>(I268-H268)/1000</f>
        <v/>
      </c>
      <c r="K268" s="16" t="inlineStr">
        <is>
          <t>Yes</t>
        </is>
      </c>
      <c r="L268" s="16" t="n">
        <v>124</v>
      </c>
      <c r="M268" s="39" t="inlineStr">
        <is>
          <t>- (full trip)</t>
        </is>
      </c>
    </row>
    <row r="269">
      <c r="A269" s="16" t="inlineStr">
        <is>
          <t>19 Jun</t>
        </is>
      </c>
      <c r="B269" s="16" t="inlineStr">
        <is>
          <t>39331</t>
        </is>
      </c>
      <c r="C269" s="16" t="n">
        <v>23813</v>
      </c>
      <c r="D269" s="16" t="n">
        <v>23798</v>
      </c>
      <c r="E269" s="16" t="n">
        <v>21353</v>
      </c>
      <c r="F269" s="38" t="n">
        <v>658501</v>
      </c>
      <c r="G269" s="38" t="n">
        <v>1474547</v>
      </c>
      <c r="H269" s="38" t="n">
        <v>699076</v>
      </c>
      <c r="I269" s="38" t="n">
        <v>1242939</v>
      </c>
      <c r="J269" s="19">
        <f>(I269-H269)/1000</f>
        <v/>
      </c>
      <c r="K269" s="16" t="inlineStr">
        <is>
          <t>Yes</t>
        </is>
      </c>
      <c r="L269" s="16" t="n">
        <v>124</v>
      </c>
      <c r="M269" s="39" t="inlineStr">
        <is>
          <t>- (full trip)</t>
        </is>
      </c>
    </row>
    <row r="270">
      <c r="A270" s="16" t="inlineStr">
        <is>
          <t>19 Jun</t>
        </is>
      </c>
      <c r="B270" s="16" t="inlineStr">
        <is>
          <t>37548</t>
        </is>
      </c>
      <c r="C270" s="16" t="n">
        <v>36114</v>
      </c>
      <c r="D270" s="16" t="n">
        <v>36056</v>
      </c>
      <c r="E270" s="16" t="n">
        <v>33533</v>
      </c>
      <c r="F270" s="38" t="n">
        <v>656323</v>
      </c>
      <c r="G270" s="38" t="n">
        <v>1440324</v>
      </c>
      <c r="H270" s="38" t="n">
        <v>699074</v>
      </c>
      <c r="I270" s="38" t="n">
        <v>1242926</v>
      </c>
      <c r="J270" s="19">
        <f>(I270-H270)/1000</f>
        <v/>
      </c>
      <c r="K270" s="16" t="inlineStr">
        <is>
          <t>Yes</t>
        </is>
      </c>
      <c r="L270" s="16" t="n">
        <v>124</v>
      </c>
      <c r="M270" s="39" t="inlineStr">
        <is>
          <t>- (full trip)</t>
        </is>
      </c>
    </row>
    <row r="271">
      <c r="A271" s="16" t="inlineStr">
        <is>
          <t>19 Jun</t>
        </is>
      </c>
      <c r="B271" s="16" t="inlineStr">
        <is>
          <t>37812</t>
        </is>
      </c>
      <c r="C271" s="16" t="n">
        <v>20371</v>
      </c>
      <c r="D271" s="16" t="n">
        <v>20310</v>
      </c>
      <c r="E271" s="16" t="n">
        <v>18575</v>
      </c>
      <c r="F271" s="38" t="n">
        <v>656312</v>
      </c>
      <c r="G271" s="38" t="n">
        <v>1436922</v>
      </c>
      <c r="H271" s="38" t="n">
        <v>699091</v>
      </c>
      <c r="I271" s="38" t="n">
        <v>1242938</v>
      </c>
      <c r="J271" s="19">
        <f>(I271-H271)/1000</f>
        <v/>
      </c>
      <c r="K271" s="16" t="inlineStr">
        <is>
          <t>Yes</t>
        </is>
      </c>
      <c r="L271" s="16" t="n">
        <v>124</v>
      </c>
      <c r="M271" s="39" t="inlineStr">
        <is>
          <t>- (full trip)</t>
        </is>
      </c>
    </row>
    <row r="272">
      <c r="A272" s="16" t="inlineStr">
        <is>
          <t>19 Jun</t>
        </is>
      </c>
      <c r="B272" s="16" t="inlineStr">
        <is>
          <t>37566</t>
        </is>
      </c>
      <c r="C272" s="16" t="n">
        <v>22873</v>
      </c>
      <c r="D272" s="16" t="n">
        <v>22832</v>
      </c>
      <c r="E272" s="16" t="n">
        <v>20293</v>
      </c>
      <c r="F272" s="38" t="n">
        <v>657164</v>
      </c>
      <c r="G272" s="38" t="n">
        <v>1474452</v>
      </c>
      <c r="H272" s="38" t="n">
        <v>699101</v>
      </c>
      <c r="I272" s="38" t="n">
        <v>1242937</v>
      </c>
      <c r="J272" s="19">
        <f>(I272-H272)/1000</f>
        <v/>
      </c>
      <c r="K272" s="16" t="inlineStr">
        <is>
          <t>Yes</t>
        </is>
      </c>
      <c r="L272" s="16" t="n">
        <v>124</v>
      </c>
      <c r="M272" s="39" t="inlineStr">
        <is>
          <t>- (full trip)</t>
        </is>
      </c>
    </row>
    <row r="273">
      <c r="A273" s="16" t="inlineStr">
        <is>
          <t>19 Jun</t>
        </is>
      </c>
      <c r="B273" s="16" t="inlineStr">
        <is>
          <t>37781</t>
        </is>
      </c>
      <c r="C273" s="16" t="n">
        <v>19402</v>
      </c>
      <c r="D273" s="16" t="n">
        <v>19297</v>
      </c>
      <c r="E273" s="16" t="n">
        <v>17206</v>
      </c>
      <c r="F273" s="38" t="n">
        <v>677860</v>
      </c>
      <c r="G273" s="38" t="n">
        <v>1474623</v>
      </c>
      <c r="H273" s="38" t="n">
        <v>699117</v>
      </c>
      <c r="I273" s="38" t="n">
        <v>1242719</v>
      </c>
      <c r="J273" s="19">
        <f>(I273-H273)/1000</f>
        <v/>
      </c>
      <c r="K273" s="16" t="inlineStr">
        <is>
          <t>Yes</t>
        </is>
      </c>
      <c r="L273" s="16" t="n">
        <v>124</v>
      </c>
      <c r="M273" s="39" t="inlineStr">
        <is>
          <t>- (full trip)</t>
        </is>
      </c>
    </row>
    <row r="274" ht="64" customHeight="1">
      <c r="A274" s="16" t="inlineStr">
        <is>
          <t>19 Jun</t>
        </is>
      </c>
      <c r="B274" s="16" t="inlineStr">
        <is>
          <t>37275</t>
        </is>
      </c>
      <c r="C274" s="16" t="n">
        <v>19258</v>
      </c>
      <c r="D274" s="16" t="n">
        <v>19253</v>
      </c>
      <c r="E274" s="16" t="n">
        <v>17972</v>
      </c>
      <c r="F274" s="38" t="n">
        <v>657115</v>
      </c>
      <c r="G274" s="38" t="n">
        <v>1169658</v>
      </c>
      <c r="H274" s="38" t="n">
        <v>699074</v>
      </c>
      <c r="I274" s="38" t="n">
        <v>1169658</v>
      </c>
      <c r="J274" s="19">
        <f>(I274-H274)/1000</f>
        <v/>
      </c>
      <c r="K274" s="16" t="inlineStr">
        <is>
          <t>Yes</t>
        </is>
      </c>
      <c r="L274" s="16" t="n">
        <v>108</v>
      </c>
      <c r="M27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5" ht="64" customHeight="1">
      <c r="A275" s="16" t="inlineStr">
        <is>
          <t>19 Jun</t>
        </is>
      </c>
      <c r="B275" s="16" t="inlineStr">
        <is>
          <t>37163</t>
        </is>
      </c>
      <c r="C275" s="16" t="n">
        <v>18715</v>
      </c>
      <c r="D275" s="16" t="n">
        <v>18699</v>
      </c>
      <c r="E275" s="16" t="n">
        <v>17832</v>
      </c>
      <c r="F275" s="38" t="n">
        <v>656431</v>
      </c>
      <c r="G275" s="38" t="n">
        <v>1169004</v>
      </c>
      <c r="H275" s="38" t="n">
        <v>699085</v>
      </c>
      <c r="I275" s="38" t="n">
        <v>1169004</v>
      </c>
      <c r="J275" s="19">
        <f>(I275-H275)/1000</f>
        <v/>
      </c>
      <c r="K275" s="16" t="inlineStr">
        <is>
          <t>Yes</t>
        </is>
      </c>
      <c r="L275" s="16" t="n">
        <v>108</v>
      </c>
      <c r="M27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6" ht="169" customHeight="1">
      <c r="A276" s="16" t="inlineStr">
        <is>
          <t>19 Jun</t>
        </is>
      </c>
      <c r="B276" s="16" t="inlineStr">
        <is>
          <t>30415</t>
        </is>
      </c>
      <c r="C276" s="16" t="n">
        <v>13209</v>
      </c>
      <c r="D276" s="16" t="n">
        <v>13146</v>
      </c>
      <c r="E276" s="16" t="n">
        <v>12622</v>
      </c>
      <c r="F276" s="38" t="n">
        <v>910385</v>
      </c>
      <c r="G276" s="38" t="n">
        <v>1428835</v>
      </c>
      <c r="H276" s="38" t="n">
        <v>910385</v>
      </c>
      <c r="I276" s="38" t="n">
        <v>1242971</v>
      </c>
      <c r="J276" s="19">
        <f>(I276-H276)/1000</f>
        <v/>
      </c>
      <c r="K276" s="16" t="inlineStr">
        <is>
          <t>Yes</t>
        </is>
      </c>
      <c r="L276" s="16" t="n">
        <v>80</v>
      </c>
      <c r="M276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7" ht="169" customHeight="1">
      <c r="A277" s="16" t="inlineStr">
        <is>
          <t>19 Jun</t>
        </is>
      </c>
      <c r="B277" s="16" t="inlineStr">
        <is>
          <t>39145</t>
        </is>
      </c>
      <c r="C277" s="16" t="n">
        <v>12661</v>
      </c>
      <c r="D277" s="16" t="n">
        <v>12227</v>
      </c>
      <c r="E277" s="16" t="n">
        <v>12032</v>
      </c>
      <c r="F277" s="38" t="n">
        <v>695294</v>
      </c>
      <c r="G277" s="38" t="n">
        <v>1029306</v>
      </c>
      <c r="H277" s="38" t="n">
        <v>699084</v>
      </c>
      <c r="I277" s="38" t="n">
        <v>1029306</v>
      </c>
      <c r="J277" s="19">
        <f>(I277-H277)/1000</f>
        <v/>
      </c>
      <c r="K277" s="16" t="inlineStr">
        <is>
          <t>Yes</t>
        </is>
      </c>
      <c r="L277" s="16" t="n">
        <v>77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8" ht="169" customHeight="1">
      <c r="A278" s="16" t="inlineStr">
        <is>
          <t>19 Jun</t>
        </is>
      </c>
      <c r="B278" s="16" t="inlineStr">
        <is>
          <t>37780</t>
        </is>
      </c>
      <c r="C278" s="16" t="n">
        <v>29594</v>
      </c>
      <c r="D278" s="16" t="n">
        <v>29318</v>
      </c>
      <c r="E278" s="16" t="n">
        <v>27950</v>
      </c>
      <c r="F278" s="38" t="n">
        <v>656323</v>
      </c>
      <c r="G278" s="38" t="n">
        <v>1029066</v>
      </c>
      <c r="H278" s="38" t="n">
        <v>699080</v>
      </c>
      <c r="I278" s="38" t="n">
        <v>1029066</v>
      </c>
      <c r="J278" s="19">
        <f>(I278-H278)/1000</f>
        <v/>
      </c>
      <c r="K278" s="16" t="inlineStr">
        <is>
          <t>Yes</t>
        </is>
      </c>
      <c r="L278" s="16" t="n">
        <v>77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9" ht="169" customHeight="1">
      <c r="A279" s="16" t="inlineStr">
        <is>
          <t>19 Jun</t>
        </is>
      </c>
      <c r="B279" s="16" t="inlineStr">
        <is>
          <t>37853</t>
        </is>
      </c>
      <c r="C279" s="16" t="n">
        <v>12256</v>
      </c>
      <c r="D279" s="16" t="n">
        <v>12256</v>
      </c>
      <c r="E279" s="16" t="n">
        <v>11047</v>
      </c>
      <c r="F279" s="38" t="n">
        <v>657127</v>
      </c>
      <c r="G279" s="38" t="n">
        <v>1028890</v>
      </c>
      <c r="H279" s="38" t="n">
        <v>699071</v>
      </c>
      <c r="I279" s="38" t="n">
        <v>1028890</v>
      </c>
      <c r="J279" s="19">
        <f>(I279-H279)/1000</f>
        <v/>
      </c>
      <c r="K279" s="16" t="inlineStr">
        <is>
          <t>Yes</t>
        </is>
      </c>
      <c r="L279" s="16" t="n">
        <v>77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80" ht="184" customHeight="1">
      <c r="A280" s="16" t="inlineStr">
        <is>
          <t>19 Jun</t>
        </is>
      </c>
      <c r="B280" s="16" t="inlineStr">
        <is>
          <t>30346</t>
        </is>
      </c>
      <c r="C280" s="16" t="n">
        <v>12848</v>
      </c>
      <c r="D280" s="16" t="n">
        <v>12819</v>
      </c>
      <c r="E280" s="16" t="n">
        <v>12111</v>
      </c>
      <c r="F280" s="38" t="n">
        <v>920374</v>
      </c>
      <c r="G280" s="38" t="n">
        <v>1435794</v>
      </c>
      <c r="H280" s="38" t="n">
        <v>920374</v>
      </c>
      <c r="I280" s="38" t="n">
        <v>1242971</v>
      </c>
      <c r="J280" s="19">
        <f>(I280-H280)/1000</f>
        <v/>
      </c>
      <c r="K280" s="16" t="inlineStr">
        <is>
          <t>Yes</t>
        </is>
      </c>
      <c r="L280" s="16" t="n">
        <v>78</v>
      </c>
      <c r="M28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1" ht="184" customHeight="1">
      <c r="A281" s="16" t="inlineStr">
        <is>
          <t>19 Jun</t>
        </is>
      </c>
      <c r="B281" s="16" t="inlineStr">
        <is>
          <t>37384</t>
        </is>
      </c>
      <c r="C281" s="16" t="n">
        <v>25254</v>
      </c>
      <c r="D281" s="16" t="n">
        <v>25190</v>
      </c>
      <c r="E281" s="16" t="n">
        <v>25190</v>
      </c>
      <c r="F281" s="38" t="n">
        <v>920372</v>
      </c>
      <c r="G281" s="38" t="n">
        <v>1242971</v>
      </c>
      <c r="H281" s="38" t="n">
        <v>920372</v>
      </c>
      <c r="I281" s="38" t="n">
        <v>1242971</v>
      </c>
      <c r="J281" s="19">
        <f>(I281-H281)/1000</f>
        <v/>
      </c>
      <c r="K281" s="16" t="inlineStr">
        <is>
          <t>Yes</t>
        </is>
      </c>
      <c r="L281" s="16" t="n">
        <v>78</v>
      </c>
      <c r="M28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2" ht="184" customHeight="1">
      <c r="A282" s="16" t="inlineStr">
        <is>
          <t>19 Jun</t>
        </is>
      </c>
      <c r="B282" s="16" t="inlineStr">
        <is>
          <t>30339</t>
        </is>
      </c>
      <c r="C282" s="16" t="n">
        <v>11863</v>
      </c>
      <c r="D282" s="16" t="n">
        <v>11833</v>
      </c>
      <c r="E282" s="16" t="n">
        <v>11569</v>
      </c>
      <c r="F282" s="38" t="n">
        <v>920512</v>
      </c>
      <c r="G282" s="38" t="n">
        <v>1426550</v>
      </c>
      <c r="H282" s="38" t="n">
        <v>920512</v>
      </c>
      <c r="I282" s="38" t="n">
        <v>1242969</v>
      </c>
      <c r="J282" s="19">
        <f>(I282-H282)/1000</f>
        <v/>
      </c>
      <c r="K282" s="16" t="inlineStr">
        <is>
          <t>Yes</t>
        </is>
      </c>
      <c r="L282" s="16" t="n">
        <v>78</v>
      </c>
      <c r="M28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3" ht="184" customHeight="1">
      <c r="A283" s="16" t="inlineStr">
        <is>
          <t>19 Jun</t>
        </is>
      </c>
      <c r="B283" s="16" t="inlineStr">
        <is>
          <t>30608</t>
        </is>
      </c>
      <c r="C283" s="16" t="n">
        <v>10312</v>
      </c>
      <c r="D283" s="16" t="n">
        <v>10253</v>
      </c>
      <c r="E283" s="16" t="n">
        <v>9955</v>
      </c>
      <c r="F283" s="38" t="n">
        <v>920802</v>
      </c>
      <c r="G283" s="38" t="n">
        <v>1422600</v>
      </c>
      <c r="H283" s="38" t="n">
        <v>920802</v>
      </c>
      <c r="I283" s="38" t="n">
        <v>1242980</v>
      </c>
      <c r="J283" s="19">
        <f>(I283-H283)/1000</f>
        <v/>
      </c>
      <c r="K283" s="16" t="inlineStr">
        <is>
          <t>Yes</t>
        </is>
      </c>
      <c r="L283" s="16" t="n">
        <v>78</v>
      </c>
      <c r="M28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4" ht="184" customHeight="1">
      <c r="A284" s="16" t="inlineStr">
        <is>
          <t>19 Jun</t>
        </is>
      </c>
      <c r="B284" s="16" t="inlineStr">
        <is>
          <t>30335</t>
        </is>
      </c>
      <c r="C284" s="16" t="n">
        <v>22816</v>
      </c>
      <c r="D284" s="16" t="n">
        <v>22728</v>
      </c>
      <c r="E284" s="16" t="n">
        <v>21624</v>
      </c>
      <c r="F284" s="38" t="n">
        <v>921486</v>
      </c>
      <c r="G284" s="38" t="n">
        <v>1443029</v>
      </c>
      <c r="H284" s="38" t="n">
        <v>921486</v>
      </c>
      <c r="I284" s="38" t="n">
        <v>1242984</v>
      </c>
      <c r="J284" s="19">
        <f>(I284-H284)/1000</f>
        <v/>
      </c>
      <c r="K284" s="16" t="inlineStr">
        <is>
          <t>Yes</t>
        </is>
      </c>
      <c r="L284" s="16" t="n">
        <v>78</v>
      </c>
      <c r="M2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5" ht="184" customHeight="1">
      <c r="A285" s="16" t="inlineStr">
        <is>
          <t>19 Jun</t>
        </is>
      </c>
      <c r="B285" s="16" t="inlineStr">
        <is>
          <t>30351</t>
        </is>
      </c>
      <c r="C285" s="16" t="n">
        <v>12472</v>
      </c>
      <c r="D285" s="16" t="n">
        <v>12443</v>
      </c>
      <c r="E285" s="16" t="n">
        <v>11165</v>
      </c>
      <c r="F285" s="38" t="n">
        <v>921481</v>
      </c>
      <c r="G285" s="38" t="n">
        <v>1438517</v>
      </c>
      <c r="H285" s="38" t="n">
        <v>921481</v>
      </c>
      <c r="I285" s="38" t="n">
        <v>1240713</v>
      </c>
      <c r="J285" s="19">
        <f>(I285-H285)/1000</f>
        <v/>
      </c>
      <c r="K285" s="16" t="inlineStr">
        <is>
          <t>Yes</t>
        </is>
      </c>
      <c r="L285" s="16" t="n">
        <v>78</v>
      </c>
      <c r="M2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6" ht="184" customHeight="1">
      <c r="A286" s="16" t="inlineStr">
        <is>
          <t>19 Jun</t>
        </is>
      </c>
      <c r="B286" s="16" t="inlineStr">
        <is>
          <t>37856</t>
        </is>
      </c>
      <c r="C286" s="16" t="n">
        <v>11709</v>
      </c>
      <c r="D286" s="16" t="n">
        <v>11693</v>
      </c>
      <c r="E286" s="16" t="n">
        <v>10580</v>
      </c>
      <c r="F286" s="38" t="n">
        <v>921481</v>
      </c>
      <c r="G286" s="38" t="n">
        <v>1465197</v>
      </c>
      <c r="H286" s="38" t="n">
        <v>921481</v>
      </c>
      <c r="I286" s="38" t="n">
        <v>1240710</v>
      </c>
      <c r="J286" s="19">
        <f>(I286-H286)/1000</f>
        <v/>
      </c>
      <c r="K286" s="16" t="inlineStr">
        <is>
          <t>Yes</t>
        </is>
      </c>
      <c r="L286" s="16" t="n">
        <v>78</v>
      </c>
      <c r="M2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7" ht="184" customHeight="1">
      <c r="A287" s="16" t="inlineStr">
        <is>
          <t>19 Jun</t>
        </is>
      </c>
      <c r="B287" s="16" t="inlineStr">
        <is>
          <t>30464</t>
        </is>
      </c>
      <c r="C287" s="16" t="n">
        <v>11221</v>
      </c>
      <c r="D287" s="16" t="n">
        <v>11210</v>
      </c>
      <c r="E287" s="16" t="n">
        <v>10751</v>
      </c>
      <c r="F287" s="38" t="n">
        <v>921754</v>
      </c>
      <c r="G287" s="38" t="n">
        <v>1447031</v>
      </c>
      <c r="H287" s="38" t="n">
        <v>921754</v>
      </c>
      <c r="I287" s="38" t="n">
        <v>1240563</v>
      </c>
      <c r="J287" s="19">
        <f>(I287-H287)/1000</f>
        <v/>
      </c>
      <c r="K287" s="16" t="inlineStr">
        <is>
          <t>Yes</t>
        </is>
      </c>
      <c r="L287" s="16" t="n">
        <v>78</v>
      </c>
      <c r="M2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8" ht="199" customHeight="1">
      <c r="A288" s="16" t="inlineStr">
        <is>
          <t>19 Jun</t>
        </is>
      </c>
      <c r="B288" s="16" t="inlineStr">
        <is>
          <t>37367</t>
        </is>
      </c>
      <c r="C288" s="16" t="n">
        <v>31550</v>
      </c>
      <c r="D288" s="16" t="n">
        <v>31484</v>
      </c>
      <c r="E288" s="16" t="n">
        <v>31484</v>
      </c>
      <c r="F288" s="38" t="n">
        <v>920761</v>
      </c>
      <c r="G288" s="38" t="n">
        <v>1172539</v>
      </c>
      <c r="H288" s="38" t="n">
        <v>920761</v>
      </c>
      <c r="I288" s="38" t="n">
        <v>1172539</v>
      </c>
      <c r="J288" s="19">
        <f>(I288-H288)/1000</f>
        <v/>
      </c>
      <c r="K288" s="16" t="inlineStr">
        <is>
          <t>Yes</t>
        </is>
      </c>
      <c r="L288" s="16" t="n">
        <v>62</v>
      </c>
      <c r="M28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89" ht="184" customHeight="1">
      <c r="A289" s="16" t="inlineStr">
        <is>
          <t>19 Jun</t>
        </is>
      </c>
      <c r="B289" s="16" t="inlineStr">
        <is>
          <t>37580</t>
        </is>
      </c>
      <c r="C289" s="16" t="n">
        <v>7337</v>
      </c>
      <c r="D289" s="16" t="n">
        <v>6999</v>
      </c>
      <c r="E289" s="16" t="n">
        <v>6999</v>
      </c>
      <c r="F289" s="38" t="n">
        <v>849438</v>
      </c>
      <c r="G289" s="38" t="n">
        <v>1028611</v>
      </c>
      <c r="H289" s="38" t="n">
        <v>849438</v>
      </c>
      <c r="I289" s="38" t="n">
        <v>1028611</v>
      </c>
      <c r="J289" s="19">
        <f>(I289-H289)/1000</f>
        <v/>
      </c>
      <c r="K289" s="16" t="inlineStr">
        <is>
          <t>Yes</t>
        </is>
      </c>
      <c r="L289" s="16" t="n">
        <v>46</v>
      </c>
      <c r="M2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0" ht="184" customHeight="1">
      <c r="A290" s="16" t="inlineStr">
        <is>
          <t>19 Jun</t>
        </is>
      </c>
      <c r="B290" s="16" t="inlineStr">
        <is>
          <t>37366</t>
        </is>
      </c>
      <c r="C290" s="16" t="n">
        <v>14031</v>
      </c>
      <c r="D290" s="16" t="n">
        <v>14014</v>
      </c>
      <c r="E290" s="16" t="n">
        <v>14014</v>
      </c>
      <c r="F290" s="38" t="n">
        <v>920596</v>
      </c>
      <c r="G290" s="38" t="n">
        <v>1099608</v>
      </c>
      <c r="H290" s="38" t="n">
        <v>920596</v>
      </c>
      <c r="I290" s="38" t="n">
        <v>1099608</v>
      </c>
      <c r="J290" s="19">
        <f>(I290-H290)/1000</f>
        <v/>
      </c>
      <c r="K290" s="16" t="inlineStr">
        <is>
          <t>Yes</t>
        </is>
      </c>
      <c r="L290" s="16" t="n">
        <v>47</v>
      </c>
      <c r="M2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91" ht="184" customHeight="1">
      <c r="A291" s="16" t="inlineStr">
        <is>
          <t>19 Jun</t>
        </is>
      </c>
      <c r="B291" s="16" t="inlineStr">
        <is>
          <t>39336</t>
        </is>
      </c>
      <c r="C291" s="16" t="n">
        <v>13471</v>
      </c>
      <c r="D291" s="16" t="n">
        <v>13079</v>
      </c>
      <c r="E291" s="16" t="n">
        <v>13079</v>
      </c>
      <c r="F291" s="38" t="n">
        <v>920393</v>
      </c>
      <c r="G291" s="38" t="n">
        <v>1029051</v>
      </c>
      <c r="H291" s="38" t="n">
        <v>920393</v>
      </c>
      <c r="I291" s="38" t="n">
        <v>1029051</v>
      </c>
      <c r="J291" s="19">
        <f>(I291-H291)/1000</f>
        <v/>
      </c>
      <c r="K291" s="16" t="inlineStr">
        <is>
          <t>Yes</t>
        </is>
      </c>
      <c r="L291" s="16" t="n">
        <v>31</v>
      </c>
      <c r="M2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2" ht="184" customHeight="1">
      <c r="A292" s="16" t="inlineStr">
        <is>
          <t>19 Jun</t>
        </is>
      </c>
      <c r="B292" s="16" t="inlineStr">
        <is>
          <t>39108</t>
        </is>
      </c>
      <c r="C292" s="16" t="n">
        <v>10328</v>
      </c>
      <c r="D292" s="16" t="n">
        <v>10248</v>
      </c>
      <c r="E292" s="16" t="n">
        <v>10248</v>
      </c>
      <c r="F292" s="38" t="n">
        <v>920373</v>
      </c>
      <c r="G292" s="38" t="n">
        <v>1028909</v>
      </c>
      <c r="H292" s="38" t="n">
        <v>920373</v>
      </c>
      <c r="I292" s="38" t="n">
        <v>1028909</v>
      </c>
      <c r="J292" s="19">
        <f>(I292-H292)/1000</f>
        <v/>
      </c>
      <c r="K292" s="16" t="inlineStr">
        <is>
          <t>Yes</t>
        </is>
      </c>
      <c r="L292" s="16" t="n">
        <v>31</v>
      </c>
      <c r="M2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3" ht="184" customHeight="1">
      <c r="A293" s="16" t="inlineStr">
        <is>
          <t>19 Jun</t>
        </is>
      </c>
      <c r="B293" s="16" t="inlineStr">
        <is>
          <t>30176</t>
        </is>
      </c>
      <c r="C293" s="16" t="n">
        <v>6711</v>
      </c>
      <c r="D293" s="16" t="n">
        <v>6709</v>
      </c>
      <c r="E293" s="16" t="n">
        <v>6709</v>
      </c>
      <c r="F293" s="38" t="n">
        <v>921060</v>
      </c>
      <c r="G293" s="38" t="n">
        <v>1029331</v>
      </c>
      <c r="H293" s="38" t="n">
        <v>921060</v>
      </c>
      <c r="I293" s="38" t="n">
        <v>1029331</v>
      </c>
      <c r="J293" s="19">
        <f>(I293-H293)/1000</f>
        <v/>
      </c>
      <c r="K293" s="16" t="inlineStr">
        <is>
          <t>Yes</t>
        </is>
      </c>
      <c r="L293" s="16" t="n">
        <v>31</v>
      </c>
      <c r="M2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4" ht="184" customHeight="1">
      <c r="A294" s="16" t="inlineStr">
        <is>
          <t>19 Jun</t>
        </is>
      </c>
      <c r="B294" s="16" t="inlineStr">
        <is>
          <t>37813</t>
        </is>
      </c>
      <c r="C294" s="16" t="n">
        <v>1981</v>
      </c>
      <c r="D294" s="16" t="n">
        <v>1981</v>
      </c>
      <c r="E294" s="16" t="n">
        <v>1225</v>
      </c>
      <c r="F294" s="38" t="n">
        <v>657160</v>
      </c>
      <c r="G294" s="38" t="n">
        <v>742999</v>
      </c>
      <c r="H294" s="38" t="n">
        <v>699077</v>
      </c>
      <c r="I294" s="38" t="n">
        <v>742999</v>
      </c>
      <c r="J294" s="19">
        <f>(I294-H294)/1000</f>
        <v/>
      </c>
      <c r="K294" s="16" t="inlineStr">
        <is>
          <t>Yes</t>
        </is>
      </c>
      <c r="L294" s="16" t="n">
        <v>11</v>
      </c>
      <c r="M2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295" ht="184" customHeight="1">
      <c r="A295" s="16" t="inlineStr">
        <is>
          <t>19 Jun</t>
        </is>
      </c>
      <c r="B295" s="16" t="inlineStr">
        <is>
          <t>39084</t>
        </is>
      </c>
      <c r="C295" s="16" t="n">
        <v>602</v>
      </c>
      <c r="D295" s="16" t="n">
        <v>602</v>
      </c>
      <c r="E295" s="16" t="n">
        <v>2</v>
      </c>
      <c r="F295" s="38" t="n">
        <v>1203594</v>
      </c>
      <c r="G295" s="38" t="n">
        <v>1364576</v>
      </c>
      <c r="H295" s="38" t="n">
        <v>1203594</v>
      </c>
      <c r="I295" s="38" t="n">
        <v>1243432</v>
      </c>
      <c r="J295" s="19">
        <f>(I295-H295)/1000</f>
        <v/>
      </c>
      <c r="K295" s="16" t="inlineStr">
        <is>
          <t>Yes</t>
        </is>
      </c>
      <c r="L295" s="16" t="n">
        <v>9</v>
      </c>
      <c r="M295" s="39" t="inlineStr">
        <is>
          <t>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  ...(+65 more)</t>
        </is>
      </c>
    </row>
    <row r="296" ht="184" customHeight="1">
      <c r="A296" s="16" t="inlineStr">
        <is>
          <t>19 Jun</t>
        </is>
      </c>
      <c r="B296" s="16" t="inlineStr">
        <is>
          <t>37035</t>
        </is>
      </c>
      <c r="C296" s="16" t="n">
        <v>2863</v>
      </c>
      <c r="D296" s="16" t="n">
        <v>2843</v>
      </c>
      <c r="E296" s="16" t="n">
        <v>2843</v>
      </c>
      <c r="F296" s="38" t="n">
        <v>920372</v>
      </c>
      <c r="G296" s="38" t="n">
        <v>959911</v>
      </c>
      <c r="H296" s="38" t="n">
        <v>920372</v>
      </c>
      <c r="I296" s="38" t="n">
        <v>959911</v>
      </c>
      <c r="J296" s="19">
        <f>(I296-H296)/1000</f>
        <v/>
      </c>
      <c r="K296" s="16" t="inlineStr">
        <is>
          <t>Yes</t>
        </is>
      </c>
      <c r="L296" s="16" t="n">
        <v>14</v>
      </c>
      <c r="M2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...(+60 more)</t>
        </is>
      </c>
    </row>
    <row r="297" ht="184" customHeight="1">
      <c r="A297" s="31" t="inlineStr">
        <is>
          <t>19 Jun</t>
        </is>
      </c>
      <c r="B297" s="31" t="inlineStr">
        <is>
          <t>30172</t>
        </is>
      </c>
      <c r="C297" s="31" t="n">
        <v>1527</v>
      </c>
      <c r="D297" s="31" t="n">
        <v>1526</v>
      </c>
      <c r="E297" s="31" t="n">
        <v>0</v>
      </c>
      <c r="F297" s="40" t="n">
        <v>1401405</v>
      </c>
      <c r="G297" s="40" t="n">
        <v>1474473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19 Jun</t>
        </is>
      </c>
      <c r="B298" s="31" t="inlineStr">
        <is>
          <t>30197</t>
        </is>
      </c>
      <c r="C298" s="31" t="n">
        <v>194</v>
      </c>
      <c r="D298" s="31" t="n">
        <v>186</v>
      </c>
      <c r="E298" s="31" t="n">
        <v>0</v>
      </c>
      <c r="F298" s="40" t="n">
        <v>158148</v>
      </c>
      <c r="G298" s="40" t="n">
        <v>160284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19 Jun</t>
        </is>
      </c>
      <c r="B299" s="31" t="inlineStr">
        <is>
          <t>30240</t>
        </is>
      </c>
      <c r="C299" s="31" t="n">
        <v>1116</v>
      </c>
      <c r="D299" s="31" t="n">
        <v>1115</v>
      </c>
      <c r="E299" s="31" t="n">
        <v>0</v>
      </c>
      <c r="F299" s="40" t="n">
        <v>1401337</v>
      </c>
      <c r="G299" s="40" t="n">
        <v>1448950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19 Jun</t>
        </is>
      </c>
      <c r="B300" s="31" t="inlineStr">
        <is>
          <t>30395</t>
        </is>
      </c>
      <c r="C300" s="31" t="n">
        <v>1114</v>
      </c>
      <c r="D300" s="31" t="n">
        <v>1110</v>
      </c>
      <c r="E300" s="31" t="n">
        <v>0</v>
      </c>
      <c r="F300" s="40" t="n">
        <v>1358416</v>
      </c>
      <c r="G300" s="40" t="n">
        <v>1424544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19 Jun</t>
        </is>
      </c>
      <c r="B301" s="31" t="inlineStr">
        <is>
          <t>30426</t>
        </is>
      </c>
      <c r="C301" s="31" t="n">
        <v>1</v>
      </c>
      <c r="D301" s="31" t="n">
        <v>1</v>
      </c>
      <c r="E301" s="31" t="n">
        <v>0</v>
      </c>
      <c r="F301" s="40" t="n">
        <v>1278260</v>
      </c>
      <c r="G301" s="40" t="n">
        <v>1278260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19 Jun</t>
        </is>
      </c>
      <c r="B302" s="31" t="inlineStr">
        <is>
          <t>30502</t>
        </is>
      </c>
      <c r="C302" s="31" t="n">
        <v>1250</v>
      </c>
      <c r="D302" s="31" t="n">
        <v>1237</v>
      </c>
      <c r="E302" s="31" t="n">
        <v>0</v>
      </c>
      <c r="F302" s="40" t="n">
        <v>1587</v>
      </c>
      <c r="G302" s="40" t="n">
        <v>697381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19 Jun</t>
        </is>
      </c>
      <c r="B303" s="31" t="inlineStr">
        <is>
          <t>30533</t>
        </is>
      </c>
      <c r="C303" s="31" t="n">
        <v>1969</v>
      </c>
      <c r="D303" s="31" t="n">
        <v>1910</v>
      </c>
      <c r="E303" s="31" t="n">
        <v>0</v>
      </c>
      <c r="F303" s="40" t="n">
        <v>1895</v>
      </c>
      <c r="G303" s="40" t="n">
        <v>697883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19 Jun</t>
        </is>
      </c>
      <c r="B304" s="31" t="inlineStr">
        <is>
          <t>30542</t>
        </is>
      </c>
      <c r="C304" s="31" t="n">
        <v>222</v>
      </c>
      <c r="D304" s="31" t="n">
        <v>221</v>
      </c>
      <c r="E304" s="31" t="n">
        <v>0</v>
      </c>
      <c r="F304" s="40" t="n">
        <v>1401367</v>
      </c>
      <c r="G304" s="40" t="n">
        <v>1413819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19 Jun</t>
        </is>
      </c>
      <c r="B305" s="31" t="inlineStr">
        <is>
          <t>30635</t>
        </is>
      </c>
      <c r="C305" s="31" t="n">
        <v>1789</v>
      </c>
      <c r="D305" s="31" t="n">
        <v>1755</v>
      </c>
      <c r="E305" s="31" t="n">
        <v>0</v>
      </c>
      <c r="F305" s="40" t="n">
        <v>1593</v>
      </c>
      <c r="G305" s="40" t="n">
        <v>697371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19 Jun</t>
        </is>
      </c>
      <c r="B306" s="31" t="inlineStr">
        <is>
          <t>30751</t>
        </is>
      </c>
      <c r="C306" s="31" t="n">
        <v>796</v>
      </c>
      <c r="D306" s="31" t="n">
        <v>795</v>
      </c>
      <c r="E306" s="31" t="n">
        <v>0</v>
      </c>
      <c r="F306" s="40" t="n">
        <v>1401338</v>
      </c>
      <c r="G306" s="40" t="n">
        <v>1449605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19 Jun</t>
        </is>
      </c>
      <c r="B307" s="31" t="inlineStr">
        <is>
          <t>30793</t>
        </is>
      </c>
      <c r="C307" s="31" t="n">
        <v>307</v>
      </c>
      <c r="D307" s="31" t="n">
        <v>306</v>
      </c>
      <c r="E307" s="31" t="n">
        <v>0</v>
      </c>
      <c r="F307" s="40" t="n">
        <v>1401490</v>
      </c>
      <c r="G307" s="40" t="n">
        <v>1420610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19 Jun</t>
        </is>
      </c>
      <c r="B308" s="31" t="inlineStr">
        <is>
          <t>30828</t>
        </is>
      </c>
      <c r="C308" s="31" t="n">
        <v>1369</v>
      </c>
      <c r="D308" s="31" t="n">
        <v>1365</v>
      </c>
      <c r="E308" s="31" t="n">
        <v>0</v>
      </c>
      <c r="F308" s="40" t="n">
        <v>1401425</v>
      </c>
      <c r="G308" s="40" t="n">
        <v>1454652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19 Jun</t>
        </is>
      </c>
      <c r="B309" s="31" t="inlineStr">
        <is>
          <t>31356</t>
        </is>
      </c>
      <c r="C309" s="31" t="n">
        <v>6</v>
      </c>
      <c r="D309" s="31" t="n">
        <v>0</v>
      </c>
      <c r="E309" s="31" t="n">
        <v>0</v>
      </c>
      <c r="F309" s="40" t="inlineStr">
        <is>
          <t>-</t>
        </is>
      </c>
      <c r="G309" s="40" t="inlineStr">
        <is>
          <t>-</t>
        </is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19 Jun</t>
        </is>
      </c>
      <c r="B310" s="31" t="inlineStr">
        <is>
          <t>37073</t>
        </is>
      </c>
      <c r="C310" s="31" t="n">
        <v>2714</v>
      </c>
      <c r="D310" s="31" t="n">
        <v>2711</v>
      </c>
      <c r="E310" s="31" t="n">
        <v>0</v>
      </c>
      <c r="F310" s="40" t="n">
        <v>1358314</v>
      </c>
      <c r="G310" s="40" t="n">
        <v>1440369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19 Jun</t>
        </is>
      </c>
      <c r="B311" s="31" t="inlineStr">
        <is>
          <t>37198</t>
        </is>
      </c>
      <c r="C311" s="31" t="n">
        <v>1167</v>
      </c>
      <c r="D311" s="31" t="n">
        <v>1167</v>
      </c>
      <c r="E311" s="31" t="n">
        <v>0</v>
      </c>
      <c r="F311" s="40" t="n">
        <v>1246560</v>
      </c>
      <c r="G311" s="40" t="n">
        <v>1396280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19 Jun</t>
        </is>
      </c>
      <c r="B312" s="31" t="inlineStr">
        <is>
          <t>37248</t>
        </is>
      </c>
      <c r="C312" s="31" t="n">
        <v>396</v>
      </c>
      <c r="D312" s="31" t="n">
        <v>390</v>
      </c>
      <c r="E312" s="31" t="n">
        <v>0</v>
      </c>
      <c r="F312" s="40" t="n">
        <v>661647</v>
      </c>
      <c r="G312" s="40" t="n">
        <v>695539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19 Jun</t>
        </is>
      </c>
      <c r="B313" s="31" t="inlineStr">
        <is>
          <t>37316</t>
        </is>
      </c>
      <c r="C313" s="31" t="n">
        <v>459</v>
      </c>
      <c r="D313" s="31" t="n">
        <v>459</v>
      </c>
      <c r="E313" s="31" t="n">
        <v>0</v>
      </c>
      <c r="F313" s="40" t="n">
        <v>657152</v>
      </c>
      <c r="G313" s="40" t="n">
        <v>682245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19 Jun</t>
        </is>
      </c>
      <c r="B314" s="31" t="inlineStr">
        <is>
          <t>37354</t>
        </is>
      </c>
      <c r="C314" s="31" t="n">
        <v>1663</v>
      </c>
      <c r="D314" s="31" t="n">
        <v>1662</v>
      </c>
      <c r="E314" s="31" t="n">
        <v>0</v>
      </c>
      <c r="F314" s="40" t="n">
        <v>1401344</v>
      </c>
      <c r="G314" s="40" t="n">
        <v>1449595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19 Jun</t>
        </is>
      </c>
      <c r="B315" s="31" t="inlineStr">
        <is>
          <t>37369</t>
        </is>
      </c>
      <c r="C315" s="31" t="n">
        <v>16</v>
      </c>
      <c r="D315" s="31" t="n">
        <v>16</v>
      </c>
      <c r="E315" s="31" t="n">
        <v>0</v>
      </c>
      <c r="F315" s="40" t="n">
        <v>1444156</v>
      </c>
      <c r="G315" s="40" t="n">
        <v>1448474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19 Jun</t>
        </is>
      </c>
      <c r="B316" s="31" t="inlineStr">
        <is>
          <t>37489</t>
        </is>
      </c>
      <c r="C316" s="31" t="n">
        <v>1973</v>
      </c>
      <c r="D316" s="31" t="n">
        <v>1905</v>
      </c>
      <c r="E316" s="31" t="n">
        <v>0</v>
      </c>
      <c r="F316" s="40" t="n">
        <v>1913</v>
      </c>
      <c r="G316" s="40" t="n">
        <v>697886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19 Jun</t>
        </is>
      </c>
      <c r="B317" s="31" t="inlineStr">
        <is>
          <t>37533</t>
        </is>
      </c>
      <c r="C317" s="31" t="n">
        <v>100</v>
      </c>
      <c r="D317" s="31" t="n">
        <v>41</v>
      </c>
      <c r="E317" s="31" t="n">
        <v>0</v>
      </c>
      <c r="F317" s="40" t="n">
        <v>696239</v>
      </c>
      <c r="G317" s="40" t="n">
        <v>697007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19 Jun</t>
        </is>
      </c>
      <c r="B318" s="31" t="inlineStr">
        <is>
          <t>37572</t>
        </is>
      </c>
      <c r="C318" s="31" t="n">
        <v>2379</v>
      </c>
      <c r="D318" s="31" t="n">
        <v>2379</v>
      </c>
      <c r="E318" s="31" t="n">
        <v>0</v>
      </c>
      <c r="F318" s="40" t="n">
        <v>1363250</v>
      </c>
      <c r="G318" s="40" t="n">
        <v>1449272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19 Jun</t>
        </is>
      </c>
      <c r="B319" s="31" t="inlineStr">
        <is>
          <t>37602</t>
        </is>
      </c>
      <c r="C319" s="31" t="n">
        <v>2804</v>
      </c>
      <c r="D319" s="31" t="n">
        <v>2751</v>
      </c>
      <c r="E319" s="31" t="n">
        <v>0</v>
      </c>
      <c r="F319" s="40" t="n">
        <v>1883</v>
      </c>
      <c r="G319" s="40" t="n">
        <v>697877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19 Jun</t>
        </is>
      </c>
      <c r="B320" s="31" t="inlineStr">
        <is>
          <t>37628</t>
        </is>
      </c>
      <c r="C320" s="31" t="n">
        <v>17</v>
      </c>
      <c r="D320" s="31" t="n">
        <v>17</v>
      </c>
      <c r="E320" s="31" t="n">
        <v>0</v>
      </c>
      <c r="F320" s="40" t="n">
        <v>1403451</v>
      </c>
      <c r="G320" s="40" t="n">
        <v>1445298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 ht="184" customHeight="1">
      <c r="A321" s="31" t="inlineStr">
        <is>
          <t>19 Jun</t>
        </is>
      </c>
      <c r="B321" s="31" t="inlineStr">
        <is>
          <t>37684</t>
        </is>
      </c>
      <c r="C321" s="31" t="n">
        <v>651</v>
      </c>
      <c r="D321" s="31" t="n">
        <v>651</v>
      </c>
      <c r="E321" s="31" t="n">
        <v>0</v>
      </c>
      <c r="F321" s="40" t="n">
        <v>657194</v>
      </c>
      <c r="G321" s="40" t="n">
        <v>695576</v>
      </c>
      <c r="H321" s="40" t="inlineStr">
        <is>
          <t>-</t>
        </is>
      </c>
      <c r="I321" s="40" t="inlineStr">
        <is>
          <t>-</t>
        </is>
      </c>
      <c r="J321" s="41" t="n">
        <v>0</v>
      </c>
      <c r="K321" s="31" t="inlineStr">
        <is>
          <t>No</t>
        </is>
      </c>
      <c r="L321" s="31" t="n">
        <v>0</v>
      </c>
      <c r="M3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2" ht="184" customHeight="1">
      <c r="A322" s="31" t="inlineStr">
        <is>
          <t>19 Jun</t>
        </is>
      </c>
      <c r="B322" s="31" t="inlineStr">
        <is>
          <t>37793</t>
        </is>
      </c>
      <c r="C322" s="31" t="n">
        <v>1500</v>
      </c>
      <c r="D322" s="31" t="n">
        <v>1478</v>
      </c>
      <c r="E322" s="31" t="n">
        <v>0</v>
      </c>
      <c r="F322" s="40" t="n">
        <v>1596</v>
      </c>
      <c r="G322" s="40" t="n">
        <v>697380</v>
      </c>
      <c r="H322" s="40" t="inlineStr">
        <is>
          <t>-</t>
        </is>
      </c>
      <c r="I322" s="40" t="inlineStr">
        <is>
          <t>-</t>
        </is>
      </c>
      <c r="J322" s="41" t="n">
        <v>0</v>
      </c>
      <c r="K322" s="31" t="inlineStr">
        <is>
          <t>No</t>
        </is>
      </c>
      <c r="L322" s="31" t="n">
        <v>0</v>
      </c>
      <c r="M3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3" ht="184" customHeight="1">
      <c r="A323" s="31" t="inlineStr">
        <is>
          <t>19 Jun</t>
        </is>
      </c>
      <c r="B323" s="31" t="inlineStr">
        <is>
          <t>37908</t>
        </is>
      </c>
      <c r="C323" s="31" t="n">
        <v>62</v>
      </c>
      <c r="D323" s="31" t="n">
        <v>53</v>
      </c>
      <c r="E323" s="31" t="n">
        <v>0</v>
      </c>
      <c r="F323" s="40" t="n">
        <v>1346441</v>
      </c>
      <c r="G323" s="40" t="n">
        <v>1383409</v>
      </c>
      <c r="H323" s="40" t="inlineStr">
        <is>
          <t>-</t>
        </is>
      </c>
      <c r="I323" s="40" t="inlineStr">
        <is>
          <t>-</t>
        </is>
      </c>
      <c r="J323" s="41" t="n">
        <v>0</v>
      </c>
      <c r="K323" s="31" t="inlineStr">
        <is>
          <t>No</t>
        </is>
      </c>
      <c r="L323" s="31" t="n">
        <v>0</v>
      </c>
      <c r="M3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4" ht="184" customHeight="1">
      <c r="A324" s="31" t="inlineStr">
        <is>
          <t>19 Jun</t>
        </is>
      </c>
      <c r="B324" s="31" t="inlineStr">
        <is>
          <t>37934</t>
        </is>
      </c>
      <c r="C324" s="31" t="n">
        <v>1742</v>
      </c>
      <c r="D324" s="31" t="n">
        <v>1742</v>
      </c>
      <c r="E324" s="31" t="n">
        <v>0</v>
      </c>
      <c r="F324" s="40" t="n">
        <v>657101</v>
      </c>
      <c r="G324" s="40" t="n">
        <v>696229</v>
      </c>
      <c r="H324" s="40" t="inlineStr">
        <is>
          <t>-</t>
        </is>
      </c>
      <c r="I324" s="40" t="inlineStr">
        <is>
          <t>-</t>
        </is>
      </c>
      <c r="J324" s="41" t="n">
        <v>0</v>
      </c>
      <c r="K324" s="31" t="inlineStr">
        <is>
          <t>No</t>
        </is>
      </c>
      <c r="L324" s="31" t="n">
        <v>0</v>
      </c>
      <c r="M3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5" ht="184" customHeight="1">
      <c r="A325" s="31" t="inlineStr">
        <is>
          <t>19 Jun</t>
        </is>
      </c>
      <c r="B325" s="31" t="inlineStr">
        <is>
          <t>37938</t>
        </is>
      </c>
      <c r="C325" s="31" t="n">
        <v>1074</v>
      </c>
      <c r="D325" s="31" t="n">
        <v>1072</v>
      </c>
      <c r="E325" s="31" t="n">
        <v>0</v>
      </c>
      <c r="F325" s="40" t="n">
        <v>1401774</v>
      </c>
      <c r="G325" s="40" t="n">
        <v>1448461</v>
      </c>
      <c r="H325" s="40" t="inlineStr">
        <is>
          <t>-</t>
        </is>
      </c>
      <c r="I325" s="40" t="inlineStr">
        <is>
          <t>-</t>
        </is>
      </c>
      <c r="J325" s="41" t="n">
        <v>0</v>
      </c>
      <c r="K325" s="31" t="inlineStr">
        <is>
          <t>No</t>
        </is>
      </c>
      <c r="L325" s="31" t="n">
        <v>0</v>
      </c>
      <c r="M3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6" ht="184" customHeight="1">
      <c r="A326" s="31" t="inlineStr">
        <is>
          <t>19 Jun</t>
        </is>
      </c>
      <c r="B326" s="31" t="inlineStr">
        <is>
          <t>39028</t>
        </is>
      </c>
      <c r="C326" s="31" t="n">
        <v>1748</v>
      </c>
      <c r="D326" s="31" t="n">
        <v>1714</v>
      </c>
      <c r="E326" s="31" t="n">
        <v>0</v>
      </c>
      <c r="F326" s="40" t="n">
        <v>1599</v>
      </c>
      <c r="G326" s="40" t="n">
        <v>697370</v>
      </c>
      <c r="H326" s="40" t="inlineStr">
        <is>
          <t>-</t>
        </is>
      </c>
      <c r="I326" s="40" t="inlineStr">
        <is>
          <t>-</t>
        </is>
      </c>
      <c r="J326" s="41" t="n">
        <v>0</v>
      </c>
      <c r="K326" s="31" t="inlineStr">
        <is>
          <t>No</t>
        </is>
      </c>
      <c r="L326" s="31" t="n">
        <v>0</v>
      </c>
      <c r="M3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7" ht="184" customHeight="1">
      <c r="A327" s="31" t="inlineStr">
        <is>
          <t>19 Jun</t>
        </is>
      </c>
      <c r="B327" s="31" t="inlineStr">
        <is>
          <t>39035</t>
        </is>
      </c>
      <c r="C327" s="31" t="n">
        <v>994</v>
      </c>
      <c r="D327" s="31" t="n">
        <v>991</v>
      </c>
      <c r="E327" s="31" t="n">
        <v>0</v>
      </c>
      <c r="F327" s="40" t="n">
        <v>1401349</v>
      </c>
      <c r="G327" s="40" t="n">
        <v>1437807</v>
      </c>
      <c r="H327" s="40" t="inlineStr">
        <is>
          <t>-</t>
        </is>
      </c>
      <c r="I327" s="40" t="inlineStr">
        <is>
          <t>-</t>
        </is>
      </c>
      <c r="J327" s="41" t="n">
        <v>0</v>
      </c>
      <c r="K327" s="31" t="inlineStr">
        <is>
          <t>No</t>
        </is>
      </c>
      <c r="L327" s="31" t="n">
        <v>0</v>
      </c>
      <c r="M3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8" ht="184" customHeight="1">
      <c r="A328" s="31" t="inlineStr">
        <is>
          <t>19 Jun</t>
        </is>
      </c>
      <c r="B328" s="31" t="inlineStr">
        <is>
          <t>39085</t>
        </is>
      </c>
      <c r="C328" s="31" t="n">
        <v>2070</v>
      </c>
      <c r="D328" s="31" t="n">
        <v>2070</v>
      </c>
      <c r="E328" s="31" t="n">
        <v>0</v>
      </c>
      <c r="F328" s="40" t="n">
        <v>1294872</v>
      </c>
      <c r="G328" s="40" t="n">
        <v>1463102</v>
      </c>
      <c r="H328" s="40" t="inlineStr">
        <is>
          <t>-</t>
        </is>
      </c>
      <c r="I328" s="40" t="inlineStr">
        <is>
          <t>-</t>
        </is>
      </c>
      <c r="J328" s="41" t="n">
        <v>0</v>
      </c>
      <c r="K328" s="31" t="inlineStr">
        <is>
          <t>No</t>
        </is>
      </c>
      <c r="L328" s="31" t="n">
        <v>0</v>
      </c>
      <c r="M3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9" ht="184" customHeight="1">
      <c r="A329" s="31" t="inlineStr">
        <is>
          <t>19 Jun</t>
        </is>
      </c>
      <c r="B329" s="31" t="inlineStr">
        <is>
          <t>39252</t>
        </is>
      </c>
      <c r="C329" s="31" t="n">
        <v>468</v>
      </c>
      <c r="D329" s="31" t="n">
        <v>466</v>
      </c>
      <c r="E329" s="31" t="n">
        <v>0</v>
      </c>
      <c r="F329" s="40" t="n">
        <v>1401379</v>
      </c>
      <c r="G329" s="40" t="n">
        <v>1426417</v>
      </c>
      <c r="H329" s="40" t="inlineStr">
        <is>
          <t>-</t>
        </is>
      </c>
      <c r="I329" s="40" t="inlineStr">
        <is>
          <t>-</t>
        </is>
      </c>
      <c r="J329" s="41" t="n">
        <v>0</v>
      </c>
      <c r="K329" s="31" t="inlineStr">
        <is>
          <t>No</t>
        </is>
      </c>
      <c r="L329" s="31" t="n">
        <v>0</v>
      </c>
      <c r="M3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0" ht="184" customHeight="1">
      <c r="A330" s="31" t="inlineStr">
        <is>
          <t>19 Jun</t>
        </is>
      </c>
      <c r="B330" s="31" t="inlineStr">
        <is>
          <t>39254</t>
        </is>
      </c>
      <c r="C330" s="31" t="n">
        <v>1610</v>
      </c>
      <c r="D330" s="31" t="n">
        <v>1604</v>
      </c>
      <c r="E330" s="31" t="n">
        <v>0</v>
      </c>
      <c r="F330" s="40" t="n">
        <v>1275480</v>
      </c>
      <c r="G330" s="40" t="n">
        <v>1473017</v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1" ht="184" customHeight="1">
      <c r="A331" s="31" t="inlineStr">
        <is>
          <t>19 Jun</t>
        </is>
      </c>
      <c r="B331" s="31" t="inlineStr">
        <is>
          <t>39328</t>
        </is>
      </c>
      <c r="C331" s="31" t="n">
        <v>858</v>
      </c>
      <c r="D331" s="31" t="n">
        <v>857</v>
      </c>
      <c r="E331" s="31" t="n">
        <v>0</v>
      </c>
      <c r="F331" s="40" t="n">
        <v>1401341</v>
      </c>
      <c r="G331" s="40" t="n">
        <v>1436974</v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2" ht="184" customHeight="1">
      <c r="A332" s="31" t="inlineStr">
        <is>
          <t>19 Jun</t>
        </is>
      </c>
      <c r="B332" s="31" t="inlineStr">
        <is>
          <t>39516</t>
        </is>
      </c>
      <c r="C332" s="31" t="n">
        <v>326</v>
      </c>
      <c r="D332" s="31" t="n">
        <v>326</v>
      </c>
      <c r="E332" s="31" t="n">
        <v>0</v>
      </c>
      <c r="F332" s="40" t="n">
        <v>1401767</v>
      </c>
      <c r="G332" s="40" t="n">
        <v>1436746</v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3" ht="184" customHeight="1">
      <c r="A333" s="31" t="inlineStr">
        <is>
          <t>19 Jun</t>
        </is>
      </c>
      <c r="B333" s="31" t="inlineStr">
        <is>
          <t>41666</t>
        </is>
      </c>
      <c r="C333" s="31" t="n">
        <v>385</v>
      </c>
      <c r="D333" s="31" t="n">
        <v>385</v>
      </c>
      <c r="E333" s="31" t="n">
        <v>0</v>
      </c>
      <c r="F333" s="40" t="n">
        <v>1401781</v>
      </c>
      <c r="G333" s="40" t="n">
        <v>1436983</v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4" ht="184" customHeight="1">
      <c r="A334" s="31" t="inlineStr">
        <is>
          <t>19 Jun</t>
        </is>
      </c>
      <c r="B334" s="31" t="inlineStr">
        <is>
          <t>52196</t>
        </is>
      </c>
      <c r="C334" s="31" t="n">
        <v>6902</v>
      </c>
      <c r="D334" s="31" t="n">
        <v>6806</v>
      </c>
      <c r="E334" s="31" t="n">
        <v>0</v>
      </c>
      <c r="F334" s="40" t="n">
        <v>152734</v>
      </c>
      <c r="G334" s="40" t="n">
        <v>161261</v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35">
      <c r="A335" s="16" t="inlineStr">
        <is>
          <t>20 Jun</t>
        </is>
      </c>
      <c r="B335" s="16" t="inlineStr">
        <is>
          <t>30814</t>
        </is>
      </c>
      <c r="C335" s="16" t="n">
        <v>31812</v>
      </c>
      <c r="D335" s="16" t="n">
        <v>31448</v>
      </c>
      <c r="E335" s="16" t="n">
        <v>29085</v>
      </c>
      <c r="F335" s="38" t="n">
        <v>656355</v>
      </c>
      <c r="G335" s="38" t="n">
        <v>1436906</v>
      </c>
      <c r="H335" s="38" t="n">
        <v>699081</v>
      </c>
      <c r="I335" s="38" t="n">
        <v>1242960</v>
      </c>
      <c r="J335" s="19">
        <f>(I335-H335)/1000</f>
        <v/>
      </c>
      <c r="K335" s="16" t="inlineStr">
        <is>
          <t>Yes</t>
        </is>
      </c>
      <c r="L335" s="16" t="n">
        <v>124</v>
      </c>
      <c r="M335" s="39" t="inlineStr">
        <is>
          <t>- (full trip)</t>
        </is>
      </c>
    </row>
    <row r="336">
      <c r="A336" s="16" t="inlineStr">
        <is>
          <t>20 Jun</t>
        </is>
      </c>
      <c r="B336" s="16" t="inlineStr">
        <is>
          <t>39035</t>
        </is>
      </c>
      <c r="C336" s="16" t="n">
        <v>21228</v>
      </c>
      <c r="D336" s="16" t="n">
        <v>21191</v>
      </c>
      <c r="E336" s="16" t="n">
        <v>20340</v>
      </c>
      <c r="F336" s="38" t="n">
        <v>661743</v>
      </c>
      <c r="G336" s="38" t="n">
        <v>1242967</v>
      </c>
      <c r="H336" s="38" t="n">
        <v>699082</v>
      </c>
      <c r="I336" s="38" t="n">
        <v>1242967</v>
      </c>
      <c r="J336" s="19">
        <f>(I336-H336)/1000</f>
        <v/>
      </c>
      <c r="K336" s="16" t="inlineStr">
        <is>
          <t>Yes</t>
        </is>
      </c>
      <c r="L336" s="16" t="n">
        <v>124</v>
      </c>
      <c r="M336" s="39" t="inlineStr">
        <is>
          <t>- (full trip)</t>
        </is>
      </c>
    </row>
    <row r="337">
      <c r="A337" s="16" t="inlineStr">
        <is>
          <t>20 Jun</t>
        </is>
      </c>
      <c r="B337" s="16" t="inlineStr">
        <is>
          <t>30460</t>
        </is>
      </c>
      <c r="C337" s="16" t="n">
        <v>27380</v>
      </c>
      <c r="D337" s="16" t="n">
        <v>27327</v>
      </c>
      <c r="E337" s="16" t="n">
        <v>25992</v>
      </c>
      <c r="F337" s="38" t="n">
        <v>665335</v>
      </c>
      <c r="G337" s="38" t="n">
        <v>1435883</v>
      </c>
      <c r="H337" s="38" t="n">
        <v>699093</v>
      </c>
      <c r="I337" s="38" t="n">
        <v>1242964</v>
      </c>
      <c r="J337" s="19">
        <f>(I337-H337)/1000</f>
        <v/>
      </c>
      <c r="K337" s="16" t="inlineStr">
        <is>
          <t>Yes</t>
        </is>
      </c>
      <c r="L337" s="16" t="n">
        <v>124</v>
      </c>
      <c r="M337" s="39" t="inlineStr">
        <is>
          <t>- (full trip)</t>
        </is>
      </c>
    </row>
    <row r="338">
      <c r="A338" s="16" t="inlineStr">
        <is>
          <t>20 Jun</t>
        </is>
      </c>
      <c r="B338" s="16" t="inlineStr">
        <is>
          <t>37397</t>
        </is>
      </c>
      <c r="C338" s="16" t="n">
        <v>20952</v>
      </c>
      <c r="D338" s="16" t="n">
        <v>20875</v>
      </c>
      <c r="E338" s="16" t="n">
        <v>19464</v>
      </c>
      <c r="F338" s="38" t="n">
        <v>657118</v>
      </c>
      <c r="G338" s="38" t="n">
        <v>1437170</v>
      </c>
      <c r="H338" s="38" t="n">
        <v>699078</v>
      </c>
      <c r="I338" s="38" t="n">
        <v>1242940</v>
      </c>
      <c r="J338" s="19">
        <f>(I338-H338)/1000</f>
        <v/>
      </c>
      <c r="K338" s="16" t="inlineStr">
        <is>
          <t>Yes</t>
        </is>
      </c>
      <c r="L338" s="16" t="n">
        <v>124</v>
      </c>
      <c r="M338" s="39" t="inlineStr">
        <is>
          <t>- (full trip)</t>
        </is>
      </c>
    </row>
    <row r="339">
      <c r="A339" s="16" t="inlineStr">
        <is>
          <t>20 Jun</t>
        </is>
      </c>
      <c r="B339" s="16" t="inlineStr">
        <is>
          <t>39147</t>
        </is>
      </c>
      <c r="C339" s="16" t="n">
        <v>18782</v>
      </c>
      <c r="D339" s="16" t="n">
        <v>18719</v>
      </c>
      <c r="E339" s="16" t="n">
        <v>17710</v>
      </c>
      <c r="F339" s="38" t="n">
        <v>662522</v>
      </c>
      <c r="G339" s="38" t="n">
        <v>1431198</v>
      </c>
      <c r="H339" s="38" t="n">
        <v>699083</v>
      </c>
      <c r="I339" s="38" t="n">
        <v>1242738</v>
      </c>
      <c r="J339" s="19">
        <f>(I339-H339)/1000</f>
        <v/>
      </c>
      <c r="K339" s="16" t="inlineStr">
        <is>
          <t>Yes</t>
        </is>
      </c>
      <c r="L339" s="16" t="n">
        <v>124</v>
      </c>
      <c r="M339" s="39" t="inlineStr">
        <is>
          <t>- (full trip)</t>
        </is>
      </c>
    </row>
    <row r="340">
      <c r="A340" s="16" t="inlineStr">
        <is>
          <t>20 Jun</t>
        </is>
      </c>
      <c r="B340" s="16" t="inlineStr">
        <is>
          <t>37684</t>
        </is>
      </c>
      <c r="C340" s="16" t="n">
        <v>25383</v>
      </c>
      <c r="D340" s="16" t="n">
        <v>25346</v>
      </c>
      <c r="E340" s="16" t="n">
        <v>23222</v>
      </c>
      <c r="F340" s="38" t="n">
        <v>657146</v>
      </c>
      <c r="G340" s="38" t="n">
        <v>1447298</v>
      </c>
      <c r="H340" s="38" t="n">
        <v>699081</v>
      </c>
      <c r="I340" s="38" t="n">
        <v>1240724</v>
      </c>
      <c r="J340" s="19">
        <f>(I340-H340)/1000</f>
        <v/>
      </c>
      <c r="K340" s="16" t="inlineStr">
        <is>
          <t>Yes</t>
        </is>
      </c>
      <c r="L340" s="16" t="n">
        <v>124</v>
      </c>
      <c r="M340" s="39" t="inlineStr">
        <is>
          <t>- (full trip)</t>
        </is>
      </c>
    </row>
    <row r="341">
      <c r="A341" s="16" t="inlineStr">
        <is>
          <t>20 Jun</t>
        </is>
      </c>
      <c r="B341" s="16" t="inlineStr">
        <is>
          <t>30343</t>
        </is>
      </c>
      <c r="C341" s="16" t="n">
        <v>24005</v>
      </c>
      <c r="D341" s="16" t="n">
        <v>23986</v>
      </c>
      <c r="E341" s="16" t="n">
        <v>22623</v>
      </c>
      <c r="F341" s="38" t="n">
        <v>665780</v>
      </c>
      <c r="G341" s="38" t="n">
        <v>1436101</v>
      </c>
      <c r="H341" s="38" t="n">
        <v>699081</v>
      </c>
      <c r="I341" s="38" t="n">
        <v>1240656</v>
      </c>
      <c r="J341" s="19">
        <f>(I341-H341)/1000</f>
        <v/>
      </c>
      <c r="K341" s="16" t="inlineStr">
        <is>
          <t>Yes</t>
        </is>
      </c>
      <c r="L341" s="16" t="n">
        <v>124</v>
      </c>
      <c r="M341" s="39" t="inlineStr">
        <is>
          <t>- (full trip)</t>
        </is>
      </c>
    </row>
    <row r="342" ht="64" customHeight="1">
      <c r="A342" s="16" t="inlineStr">
        <is>
          <t>20 Jun</t>
        </is>
      </c>
      <c r="B342" s="16" t="inlineStr">
        <is>
          <t>37818</t>
        </is>
      </c>
      <c r="C342" s="16" t="n">
        <v>9235</v>
      </c>
      <c r="D342" s="16" t="n">
        <v>9235</v>
      </c>
      <c r="E342" s="16" t="n">
        <v>7629</v>
      </c>
      <c r="F342" s="38" t="n">
        <v>642644</v>
      </c>
      <c r="G342" s="38" t="n">
        <v>1170969</v>
      </c>
      <c r="H342" s="38" t="n">
        <v>699076</v>
      </c>
      <c r="I342" s="38" t="n">
        <v>1170969</v>
      </c>
      <c r="J342" s="19">
        <f>(I342-H342)/1000</f>
        <v/>
      </c>
      <c r="K342" s="16" t="inlineStr">
        <is>
          <t>Yes</t>
        </is>
      </c>
      <c r="L342" s="16" t="n">
        <v>108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3" ht="64" customHeight="1">
      <c r="A343" s="16" t="inlineStr">
        <is>
          <t>20 Jun</t>
        </is>
      </c>
      <c r="B343" s="16" t="inlineStr">
        <is>
          <t>39014</t>
        </is>
      </c>
      <c r="C343" s="16" t="n">
        <v>21882</v>
      </c>
      <c r="D343" s="16" t="n">
        <v>21330</v>
      </c>
      <c r="E343" s="16" t="n">
        <v>20177</v>
      </c>
      <c r="F343" s="38" t="n">
        <v>657566</v>
      </c>
      <c r="G343" s="38" t="n">
        <v>1170739</v>
      </c>
      <c r="H343" s="38" t="n">
        <v>699094</v>
      </c>
      <c r="I343" s="38" t="n">
        <v>1170739</v>
      </c>
      <c r="J343" s="19">
        <f>(I343-H343)/1000</f>
        <v/>
      </c>
      <c r="K343" s="16" t="inlineStr">
        <is>
          <t>Yes</t>
        </is>
      </c>
      <c r="L343" s="16" t="n">
        <v>108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4" ht="64" customHeight="1">
      <c r="A344" s="16" t="inlineStr">
        <is>
          <t>20 Jun</t>
        </is>
      </c>
      <c r="B344" s="16" t="inlineStr">
        <is>
          <t>37884</t>
        </is>
      </c>
      <c r="C344" s="16" t="n">
        <v>22640</v>
      </c>
      <c r="D344" s="16" t="n">
        <v>22600</v>
      </c>
      <c r="E344" s="16" t="n">
        <v>21120</v>
      </c>
      <c r="F344" s="38" t="n">
        <v>656331</v>
      </c>
      <c r="G344" s="38" t="n">
        <v>1169668</v>
      </c>
      <c r="H344" s="38" t="n">
        <v>699077</v>
      </c>
      <c r="I344" s="38" t="n">
        <v>1169668</v>
      </c>
      <c r="J344" s="19">
        <f>(I344-H344)/1000</f>
        <v/>
      </c>
      <c r="K344" s="16" t="inlineStr">
        <is>
          <t>Yes</t>
        </is>
      </c>
      <c r="L344" s="16" t="n">
        <v>108</v>
      </c>
      <c r="M34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5" ht="64" customHeight="1">
      <c r="A345" s="16" t="inlineStr">
        <is>
          <t>20 Jun</t>
        </is>
      </c>
      <c r="B345" s="16" t="inlineStr">
        <is>
          <t>39488</t>
        </is>
      </c>
      <c r="C345" s="16" t="n">
        <v>19551</v>
      </c>
      <c r="D345" s="16" t="n">
        <v>19356</v>
      </c>
      <c r="E345" s="16" t="n">
        <v>17380</v>
      </c>
      <c r="F345" s="38" t="n">
        <v>656334</v>
      </c>
      <c r="G345" s="38" t="n">
        <v>1169674</v>
      </c>
      <c r="H345" s="38" t="n">
        <v>699088</v>
      </c>
      <c r="I345" s="38" t="n">
        <v>1169674</v>
      </c>
      <c r="J345" s="19">
        <f>(I345-H345)/1000</f>
        <v/>
      </c>
      <c r="K345" s="16" t="inlineStr">
        <is>
          <t>Yes</t>
        </is>
      </c>
      <c r="L345" s="16" t="n">
        <v>108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46" ht="124" customHeight="1">
      <c r="A346" s="16" t="inlineStr">
        <is>
          <t>20 Jun</t>
        </is>
      </c>
      <c r="B346" s="16" t="inlineStr">
        <is>
          <t>37515</t>
        </is>
      </c>
      <c r="C346" s="16" t="n">
        <v>15780</v>
      </c>
      <c r="D346" s="16" t="n">
        <v>15780</v>
      </c>
      <c r="E346" s="16" t="n">
        <v>14027</v>
      </c>
      <c r="F346" s="38" t="n">
        <v>657438</v>
      </c>
      <c r="G346" s="38" t="n">
        <v>1091795</v>
      </c>
      <c r="H346" s="38" t="n">
        <v>699082</v>
      </c>
      <c r="I346" s="38" t="n">
        <v>1091795</v>
      </c>
      <c r="J346" s="19">
        <f>(I346-H346)/1000</f>
        <v/>
      </c>
      <c r="K346" s="16" t="inlineStr">
        <is>
          <t>Yes</t>
        </is>
      </c>
      <c r="L346" s="16" t="n">
        <v>91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347" ht="169" customHeight="1">
      <c r="A347" s="16" t="inlineStr">
        <is>
          <t>20 Jun</t>
        </is>
      </c>
      <c r="B347" s="16" t="inlineStr">
        <is>
          <t>37780</t>
        </is>
      </c>
      <c r="C347" s="16" t="n">
        <v>29809</v>
      </c>
      <c r="D347" s="16" t="n">
        <v>29224</v>
      </c>
      <c r="E347" s="16" t="n">
        <v>26994</v>
      </c>
      <c r="F347" s="38" t="n">
        <v>652269</v>
      </c>
      <c r="G347" s="38" t="n">
        <v>1029121</v>
      </c>
      <c r="H347" s="38" t="n">
        <v>699078</v>
      </c>
      <c r="I347" s="38" t="n">
        <v>1029121</v>
      </c>
      <c r="J347" s="19">
        <f>(I347-H347)/1000</f>
        <v/>
      </c>
      <c r="K347" s="16" t="inlineStr">
        <is>
          <t>Yes</t>
        </is>
      </c>
      <c r="L347" s="16" t="n">
        <v>77</v>
      </c>
      <c r="M34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48" ht="184" customHeight="1">
      <c r="A348" s="16" t="inlineStr">
        <is>
          <t>20 Jun</t>
        </is>
      </c>
      <c r="B348" s="16" t="inlineStr">
        <is>
          <t>30451</t>
        </is>
      </c>
      <c r="C348" s="16" t="n">
        <v>22948</v>
      </c>
      <c r="D348" s="16" t="n">
        <v>22901</v>
      </c>
      <c r="E348" s="16" t="n">
        <v>22732</v>
      </c>
      <c r="F348" s="38" t="n">
        <v>920357</v>
      </c>
      <c r="G348" s="38" t="n">
        <v>1424125</v>
      </c>
      <c r="H348" s="38" t="n">
        <v>920357</v>
      </c>
      <c r="I348" s="38" t="n">
        <v>1242967</v>
      </c>
      <c r="J348" s="19">
        <f>(I348-H348)/1000</f>
        <v/>
      </c>
      <c r="K348" s="16" t="inlineStr">
        <is>
          <t>Yes</t>
        </is>
      </c>
      <c r="L348" s="16" t="n">
        <v>78</v>
      </c>
      <c r="M34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9" ht="184" customHeight="1">
      <c r="A349" s="16" t="inlineStr">
        <is>
          <t>20 Jun</t>
        </is>
      </c>
      <c r="B349" s="16" t="inlineStr">
        <is>
          <t>30488</t>
        </is>
      </c>
      <c r="C349" s="16" t="n">
        <v>12737</v>
      </c>
      <c r="D349" s="16" t="n">
        <v>12692</v>
      </c>
      <c r="E349" s="16" t="n">
        <v>11862</v>
      </c>
      <c r="F349" s="38" t="n">
        <v>920513</v>
      </c>
      <c r="G349" s="38" t="n">
        <v>1474359</v>
      </c>
      <c r="H349" s="38" t="n">
        <v>920513</v>
      </c>
      <c r="I349" s="38" t="n">
        <v>1242984</v>
      </c>
      <c r="J349" s="19">
        <f>(I349-H349)/1000</f>
        <v/>
      </c>
      <c r="K349" s="16" t="inlineStr">
        <is>
          <t>Yes</t>
        </is>
      </c>
      <c r="L349" s="16" t="n">
        <v>78</v>
      </c>
      <c r="M34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0" ht="184" customHeight="1">
      <c r="A350" s="16" t="inlineStr">
        <is>
          <t>20 Jun</t>
        </is>
      </c>
      <c r="B350" s="16" t="inlineStr">
        <is>
          <t>30339</t>
        </is>
      </c>
      <c r="C350" s="16" t="n">
        <v>21411</v>
      </c>
      <c r="D350" s="16" t="n">
        <v>21351</v>
      </c>
      <c r="E350" s="16" t="n">
        <v>20885</v>
      </c>
      <c r="F350" s="38" t="n">
        <v>921484</v>
      </c>
      <c r="G350" s="38" t="n">
        <v>1473352</v>
      </c>
      <c r="H350" s="38" t="n">
        <v>921484</v>
      </c>
      <c r="I350" s="38" t="n">
        <v>1242922</v>
      </c>
      <c r="J350" s="19">
        <f>(I350-H350)/1000</f>
        <v/>
      </c>
      <c r="K350" s="16" t="inlineStr">
        <is>
          <t>Yes</t>
        </is>
      </c>
      <c r="L350" s="16" t="n">
        <v>78</v>
      </c>
      <c r="M35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1" ht="184" customHeight="1">
      <c r="A351" s="16" t="inlineStr">
        <is>
          <t>20 Jun</t>
        </is>
      </c>
      <c r="B351" s="16" t="inlineStr">
        <is>
          <t>37632</t>
        </is>
      </c>
      <c r="C351" s="16" t="n">
        <v>121</v>
      </c>
      <c r="D351" s="16" t="n">
        <v>121</v>
      </c>
      <c r="E351" s="16" t="n">
        <v>121</v>
      </c>
      <c r="F351" s="38" t="n">
        <v>920356</v>
      </c>
      <c r="G351" s="38" t="n">
        <v>1241206</v>
      </c>
      <c r="H351" s="38" t="n">
        <v>920356</v>
      </c>
      <c r="I351" s="38" t="n">
        <v>1241206</v>
      </c>
      <c r="J351" s="19">
        <f>(I351-H351)/1000</f>
        <v/>
      </c>
      <c r="K351" s="16" t="inlineStr">
        <is>
          <t>Yes</t>
        </is>
      </c>
      <c r="L351" s="16" t="n">
        <v>78</v>
      </c>
      <c r="M35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2" ht="184" customHeight="1">
      <c r="A352" s="16" t="inlineStr">
        <is>
          <t>20 Jun</t>
        </is>
      </c>
      <c r="B352" s="16" t="inlineStr">
        <is>
          <t>30269</t>
        </is>
      </c>
      <c r="C352" s="16" t="n">
        <v>10935</v>
      </c>
      <c r="D352" s="16" t="n">
        <v>10918</v>
      </c>
      <c r="E352" s="16" t="n">
        <v>9676</v>
      </c>
      <c r="F352" s="38" t="n">
        <v>921488</v>
      </c>
      <c r="G352" s="38" t="n">
        <v>1476835</v>
      </c>
      <c r="H352" s="38" t="n">
        <v>921488</v>
      </c>
      <c r="I352" s="38" t="n">
        <v>1240697</v>
      </c>
      <c r="J352" s="19">
        <f>(I352-H352)/1000</f>
        <v/>
      </c>
      <c r="K352" s="16" t="inlineStr">
        <is>
          <t>Yes</t>
        </is>
      </c>
      <c r="L352" s="16" t="n">
        <v>78</v>
      </c>
      <c r="M35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3" ht="184" customHeight="1">
      <c r="A353" s="16" t="inlineStr">
        <is>
          <t>20 Jun</t>
        </is>
      </c>
      <c r="B353" s="16" t="inlineStr">
        <is>
          <t>30608</t>
        </is>
      </c>
      <c r="C353" s="16" t="n">
        <v>8779</v>
      </c>
      <c r="D353" s="16" t="n">
        <v>8776</v>
      </c>
      <c r="E353" s="16" t="n">
        <v>8607</v>
      </c>
      <c r="F353" s="38" t="n">
        <v>921775</v>
      </c>
      <c r="G353" s="38" t="n">
        <v>1436882</v>
      </c>
      <c r="H353" s="38" t="n">
        <v>921775</v>
      </c>
      <c r="I353" s="38" t="n">
        <v>1240694</v>
      </c>
      <c r="J353" s="19">
        <f>(I353-H353)/1000</f>
        <v/>
      </c>
      <c r="K353" s="16" t="inlineStr">
        <is>
          <t>Yes</t>
        </is>
      </c>
      <c r="L353" s="16" t="n">
        <v>78</v>
      </c>
      <c r="M35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4" ht="184" customHeight="1">
      <c r="A354" s="16" t="inlineStr">
        <is>
          <t>20 Jun</t>
        </is>
      </c>
      <c r="B354" s="16" t="inlineStr">
        <is>
          <t>30346</t>
        </is>
      </c>
      <c r="C354" s="16" t="n">
        <v>10307</v>
      </c>
      <c r="D354" s="16" t="n">
        <v>10300</v>
      </c>
      <c r="E354" s="16" t="n">
        <v>9791</v>
      </c>
      <c r="F354" s="38" t="n">
        <v>921777</v>
      </c>
      <c r="G354" s="38" t="n">
        <v>1448321</v>
      </c>
      <c r="H354" s="38" t="n">
        <v>921777</v>
      </c>
      <c r="I354" s="38" t="n">
        <v>1240570</v>
      </c>
      <c r="J354" s="19">
        <f>(I354-H354)/1000</f>
        <v/>
      </c>
      <c r="K354" s="16" t="inlineStr">
        <is>
          <t>Yes</t>
        </is>
      </c>
      <c r="L354" s="16" t="n">
        <v>78</v>
      </c>
      <c r="M3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5" ht="199" customHeight="1">
      <c r="A355" s="16" t="inlineStr">
        <is>
          <t>20 Jun</t>
        </is>
      </c>
      <c r="B355" s="16" t="inlineStr">
        <is>
          <t>37367</t>
        </is>
      </c>
      <c r="C355" s="16" t="n">
        <v>22147</v>
      </c>
      <c r="D355" s="16" t="n">
        <v>22044</v>
      </c>
      <c r="E355" s="16" t="n">
        <v>22044</v>
      </c>
      <c r="F355" s="38" t="n">
        <v>920683</v>
      </c>
      <c r="G355" s="38" t="n">
        <v>1172578</v>
      </c>
      <c r="H355" s="38" t="n">
        <v>920683</v>
      </c>
      <c r="I355" s="38" t="n">
        <v>1172578</v>
      </c>
      <c r="J355" s="19">
        <f>(I355-H355)/1000</f>
        <v/>
      </c>
      <c r="K355" s="16" t="inlineStr">
        <is>
          <t>Yes</t>
        </is>
      </c>
      <c r="L355" s="16" t="n">
        <v>62</v>
      </c>
      <c r="M35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56" ht="184" customHeight="1">
      <c r="A356" s="16" t="inlineStr">
        <is>
          <t>20 Jun</t>
        </is>
      </c>
      <c r="B356" s="16" t="inlineStr">
        <is>
          <t>30415</t>
        </is>
      </c>
      <c r="C356" s="16" t="n">
        <v>8754</v>
      </c>
      <c r="D356" s="16" t="n">
        <v>8754</v>
      </c>
      <c r="E356" s="16" t="n">
        <v>7615</v>
      </c>
      <c r="F356" s="38" t="n">
        <v>657232</v>
      </c>
      <c r="G356" s="38" t="n">
        <v>910431</v>
      </c>
      <c r="H356" s="38" t="n">
        <v>699084</v>
      </c>
      <c r="I356" s="38" t="n">
        <v>910431</v>
      </c>
      <c r="J356" s="19">
        <f>(I356-H356)/1000</f>
        <v/>
      </c>
      <c r="K356" s="16" t="inlineStr">
        <is>
          <t>Yes</t>
        </is>
      </c>
      <c r="L356" s="16" t="n">
        <v>45</v>
      </c>
      <c r="M35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357" ht="184" customHeight="1">
      <c r="A357" s="16" t="inlineStr">
        <is>
          <t>20 Jun</t>
        </is>
      </c>
      <c r="B357" s="16" t="inlineStr">
        <is>
          <t>30753</t>
        </is>
      </c>
      <c r="C357" s="16" t="n">
        <v>7123</v>
      </c>
      <c r="D357" s="16" t="n">
        <v>7122</v>
      </c>
      <c r="E357" s="16" t="n">
        <v>5624</v>
      </c>
      <c r="F357" s="38" t="n">
        <v>654780</v>
      </c>
      <c r="G357" s="38" t="n">
        <v>866558</v>
      </c>
      <c r="H357" s="38" t="n">
        <v>699076</v>
      </c>
      <c r="I357" s="38" t="n">
        <v>866558</v>
      </c>
      <c r="J357" s="19">
        <f>(I357-H357)/1000</f>
        <v/>
      </c>
      <c r="K357" s="16" t="inlineStr">
        <is>
          <t>Yes</t>
        </is>
      </c>
      <c r="L357" s="16" t="n">
        <v>36</v>
      </c>
      <c r="M35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58" ht="184" customHeight="1">
      <c r="A358" s="16" t="inlineStr">
        <is>
          <t>20 Jun</t>
        </is>
      </c>
      <c r="B358" s="16" t="inlineStr">
        <is>
          <t>37580</t>
        </is>
      </c>
      <c r="C358" s="16" t="n">
        <v>7066</v>
      </c>
      <c r="D358" s="16" t="n">
        <v>7066</v>
      </c>
      <c r="E358" s="16" t="n">
        <v>6856</v>
      </c>
      <c r="F358" s="38" t="n">
        <v>695667</v>
      </c>
      <c r="G358" s="38" t="n">
        <v>849438</v>
      </c>
      <c r="H358" s="38" t="n">
        <v>699084</v>
      </c>
      <c r="I358" s="38" t="n">
        <v>849438</v>
      </c>
      <c r="J358" s="19">
        <f>(I358-H358)/1000</f>
        <v/>
      </c>
      <c r="K358" s="16" t="inlineStr">
        <is>
          <t>Yes</t>
        </is>
      </c>
      <c r="L358" s="16" t="n">
        <v>32</v>
      </c>
      <c r="M35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59" ht="184" customHeight="1">
      <c r="A359" s="16" t="inlineStr">
        <is>
          <t>20 Jun</t>
        </is>
      </c>
      <c r="B359" s="16" t="inlineStr">
        <is>
          <t>39145</t>
        </is>
      </c>
      <c r="C359" s="16" t="n">
        <v>4219</v>
      </c>
      <c r="D359" s="16" t="n">
        <v>3903</v>
      </c>
      <c r="E359" s="16" t="n">
        <v>3903</v>
      </c>
      <c r="F359" s="38" t="n">
        <v>889006</v>
      </c>
      <c r="G359" s="38" t="n">
        <v>1029140</v>
      </c>
      <c r="H359" s="38" t="n">
        <v>889006</v>
      </c>
      <c r="I359" s="38" t="n">
        <v>1029140</v>
      </c>
      <c r="J359" s="19">
        <f>(I359-H359)/1000</f>
        <v/>
      </c>
      <c r="K359" s="16" t="inlineStr">
        <is>
          <t>Yes</t>
        </is>
      </c>
      <c r="L359" s="16" t="n">
        <v>38</v>
      </c>
      <c r="M35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IBH-95(7.25KM FROM DARA), Dara(DARA), IBH KIW-DARA  ...(+36 more)</t>
        </is>
      </c>
    </row>
    <row r="360" ht="184" customHeight="1">
      <c r="A360" s="16" t="inlineStr">
        <is>
          <t>20 Jun</t>
        </is>
      </c>
      <c r="B360" s="16" t="inlineStr">
        <is>
          <t>39336</t>
        </is>
      </c>
      <c r="C360" s="16" t="n">
        <v>23034</v>
      </c>
      <c r="D360" s="16" t="n">
        <v>22845</v>
      </c>
      <c r="E360" s="16" t="n">
        <v>22845</v>
      </c>
      <c r="F360" s="38" t="n">
        <v>920367</v>
      </c>
      <c r="G360" s="38" t="n">
        <v>1029025</v>
      </c>
      <c r="H360" s="38" t="n">
        <v>920367</v>
      </c>
      <c r="I360" s="38" t="n">
        <v>1029025</v>
      </c>
      <c r="J360" s="19">
        <f>(I360-H360)/1000</f>
        <v/>
      </c>
      <c r="K360" s="16" t="inlineStr">
        <is>
          <t>Yes</t>
        </is>
      </c>
      <c r="L360" s="16" t="n">
        <v>31</v>
      </c>
      <c r="M36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1" ht="184" customHeight="1">
      <c r="A361" s="16" t="inlineStr">
        <is>
          <t>20 Jun</t>
        </is>
      </c>
      <c r="B361" s="16" t="inlineStr">
        <is>
          <t>37035</t>
        </is>
      </c>
      <c r="C361" s="16" t="n">
        <v>10527</v>
      </c>
      <c r="D361" s="16" t="n">
        <v>10463</v>
      </c>
      <c r="E361" s="16" t="n">
        <v>10463</v>
      </c>
      <c r="F361" s="38" t="n">
        <v>920361</v>
      </c>
      <c r="G361" s="38" t="n">
        <v>1028910</v>
      </c>
      <c r="H361" s="38" t="n">
        <v>920361</v>
      </c>
      <c r="I361" s="38" t="n">
        <v>1028910</v>
      </c>
      <c r="J361" s="19">
        <f>(I361-H361)/1000</f>
        <v/>
      </c>
      <c r="K361" s="16" t="inlineStr">
        <is>
          <t>Yes</t>
        </is>
      </c>
      <c r="L361" s="16" t="n">
        <v>31</v>
      </c>
      <c r="M3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2" ht="184" customHeight="1">
      <c r="A362" s="16" t="inlineStr">
        <is>
          <t>20 Jun</t>
        </is>
      </c>
      <c r="B362" s="16" t="inlineStr">
        <is>
          <t>37725</t>
        </is>
      </c>
      <c r="C362" s="16" t="n">
        <v>2205</v>
      </c>
      <c r="D362" s="16" t="n">
        <v>2200</v>
      </c>
      <c r="E362" s="16" t="n">
        <v>2200</v>
      </c>
      <c r="F362" s="38" t="n">
        <v>963486</v>
      </c>
      <c r="G362" s="38" t="n">
        <v>1028399</v>
      </c>
      <c r="H362" s="38" t="n">
        <v>963486</v>
      </c>
      <c r="I362" s="38" t="n">
        <v>1028399</v>
      </c>
      <c r="J362" s="19">
        <f>(I362-H362)/1000</f>
        <v/>
      </c>
      <c r="K362" s="16" t="inlineStr">
        <is>
          <t>Yes</t>
        </is>
      </c>
      <c r="L362" s="16" t="n">
        <v>17</v>
      </c>
      <c r="M3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IBH-131, LC-128, Kapren(KPZ)  ...(+57 more)</t>
        </is>
      </c>
    </row>
    <row r="363" ht="184" customHeight="1">
      <c r="A363" s="16" t="inlineStr">
        <is>
          <t>20 Jun</t>
        </is>
      </c>
      <c r="B363" s="16" t="inlineStr">
        <is>
          <t>30335</t>
        </is>
      </c>
      <c r="C363" s="16" t="n">
        <v>1683</v>
      </c>
      <c r="D363" s="16" t="n">
        <v>1679</v>
      </c>
      <c r="E363" s="16" t="n">
        <v>1679</v>
      </c>
      <c r="F363" s="38" t="n">
        <v>920537</v>
      </c>
      <c r="G363" s="38" t="n">
        <v>961467</v>
      </c>
      <c r="H363" s="38" t="n">
        <v>920537</v>
      </c>
      <c r="I363" s="38" t="n">
        <v>961467</v>
      </c>
      <c r="J363" s="19">
        <f>(I363-H363)/1000</f>
        <v/>
      </c>
      <c r="K363" s="16" t="inlineStr">
        <is>
          <t>Yes</t>
        </is>
      </c>
      <c r="L363" s="16" t="n">
        <v>15</v>
      </c>
      <c r="M3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64" ht="184" customHeight="1">
      <c r="A364" s="16" t="inlineStr">
        <is>
          <t>20 Jun</t>
        </is>
      </c>
      <c r="B364" s="16" t="inlineStr">
        <is>
          <t>37582</t>
        </is>
      </c>
      <c r="C364" s="16" t="n">
        <v>1941</v>
      </c>
      <c r="D364" s="16" t="n">
        <v>1941</v>
      </c>
      <c r="E364" s="16" t="n">
        <v>893</v>
      </c>
      <c r="F364" s="38" t="n">
        <v>658458</v>
      </c>
      <c r="G364" s="38" t="n">
        <v>730805</v>
      </c>
      <c r="H364" s="38" t="n">
        <v>699092</v>
      </c>
      <c r="I364" s="38" t="n">
        <v>730805</v>
      </c>
      <c r="J364" s="19">
        <f>(I364-H364)/1000</f>
        <v/>
      </c>
      <c r="K364" s="16" t="inlineStr">
        <is>
          <t>Yes</t>
        </is>
      </c>
      <c r="L364" s="16" t="n">
        <v>8</v>
      </c>
      <c r="M3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365" ht="184" customHeight="1">
      <c r="A365" s="16" t="inlineStr">
        <is>
          <t>20 Jun</t>
        </is>
      </c>
      <c r="B365" s="16" t="inlineStr">
        <is>
          <t>30819</t>
        </is>
      </c>
      <c r="C365" s="16" t="n">
        <v>568</v>
      </c>
      <c r="D365" s="16" t="n">
        <v>568</v>
      </c>
      <c r="E365" s="16" t="n">
        <v>46</v>
      </c>
      <c r="F365" s="38" t="n">
        <v>1233243</v>
      </c>
      <c r="G365" s="38" t="n">
        <v>1350100</v>
      </c>
      <c r="H365" s="38" t="n">
        <v>1233243</v>
      </c>
      <c r="I365" s="38" t="n">
        <v>1243777</v>
      </c>
      <c r="J365" s="19">
        <f>(I365-H365)/1000</f>
        <v/>
      </c>
      <c r="K365" s="16" t="inlineStr">
        <is>
          <t>Yes</t>
        </is>
      </c>
      <c r="L365" s="16" t="n">
        <v>3</v>
      </c>
      <c r="M36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6" ht="184" customHeight="1">
      <c r="A366" s="16" t="inlineStr">
        <is>
          <t>20 Jun</t>
        </is>
      </c>
      <c r="B366" s="16" t="inlineStr">
        <is>
          <t>30176</t>
        </is>
      </c>
      <c r="C366" s="16" t="n">
        <v>66</v>
      </c>
      <c r="D366" s="16" t="n">
        <v>6</v>
      </c>
      <c r="E366" s="16" t="n">
        <v>6</v>
      </c>
      <c r="F366" s="38" t="n">
        <v>920813</v>
      </c>
      <c r="G366" s="38" t="n">
        <v>929230</v>
      </c>
      <c r="H366" s="38" t="n">
        <v>920813</v>
      </c>
      <c r="I366" s="38" t="n">
        <v>929230</v>
      </c>
      <c r="J366" s="19">
        <f>(I366-H366)/1000</f>
        <v/>
      </c>
      <c r="K366" s="16" t="inlineStr">
        <is>
          <t>Yes</t>
        </is>
      </c>
      <c r="L366" s="16" t="n">
        <v>4</v>
      </c>
      <c r="M3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...(+70 more)</t>
        </is>
      </c>
    </row>
    <row r="367" ht="184" customHeight="1">
      <c r="A367" s="16" t="inlineStr">
        <is>
          <t>20 Jun</t>
        </is>
      </c>
      <c r="B367" s="16" t="inlineStr">
        <is>
          <t>37198</t>
        </is>
      </c>
      <c r="C367" s="16" t="n">
        <v>533</v>
      </c>
      <c r="D367" s="16" t="n">
        <v>533</v>
      </c>
      <c r="E367" s="16" t="n">
        <v>5</v>
      </c>
      <c r="F367" s="38" t="n">
        <v>1240286</v>
      </c>
      <c r="G367" s="38" t="n">
        <v>1386007</v>
      </c>
      <c r="H367" s="38" t="n">
        <v>1240286</v>
      </c>
      <c r="I367" s="38" t="n">
        <v>1241602</v>
      </c>
      <c r="J367" s="19">
        <f>(I367-H367)/1000</f>
        <v/>
      </c>
      <c r="K367" s="16" t="inlineStr">
        <is>
          <t>Yes</t>
        </is>
      </c>
      <c r="L367" s="16" t="n">
        <v>1</v>
      </c>
      <c r="M367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68" ht="184" customHeight="1">
      <c r="A368" s="31" t="inlineStr">
        <is>
          <t>20 Jun</t>
        </is>
      </c>
      <c r="B368" s="31" t="inlineStr">
        <is>
          <t>30147</t>
        </is>
      </c>
      <c r="C368" s="31" t="n">
        <v>684</v>
      </c>
      <c r="D368" s="31" t="n">
        <v>683</v>
      </c>
      <c r="E368" s="31" t="n">
        <v>0</v>
      </c>
      <c r="F368" s="40" t="n">
        <v>1401504</v>
      </c>
      <c r="G368" s="40" t="n">
        <v>1474194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20 Jun</t>
        </is>
      </c>
      <c r="B369" s="31" t="inlineStr">
        <is>
          <t>30356</t>
        </is>
      </c>
      <c r="C369" s="31" t="n">
        <v>488</v>
      </c>
      <c r="D369" s="31" t="n">
        <v>488</v>
      </c>
      <c r="E369" s="31" t="n">
        <v>0</v>
      </c>
      <c r="F369" s="40" t="n">
        <v>1401334</v>
      </c>
      <c r="G369" s="40" t="n">
        <v>1435715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 ht="184" customHeight="1">
      <c r="A370" s="31" t="inlineStr">
        <is>
          <t>20 Jun</t>
        </is>
      </c>
      <c r="B370" s="31" t="inlineStr">
        <is>
          <t>30382</t>
        </is>
      </c>
      <c r="C370" s="31" t="n">
        <v>286</v>
      </c>
      <c r="D370" s="31" t="n">
        <v>285</v>
      </c>
      <c r="E370" s="31" t="n">
        <v>0</v>
      </c>
      <c r="F370" s="40" t="n">
        <v>1270009</v>
      </c>
      <c r="G370" s="40" t="n">
        <v>1320698</v>
      </c>
      <c r="H370" s="40" t="inlineStr">
        <is>
          <t>-</t>
        </is>
      </c>
      <c r="I370" s="40" t="inlineStr">
        <is>
          <t>-</t>
        </is>
      </c>
      <c r="J370" s="41" t="n">
        <v>0</v>
      </c>
      <c r="K370" s="31" t="inlineStr">
        <is>
          <t>No</t>
        </is>
      </c>
      <c r="L370" s="31" t="n">
        <v>0</v>
      </c>
      <c r="M3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1" ht="184" customHeight="1">
      <c r="A371" s="31" t="inlineStr">
        <is>
          <t>20 Jun</t>
        </is>
      </c>
      <c r="B371" s="31" t="inlineStr">
        <is>
          <t>30533</t>
        </is>
      </c>
      <c r="C371" s="31" t="n">
        <v>1828</v>
      </c>
      <c r="D371" s="31" t="n">
        <v>1828</v>
      </c>
      <c r="E371" s="31" t="n">
        <v>0</v>
      </c>
      <c r="F371" s="40" t="n">
        <v>657133</v>
      </c>
      <c r="G371" s="40" t="n">
        <v>696164</v>
      </c>
      <c r="H371" s="40" t="inlineStr">
        <is>
          <t>-</t>
        </is>
      </c>
      <c r="I371" s="40" t="inlineStr">
        <is>
          <t>-</t>
        </is>
      </c>
      <c r="J371" s="41" t="n">
        <v>0</v>
      </c>
      <c r="K371" s="31" t="inlineStr">
        <is>
          <t>No</t>
        </is>
      </c>
      <c r="L371" s="31" t="n">
        <v>0</v>
      </c>
      <c r="M3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2" ht="184" customHeight="1">
      <c r="A372" s="31" t="inlineStr">
        <is>
          <t>20 Jun</t>
        </is>
      </c>
      <c r="B372" s="31" t="inlineStr">
        <is>
          <t>30716</t>
        </is>
      </c>
      <c r="C372" s="31" t="n">
        <v>245</v>
      </c>
      <c r="D372" s="31" t="n">
        <v>221</v>
      </c>
      <c r="E372" s="31" t="n">
        <v>0</v>
      </c>
      <c r="F372" s="40" t="n">
        <v>1401727</v>
      </c>
      <c r="G372" s="40" t="n">
        <v>1435780</v>
      </c>
      <c r="H372" s="40" t="inlineStr">
        <is>
          <t>-</t>
        </is>
      </c>
      <c r="I372" s="40" t="inlineStr">
        <is>
          <t>-</t>
        </is>
      </c>
      <c r="J372" s="41" t="n">
        <v>0</v>
      </c>
      <c r="K372" s="31" t="inlineStr">
        <is>
          <t>No</t>
        </is>
      </c>
      <c r="L372" s="31" t="n">
        <v>0</v>
      </c>
      <c r="M3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3" ht="184" customHeight="1">
      <c r="A373" s="31" t="inlineStr">
        <is>
          <t>20 Jun</t>
        </is>
      </c>
      <c r="B373" s="31" t="inlineStr">
        <is>
          <t>30808</t>
        </is>
      </c>
      <c r="C373" s="31" t="n">
        <v>2111</v>
      </c>
      <c r="D373" s="31" t="n">
        <v>2111</v>
      </c>
      <c r="E373" s="31" t="n">
        <v>0</v>
      </c>
      <c r="F373" s="40" t="n">
        <v>1319990</v>
      </c>
      <c r="G373" s="40" t="n">
        <v>1448094</v>
      </c>
      <c r="H373" s="40" t="inlineStr">
        <is>
          <t>-</t>
        </is>
      </c>
      <c r="I373" s="40" t="inlineStr">
        <is>
          <t>-</t>
        </is>
      </c>
      <c r="J373" s="41" t="n">
        <v>0</v>
      </c>
      <c r="K373" s="31" t="inlineStr">
        <is>
          <t>No</t>
        </is>
      </c>
      <c r="L373" s="31" t="n">
        <v>0</v>
      </c>
      <c r="M37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4" ht="184" customHeight="1">
      <c r="A374" s="31" t="inlineStr">
        <is>
          <t>20 Jun</t>
        </is>
      </c>
      <c r="B374" s="31" t="inlineStr">
        <is>
          <t>37052</t>
        </is>
      </c>
      <c r="C374" s="31" t="n">
        <v>121</v>
      </c>
      <c r="D374" s="31" t="n">
        <v>121</v>
      </c>
      <c r="E374" s="31" t="n">
        <v>0</v>
      </c>
      <c r="F374" s="40" t="n">
        <v>1401388</v>
      </c>
      <c r="G374" s="40" t="n">
        <v>1416084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20 Jun</t>
        </is>
      </c>
      <c r="B375" s="31" t="inlineStr">
        <is>
          <t>37074</t>
        </is>
      </c>
      <c r="C375" s="31" t="n">
        <v>1551</v>
      </c>
      <c r="D375" s="31" t="n">
        <v>1548</v>
      </c>
      <c r="E375" s="31" t="n">
        <v>0</v>
      </c>
      <c r="F375" s="40" t="n">
        <v>1907</v>
      </c>
      <c r="G375" s="40" t="n">
        <v>698480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20 Jun</t>
        </is>
      </c>
      <c r="B376" s="31" t="inlineStr">
        <is>
          <t>37369</t>
        </is>
      </c>
      <c r="C376" s="31" t="n">
        <v>1300</v>
      </c>
      <c r="D376" s="31" t="n">
        <v>1297</v>
      </c>
      <c r="E376" s="31" t="n">
        <v>0</v>
      </c>
      <c r="F376" s="40" t="n">
        <v>1401337</v>
      </c>
      <c r="G376" s="40" t="n">
        <v>1443904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20 Jun</t>
        </is>
      </c>
      <c r="B377" s="31" t="inlineStr">
        <is>
          <t>37431</t>
        </is>
      </c>
      <c r="C377" s="31" t="n">
        <v>2493</v>
      </c>
      <c r="D377" s="31" t="n">
        <v>2488</v>
      </c>
      <c r="E377" s="31" t="n">
        <v>0</v>
      </c>
      <c r="F377" s="40" t="n">
        <v>1460</v>
      </c>
      <c r="G377" s="40" t="n">
        <v>697378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20 Jun</t>
        </is>
      </c>
      <c r="B378" s="31" t="inlineStr">
        <is>
          <t>37474</t>
        </is>
      </c>
      <c r="C378" s="31" t="n">
        <v>1277</v>
      </c>
      <c r="D378" s="31" t="n">
        <v>1276</v>
      </c>
      <c r="E378" s="31" t="n">
        <v>0</v>
      </c>
      <c r="F378" s="40" t="n">
        <v>1401408</v>
      </c>
      <c r="G378" s="40" t="n">
        <v>1484900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9" ht="184" customHeight="1">
      <c r="A379" s="31" t="inlineStr">
        <is>
          <t>20 Jun</t>
        </is>
      </c>
      <c r="B379" s="31" t="inlineStr">
        <is>
          <t>37483</t>
        </is>
      </c>
      <c r="C379" s="31" t="n">
        <v>239</v>
      </c>
      <c r="D379" s="31" t="n">
        <v>239</v>
      </c>
      <c r="E379" s="31" t="n">
        <v>0</v>
      </c>
      <c r="F379" s="40" t="n">
        <v>1260403</v>
      </c>
      <c r="G379" s="40" t="n">
        <v>1466457</v>
      </c>
      <c r="H379" s="40" t="inlineStr">
        <is>
          <t>-</t>
        </is>
      </c>
      <c r="I379" s="40" t="inlineStr">
        <is>
          <t>-</t>
        </is>
      </c>
      <c r="J379" s="41" t="n">
        <v>0</v>
      </c>
      <c r="K379" s="31" t="inlineStr">
        <is>
          <t>No</t>
        </is>
      </c>
      <c r="L379" s="31" t="n">
        <v>0</v>
      </c>
      <c r="M37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0" ht="184" customHeight="1">
      <c r="A380" s="31" t="inlineStr">
        <is>
          <t>20 Jun</t>
        </is>
      </c>
      <c r="B380" s="31" t="inlineStr">
        <is>
          <t>37548</t>
        </is>
      </c>
      <c r="C380" s="31" t="n">
        <v>707</v>
      </c>
      <c r="D380" s="31" t="n">
        <v>707</v>
      </c>
      <c r="E380" s="31" t="n">
        <v>0</v>
      </c>
      <c r="F380" s="40" t="n">
        <v>657142</v>
      </c>
      <c r="G380" s="40" t="n">
        <v>695585</v>
      </c>
      <c r="H380" s="40" t="inlineStr">
        <is>
          <t>-</t>
        </is>
      </c>
      <c r="I380" s="40" t="inlineStr">
        <is>
          <t>-</t>
        </is>
      </c>
      <c r="J380" s="41" t="n">
        <v>0</v>
      </c>
      <c r="K380" s="31" t="inlineStr">
        <is>
          <t>No</t>
        </is>
      </c>
      <c r="L380" s="31" t="n">
        <v>0</v>
      </c>
      <c r="M38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1" ht="184" customHeight="1">
      <c r="A381" s="31" t="inlineStr">
        <is>
          <t>20 Jun</t>
        </is>
      </c>
      <c r="B381" s="31" t="inlineStr">
        <is>
          <t>37569</t>
        </is>
      </c>
      <c r="C381" s="31" t="n">
        <v>41</v>
      </c>
      <c r="D381" s="31" t="n">
        <v>20</v>
      </c>
      <c r="E381" s="31" t="n">
        <v>0</v>
      </c>
      <c r="F381" s="40" t="n">
        <v>2449</v>
      </c>
      <c r="G381" s="40" t="n">
        <v>696997</v>
      </c>
      <c r="H381" s="40" t="inlineStr">
        <is>
          <t>-</t>
        </is>
      </c>
      <c r="I381" s="40" t="inlineStr">
        <is>
          <t>-</t>
        </is>
      </c>
      <c r="J381" s="41" t="n">
        <v>0</v>
      </c>
      <c r="K381" s="31" t="inlineStr">
        <is>
          <t>No</t>
        </is>
      </c>
      <c r="L381" s="31" t="n">
        <v>0</v>
      </c>
      <c r="M3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2" ht="184" customHeight="1">
      <c r="A382" s="31" t="inlineStr">
        <is>
          <t>20 Jun</t>
        </is>
      </c>
      <c r="B382" s="31" t="inlineStr">
        <is>
          <t>37572</t>
        </is>
      </c>
      <c r="C382" s="31" t="n">
        <v>343</v>
      </c>
      <c r="D382" s="31" t="n">
        <v>343</v>
      </c>
      <c r="E382" s="31" t="n">
        <v>0</v>
      </c>
      <c r="F382" s="40" t="n">
        <v>1405071</v>
      </c>
      <c r="G382" s="40" t="n">
        <v>1436980</v>
      </c>
      <c r="H382" s="40" t="inlineStr">
        <is>
          <t>-</t>
        </is>
      </c>
      <c r="I382" s="40" t="inlineStr">
        <is>
          <t>-</t>
        </is>
      </c>
      <c r="J382" s="41" t="n">
        <v>0</v>
      </c>
      <c r="K382" s="31" t="inlineStr">
        <is>
          <t>No</t>
        </is>
      </c>
      <c r="L382" s="31" t="n">
        <v>0</v>
      </c>
      <c r="M3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3" ht="184" customHeight="1">
      <c r="A383" s="31" t="inlineStr">
        <is>
          <t>20 Jun</t>
        </is>
      </c>
      <c r="B383" s="31" t="inlineStr">
        <is>
          <t>37859</t>
        </is>
      </c>
      <c r="C383" s="31" t="n">
        <v>58</v>
      </c>
      <c r="D383" s="31" t="n">
        <v>58</v>
      </c>
      <c r="E383" s="31" t="n">
        <v>1</v>
      </c>
      <c r="F383" s="40" t="n">
        <v>1242191</v>
      </c>
      <c r="G383" s="40" t="n">
        <v>1317167</v>
      </c>
      <c r="H383" s="40" t="inlineStr">
        <is>
          <t>-</t>
        </is>
      </c>
      <c r="I383" s="40" t="inlineStr">
        <is>
          <t>-</t>
        </is>
      </c>
      <c r="J383" s="41" t="n">
        <v>0</v>
      </c>
      <c r="K383" s="31" t="inlineStr">
        <is>
          <t>No</t>
        </is>
      </c>
      <c r="L383" s="31" t="n">
        <v>1</v>
      </c>
      <c r="M383" s="42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84" ht="184" customHeight="1">
      <c r="A384" s="31" t="inlineStr">
        <is>
          <t>20 Jun</t>
        </is>
      </c>
      <c r="B384" s="31" t="inlineStr">
        <is>
          <t>39176</t>
        </is>
      </c>
      <c r="C384" s="31" t="n">
        <v>5</v>
      </c>
      <c r="D384" s="31" t="n">
        <v>5</v>
      </c>
      <c r="E384" s="31" t="n">
        <v>0</v>
      </c>
      <c r="F384" s="40" t="n">
        <v>1442794</v>
      </c>
      <c r="G384" s="40" t="n">
        <v>1444253</v>
      </c>
      <c r="H384" s="40" t="inlineStr">
        <is>
          <t>-</t>
        </is>
      </c>
      <c r="I384" s="40" t="inlineStr">
        <is>
          <t>-</t>
        </is>
      </c>
      <c r="J384" s="41" t="n">
        <v>0</v>
      </c>
      <c r="K384" s="31" t="inlineStr">
        <is>
          <t>No</t>
        </is>
      </c>
      <c r="L384" s="31" t="n">
        <v>0</v>
      </c>
      <c r="M3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5" ht="184" customHeight="1">
      <c r="A385" s="31" t="inlineStr">
        <is>
          <t>20 Jun</t>
        </is>
      </c>
      <c r="B385" s="31" t="inlineStr">
        <is>
          <t>39204</t>
        </is>
      </c>
      <c r="C385" s="31" t="n">
        <v>2408</v>
      </c>
      <c r="D385" s="31" t="n">
        <v>2383</v>
      </c>
      <c r="E385" s="31" t="n">
        <v>0</v>
      </c>
      <c r="F385" s="40" t="n">
        <v>1264397</v>
      </c>
      <c r="G385" s="40" t="n">
        <v>1498902</v>
      </c>
      <c r="H385" s="40" t="inlineStr">
        <is>
          <t>-</t>
        </is>
      </c>
      <c r="I385" s="40" t="inlineStr">
        <is>
          <t>-</t>
        </is>
      </c>
      <c r="J385" s="41" t="n">
        <v>0</v>
      </c>
      <c r="K385" s="31" t="inlineStr">
        <is>
          <t>No</t>
        </is>
      </c>
      <c r="L385" s="31" t="n">
        <v>0</v>
      </c>
      <c r="M3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6" ht="184" customHeight="1">
      <c r="A386" s="31" t="inlineStr">
        <is>
          <t>20 Jun</t>
        </is>
      </c>
      <c r="B386" s="31" t="inlineStr">
        <is>
          <t>39240</t>
        </is>
      </c>
      <c r="C386" s="31" t="n">
        <v>549</v>
      </c>
      <c r="D386" s="31" t="n">
        <v>549</v>
      </c>
      <c r="E386" s="31" t="n">
        <v>0</v>
      </c>
      <c r="F386" s="40" t="n">
        <v>1401775</v>
      </c>
      <c r="G386" s="40" t="n">
        <v>1483764</v>
      </c>
      <c r="H386" s="40" t="inlineStr">
        <is>
          <t>-</t>
        </is>
      </c>
      <c r="I386" s="40" t="inlineStr">
        <is>
          <t>-</t>
        </is>
      </c>
      <c r="J386" s="41" t="n">
        <v>0</v>
      </c>
      <c r="K386" s="31" t="inlineStr">
        <is>
          <t>No</t>
        </is>
      </c>
      <c r="L386" s="31" t="n">
        <v>0</v>
      </c>
      <c r="M3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7" ht="184" customHeight="1">
      <c r="A387" s="31" t="inlineStr">
        <is>
          <t>20 Jun</t>
        </is>
      </c>
      <c r="B387" s="31" t="inlineStr">
        <is>
          <t>39273</t>
        </is>
      </c>
      <c r="C387" s="31" t="n">
        <v>851</v>
      </c>
      <c r="D387" s="31" t="n">
        <v>847</v>
      </c>
      <c r="E387" s="31" t="n">
        <v>0</v>
      </c>
      <c r="F387" s="40" t="n">
        <v>1275925</v>
      </c>
      <c r="G387" s="40" t="n">
        <v>1436971</v>
      </c>
      <c r="H387" s="40" t="inlineStr">
        <is>
          <t>-</t>
        </is>
      </c>
      <c r="I387" s="40" t="inlineStr">
        <is>
          <t>-</t>
        </is>
      </c>
      <c r="J387" s="41" t="n">
        <v>0</v>
      </c>
      <c r="K387" s="31" t="inlineStr">
        <is>
          <t>No</t>
        </is>
      </c>
      <c r="L387" s="31" t="n">
        <v>0</v>
      </c>
      <c r="M3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8" ht="184" customHeight="1">
      <c r="A388" s="31" t="inlineStr">
        <is>
          <t>20 Jun</t>
        </is>
      </c>
      <c r="B388" s="31" t="inlineStr">
        <is>
          <t>39337</t>
        </is>
      </c>
      <c r="C388" s="31" t="n">
        <v>1463</v>
      </c>
      <c r="D388" s="31" t="n">
        <v>1462</v>
      </c>
      <c r="E388" s="31" t="n">
        <v>0</v>
      </c>
      <c r="F388" s="40" t="n">
        <v>1278335</v>
      </c>
      <c r="G388" s="40" t="n">
        <v>1498787</v>
      </c>
      <c r="H388" s="40" t="inlineStr">
        <is>
          <t>-</t>
        </is>
      </c>
      <c r="I388" s="40" t="inlineStr">
        <is>
          <t>-</t>
        </is>
      </c>
      <c r="J388" s="41" t="n">
        <v>0</v>
      </c>
      <c r="K388" s="31" t="inlineStr">
        <is>
          <t>No</t>
        </is>
      </c>
      <c r="L388" s="31" t="n">
        <v>0</v>
      </c>
      <c r="M3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9" ht="184" customHeight="1">
      <c r="A389" s="31" t="inlineStr">
        <is>
          <t>20 Jun</t>
        </is>
      </c>
      <c r="B389" s="31" t="inlineStr">
        <is>
          <t>39358</t>
        </is>
      </c>
      <c r="C389" s="31" t="n">
        <v>32</v>
      </c>
      <c r="D389" s="31" t="n">
        <v>0</v>
      </c>
      <c r="E389" s="31" t="n">
        <v>0</v>
      </c>
      <c r="F389" s="40" t="inlineStr">
        <is>
          <t>-</t>
        </is>
      </c>
      <c r="G389" s="40" t="inlineStr">
        <is>
          <t>-</t>
        </is>
      </c>
      <c r="H389" s="40" t="inlineStr">
        <is>
          <t>-</t>
        </is>
      </c>
      <c r="I389" s="40" t="inlineStr">
        <is>
          <t>-</t>
        </is>
      </c>
      <c r="J389" s="41" t="n">
        <v>0</v>
      </c>
      <c r="K389" s="31" t="inlineStr">
        <is>
          <t>No</t>
        </is>
      </c>
      <c r="L389" s="31" t="n">
        <v>0</v>
      </c>
      <c r="M3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0" ht="184" customHeight="1">
      <c r="A390" s="31" t="inlineStr">
        <is>
          <t>20 Jun</t>
        </is>
      </c>
      <c r="B390" s="31" t="inlineStr">
        <is>
          <t>45034</t>
        </is>
      </c>
      <c r="C390" s="31" t="n">
        <v>592</v>
      </c>
      <c r="D390" s="31" t="n">
        <v>592</v>
      </c>
      <c r="E390" s="31" t="n">
        <v>0</v>
      </c>
      <c r="F390" s="40" t="n">
        <v>1401468</v>
      </c>
      <c r="G390" s="40" t="n">
        <v>1449656</v>
      </c>
      <c r="H390" s="40" t="inlineStr">
        <is>
          <t>-</t>
        </is>
      </c>
      <c r="I390" s="40" t="inlineStr">
        <is>
          <t>-</t>
        </is>
      </c>
      <c r="J390" s="41" t="n">
        <v>0</v>
      </c>
      <c r="K390" s="31" t="inlineStr">
        <is>
          <t>No</t>
        </is>
      </c>
      <c r="L390" s="31" t="n">
        <v>0</v>
      </c>
      <c r="M3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1" ht="184" customHeight="1">
      <c r="A391" s="31" t="inlineStr">
        <is>
          <t>20 Jun</t>
        </is>
      </c>
      <c r="B391" s="31" t="inlineStr">
        <is>
          <t>52196</t>
        </is>
      </c>
      <c r="C391" s="31" t="n">
        <v>5</v>
      </c>
      <c r="D391" s="31" t="n">
        <v>0</v>
      </c>
      <c r="E391" s="31" t="n">
        <v>0</v>
      </c>
      <c r="F391" s="40" t="inlineStr">
        <is>
          <t>-</t>
        </is>
      </c>
      <c r="G391" s="40" t="inlineStr">
        <is>
          <t>-</t>
        </is>
      </c>
      <c r="H391" s="40" t="inlineStr">
        <is>
          <t>-</t>
        </is>
      </c>
      <c r="I391" s="40" t="inlineStr">
        <is>
          <t>-</t>
        </is>
      </c>
      <c r="J391" s="41" t="n">
        <v>0</v>
      </c>
      <c r="K391" s="31" t="inlineStr">
        <is>
          <t>No</t>
        </is>
      </c>
      <c r="L391" s="31" t="n">
        <v>0</v>
      </c>
      <c r="M3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2">
      <c r="A392" s="16" t="inlineStr">
        <is>
          <t>21 Jun</t>
        </is>
      </c>
      <c r="B392" s="16" t="inlineStr">
        <is>
          <t>30343</t>
        </is>
      </c>
      <c r="C392" s="16" t="n">
        <v>24198</v>
      </c>
      <c r="D392" s="16" t="n">
        <v>24154</v>
      </c>
      <c r="E392" s="16" t="n">
        <v>22708</v>
      </c>
      <c r="F392" s="38" t="n">
        <v>672802</v>
      </c>
      <c r="G392" s="38" t="n">
        <v>1406292</v>
      </c>
      <c r="H392" s="38" t="n">
        <v>699086</v>
      </c>
      <c r="I392" s="38" t="n">
        <v>1242964</v>
      </c>
      <c r="J392" s="19">
        <f>(I392-H392)/1000</f>
        <v/>
      </c>
      <c r="K392" s="16" t="inlineStr">
        <is>
          <t>Yes</t>
        </is>
      </c>
      <c r="L392" s="16" t="n">
        <v>124</v>
      </c>
      <c r="M392" s="39" t="inlineStr">
        <is>
          <t>- (full trip)</t>
        </is>
      </c>
    </row>
    <row r="393">
      <c r="A393" s="16" t="inlineStr">
        <is>
          <t>21 Jun</t>
        </is>
      </c>
      <c r="B393" s="16" t="inlineStr">
        <is>
          <t>37286</t>
        </is>
      </c>
      <c r="C393" s="16" t="n">
        <v>17885</v>
      </c>
      <c r="D393" s="16" t="n">
        <v>17815</v>
      </c>
      <c r="E393" s="16" t="n">
        <v>16838</v>
      </c>
      <c r="F393" s="38" t="n">
        <v>686708</v>
      </c>
      <c r="G393" s="38" t="n">
        <v>1436216</v>
      </c>
      <c r="H393" s="38" t="n">
        <v>699075</v>
      </c>
      <c r="I393" s="38" t="n">
        <v>1242951</v>
      </c>
      <c r="J393" s="19">
        <f>(I393-H393)/1000</f>
        <v/>
      </c>
      <c r="K393" s="16" t="inlineStr">
        <is>
          <t>Yes</t>
        </is>
      </c>
      <c r="L393" s="16" t="n">
        <v>124</v>
      </c>
      <c r="M393" s="39" t="inlineStr">
        <is>
          <t>- (full trip)</t>
        </is>
      </c>
    </row>
    <row r="394">
      <c r="A394" s="16" t="inlineStr">
        <is>
          <t>21 Jun</t>
        </is>
      </c>
      <c r="B394" s="16" t="inlineStr">
        <is>
          <t>37812</t>
        </is>
      </c>
      <c r="C394" s="16" t="n">
        <v>36136</v>
      </c>
      <c r="D394" s="16" t="n">
        <v>36017</v>
      </c>
      <c r="E394" s="16" t="n">
        <v>33670</v>
      </c>
      <c r="F394" s="38" t="n">
        <v>657113</v>
      </c>
      <c r="G394" s="38" t="n">
        <v>1437041</v>
      </c>
      <c r="H394" s="38" t="n">
        <v>699075</v>
      </c>
      <c r="I394" s="38" t="n">
        <v>1242953</v>
      </c>
      <c r="J394" s="19">
        <f>(I394-H394)/1000</f>
        <v/>
      </c>
      <c r="K394" s="16" t="inlineStr">
        <is>
          <t>Yes</t>
        </is>
      </c>
      <c r="L394" s="16" t="n">
        <v>124</v>
      </c>
      <c r="M394" s="39" t="inlineStr">
        <is>
          <t>- (full trip)</t>
        </is>
      </c>
    </row>
    <row r="395">
      <c r="A395" s="16" t="inlineStr">
        <is>
          <t>21 Jun</t>
        </is>
      </c>
      <c r="B395" s="16" t="inlineStr">
        <is>
          <t>37582</t>
        </is>
      </c>
      <c r="C395" s="16" t="n">
        <v>35023</v>
      </c>
      <c r="D395" s="16" t="n">
        <v>34914</v>
      </c>
      <c r="E395" s="16" t="n">
        <v>32529</v>
      </c>
      <c r="F395" s="38" t="n">
        <v>655591</v>
      </c>
      <c r="G395" s="38" t="n">
        <v>1436581</v>
      </c>
      <c r="H395" s="38" t="n">
        <v>699080</v>
      </c>
      <c r="I395" s="38" t="n">
        <v>1242935</v>
      </c>
      <c r="J395" s="19">
        <f>(I395-H395)/1000</f>
        <v/>
      </c>
      <c r="K395" s="16" t="inlineStr">
        <is>
          <t>Yes</t>
        </is>
      </c>
      <c r="L395" s="16" t="n">
        <v>124</v>
      </c>
      <c r="M395" s="39" t="inlineStr">
        <is>
          <t>- (full trip)</t>
        </is>
      </c>
    </row>
    <row r="396">
      <c r="A396" s="16" t="inlineStr">
        <is>
          <t>21 Jun</t>
        </is>
      </c>
      <c r="B396" s="16" t="inlineStr">
        <is>
          <t>39163</t>
        </is>
      </c>
      <c r="C396" s="16" t="n">
        <v>17878</v>
      </c>
      <c r="D396" s="16" t="n">
        <v>17657</v>
      </c>
      <c r="E396" s="16" t="n">
        <v>15885</v>
      </c>
      <c r="F396" s="38" t="n">
        <v>665393</v>
      </c>
      <c r="G396" s="38" t="n">
        <v>1444299</v>
      </c>
      <c r="H396" s="38" t="n">
        <v>699080</v>
      </c>
      <c r="I396" s="38" t="n">
        <v>1242722</v>
      </c>
      <c r="J396" s="19">
        <f>(I396-H396)/1000</f>
        <v/>
      </c>
      <c r="K396" s="16" t="inlineStr">
        <is>
          <t>Yes</t>
        </is>
      </c>
      <c r="L396" s="16" t="n">
        <v>124</v>
      </c>
      <c r="M396" s="39" t="inlineStr">
        <is>
          <t>- (full trip)</t>
        </is>
      </c>
    </row>
    <row r="397">
      <c r="A397" s="16" t="inlineStr">
        <is>
          <t>21 Jun</t>
        </is>
      </c>
      <c r="B397" s="16" t="inlineStr">
        <is>
          <t>45034</t>
        </is>
      </c>
      <c r="C397" s="16" t="n">
        <v>19111</v>
      </c>
      <c r="D397" s="16" t="n">
        <v>19096</v>
      </c>
      <c r="E397" s="16" t="n">
        <v>18511</v>
      </c>
      <c r="F397" s="38" t="n">
        <v>661314</v>
      </c>
      <c r="G397" s="38" t="n">
        <v>1242733</v>
      </c>
      <c r="H397" s="38" t="n">
        <v>699115</v>
      </c>
      <c r="I397" s="38" t="n">
        <v>1242733</v>
      </c>
      <c r="J397" s="19">
        <f>(I397-H397)/1000</f>
        <v/>
      </c>
      <c r="K397" s="16" t="inlineStr">
        <is>
          <t>Yes</t>
        </is>
      </c>
      <c r="L397" s="16" t="n">
        <v>124</v>
      </c>
      <c r="M397" s="39" t="inlineStr">
        <is>
          <t>- (full trip)</t>
        </is>
      </c>
    </row>
    <row r="398">
      <c r="A398" s="16" t="inlineStr">
        <is>
          <t>21 Jun</t>
        </is>
      </c>
      <c r="B398" s="16" t="inlineStr">
        <is>
          <t>39260</t>
        </is>
      </c>
      <c r="C398" s="16" t="n">
        <v>29669</v>
      </c>
      <c r="D398" s="16" t="n">
        <v>29573</v>
      </c>
      <c r="E398" s="16" t="n">
        <v>27756</v>
      </c>
      <c r="F398" s="38" t="n">
        <v>657026</v>
      </c>
      <c r="G398" s="38" t="n">
        <v>1240721</v>
      </c>
      <c r="H398" s="38" t="n">
        <v>699079</v>
      </c>
      <c r="I398" s="38" t="n">
        <v>1240721</v>
      </c>
      <c r="J398" s="19">
        <f>(I398-H398)/1000</f>
        <v/>
      </c>
      <c r="K398" s="16" t="inlineStr">
        <is>
          <t>Yes</t>
        </is>
      </c>
      <c r="L398" s="16" t="n">
        <v>124</v>
      </c>
      <c r="M398" s="39" t="inlineStr">
        <is>
          <t>- (full trip)</t>
        </is>
      </c>
    </row>
    <row r="399">
      <c r="A399" s="16" t="inlineStr">
        <is>
          <t>21 Jun</t>
        </is>
      </c>
      <c r="B399" s="16" t="inlineStr">
        <is>
          <t>39159</t>
        </is>
      </c>
      <c r="C399" s="16" t="n">
        <v>17239</v>
      </c>
      <c r="D399" s="16" t="n">
        <v>17166</v>
      </c>
      <c r="E399" s="16" t="n">
        <v>16614</v>
      </c>
      <c r="F399" s="38" t="n">
        <v>704308</v>
      </c>
      <c r="G399" s="38" t="n">
        <v>1430174</v>
      </c>
      <c r="H399" s="38" t="n">
        <v>704308</v>
      </c>
      <c r="I399" s="38" t="n">
        <v>1242731</v>
      </c>
      <c r="J399" s="19">
        <f>(I399-H399)/1000</f>
        <v/>
      </c>
      <c r="K399" s="16" t="inlineStr">
        <is>
          <t>Yes</t>
        </is>
      </c>
      <c r="L399" s="16" t="n">
        <v>123</v>
      </c>
      <c r="M399" s="39" t="inlineStr">
        <is>
          <t>IBH-1</t>
        </is>
      </c>
    </row>
    <row r="400" ht="34" customHeight="1">
      <c r="A400" s="16" t="inlineStr">
        <is>
          <t>21 Jun</t>
        </is>
      </c>
      <c r="B400" s="16" t="inlineStr">
        <is>
          <t>37515</t>
        </is>
      </c>
      <c r="C400" s="16" t="n">
        <v>19881</v>
      </c>
      <c r="D400" s="16" t="n">
        <v>19802</v>
      </c>
      <c r="E400" s="16" t="n">
        <v>17876</v>
      </c>
      <c r="F400" s="38" t="n">
        <v>657101</v>
      </c>
      <c r="G400" s="38" t="n">
        <v>1214737</v>
      </c>
      <c r="H400" s="38" t="n">
        <v>699077</v>
      </c>
      <c r="I400" s="38" t="n">
        <v>1214737</v>
      </c>
      <c r="J400" s="19">
        <f>(I400-H400)/1000</f>
        <v/>
      </c>
      <c r="K400" s="16" t="inlineStr">
        <is>
          <t>Yes</t>
        </is>
      </c>
      <c r="L400" s="16" t="n">
        <v>119</v>
      </c>
      <c r="M400" s="39" t="inlineStr">
        <is>
          <t>IBH 265, Murhesi Rampur(MSRP), IBH/LC-258, Jajjanpatti(JJA), DhaurmuiJaghina(DUM)</t>
        </is>
      </c>
    </row>
    <row r="401" ht="64" customHeight="1">
      <c r="A401" s="16" t="inlineStr">
        <is>
          <t>21 Jun</t>
        </is>
      </c>
      <c r="B401" s="16" t="inlineStr">
        <is>
          <t>39035</t>
        </is>
      </c>
      <c r="C401" s="16" t="n">
        <v>19983</v>
      </c>
      <c r="D401" s="16" t="n">
        <v>19965</v>
      </c>
      <c r="E401" s="16" t="n">
        <v>19697</v>
      </c>
      <c r="F401" s="38" t="n">
        <v>696251</v>
      </c>
      <c r="G401" s="38" t="n">
        <v>1169668</v>
      </c>
      <c r="H401" s="38" t="n">
        <v>699077</v>
      </c>
      <c r="I401" s="38" t="n">
        <v>1169668</v>
      </c>
      <c r="J401" s="19">
        <f>(I401-H401)/1000</f>
        <v/>
      </c>
      <c r="K401" s="16" t="inlineStr">
        <is>
          <t>Yes</t>
        </is>
      </c>
      <c r="L401" s="16" t="n">
        <v>108</v>
      </c>
      <c r="M40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402" ht="64" customHeight="1">
      <c r="A402" s="16" t="inlineStr">
        <is>
          <t>21 Jun</t>
        </is>
      </c>
      <c r="B402" s="16" t="inlineStr">
        <is>
          <t>37792</t>
        </is>
      </c>
      <c r="C402" s="16" t="n">
        <v>16818</v>
      </c>
      <c r="D402" s="16" t="n">
        <v>16795</v>
      </c>
      <c r="E402" s="16" t="n">
        <v>15328</v>
      </c>
      <c r="F402" s="38" t="n">
        <v>656333</v>
      </c>
      <c r="G402" s="38" t="n">
        <v>1169664</v>
      </c>
      <c r="H402" s="38" t="n">
        <v>699098</v>
      </c>
      <c r="I402" s="38" t="n">
        <v>1169664</v>
      </c>
      <c r="J402" s="19">
        <f>(I402-H402)/1000</f>
        <v/>
      </c>
      <c r="K402" s="16" t="inlineStr">
        <is>
          <t>Yes</t>
        </is>
      </c>
      <c r="L402" s="16" t="n">
        <v>108</v>
      </c>
      <c r="M40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403" ht="64" customHeight="1">
      <c r="A403" s="16" t="inlineStr">
        <is>
          <t>21 Jun</t>
        </is>
      </c>
      <c r="B403" s="16" t="inlineStr">
        <is>
          <t>37086</t>
        </is>
      </c>
      <c r="C403" s="16" t="n">
        <v>19798</v>
      </c>
      <c r="D403" s="16" t="n">
        <v>19768</v>
      </c>
      <c r="E403" s="16" t="n">
        <v>18296</v>
      </c>
      <c r="F403" s="38" t="n">
        <v>656342</v>
      </c>
      <c r="G403" s="38" t="n">
        <v>1168283</v>
      </c>
      <c r="H403" s="38" t="n">
        <v>699082</v>
      </c>
      <c r="I403" s="38" t="n">
        <v>1168283</v>
      </c>
      <c r="J403" s="19">
        <f>(I403-H403)/1000</f>
        <v/>
      </c>
      <c r="K403" s="16" t="inlineStr">
        <is>
          <t>Yes</t>
        </is>
      </c>
      <c r="L403" s="16" t="n">
        <v>108</v>
      </c>
      <c r="M40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404" ht="124" customHeight="1">
      <c r="A404" s="16" t="inlineStr">
        <is>
          <t>21 Jun</t>
        </is>
      </c>
      <c r="B404" s="16" t="inlineStr">
        <is>
          <t>37275</t>
        </is>
      </c>
      <c r="C404" s="16" t="n">
        <v>16939</v>
      </c>
      <c r="D404" s="16" t="n">
        <v>16918</v>
      </c>
      <c r="E404" s="16" t="n">
        <v>15709</v>
      </c>
      <c r="F404" s="38" t="n">
        <v>661153</v>
      </c>
      <c r="G404" s="38" t="n">
        <v>1091802</v>
      </c>
      <c r="H404" s="38" t="n">
        <v>699092</v>
      </c>
      <c r="I404" s="38" t="n">
        <v>1091802</v>
      </c>
      <c r="J404" s="19">
        <f>(I404-H404)/1000</f>
        <v/>
      </c>
      <c r="K404" s="16" t="inlineStr">
        <is>
          <t>Yes</t>
        </is>
      </c>
      <c r="L404" s="16" t="n">
        <v>91</v>
      </c>
      <c r="M40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405" ht="154" customHeight="1">
      <c r="A405" s="16" t="inlineStr">
        <is>
          <t>21 Jun</t>
        </is>
      </c>
      <c r="B405" s="16" t="inlineStr">
        <is>
          <t>30753</t>
        </is>
      </c>
      <c r="C405" s="16" t="n">
        <v>12603</v>
      </c>
      <c r="D405" s="16" t="n">
        <v>12598</v>
      </c>
      <c r="E405" s="16" t="n">
        <v>12598</v>
      </c>
      <c r="F405" s="38" t="n">
        <v>866563</v>
      </c>
      <c r="G405" s="38" t="n">
        <v>1211608</v>
      </c>
      <c r="H405" s="38" t="n">
        <v>866563</v>
      </c>
      <c r="I405" s="38" t="n">
        <v>1211608</v>
      </c>
      <c r="J405" s="19">
        <f>(I405-H405)/1000</f>
        <v/>
      </c>
      <c r="K405" s="16" t="inlineStr">
        <is>
          <t>Yes</t>
        </is>
      </c>
      <c r="L405" s="16" t="n">
        <v>83</v>
      </c>
      <c r="M405" s="39" t="inlineStr">
        <is>
          <t>IBH 265, Murhesi Rampur(MSRP), IBH/LC-258, Jajjanpatti(JJA), DhaurmuiJaghina(DUM), IBH-247,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6" ht="169" customHeight="1">
      <c r="A406" s="16" t="inlineStr">
        <is>
          <t>21 Jun</t>
        </is>
      </c>
      <c r="B406" s="16" t="inlineStr">
        <is>
          <t>30473</t>
        </is>
      </c>
      <c r="C406" s="16" t="n">
        <v>28189</v>
      </c>
      <c r="D406" s="16" t="n">
        <v>27851</v>
      </c>
      <c r="E406" s="16" t="n">
        <v>26419</v>
      </c>
      <c r="F406" s="38" t="n">
        <v>655421</v>
      </c>
      <c r="G406" s="38" t="n">
        <v>1028978</v>
      </c>
      <c r="H406" s="38" t="n">
        <v>699079</v>
      </c>
      <c r="I406" s="38" t="n">
        <v>1028978</v>
      </c>
      <c r="J406" s="19">
        <f>(I406-H406)/1000</f>
        <v/>
      </c>
      <c r="K406" s="16" t="inlineStr">
        <is>
          <t>Yes</t>
        </is>
      </c>
      <c r="L406" s="16" t="n">
        <v>77</v>
      </c>
      <c r="M40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407" ht="169" customHeight="1">
      <c r="A407" s="16" t="inlineStr">
        <is>
          <t>21 Jun</t>
        </is>
      </c>
      <c r="B407" s="16" t="inlineStr">
        <is>
          <t>37465</t>
        </is>
      </c>
      <c r="C407" s="16" t="n">
        <v>19991</v>
      </c>
      <c r="D407" s="16" t="n">
        <v>19965</v>
      </c>
      <c r="E407" s="16" t="n">
        <v>19189</v>
      </c>
      <c r="F407" s="38" t="n">
        <v>695673</v>
      </c>
      <c r="G407" s="38" t="n">
        <v>1028909</v>
      </c>
      <c r="H407" s="38" t="n">
        <v>699073</v>
      </c>
      <c r="I407" s="38" t="n">
        <v>1028909</v>
      </c>
      <c r="J407" s="19">
        <f>(I407-H407)/1000</f>
        <v/>
      </c>
      <c r="K407" s="16" t="inlineStr">
        <is>
          <t>Yes</t>
        </is>
      </c>
      <c r="L407" s="16" t="n">
        <v>77</v>
      </c>
      <c r="M40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408" ht="184" customHeight="1">
      <c r="A408" s="16" t="inlineStr">
        <is>
          <t>21 Jun</t>
        </is>
      </c>
      <c r="B408" s="16" t="inlineStr">
        <is>
          <t>39095</t>
        </is>
      </c>
      <c r="C408" s="16" t="n">
        <v>13146</v>
      </c>
      <c r="D408" s="16" t="n">
        <v>13096</v>
      </c>
      <c r="E408" s="16" t="n">
        <v>13096</v>
      </c>
      <c r="F408" s="38" t="n">
        <v>920366</v>
      </c>
      <c r="G408" s="38" t="n">
        <v>1242984</v>
      </c>
      <c r="H408" s="38" t="n">
        <v>920366</v>
      </c>
      <c r="I408" s="38" t="n">
        <v>1242984</v>
      </c>
      <c r="J408" s="19">
        <f>(I408-H408)/1000</f>
        <v/>
      </c>
      <c r="K408" s="16" t="inlineStr">
        <is>
          <t>Yes</t>
        </is>
      </c>
      <c r="L408" s="16" t="n">
        <v>78</v>
      </c>
      <c r="M40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9" ht="184" customHeight="1">
      <c r="A409" s="16" t="inlineStr">
        <is>
          <t>21 Jun</t>
        </is>
      </c>
      <c r="B409" s="16" t="inlineStr">
        <is>
          <t>30464</t>
        </is>
      </c>
      <c r="C409" s="16" t="n">
        <v>12464</v>
      </c>
      <c r="D409" s="16" t="n">
        <v>12419</v>
      </c>
      <c r="E409" s="16" t="n">
        <v>11267</v>
      </c>
      <c r="F409" s="38" t="n">
        <v>921254</v>
      </c>
      <c r="G409" s="38" t="n">
        <v>1464912</v>
      </c>
      <c r="H409" s="38" t="n">
        <v>921254</v>
      </c>
      <c r="I409" s="38" t="n">
        <v>1242961</v>
      </c>
      <c r="J409" s="19">
        <f>(I409-H409)/1000</f>
        <v/>
      </c>
      <c r="K409" s="16" t="inlineStr">
        <is>
          <t>Yes</t>
        </is>
      </c>
      <c r="L409" s="16" t="n">
        <v>78</v>
      </c>
      <c r="M40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0" ht="184" customHeight="1">
      <c r="A410" s="16" t="inlineStr">
        <is>
          <t>21 Jun</t>
        </is>
      </c>
      <c r="B410" s="16" t="inlineStr">
        <is>
          <t>30335</t>
        </is>
      </c>
      <c r="C410" s="16" t="n">
        <v>21402</v>
      </c>
      <c r="D410" s="16" t="n">
        <v>21300</v>
      </c>
      <c r="E410" s="16" t="n">
        <v>20327</v>
      </c>
      <c r="F410" s="38" t="n">
        <v>921655</v>
      </c>
      <c r="G410" s="38" t="n">
        <v>1438146</v>
      </c>
      <c r="H410" s="38" t="n">
        <v>921655</v>
      </c>
      <c r="I410" s="38" t="n">
        <v>1242965</v>
      </c>
      <c r="J410" s="19">
        <f>(I410-H410)/1000</f>
        <v/>
      </c>
      <c r="K410" s="16" t="inlineStr">
        <is>
          <t>Yes</t>
        </is>
      </c>
      <c r="L410" s="16" t="n">
        <v>78</v>
      </c>
      <c r="M41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1" ht="184" customHeight="1">
      <c r="A411" s="16" t="inlineStr">
        <is>
          <t>21 Jun</t>
        </is>
      </c>
      <c r="B411" s="16" t="inlineStr">
        <is>
          <t>30339</t>
        </is>
      </c>
      <c r="C411" s="16" t="n">
        <v>11137</v>
      </c>
      <c r="D411" s="16" t="n">
        <v>11121</v>
      </c>
      <c r="E411" s="16" t="n">
        <v>10944</v>
      </c>
      <c r="F411" s="38" t="n">
        <v>920540</v>
      </c>
      <c r="G411" s="38" t="n">
        <v>1436252</v>
      </c>
      <c r="H411" s="38" t="n">
        <v>920540</v>
      </c>
      <c r="I411" s="38" t="n">
        <v>1240561</v>
      </c>
      <c r="J411" s="19">
        <f>(I411-H411)/1000</f>
        <v/>
      </c>
      <c r="K411" s="16" t="inlineStr">
        <is>
          <t>Yes</t>
        </is>
      </c>
      <c r="L411" s="16" t="n">
        <v>78</v>
      </c>
      <c r="M41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2" ht="184" customHeight="1">
      <c r="A412" s="16" t="inlineStr">
        <is>
          <t>21 Jun</t>
        </is>
      </c>
      <c r="B412" s="16" t="inlineStr">
        <is>
          <t>39552</t>
        </is>
      </c>
      <c r="C412" s="16" t="n">
        <v>11245</v>
      </c>
      <c r="D412" s="16" t="n">
        <v>11235</v>
      </c>
      <c r="E412" s="16" t="n">
        <v>9885</v>
      </c>
      <c r="F412" s="38" t="n">
        <v>921645</v>
      </c>
      <c r="G412" s="38" t="n">
        <v>1459622</v>
      </c>
      <c r="H412" s="38" t="n">
        <v>921645</v>
      </c>
      <c r="I412" s="38" t="n">
        <v>1240733</v>
      </c>
      <c r="J412" s="19">
        <f>(I412-H412)/1000</f>
        <v/>
      </c>
      <c r="K412" s="16" t="inlineStr">
        <is>
          <t>Yes</t>
        </is>
      </c>
      <c r="L412" s="16" t="n">
        <v>78</v>
      </c>
      <c r="M41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3" ht="184" customHeight="1">
      <c r="A413" s="16" t="inlineStr">
        <is>
          <t>21 Jun</t>
        </is>
      </c>
      <c r="B413" s="16" t="inlineStr">
        <is>
          <t>30746</t>
        </is>
      </c>
      <c r="C413" s="16" t="n">
        <v>9671</v>
      </c>
      <c r="D413" s="16" t="n">
        <v>9664</v>
      </c>
      <c r="E413" s="16" t="n">
        <v>9284</v>
      </c>
      <c r="F413" s="38" t="n">
        <v>922827</v>
      </c>
      <c r="G413" s="38" t="n">
        <v>1447393</v>
      </c>
      <c r="H413" s="38" t="n">
        <v>922827</v>
      </c>
      <c r="I413" s="38" t="n">
        <v>1240710</v>
      </c>
      <c r="J413" s="19">
        <f>(I413-H413)/1000</f>
        <v/>
      </c>
      <c r="K413" s="16" t="inlineStr">
        <is>
          <t>Yes</t>
        </is>
      </c>
      <c r="L413" s="16" t="n">
        <v>77</v>
      </c>
      <c r="M413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4" ht="199" customHeight="1">
      <c r="A414" s="16" t="inlineStr">
        <is>
          <t>21 Jun</t>
        </is>
      </c>
      <c r="B414" s="16" t="inlineStr">
        <is>
          <t>37367</t>
        </is>
      </c>
      <c r="C414" s="16" t="n">
        <v>21191</v>
      </c>
      <c r="D414" s="16" t="n">
        <v>21118</v>
      </c>
      <c r="E414" s="16" t="n">
        <v>21118</v>
      </c>
      <c r="F414" s="38" t="n">
        <v>920738</v>
      </c>
      <c r="G414" s="38" t="n">
        <v>1172539</v>
      </c>
      <c r="H414" s="38" t="n">
        <v>920738</v>
      </c>
      <c r="I414" s="38" t="n">
        <v>1172539</v>
      </c>
      <c r="J414" s="19">
        <f>(I414-H414)/1000</f>
        <v/>
      </c>
      <c r="K414" s="16" t="inlineStr">
        <is>
          <t>Yes</t>
        </is>
      </c>
      <c r="L414" s="16" t="n">
        <v>62</v>
      </c>
      <c r="M41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415" ht="199" customHeight="1">
      <c r="A415" s="16" t="inlineStr">
        <is>
          <t>21 Jun</t>
        </is>
      </c>
      <c r="B415" s="16" t="inlineStr">
        <is>
          <t>39236</t>
        </is>
      </c>
      <c r="C415" s="16" t="n">
        <v>8630</v>
      </c>
      <c r="D415" s="16" t="n">
        <v>8611</v>
      </c>
      <c r="E415" s="16" t="n">
        <v>8611</v>
      </c>
      <c r="F415" s="38" t="n">
        <v>921547</v>
      </c>
      <c r="G415" s="38" t="n">
        <v>1169722</v>
      </c>
      <c r="H415" s="38" t="n">
        <v>921547</v>
      </c>
      <c r="I415" s="38" t="n">
        <v>1169722</v>
      </c>
      <c r="J415" s="19">
        <f>(I415-H415)/1000</f>
        <v/>
      </c>
      <c r="K415" s="16" t="inlineStr">
        <is>
          <t>Yes</t>
        </is>
      </c>
      <c r="L415" s="16" t="n">
        <v>62</v>
      </c>
      <c r="M41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416" ht="184" customHeight="1">
      <c r="A416" s="16" t="inlineStr">
        <is>
          <t>21 Jun</t>
        </is>
      </c>
      <c r="B416" s="16" t="inlineStr">
        <is>
          <t>37322</t>
        </is>
      </c>
      <c r="C416" s="16" t="n">
        <v>7965</v>
      </c>
      <c r="D416" s="16" t="n">
        <v>7949</v>
      </c>
      <c r="E416" s="16" t="n">
        <v>7223</v>
      </c>
      <c r="F416" s="38" t="n">
        <v>657099</v>
      </c>
      <c r="G416" s="38" t="n">
        <v>920514</v>
      </c>
      <c r="H416" s="38" t="n">
        <v>699117</v>
      </c>
      <c r="I416" s="38" t="n">
        <v>920514</v>
      </c>
      <c r="J416" s="19">
        <f>(I416-H416)/1000</f>
        <v/>
      </c>
      <c r="K416" s="16" t="inlineStr">
        <is>
          <t>Yes</t>
        </is>
      </c>
      <c r="L416" s="16" t="n">
        <v>47</v>
      </c>
      <c r="M4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417" ht="199" customHeight="1">
      <c r="A417" s="16" t="inlineStr">
        <is>
          <t>21 Jun</t>
        </is>
      </c>
      <c r="B417" s="16" t="inlineStr">
        <is>
          <t>30012</t>
        </is>
      </c>
      <c r="C417" s="16" t="n">
        <v>14406</v>
      </c>
      <c r="D417" s="16" t="n">
        <v>14258</v>
      </c>
      <c r="E417" s="16" t="n">
        <v>14258</v>
      </c>
      <c r="F417" s="38" t="n">
        <v>1028531</v>
      </c>
      <c r="G417" s="38" t="n">
        <v>1242967</v>
      </c>
      <c r="H417" s="38" t="n">
        <v>1028531</v>
      </c>
      <c r="I417" s="38" t="n">
        <v>1242967</v>
      </c>
      <c r="J417" s="19">
        <f>(I417-H417)/1000</f>
        <v/>
      </c>
      <c r="K417" s="16" t="inlineStr">
        <is>
          <t>Yes</t>
        </is>
      </c>
      <c r="L417" s="16" t="n">
        <v>48</v>
      </c>
      <c r="M417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418" ht="184" customHeight="1">
      <c r="A418" s="16" t="inlineStr">
        <is>
          <t>21 Jun</t>
        </is>
      </c>
      <c r="B418" s="16" t="inlineStr">
        <is>
          <t>39145</t>
        </is>
      </c>
      <c r="C418" s="16" t="n">
        <v>6950</v>
      </c>
      <c r="D418" s="16" t="n">
        <v>6921</v>
      </c>
      <c r="E418" s="16" t="n">
        <v>6443</v>
      </c>
      <c r="F418" s="38" t="n">
        <v>695664</v>
      </c>
      <c r="G418" s="38" t="n">
        <v>888935</v>
      </c>
      <c r="H418" s="38" t="n">
        <v>699076</v>
      </c>
      <c r="I418" s="38" t="n">
        <v>888935</v>
      </c>
      <c r="J418" s="19">
        <f>(I418-H418)/1000</f>
        <v/>
      </c>
      <c r="K418" s="16" t="inlineStr">
        <is>
          <t>Yes</t>
        </is>
      </c>
      <c r="L418" s="16" t="n">
        <v>40</v>
      </c>
      <c r="M41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419" ht="184" customHeight="1">
      <c r="A419" s="16" t="inlineStr">
        <is>
          <t>21 Jun</t>
        </is>
      </c>
      <c r="B419" s="16" t="inlineStr">
        <is>
          <t>39108</t>
        </is>
      </c>
      <c r="C419" s="16" t="n">
        <v>10658</v>
      </c>
      <c r="D419" s="16" t="n">
        <v>10642</v>
      </c>
      <c r="E419" s="16" t="n">
        <v>10642</v>
      </c>
      <c r="F419" s="38" t="n">
        <v>921773</v>
      </c>
      <c r="G419" s="38" t="n">
        <v>1102421</v>
      </c>
      <c r="H419" s="38" t="n">
        <v>921773</v>
      </c>
      <c r="I419" s="38" t="n">
        <v>1102421</v>
      </c>
      <c r="J419" s="19">
        <f>(I419-H419)/1000</f>
        <v/>
      </c>
      <c r="K419" s="16" t="inlineStr">
        <is>
          <t>Yes</t>
        </is>
      </c>
      <c r="L419" s="16" t="n">
        <v>48</v>
      </c>
      <c r="M41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420" ht="199" customHeight="1">
      <c r="A420" s="16" t="inlineStr">
        <is>
          <t>21 Jun</t>
        </is>
      </c>
      <c r="B420" s="16" t="inlineStr">
        <is>
          <t>30451</t>
        </is>
      </c>
      <c r="C420" s="16" t="n">
        <v>3173</v>
      </c>
      <c r="D420" s="16" t="n">
        <v>3170</v>
      </c>
      <c r="E420" s="16" t="n">
        <v>3170</v>
      </c>
      <c r="F420" s="38" t="n">
        <v>921732</v>
      </c>
      <c r="G420" s="38" t="n">
        <v>1053380</v>
      </c>
      <c r="H420" s="38" t="n">
        <v>921732</v>
      </c>
      <c r="I420" s="38" t="n">
        <v>1053380</v>
      </c>
      <c r="J420" s="19">
        <f>(I420-H420)/1000</f>
        <v/>
      </c>
      <c r="K420" s="16" t="inlineStr">
        <is>
          <t>Yes</t>
        </is>
      </c>
      <c r="L420" s="16" t="n">
        <v>37</v>
      </c>
      <c r="M4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KOTA SOUTH, DakaniyaTalav(DKNT), Dadhdevi(DDV), ALNI/DDV, Alniya(ALNI), IBH DHANIKASAR, Ravtha Road(RDT), IBH-95(7.25KM FROM DARA), Dara(DARA)  ...(+37 more)</t>
        </is>
      </c>
    </row>
    <row r="421" ht="184" customHeight="1">
      <c r="A421" s="16" t="inlineStr">
        <is>
          <t>21 Jun</t>
        </is>
      </c>
      <c r="B421" s="16" t="inlineStr">
        <is>
          <t>30396</t>
        </is>
      </c>
      <c r="C421" s="16" t="n">
        <v>3903</v>
      </c>
      <c r="D421" s="16" t="n">
        <v>3832</v>
      </c>
      <c r="E421" s="16" t="n">
        <v>3832</v>
      </c>
      <c r="F421" s="38" t="n">
        <v>913810</v>
      </c>
      <c r="G421" s="38" t="n">
        <v>1027899</v>
      </c>
      <c r="H421" s="38" t="n">
        <v>913810</v>
      </c>
      <c r="I421" s="38" t="n">
        <v>1027899</v>
      </c>
      <c r="J421" s="19">
        <f>(I421-H421)/1000</f>
        <v/>
      </c>
      <c r="K421" s="16" t="inlineStr">
        <is>
          <t>Yes</t>
        </is>
      </c>
      <c r="L421" s="16" t="n">
        <v>33</v>
      </c>
      <c r="M4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Dadhdevi(DDV), ALNI/DDV, Alniya(ALNI)  ...(+41 more)</t>
        </is>
      </c>
    </row>
    <row r="422" ht="184" customHeight="1">
      <c r="A422" s="16" t="inlineStr">
        <is>
          <t>21 Jun</t>
        </is>
      </c>
      <c r="B422" s="16" t="inlineStr">
        <is>
          <t>37035</t>
        </is>
      </c>
      <c r="C422" s="16" t="n">
        <v>9896</v>
      </c>
      <c r="D422" s="16" t="n">
        <v>9849</v>
      </c>
      <c r="E422" s="16" t="n">
        <v>9849</v>
      </c>
      <c r="F422" s="38" t="n">
        <v>920374</v>
      </c>
      <c r="G422" s="38" t="n">
        <v>1028904</v>
      </c>
      <c r="H422" s="38" t="n">
        <v>920374</v>
      </c>
      <c r="I422" s="38" t="n">
        <v>1028904</v>
      </c>
      <c r="J422" s="19">
        <f>(I422-H422)/1000</f>
        <v/>
      </c>
      <c r="K422" s="16" t="inlineStr">
        <is>
          <t>Yes</t>
        </is>
      </c>
      <c r="L422" s="16" t="n">
        <v>31</v>
      </c>
      <c r="M42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423" ht="184" customHeight="1">
      <c r="A423" s="16" t="inlineStr">
        <is>
          <t>21 Jun</t>
        </is>
      </c>
      <c r="B423" s="16" t="inlineStr">
        <is>
          <t>39336</t>
        </is>
      </c>
      <c r="C423" s="16" t="n">
        <v>6553</v>
      </c>
      <c r="D423" s="16" t="n">
        <v>6553</v>
      </c>
      <c r="E423" s="16" t="n">
        <v>6553</v>
      </c>
      <c r="F423" s="38" t="n">
        <v>921057</v>
      </c>
      <c r="G423" s="38" t="n">
        <v>1028993</v>
      </c>
      <c r="H423" s="38" t="n">
        <v>921057</v>
      </c>
      <c r="I423" s="38" t="n">
        <v>1028993</v>
      </c>
      <c r="J423" s="19">
        <f>(I423-H423)/1000</f>
        <v/>
      </c>
      <c r="K423" s="16" t="inlineStr">
        <is>
          <t>Yes</t>
        </is>
      </c>
      <c r="L423" s="16" t="n">
        <v>31</v>
      </c>
      <c r="M4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424" ht="184" customHeight="1">
      <c r="A424" s="16" t="inlineStr">
        <is>
          <t>21 Jun</t>
        </is>
      </c>
      <c r="B424" s="16" t="inlineStr">
        <is>
          <t>30440</t>
        </is>
      </c>
      <c r="C424" s="16" t="n">
        <v>3187</v>
      </c>
      <c r="D424" s="16" t="n">
        <v>3099</v>
      </c>
      <c r="E424" s="16" t="n">
        <v>2963</v>
      </c>
      <c r="F424" s="38" t="n">
        <v>843</v>
      </c>
      <c r="G424" s="38" t="n">
        <v>1028916</v>
      </c>
      <c r="H424" s="38" t="n">
        <v>934755</v>
      </c>
      <c r="I424" s="38" t="n">
        <v>1028916</v>
      </c>
      <c r="J424" s="19">
        <f>(I424-H424)/1000</f>
        <v/>
      </c>
      <c r="K424" s="16" t="inlineStr">
        <is>
          <t>Yes</t>
        </is>
      </c>
      <c r="L424" s="16" t="n">
        <v>27</v>
      </c>
      <c r="M4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2.75 KM from GQL (LC-113), Gurla(GQL), KOTA C  ...(+47 more)</t>
        </is>
      </c>
    </row>
    <row r="425" ht="184" customHeight="1">
      <c r="A425" s="16" t="inlineStr">
        <is>
          <t>21 Jun</t>
        </is>
      </c>
      <c r="B425" s="16" t="inlineStr">
        <is>
          <t>30814</t>
        </is>
      </c>
      <c r="C425" s="16" t="n">
        <v>3069</v>
      </c>
      <c r="D425" s="16" t="n">
        <v>3069</v>
      </c>
      <c r="E425" s="16" t="n">
        <v>2193</v>
      </c>
      <c r="F425" s="38" t="n">
        <v>656395</v>
      </c>
      <c r="G425" s="38" t="n">
        <v>782532</v>
      </c>
      <c r="H425" s="38" t="n">
        <v>699073</v>
      </c>
      <c r="I425" s="38" t="n">
        <v>782532</v>
      </c>
      <c r="J425" s="19">
        <f>(I425-H425)/1000</f>
        <v/>
      </c>
      <c r="K425" s="16" t="inlineStr">
        <is>
          <t>Yes</t>
        </is>
      </c>
      <c r="L425" s="16" t="n">
        <v>20</v>
      </c>
      <c r="M4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...(+54 more)</t>
        </is>
      </c>
    </row>
    <row r="426" ht="184" customHeight="1">
      <c r="A426" s="16" t="inlineStr">
        <is>
          <t>21 Jun</t>
        </is>
      </c>
      <c r="B426" s="16" t="inlineStr">
        <is>
          <t>39245</t>
        </is>
      </c>
      <c r="C426" s="16" t="n">
        <v>2215</v>
      </c>
      <c r="D426" s="16" t="n">
        <v>1915</v>
      </c>
      <c r="E426" s="16" t="n">
        <v>1672</v>
      </c>
      <c r="F426" s="38" t="n">
        <v>695942</v>
      </c>
      <c r="G426" s="38" t="n">
        <v>737277</v>
      </c>
      <c r="H426" s="38" t="n">
        <v>699089</v>
      </c>
      <c r="I426" s="38" t="n">
        <v>737277</v>
      </c>
      <c r="J426" s="19">
        <f>(I426-H426)/1000</f>
        <v/>
      </c>
      <c r="K426" s="16" t="inlineStr">
        <is>
          <t>Yes</t>
        </is>
      </c>
      <c r="L426" s="16" t="n">
        <v>10</v>
      </c>
      <c r="M4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427" ht="184" customHeight="1">
      <c r="A427" s="16" t="inlineStr">
        <is>
          <t>21 Jun</t>
        </is>
      </c>
      <c r="B427" s="16" t="inlineStr">
        <is>
          <t>30269</t>
        </is>
      </c>
      <c r="C427" s="16" t="n">
        <v>43</v>
      </c>
      <c r="D427" s="16" t="n">
        <v>40</v>
      </c>
      <c r="E427" s="16" t="n">
        <v>40</v>
      </c>
      <c r="F427" s="38" t="n">
        <v>1156655</v>
      </c>
      <c r="G427" s="38" t="n">
        <v>1161695</v>
      </c>
      <c r="H427" s="38" t="n">
        <v>1156655</v>
      </c>
      <c r="I427" s="38" t="n">
        <v>1161695</v>
      </c>
      <c r="J427" s="19">
        <f>(I427-H427)/1000</f>
        <v/>
      </c>
      <c r="K427" s="16" t="inlineStr">
        <is>
          <t>Yes</t>
        </is>
      </c>
      <c r="L427" s="16" t="n">
        <v>2</v>
      </c>
      <c r="M4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28" ht="184" customHeight="1">
      <c r="A428" s="31" t="inlineStr">
        <is>
          <t>21 Jun</t>
        </is>
      </c>
      <c r="B428" s="31" t="inlineStr">
        <is>
          <t>30009</t>
        </is>
      </c>
      <c r="C428" s="31" t="n">
        <v>748</v>
      </c>
      <c r="D428" s="31" t="n">
        <v>747</v>
      </c>
      <c r="E428" s="31" t="n">
        <v>0</v>
      </c>
      <c r="F428" s="40" t="n">
        <v>1401592</v>
      </c>
      <c r="G428" s="40" t="n">
        <v>1432441</v>
      </c>
      <c r="H428" s="40" t="inlineStr">
        <is>
          <t>-</t>
        </is>
      </c>
      <c r="I428" s="40" t="inlineStr">
        <is>
          <t>-</t>
        </is>
      </c>
      <c r="J428" s="41" t="n">
        <v>0</v>
      </c>
      <c r="K428" s="31" t="inlineStr">
        <is>
          <t>No</t>
        </is>
      </c>
      <c r="L428" s="31" t="n">
        <v>0</v>
      </c>
      <c r="M4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9" ht="184" customHeight="1">
      <c r="A429" s="31" t="inlineStr">
        <is>
          <t>21 Jun</t>
        </is>
      </c>
      <c r="B429" s="31" t="inlineStr">
        <is>
          <t>30010</t>
        </is>
      </c>
      <c r="C429" s="31" t="n">
        <v>641</v>
      </c>
      <c r="D429" s="31" t="n">
        <v>641</v>
      </c>
      <c r="E429" s="31" t="n">
        <v>0</v>
      </c>
      <c r="F429" s="40" t="n">
        <v>1401335</v>
      </c>
      <c r="G429" s="40" t="n">
        <v>1436337</v>
      </c>
      <c r="H429" s="40" t="inlineStr">
        <is>
          <t>-</t>
        </is>
      </c>
      <c r="I429" s="40" t="inlineStr">
        <is>
          <t>-</t>
        </is>
      </c>
      <c r="J429" s="41" t="n">
        <v>0</v>
      </c>
      <c r="K429" s="31" t="inlineStr">
        <is>
          <t>No</t>
        </is>
      </c>
      <c r="L429" s="31" t="n">
        <v>0</v>
      </c>
      <c r="M4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0" ht="184" customHeight="1">
      <c r="A430" s="31" t="inlineStr">
        <is>
          <t>21 Jun</t>
        </is>
      </c>
      <c r="B430" s="31" t="inlineStr">
        <is>
          <t>30062</t>
        </is>
      </c>
      <c r="C430" s="31" t="n">
        <v>2761</v>
      </c>
      <c r="D430" s="31" t="n">
        <v>2732</v>
      </c>
      <c r="E430" s="31" t="n">
        <v>0</v>
      </c>
      <c r="F430" s="40" t="n">
        <v>1480</v>
      </c>
      <c r="G430" s="40" t="n">
        <v>698475</v>
      </c>
      <c r="H430" s="40" t="inlineStr">
        <is>
          <t>-</t>
        </is>
      </c>
      <c r="I430" s="40" t="inlineStr">
        <is>
          <t>-</t>
        </is>
      </c>
      <c r="J430" s="41" t="n">
        <v>0</v>
      </c>
      <c r="K430" s="31" t="inlineStr">
        <is>
          <t>No</t>
        </is>
      </c>
      <c r="L430" s="31" t="n">
        <v>0</v>
      </c>
      <c r="M4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1" ht="184" customHeight="1">
      <c r="A431" s="31" t="inlineStr">
        <is>
          <t>21 Jun</t>
        </is>
      </c>
      <c r="B431" s="31" t="inlineStr">
        <is>
          <t>30351</t>
        </is>
      </c>
      <c r="C431" s="31" t="n">
        <v>951</v>
      </c>
      <c r="D431" s="31" t="n">
        <v>941</v>
      </c>
      <c r="E431" s="31" t="n">
        <v>0</v>
      </c>
      <c r="F431" s="40" t="n">
        <v>1358350</v>
      </c>
      <c r="G431" s="40" t="n">
        <v>1444029</v>
      </c>
      <c r="H431" s="40" t="inlineStr">
        <is>
          <t>-</t>
        </is>
      </c>
      <c r="I431" s="40" t="inlineStr">
        <is>
          <t>-</t>
        </is>
      </c>
      <c r="J431" s="41" t="n">
        <v>0</v>
      </c>
      <c r="K431" s="31" t="inlineStr">
        <is>
          <t>No</t>
        </is>
      </c>
      <c r="L431" s="31" t="n">
        <v>0</v>
      </c>
      <c r="M4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2" ht="184" customHeight="1">
      <c r="A432" s="31" t="inlineStr">
        <is>
          <t>21 Jun</t>
        </is>
      </c>
      <c r="B432" s="31" t="inlineStr">
        <is>
          <t>30382</t>
        </is>
      </c>
      <c r="C432" s="31" t="n">
        <v>1850</v>
      </c>
      <c r="D432" s="31" t="n">
        <v>1850</v>
      </c>
      <c r="E432" s="31" t="n">
        <v>0</v>
      </c>
      <c r="F432" s="40" t="n">
        <v>1358977</v>
      </c>
      <c r="G432" s="40" t="n">
        <v>1436977</v>
      </c>
      <c r="H432" s="40" t="inlineStr">
        <is>
          <t>-</t>
        </is>
      </c>
      <c r="I432" s="40" t="inlineStr">
        <is>
          <t>-</t>
        </is>
      </c>
      <c r="J432" s="41" t="n">
        <v>0</v>
      </c>
      <c r="K432" s="31" t="inlineStr">
        <is>
          <t>No</t>
        </is>
      </c>
      <c r="L432" s="31" t="n">
        <v>0</v>
      </c>
      <c r="M4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3" ht="184" customHeight="1">
      <c r="A433" s="31" t="inlineStr">
        <is>
          <t>21 Jun</t>
        </is>
      </c>
      <c r="B433" s="31" t="inlineStr">
        <is>
          <t>30414</t>
        </is>
      </c>
      <c r="C433" s="31" t="n">
        <v>609</v>
      </c>
      <c r="D433" s="31" t="n">
        <v>605</v>
      </c>
      <c r="E433" s="31" t="n">
        <v>0</v>
      </c>
      <c r="F433" s="40" t="n">
        <v>1401432</v>
      </c>
      <c r="G433" s="40" t="n">
        <v>1435795</v>
      </c>
      <c r="H433" s="40" t="inlineStr">
        <is>
          <t>-</t>
        </is>
      </c>
      <c r="I433" s="40" t="inlineStr">
        <is>
          <t>-</t>
        </is>
      </c>
      <c r="J433" s="41" t="n">
        <v>0</v>
      </c>
      <c r="K433" s="31" t="inlineStr">
        <is>
          <t>No</t>
        </is>
      </c>
      <c r="L433" s="31" t="n">
        <v>0</v>
      </c>
      <c r="M4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4" ht="184" customHeight="1">
      <c r="A434" s="31" t="inlineStr">
        <is>
          <t>21 Jun</t>
        </is>
      </c>
      <c r="B434" s="31" t="inlineStr">
        <is>
          <t>30415</t>
        </is>
      </c>
      <c r="C434" s="31" t="n">
        <v>2302</v>
      </c>
      <c r="D434" s="31" t="n">
        <v>2255</v>
      </c>
      <c r="E434" s="31" t="n">
        <v>0</v>
      </c>
      <c r="F434" s="40" t="n">
        <v>1593</v>
      </c>
      <c r="G434" s="40" t="n">
        <v>697379</v>
      </c>
      <c r="H434" s="40" t="inlineStr">
        <is>
          <t>-</t>
        </is>
      </c>
      <c r="I434" s="40" t="inlineStr">
        <is>
          <t>-</t>
        </is>
      </c>
      <c r="J434" s="41" t="n">
        <v>0</v>
      </c>
      <c r="K434" s="31" t="inlineStr">
        <is>
          <t>No</t>
        </is>
      </c>
      <c r="L434" s="31" t="n">
        <v>0</v>
      </c>
      <c r="M4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5" ht="184" customHeight="1">
      <c r="A435" s="31" t="inlineStr">
        <is>
          <t>21 Jun</t>
        </is>
      </c>
      <c r="B435" s="31" t="inlineStr">
        <is>
          <t>30460</t>
        </is>
      </c>
      <c r="C435" s="31" t="n">
        <v>30</v>
      </c>
      <c r="D435" s="31" t="n">
        <v>30</v>
      </c>
      <c r="E435" s="31" t="n">
        <v>0</v>
      </c>
      <c r="F435" s="40" t="n">
        <v>657182</v>
      </c>
      <c r="G435" s="40" t="n">
        <v>663352</v>
      </c>
      <c r="H435" s="40" t="inlineStr">
        <is>
          <t>-</t>
        </is>
      </c>
      <c r="I435" s="40" t="inlineStr">
        <is>
          <t>-</t>
        </is>
      </c>
      <c r="J435" s="41" t="n">
        <v>0</v>
      </c>
      <c r="K435" s="31" t="inlineStr">
        <is>
          <t>No</t>
        </is>
      </c>
      <c r="L435" s="31" t="n">
        <v>0</v>
      </c>
      <c r="M4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6" ht="184" customHeight="1">
      <c r="A436" s="31" t="inlineStr">
        <is>
          <t>21 Jun</t>
        </is>
      </c>
      <c r="B436" s="31" t="inlineStr">
        <is>
          <t>30537</t>
        </is>
      </c>
      <c r="C436" s="31" t="n">
        <v>314</v>
      </c>
      <c r="D436" s="31" t="n">
        <v>313</v>
      </c>
      <c r="E436" s="31" t="n">
        <v>0</v>
      </c>
      <c r="F436" s="40" t="n">
        <v>1401394</v>
      </c>
      <c r="G436" s="40" t="n">
        <v>1435877</v>
      </c>
      <c r="H436" s="40" t="inlineStr">
        <is>
          <t>-</t>
        </is>
      </c>
      <c r="I436" s="40" t="inlineStr">
        <is>
          <t>-</t>
        </is>
      </c>
      <c r="J436" s="41" t="n">
        <v>0</v>
      </c>
      <c r="K436" s="31" t="inlineStr">
        <is>
          <t>No</t>
        </is>
      </c>
      <c r="L436" s="31" t="n">
        <v>0</v>
      </c>
      <c r="M4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7" ht="184" customHeight="1">
      <c r="A437" s="31" t="inlineStr">
        <is>
          <t>21 Jun</t>
        </is>
      </c>
      <c r="B437" s="31" t="inlineStr">
        <is>
          <t>30680</t>
        </is>
      </c>
      <c r="C437" s="31" t="n">
        <v>1757</v>
      </c>
      <c r="D437" s="31" t="n">
        <v>1756</v>
      </c>
      <c r="E437" s="31" t="n">
        <v>0</v>
      </c>
      <c r="F437" s="40" t="n">
        <v>1401324</v>
      </c>
      <c r="G437" s="40" t="n">
        <v>1469009</v>
      </c>
      <c r="H437" s="40" t="inlineStr">
        <is>
          <t>-</t>
        </is>
      </c>
      <c r="I437" s="40" t="inlineStr">
        <is>
          <t>-</t>
        </is>
      </c>
      <c r="J437" s="41" t="n">
        <v>0</v>
      </c>
      <c r="K437" s="31" t="inlineStr">
        <is>
          <t>No</t>
        </is>
      </c>
      <c r="L437" s="31" t="n">
        <v>0</v>
      </c>
      <c r="M4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8" ht="184" customHeight="1">
      <c r="A438" s="31" t="inlineStr">
        <is>
          <t>21 Jun</t>
        </is>
      </c>
      <c r="B438" s="31" t="inlineStr">
        <is>
          <t>37248</t>
        </is>
      </c>
      <c r="C438" s="31" t="n">
        <v>1035</v>
      </c>
      <c r="D438" s="31" t="n">
        <v>1033</v>
      </c>
      <c r="E438" s="31" t="n">
        <v>0</v>
      </c>
      <c r="F438" s="40" t="n">
        <v>657168</v>
      </c>
      <c r="G438" s="40" t="n">
        <v>696225</v>
      </c>
      <c r="H438" s="40" t="inlineStr">
        <is>
          <t>-</t>
        </is>
      </c>
      <c r="I438" s="40" t="inlineStr">
        <is>
          <t>-</t>
        </is>
      </c>
      <c r="J438" s="41" t="n">
        <v>0</v>
      </c>
      <c r="K438" s="31" t="inlineStr">
        <is>
          <t>No</t>
        </is>
      </c>
      <c r="L438" s="31" t="n">
        <v>0</v>
      </c>
      <c r="M4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9" ht="184" customHeight="1">
      <c r="A439" s="31" t="inlineStr">
        <is>
          <t>21 Jun</t>
        </is>
      </c>
      <c r="B439" s="31" t="inlineStr">
        <is>
          <t>37271</t>
        </is>
      </c>
      <c r="C439" s="31" t="n">
        <v>3135</v>
      </c>
      <c r="D439" s="31" t="n">
        <v>3135</v>
      </c>
      <c r="E439" s="31" t="n">
        <v>0</v>
      </c>
      <c r="F439" s="40" t="n">
        <v>1355509</v>
      </c>
      <c r="G439" s="40" t="n">
        <v>1446714</v>
      </c>
      <c r="H439" s="40" t="inlineStr">
        <is>
          <t>-</t>
        </is>
      </c>
      <c r="I439" s="40" t="inlineStr">
        <is>
          <t>-</t>
        </is>
      </c>
      <c r="J439" s="41" t="n">
        <v>0</v>
      </c>
      <c r="K439" s="31" t="inlineStr">
        <is>
          <t>No</t>
        </is>
      </c>
      <c r="L439" s="31" t="n">
        <v>0</v>
      </c>
      <c r="M4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0" ht="184" customHeight="1">
      <c r="A440" s="31" t="inlineStr">
        <is>
          <t>21 Jun</t>
        </is>
      </c>
      <c r="B440" s="31" t="inlineStr">
        <is>
          <t>37497</t>
        </is>
      </c>
      <c r="C440" s="31" t="n">
        <v>2</v>
      </c>
      <c r="D440" s="31" t="n">
        <v>2</v>
      </c>
      <c r="E440" s="31" t="n">
        <v>0</v>
      </c>
      <c r="F440" s="40" t="n">
        <v>1266243</v>
      </c>
      <c r="G440" s="40" t="n">
        <v>1293089</v>
      </c>
      <c r="H440" s="40" t="inlineStr">
        <is>
          <t>-</t>
        </is>
      </c>
      <c r="I440" s="40" t="inlineStr">
        <is>
          <t>-</t>
        </is>
      </c>
      <c r="J440" s="41" t="n">
        <v>0</v>
      </c>
      <c r="K440" s="31" t="inlineStr">
        <is>
          <t>No</t>
        </is>
      </c>
      <c r="L440" s="31" t="n">
        <v>0</v>
      </c>
      <c r="M4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1" ht="184" customHeight="1">
      <c r="A441" s="31" t="inlineStr">
        <is>
          <t>21 Jun</t>
        </is>
      </c>
      <c r="B441" s="31" t="inlineStr">
        <is>
          <t>37572</t>
        </is>
      </c>
      <c r="C441" s="31" t="n">
        <v>255</v>
      </c>
      <c r="D441" s="31" t="n">
        <v>251</v>
      </c>
      <c r="E441" s="31" t="n">
        <v>0</v>
      </c>
      <c r="F441" s="40" t="n">
        <v>1401469</v>
      </c>
      <c r="G441" s="40" t="n">
        <v>1405028</v>
      </c>
      <c r="H441" s="40" t="inlineStr">
        <is>
          <t>-</t>
        </is>
      </c>
      <c r="I441" s="40" t="inlineStr">
        <is>
          <t>-</t>
        </is>
      </c>
      <c r="J441" s="41" t="n">
        <v>0</v>
      </c>
      <c r="K441" s="31" t="inlineStr">
        <is>
          <t>No</t>
        </is>
      </c>
      <c r="L441" s="31" t="n">
        <v>0</v>
      </c>
      <c r="M4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2" ht="184" customHeight="1">
      <c r="A442" s="31" t="inlineStr">
        <is>
          <t>21 Jun</t>
        </is>
      </c>
      <c r="B442" s="31" t="inlineStr">
        <is>
          <t>37684</t>
        </is>
      </c>
      <c r="C442" s="31" t="n">
        <v>851</v>
      </c>
      <c r="D442" s="31" t="n">
        <v>851</v>
      </c>
      <c r="E442" s="31" t="n">
        <v>0</v>
      </c>
      <c r="F442" s="40" t="n">
        <v>656402</v>
      </c>
      <c r="G442" s="40" t="n">
        <v>695603</v>
      </c>
      <c r="H442" s="40" t="inlineStr">
        <is>
          <t>-</t>
        </is>
      </c>
      <c r="I442" s="40" t="inlineStr">
        <is>
          <t>-</t>
        </is>
      </c>
      <c r="J442" s="41" t="n">
        <v>0</v>
      </c>
      <c r="K442" s="31" t="inlineStr">
        <is>
          <t>No</t>
        </is>
      </c>
      <c r="L442" s="31" t="n">
        <v>0</v>
      </c>
      <c r="M4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3" ht="184" customHeight="1">
      <c r="A443" s="31" t="inlineStr">
        <is>
          <t>21 Jun</t>
        </is>
      </c>
      <c r="B443" s="31" t="inlineStr">
        <is>
          <t>37817</t>
        </is>
      </c>
      <c r="C443" s="31" t="n">
        <v>1322</v>
      </c>
      <c r="D443" s="31" t="n">
        <v>1290</v>
      </c>
      <c r="E443" s="31" t="n">
        <v>0</v>
      </c>
      <c r="F443" s="40" t="n">
        <v>660252</v>
      </c>
      <c r="G443" s="40" t="n">
        <v>695532</v>
      </c>
      <c r="H443" s="40" t="inlineStr">
        <is>
          <t>-</t>
        </is>
      </c>
      <c r="I443" s="40" t="inlineStr">
        <is>
          <t>-</t>
        </is>
      </c>
      <c r="J443" s="41" t="n">
        <v>0</v>
      </c>
      <c r="K443" s="31" t="inlineStr">
        <is>
          <t>No</t>
        </is>
      </c>
      <c r="L443" s="31" t="n">
        <v>0</v>
      </c>
      <c r="M4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4" ht="184" customHeight="1">
      <c r="A444" s="31" t="inlineStr">
        <is>
          <t>21 Jun</t>
        </is>
      </c>
      <c r="B444" s="31" t="inlineStr">
        <is>
          <t>39084</t>
        </is>
      </c>
      <c r="C444" s="31" t="n">
        <v>259</v>
      </c>
      <c r="D444" s="31" t="n">
        <v>259</v>
      </c>
      <c r="E444" s="31" t="n">
        <v>0</v>
      </c>
      <c r="F444" s="40" t="n">
        <v>1279879</v>
      </c>
      <c r="G444" s="40" t="n">
        <v>1385137</v>
      </c>
      <c r="H444" s="40" t="inlineStr">
        <is>
          <t>-</t>
        </is>
      </c>
      <c r="I444" s="40" t="inlineStr">
        <is>
          <t>-</t>
        </is>
      </c>
      <c r="J444" s="41" t="n">
        <v>0</v>
      </c>
      <c r="K444" s="31" t="inlineStr">
        <is>
          <t>No</t>
        </is>
      </c>
      <c r="L444" s="31" t="n">
        <v>0</v>
      </c>
      <c r="M4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5" ht="184" customHeight="1">
      <c r="A445" s="31" t="inlineStr">
        <is>
          <t>21 Jun</t>
        </is>
      </c>
      <c r="B445" s="31" t="inlineStr">
        <is>
          <t>39175</t>
        </is>
      </c>
      <c r="C445" s="31" t="n">
        <v>1387</v>
      </c>
      <c r="D445" s="31" t="n">
        <v>1386</v>
      </c>
      <c r="E445" s="31" t="n">
        <v>0</v>
      </c>
      <c r="F445" s="40" t="n">
        <v>1401349</v>
      </c>
      <c r="G445" s="40" t="n">
        <v>1468568</v>
      </c>
      <c r="H445" s="40" t="inlineStr">
        <is>
          <t>-</t>
        </is>
      </c>
      <c r="I445" s="40" t="inlineStr">
        <is>
          <t>-</t>
        </is>
      </c>
      <c r="J445" s="41" t="n">
        <v>0</v>
      </c>
      <c r="K445" s="31" t="inlineStr">
        <is>
          <t>No</t>
        </is>
      </c>
      <c r="L445" s="31" t="n">
        <v>0</v>
      </c>
      <c r="M4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6" ht="184" customHeight="1">
      <c r="A446" s="31" t="inlineStr">
        <is>
          <t>21 Jun</t>
        </is>
      </c>
      <c r="B446" s="31" t="inlineStr">
        <is>
          <t>39176</t>
        </is>
      </c>
      <c r="C446" s="31" t="n">
        <v>800</v>
      </c>
      <c r="D446" s="31" t="n">
        <v>799</v>
      </c>
      <c r="E446" s="31" t="n">
        <v>0</v>
      </c>
      <c r="F446" s="40" t="n">
        <v>1401331</v>
      </c>
      <c r="G446" s="40" t="n">
        <v>1438089</v>
      </c>
      <c r="H446" s="40" t="inlineStr">
        <is>
          <t>-</t>
        </is>
      </c>
      <c r="I446" s="40" t="inlineStr">
        <is>
          <t>-</t>
        </is>
      </c>
      <c r="J446" s="41" t="n">
        <v>0</v>
      </c>
      <c r="K446" s="31" t="inlineStr">
        <is>
          <t>No</t>
        </is>
      </c>
      <c r="L446" s="31" t="n">
        <v>0</v>
      </c>
      <c r="M4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7" ht="184" customHeight="1">
      <c r="A447" s="31" t="inlineStr">
        <is>
          <t>21 Jun</t>
        </is>
      </c>
      <c r="B447" s="31" t="inlineStr">
        <is>
          <t>39254</t>
        </is>
      </c>
      <c r="C447" s="31" t="n">
        <v>1040</v>
      </c>
      <c r="D447" s="31" t="n">
        <v>1040</v>
      </c>
      <c r="E447" s="31" t="n">
        <v>0</v>
      </c>
      <c r="F447" s="40" t="n">
        <v>1401318</v>
      </c>
      <c r="G447" s="40" t="n">
        <v>1437947</v>
      </c>
      <c r="H447" s="40" t="inlineStr">
        <is>
          <t>-</t>
        </is>
      </c>
      <c r="I447" s="40" t="inlineStr">
        <is>
          <t>-</t>
        </is>
      </c>
      <c r="J447" s="41" t="n">
        <v>0</v>
      </c>
      <c r="K447" s="31" t="inlineStr">
        <is>
          <t>No</t>
        </is>
      </c>
      <c r="L447" s="31" t="n">
        <v>0</v>
      </c>
      <c r="M4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8" ht="184" customHeight="1">
      <c r="A448" s="31" t="inlineStr">
        <is>
          <t>21 Jun</t>
        </is>
      </c>
      <c r="B448" s="31" t="inlineStr">
        <is>
          <t>39258</t>
        </is>
      </c>
      <c r="C448" s="31" t="n">
        <v>1679</v>
      </c>
      <c r="D448" s="31" t="n">
        <v>1679</v>
      </c>
      <c r="E448" s="31" t="n">
        <v>0</v>
      </c>
      <c r="F448" s="40" t="n">
        <v>657204</v>
      </c>
      <c r="G448" s="40" t="n">
        <v>695468</v>
      </c>
      <c r="H448" s="40" t="inlineStr">
        <is>
          <t>-</t>
        </is>
      </c>
      <c r="I448" s="40" t="inlineStr">
        <is>
          <t>-</t>
        </is>
      </c>
      <c r="J448" s="41" t="n">
        <v>0</v>
      </c>
      <c r="K448" s="31" t="inlineStr">
        <is>
          <t>No</t>
        </is>
      </c>
      <c r="L448" s="31" t="n">
        <v>0</v>
      </c>
      <c r="M4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9" ht="184" customHeight="1">
      <c r="A449" s="31" t="inlineStr">
        <is>
          <t>21 Jun</t>
        </is>
      </c>
      <c r="B449" s="31" t="inlineStr">
        <is>
          <t>39308</t>
        </is>
      </c>
      <c r="C449" s="31" t="n">
        <v>1698</v>
      </c>
      <c r="D449" s="31" t="n">
        <v>1633</v>
      </c>
      <c r="E449" s="31" t="n">
        <v>0</v>
      </c>
      <c r="F449" s="40" t="n">
        <v>1926</v>
      </c>
      <c r="G449" s="40" t="n">
        <v>697880</v>
      </c>
      <c r="H449" s="40" t="inlineStr">
        <is>
          <t>-</t>
        </is>
      </c>
      <c r="I449" s="40" t="inlineStr">
        <is>
          <t>-</t>
        </is>
      </c>
      <c r="J449" s="41" t="n">
        <v>0</v>
      </c>
      <c r="K449" s="31" t="inlineStr">
        <is>
          <t>No</t>
        </is>
      </c>
      <c r="L449" s="31" t="n">
        <v>0</v>
      </c>
      <c r="M4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0" ht="184" customHeight="1">
      <c r="A450" s="31" t="inlineStr">
        <is>
          <t>21 Jun</t>
        </is>
      </c>
      <c r="B450" s="31" t="inlineStr">
        <is>
          <t>39351</t>
        </is>
      </c>
      <c r="C450" s="31" t="n">
        <v>352</v>
      </c>
      <c r="D450" s="31" t="n">
        <v>340</v>
      </c>
      <c r="E450" s="31" t="n">
        <v>0</v>
      </c>
      <c r="F450" s="40" t="n">
        <v>1401779</v>
      </c>
      <c r="G450" s="40" t="n">
        <v>1436011</v>
      </c>
      <c r="H450" s="40" t="inlineStr">
        <is>
          <t>-</t>
        </is>
      </c>
      <c r="I450" s="40" t="inlineStr">
        <is>
          <t>-</t>
        </is>
      </c>
      <c r="J450" s="41" t="n">
        <v>0</v>
      </c>
      <c r="K450" s="31" t="inlineStr">
        <is>
          <t>No</t>
        </is>
      </c>
      <c r="L450" s="31" t="n">
        <v>0</v>
      </c>
      <c r="M4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1" ht="184" customHeight="1">
      <c r="A451" s="31" t="inlineStr">
        <is>
          <t>21 Jun</t>
        </is>
      </c>
      <c r="B451" s="31" t="inlineStr">
        <is>
          <t>39353</t>
        </is>
      </c>
      <c r="C451" s="31" t="n">
        <v>1224</v>
      </c>
      <c r="D451" s="31" t="n">
        <v>1224</v>
      </c>
      <c r="E451" s="31" t="n">
        <v>0</v>
      </c>
      <c r="F451" s="40" t="n">
        <v>1355731</v>
      </c>
      <c r="G451" s="40" t="n">
        <v>1436249</v>
      </c>
      <c r="H451" s="40" t="inlineStr">
        <is>
          <t>-</t>
        </is>
      </c>
      <c r="I451" s="40" t="inlineStr">
        <is>
          <t>-</t>
        </is>
      </c>
      <c r="J451" s="41" t="n">
        <v>0</v>
      </c>
      <c r="K451" s="31" t="inlineStr">
        <is>
          <t>No</t>
        </is>
      </c>
      <c r="L451" s="31" t="n">
        <v>0</v>
      </c>
      <c r="M4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2026-06-22T09:24:33Z</dcterms:created>
  <dcterms:modified xmlns:dcterms="http://purl.org/dc/terms/" xmlns:xsi="http://www.w3.org/2001/XMLSchema-instance" xsi:type="dcterms:W3CDTF">2026-06-22T09:24:34Z</dcterms:modified>
</cp:coreProperties>
</file>
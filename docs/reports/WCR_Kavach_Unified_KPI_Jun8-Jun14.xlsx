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Jun8 - Jun14 (custom)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Jun8 - Jun14 (custom)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Breakdown'!C261</f>
        <v/>
      </c>
      <c r="E5" s="6">
        <f>'Daily Breakdown'!D261</f>
        <v/>
      </c>
      <c r="F5" s="7">
        <f>'Daily Breakdown'!G261</f>
        <v/>
      </c>
      <c r="G5" s="5">
        <f>'Daily Breakdown'!H261</f>
        <v/>
      </c>
      <c r="H5" s="8">
        <f>'Daily Breakdown'!I261</f>
        <v/>
      </c>
      <c r="I5" s="8">
        <f>'Daily Breakdown'!J261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Breakdown'!K261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18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/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8 Jun</t>
        </is>
      </c>
      <c r="B4" s="15" t="inlineStr">
        <is>
          <t>37577</t>
        </is>
      </c>
      <c r="C4" s="16" t="n">
        <v>1</v>
      </c>
      <c r="D4" s="17" t="n">
        <v>543.87</v>
      </c>
      <c r="E4" s="18" t="n">
        <v>35433</v>
      </c>
      <c r="F4" s="18" t="n">
        <v>36260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11</v>
      </c>
    </row>
    <row r="5">
      <c r="A5" s="15" t="inlineStr">
        <is>
          <t>8 Jun</t>
        </is>
      </c>
      <c r="B5" s="15" t="inlineStr">
        <is>
          <t>30460</t>
        </is>
      </c>
      <c r="C5" s="16" t="n">
        <v>1</v>
      </c>
      <c r="D5" s="17" t="n">
        <v>541.62</v>
      </c>
      <c r="E5" s="18" t="n">
        <v>29151</v>
      </c>
      <c r="F5" s="18" t="n">
        <v>29242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3</v>
      </c>
    </row>
    <row r="6">
      <c r="A6" s="15" t="inlineStr">
        <is>
          <t>8 Jun</t>
        </is>
      </c>
      <c r="B6" s="15" t="inlineStr">
        <is>
          <t>43821</t>
        </is>
      </c>
      <c r="C6" s="16" t="n">
        <v>1</v>
      </c>
      <c r="D6" s="17" t="n">
        <v>543.88</v>
      </c>
      <c r="E6" s="18" t="n">
        <v>25618</v>
      </c>
      <c r="F6" s="18" t="n">
        <v>25894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2</v>
      </c>
    </row>
    <row r="7">
      <c r="A7" s="15" t="inlineStr">
        <is>
          <t>8 Jun</t>
        </is>
      </c>
      <c r="B7" s="15" t="inlineStr">
        <is>
          <t>39014</t>
        </is>
      </c>
      <c r="C7" s="16" t="n">
        <v>1</v>
      </c>
      <c r="D7" s="17" t="n">
        <v>541.65</v>
      </c>
      <c r="E7" s="18" t="n">
        <v>22272</v>
      </c>
      <c r="F7" s="18" t="n">
        <v>22658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12</v>
      </c>
    </row>
    <row r="8">
      <c r="A8" s="15" t="inlineStr">
        <is>
          <t>8 Jun</t>
        </is>
      </c>
      <c r="B8" s="15" t="inlineStr">
        <is>
          <t>30334</t>
        </is>
      </c>
      <c r="C8" s="16" t="n">
        <v>1</v>
      </c>
      <c r="D8" s="17" t="n">
        <v>543.89</v>
      </c>
      <c r="E8" s="18" t="n">
        <v>20829</v>
      </c>
      <c r="F8" s="18" t="n">
        <v>21203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8</v>
      </c>
    </row>
    <row r="9">
      <c r="A9" s="15" t="inlineStr">
        <is>
          <t>8 Jun</t>
        </is>
      </c>
      <c r="B9" s="15" t="inlineStr">
        <is>
          <t>37569</t>
        </is>
      </c>
      <c r="C9" s="16" t="n">
        <v>1</v>
      </c>
      <c r="D9" s="17" t="n">
        <v>543.63</v>
      </c>
      <c r="E9" s="18" t="n">
        <v>17718</v>
      </c>
      <c r="F9" s="18" t="n">
        <v>17768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2</v>
      </c>
    </row>
    <row r="10">
      <c r="A10" s="15" t="inlineStr">
        <is>
          <t>8 Jun</t>
        </is>
      </c>
      <c r="B10" s="15" t="inlineStr">
        <is>
          <t>37312</t>
        </is>
      </c>
      <c r="C10" s="16" t="n">
        <v>1</v>
      </c>
      <c r="D10" s="17" t="n">
        <v>543.62</v>
      </c>
      <c r="E10" s="18" t="n">
        <v>0</v>
      </c>
      <c r="F10" s="18" t="n">
        <v>11754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0</v>
      </c>
    </row>
    <row r="11">
      <c r="A11" s="15" t="inlineStr">
        <is>
          <t>8 Jun</t>
        </is>
      </c>
      <c r="B11" s="15" t="inlineStr">
        <is>
          <t>37257</t>
        </is>
      </c>
      <c r="C11" s="16" t="n">
        <v>0</v>
      </c>
      <c r="D11" s="17" t="n">
        <v>251.78</v>
      </c>
      <c r="E11" s="18" t="n">
        <v>31228</v>
      </c>
      <c r="F11" s="18" t="n">
        <v>32786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4</v>
      </c>
    </row>
    <row r="12">
      <c r="A12" s="15" t="inlineStr">
        <is>
          <t>8 Jun</t>
        </is>
      </c>
      <c r="B12" s="15" t="inlineStr">
        <is>
          <t>30752</t>
        </is>
      </c>
      <c r="C12" s="16" t="n">
        <v>0</v>
      </c>
      <c r="D12" s="17" t="n">
        <v>252.09</v>
      </c>
      <c r="E12" s="18" t="n">
        <v>23926</v>
      </c>
      <c r="F12" s="18" t="n">
        <v>23989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1</v>
      </c>
    </row>
    <row r="13">
      <c r="A13" s="15" t="inlineStr">
        <is>
          <t>8 Jun</t>
        </is>
      </c>
      <c r="B13" s="15" t="inlineStr">
        <is>
          <t>39066</t>
        </is>
      </c>
      <c r="C13" s="16" t="n">
        <v>0</v>
      </c>
      <c r="D13" s="17" t="n">
        <v>470.59</v>
      </c>
      <c r="E13" s="18" t="n">
        <v>22349</v>
      </c>
      <c r="F13" s="18" t="n">
        <v>22443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4</v>
      </c>
    </row>
    <row r="14">
      <c r="A14" s="15" t="inlineStr">
        <is>
          <t>8 Jun</t>
        </is>
      </c>
      <c r="B14" s="15" t="inlineStr">
        <is>
          <t>30223</t>
        </is>
      </c>
      <c r="C14" s="16" t="n">
        <v>0</v>
      </c>
      <c r="D14" s="17" t="n">
        <v>469.92</v>
      </c>
      <c r="E14" s="18" t="n">
        <v>21790</v>
      </c>
      <c r="F14" s="18" t="n">
        <v>21815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0</v>
      </c>
    </row>
    <row r="15">
      <c r="A15" s="15" t="inlineStr">
        <is>
          <t>8 Jun</t>
        </is>
      </c>
      <c r="B15" s="15" t="inlineStr">
        <is>
          <t>30114</t>
        </is>
      </c>
      <c r="C15" s="16" t="n">
        <v>0</v>
      </c>
      <c r="D15" s="17" t="n">
        <v>221.17</v>
      </c>
      <c r="E15" s="18" t="n">
        <v>16140</v>
      </c>
      <c r="F15" s="18" t="n">
        <v>16490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0</v>
      </c>
    </row>
    <row r="16">
      <c r="A16" s="15" t="inlineStr">
        <is>
          <t>8 Jun</t>
        </is>
      </c>
      <c r="B16" s="15" t="inlineStr">
        <is>
          <t>37885</t>
        </is>
      </c>
      <c r="C16" s="16" t="n">
        <v>0</v>
      </c>
      <c r="D16" s="17" t="n">
        <v>453.18</v>
      </c>
      <c r="E16" s="18" t="n">
        <v>15635</v>
      </c>
      <c r="F16" s="18" t="n">
        <v>16146</v>
      </c>
      <c r="G16" s="19">
        <f>IF(F16=0,0,E16/F16*100)</f>
        <v/>
      </c>
      <c r="H16" s="16" t="n">
        <v>1</v>
      </c>
      <c r="I16" s="16" t="n">
        <v>0</v>
      </c>
      <c r="J16" s="16" t="n">
        <v>1</v>
      </c>
      <c r="K16" s="16" t="n">
        <v>4</v>
      </c>
    </row>
    <row r="17">
      <c r="A17" s="15" t="inlineStr">
        <is>
          <t>8 Jun</t>
        </is>
      </c>
      <c r="B17" s="15" t="inlineStr">
        <is>
          <t>30335</t>
        </is>
      </c>
      <c r="C17" s="16" t="n">
        <v>0</v>
      </c>
      <c r="D17" s="17" t="n">
        <v>318.81</v>
      </c>
      <c r="E17" s="18" t="n">
        <v>12351</v>
      </c>
      <c r="F17" s="18" t="n">
        <v>12431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2</v>
      </c>
    </row>
    <row r="18">
      <c r="A18" s="15" t="inlineStr">
        <is>
          <t>8 Jun</t>
        </is>
      </c>
      <c r="B18" s="15" t="inlineStr">
        <is>
          <t>30464</t>
        </is>
      </c>
      <c r="C18" s="16" t="n">
        <v>0</v>
      </c>
      <c r="D18" s="17" t="n">
        <v>319.23</v>
      </c>
      <c r="E18" s="18" t="n">
        <v>11730</v>
      </c>
      <c r="F18" s="18" t="n">
        <v>12056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5</v>
      </c>
    </row>
    <row r="19">
      <c r="A19" s="15" t="inlineStr">
        <is>
          <t>8 Jun</t>
        </is>
      </c>
      <c r="B19" s="15" t="inlineStr">
        <is>
          <t>39252</t>
        </is>
      </c>
      <c r="C19" s="16" t="n">
        <v>0</v>
      </c>
      <c r="D19" s="17" t="n">
        <v>319.23</v>
      </c>
      <c r="E19" s="18" t="n">
        <v>11825</v>
      </c>
      <c r="F19" s="18" t="n">
        <v>11920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1</v>
      </c>
    </row>
    <row r="20">
      <c r="A20" s="15" t="inlineStr">
        <is>
          <t>8 Jun</t>
        </is>
      </c>
      <c r="B20" s="15" t="inlineStr">
        <is>
          <t>30339</t>
        </is>
      </c>
      <c r="C20" s="16" t="n">
        <v>0</v>
      </c>
      <c r="D20" s="17" t="n">
        <v>321.69</v>
      </c>
      <c r="E20" s="18" t="n">
        <v>11421</v>
      </c>
      <c r="F20" s="18" t="n">
        <v>11779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6</v>
      </c>
    </row>
    <row r="21">
      <c r="A21" s="15" t="inlineStr">
        <is>
          <t>8 Jun</t>
        </is>
      </c>
      <c r="B21" s="15" t="inlineStr">
        <is>
          <t>37507</t>
        </is>
      </c>
      <c r="C21" s="16" t="n">
        <v>0</v>
      </c>
      <c r="D21" s="17" t="n">
        <v>245.42</v>
      </c>
      <c r="E21" s="18" t="n">
        <v>10512</v>
      </c>
      <c r="F21" s="18" t="n">
        <v>10833</v>
      </c>
      <c r="G21" s="19">
        <f>IF(F21=0,0,E21/F21*100)</f>
        <v/>
      </c>
      <c r="H21" s="16" t="n">
        <v>1</v>
      </c>
      <c r="I21" s="16" t="n">
        <v>0</v>
      </c>
      <c r="J21" s="16" t="n">
        <v>1</v>
      </c>
      <c r="K21" s="16" t="n">
        <v>2</v>
      </c>
    </row>
    <row r="22">
      <c r="A22" s="15" t="inlineStr">
        <is>
          <t>8 Jun</t>
        </is>
      </c>
      <c r="B22" s="15" t="inlineStr">
        <is>
          <t>30567</t>
        </is>
      </c>
      <c r="C22" s="16" t="n">
        <v>0</v>
      </c>
      <c r="D22" s="17" t="n">
        <v>311.97</v>
      </c>
      <c r="E22" s="18" t="n">
        <v>10651</v>
      </c>
      <c r="F22" s="18" t="n">
        <v>10733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1</v>
      </c>
    </row>
    <row r="23">
      <c r="A23" s="15" t="inlineStr">
        <is>
          <t>8 Jun</t>
        </is>
      </c>
      <c r="B23" s="15" t="inlineStr">
        <is>
          <t>37031</t>
        </is>
      </c>
      <c r="C23" s="16" t="n">
        <v>0</v>
      </c>
      <c r="D23" s="17" t="n">
        <v>108.54</v>
      </c>
      <c r="E23" s="18" t="n">
        <v>10188</v>
      </c>
      <c r="F23" s="18" t="n">
        <v>10554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6</v>
      </c>
    </row>
    <row r="24">
      <c r="A24" s="15" t="inlineStr">
        <is>
          <t>8 Jun</t>
        </is>
      </c>
      <c r="B24" s="15" t="inlineStr">
        <is>
          <t>37219</t>
        </is>
      </c>
      <c r="C24" s="16" t="n">
        <v>0</v>
      </c>
      <c r="D24" s="17" t="n">
        <v>223.13</v>
      </c>
      <c r="E24" s="18" t="n">
        <v>10321</v>
      </c>
      <c r="F24" s="18" t="n">
        <v>10321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0</v>
      </c>
    </row>
    <row r="25">
      <c r="A25" s="15" t="inlineStr">
        <is>
          <t>8 Jun</t>
        </is>
      </c>
      <c r="B25" s="15" t="inlineStr">
        <is>
          <t>39046</t>
        </is>
      </c>
      <c r="C25" s="16" t="n">
        <v>0</v>
      </c>
      <c r="D25" s="17" t="n">
        <v>319.23</v>
      </c>
      <c r="E25" s="18" t="n">
        <v>9682</v>
      </c>
      <c r="F25" s="18" t="n">
        <v>9991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2</v>
      </c>
    </row>
    <row r="26">
      <c r="A26" s="15" t="inlineStr">
        <is>
          <t>8 Jun</t>
        </is>
      </c>
      <c r="B26" s="15" t="inlineStr">
        <is>
          <t>37366</t>
        </is>
      </c>
      <c r="C26" s="16" t="n">
        <v>0</v>
      </c>
      <c r="D26" s="17" t="n">
        <v>108.65</v>
      </c>
      <c r="E26" s="18" t="n">
        <v>8434</v>
      </c>
      <c r="F26" s="18" t="n">
        <v>8775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4</v>
      </c>
    </row>
    <row r="27">
      <c r="A27" s="15" t="inlineStr">
        <is>
          <t>8 Jun</t>
        </is>
      </c>
      <c r="B27" s="15" t="inlineStr">
        <is>
          <t>30435</t>
        </is>
      </c>
      <c r="C27" s="16" t="n">
        <v>0</v>
      </c>
      <c r="D27" s="17" t="n">
        <v>82.11</v>
      </c>
      <c r="E27" s="18" t="n">
        <v>8145</v>
      </c>
      <c r="F27" s="18" t="n">
        <v>8299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6</v>
      </c>
    </row>
    <row r="28">
      <c r="A28" s="15" t="inlineStr">
        <is>
          <t>8 Jun</t>
        </is>
      </c>
      <c r="B28" s="15" t="inlineStr">
        <is>
          <t>39243</t>
        </is>
      </c>
      <c r="C28" s="16" t="n">
        <v>0</v>
      </c>
      <c r="D28" s="17" t="n">
        <v>181.67</v>
      </c>
      <c r="E28" s="18" t="n">
        <v>8196</v>
      </c>
      <c r="F28" s="18" t="n">
        <v>8252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2</v>
      </c>
    </row>
    <row r="29">
      <c r="A29" s="15" t="inlineStr">
        <is>
          <t>8 Jun</t>
        </is>
      </c>
      <c r="B29" s="15" t="inlineStr">
        <is>
          <t>39108</t>
        </is>
      </c>
      <c r="C29" s="16" t="n">
        <v>0</v>
      </c>
      <c r="D29" s="17" t="n">
        <v>107.98</v>
      </c>
      <c r="E29" s="18" t="n">
        <v>6338</v>
      </c>
      <c r="F29" s="18" t="n">
        <v>6742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2</v>
      </c>
    </row>
    <row r="30">
      <c r="A30" s="15" t="inlineStr">
        <is>
          <t>8 Jun</t>
        </is>
      </c>
      <c r="B30" s="15" t="inlineStr">
        <is>
          <t>37540</t>
        </is>
      </c>
      <c r="C30" s="16" t="n">
        <v>0</v>
      </c>
      <c r="D30" s="17" t="n">
        <v>293.52</v>
      </c>
      <c r="E30" s="18" t="n">
        <v>6331</v>
      </c>
      <c r="F30" s="18" t="n">
        <v>6364</v>
      </c>
      <c r="G30" s="19">
        <f>IF(F30=0,0,E30/F30*100)</f>
        <v/>
      </c>
      <c r="H30" s="16" t="n">
        <v>1</v>
      </c>
      <c r="I30" s="16" t="n">
        <v>0</v>
      </c>
      <c r="J30" s="16" t="n">
        <v>1</v>
      </c>
      <c r="K30" s="16" t="n">
        <v>2</v>
      </c>
    </row>
    <row r="31">
      <c r="A31" s="15" t="inlineStr">
        <is>
          <t>8 Jun</t>
        </is>
      </c>
      <c r="B31" s="15" t="inlineStr">
        <is>
          <t>30739</t>
        </is>
      </c>
      <c r="C31" s="16" t="n">
        <v>0</v>
      </c>
      <c r="D31" s="17" t="n">
        <v>241.59</v>
      </c>
      <c r="E31" s="18" t="n">
        <v>5644</v>
      </c>
      <c r="F31" s="18" t="n">
        <v>5654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1</v>
      </c>
    </row>
    <row r="32">
      <c r="A32" s="15" t="inlineStr">
        <is>
          <t>8 Jun</t>
        </is>
      </c>
      <c r="B32" s="15" t="inlineStr">
        <is>
          <t>41696</t>
        </is>
      </c>
      <c r="C32" s="16" t="n">
        <v>0</v>
      </c>
      <c r="D32" s="17" t="n">
        <v>221.53</v>
      </c>
      <c r="E32" s="18" t="n">
        <v>4704</v>
      </c>
      <c r="F32" s="18" t="n">
        <v>4816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4</v>
      </c>
    </row>
    <row r="33">
      <c r="A33" s="15" t="inlineStr">
        <is>
          <t>8 Jun</t>
        </is>
      </c>
      <c r="B33" s="15" t="inlineStr">
        <is>
          <t>30572</t>
        </is>
      </c>
      <c r="C33" s="16" t="n">
        <v>0</v>
      </c>
      <c r="D33" s="17" t="n">
        <v>83.79000000000001</v>
      </c>
      <c r="E33" s="18" t="n">
        <v>3231</v>
      </c>
      <c r="F33" s="18" t="n">
        <v>3398</v>
      </c>
      <c r="G33" s="19">
        <f>IF(F33=0,0,E33/F33*100)</f>
        <v/>
      </c>
      <c r="H33" s="16" t="n">
        <v>2</v>
      </c>
      <c r="I33" s="16" t="n">
        <v>0</v>
      </c>
      <c r="J33" s="16" t="n">
        <v>2</v>
      </c>
      <c r="K33" s="16" t="n">
        <v>2</v>
      </c>
    </row>
    <row r="34">
      <c r="A34" s="15" t="inlineStr">
        <is>
          <t>8 Jun</t>
        </is>
      </c>
      <c r="B34" s="15" t="inlineStr">
        <is>
          <t>37818</t>
        </is>
      </c>
      <c r="C34" s="16" t="n">
        <v>0</v>
      </c>
      <c r="D34" s="17" t="n">
        <v>32.24</v>
      </c>
      <c r="E34" s="18" t="n">
        <v>2763</v>
      </c>
      <c r="F34" s="18" t="n">
        <v>2763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8 Jun</t>
        </is>
      </c>
      <c r="B35" s="15" t="inlineStr">
        <is>
          <t>37131</t>
        </is>
      </c>
      <c r="C35" s="16" t="n">
        <v>0</v>
      </c>
      <c r="D35" s="17" t="n">
        <v>57.22</v>
      </c>
      <c r="E35" s="18" t="n">
        <v>2689</v>
      </c>
      <c r="F35" s="18" t="n">
        <v>2689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8 Jun</t>
        </is>
      </c>
      <c r="B36" s="15" t="inlineStr">
        <is>
          <t>30488</t>
        </is>
      </c>
      <c r="C36" s="16" t="n">
        <v>0</v>
      </c>
      <c r="D36" s="17" t="n">
        <v>47.38</v>
      </c>
      <c r="E36" s="18" t="n">
        <v>2383</v>
      </c>
      <c r="F36" s="18" t="n">
        <v>2397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0</v>
      </c>
    </row>
    <row r="37">
      <c r="A37" s="15" t="inlineStr">
        <is>
          <t>8 Jun</t>
        </is>
      </c>
      <c r="B37" s="15" t="inlineStr">
        <is>
          <t>30665</t>
        </is>
      </c>
      <c r="C37" s="16" t="n">
        <v>0</v>
      </c>
      <c r="D37" s="17" t="n">
        <v>11.84</v>
      </c>
      <c r="E37" s="18" t="n">
        <v>737</v>
      </c>
      <c r="F37" s="18" t="n">
        <v>789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8 Jun</t>
        </is>
      </c>
      <c r="B38" s="15" t="inlineStr">
        <is>
          <t>37056</t>
        </is>
      </c>
      <c r="C38" s="16" t="n">
        <v>0</v>
      </c>
      <c r="D38" s="17" t="n">
        <v>9.640000000000001</v>
      </c>
      <c r="E38" s="18" t="n">
        <v>652</v>
      </c>
      <c r="F38" s="18" t="n">
        <v>664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8 Jun</t>
        </is>
      </c>
      <c r="B39" s="15" t="inlineStr">
        <is>
          <t>32145</t>
        </is>
      </c>
      <c r="C39" s="16" t="n">
        <v>0</v>
      </c>
      <c r="D39" s="17" t="n">
        <v>0.06</v>
      </c>
      <c r="E39" s="18" t="n">
        <v>53</v>
      </c>
      <c r="F39" s="18" t="n">
        <v>75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0</v>
      </c>
    </row>
    <row r="40">
      <c r="A40" s="15" t="inlineStr">
        <is>
          <t>8 Jun</t>
        </is>
      </c>
      <c r="B40" s="15" t="inlineStr">
        <is>
          <t>39245</t>
        </is>
      </c>
      <c r="C40" s="16" t="n">
        <v>0</v>
      </c>
      <c r="D40" s="17" t="n">
        <v>160.41</v>
      </c>
      <c r="E40" s="18" t="n">
        <v>0</v>
      </c>
      <c r="F40" s="18" t="n">
        <v>53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8 Jun</t>
        </is>
      </c>
      <c r="B41" s="15" t="inlineStr">
        <is>
          <t>30511</t>
        </is>
      </c>
      <c r="C41" s="16" t="n">
        <v>0</v>
      </c>
      <c r="D41" s="17" t="n">
        <v>100.51</v>
      </c>
      <c r="E41" s="18" t="n">
        <v>0</v>
      </c>
      <c r="F41" s="18" t="n">
        <v>32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8 Jun</t>
        </is>
      </c>
      <c r="B42" s="15" t="inlineStr">
        <is>
          <t>37664</t>
        </is>
      </c>
      <c r="C42" s="16" t="n">
        <v>0</v>
      </c>
      <c r="D42" s="17" t="n">
        <v>12.84</v>
      </c>
      <c r="E42" s="18" t="n">
        <v>0</v>
      </c>
      <c r="F42" s="18" t="n">
        <v>22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0</v>
      </c>
    </row>
    <row r="43">
      <c r="A43" s="20" t="inlineStr">
        <is>
          <t>8 Jun</t>
        </is>
      </c>
      <c r="B43" s="20" t="inlineStr">
        <is>
          <t>Day Total</t>
        </is>
      </c>
      <c r="C43" s="21">
        <f>SUM(C4:C42)</f>
        <v/>
      </c>
      <c r="D43" s="22">
        <f>SUM(D4:D42)</f>
        <v/>
      </c>
      <c r="E43" s="23">
        <f>SUM(E4:E42)</f>
        <v/>
      </c>
      <c r="F43" s="23">
        <f>SUM(F4:F42)</f>
        <v/>
      </c>
      <c r="G43" s="24">
        <f>IF(F43=0,0,E43/F43*100)</f>
        <v/>
      </c>
      <c r="H43" s="21">
        <f>SUM(H4:H42)</f>
        <v/>
      </c>
      <c r="I43" s="21">
        <f>SUM(I4:I42)</f>
        <v/>
      </c>
      <c r="J43" s="21">
        <f>SUM(J4:J42)</f>
        <v/>
      </c>
      <c r="K43" s="21">
        <f>SUM(K4:K42)</f>
        <v/>
      </c>
    </row>
    <row r="44">
      <c r="A44" s="15" t="inlineStr">
        <is>
          <t>9 Jun</t>
        </is>
      </c>
      <c r="B44" s="15" t="inlineStr">
        <is>
          <t>37073</t>
        </is>
      </c>
      <c r="C44" s="16" t="n">
        <v>1</v>
      </c>
      <c r="D44" s="17" t="n">
        <v>543.91</v>
      </c>
      <c r="E44" s="18" t="n">
        <v>35692</v>
      </c>
      <c r="F44" s="18" t="n">
        <v>36053</v>
      </c>
      <c r="G44" s="19">
        <f>IF(F44=0,0,E44/F44*100)</f>
        <v/>
      </c>
      <c r="H44" s="16" t="n">
        <v>1</v>
      </c>
      <c r="I44" s="16" t="n">
        <v>1</v>
      </c>
      <c r="J44" s="16" t="n">
        <v>0</v>
      </c>
      <c r="K44" s="16" t="n">
        <v>10</v>
      </c>
    </row>
    <row r="45">
      <c r="A45" s="15" t="inlineStr">
        <is>
          <t>9 Jun</t>
        </is>
      </c>
      <c r="B45" s="15" t="inlineStr">
        <is>
          <t>37019</t>
        </is>
      </c>
      <c r="C45" s="16" t="n">
        <v>1</v>
      </c>
      <c r="D45" s="17" t="n">
        <v>541.51</v>
      </c>
      <c r="E45" s="18" t="n">
        <v>22637</v>
      </c>
      <c r="F45" s="18" t="n">
        <v>22946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11</v>
      </c>
    </row>
    <row r="46">
      <c r="A46" s="15" t="inlineStr">
        <is>
          <t>9 Jun</t>
        </is>
      </c>
      <c r="B46" s="15" t="inlineStr">
        <is>
          <t>30240</t>
        </is>
      </c>
      <c r="C46" s="16" t="n">
        <v>1</v>
      </c>
      <c r="D46" s="17" t="n">
        <v>543.37</v>
      </c>
      <c r="E46" s="18" t="n">
        <v>19044</v>
      </c>
      <c r="F46" s="18" t="n">
        <v>19360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6</v>
      </c>
    </row>
    <row r="47">
      <c r="A47" s="15" t="inlineStr">
        <is>
          <t>9 Jun</t>
        </is>
      </c>
      <c r="B47" s="15" t="inlineStr">
        <is>
          <t>39466</t>
        </is>
      </c>
      <c r="C47" s="16" t="n">
        <v>0</v>
      </c>
      <c r="D47" s="17" t="n">
        <v>330.52</v>
      </c>
      <c r="E47" s="18" t="n">
        <v>28607</v>
      </c>
      <c r="F47" s="18" t="n">
        <v>29039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9</v>
      </c>
    </row>
    <row r="48">
      <c r="A48" s="15" t="inlineStr">
        <is>
          <t>9 Jun</t>
        </is>
      </c>
      <c r="B48" s="15" t="inlineStr">
        <is>
          <t>30435</t>
        </is>
      </c>
      <c r="C48" s="16" t="n">
        <v>0</v>
      </c>
      <c r="D48" s="17" t="n">
        <v>461.59</v>
      </c>
      <c r="E48" s="18" t="n">
        <v>25261</v>
      </c>
      <c r="F48" s="18" t="n">
        <v>25557</v>
      </c>
      <c r="G48" s="19">
        <f>IF(F48=0,0,E48/F48*100)</f>
        <v/>
      </c>
      <c r="H48" s="16" t="n">
        <v>1</v>
      </c>
      <c r="I48" s="16" t="n">
        <v>0</v>
      </c>
      <c r="J48" s="16" t="n">
        <v>1</v>
      </c>
      <c r="K48" s="16" t="n">
        <v>7</v>
      </c>
    </row>
    <row r="49">
      <c r="A49" s="15" t="inlineStr">
        <is>
          <t>9 Jun</t>
        </is>
      </c>
      <c r="B49" s="15" t="inlineStr">
        <is>
          <t>30339</t>
        </is>
      </c>
      <c r="C49" s="16" t="n">
        <v>0</v>
      </c>
      <c r="D49" s="17" t="n">
        <v>321.5</v>
      </c>
      <c r="E49" s="18" t="n">
        <v>22176</v>
      </c>
      <c r="F49" s="18" t="n">
        <v>22324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8</v>
      </c>
    </row>
    <row r="50">
      <c r="A50" s="15" t="inlineStr">
        <is>
          <t>9 Jun</t>
        </is>
      </c>
      <c r="B50" s="15" t="inlineStr">
        <is>
          <t>37818</t>
        </is>
      </c>
      <c r="C50" s="16" t="n">
        <v>0</v>
      </c>
      <c r="D50" s="17" t="n">
        <v>480.38</v>
      </c>
      <c r="E50" s="18" t="n">
        <v>20731</v>
      </c>
      <c r="F50" s="18" t="n">
        <v>20999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6</v>
      </c>
    </row>
    <row r="51">
      <c r="A51" s="15" t="inlineStr">
        <is>
          <t>9 Jun</t>
        </is>
      </c>
      <c r="B51" s="15" t="inlineStr">
        <is>
          <t>37063</t>
        </is>
      </c>
      <c r="C51" s="16" t="n">
        <v>0</v>
      </c>
      <c r="D51" s="17" t="n">
        <v>250.87</v>
      </c>
      <c r="E51" s="18" t="n">
        <v>19862</v>
      </c>
      <c r="F51" s="18" t="n">
        <v>19921</v>
      </c>
      <c r="G51" s="19">
        <f>IF(F51=0,0,E51/F51*100)</f>
        <v/>
      </c>
      <c r="H51" s="16" t="n">
        <v>0</v>
      </c>
      <c r="I51" s="16" t="n">
        <v>0</v>
      </c>
      <c r="J51" s="16" t="n">
        <v>0</v>
      </c>
      <c r="K51" s="16" t="n">
        <v>0</v>
      </c>
    </row>
    <row r="52">
      <c r="A52" s="15" t="inlineStr">
        <is>
          <t>9 Jun</t>
        </is>
      </c>
      <c r="B52" s="15" t="inlineStr">
        <is>
          <t>30752</t>
        </is>
      </c>
      <c r="C52" s="16" t="n">
        <v>0</v>
      </c>
      <c r="D52" s="17" t="n">
        <v>251.85</v>
      </c>
      <c r="E52" s="18" t="n">
        <v>16275</v>
      </c>
      <c r="F52" s="18" t="n">
        <v>16545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1</v>
      </c>
    </row>
    <row r="53">
      <c r="A53" s="15" t="inlineStr">
        <is>
          <t>9 Jun</t>
        </is>
      </c>
      <c r="B53" s="15" t="inlineStr">
        <is>
          <t>37286</t>
        </is>
      </c>
      <c r="C53" s="16" t="n">
        <v>0</v>
      </c>
      <c r="D53" s="17" t="n">
        <v>336.5</v>
      </c>
      <c r="E53" s="18" t="n">
        <v>14838</v>
      </c>
      <c r="F53" s="18" t="n">
        <v>15235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5</v>
      </c>
    </row>
    <row r="54">
      <c r="A54" s="15" t="inlineStr">
        <is>
          <t>9 Jun</t>
        </is>
      </c>
      <c r="B54" s="15" t="inlineStr">
        <is>
          <t>39328</t>
        </is>
      </c>
      <c r="C54" s="16" t="n">
        <v>0</v>
      </c>
      <c r="D54" s="17" t="n">
        <v>235.58</v>
      </c>
      <c r="E54" s="18" t="n">
        <v>14459</v>
      </c>
      <c r="F54" s="18" t="n">
        <v>14502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1</v>
      </c>
    </row>
    <row r="55">
      <c r="A55" s="15" t="inlineStr">
        <is>
          <t>9 Jun</t>
        </is>
      </c>
      <c r="B55" s="15" t="inlineStr">
        <is>
          <t>39243</t>
        </is>
      </c>
      <c r="C55" s="16" t="n">
        <v>0</v>
      </c>
      <c r="D55" s="17" t="n">
        <v>362.28</v>
      </c>
      <c r="E55" s="18" t="n">
        <v>13970</v>
      </c>
      <c r="F55" s="18" t="n">
        <v>13970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0</v>
      </c>
    </row>
    <row r="56">
      <c r="A56" s="15" t="inlineStr">
        <is>
          <t>9 Jun</t>
        </is>
      </c>
      <c r="B56" s="15" t="inlineStr">
        <is>
          <t>39035</t>
        </is>
      </c>
      <c r="C56" s="16" t="n">
        <v>0</v>
      </c>
      <c r="D56" s="17" t="n">
        <v>324.06</v>
      </c>
      <c r="E56" s="18" t="n">
        <v>13321</v>
      </c>
      <c r="F56" s="18" t="n">
        <v>13463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2</v>
      </c>
    </row>
    <row r="57">
      <c r="A57" s="15" t="inlineStr">
        <is>
          <t>9 Jun</t>
        </is>
      </c>
      <c r="B57" s="15" t="inlineStr">
        <is>
          <t>39108</t>
        </is>
      </c>
      <c r="C57" s="16" t="n">
        <v>0</v>
      </c>
      <c r="D57" s="17" t="n">
        <v>108.52</v>
      </c>
      <c r="E57" s="18" t="n">
        <v>13141</v>
      </c>
      <c r="F57" s="18" t="n">
        <v>13428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7</v>
      </c>
    </row>
    <row r="58">
      <c r="A58" s="15" t="inlineStr">
        <is>
          <t>9 Jun</t>
        </is>
      </c>
      <c r="B58" s="15" t="inlineStr">
        <is>
          <t>37086</t>
        </is>
      </c>
      <c r="C58" s="16" t="n">
        <v>0</v>
      </c>
      <c r="D58" s="17" t="n">
        <v>298.37</v>
      </c>
      <c r="E58" s="18" t="n">
        <v>12822</v>
      </c>
      <c r="F58" s="18" t="n">
        <v>13122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3</v>
      </c>
    </row>
    <row r="59">
      <c r="A59" s="15" t="inlineStr">
        <is>
          <t>9 Jun</t>
        </is>
      </c>
      <c r="B59" s="15" t="inlineStr">
        <is>
          <t>37257</t>
        </is>
      </c>
      <c r="C59" s="16" t="n">
        <v>0</v>
      </c>
      <c r="D59" s="17" t="n">
        <v>196.88</v>
      </c>
      <c r="E59" s="18" t="n">
        <v>12547</v>
      </c>
      <c r="F59" s="18" t="n">
        <v>12567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0</v>
      </c>
    </row>
    <row r="60">
      <c r="A60" s="15" t="inlineStr">
        <is>
          <t>9 Jun</t>
        </is>
      </c>
      <c r="B60" s="15" t="inlineStr">
        <is>
          <t>30488</t>
        </is>
      </c>
      <c r="C60" s="16" t="n">
        <v>0</v>
      </c>
      <c r="D60" s="17" t="n">
        <v>318.81</v>
      </c>
      <c r="E60" s="18" t="n">
        <v>11851</v>
      </c>
      <c r="F60" s="18" t="n">
        <v>12292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7</v>
      </c>
    </row>
    <row r="61">
      <c r="A61" s="15" t="inlineStr">
        <is>
          <t>9 Jun</t>
        </is>
      </c>
      <c r="B61" s="15" t="inlineStr">
        <is>
          <t>30466</t>
        </is>
      </c>
      <c r="C61" s="16" t="n">
        <v>0</v>
      </c>
      <c r="D61" s="17" t="n">
        <v>321.72</v>
      </c>
      <c r="E61" s="18" t="n">
        <v>11025</v>
      </c>
      <c r="F61" s="18" t="n">
        <v>11373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5</v>
      </c>
    </row>
    <row r="62">
      <c r="A62" s="15" t="inlineStr">
        <is>
          <t>9 Jun</t>
        </is>
      </c>
      <c r="B62" s="15" t="inlineStr">
        <is>
          <t>30176</t>
        </is>
      </c>
      <c r="C62" s="16" t="n">
        <v>0</v>
      </c>
      <c r="D62" s="17" t="n">
        <v>173.39</v>
      </c>
      <c r="E62" s="18" t="n">
        <v>11011</v>
      </c>
      <c r="F62" s="18" t="n">
        <v>11320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2</v>
      </c>
    </row>
    <row r="63">
      <c r="A63" s="15" t="inlineStr">
        <is>
          <t>9 Jun</t>
        </is>
      </c>
      <c r="B63" s="15" t="inlineStr">
        <is>
          <t>37219</t>
        </is>
      </c>
      <c r="C63" s="16" t="n">
        <v>0</v>
      </c>
      <c r="D63" s="17" t="n">
        <v>318.54</v>
      </c>
      <c r="E63" s="18" t="n">
        <v>10690</v>
      </c>
      <c r="F63" s="18" t="n">
        <v>10775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2</v>
      </c>
    </row>
    <row r="64">
      <c r="A64" s="15" t="inlineStr">
        <is>
          <t>9 Jun</t>
        </is>
      </c>
      <c r="B64" s="15" t="inlineStr">
        <is>
          <t>37056</t>
        </is>
      </c>
      <c r="C64" s="16" t="n">
        <v>0</v>
      </c>
      <c r="D64" s="17" t="n">
        <v>108.65</v>
      </c>
      <c r="E64" s="18" t="n">
        <v>10361</v>
      </c>
      <c r="F64" s="18" t="n">
        <v>10421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0</v>
      </c>
    </row>
    <row r="65">
      <c r="A65" s="15" t="inlineStr">
        <is>
          <t>9 Jun</t>
        </is>
      </c>
      <c r="B65" s="15" t="inlineStr">
        <is>
          <t>30334</t>
        </is>
      </c>
      <c r="C65" s="16" t="n">
        <v>0</v>
      </c>
      <c r="D65" s="17" t="n">
        <v>218.76</v>
      </c>
      <c r="E65" s="18" t="n">
        <v>9337</v>
      </c>
      <c r="F65" s="18" t="n">
        <v>9337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0</v>
      </c>
    </row>
    <row r="66">
      <c r="A66" s="15" t="inlineStr">
        <is>
          <t>9 Jun</t>
        </is>
      </c>
      <c r="B66" s="15" t="inlineStr">
        <is>
          <t>30234</t>
        </is>
      </c>
      <c r="C66" s="16" t="n">
        <v>0</v>
      </c>
      <c r="D66" s="17" t="n">
        <v>251.66</v>
      </c>
      <c r="E66" s="18" t="n">
        <v>9217</v>
      </c>
      <c r="F66" s="18" t="n">
        <v>9275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1</v>
      </c>
    </row>
    <row r="67">
      <c r="A67" s="15" t="inlineStr">
        <is>
          <t>9 Jun</t>
        </is>
      </c>
      <c r="B67" s="15" t="inlineStr">
        <is>
          <t>32763</t>
        </is>
      </c>
      <c r="C67" s="16" t="n">
        <v>0</v>
      </c>
      <c r="D67" s="17" t="n">
        <v>184.8</v>
      </c>
      <c r="E67" s="18" t="n">
        <v>8509</v>
      </c>
      <c r="F67" s="18" t="n">
        <v>8644</v>
      </c>
      <c r="G67" s="19">
        <f>IF(F67=0,0,E67/F67*100)</f>
        <v/>
      </c>
      <c r="H67" s="16" t="n">
        <v>1</v>
      </c>
      <c r="I67" s="16" t="n">
        <v>0</v>
      </c>
      <c r="J67" s="16" t="n">
        <v>1</v>
      </c>
      <c r="K67" s="16" t="n">
        <v>2</v>
      </c>
    </row>
    <row r="68">
      <c r="A68" s="15" t="inlineStr">
        <is>
          <t>9 Jun</t>
        </is>
      </c>
      <c r="B68" s="15" t="inlineStr">
        <is>
          <t>37470</t>
        </is>
      </c>
      <c r="C68" s="16" t="n">
        <v>0</v>
      </c>
      <c r="D68" s="17" t="n">
        <v>221.56</v>
      </c>
      <c r="E68" s="18" t="n">
        <v>6925</v>
      </c>
      <c r="F68" s="18" t="n">
        <v>6930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0</v>
      </c>
    </row>
    <row r="69">
      <c r="A69" s="15" t="inlineStr">
        <is>
          <t>9 Jun</t>
        </is>
      </c>
      <c r="B69" s="15" t="inlineStr">
        <is>
          <t>30739</t>
        </is>
      </c>
      <c r="C69" s="16" t="n">
        <v>0</v>
      </c>
      <c r="D69" s="17" t="n">
        <v>302.37</v>
      </c>
      <c r="E69" s="18" t="n">
        <v>6810</v>
      </c>
      <c r="F69" s="18" t="n">
        <v>6920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5</v>
      </c>
    </row>
    <row r="70">
      <c r="A70" s="15" t="inlineStr">
        <is>
          <t>9 Jun</t>
        </is>
      </c>
      <c r="B70" s="15" t="inlineStr">
        <is>
          <t>37248</t>
        </is>
      </c>
      <c r="C70" s="16" t="n">
        <v>0</v>
      </c>
      <c r="D70" s="17" t="n">
        <v>107.53</v>
      </c>
      <c r="E70" s="18" t="n">
        <v>4497</v>
      </c>
      <c r="F70" s="18" t="n">
        <v>4543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0</v>
      </c>
    </row>
    <row r="71">
      <c r="A71" s="15" t="inlineStr">
        <is>
          <t>9 Jun</t>
        </is>
      </c>
      <c r="B71" s="15" t="inlineStr">
        <is>
          <t>37369</t>
        </is>
      </c>
      <c r="C71" s="16" t="n">
        <v>0</v>
      </c>
      <c r="D71" s="17" t="n">
        <v>107.54</v>
      </c>
      <c r="E71" s="18" t="n">
        <v>4155</v>
      </c>
      <c r="F71" s="18" t="n">
        <v>4409</v>
      </c>
      <c r="G71" s="19">
        <f>IF(F71=0,0,E71/F71*100)</f>
        <v/>
      </c>
      <c r="H71" s="16" t="n">
        <v>1</v>
      </c>
      <c r="I71" s="16" t="n">
        <v>0</v>
      </c>
      <c r="J71" s="16" t="n">
        <v>1</v>
      </c>
      <c r="K71" s="16" t="n">
        <v>8</v>
      </c>
    </row>
    <row r="72">
      <c r="A72" s="15" t="inlineStr">
        <is>
          <t>9 Jun</t>
        </is>
      </c>
      <c r="B72" s="15" t="inlineStr">
        <is>
          <t>30460</t>
        </is>
      </c>
      <c r="C72" s="16" t="n">
        <v>0</v>
      </c>
      <c r="D72" s="17" t="n">
        <v>37.45</v>
      </c>
      <c r="E72" s="18" t="n">
        <v>3608</v>
      </c>
      <c r="F72" s="18" t="n">
        <v>3687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0</v>
      </c>
    </row>
    <row r="73">
      <c r="A73" s="15" t="inlineStr">
        <is>
          <t>9 Jun</t>
        </is>
      </c>
      <c r="B73" s="15" t="inlineStr">
        <is>
          <t>37189</t>
        </is>
      </c>
      <c r="C73" s="16" t="n">
        <v>0</v>
      </c>
      <c r="D73" s="17" t="n">
        <v>80.78</v>
      </c>
      <c r="E73" s="18" t="n">
        <v>3480</v>
      </c>
      <c r="F73" s="18" t="n">
        <v>3551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1</v>
      </c>
    </row>
    <row r="74">
      <c r="A74" s="15" t="inlineStr">
        <is>
          <t>9 Jun</t>
        </is>
      </c>
      <c r="B74" s="15" t="inlineStr">
        <is>
          <t>37955</t>
        </is>
      </c>
      <c r="C74" s="16" t="n">
        <v>0</v>
      </c>
      <c r="D74" s="17" t="n">
        <v>47.99</v>
      </c>
      <c r="E74" s="18" t="n">
        <v>2537</v>
      </c>
      <c r="F74" s="18" t="n">
        <v>2551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0</v>
      </c>
    </row>
    <row r="75">
      <c r="A75" s="15" t="inlineStr">
        <is>
          <t>9 Jun</t>
        </is>
      </c>
      <c r="B75" s="15" t="inlineStr">
        <is>
          <t>39007</t>
        </is>
      </c>
      <c r="C75" s="16" t="n">
        <v>0</v>
      </c>
      <c r="D75" s="17" t="n">
        <v>107.52</v>
      </c>
      <c r="E75" s="18" t="n">
        <v>0</v>
      </c>
      <c r="F75" s="18" t="n">
        <v>2305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0</v>
      </c>
    </row>
    <row r="76">
      <c r="A76" s="15" t="inlineStr">
        <is>
          <t>9 Jun</t>
        </is>
      </c>
      <c r="B76" s="15" t="inlineStr">
        <is>
          <t>37577</t>
        </is>
      </c>
      <c r="C76" s="16" t="n">
        <v>0</v>
      </c>
      <c r="D76" s="17" t="n">
        <v>41.91</v>
      </c>
      <c r="E76" s="18" t="n">
        <v>1903</v>
      </c>
      <c r="F76" s="18" t="n">
        <v>1903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0</v>
      </c>
    </row>
    <row r="77">
      <c r="A77" s="15" t="inlineStr">
        <is>
          <t>9 Jun</t>
        </is>
      </c>
      <c r="B77" s="15" t="inlineStr">
        <is>
          <t>30464</t>
        </is>
      </c>
      <c r="C77" s="16" t="n">
        <v>0</v>
      </c>
      <c r="D77" s="17" t="n">
        <v>11.29</v>
      </c>
      <c r="E77" s="18" t="n">
        <v>548</v>
      </c>
      <c r="F77" s="18" t="n">
        <v>737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2</v>
      </c>
    </row>
    <row r="78">
      <c r="A78" s="15" t="inlineStr">
        <is>
          <t>9 Jun</t>
        </is>
      </c>
      <c r="B78" s="15" t="inlineStr">
        <is>
          <t>39421</t>
        </is>
      </c>
      <c r="C78" s="16" t="n">
        <v>0</v>
      </c>
      <c r="D78" s="17" t="n">
        <v>56.78</v>
      </c>
      <c r="E78" s="18" t="n">
        <v>271</v>
      </c>
      <c r="F78" s="18" t="n">
        <v>287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1</v>
      </c>
    </row>
    <row r="79">
      <c r="A79" s="15" t="inlineStr">
        <is>
          <t>9 Jun</t>
        </is>
      </c>
      <c r="B79" s="15" t="inlineStr">
        <is>
          <t>37664</t>
        </is>
      </c>
      <c r="C79" s="16" t="n">
        <v>0</v>
      </c>
      <c r="D79" s="17" t="n">
        <v>319.52</v>
      </c>
      <c r="E79" s="18" t="n">
        <v>0</v>
      </c>
      <c r="F79" s="18" t="n">
        <v>210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0</v>
      </c>
    </row>
    <row r="80">
      <c r="A80" s="15" t="inlineStr">
        <is>
          <t>9 Jun</t>
        </is>
      </c>
      <c r="B80" s="15" t="inlineStr">
        <is>
          <t>39245</t>
        </is>
      </c>
      <c r="C80" s="16" t="n">
        <v>0</v>
      </c>
      <c r="D80" s="17" t="n">
        <v>164.85</v>
      </c>
      <c r="E80" s="18" t="n">
        <v>0</v>
      </c>
      <c r="F80" s="18" t="n">
        <v>80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0</v>
      </c>
    </row>
    <row r="81">
      <c r="A81" s="20" t="inlineStr">
        <is>
          <t>9 Jun</t>
        </is>
      </c>
      <c r="B81" s="20" t="inlineStr">
        <is>
          <t>Day Total</t>
        </is>
      </c>
      <c r="C81" s="21">
        <f>SUM(C44:C80)</f>
        <v/>
      </c>
      <c r="D81" s="22">
        <f>SUM(D44:D80)</f>
        <v/>
      </c>
      <c r="E81" s="23">
        <f>SUM(E44:E80)</f>
        <v/>
      </c>
      <c r="F81" s="23">
        <f>SUM(F44:F80)</f>
        <v/>
      </c>
      <c r="G81" s="24">
        <f>IF(F81=0,0,E81/F81*100)</f>
        <v/>
      </c>
      <c r="H81" s="21">
        <f>SUM(H44:H80)</f>
        <v/>
      </c>
      <c r="I81" s="21">
        <f>SUM(I44:I80)</f>
        <v/>
      </c>
      <c r="J81" s="21">
        <f>SUM(J44:J80)</f>
        <v/>
      </c>
      <c r="K81" s="21">
        <f>SUM(K44:K80)</f>
        <v/>
      </c>
    </row>
    <row r="82">
      <c r="A82" s="15" t="inlineStr">
        <is>
          <t>10 Jun</t>
        </is>
      </c>
      <c r="B82" s="15" t="inlineStr">
        <is>
          <t>37577</t>
        </is>
      </c>
      <c r="C82" s="16" t="n">
        <v>2</v>
      </c>
      <c r="D82" s="17" t="n">
        <v>543.86</v>
      </c>
      <c r="E82" s="18" t="n">
        <v>37041</v>
      </c>
      <c r="F82" s="18" t="n">
        <v>37375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12</v>
      </c>
    </row>
    <row r="83">
      <c r="A83" s="15" t="inlineStr">
        <is>
          <t>10 Jun</t>
        </is>
      </c>
      <c r="B83" s="15" t="inlineStr">
        <is>
          <t>37383</t>
        </is>
      </c>
      <c r="C83" s="16" t="n">
        <v>1</v>
      </c>
      <c r="D83" s="17" t="n">
        <v>543.86</v>
      </c>
      <c r="E83" s="18" t="n">
        <v>36879</v>
      </c>
      <c r="F83" s="18" t="n">
        <v>37257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9</v>
      </c>
    </row>
    <row r="84">
      <c r="A84" s="15" t="inlineStr">
        <is>
          <t>10 Jun</t>
        </is>
      </c>
      <c r="B84" s="15" t="inlineStr">
        <is>
          <t>37853</t>
        </is>
      </c>
      <c r="C84" s="16" t="n">
        <v>1</v>
      </c>
      <c r="D84" s="17" t="n">
        <v>541.65</v>
      </c>
      <c r="E84" s="18" t="n">
        <v>30338</v>
      </c>
      <c r="F84" s="18" t="n">
        <v>30489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3</v>
      </c>
    </row>
    <row r="85">
      <c r="A85" s="15" t="inlineStr">
        <is>
          <t>10 Jun</t>
        </is>
      </c>
      <c r="B85" s="15" t="inlineStr">
        <is>
          <t>39014</t>
        </is>
      </c>
      <c r="C85" s="16" t="n">
        <v>1</v>
      </c>
      <c r="D85" s="17" t="n">
        <v>543.84</v>
      </c>
      <c r="E85" s="18" t="n">
        <v>23976</v>
      </c>
      <c r="F85" s="18" t="n">
        <v>24539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8</v>
      </c>
    </row>
    <row r="86">
      <c r="A86" s="15" t="inlineStr">
        <is>
          <t>10 Jun</t>
        </is>
      </c>
      <c r="B86" s="15" t="inlineStr">
        <is>
          <t>37019</t>
        </is>
      </c>
      <c r="C86" s="16" t="n">
        <v>1</v>
      </c>
      <c r="D86" s="17" t="n">
        <v>543.65</v>
      </c>
      <c r="E86" s="18" t="n">
        <v>19816</v>
      </c>
      <c r="F86" s="18" t="n">
        <v>20051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4</v>
      </c>
    </row>
    <row r="87">
      <c r="A87" s="15" t="inlineStr">
        <is>
          <t>10 Jun</t>
        </is>
      </c>
      <c r="B87" s="15" t="inlineStr">
        <is>
          <t>30567</t>
        </is>
      </c>
      <c r="C87" s="16" t="n">
        <v>1</v>
      </c>
      <c r="D87" s="17" t="n">
        <v>543.88</v>
      </c>
      <c r="E87" s="18" t="n">
        <v>19399</v>
      </c>
      <c r="F87" s="18" t="n">
        <v>19721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7</v>
      </c>
    </row>
    <row r="88">
      <c r="A88" s="15" t="inlineStr">
        <is>
          <t>10 Jun</t>
        </is>
      </c>
      <c r="B88" s="15" t="inlineStr">
        <is>
          <t>37847</t>
        </is>
      </c>
      <c r="C88" s="16" t="n">
        <v>1</v>
      </c>
      <c r="D88" s="17" t="n">
        <v>543.64</v>
      </c>
      <c r="E88" s="18" t="n">
        <v>18880</v>
      </c>
      <c r="F88" s="18" t="n">
        <v>18944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5</v>
      </c>
    </row>
    <row r="89">
      <c r="A89" s="15" t="inlineStr">
        <is>
          <t>10 Jun</t>
        </is>
      </c>
      <c r="B89" s="15" t="inlineStr">
        <is>
          <t>30739</t>
        </is>
      </c>
      <c r="C89" s="16" t="n">
        <v>1</v>
      </c>
      <c r="D89" s="17" t="n">
        <v>542.91</v>
      </c>
      <c r="E89" s="18" t="n">
        <v>17643</v>
      </c>
      <c r="F89" s="18" t="n">
        <v>17831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6</v>
      </c>
    </row>
    <row r="90">
      <c r="A90" s="15" t="inlineStr">
        <is>
          <t>10 Jun</t>
        </is>
      </c>
      <c r="B90" s="15" t="inlineStr">
        <is>
          <t>30176</t>
        </is>
      </c>
      <c r="C90" s="16" t="n">
        <v>0</v>
      </c>
      <c r="D90" s="17" t="n">
        <v>254.25</v>
      </c>
      <c r="E90" s="18" t="n">
        <v>37425</v>
      </c>
      <c r="F90" s="18" t="n">
        <v>38999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5</v>
      </c>
    </row>
    <row r="91">
      <c r="A91" s="15" t="inlineStr">
        <is>
          <t>10 Jun</t>
        </is>
      </c>
      <c r="B91" s="15" t="inlineStr">
        <is>
          <t>30460</t>
        </is>
      </c>
      <c r="C91" s="16" t="n">
        <v>0</v>
      </c>
      <c r="D91" s="17" t="n">
        <v>506.55</v>
      </c>
      <c r="E91" s="18" t="n">
        <v>25857</v>
      </c>
      <c r="F91" s="18" t="n">
        <v>26111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7</v>
      </c>
    </row>
    <row r="92">
      <c r="A92" s="15" t="inlineStr">
        <is>
          <t>10 Jun</t>
        </is>
      </c>
      <c r="B92" s="15" t="inlineStr">
        <is>
          <t>30351</t>
        </is>
      </c>
      <c r="C92" s="16" t="n">
        <v>0</v>
      </c>
      <c r="D92" s="17" t="n">
        <v>432.42</v>
      </c>
      <c r="E92" s="18" t="n">
        <v>24614</v>
      </c>
      <c r="F92" s="18" t="n">
        <v>24812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4</v>
      </c>
    </row>
    <row r="93">
      <c r="A93" s="15" t="inlineStr">
        <is>
          <t>10 Jun</t>
        </is>
      </c>
      <c r="B93" s="15" t="inlineStr">
        <is>
          <t>30339</t>
        </is>
      </c>
      <c r="C93" s="16" t="n">
        <v>0</v>
      </c>
      <c r="D93" s="17" t="n">
        <v>322.46</v>
      </c>
      <c r="E93" s="18" t="n">
        <v>24134</v>
      </c>
      <c r="F93" s="18" t="n">
        <v>24773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10</v>
      </c>
    </row>
    <row r="94">
      <c r="A94" s="15" t="inlineStr">
        <is>
          <t>10 Jun</t>
        </is>
      </c>
      <c r="B94" s="15" t="inlineStr">
        <is>
          <t>37639</t>
        </is>
      </c>
      <c r="C94" s="16" t="n">
        <v>0</v>
      </c>
      <c r="D94" s="17" t="n">
        <v>250.82</v>
      </c>
      <c r="E94" s="18" t="n">
        <v>19405</v>
      </c>
      <c r="F94" s="18" t="n">
        <v>20034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9</v>
      </c>
    </row>
    <row r="95">
      <c r="A95" s="15" t="inlineStr">
        <is>
          <t>10 Jun</t>
        </is>
      </c>
      <c r="B95" s="15" t="inlineStr">
        <is>
          <t>37955</t>
        </is>
      </c>
      <c r="C95" s="16" t="n">
        <v>0</v>
      </c>
      <c r="D95" s="17" t="n">
        <v>492.49</v>
      </c>
      <c r="E95" s="18" t="n">
        <v>18374</v>
      </c>
      <c r="F95" s="18" t="n">
        <v>18640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4</v>
      </c>
    </row>
    <row r="96">
      <c r="A96" s="15" t="inlineStr">
        <is>
          <t>10 Jun</t>
        </is>
      </c>
      <c r="B96" s="15" t="inlineStr">
        <is>
          <t>30223</t>
        </is>
      </c>
      <c r="C96" s="16" t="n">
        <v>0</v>
      </c>
      <c r="D96" s="17" t="n">
        <v>329.81</v>
      </c>
      <c r="E96" s="18" t="n">
        <v>18247</v>
      </c>
      <c r="F96" s="18" t="n">
        <v>18462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4</v>
      </c>
    </row>
    <row r="97">
      <c r="A97" s="15" t="inlineStr">
        <is>
          <t>10 Jun</t>
        </is>
      </c>
      <c r="B97" s="15" t="inlineStr">
        <is>
          <t>37189</t>
        </is>
      </c>
      <c r="C97" s="16" t="n">
        <v>0</v>
      </c>
      <c r="D97" s="17" t="n">
        <v>460.82</v>
      </c>
      <c r="E97" s="18" t="n">
        <v>16538</v>
      </c>
      <c r="F97" s="18" t="n">
        <v>16809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4</v>
      </c>
    </row>
    <row r="98">
      <c r="A98" s="15" t="inlineStr">
        <is>
          <t>10 Jun</t>
        </is>
      </c>
      <c r="B98" s="15" t="inlineStr">
        <is>
          <t>39466</t>
        </is>
      </c>
      <c r="C98" s="16" t="n">
        <v>0</v>
      </c>
      <c r="D98" s="17" t="n">
        <v>329.84</v>
      </c>
      <c r="E98" s="18" t="n">
        <v>14710</v>
      </c>
      <c r="F98" s="18" t="n">
        <v>15754</v>
      </c>
      <c r="G98" s="19">
        <f>IF(F98=0,0,E98/F98*100)</f>
        <v/>
      </c>
      <c r="H98" s="16" t="n">
        <v>1</v>
      </c>
      <c r="I98" s="16" t="n">
        <v>0</v>
      </c>
      <c r="J98" s="16" t="n">
        <v>1</v>
      </c>
      <c r="K98" s="16" t="n">
        <v>17</v>
      </c>
    </row>
    <row r="99">
      <c r="A99" s="15" t="inlineStr">
        <is>
          <t>10 Jun</t>
        </is>
      </c>
      <c r="B99" s="15" t="inlineStr">
        <is>
          <t>37356</t>
        </is>
      </c>
      <c r="C99" s="16" t="n">
        <v>0</v>
      </c>
      <c r="D99" s="17" t="n">
        <v>319.67</v>
      </c>
      <c r="E99" s="18" t="n">
        <v>13080</v>
      </c>
      <c r="F99" s="18" t="n">
        <v>13192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1</v>
      </c>
    </row>
    <row r="100">
      <c r="A100" s="15" t="inlineStr">
        <is>
          <t>10 Jun</t>
        </is>
      </c>
      <c r="B100" s="15" t="inlineStr">
        <is>
          <t>30335</t>
        </is>
      </c>
      <c r="C100" s="16" t="n">
        <v>0</v>
      </c>
      <c r="D100" s="17" t="n">
        <v>321.73</v>
      </c>
      <c r="E100" s="18" t="n">
        <v>12801</v>
      </c>
      <c r="F100" s="18" t="n">
        <v>12891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2</v>
      </c>
    </row>
    <row r="101">
      <c r="A101" s="15" t="inlineStr">
        <is>
          <t>10 Jun</t>
        </is>
      </c>
      <c r="B101" s="15" t="inlineStr">
        <is>
          <t>30334</t>
        </is>
      </c>
      <c r="C101" s="16" t="n">
        <v>0</v>
      </c>
      <c r="D101" s="17" t="n">
        <v>322.92</v>
      </c>
      <c r="E101" s="18" t="n">
        <v>12544</v>
      </c>
      <c r="F101" s="18" t="n">
        <v>12773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4</v>
      </c>
    </row>
    <row r="102">
      <c r="A102" s="15" t="inlineStr">
        <is>
          <t>10 Jun</t>
        </is>
      </c>
      <c r="B102" s="15" t="inlineStr">
        <is>
          <t>37063</t>
        </is>
      </c>
      <c r="C102" s="16" t="n">
        <v>0</v>
      </c>
      <c r="D102" s="17" t="n">
        <v>193.13</v>
      </c>
      <c r="E102" s="18" t="n">
        <v>12352</v>
      </c>
      <c r="F102" s="18" t="n">
        <v>12542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2</v>
      </c>
    </row>
    <row r="103">
      <c r="A103" s="15" t="inlineStr">
        <is>
          <t>10 Jun</t>
        </is>
      </c>
      <c r="B103" s="15" t="inlineStr">
        <is>
          <t>30466</t>
        </is>
      </c>
      <c r="C103" s="16" t="n">
        <v>0</v>
      </c>
      <c r="D103" s="17" t="n">
        <v>318.8</v>
      </c>
      <c r="E103" s="18" t="n">
        <v>11318</v>
      </c>
      <c r="F103" s="18" t="n">
        <v>11437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1</v>
      </c>
    </row>
    <row r="104">
      <c r="A104" s="15" t="inlineStr">
        <is>
          <t>10 Jun</t>
        </is>
      </c>
      <c r="B104" s="15" t="inlineStr">
        <is>
          <t>39244</t>
        </is>
      </c>
      <c r="C104" s="16" t="n">
        <v>0</v>
      </c>
      <c r="D104" s="17" t="n">
        <v>229.31</v>
      </c>
      <c r="E104" s="18" t="n">
        <v>10353</v>
      </c>
      <c r="F104" s="18" t="n">
        <v>10810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7</v>
      </c>
    </row>
    <row r="105">
      <c r="A105" s="15" t="inlineStr">
        <is>
          <t>10 Jun</t>
        </is>
      </c>
      <c r="B105" s="15" t="inlineStr">
        <is>
          <t>30234</t>
        </is>
      </c>
      <c r="C105" s="16" t="n">
        <v>0</v>
      </c>
      <c r="D105" s="17" t="n">
        <v>267.18</v>
      </c>
      <c r="E105" s="18" t="n">
        <v>10431</v>
      </c>
      <c r="F105" s="18" t="n">
        <v>10473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0</v>
      </c>
    </row>
    <row r="106">
      <c r="A106" s="15" t="inlineStr">
        <is>
          <t>10 Jun</t>
        </is>
      </c>
      <c r="B106" s="15" t="inlineStr">
        <is>
          <t>39035</t>
        </is>
      </c>
      <c r="C106" s="16" t="n">
        <v>0</v>
      </c>
      <c r="D106" s="17" t="n">
        <v>226.98</v>
      </c>
      <c r="E106" s="18" t="n">
        <v>10259</v>
      </c>
      <c r="F106" s="18" t="n">
        <v>10259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0</v>
      </c>
    </row>
    <row r="107">
      <c r="A107" s="15" t="inlineStr">
        <is>
          <t>10 Jun</t>
        </is>
      </c>
      <c r="B107" s="15" t="inlineStr">
        <is>
          <t>39328</t>
        </is>
      </c>
      <c r="C107" s="16" t="n">
        <v>0</v>
      </c>
      <c r="D107" s="17" t="n">
        <v>167.14</v>
      </c>
      <c r="E107" s="18" t="n">
        <v>9980</v>
      </c>
      <c r="F107" s="18" t="n">
        <v>10037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3</v>
      </c>
    </row>
    <row r="108">
      <c r="A108" s="15" t="inlineStr">
        <is>
          <t>10 Jun</t>
        </is>
      </c>
      <c r="B108" s="15" t="inlineStr">
        <is>
          <t>30181</t>
        </is>
      </c>
      <c r="C108" s="16" t="n">
        <v>0</v>
      </c>
      <c r="D108" s="17" t="n">
        <v>214.42</v>
      </c>
      <c r="E108" s="18" t="n">
        <v>0</v>
      </c>
      <c r="F108" s="18" t="n">
        <v>9799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0</v>
      </c>
    </row>
    <row r="109">
      <c r="A109" s="15" t="inlineStr">
        <is>
          <t>10 Jun</t>
        </is>
      </c>
      <c r="B109" s="15" t="inlineStr">
        <is>
          <t>30440</t>
        </is>
      </c>
      <c r="C109" s="16" t="n">
        <v>0</v>
      </c>
      <c r="D109" s="17" t="n">
        <v>227.88</v>
      </c>
      <c r="E109" s="18" t="n">
        <v>9187</v>
      </c>
      <c r="F109" s="18" t="n">
        <v>9273</v>
      </c>
      <c r="G109" s="19">
        <f>IF(F109=0,0,E109/F109*100)</f>
        <v/>
      </c>
      <c r="H109" s="16" t="n">
        <v>2</v>
      </c>
      <c r="I109" s="16" t="n">
        <v>0</v>
      </c>
      <c r="J109" s="16" t="n">
        <v>2</v>
      </c>
      <c r="K109" s="16" t="n">
        <v>1</v>
      </c>
    </row>
    <row r="110">
      <c r="A110" s="15" t="inlineStr">
        <is>
          <t>10 Jun</t>
        </is>
      </c>
      <c r="B110" s="15" t="inlineStr">
        <is>
          <t>37286</t>
        </is>
      </c>
      <c r="C110" s="16" t="n">
        <v>0</v>
      </c>
      <c r="D110" s="17" t="n">
        <v>207.49</v>
      </c>
      <c r="E110" s="18" t="n">
        <v>9201</v>
      </c>
      <c r="F110" s="18" t="n">
        <v>9201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0</v>
      </c>
    </row>
    <row r="111">
      <c r="A111" s="15" t="inlineStr">
        <is>
          <t>10 Jun</t>
        </is>
      </c>
      <c r="B111" s="15" t="inlineStr">
        <is>
          <t>37507</t>
        </is>
      </c>
      <c r="C111" s="16" t="n">
        <v>0</v>
      </c>
      <c r="D111" s="17" t="n">
        <v>221.5</v>
      </c>
      <c r="E111" s="18" t="n">
        <v>9114</v>
      </c>
      <c r="F111" s="18" t="n">
        <v>9128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0</v>
      </c>
    </row>
    <row r="112">
      <c r="A112" s="15" t="inlineStr">
        <is>
          <t>10 Jun</t>
        </is>
      </c>
      <c r="B112" s="15" t="inlineStr">
        <is>
          <t>37086</t>
        </is>
      </c>
      <c r="C112" s="16" t="n">
        <v>0</v>
      </c>
      <c r="D112" s="17" t="n">
        <v>175.11</v>
      </c>
      <c r="E112" s="18" t="n">
        <v>7741</v>
      </c>
      <c r="F112" s="18" t="n">
        <v>7741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0</v>
      </c>
    </row>
    <row r="113">
      <c r="A113" s="15" t="inlineStr">
        <is>
          <t>10 Jun</t>
        </is>
      </c>
      <c r="B113" s="15" t="inlineStr">
        <is>
          <t>37073</t>
        </is>
      </c>
      <c r="C113" s="16" t="n">
        <v>0</v>
      </c>
      <c r="D113" s="17" t="n">
        <v>104.47</v>
      </c>
      <c r="E113" s="18" t="n">
        <v>6911</v>
      </c>
      <c r="F113" s="18" t="n">
        <v>7004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1</v>
      </c>
    </row>
    <row r="114">
      <c r="A114" s="15" t="inlineStr">
        <is>
          <t>10 Jun</t>
        </is>
      </c>
      <c r="B114" s="15" t="inlineStr">
        <is>
          <t>39108</t>
        </is>
      </c>
      <c r="C114" s="16" t="n">
        <v>0</v>
      </c>
      <c r="D114" s="17" t="n">
        <v>107.95</v>
      </c>
      <c r="E114" s="18" t="n">
        <v>6439</v>
      </c>
      <c r="F114" s="18" t="n">
        <v>6737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2</v>
      </c>
    </row>
    <row r="115">
      <c r="A115" s="15" t="inlineStr">
        <is>
          <t>10 Jun</t>
        </is>
      </c>
      <c r="B115" s="15" t="inlineStr">
        <is>
          <t>30395</t>
        </is>
      </c>
      <c r="C115" s="16" t="n">
        <v>0</v>
      </c>
      <c r="D115" s="17" t="n">
        <v>108.54</v>
      </c>
      <c r="E115" s="18" t="n">
        <v>4779</v>
      </c>
      <c r="F115" s="18" t="n">
        <v>4907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1</v>
      </c>
    </row>
    <row r="116">
      <c r="A116" s="15" t="inlineStr">
        <is>
          <t>10 Jun</t>
        </is>
      </c>
      <c r="B116" s="15" t="inlineStr">
        <is>
          <t>30464</t>
        </is>
      </c>
      <c r="C116" s="16" t="n">
        <v>0</v>
      </c>
      <c r="D116" s="17" t="n">
        <v>96.06</v>
      </c>
      <c r="E116" s="18" t="n">
        <v>4220</v>
      </c>
      <c r="F116" s="18" t="n">
        <v>4312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0</v>
      </c>
    </row>
    <row r="117">
      <c r="A117" s="15" t="inlineStr">
        <is>
          <t>10 Jun</t>
        </is>
      </c>
      <c r="B117" s="15" t="inlineStr">
        <is>
          <t>30576</t>
        </is>
      </c>
      <c r="C117" s="16" t="n">
        <v>0</v>
      </c>
      <c r="D117" s="17" t="n">
        <v>12.86</v>
      </c>
      <c r="E117" s="18" t="n">
        <v>2197</v>
      </c>
      <c r="F117" s="18" t="n">
        <v>2784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0</v>
      </c>
    </row>
    <row r="118">
      <c r="A118" s="15" t="inlineStr">
        <is>
          <t>10 Jun</t>
        </is>
      </c>
      <c r="B118" s="15" t="inlineStr">
        <is>
          <t>39421</t>
        </is>
      </c>
      <c r="C118" s="16" t="n">
        <v>0</v>
      </c>
      <c r="D118" s="17" t="n">
        <v>187.2</v>
      </c>
      <c r="E118" s="18" t="n">
        <v>2238</v>
      </c>
      <c r="F118" s="18" t="n">
        <v>2487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2</v>
      </c>
    </row>
    <row r="119">
      <c r="A119" s="15" t="inlineStr">
        <is>
          <t>10 Jun</t>
        </is>
      </c>
      <c r="B119" s="15" t="inlineStr">
        <is>
          <t>37818</t>
        </is>
      </c>
      <c r="C119" s="16" t="n">
        <v>0</v>
      </c>
      <c r="D119" s="17" t="n">
        <v>51.37</v>
      </c>
      <c r="E119" s="18" t="n">
        <v>2125</v>
      </c>
      <c r="F119" s="18" t="n">
        <v>2131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1</v>
      </c>
    </row>
    <row r="120">
      <c r="A120" s="15" t="inlineStr">
        <is>
          <t>10 Jun</t>
        </is>
      </c>
      <c r="B120" s="15" t="inlineStr">
        <is>
          <t>30197</t>
        </is>
      </c>
      <c r="C120" s="16" t="n">
        <v>0</v>
      </c>
      <c r="D120" s="17" t="n">
        <v>2.14</v>
      </c>
      <c r="E120" s="18" t="n">
        <v>1847</v>
      </c>
      <c r="F120" s="18" t="n">
        <v>2022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8</v>
      </c>
    </row>
    <row r="121">
      <c r="A121" s="15" t="inlineStr">
        <is>
          <t>10 Jun</t>
        </is>
      </c>
      <c r="B121" s="15" t="inlineStr">
        <is>
          <t>37846</t>
        </is>
      </c>
      <c r="C121" s="16" t="n">
        <v>0</v>
      </c>
      <c r="D121" s="17" t="n">
        <v>25.96</v>
      </c>
      <c r="E121" s="18" t="n">
        <v>1415</v>
      </c>
      <c r="F121" s="18" t="n">
        <v>1547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1</v>
      </c>
    </row>
    <row r="122">
      <c r="A122" s="15" t="inlineStr">
        <is>
          <t>10 Jun</t>
        </is>
      </c>
      <c r="B122" s="15" t="inlineStr">
        <is>
          <t>39334</t>
        </is>
      </c>
      <c r="C122" s="16" t="n">
        <v>0</v>
      </c>
      <c r="D122" s="17" t="n">
        <v>1.84</v>
      </c>
      <c r="E122" s="18" t="n">
        <v>152</v>
      </c>
      <c r="F122" s="18" t="n">
        <v>244</v>
      </c>
      <c r="G122" s="19">
        <f>IF(F122=0,0,E122/F122*100)</f>
        <v/>
      </c>
      <c r="H122" s="16" t="n">
        <v>2</v>
      </c>
      <c r="I122" s="16" t="n">
        <v>0</v>
      </c>
      <c r="J122" s="16" t="n">
        <v>2</v>
      </c>
      <c r="K122" s="16" t="n">
        <v>1</v>
      </c>
    </row>
    <row r="123">
      <c r="A123" s="15" t="inlineStr">
        <is>
          <t>10 Jun</t>
        </is>
      </c>
      <c r="B123" s="15" t="inlineStr">
        <is>
          <t>37103</t>
        </is>
      </c>
      <c r="C123" s="16" t="n">
        <v>0</v>
      </c>
      <c r="D123" s="17" t="n">
        <v>34.62</v>
      </c>
      <c r="E123" s="18" t="n">
        <v>0</v>
      </c>
      <c r="F123" s="18" t="n">
        <v>7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0</v>
      </c>
    </row>
    <row r="124">
      <c r="A124" s="20" t="inlineStr">
        <is>
          <t>10 Jun</t>
        </is>
      </c>
      <c r="B124" s="20" t="inlineStr">
        <is>
          <t>Day Total</t>
        </is>
      </c>
      <c r="C124" s="21">
        <f>SUM(C82:C123)</f>
        <v/>
      </c>
      <c r="D124" s="22">
        <f>SUM(D82:D123)</f>
        <v/>
      </c>
      <c r="E124" s="23">
        <f>SUM(E82:E123)</f>
        <v/>
      </c>
      <c r="F124" s="23">
        <f>SUM(F82:F123)</f>
        <v/>
      </c>
      <c r="G124" s="24">
        <f>IF(F124=0,0,E124/F124*100)</f>
        <v/>
      </c>
      <c r="H124" s="21">
        <f>SUM(H82:H123)</f>
        <v/>
      </c>
      <c r="I124" s="21">
        <f>SUM(I82:I123)</f>
        <v/>
      </c>
      <c r="J124" s="21">
        <f>SUM(J82:J123)</f>
        <v/>
      </c>
      <c r="K124" s="21">
        <f>SUM(K82:K123)</f>
        <v/>
      </c>
    </row>
    <row r="125">
      <c r="A125" s="15" t="inlineStr">
        <is>
          <t>11 Jun</t>
        </is>
      </c>
      <c r="B125" s="15" t="inlineStr">
        <is>
          <t>37493</t>
        </is>
      </c>
      <c r="C125" s="16" t="n">
        <v>1</v>
      </c>
      <c r="D125" s="17" t="n">
        <v>543.86</v>
      </c>
      <c r="E125" s="18" t="n">
        <v>28424</v>
      </c>
      <c r="F125" s="18" t="n">
        <v>28784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9</v>
      </c>
    </row>
    <row r="126">
      <c r="A126" s="15" t="inlineStr">
        <is>
          <t>11 Jun</t>
        </is>
      </c>
      <c r="B126" s="15" t="inlineStr">
        <is>
          <t>37955</t>
        </is>
      </c>
      <c r="C126" s="16" t="n">
        <v>1</v>
      </c>
      <c r="D126" s="17" t="n">
        <v>543.89</v>
      </c>
      <c r="E126" s="18" t="n">
        <v>21485</v>
      </c>
      <c r="F126" s="18" t="n">
        <v>21552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5</v>
      </c>
    </row>
    <row r="127">
      <c r="A127" s="15" t="inlineStr">
        <is>
          <t>11 Jun</t>
        </is>
      </c>
      <c r="B127" s="15" t="inlineStr">
        <is>
          <t>30567</t>
        </is>
      </c>
      <c r="C127" s="16" t="n">
        <v>1</v>
      </c>
      <c r="D127" s="17" t="n">
        <v>541.64</v>
      </c>
      <c r="E127" s="18" t="n">
        <v>21120</v>
      </c>
      <c r="F127" s="18" t="n">
        <v>21218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4</v>
      </c>
    </row>
    <row r="128">
      <c r="A128" s="15" t="inlineStr">
        <is>
          <t>11 Jun</t>
        </is>
      </c>
      <c r="B128" s="15" t="inlineStr">
        <is>
          <t>30176</t>
        </is>
      </c>
      <c r="C128" s="16" t="n">
        <v>0</v>
      </c>
      <c r="D128" s="17" t="n">
        <v>251.84</v>
      </c>
      <c r="E128" s="18" t="n">
        <v>31191</v>
      </c>
      <c r="F128" s="18" t="n">
        <v>31694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11</v>
      </c>
    </row>
    <row r="129">
      <c r="A129" s="15" t="inlineStr">
        <is>
          <t>11 Jun</t>
        </is>
      </c>
      <c r="B129" s="15" t="inlineStr">
        <is>
          <t>39328</t>
        </is>
      </c>
      <c r="C129" s="16" t="n">
        <v>0</v>
      </c>
      <c r="D129" s="17" t="n">
        <v>376.68</v>
      </c>
      <c r="E129" s="18" t="n">
        <v>23062</v>
      </c>
      <c r="F129" s="18" t="n">
        <v>23062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0</v>
      </c>
    </row>
    <row r="130">
      <c r="A130" s="15" t="inlineStr">
        <is>
          <t>11 Jun</t>
        </is>
      </c>
      <c r="B130" s="15" t="inlineStr">
        <is>
          <t>30339</t>
        </is>
      </c>
      <c r="C130" s="16" t="n">
        <v>0</v>
      </c>
      <c r="D130" s="17" t="n">
        <v>322.44</v>
      </c>
      <c r="E130" s="18" t="n">
        <v>22434</v>
      </c>
      <c r="F130" s="18" t="n">
        <v>22599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3</v>
      </c>
    </row>
    <row r="131">
      <c r="A131" s="15" t="inlineStr">
        <is>
          <t>11 Jun</t>
        </is>
      </c>
      <c r="B131" s="15" t="inlineStr">
        <is>
          <t>30335</t>
        </is>
      </c>
      <c r="C131" s="16" t="n">
        <v>0</v>
      </c>
      <c r="D131" s="17" t="n">
        <v>320.16</v>
      </c>
      <c r="E131" s="18" t="n">
        <v>22088</v>
      </c>
      <c r="F131" s="18" t="n">
        <v>22190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1</v>
      </c>
    </row>
    <row r="132">
      <c r="A132" s="15" t="inlineStr">
        <is>
          <t>11 Jun</t>
        </is>
      </c>
      <c r="B132" s="15" t="inlineStr">
        <is>
          <t>39066</t>
        </is>
      </c>
      <c r="C132" s="16" t="n">
        <v>0</v>
      </c>
      <c r="D132" s="17" t="n">
        <v>473.45</v>
      </c>
      <c r="E132" s="18" t="n">
        <v>22026</v>
      </c>
      <c r="F132" s="18" t="n">
        <v>22138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3</v>
      </c>
    </row>
    <row r="133">
      <c r="A133" s="15" t="inlineStr">
        <is>
          <t>11 Jun</t>
        </is>
      </c>
      <c r="B133" s="15" t="inlineStr">
        <is>
          <t>37286</t>
        </is>
      </c>
      <c r="C133" s="16" t="n">
        <v>0</v>
      </c>
      <c r="D133" s="17" t="n">
        <v>470.64</v>
      </c>
      <c r="E133" s="18" t="n">
        <v>20888</v>
      </c>
      <c r="F133" s="18" t="n">
        <v>21265</v>
      </c>
      <c r="G133" s="19">
        <f>IF(F133=0,0,E133/F133*100)</f>
        <v/>
      </c>
      <c r="H133" s="16" t="n">
        <v>3</v>
      </c>
      <c r="I133" s="16" t="n">
        <v>0</v>
      </c>
      <c r="J133" s="16" t="n">
        <v>3</v>
      </c>
      <c r="K133" s="16" t="n">
        <v>5</v>
      </c>
    </row>
    <row r="134">
      <c r="A134" s="15" t="inlineStr">
        <is>
          <t>11 Jun</t>
        </is>
      </c>
      <c r="B134" s="15" t="inlineStr">
        <is>
          <t>39239</t>
        </is>
      </c>
      <c r="C134" s="16" t="n">
        <v>0</v>
      </c>
      <c r="D134" s="17" t="n">
        <v>322.11</v>
      </c>
      <c r="E134" s="18" t="n">
        <v>20854</v>
      </c>
      <c r="F134" s="18" t="n">
        <v>21256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10</v>
      </c>
    </row>
    <row r="135">
      <c r="A135" s="15" t="inlineStr">
        <is>
          <t>11 Jun</t>
        </is>
      </c>
      <c r="B135" s="15" t="inlineStr">
        <is>
          <t>30752</t>
        </is>
      </c>
      <c r="C135" s="16" t="n">
        <v>0</v>
      </c>
      <c r="D135" s="17" t="n">
        <v>251.19</v>
      </c>
      <c r="E135" s="18" t="n">
        <v>20498</v>
      </c>
      <c r="F135" s="18" t="n">
        <v>20586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3</v>
      </c>
    </row>
    <row r="136">
      <c r="A136" s="15" t="inlineStr">
        <is>
          <t>11 Jun</t>
        </is>
      </c>
      <c r="B136" s="15" t="inlineStr">
        <is>
          <t>30460</t>
        </is>
      </c>
      <c r="C136" s="16" t="n">
        <v>0</v>
      </c>
      <c r="D136" s="17" t="n">
        <v>512.53</v>
      </c>
      <c r="E136" s="18" t="n">
        <v>19188</v>
      </c>
      <c r="F136" s="18" t="n">
        <v>19330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7</v>
      </c>
    </row>
    <row r="137">
      <c r="A137" s="15" t="inlineStr">
        <is>
          <t>11 Jun</t>
        </is>
      </c>
      <c r="B137" s="15" t="inlineStr">
        <is>
          <t>37818</t>
        </is>
      </c>
      <c r="C137" s="16" t="n">
        <v>0</v>
      </c>
      <c r="D137" s="17" t="n">
        <v>462.52</v>
      </c>
      <c r="E137" s="18" t="n">
        <v>17556</v>
      </c>
      <c r="F137" s="18" t="n">
        <v>17557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0</v>
      </c>
    </row>
    <row r="138">
      <c r="A138" s="15" t="inlineStr">
        <is>
          <t>11 Jun</t>
        </is>
      </c>
      <c r="B138" s="15" t="inlineStr">
        <is>
          <t>39107</t>
        </is>
      </c>
      <c r="C138" s="16" t="n">
        <v>0</v>
      </c>
      <c r="D138" s="17" t="n">
        <v>308.94</v>
      </c>
      <c r="E138" s="18" t="n">
        <v>16725</v>
      </c>
      <c r="F138" s="18" t="n">
        <v>16975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1</v>
      </c>
    </row>
    <row r="139">
      <c r="A139" s="15" t="inlineStr">
        <is>
          <t>11 Jun</t>
        </is>
      </c>
      <c r="B139" s="15" t="inlineStr">
        <is>
          <t>39108</t>
        </is>
      </c>
      <c r="C139" s="16" t="n">
        <v>0</v>
      </c>
      <c r="D139" s="17" t="n">
        <v>184.41</v>
      </c>
      <c r="E139" s="18" t="n">
        <v>16504</v>
      </c>
      <c r="F139" s="18" t="n">
        <v>16964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7</v>
      </c>
    </row>
    <row r="140">
      <c r="A140" s="15" t="inlineStr">
        <is>
          <t>11 Jun</t>
        </is>
      </c>
      <c r="B140" s="15" t="inlineStr">
        <is>
          <t>37639</t>
        </is>
      </c>
      <c r="C140" s="16" t="n">
        <v>0</v>
      </c>
      <c r="D140" s="17" t="n">
        <v>178.71</v>
      </c>
      <c r="E140" s="18" t="n">
        <v>12355</v>
      </c>
      <c r="F140" s="18" t="n">
        <v>12363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3</v>
      </c>
    </row>
    <row r="141">
      <c r="A141" s="15" t="inlineStr">
        <is>
          <t>11 Jun</t>
        </is>
      </c>
      <c r="B141" s="15" t="inlineStr">
        <is>
          <t>30488</t>
        </is>
      </c>
      <c r="C141" s="16" t="n">
        <v>0</v>
      </c>
      <c r="D141" s="17" t="n">
        <v>321.72</v>
      </c>
      <c r="E141" s="18" t="n">
        <v>11764</v>
      </c>
      <c r="F141" s="18" t="n">
        <v>12033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0</v>
      </c>
    </row>
    <row r="142">
      <c r="A142" s="15" t="inlineStr">
        <is>
          <t>11 Jun</t>
        </is>
      </c>
      <c r="B142" s="15" t="inlineStr">
        <is>
          <t>37466</t>
        </is>
      </c>
      <c r="C142" s="16" t="n">
        <v>0</v>
      </c>
      <c r="D142" s="17" t="n">
        <v>329.49</v>
      </c>
      <c r="E142" s="18" t="n">
        <v>10338</v>
      </c>
      <c r="F142" s="18" t="n">
        <v>11170</v>
      </c>
      <c r="G142" s="19">
        <f>IF(F142=0,0,E142/F142*100)</f>
        <v/>
      </c>
      <c r="H142" s="16" t="n">
        <v>1</v>
      </c>
      <c r="I142" s="16" t="n">
        <v>0</v>
      </c>
      <c r="J142" s="16" t="n">
        <v>1</v>
      </c>
      <c r="K142" s="16" t="n">
        <v>5</v>
      </c>
    </row>
    <row r="143">
      <c r="A143" s="15" t="inlineStr">
        <is>
          <t>11 Jun</t>
        </is>
      </c>
      <c r="B143" s="15" t="inlineStr">
        <is>
          <t>39035</t>
        </is>
      </c>
      <c r="C143" s="16" t="n">
        <v>0</v>
      </c>
      <c r="D143" s="17" t="n">
        <v>314.65</v>
      </c>
      <c r="E143" s="18" t="n">
        <v>9849</v>
      </c>
      <c r="F143" s="18" t="n">
        <v>9927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1</v>
      </c>
    </row>
    <row r="144">
      <c r="A144" s="15" t="inlineStr">
        <is>
          <t>11 Jun</t>
        </is>
      </c>
      <c r="B144" s="15" t="inlineStr">
        <is>
          <t>30343</t>
        </is>
      </c>
      <c r="C144" s="16" t="n">
        <v>0</v>
      </c>
      <c r="D144" s="17" t="n">
        <v>221.53</v>
      </c>
      <c r="E144" s="18" t="n">
        <v>8002</v>
      </c>
      <c r="F144" s="18" t="n">
        <v>8126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0</v>
      </c>
    </row>
    <row r="145">
      <c r="A145" s="15" t="inlineStr">
        <is>
          <t>11 Jun</t>
        </is>
      </c>
      <c r="B145" s="15" t="inlineStr">
        <is>
          <t>37845</t>
        </is>
      </c>
      <c r="C145" s="16" t="n">
        <v>0</v>
      </c>
      <c r="D145" s="17" t="n">
        <v>189.53</v>
      </c>
      <c r="E145" s="18" t="n">
        <v>6379</v>
      </c>
      <c r="F145" s="18" t="n">
        <v>6379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0</v>
      </c>
    </row>
    <row r="146">
      <c r="A146" s="15" t="inlineStr">
        <is>
          <t>11 Jun</t>
        </is>
      </c>
      <c r="B146" s="15" t="inlineStr">
        <is>
          <t>30234</t>
        </is>
      </c>
      <c r="C146" s="16" t="n">
        <v>0</v>
      </c>
      <c r="D146" s="17" t="n">
        <v>125.59</v>
      </c>
      <c r="E146" s="18" t="n">
        <v>6157</v>
      </c>
      <c r="F146" s="18" t="n">
        <v>6157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0</v>
      </c>
    </row>
    <row r="147">
      <c r="A147" s="15" t="inlineStr">
        <is>
          <t>11 Jun</t>
        </is>
      </c>
      <c r="B147" s="15" t="inlineStr">
        <is>
          <t>30739</t>
        </is>
      </c>
      <c r="C147" s="16" t="n">
        <v>0</v>
      </c>
      <c r="D147" s="17" t="n">
        <v>319.32</v>
      </c>
      <c r="E147" s="18" t="n">
        <v>6060</v>
      </c>
      <c r="F147" s="18" t="n">
        <v>6104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3</v>
      </c>
    </row>
    <row r="148">
      <c r="A148" s="15" t="inlineStr">
        <is>
          <t>11 Jun</t>
        </is>
      </c>
      <c r="B148" s="15" t="inlineStr">
        <is>
          <t>37312</t>
        </is>
      </c>
      <c r="C148" s="16" t="n">
        <v>0</v>
      </c>
      <c r="D148" s="17" t="n">
        <v>319.22</v>
      </c>
      <c r="E148" s="18" t="n">
        <v>0</v>
      </c>
      <c r="F148" s="18" t="n">
        <v>5296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0</v>
      </c>
    </row>
    <row r="149">
      <c r="A149" s="15" t="inlineStr">
        <is>
          <t>11 Jun</t>
        </is>
      </c>
      <c r="B149" s="15" t="inlineStr">
        <is>
          <t>30351</t>
        </is>
      </c>
      <c r="C149" s="16" t="n">
        <v>0</v>
      </c>
      <c r="D149" s="17" t="n">
        <v>109.37</v>
      </c>
      <c r="E149" s="18" t="n">
        <v>5102</v>
      </c>
      <c r="F149" s="18" t="n">
        <v>5199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3</v>
      </c>
    </row>
    <row r="150">
      <c r="A150" s="15" t="inlineStr">
        <is>
          <t>11 Jun</t>
        </is>
      </c>
      <c r="B150" s="15" t="inlineStr">
        <is>
          <t>30395</t>
        </is>
      </c>
      <c r="C150" s="16" t="n">
        <v>0</v>
      </c>
      <c r="D150" s="17" t="n">
        <v>108.52</v>
      </c>
      <c r="E150" s="18" t="n">
        <v>4192</v>
      </c>
      <c r="F150" s="18" t="n">
        <v>4339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3</v>
      </c>
    </row>
    <row r="151">
      <c r="A151" s="15" t="inlineStr">
        <is>
          <t>11 Jun</t>
        </is>
      </c>
      <c r="B151" s="15" t="inlineStr">
        <is>
          <t>30119</t>
        </is>
      </c>
      <c r="C151" s="16" t="n">
        <v>0</v>
      </c>
      <c r="D151" s="17" t="n">
        <v>15.45</v>
      </c>
      <c r="E151" s="18" t="n">
        <v>0</v>
      </c>
      <c r="F151" s="18" t="n">
        <v>2489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0</v>
      </c>
    </row>
    <row r="152">
      <c r="A152" s="15" t="inlineStr">
        <is>
          <t>11 Jun</t>
        </is>
      </c>
      <c r="B152" s="15" t="inlineStr">
        <is>
          <t>37383</t>
        </is>
      </c>
      <c r="C152" s="16" t="n">
        <v>0</v>
      </c>
      <c r="D152" s="17" t="n">
        <v>49.26</v>
      </c>
      <c r="E152" s="18" t="n">
        <v>2328</v>
      </c>
      <c r="F152" s="18" t="n">
        <v>2328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0</v>
      </c>
    </row>
    <row r="153">
      <c r="A153" s="15" t="inlineStr">
        <is>
          <t>11 Jun</t>
        </is>
      </c>
      <c r="B153" s="15" t="inlineStr">
        <is>
          <t>30358</t>
        </is>
      </c>
      <c r="C153" s="16" t="n">
        <v>0</v>
      </c>
      <c r="D153" s="17" t="n">
        <v>107.67</v>
      </c>
      <c r="E153" s="18" t="n">
        <v>0</v>
      </c>
      <c r="F153" s="18" t="n">
        <v>1167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0</v>
      </c>
    </row>
    <row r="154">
      <c r="A154" s="15" t="inlineStr">
        <is>
          <t>11 Jun</t>
        </is>
      </c>
      <c r="B154" s="15" t="inlineStr">
        <is>
          <t>37470</t>
        </is>
      </c>
      <c r="C154" s="16" t="n">
        <v>0</v>
      </c>
      <c r="D154" s="17" t="n">
        <v>456.37</v>
      </c>
      <c r="E154" s="18" t="n">
        <v>0</v>
      </c>
      <c r="F154" s="18" t="n">
        <v>142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0</v>
      </c>
    </row>
    <row r="155">
      <c r="A155" s="20" t="inlineStr">
        <is>
          <t>11 Jun</t>
        </is>
      </c>
      <c r="B155" s="20" t="inlineStr">
        <is>
          <t>Day Total</t>
        </is>
      </c>
      <c r="C155" s="21">
        <f>SUM(C125:C154)</f>
        <v/>
      </c>
      <c r="D155" s="22">
        <f>SUM(D125:D154)</f>
        <v/>
      </c>
      <c r="E155" s="23">
        <f>SUM(E125:E154)</f>
        <v/>
      </c>
      <c r="F155" s="23">
        <f>SUM(F125:F154)</f>
        <v/>
      </c>
      <c r="G155" s="24">
        <f>IF(F155=0,0,E155/F155*100)</f>
        <v/>
      </c>
      <c r="H155" s="21">
        <f>SUM(H125:H154)</f>
        <v/>
      </c>
      <c r="I155" s="21">
        <f>SUM(I125:I154)</f>
        <v/>
      </c>
      <c r="J155" s="21">
        <f>SUM(J125:J154)</f>
        <v/>
      </c>
      <c r="K155" s="21">
        <f>SUM(K125:K154)</f>
        <v/>
      </c>
    </row>
    <row r="156">
      <c r="A156" s="15" t="inlineStr">
        <is>
          <t>12 Jun</t>
        </is>
      </c>
      <c r="B156" s="15" t="inlineStr">
        <is>
          <t>37266</t>
        </is>
      </c>
      <c r="C156" s="16" t="n">
        <v>1</v>
      </c>
      <c r="D156" s="17" t="n">
        <v>543.89</v>
      </c>
      <c r="E156" s="18" t="n">
        <v>35194</v>
      </c>
      <c r="F156" s="18" t="n">
        <v>36534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29</v>
      </c>
    </row>
    <row r="157">
      <c r="A157" s="15" t="inlineStr">
        <is>
          <t>12 Jun</t>
        </is>
      </c>
      <c r="B157" s="15" t="inlineStr">
        <is>
          <t>39331</t>
        </is>
      </c>
      <c r="C157" s="16" t="n">
        <v>1</v>
      </c>
      <c r="D157" s="17" t="n">
        <v>543.84</v>
      </c>
      <c r="E157" s="18" t="n">
        <v>22286</v>
      </c>
      <c r="F157" s="18" t="n">
        <v>23055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9</v>
      </c>
    </row>
    <row r="158">
      <c r="A158" s="15" t="inlineStr">
        <is>
          <t>12 Jun</t>
        </is>
      </c>
      <c r="B158" s="15" t="inlineStr">
        <is>
          <t>30806</t>
        </is>
      </c>
      <c r="C158" s="16" t="n">
        <v>1</v>
      </c>
      <c r="D158" s="17" t="n">
        <v>541.59</v>
      </c>
      <c r="E158" s="18" t="n">
        <v>20242</v>
      </c>
      <c r="F158" s="18" t="n">
        <v>20473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3</v>
      </c>
    </row>
    <row r="159">
      <c r="A159" s="15" t="inlineStr">
        <is>
          <t>12 Jun</t>
        </is>
      </c>
      <c r="B159" s="15" t="inlineStr">
        <is>
          <t>37091</t>
        </is>
      </c>
      <c r="C159" s="16" t="n">
        <v>1</v>
      </c>
      <c r="D159" s="17" t="n">
        <v>543.62</v>
      </c>
      <c r="E159" s="18" t="n">
        <v>18077</v>
      </c>
      <c r="F159" s="18" t="n">
        <v>18344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6</v>
      </c>
    </row>
    <row r="160">
      <c r="A160" s="15" t="inlineStr">
        <is>
          <t>12 Jun</t>
        </is>
      </c>
      <c r="B160" s="15" t="inlineStr">
        <is>
          <t>39287</t>
        </is>
      </c>
      <c r="C160" s="16" t="n">
        <v>0</v>
      </c>
      <c r="D160" s="17" t="n">
        <v>329.84</v>
      </c>
      <c r="E160" s="18" t="n">
        <v>28769</v>
      </c>
      <c r="F160" s="18" t="n">
        <v>29301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5</v>
      </c>
    </row>
    <row r="161">
      <c r="A161" s="15" t="inlineStr">
        <is>
          <t>12 Jun</t>
        </is>
      </c>
      <c r="B161" s="15" t="inlineStr">
        <is>
          <t>30507</t>
        </is>
      </c>
      <c r="C161" s="16" t="n">
        <v>0</v>
      </c>
      <c r="D161" s="17" t="n">
        <v>380.57</v>
      </c>
      <c r="E161" s="18" t="n">
        <v>27828</v>
      </c>
      <c r="F161" s="18" t="n">
        <v>28125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8</v>
      </c>
    </row>
    <row r="162">
      <c r="A162" s="15" t="inlineStr">
        <is>
          <t>12 Jun</t>
        </is>
      </c>
      <c r="B162" s="15" t="inlineStr">
        <is>
          <t>30176</t>
        </is>
      </c>
      <c r="C162" s="16" t="n">
        <v>0</v>
      </c>
      <c r="D162" s="17" t="n">
        <v>251.81</v>
      </c>
      <c r="E162" s="18" t="n">
        <v>26265</v>
      </c>
      <c r="F162" s="18" t="n">
        <v>27032</v>
      </c>
      <c r="G162" s="19">
        <f>IF(F162=0,0,E162/F162*100)</f>
        <v/>
      </c>
      <c r="H162" s="16" t="n">
        <v>1</v>
      </c>
      <c r="I162" s="16" t="n">
        <v>0</v>
      </c>
      <c r="J162" s="16" t="n">
        <v>1</v>
      </c>
      <c r="K162" s="16" t="n">
        <v>6</v>
      </c>
    </row>
    <row r="163">
      <c r="A163" s="15" t="inlineStr">
        <is>
          <t>12 Jun</t>
        </is>
      </c>
      <c r="B163" s="15" t="inlineStr">
        <is>
          <t>39243</t>
        </is>
      </c>
      <c r="C163" s="16" t="n">
        <v>0</v>
      </c>
      <c r="D163" s="17" t="n">
        <v>470.59</v>
      </c>
      <c r="E163" s="18" t="n">
        <v>22173</v>
      </c>
      <c r="F163" s="18" t="n">
        <v>22256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3</v>
      </c>
    </row>
    <row r="164">
      <c r="A164" s="15" t="inlineStr">
        <is>
          <t>12 Jun</t>
        </is>
      </c>
      <c r="B164" s="15" t="inlineStr">
        <is>
          <t>39107</t>
        </is>
      </c>
      <c r="C164" s="16" t="n">
        <v>0</v>
      </c>
      <c r="D164" s="17" t="n">
        <v>321.49</v>
      </c>
      <c r="E164" s="18" t="n">
        <v>21027</v>
      </c>
      <c r="F164" s="18" t="n">
        <v>21310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5</v>
      </c>
    </row>
    <row r="165">
      <c r="A165" s="15" t="inlineStr">
        <is>
          <t>12 Jun</t>
        </is>
      </c>
      <c r="B165" s="15" t="inlineStr">
        <is>
          <t>39244</t>
        </is>
      </c>
      <c r="C165" s="16" t="n">
        <v>0</v>
      </c>
      <c r="D165" s="17" t="n">
        <v>471.68</v>
      </c>
      <c r="E165" s="18" t="n">
        <v>20450</v>
      </c>
      <c r="F165" s="18" t="n">
        <v>20997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0</v>
      </c>
    </row>
    <row r="166">
      <c r="A166" s="15" t="inlineStr">
        <is>
          <t>12 Jun</t>
        </is>
      </c>
      <c r="B166" s="15" t="inlineStr">
        <is>
          <t>37257</t>
        </is>
      </c>
      <c r="C166" s="16" t="n">
        <v>0</v>
      </c>
      <c r="D166" s="17" t="n">
        <v>250.82</v>
      </c>
      <c r="E166" s="18" t="n">
        <v>19194</v>
      </c>
      <c r="F166" s="18" t="n">
        <v>19758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6</v>
      </c>
    </row>
    <row r="167">
      <c r="A167" s="15" t="inlineStr">
        <is>
          <t>12 Jun</t>
        </is>
      </c>
      <c r="B167" s="15" t="inlineStr">
        <is>
          <t>39328</t>
        </is>
      </c>
      <c r="C167" s="16" t="n">
        <v>0</v>
      </c>
      <c r="D167" s="17" t="n">
        <v>512.53</v>
      </c>
      <c r="E167" s="18" t="n">
        <v>19323</v>
      </c>
      <c r="F167" s="18" t="n">
        <v>19538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3</v>
      </c>
    </row>
    <row r="168">
      <c r="A168" s="15" t="inlineStr">
        <is>
          <t>12 Jun</t>
        </is>
      </c>
      <c r="B168" s="15" t="inlineStr">
        <is>
          <t>37275</t>
        </is>
      </c>
      <c r="C168" s="16" t="n">
        <v>0</v>
      </c>
      <c r="D168" s="17" t="n">
        <v>464.71</v>
      </c>
      <c r="E168" s="18" t="n">
        <v>19187</v>
      </c>
      <c r="F168" s="18" t="n">
        <v>19349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2</v>
      </c>
    </row>
    <row r="169">
      <c r="A169" s="15" t="inlineStr">
        <is>
          <t>12 Jun</t>
        </is>
      </c>
      <c r="B169" s="15" t="inlineStr">
        <is>
          <t>30472</t>
        </is>
      </c>
      <c r="C169" s="16" t="n">
        <v>0</v>
      </c>
      <c r="D169" s="17" t="n">
        <v>469.93</v>
      </c>
      <c r="E169" s="18" t="n">
        <v>18020</v>
      </c>
      <c r="F169" s="18" t="n">
        <v>18241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13</v>
      </c>
    </row>
    <row r="170">
      <c r="A170" s="15" t="inlineStr">
        <is>
          <t>12 Jun</t>
        </is>
      </c>
      <c r="B170" s="15" t="inlineStr">
        <is>
          <t>30752</t>
        </is>
      </c>
      <c r="C170" s="16" t="n">
        <v>0</v>
      </c>
      <c r="D170" s="17" t="n">
        <v>187.13</v>
      </c>
      <c r="E170" s="18" t="n">
        <v>12253</v>
      </c>
      <c r="F170" s="18" t="n">
        <v>12462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4</v>
      </c>
    </row>
    <row r="171">
      <c r="A171" s="15" t="inlineStr">
        <is>
          <t>12 Jun</t>
        </is>
      </c>
      <c r="B171" s="15" t="inlineStr">
        <is>
          <t>30440</t>
        </is>
      </c>
      <c r="C171" s="16" t="n">
        <v>0</v>
      </c>
      <c r="D171" s="17" t="n">
        <v>329.32</v>
      </c>
      <c r="E171" s="18" t="n">
        <v>11620</v>
      </c>
      <c r="F171" s="18" t="n">
        <v>11884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3</v>
      </c>
    </row>
    <row r="172">
      <c r="A172" s="15" t="inlineStr">
        <is>
          <t>12 Jun</t>
        </is>
      </c>
      <c r="B172" s="15" t="inlineStr">
        <is>
          <t>30466</t>
        </is>
      </c>
      <c r="C172" s="16" t="n">
        <v>0</v>
      </c>
      <c r="D172" s="17" t="n">
        <v>321.7</v>
      </c>
      <c r="E172" s="18" t="n">
        <v>11193</v>
      </c>
      <c r="F172" s="18" t="n">
        <v>11397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4</v>
      </c>
    </row>
    <row r="173">
      <c r="A173" s="15" t="inlineStr">
        <is>
          <t>12 Jun</t>
        </is>
      </c>
      <c r="B173" s="15" t="inlineStr">
        <is>
          <t>30488</t>
        </is>
      </c>
      <c r="C173" s="16" t="n">
        <v>0</v>
      </c>
      <c r="D173" s="17" t="n">
        <v>318.81</v>
      </c>
      <c r="E173" s="18" t="n">
        <v>11202</v>
      </c>
      <c r="F173" s="18" t="n">
        <v>11251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1</v>
      </c>
    </row>
    <row r="174">
      <c r="A174" s="15" t="inlineStr">
        <is>
          <t>12 Jun</t>
        </is>
      </c>
      <c r="B174" s="15" t="inlineStr">
        <is>
          <t>37056</t>
        </is>
      </c>
      <c r="C174" s="16" t="n">
        <v>0</v>
      </c>
      <c r="D174" s="17" t="n">
        <v>108.54</v>
      </c>
      <c r="E174" s="18" t="n">
        <v>9821</v>
      </c>
      <c r="F174" s="18" t="n">
        <v>10196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6</v>
      </c>
    </row>
    <row r="175">
      <c r="A175" s="15" t="inlineStr">
        <is>
          <t>12 Jun</t>
        </is>
      </c>
      <c r="B175" s="15" t="inlineStr">
        <is>
          <t>37845</t>
        </is>
      </c>
      <c r="C175" s="16" t="n">
        <v>0</v>
      </c>
      <c r="D175" s="17" t="n">
        <v>317.69</v>
      </c>
      <c r="E175" s="18" t="n">
        <v>9904</v>
      </c>
      <c r="F175" s="18" t="n">
        <v>10130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4</v>
      </c>
    </row>
    <row r="176">
      <c r="A176" s="15" t="inlineStr">
        <is>
          <t>12 Jun</t>
        </is>
      </c>
      <c r="B176" s="15" t="inlineStr">
        <is>
          <t>39108</t>
        </is>
      </c>
      <c r="C176" s="16" t="n">
        <v>0</v>
      </c>
      <c r="D176" s="17" t="n">
        <v>108.67</v>
      </c>
      <c r="E176" s="18" t="n">
        <v>9433</v>
      </c>
      <c r="F176" s="18" t="n">
        <v>9664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4</v>
      </c>
    </row>
    <row r="177">
      <c r="A177" s="15" t="inlineStr">
        <is>
          <t>12 Jun</t>
        </is>
      </c>
      <c r="B177" s="15" t="inlineStr">
        <is>
          <t>37361</t>
        </is>
      </c>
      <c r="C177" s="16" t="n">
        <v>0</v>
      </c>
      <c r="D177" s="17" t="n">
        <v>222.25</v>
      </c>
      <c r="E177" s="18" t="n">
        <v>9005</v>
      </c>
      <c r="F177" s="18" t="n">
        <v>9024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3</v>
      </c>
    </row>
    <row r="178">
      <c r="A178" s="15" t="inlineStr">
        <is>
          <t>12 Jun</t>
        </is>
      </c>
      <c r="B178" s="15" t="inlineStr">
        <is>
          <t>37493</t>
        </is>
      </c>
      <c r="C178" s="16" t="n">
        <v>0</v>
      </c>
      <c r="D178" s="17" t="n">
        <v>198.03</v>
      </c>
      <c r="E178" s="18" t="n">
        <v>6969</v>
      </c>
      <c r="F178" s="18" t="n">
        <v>6969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0</v>
      </c>
    </row>
    <row r="179">
      <c r="A179" s="15" t="inlineStr">
        <is>
          <t>12 Jun</t>
        </is>
      </c>
      <c r="B179" s="15" t="inlineStr">
        <is>
          <t>30339</t>
        </is>
      </c>
      <c r="C179" s="16" t="n">
        <v>0</v>
      </c>
      <c r="D179" s="17" t="n">
        <v>39.55</v>
      </c>
      <c r="E179" s="18" t="n">
        <v>1869</v>
      </c>
      <c r="F179" s="18" t="n">
        <v>1869</v>
      </c>
      <c r="G179" s="19">
        <f>IF(F179=0,0,E179/F179*100)</f>
        <v/>
      </c>
      <c r="H179" s="16" t="n">
        <v>0</v>
      </c>
      <c r="I179" s="16" t="n">
        <v>0</v>
      </c>
      <c r="J179" s="16" t="n">
        <v>0</v>
      </c>
      <c r="K179" s="16" t="n">
        <v>0</v>
      </c>
    </row>
    <row r="180">
      <c r="A180" s="15" t="inlineStr">
        <is>
          <t>12 Jun</t>
        </is>
      </c>
      <c r="B180" s="15" t="inlineStr">
        <is>
          <t>37618</t>
        </is>
      </c>
      <c r="C180" s="16" t="n">
        <v>0</v>
      </c>
      <c r="D180" s="17" t="n">
        <v>12.14</v>
      </c>
      <c r="E180" s="18" t="n">
        <v>1515</v>
      </c>
      <c r="F180" s="18" t="n">
        <v>1727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0</v>
      </c>
    </row>
    <row r="181">
      <c r="A181" s="15" t="inlineStr">
        <is>
          <t>12 Jun</t>
        </is>
      </c>
      <c r="B181" s="15" t="inlineStr">
        <is>
          <t>37458</t>
        </is>
      </c>
      <c r="C181" s="16" t="n">
        <v>0</v>
      </c>
      <c r="D181" s="17" t="n">
        <v>14.27</v>
      </c>
      <c r="E181" s="18" t="n">
        <v>299</v>
      </c>
      <c r="F181" s="18" t="n">
        <v>384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2</v>
      </c>
    </row>
    <row r="182">
      <c r="A182" s="15" t="inlineStr">
        <is>
          <t>12 Jun</t>
        </is>
      </c>
      <c r="B182" s="15" t="inlineStr">
        <is>
          <t>39199</t>
        </is>
      </c>
      <c r="C182" s="16" t="n">
        <v>0</v>
      </c>
      <c r="D182" s="17" t="n">
        <v>328.65</v>
      </c>
      <c r="E182" s="18" t="n">
        <v>0</v>
      </c>
      <c r="F182" s="18" t="n">
        <v>324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0</v>
      </c>
    </row>
    <row r="183">
      <c r="A183" s="15" t="inlineStr">
        <is>
          <t>12 Jun</t>
        </is>
      </c>
      <c r="B183" s="15" t="inlineStr">
        <is>
          <t>39516</t>
        </is>
      </c>
      <c r="C183" s="16" t="n">
        <v>0</v>
      </c>
      <c r="D183" s="17" t="n">
        <v>11.02</v>
      </c>
      <c r="E183" s="18" t="n">
        <v>101</v>
      </c>
      <c r="F183" s="18" t="n">
        <v>213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1</v>
      </c>
    </row>
    <row r="184">
      <c r="A184" s="15" t="inlineStr">
        <is>
          <t>12 Jun</t>
        </is>
      </c>
      <c r="B184" s="15" t="inlineStr">
        <is>
          <t>37369</t>
        </is>
      </c>
      <c r="C184" s="16" t="n">
        <v>0</v>
      </c>
      <c r="D184" s="17" t="n">
        <v>5.84</v>
      </c>
      <c r="E184" s="18" t="n">
        <v>157</v>
      </c>
      <c r="F184" s="18" t="n">
        <v>175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0</v>
      </c>
    </row>
    <row r="185">
      <c r="A185" s="15" t="inlineStr">
        <is>
          <t>12 Jun</t>
        </is>
      </c>
      <c r="B185" s="15" t="inlineStr">
        <is>
          <t>39161</t>
        </is>
      </c>
      <c r="C185" s="16" t="n">
        <v>0</v>
      </c>
      <c r="D185" s="17" t="n">
        <v>11.85</v>
      </c>
      <c r="E185" s="18" t="n">
        <v>142</v>
      </c>
      <c r="F185" s="18" t="n">
        <v>142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0</v>
      </c>
    </row>
    <row r="186">
      <c r="A186" s="15" t="inlineStr">
        <is>
          <t>12 Jun</t>
        </is>
      </c>
      <c r="B186" s="15" t="inlineStr">
        <is>
          <t>37903</t>
        </is>
      </c>
      <c r="C186" s="16" t="n">
        <v>0</v>
      </c>
      <c r="D186" s="17" t="n">
        <v>0.67</v>
      </c>
      <c r="E186" s="18" t="n">
        <v>0</v>
      </c>
      <c r="F186" s="18" t="n">
        <v>115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0</v>
      </c>
    </row>
    <row r="187">
      <c r="A187" s="15" t="inlineStr">
        <is>
          <t>12 Jun</t>
        </is>
      </c>
      <c r="B187" s="15" t="inlineStr">
        <is>
          <t>30391</t>
        </is>
      </c>
      <c r="C187" s="16" t="n">
        <v>0</v>
      </c>
      <c r="D187" s="17" t="n">
        <v>0.06</v>
      </c>
      <c r="E187" s="18" t="n">
        <v>0</v>
      </c>
      <c r="F187" s="18" t="n">
        <v>65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0</v>
      </c>
    </row>
    <row r="188">
      <c r="A188" s="20" t="inlineStr">
        <is>
          <t>12 Jun</t>
        </is>
      </c>
      <c r="B188" s="20" t="inlineStr">
        <is>
          <t>Day Total</t>
        </is>
      </c>
      <c r="C188" s="21">
        <f>SUM(C156:C187)</f>
        <v/>
      </c>
      <c r="D188" s="22">
        <f>SUM(D156:D187)</f>
        <v/>
      </c>
      <c r="E188" s="23">
        <f>SUM(E156:E187)</f>
        <v/>
      </c>
      <c r="F188" s="23">
        <f>SUM(F156:F187)</f>
        <v/>
      </c>
      <c r="G188" s="24">
        <f>IF(F188=0,0,E188/F188*100)</f>
        <v/>
      </c>
      <c r="H188" s="21">
        <f>SUM(H156:H187)</f>
        <v/>
      </c>
      <c r="I188" s="21">
        <f>SUM(I156:I187)</f>
        <v/>
      </c>
      <c r="J188" s="21">
        <f>SUM(J156:J187)</f>
        <v/>
      </c>
      <c r="K188" s="21">
        <f>SUM(K156:K187)</f>
        <v/>
      </c>
    </row>
    <row r="189">
      <c r="A189" s="15" t="inlineStr">
        <is>
          <t>13 Jun</t>
        </is>
      </c>
      <c r="B189" s="15" t="inlineStr">
        <is>
          <t>30397</t>
        </is>
      </c>
      <c r="C189" s="16" t="n">
        <v>1</v>
      </c>
      <c r="D189" s="17" t="n">
        <v>543.9</v>
      </c>
      <c r="E189" s="18" t="n">
        <v>34333</v>
      </c>
      <c r="F189" s="18" t="n">
        <v>34542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8</v>
      </c>
    </row>
    <row r="190">
      <c r="A190" s="15" t="inlineStr">
        <is>
          <t>13 Jun</t>
        </is>
      </c>
      <c r="B190" s="15" t="inlineStr">
        <is>
          <t>39014</t>
        </is>
      </c>
      <c r="C190" s="16" t="n">
        <v>1</v>
      </c>
      <c r="D190" s="17" t="n">
        <v>541.64</v>
      </c>
      <c r="E190" s="18" t="n">
        <v>28894</v>
      </c>
      <c r="F190" s="18" t="n">
        <v>30018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8</v>
      </c>
    </row>
    <row r="191">
      <c r="A191" s="15" t="inlineStr">
        <is>
          <t>13 Jun</t>
        </is>
      </c>
      <c r="B191" s="15" t="inlineStr">
        <is>
          <t>43821</t>
        </is>
      </c>
      <c r="C191" s="16" t="n">
        <v>1</v>
      </c>
      <c r="D191" s="17" t="n">
        <v>543.89</v>
      </c>
      <c r="E191" s="18" t="n">
        <v>24754</v>
      </c>
      <c r="F191" s="18" t="n">
        <v>24915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4</v>
      </c>
    </row>
    <row r="192">
      <c r="A192" s="15" t="inlineStr">
        <is>
          <t>13 Jun</t>
        </is>
      </c>
      <c r="B192" s="15" t="inlineStr">
        <is>
          <t>30567</t>
        </is>
      </c>
      <c r="C192" s="16" t="n">
        <v>1</v>
      </c>
      <c r="D192" s="17" t="n">
        <v>543.89</v>
      </c>
      <c r="E192" s="18" t="n">
        <v>22830</v>
      </c>
      <c r="F192" s="18" t="n">
        <v>23020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5</v>
      </c>
    </row>
    <row r="193">
      <c r="A193" s="15" t="inlineStr">
        <is>
          <t>13 Jun</t>
        </is>
      </c>
      <c r="B193" s="15" t="inlineStr">
        <is>
          <t>37312</t>
        </is>
      </c>
      <c r="C193" s="16" t="n">
        <v>1</v>
      </c>
      <c r="D193" s="17" t="n">
        <v>543.65</v>
      </c>
      <c r="E193" s="18" t="n">
        <v>0</v>
      </c>
      <c r="F193" s="18" t="n">
        <v>11831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0</v>
      </c>
    </row>
    <row r="194">
      <c r="A194" s="15" t="inlineStr">
        <is>
          <t>13 Jun</t>
        </is>
      </c>
      <c r="B194" s="15" t="inlineStr">
        <is>
          <t>37257</t>
        </is>
      </c>
      <c r="C194" s="16" t="n">
        <v>0</v>
      </c>
      <c r="D194" s="17" t="n">
        <v>251.91</v>
      </c>
      <c r="E194" s="18" t="n">
        <v>32959</v>
      </c>
      <c r="F194" s="18" t="n">
        <v>33036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0</v>
      </c>
    </row>
    <row r="195">
      <c r="A195" s="15" t="inlineStr">
        <is>
          <t>13 Jun</t>
        </is>
      </c>
      <c r="B195" s="15" t="inlineStr">
        <is>
          <t>37466</t>
        </is>
      </c>
      <c r="C195" s="16" t="n">
        <v>0</v>
      </c>
      <c r="D195" s="17" t="n">
        <v>329.83</v>
      </c>
      <c r="E195" s="18" t="n">
        <v>26996</v>
      </c>
      <c r="F195" s="18" t="n">
        <v>27778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8</v>
      </c>
    </row>
    <row r="196">
      <c r="A196" s="15" t="inlineStr">
        <is>
          <t>13 Jun</t>
        </is>
      </c>
      <c r="B196" s="15" t="inlineStr">
        <is>
          <t>39287</t>
        </is>
      </c>
      <c r="C196" s="16" t="n">
        <v>0</v>
      </c>
      <c r="D196" s="17" t="n">
        <v>329.85</v>
      </c>
      <c r="E196" s="18" t="n">
        <v>23649</v>
      </c>
      <c r="F196" s="18" t="n">
        <v>24179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9</v>
      </c>
    </row>
    <row r="197">
      <c r="A197" s="15" t="inlineStr">
        <is>
          <t>13 Jun</t>
        </is>
      </c>
      <c r="B197" s="15" t="inlineStr">
        <is>
          <t>30176</t>
        </is>
      </c>
      <c r="C197" s="16" t="n">
        <v>0</v>
      </c>
      <c r="D197" s="17" t="n">
        <v>251.82</v>
      </c>
      <c r="E197" s="18" t="n">
        <v>21727</v>
      </c>
      <c r="F197" s="18" t="n">
        <v>21862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3</v>
      </c>
    </row>
    <row r="198">
      <c r="A198" s="15" t="inlineStr">
        <is>
          <t>13 Jun</t>
        </is>
      </c>
      <c r="B198" s="15" t="inlineStr">
        <is>
          <t>30460</t>
        </is>
      </c>
      <c r="C198" s="16" t="n">
        <v>0</v>
      </c>
      <c r="D198" s="17" t="n">
        <v>513.87</v>
      </c>
      <c r="E198" s="18" t="n">
        <v>20193</v>
      </c>
      <c r="F198" s="18" t="n">
        <v>20197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0</v>
      </c>
    </row>
    <row r="199">
      <c r="A199" s="15" t="inlineStr">
        <is>
          <t>13 Jun</t>
        </is>
      </c>
      <c r="B199" s="15" t="inlineStr">
        <is>
          <t>30351</t>
        </is>
      </c>
      <c r="C199" s="16" t="n">
        <v>0</v>
      </c>
      <c r="D199" s="17" t="n">
        <v>322.43</v>
      </c>
      <c r="E199" s="18" t="n">
        <v>13017</v>
      </c>
      <c r="F199" s="18" t="n">
        <v>15659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0</v>
      </c>
    </row>
    <row r="200">
      <c r="A200" s="15" t="inlineStr">
        <is>
          <t>13 Jun</t>
        </is>
      </c>
      <c r="B200" s="15" t="inlineStr">
        <is>
          <t>39107</t>
        </is>
      </c>
      <c r="C200" s="16" t="n">
        <v>0</v>
      </c>
      <c r="D200" s="17" t="n">
        <v>320.17</v>
      </c>
      <c r="E200" s="18" t="n">
        <v>14903</v>
      </c>
      <c r="F200" s="18" t="n">
        <v>15073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1</v>
      </c>
    </row>
    <row r="201">
      <c r="A201" s="15" t="inlineStr">
        <is>
          <t>13 Jun</t>
        </is>
      </c>
      <c r="B201" s="15" t="inlineStr">
        <is>
          <t>30466</t>
        </is>
      </c>
      <c r="C201" s="16" t="n">
        <v>0</v>
      </c>
      <c r="D201" s="17" t="n">
        <v>318.79</v>
      </c>
      <c r="E201" s="18" t="n">
        <v>12025</v>
      </c>
      <c r="F201" s="18" t="n">
        <v>12097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2</v>
      </c>
    </row>
    <row r="202">
      <c r="A202" s="15" t="inlineStr">
        <is>
          <t>13 Jun</t>
        </is>
      </c>
      <c r="B202" s="15" t="inlineStr">
        <is>
          <t>30335</t>
        </is>
      </c>
      <c r="C202" s="16" t="n">
        <v>0</v>
      </c>
      <c r="D202" s="17" t="n">
        <v>321.74</v>
      </c>
      <c r="E202" s="18" t="n">
        <v>11926</v>
      </c>
      <c r="F202" s="18" t="n">
        <v>12023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1</v>
      </c>
    </row>
    <row r="203">
      <c r="A203" s="15" t="inlineStr">
        <is>
          <t>13 Jun</t>
        </is>
      </c>
      <c r="B203" s="15" t="inlineStr">
        <is>
          <t>30339</t>
        </is>
      </c>
      <c r="C203" s="16" t="n">
        <v>0</v>
      </c>
      <c r="D203" s="17" t="n">
        <v>108.57</v>
      </c>
      <c r="E203" s="18" t="n">
        <v>10943</v>
      </c>
      <c r="F203" s="18" t="n">
        <v>10988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0</v>
      </c>
    </row>
    <row r="204">
      <c r="A204" s="15" t="inlineStr">
        <is>
          <t>13 Jun</t>
        </is>
      </c>
      <c r="B204" s="15" t="inlineStr">
        <is>
          <t>37369</t>
        </is>
      </c>
      <c r="C204" s="16" t="n">
        <v>0</v>
      </c>
      <c r="D204" s="17" t="n">
        <v>271.65</v>
      </c>
      <c r="E204" s="18" t="n">
        <v>9847</v>
      </c>
      <c r="F204" s="18" t="n">
        <v>9852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0</v>
      </c>
    </row>
    <row r="205">
      <c r="A205" s="15" t="inlineStr">
        <is>
          <t>13 Jun</t>
        </is>
      </c>
      <c r="B205" s="15" t="inlineStr">
        <is>
          <t>37361</t>
        </is>
      </c>
      <c r="C205" s="16" t="n">
        <v>0</v>
      </c>
      <c r="D205" s="17" t="n">
        <v>207.02</v>
      </c>
      <c r="E205" s="18" t="n">
        <v>7525</v>
      </c>
      <c r="F205" s="18" t="n">
        <v>7600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2</v>
      </c>
    </row>
    <row r="206">
      <c r="A206" s="15" t="inlineStr">
        <is>
          <t>13 Jun</t>
        </is>
      </c>
      <c r="B206" s="15" t="inlineStr">
        <is>
          <t>37321</t>
        </is>
      </c>
      <c r="C206" s="16" t="n">
        <v>0</v>
      </c>
      <c r="D206" s="17" t="n">
        <v>470.56</v>
      </c>
      <c r="E206" s="18" t="n">
        <v>6671</v>
      </c>
      <c r="F206" s="18" t="n">
        <v>7001</v>
      </c>
      <c r="G206" s="19">
        <f>IF(F206=0,0,E206/F206*100)</f>
        <v/>
      </c>
      <c r="H206" s="16" t="n">
        <v>3</v>
      </c>
      <c r="I206" s="16" t="n">
        <v>0</v>
      </c>
      <c r="J206" s="16" t="n">
        <v>3</v>
      </c>
      <c r="K206" s="16" t="n">
        <v>9</v>
      </c>
    </row>
    <row r="207">
      <c r="A207" s="15" t="inlineStr">
        <is>
          <t>13 Jun</t>
        </is>
      </c>
      <c r="B207" s="15" t="inlineStr">
        <is>
          <t>30395</t>
        </is>
      </c>
      <c r="C207" s="16" t="n">
        <v>0</v>
      </c>
      <c r="D207" s="17" t="n">
        <v>319.23</v>
      </c>
      <c r="E207" s="18" t="n">
        <v>6468</v>
      </c>
      <c r="F207" s="18" t="n">
        <v>6509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2</v>
      </c>
    </row>
    <row r="208">
      <c r="A208" s="15" t="inlineStr">
        <is>
          <t>13 Jun</t>
        </is>
      </c>
      <c r="B208" s="15" t="inlineStr">
        <is>
          <t>37266</t>
        </is>
      </c>
      <c r="C208" s="16" t="n">
        <v>0</v>
      </c>
      <c r="D208" s="17" t="n">
        <v>100.71</v>
      </c>
      <c r="E208" s="18" t="n">
        <v>6304</v>
      </c>
      <c r="F208" s="18" t="n">
        <v>6468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2</v>
      </c>
    </row>
    <row r="209">
      <c r="A209" s="15" t="inlineStr">
        <is>
          <t>13 Jun</t>
        </is>
      </c>
      <c r="B209" s="15" t="inlineStr">
        <is>
          <t>37355</t>
        </is>
      </c>
      <c r="C209" s="16" t="n">
        <v>0</v>
      </c>
      <c r="D209" s="17" t="n">
        <v>170.68</v>
      </c>
      <c r="E209" s="18" t="n">
        <v>5302</v>
      </c>
      <c r="F209" s="18" t="n">
        <v>5312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1</v>
      </c>
    </row>
    <row r="210">
      <c r="A210" s="15" t="inlineStr">
        <is>
          <t>13 Jun</t>
        </is>
      </c>
      <c r="B210" s="15" t="inlineStr">
        <is>
          <t>39108</t>
        </is>
      </c>
      <c r="C210" s="16" t="n">
        <v>0</v>
      </c>
      <c r="D210" s="17" t="n">
        <v>107.52</v>
      </c>
      <c r="E210" s="18" t="n">
        <v>4353</v>
      </c>
      <c r="F210" s="18" t="n">
        <v>4400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0</v>
      </c>
    </row>
    <row r="211">
      <c r="A211" s="15" t="inlineStr">
        <is>
          <t>13 Jun</t>
        </is>
      </c>
      <c r="B211" s="15" t="inlineStr">
        <is>
          <t>39199</t>
        </is>
      </c>
      <c r="C211" s="16" t="n">
        <v>0</v>
      </c>
      <c r="D211" s="17" t="n">
        <v>114.86</v>
      </c>
      <c r="E211" s="18" t="n">
        <v>3839</v>
      </c>
      <c r="F211" s="18" t="n">
        <v>4137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15" t="inlineStr">
        <is>
          <t>13 Jun</t>
        </is>
      </c>
      <c r="B212" s="15" t="inlineStr">
        <is>
          <t>30507</t>
        </is>
      </c>
      <c r="C212" s="16" t="n">
        <v>0</v>
      </c>
      <c r="D212" s="17" t="n">
        <v>75.98</v>
      </c>
      <c r="E212" s="18" t="n">
        <v>3426</v>
      </c>
      <c r="F212" s="18" t="n">
        <v>3426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0</v>
      </c>
    </row>
    <row r="213">
      <c r="A213" s="15" t="inlineStr">
        <is>
          <t>13 Jun</t>
        </is>
      </c>
      <c r="B213" s="15" t="inlineStr">
        <is>
          <t>37048</t>
        </is>
      </c>
      <c r="C213" s="16" t="n">
        <v>0</v>
      </c>
      <c r="D213" s="17" t="n">
        <v>17.54</v>
      </c>
      <c r="E213" s="18" t="n">
        <v>1048</v>
      </c>
      <c r="F213" s="18" t="n">
        <v>2505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1</v>
      </c>
    </row>
    <row r="214">
      <c r="A214" s="15" t="inlineStr">
        <is>
          <t>13 Jun</t>
        </is>
      </c>
      <c r="B214" s="15" t="inlineStr">
        <is>
          <t>39336</t>
        </is>
      </c>
      <c r="C214" s="16" t="n">
        <v>0</v>
      </c>
      <c r="D214" s="17" t="n">
        <v>2.37</v>
      </c>
      <c r="E214" s="18" t="n">
        <v>1248</v>
      </c>
      <c r="F214" s="18" t="n">
        <v>1267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1</v>
      </c>
    </row>
    <row r="215">
      <c r="A215" s="15" t="inlineStr">
        <is>
          <t>13 Jun</t>
        </is>
      </c>
      <c r="B215" s="15" t="inlineStr">
        <is>
          <t>37028</t>
        </is>
      </c>
      <c r="C215" s="16" t="n">
        <v>0</v>
      </c>
      <c r="D215" s="17" t="n">
        <v>316.64</v>
      </c>
      <c r="E215" s="18" t="n">
        <v>0</v>
      </c>
      <c r="F215" s="18" t="n">
        <v>125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0</v>
      </c>
    </row>
    <row r="216">
      <c r="A216" s="15" t="inlineStr">
        <is>
          <t>13 Jun</t>
        </is>
      </c>
      <c r="B216" s="15" t="inlineStr">
        <is>
          <t>30828</t>
        </is>
      </c>
      <c r="C216" s="16" t="n">
        <v>0</v>
      </c>
      <c r="D216" s="17" t="n">
        <v>29.38</v>
      </c>
      <c r="E216" s="18" t="n">
        <v>0</v>
      </c>
      <c r="F216" s="18" t="n">
        <v>85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0</v>
      </c>
    </row>
    <row r="217">
      <c r="A217" s="15" t="inlineStr">
        <is>
          <t>13 Jun</t>
        </is>
      </c>
      <c r="B217" s="15" t="inlineStr">
        <is>
          <t>30817</t>
        </is>
      </c>
      <c r="C217" s="16" t="n">
        <v>0</v>
      </c>
      <c r="D217" s="17" t="n">
        <v>103.1</v>
      </c>
      <c r="E217" s="18" t="n">
        <v>0</v>
      </c>
      <c r="F217" s="18" t="n">
        <v>10</v>
      </c>
      <c r="G217" s="19">
        <f>IF(F217=0,0,E217/F217*100)</f>
        <v/>
      </c>
      <c r="H217" s="16" t="n">
        <v>0</v>
      </c>
      <c r="I217" s="16" t="n">
        <v>0</v>
      </c>
      <c r="J217" s="16" t="n">
        <v>0</v>
      </c>
      <c r="K217" s="16" t="n">
        <v>0</v>
      </c>
    </row>
    <row r="218">
      <c r="A218" s="15" t="inlineStr">
        <is>
          <t>13 Jun</t>
        </is>
      </c>
      <c r="B218" s="15" t="inlineStr">
        <is>
          <t>37636</t>
        </is>
      </c>
      <c r="C218" s="16" t="n">
        <v>0</v>
      </c>
      <c r="D218" s="17" t="n">
        <v>2.68</v>
      </c>
      <c r="E218" s="18" t="n">
        <v>0</v>
      </c>
      <c r="F218" s="18" t="n">
        <v>6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0</v>
      </c>
    </row>
    <row r="219">
      <c r="A219" s="20" t="inlineStr">
        <is>
          <t>13 Jun</t>
        </is>
      </c>
      <c r="B219" s="20" t="inlineStr">
        <is>
          <t>Day Total</t>
        </is>
      </c>
      <c r="C219" s="21">
        <f>SUM(C189:C218)</f>
        <v/>
      </c>
      <c r="D219" s="22">
        <f>SUM(D189:D218)</f>
        <v/>
      </c>
      <c r="E219" s="23">
        <f>SUM(E189:E218)</f>
        <v/>
      </c>
      <c r="F219" s="23">
        <f>SUM(F189:F218)</f>
        <v/>
      </c>
      <c r="G219" s="24">
        <f>IF(F219=0,0,E219/F219*100)</f>
        <v/>
      </c>
      <c r="H219" s="21">
        <f>SUM(H189:H218)</f>
        <v/>
      </c>
      <c r="I219" s="21">
        <f>SUM(I189:I218)</f>
        <v/>
      </c>
      <c r="J219" s="21">
        <f>SUM(J189:J218)</f>
        <v/>
      </c>
      <c r="K219" s="21">
        <f>SUM(K189:K218)</f>
        <v/>
      </c>
    </row>
    <row r="220">
      <c r="A220" s="15" t="inlineStr">
        <is>
          <t>14 Jun</t>
        </is>
      </c>
      <c r="B220" s="15" t="inlineStr">
        <is>
          <t>30507</t>
        </is>
      </c>
      <c r="C220" s="16" t="n">
        <v>1</v>
      </c>
      <c r="D220" s="17" t="n">
        <v>543.85</v>
      </c>
      <c r="E220" s="18" t="n">
        <v>37003</v>
      </c>
      <c r="F220" s="18" t="n">
        <v>37177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8</v>
      </c>
    </row>
    <row r="221">
      <c r="A221" s="15" t="inlineStr">
        <is>
          <t>14 Jun</t>
        </is>
      </c>
      <c r="B221" s="15" t="inlineStr">
        <is>
          <t>39029</t>
        </is>
      </c>
      <c r="C221" s="16" t="n">
        <v>1</v>
      </c>
      <c r="D221" s="17" t="n">
        <v>543.85</v>
      </c>
      <c r="E221" s="18" t="n">
        <v>34666</v>
      </c>
      <c r="F221" s="18" t="n">
        <v>34860</v>
      </c>
      <c r="G221" s="19">
        <f>IF(F221=0,0,E221/F221*100)</f>
        <v/>
      </c>
      <c r="H221" s="16" t="n">
        <v>0</v>
      </c>
      <c r="I221" s="16" t="n">
        <v>0</v>
      </c>
      <c r="J221" s="16" t="n">
        <v>0</v>
      </c>
      <c r="K221" s="16" t="n">
        <v>10</v>
      </c>
    </row>
    <row r="222">
      <c r="A222" s="15" t="inlineStr">
        <is>
          <t>14 Jun</t>
        </is>
      </c>
      <c r="B222" s="15" t="inlineStr">
        <is>
          <t>39521</t>
        </is>
      </c>
      <c r="C222" s="16" t="n">
        <v>1</v>
      </c>
      <c r="D222" s="17" t="n">
        <v>543.61</v>
      </c>
      <c r="E222" s="18" t="n">
        <v>20687</v>
      </c>
      <c r="F222" s="18" t="n">
        <v>20746</v>
      </c>
      <c r="G222" s="19">
        <f>IF(F222=0,0,E222/F222*100)</f>
        <v/>
      </c>
      <c r="H222" s="16" t="n">
        <v>0</v>
      </c>
      <c r="I222" s="16" t="n">
        <v>0</v>
      </c>
      <c r="J222" s="16" t="n">
        <v>0</v>
      </c>
      <c r="K222" s="16" t="n">
        <v>2</v>
      </c>
    </row>
    <row r="223">
      <c r="A223" s="15" t="inlineStr">
        <is>
          <t>14 Jun</t>
        </is>
      </c>
      <c r="B223" s="15" t="inlineStr">
        <is>
          <t>37856</t>
        </is>
      </c>
      <c r="C223" s="16" t="n">
        <v>1</v>
      </c>
      <c r="D223" s="17" t="n">
        <v>543.65</v>
      </c>
      <c r="E223" s="18" t="n">
        <v>18497</v>
      </c>
      <c r="F223" s="18" t="n">
        <v>18548</v>
      </c>
      <c r="G223" s="19">
        <f>IF(F223=0,0,E223/F223*100)</f>
        <v/>
      </c>
      <c r="H223" s="16" t="n">
        <v>0</v>
      </c>
      <c r="I223" s="16" t="n">
        <v>0</v>
      </c>
      <c r="J223" s="16" t="n">
        <v>0</v>
      </c>
      <c r="K223" s="16" t="n">
        <v>2</v>
      </c>
    </row>
    <row r="224">
      <c r="A224" s="15" t="inlineStr">
        <is>
          <t>14 Jun</t>
        </is>
      </c>
      <c r="B224" s="15" t="inlineStr">
        <is>
          <t>37257</t>
        </is>
      </c>
      <c r="C224" s="16" t="n">
        <v>0</v>
      </c>
      <c r="D224" s="17" t="n">
        <v>251.82</v>
      </c>
      <c r="E224" s="18" t="n">
        <v>31666</v>
      </c>
      <c r="F224" s="18" t="n">
        <v>31925</v>
      </c>
      <c r="G224" s="19">
        <f>IF(F224=0,0,E224/F224*100)</f>
        <v/>
      </c>
      <c r="H224" s="16" t="n">
        <v>0</v>
      </c>
      <c r="I224" s="16" t="n">
        <v>0</v>
      </c>
      <c r="J224" s="16" t="n">
        <v>0</v>
      </c>
      <c r="K224" s="16" t="n">
        <v>2</v>
      </c>
    </row>
    <row r="225">
      <c r="A225" s="15" t="inlineStr">
        <is>
          <t>14 Jun</t>
        </is>
      </c>
      <c r="B225" s="15" t="inlineStr">
        <is>
          <t>37086</t>
        </is>
      </c>
      <c r="C225" s="16" t="n">
        <v>0</v>
      </c>
      <c r="D225" s="17" t="n">
        <v>474.07</v>
      </c>
      <c r="E225" s="18" t="n">
        <v>21393</v>
      </c>
      <c r="F225" s="18" t="n">
        <v>21540</v>
      </c>
      <c r="G225" s="19">
        <f>IF(F225=0,0,E225/F225*100)</f>
        <v/>
      </c>
      <c r="H225" s="16" t="n">
        <v>0</v>
      </c>
      <c r="I225" s="16" t="n">
        <v>0</v>
      </c>
      <c r="J225" s="16" t="n">
        <v>0</v>
      </c>
      <c r="K225" s="16" t="n">
        <v>10</v>
      </c>
    </row>
    <row r="226">
      <c r="A226" s="15" t="inlineStr">
        <is>
          <t>14 Jun</t>
        </is>
      </c>
      <c r="B226" s="15" t="inlineStr">
        <is>
          <t>37369</t>
        </is>
      </c>
      <c r="C226" s="16" t="n">
        <v>0</v>
      </c>
      <c r="D226" s="17" t="n">
        <v>329.85</v>
      </c>
      <c r="E226" s="18" t="n">
        <v>20712</v>
      </c>
      <c r="F226" s="18" t="n">
        <v>20811</v>
      </c>
      <c r="G226" s="19">
        <f>IF(F226=0,0,E226/F226*100)</f>
        <v/>
      </c>
      <c r="H226" s="16" t="n">
        <v>2</v>
      </c>
      <c r="I226" s="16" t="n">
        <v>0</v>
      </c>
      <c r="J226" s="16" t="n">
        <v>2</v>
      </c>
      <c r="K226" s="16" t="n">
        <v>3</v>
      </c>
    </row>
    <row r="227">
      <c r="A227" s="15" t="inlineStr">
        <is>
          <t>14 Jun</t>
        </is>
      </c>
      <c r="B227" s="15" t="inlineStr">
        <is>
          <t>37275</t>
        </is>
      </c>
      <c r="C227" s="16" t="n">
        <v>0</v>
      </c>
      <c r="D227" s="17" t="n">
        <v>473.46</v>
      </c>
      <c r="E227" s="18" t="n">
        <v>20668</v>
      </c>
      <c r="F227" s="18" t="n">
        <v>20675</v>
      </c>
      <c r="G227" s="19">
        <f>IF(F227=0,0,E227/F227*100)</f>
        <v/>
      </c>
      <c r="H227" s="16" t="n">
        <v>0</v>
      </c>
      <c r="I227" s="16" t="n">
        <v>0</v>
      </c>
      <c r="J227" s="16" t="n">
        <v>0</v>
      </c>
      <c r="K227" s="16" t="n">
        <v>0</v>
      </c>
    </row>
    <row r="228">
      <c r="A228" s="15" t="inlineStr">
        <is>
          <t>14 Jun</t>
        </is>
      </c>
      <c r="B228" s="15" t="inlineStr">
        <is>
          <t>39331</t>
        </is>
      </c>
      <c r="C228" s="16" t="n">
        <v>0</v>
      </c>
      <c r="D228" s="17" t="n">
        <v>453.19</v>
      </c>
      <c r="E228" s="18" t="n">
        <v>20357</v>
      </c>
      <c r="F228" s="18" t="n">
        <v>20494</v>
      </c>
      <c r="G228" s="19">
        <f>IF(F228=0,0,E228/F228*100)</f>
        <v/>
      </c>
      <c r="H228" s="16" t="n">
        <v>1</v>
      </c>
      <c r="I228" s="16" t="n">
        <v>0</v>
      </c>
      <c r="J228" s="16" t="n">
        <v>1</v>
      </c>
      <c r="K228" s="16" t="n">
        <v>6</v>
      </c>
    </row>
    <row r="229">
      <c r="A229" s="15" t="inlineStr">
        <is>
          <t>14 Jun</t>
        </is>
      </c>
      <c r="B229" s="15" t="inlineStr">
        <is>
          <t>30339</t>
        </is>
      </c>
      <c r="C229" s="16" t="n">
        <v>0</v>
      </c>
      <c r="D229" s="17" t="n">
        <v>321.48</v>
      </c>
      <c r="E229" s="18" t="n">
        <v>19929</v>
      </c>
      <c r="F229" s="18" t="n">
        <v>20059</v>
      </c>
      <c r="G229" s="19">
        <f>IF(F229=0,0,E229/F229*100)</f>
        <v/>
      </c>
      <c r="H229" s="16" t="n">
        <v>0</v>
      </c>
      <c r="I229" s="16" t="n">
        <v>0</v>
      </c>
      <c r="J229" s="16" t="n">
        <v>0</v>
      </c>
      <c r="K229" s="16" t="n">
        <v>5</v>
      </c>
    </row>
    <row r="230">
      <c r="A230" s="15" t="inlineStr">
        <is>
          <t>14 Jun</t>
        </is>
      </c>
      <c r="B230" s="15" t="inlineStr">
        <is>
          <t>37163</t>
        </is>
      </c>
      <c r="C230" s="16" t="n">
        <v>0</v>
      </c>
      <c r="D230" s="17" t="n">
        <v>470.61</v>
      </c>
      <c r="E230" s="18" t="n">
        <v>18895</v>
      </c>
      <c r="F230" s="18" t="n">
        <v>18975</v>
      </c>
      <c r="G230" s="19">
        <f>IF(F230=0,0,E230/F230*100)</f>
        <v/>
      </c>
      <c r="H230" s="16" t="n">
        <v>0</v>
      </c>
      <c r="I230" s="16" t="n">
        <v>0</v>
      </c>
      <c r="J230" s="16" t="n">
        <v>0</v>
      </c>
      <c r="K230" s="16" t="n">
        <v>1</v>
      </c>
    </row>
    <row r="231">
      <c r="A231" s="15" t="inlineStr">
        <is>
          <t>14 Jun</t>
        </is>
      </c>
      <c r="B231" s="15" t="inlineStr">
        <is>
          <t>30460</t>
        </is>
      </c>
      <c r="C231" s="16" t="n">
        <v>0</v>
      </c>
      <c r="D231" s="17" t="n">
        <v>512.54</v>
      </c>
      <c r="E231" s="18" t="n">
        <v>18194</v>
      </c>
      <c r="F231" s="18" t="n">
        <v>18199</v>
      </c>
      <c r="G231" s="19">
        <f>IF(F231=0,0,E231/F231*100)</f>
        <v/>
      </c>
      <c r="H231" s="16" t="n">
        <v>0</v>
      </c>
      <c r="I231" s="16" t="n">
        <v>0</v>
      </c>
      <c r="J231" s="16" t="n">
        <v>0</v>
      </c>
      <c r="K231" s="16" t="n">
        <v>0</v>
      </c>
    </row>
    <row r="232">
      <c r="A232" s="15" t="inlineStr">
        <is>
          <t>14 Jun</t>
        </is>
      </c>
      <c r="B232" s="15" t="inlineStr">
        <is>
          <t>37355</t>
        </is>
      </c>
      <c r="C232" s="16" t="n">
        <v>0</v>
      </c>
      <c r="D232" s="17" t="n">
        <v>248.88</v>
      </c>
      <c r="E232" s="18" t="n">
        <v>17875</v>
      </c>
      <c r="F232" s="18" t="n">
        <v>17931</v>
      </c>
      <c r="G232" s="19">
        <f>IF(F232=0,0,E232/F232*100)</f>
        <v/>
      </c>
      <c r="H232" s="16" t="n">
        <v>0</v>
      </c>
      <c r="I232" s="16" t="n">
        <v>0</v>
      </c>
      <c r="J232" s="16" t="n">
        <v>0</v>
      </c>
      <c r="K232" s="16" t="n">
        <v>0</v>
      </c>
    </row>
    <row r="233">
      <c r="A233" s="15" t="inlineStr">
        <is>
          <t>14 Jun</t>
        </is>
      </c>
      <c r="B233" s="15" t="inlineStr">
        <is>
          <t>37266</t>
        </is>
      </c>
      <c r="C233" s="16" t="n">
        <v>0</v>
      </c>
      <c r="D233" s="17" t="n">
        <v>527.13</v>
      </c>
      <c r="E233" s="18" t="n">
        <v>17407</v>
      </c>
      <c r="F233" s="18" t="n">
        <v>17407</v>
      </c>
      <c r="G233" s="19">
        <f>IF(F233=0,0,E233/F233*100)</f>
        <v/>
      </c>
      <c r="H233" s="16" t="n">
        <v>0</v>
      </c>
      <c r="I233" s="16" t="n">
        <v>0</v>
      </c>
      <c r="J233" s="16" t="n">
        <v>0</v>
      </c>
      <c r="K233" s="16" t="n">
        <v>0</v>
      </c>
    </row>
    <row r="234">
      <c r="A234" s="15" t="inlineStr">
        <is>
          <t>14 Jun</t>
        </is>
      </c>
      <c r="B234" s="15" t="inlineStr">
        <is>
          <t>37793</t>
        </is>
      </c>
      <c r="C234" s="16" t="n">
        <v>0</v>
      </c>
      <c r="D234" s="17" t="n">
        <v>329.4</v>
      </c>
      <c r="E234" s="18" t="n">
        <v>14344</v>
      </c>
      <c r="F234" s="18" t="n">
        <v>14579</v>
      </c>
      <c r="G234" s="19">
        <f>IF(F234=0,0,E234/F234*100)</f>
        <v/>
      </c>
      <c r="H234" s="16" t="n">
        <v>0</v>
      </c>
      <c r="I234" s="16" t="n">
        <v>0</v>
      </c>
      <c r="J234" s="16" t="n">
        <v>0</v>
      </c>
      <c r="K234" s="16" t="n">
        <v>0</v>
      </c>
    </row>
    <row r="235">
      <c r="A235" s="15" t="inlineStr">
        <is>
          <t>14 Jun</t>
        </is>
      </c>
      <c r="B235" s="15" t="inlineStr">
        <is>
          <t>30464</t>
        </is>
      </c>
      <c r="C235" s="16" t="n">
        <v>0</v>
      </c>
      <c r="D235" s="17" t="n">
        <v>319.23</v>
      </c>
      <c r="E235" s="18" t="n">
        <v>13724</v>
      </c>
      <c r="F235" s="18" t="n">
        <v>13958</v>
      </c>
      <c r="G235" s="19">
        <f>IF(F235=0,0,E235/F235*100)</f>
        <v/>
      </c>
      <c r="H235" s="16" t="n">
        <v>0</v>
      </c>
      <c r="I235" s="16" t="n">
        <v>0</v>
      </c>
      <c r="J235" s="16" t="n">
        <v>0</v>
      </c>
      <c r="K235" s="16" t="n">
        <v>2</v>
      </c>
    </row>
    <row r="236">
      <c r="A236" s="15" t="inlineStr">
        <is>
          <t>14 Jun</t>
        </is>
      </c>
      <c r="B236" s="15" t="inlineStr">
        <is>
          <t>37471</t>
        </is>
      </c>
      <c r="C236" s="16" t="n">
        <v>0</v>
      </c>
      <c r="D236" s="17" t="n">
        <v>329.67</v>
      </c>
      <c r="E236" s="18" t="n">
        <v>13204</v>
      </c>
      <c r="F236" s="18" t="n">
        <v>13500</v>
      </c>
      <c r="G236" s="19">
        <f>IF(F236=0,0,E236/F236*100)</f>
        <v/>
      </c>
      <c r="H236" s="16" t="n">
        <v>0</v>
      </c>
      <c r="I236" s="16" t="n">
        <v>0</v>
      </c>
      <c r="J236" s="16" t="n">
        <v>0</v>
      </c>
      <c r="K236" s="16" t="n">
        <v>0</v>
      </c>
    </row>
    <row r="237">
      <c r="A237" s="15" t="inlineStr">
        <is>
          <t>14 Jun</t>
        </is>
      </c>
      <c r="B237" s="15" t="inlineStr">
        <is>
          <t>30488</t>
        </is>
      </c>
      <c r="C237" s="16" t="n">
        <v>0</v>
      </c>
      <c r="D237" s="17" t="n">
        <v>321.72</v>
      </c>
      <c r="E237" s="18" t="n">
        <v>12260</v>
      </c>
      <c r="F237" s="18" t="n">
        <v>12304</v>
      </c>
      <c r="G237" s="19">
        <f>IF(F237=0,0,E237/F237*100)</f>
        <v/>
      </c>
      <c r="H237" s="16" t="n">
        <v>0</v>
      </c>
      <c r="I237" s="16" t="n">
        <v>0</v>
      </c>
      <c r="J237" s="16" t="n">
        <v>0</v>
      </c>
      <c r="K237" s="16" t="n">
        <v>1</v>
      </c>
    </row>
    <row r="238">
      <c r="A238" s="15" t="inlineStr">
        <is>
          <t>14 Jun</t>
        </is>
      </c>
      <c r="B238" s="15" t="inlineStr">
        <is>
          <t>30335</t>
        </is>
      </c>
      <c r="C238" s="16" t="n">
        <v>0</v>
      </c>
      <c r="D238" s="17" t="n">
        <v>318.79</v>
      </c>
      <c r="E238" s="18" t="n">
        <v>11152</v>
      </c>
      <c r="F238" s="18" t="n">
        <v>11207</v>
      </c>
      <c r="G238" s="19">
        <f>IF(F238=0,0,E238/F238*100)</f>
        <v/>
      </c>
      <c r="H238" s="16" t="n">
        <v>0</v>
      </c>
      <c r="I238" s="16" t="n">
        <v>0</v>
      </c>
      <c r="J238" s="16" t="n">
        <v>0</v>
      </c>
      <c r="K238" s="16" t="n">
        <v>2</v>
      </c>
    </row>
    <row r="239">
      <c r="A239" s="15" t="inlineStr">
        <is>
          <t>14 Jun</t>
        </is>
      </c>
      <c r="B239" s="15" t="inlineStr">
        <is>
          <t>37063</t>
        </is>
      </c>
      <c r="C239" s="16" t="n">
        <v>0</v>
      </c>
      <c r="D239" s="17" t="n">
        <v>170.69</v>
      </c>
      <c r="E239" s="18" t="n">
        <v>10481</v>
      </c>
      <c r="F239" s="18" t="n">
        <v>10491</v>
      </c>
      <c r="G239" s="19">
        <f>IF(F239=0,0,E239/F239*100)</f>
        <v/>
      </c>
      <c r="H239" s="16" t="n">
        <v>0</v>
      </c>
      <c r="I239" s="16" t="n">
        <v>0</v>
      </c>
      <c r="J239" s="16" t="n">
        <v>0</v>
      </c>
      <c r="K239" s="16" t="n">
        <v>0</v>
      </c>
    </row>
    <row r="240">
      <c r="A240" s="15" t="inlineStr">
        <is>
          <t>14 Jun</t>
        </is>
      </c>
      <c r="B240" s="15" t="inlineStr">
        <is>
          <t>39014</t>
        </is>
      </c>
      <c r="C240" s="16" t="n">
        <v>0</v>
      </c>
      <c r="D240" s="17" t="n">
        <v>150.48</v>
      </c>
      <c r="E240" s="18" t="n">
        <v>10005</v>
      </c>
      <c r="F240" s="18" t="n">
        <v>10097</v>
      </c>
      <c r="G240" s="19">
        <f>IF(F240=0,0,E240/F240*100)</f>
        <v/>
      </c>
      <c r="H240" s="16" t="n">
        <v>0</v>
      </c>
      <c r="I240" s="16" t="n">
        <v>0</v>
      </c>
      <c r="J240" s="16" t="n">
        <v>0</v>
      </c>
      <c r="K240" s="16" t="n">
        <v>2</v>
      </c>
    </row>
    <row r="241">
      <c r="A241" s="15" t="inlineStr">
        <is>
          <t>14 Jun</t>
        </is>
      </c>
      <c r="B241" s="15" t="inlineStr">
        <is>
          <t>37035</t>
        </is>
      </c>
      <c r="C241" s="16" t="n">
        <v>0</v>
      </c>
      <c r="D241" s="17" t="n">
        <v>108.53</v>
      </c>
      <c r="E241" s="18" t="n">
        <v>9304</v>
      </c>
      <c r="F241" s="18" t="n">
        <v>9424</v>
      </c>
      <c r="G241" s="19">
        <f>IF(F241=0,0,E241/F241*100)</f>
        <v/>
      </c>
      <c r="H241" s="16" t="n">
        <v>0</v>
      </c>
      <c r="I241" s="16" t="n">
        <v>0</v>
      </c>
      <c r="J241" s="16" t="n">
        <v>0</v>
      </c>
      <c r="K241" s="16" t="n">
        <v>3</v>
      </c>
    </row>
    <row r="242">
      <c r="A242" s="15" t="inlineStr">
        <is>
          <t>14 Jun</t>
        </is>
      </c>
      <c r="B242" s="15" t="inlineStr">
        <is>
          <t>39199</t>
        </is>
      </c>
      <c r="C242" s="16" t="n">
        <v>0</v>
      </c>
      <c r="D242" s="17" t="n">
        <v>166.57</v>
      </c>
      <c r="E242" s="18" t="n">
        <v>6845</v>
      </c>
      <c r="F242" s="18" t="n">
        <v>6938</v>
      </c>
      <c r="G242" s="19">
        <f>IF(F242=0,0,E242/F242*100)</f>
        <v/>
      </c>
      <c r="H242" s="16" t="n">
        <v>0</v>
      </c>
      <c r="I242" s="16" t="n">
        <v>0</v>
      </c>
      <c r="J242" s="16" t="n">
        <v>0</v>
      </c>
      <c r="K242" s="16" t="n">
        <v>2</v>
      </c>
    </row>
    <row r="243">
      <c r="A243" s="15" t="inlineStr">
        <is>
          <t>14 Jun</t>
        </is>
      </c>
      <c r="B243" s="15" t="inlineStr">
        <is>
          <t>37322</t>
        </is>
      </c>
      <c r="C243" s="16" t="n">
        <v>0</v>
      </c>
      <c r="D243" s="17" t="n">
        <v>167.13</v>
      </c>
      <c r="E243" s="18" t="n">
        <v>6642</v>
      </c>
      <c r="F243" s="18" t="n">
        <v>6683</v>
      </c>
      <c r="G243" s="19">
        <f>IF(F243=0,0,E243/F243*100)</f>
        <v/>
      </c>
      <c r="H243" s="16" t="n">
        <v>0</v>
      </c>
      <c r="I243" s="16" t="n">
        <v>0</v>
      </c>
      <c r="J243" s="16" t="n">
        <v>0</v>
      </c>
      <c r="K243" s="16" t="n">
        <v>4</v>
      </c>
    </row>
    <row r="244">
      <c r="A244" s="15" t="inlineStr">
        <is>
          <t>14 Jun</t>
        </is>
      </c>
      <c r="B244" s="15" t="inlineStr">
        <is>
          <t>30397</t>
        </is>
      </c>
      <c r="C244" s="16" t="n">
        <v>0</v>
      </c>
      <c r="D244" s="17" t="n">
        <v>97.17</v>
      </c>
      <c r="E244" s="18" t="n">
        <v>6002</v>
      </c>
      <c r="F244" s="18" t="n">
        <v>6074</v>
      </c>
      <c r="G244" s="19">
        <f>IF(F244=0,0,E244/F244*100)</f>
        <v/>
      </c>
      <c r="H244" s="16" t="n">
        <v>0</v>
      </c>
      <c r="I244" s="16" t="n">
        <v>0</v>
      </c>
      <c r="J244" s="16" t="n">
        <v>0</v>
      </c>
      <c r="K244" s="16" t="n">
        <v>2</v>
      </c>
    </row>
    <row r="245">
      <c r="A245" s="15" t="inlineStr">
        <is>
          <t>14 Jun</t>
        </is>
      </c>
      <c r="B245" s="15" t="inlineStr">
        <is>
          <t>39125</t>
        </is>
      </c>
      <c r="C245" s="16" t="n">
        <v>0</v>
      </c>
      <c r="D245" s="17" t="n">
        <v>283.67</v>
      </c>
      <c r="E245" s="18" t="n">
        <v>0</v>
      </c>
      <c r="F245" s="18" t="n">
        <v>4871</v>
      </c>
      <c r="G245" s="19">
        <f>IF(F245=0,0,E245/F245*100)</f>
        <v/>
      </c>
      <c r="H245" s="16" t="n">
        <v>0</v>
      </c>
      <c r="I245" s="16" t="n">
        <v>0</v>
      </c>
      <c r="J245" s="16" t="n">
        <v>0</v>
      </c>
      <c r="K245" s="16" t="n">
        <v>0</v>
      </c>
    </row>
    <row r="246">
      <c r="A246" s="15" t="inlineStr">
        <is>
          <t>14 Jun</t>
        </is>
      </c>
      <c r="B246" s="15" t="inlineStr">
        <is>
          <t>39421</t>
        </is>
      </c>
      <c r="C246" s="16" t="n">
        <v>0</v>
      </c>
      <c r="D246" s="17" t="n">
        <v>100.22</v>
      </c>
      <c r="E246" s="18" t="n">
        <v>3477</v>
      </c>
      <c r="F246" s="18" t="n">
        <v>4031</v>
      </c>
      <c r="G246" s="19">
        <f>IF(F246=0,0,E246/F246*100)</f>
        <v/>
      </c>
      <c r="H246" s="16" t="n">
        <v>0</v>
      </c>
      <c r="I246" s="16" t="n">
        <v>0</v>
      </c>
      <c r="J246" s="16" t="n">
        <v>0</v>
      </c>
      <c r="K246" s="16" t="n">
        <v>3</v>
      </c>
    </row>
    <row r="247">
      <c r="A247" s="15" t="inlineStr">
        <is>
          <t>14 Jun</t>
        </is>
      </c>
      <c r="B247" s="15" t="inlineStr">
        <is>
          <t>39072</t>
        </is>
      </c>
      <c r="C247" s="16" t="n">
        <v>0</v>
      </c>
      <c r="D247" s="17" t="n">
        <v>166.01</v>
      </c>
      <c r="E247" s="18" t="n">
        <v>3563</v>
      </c>
      <c r="F247" s="18" t="n">
        <v>3829</v>
      </c>
      <c r="G247" s="19">
        <f>IF(F247=0,0,E247/F247*100)</f>
        <v/>
      </c>
      <c r="H247" s="16" t="n">
        <v>0</v>
      </c>
      <c r="I247" s="16" t="n">
        <v>0</v>
      </c>
      <c r="J247" s="16" t="n">
        <v>0</v>
      </c>
      <c r="K247" s="16" t="n">
        <v>3</v>
      </c>
    </row>
    <row r="248">
      <c r="A248" s="15" t="inlineStr">
        <is>
          <t>14 Jun</t>
        </is>
      </c>
      <c r="B248" s="15" t="inlineStr">
        <is>
          <t>39340</t>
        </is>
      </c>
      <c r="C248" s="16" t="n">
        <v>0</v>
      </c>
      <c r="D248" s="17" t="n">
        <v>89.63</v>
      </c>
      <c r="E248" s="18" t="n">
        <v>1961</v>
      </c>
      <c r="F248" s="18" t="n">
        <v>2884</v>
      </c>
      <c r="G248" s="19">
        <f>IF(F248=0,0,E248/F248*100)</f>
        <v/>
      </c>
      <c r="H248" s="16" t="n">
        <v>0</v>
      </c>
      <c r="I248" s="16" t="n">
        <v>0</v>
      </c>
      <c r="J248" s="16" t="n">
        <v>0</v>
      </c>
      <c r="K248" s="16" t="n">
        <v>0</v>
      </c>
    </row>
    <row r="249">
      <c r="A249" s="15" t="inlineStr">
        <is>
          <t>14 Jun</t>
        </is>
      </c>
      <c r="B249" s="15" t="inlineStr">
        <is>
          <t>39530</t>
        </is>
      </c>
      <c r="C249" s="16" t="n">
        <v>0</v>
      </c>
      <c r="D249" s="17" t="n">
        <v>14.38</v>
      </c>
      <c r="E249" s="18" t="n">
        <v>2315</v>
      </c>
      <c r="F249" s="18" t="n">
        <v>2732</v>
      </c>
      <c r="G249" s="19">
        <f>IF(F249=0,0,E249/F249*100)</f>
        <v/>
      </c>
      <c r="H249" s="16" t="n">
        <v>0</v>
      </c>
      <c r="I249" s="16" t="n">
        <v>0</v>
      </c>
      <c r="J249" s="16" t="n">
        <v>0</v>
      </c>
      <c r="K249" s="16" t="n">
        <v>0</v>
      </c>
    </row>
    <row r="250">
      <c r="A250" s="15" t="inlineStr">
        <is>
          <t>14 Jun</t>
        </is>
      </c>
      <c r="B250" s="15" t="inlineStr">
        <is>
          <t>30716</t>
        </is>
      </c>
      <c r="C250" s="16" t="n">
        <v>0</v>
      </c>
      <c r="D250" s="17" t="n">
        <v>14.78</v>
      </c>
      <c r="E250" s="18" t="n">
        <v>654</v>
      </c>
      <c r="F250" s="18" t="n">
        <v>2553</v>
      </c>
      <c r="G250" s="19">
        <f>IF(F250=0,0,E250/F250*100)</f>
        <v/>
      </c>
      <c r="H250" s="16" t="n">
        <v>0</v>
      </c>
      <c r="I250" s="16" t="n">
        <v>0</v>
      </c>
      <c r="J250" s="16" t="n">
        <v>0</v>
      </c>
      <c r="K250" s="16" t="n">
        <v>0</v>
      </c>
    </row>
    <row r="251">
      <c r="A251" s="15" t="inlineStr">
        <is>
          <t>14 Jun</t>
        </is>
      </c>
      <c r="B251" s="15" t="inlineStr">
        <is>
          <t>37629</t>
        </is>
      </c>
      <c r="C251" s="16" t="n">
        <v>0</v>
      </c>
      <c r="D251" s="17" t="n">
        <v>105.22</v>
      </c>
      <c r="E251" s="18" t="n">
        <v>0</v>
      </c>
      <c r="F251" s="18" t="n">
        <v>2437</v>
      </c>
      <c r="G251" s="19">
        <f>IF(F251=0,0,E251/F251*100)</f>
        <v/>
      </c>
      <c r="H251" s="16" t="n">
        <v>0</v>
      </c>
      <c r="I251" s="16" t="n">
        <v>0</v>
      </c>
      <c r="J251" s="16" t="n">
        <v>0</v>
      </c>
      <c r="K251" s="16" t="n">
        <v>0</v>
      </c>
    </row>
    <row r="252">
      <c r="A252" s="15" t="inlineStr">
        <is>
          <t>14 Jun</t>
        </is>
      </c>
      <c r="B252" s="15" t="inlineStr">
        <is>
          <t>37054</t>
        </is>
      </c>
      <c r="C252" s="16" t="n">
        <v>0</v>
      </c>
      <c r="D252" s="17" t="n">
        <v>31.24</v>
      </c>
      <c r="E252" s="18" t="n">
        <v>243</v>
      </c>
      <c r="F252" s="18" t="n">
        <v>1514</v>
      </c>
      <c r="G252" s="19">
        <f>IF(F252=0,0,E252/F252*100)</f>
        <v/>
      </c>
      <c r="H252" s="16" t="n">
        <v>0</v>
      </c>
      <c r="I252" s="16" t="n">
        <v>0</v>
      </c>
      <c r="J252" s="16" t="n">
        <v>0</v>
      </c>
      <c r="K252" s="16" t="n">
        <v>0</v>
      </c>
    </row>
    <row r="253">
      <c r="A253" s="15" t="inlineStr">
        <is>
          <t>14 Jun</t>
        </is>
      </c>
      <c r="B253" s="15" t="inlineStr">
        <is>
          <t>30608</t>
        </is>
      </c>
      <c r="C253" s="16" t="n">
        <v>0</v>
      </c>
      <c r="D253" s="17" t="n">
        <v>2.31</v>
      </c>
      <c r="E253" s="18" t="n">
        <v>554</v>
      </c>
      <c r="F253" s="18" t="n">
        <v>1467</v>
      </c>
      <c r="G253" s="19">
        <f>IF(F253=0,0,E253/F253*100)</f>
        <v/>
      </c>
      <c r="H253" s="16" t="n">
        <v>0</v>
      </c>
      <c r="I253" s="16" t="n">
        <v>0</v>
      </c>
      <c r="J253" s="16" t="n">
        <v>0</v>
      </c>
      <c r="K253" s="16" t="n">
        <v>2</v>
      </c>
    </row>
    <row r="254">
      <c r="A254" s="15" t="inlineStr">
        <is>
          <t>14 Jun</t>
        </is>
      </c>
      <c r="B254" s="15" t="inlineStr">
        <is>
          <t>30334</t>
        </is>
      </c>
      <c r="C254" s="16" t="n">
        <v>0</v>
      </c>
      <c r="D254" s="17" t="n">
        <v>30.46</v>
      </c>
      <c r="E254" s="18" t="n">
        <v>1129</v>
      </c>
      <c r="F254" s="18" t="n">
        <v>1163</v>
      </c>
      <c r="G254" s="19">
        <f>IF(F254=0,0,E254/F254*100)</f>
        <v/>
      </c>
      <c r="H254" s="16" t="n">
        <v>0</v>
      </c>
      <c r="I254" s="16" t="n">
        <v>0</v>
      </c>
      <c r="J254" s="16" t="n">
        <v>0</v>
      </c>
      <c r="K254" s="16" t="n">
        <v>0</v>
      </c>
    </row>
    <row r="255">
      <c r="A255" s="15" t="inlineStr">
        <is>
          <t>14 Jun</t>
        </is>
      </c>
      <c r="B255" s="15" t="inlineStr">
        <is>
          <t>39403</t>
        </is>
      </c>
      <c r="C255" s="16" t="n">
        <v>0</v>
      </c>
      <c r="D255" s="17" t="n">
        <v>29.9</v>
      </c>
      <c r="E255" s="18" t="n">
        <v>315</v>
      </c>
      <c r="F255" s="18" t="n">
        <v>355</v>
      </c>
      <c r="G255" s="19">
        <f>IF(F255=0,0,E255/F255*100)</f>
        <v/>
      </c>
      <c r="H255" s="16" t="n">
        <v>0</v>
      </c>
      <c r="I255" s="16" t="n">
        <v>0</v>
      </c>
      <c r="J255" s="16" t="n">
        <v>0</v>
      </c>
      <c r="K255" s="16" t="n">
        <v>0</v>
      </c>
    </row>
    <row r="256">
      <c r="A256" s="15" t="inlineStr">
        <is>
          <t>14 Jun</t>
        </is>
      </c>
      <c r="B256" s="15" t="inlineStr">
        <is>
          <t>37466</t>
        </is>
      </c>
      <c r="C256" s="16" t="n">
        <v>0</v>
      </c>
      <c r="D256" s="17" t="n">
        <v>327.47</v>
      </c>
      <c r="E256" s="18" t="n">
        <v>0</v>
      </c>
      <c r="F256" s="18" t="n">
        <v>253</v>
      </c>
      <c r="G256" s="19">
        <f>IF(F256=0,0,E256/F256*100)</f>
        <v/>
      </c>
      <c r="H256" s="16" t="n">
        <v>0</v>
      </c>
      <c r="I256" s="16" t="n">
        <v>0</v>
      </c>
      <c r="J256" s="16" t="n">
        <v>0</v>
      </c>
      <c r="K256" s="16" t="n">
        <v>0</v>
      </c>
    </row>
    <row r="257">
      <c r="A257" s="15" t="inlineStr">
        <is>
          <t>14 Jun</t>
        </is>
      </c>
      <c r="B257" s="15" t="inlineStr">
        <is>
          <t>39500</t>
        </is>
      </c>
      <c r="C257" s="16" t="n">
        <v>0</v>
      </c>
      <c r="D257" s="17" t="n">
        <v>79.23</v>
      </c>
      <c r="E257" s="18" t="n">
        <v>0</v>
      </c>
      <c r="F257" s="18" t="n">
        <v>87</v>
      </c>
      <c r="G257" s="19">
        <f>IF(F257=0,0,E257/F257*100)</f>
        <v/>
      </c>
      <c r="H257" s="16" t="n">
        <v>0</v>
      </c>
      <c r="I257" s="16" t="n">
        <v>0</v>
      </c>
      <c r="J257" s="16" t="n">
        <v>0</v>
      </c>
      <c r="K257" s="16" t="n">
        <v>0</v>
      </c>
    </row>
    <row r="258">
      <c r="A258" s="15" t="inlineStr">
        <is>
          <t>14 Jun</t>
        </is>
      </c>
      <c r="B258" s="15" t="inlineStr">
        <is>
          <t>39155</t>
        </is>
      </c>
      <c r="C258" s="16" t="n">
        <v>0</v>
      </c>
      <c r="D258" s="17" t="n">
        <v>72.78</v>
      </c>
      <c r="E258" s="18" t="n">
        <v>0</v>
      </c>
      <c r="F258" s="18" t="n">
        <v>49</v>
      </c>
      <c r="G258" s="19">
        <f>IF(F258=0,0,E258/F258*100)</f>
        <v/>
      </c>
      <c r="H258" s="16" t="n">
        <v>0</v>
      </c>
      <c r="I258" s="16" t="n">
        <v>0</v>
      </c>
      <c r="J258" s="16" t="n">
        <v>0</v>
      </c>
      <c r="K258" s="16" t="n">
        <v>0</v>
      </c>
    </row>
    <row r="259">
      <c r="A259" s="15" t="inlineStr">
        <is>
          <t>14 Jun</t>
        </is>
      </c>
      <c r="B259" s="15" t="inlineStr">
        <is>
          <t>30006</t>
        </is>
      </c>
      <c r="C259" s="16" t="n">
        <v>0</v>
      </c>
      <c r="D259" s="17" t="n">
        <v>6.44</v>
      </c>
      <c r="E259" s="18" t="n">
        <v>0</v>
      </c>
      <c r="F259" s="18" t="n">
        <v>33</v>
      </c>
      <c r="G259" s="19">
        <f>IF(F259=0,0,E259/F259*100)</f>
        <v/>
      </c>
      <c r="H259" s="16" t="n">
        <v>0</v>
      </c>
      <c r="I259" s="16" t="n">
        <v>0</v>
      </c>
      <c r="J259" s="16" t="n">
        <v>0</v>
      </c>
      <c r="K259" s="16" t="n">
        <v>0</v>
      </c>
    </row>
    <row r="260">
      <c r="A260" s="20" t="inlineStr">
        <is>
          <t>14 Jun</t>
        </is>
      </c>
      <c r="B260" s="20" t="inlineStr">
        <is>
          <t>Day Total</t>
        </is>
      </c>
      <c r="C260" s="21">
        <f>SUM(C220:C259)</f>
        <v/>
      </c>
      <c r="D260" s="22">
        <f>SUM(D220:D259)</f>
        <v/>
      </c>
      <c r="E260" s="23">
        <f>SUM(E220:E259)</f>
        <v/>
      </c>
      <c r="F260" s="23">
        <f>SUM(F220:F259)</f>
        <v/>
      </c>
      <c r="G260" s="24">
        <f>IF(F260=0,0,E260/F260*100)</f>
        <v/>
      </c>
      <c r="H260" s="21">
        <f>SUM(H220:H259)</f>
        <v/>
      </c>
      <c r="I260" s="21">
        <f>SUM(I220:I259)</f>
        <v/>
      </c>
      <c r="J260" s="21">
        <f>SUM(J220:J259)</f>
        <v/>
      </c>
      <c r="K260" s="21">
        <f>SUM(K220:K259)</f>
        <v/>
      </c>
    </row>
    <row r="261">
      <c r="A261" s="25" t="inlineStr">
        <is>
          <t>GRAND TOTAL</t>
        </is>
      </c>
      <c r="B261" s="25" t="n"/>
      <c r="C261" s="26">
        <f>C43+C81+C124+C155+C188+C219+C260</f>
        <v/>
      </c>
      <c r="D261" s="27">
        <f>D43+D81+D124+D155+D188+D219+D260</f>
        <v/>
      </c>
      <c r="E261" s="28">
        <f>E43+E81+E124+E155+E188+E219+E260</f>
        <v/>
      </c>
      <c r="F261" s="28">
        <f>F43+F81+F124+F155+F188+F219+F260</f>
        <v/>
      </c>
      <c r="G261" s="29">
        <f>IF(F261=0,0,E261/F261*100)</f>
        <v/>
      </c>
      <c r="H261" s="26">
        <f>H43+H81+H124+H155+H188+H219+H260</f>
        <v/>
      </c>
      <c r="I261" s="26">
        <f>I43+I81+I124+I155+I188+I219+I260</f>
        <v/>
      </c>
      <c r="J261" s="26">
        <f>J43+J81+J124+J155+J188+J219+J260</f>
        <v/>
      </c>
      <c r="K261" s="26">
        <f>K43+K81+K124+K155+K188+K219+K260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  <col width="56" customWidth="1" min="13" max="13"/>
    <col width="26" customWidth="1" min="14" max="14"/>
    <col width="13" customWidth="1" min="15" max="15"/>
    <col width="46" customWidth="1" min="16" max="16"/>
    <col width="20" customWidth="1" min="17" max="17"/>
    <col width="20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25   ·   Valid trips = 1   ·   Non-valid trips = 24   ·   Undesirable = 18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 ht="184" customHeight="1">
      <c r="A6" s="31" t="inlineStr">
        <is>
          <t>8 Jun</t>
        </is>
      </c>
      <c r="B6" s="31" t="inlineStr">
        <is>
          <t>30572</t>
        </is>
      </c>
      <c r="C6" s="31" t="inlineStr">
        <is>
          <t>Non-Valid</t>
        </is>
      </c>
      <c r="D6" s="31" t="inlineStr">
        <is>
          <t>00:45:34</t>
        </is>
      </c>
      <c r="E6" s="31" t="inlineStr">
        <is>
          <t>00:45:48</t>
        </is>
      </c>
      <c r="F6" s="31" t="n">
        <v>14</v>
      </c>
      <c r="G6" s="31" t="n">
        <v>8</v>
      </c>
      <c r="H6" s="31" t="n">
        <v>27</v>
      </c>
      <c r="I6" s="31" t="inlineStr">
        <is>
          <t>SR</t>
        </is>
      </c>
      <c r="J6" s="32" t="n">
        <v>1169.95</v>
      </c>
      <c r="K6" s="31" t="inlineStr">
        <is>
          <t>U</t>
        </is>
      </c>
      <c r="L6" s="31" t="inlineStr">
        <is>
          <t>Bayana Jn.(BXN)</t>
        </is>
      </c>
      <c r="M6" s="33" t="inlineStr">
        <is>
          <t>27 km/h</t>
        </is>
      </c>
      <c r="N6" s="33" t="inlineStr">
        <is>
          <t>6787</t>
        </is>
      </c>
      <c r="O6" s="31" t="inlineStr">
        <is>
          <t>-</t>
        </is>
      </c>
      <c r="P6" s="34" t="inlineStr">
        <is>
          <t>FS-&gt;SR degradation + EB</t>
        </is>
      </c>
      <c r="Q6" s="33" t="inlineStr">
        <is>
          <t>Route: entry ? → exit DID.
Condition: no interlocked route resolved at this approach — points/tracks not determined.
Loco: loco 3010 m short of DID (sig abs 1166945); EB onset 00:45:34 at 27 km/h; halt 00:45:48.</t>
        </is>
      </c>
      <c r="R6" s="33" t="inlineStr">
        <is>
          <t>• At 00:45:05 on 08/06/2026, the approach signal DID showed YELLOW (Y) in the field / YELLOW (Y) on the DMI (field and DMI agree).</t>
        </is>
      </c>
      <c r="S6" s="31" t="inlineStr">
        <is>
          <t>Medha/Kernex</t>
        </is>
      </c>
    </row>
    <row r="7" ht="244" customHeight="1">
      <c r="A7" s="31" t="inlineStr">
        <is>
          <t>8 Jun</t>
        </is>
      </c>
      <c r="B7" s="31" t="inlineStr">
        <is>
          <t>30572</t>
        </is>
      </c>
      <c r="C7" s="31" t="inlineStr">
        <is>
          <t>Non-Valid</t>
        </is>
      </c>
      <c r="D7" s="31" t="inlineStr">
        <is>
          <t>00:59:34</t>
        </is>
      </c>
      <c r="E7" s="31" t="inlineStr">
        <is>
          <t>01:00:24</t>
        </is>
      </c>
      <c r="F7" s="31" t="n">
        <v>50</v>
      </c>
      <c r="G7" s="31" t="n">
        <v>26</v>
      </c>
      <c r="H7" s="31" t="n">
        <v>130</v>
      </c>
      <c r="I7" s="31" t="inlineStr">
        <is>
          <t>SR</t>
        </is>
      </c>
      <c r="J7" s="32" t="n">
        <v>1189.76</v>
      </c>
      <c r="K7" s="31" t="inlineStr">
        <is>
          <t>U</t>
        </is>
      </c>
      <c r="L7" s="31" t="inlineStr">
        <is>
          <t>Pingora(PNGR)</t>
        </is>
      </c>
      <c r="M7" s="33" t="inlineStr">
        <is>
          <t>130 km/h</t>
        </is>
      </c>
      <c r="N7" s="33" t="inlineStr">
        <is>
          <t>6152</t>
        </is>
      </c>
      <c r="O7" s="31" t="inlineStr">
        <is>
          <t>-</t>
        </is>
      </c>
      <c r="P7" s="34" t="inlineStr">
        <is>
          <t>FS-&gt;SR degradation + EB</t>
        </is>
      </c>
      <c r="Q7" s="33" t="inlineStr">
        <is>
          <t>Route: entry ? → exit DD.
Condition: no interlocked route resolved at this approach — points/tracks not determined.
Loco: loco 2241 m short of DD (sig abs 1187519); EB onset 00:59:34 at 130 km/h; halt 01:00:24.</t>
        </is>
      </c>
      <c r="R7" s="33" t="inlineStr">
        <is>
          <t>• At 00:59:29:315, the approach signal DD was displaying GREEN (G) in the field but DOUBLE YELLOW (YY) on the DMI — a field/DMI aspect mismatch.
• At 00:59:32 on 08/06/2026, the approach signal DD showed DOUBLE YELLOW (YY) in the field / DOUBLE YELLOW (YY) on the DMI (field and DMI agree).</t>
        </is>
      </c>
      <c r="S7" s="31" t="inlineStr">
        <is>
          <t>Medha/Kernex</t>
        </is>
      </c>
    </row>
    <row r="8" ht="244" customHeight="1">
      <c r="A8" s="31" t="inlineStr">
        <is>
          <t>8 Jun</t>
        </is>
      </c>
      <c r="B8" s="31" t="inlineStr">
        <is>
          <t>37540</t>
        </is>
      </c>
      <c r="C8" s="31" t="inlineStr">
        <is>
          <t>Non-Valid</t>
        </is>
      </c>
      <c r="D8" s="31" t="inlineStr">
        <is>
          <t>03:23:50</t>
        </is>
      </c>
      <c r="E8" s="31" t="inlineStr">
        <is>
          <t>03:24:06</t>
        </is>
      </c>
      <c r="F8" s="31" t="n">
        <v>16</v>
      </c>
      <c r="G8" s="31" t="n">
        <v>5</v>
      </c>
      <c r="H8" s="31" t="n">
        <v>77</v>
      </c>
      <c r="I8" s="31" t="inlineStr">
        <is>
          <t>SR</t>
        </is>
      </c>
      <c r="J8" s="32" t="n">
        <v>946.89</v>
      </c>
      <c r="K8" s="31" t="inlineStr">
        <is>
          <t>N</t>
        </is>
      </c>
      <c r="L8" s="31" t="inlineStr">
        <is>
          <t>IBH-125</t>
        </is>
      </c>
      <c r="M8" s="33" t="inlineStr">
        <is>
          <t>77 km/h</t>
        </is>
      </c>
      <c r="N8" s="33" t="inlineStr">
        <is>
          <t>n/a</t>
        </is>
      </c>
      <c r="O8" s="31" t="inlineStr">
        <is>
          <t>-</t>
        </is>
      </c>
      <c r="P8" s="34" t="inlineStr">
        <is>
          <t>FS-&gt;SR degradation + EB</t>
        </is>
      </c>
      <c r="Q8" s="33" t="inlineStr">
        <is>
          <t>Route: entry ? → exit DNGATESIGS4.
Condition: no interlocked route resolved at this approach — points/tracks not determined.
Loco: loco 883 m short of DNGATESIGS4 (sig abs 947775); EB onset 03:23:50 at 77 km/h @ abs 946892 (883 m before DNGATESIGS4); halt 03:24:06 @ abs 947137 (638 m before DNGATESIGS4).</t>
        </is>
      </c>
      <c r="R8" s="33" t="inlineStr">
        <is>
          <t>• At 03:21:36 on 08/06/2026, the approach signal DNGATESIGS4 showed GREEN (G) in the field / GREEN (G) on the DMI (field and DMI agree).</t>
        </is>
      </c>
      <c r="S8" s="31" t="inlineStr">
        <is>
          <t>Medha/Kernex</t>
        </is>
      </c>
    </row>
    <row r="9" ht="34" customHeight="1">
      <c r="A9" s="31" t="inlineStr">
        <is>
          <t>8 Jun</t>
        </is>
      </c>
      <c r="B9" s="31" t="inlineStr">
        <is>
          <t>37885</t>
        </is>
      </c>
      <c r="C9" s="31" t="inlineStr">
        <is>
          <t>Non-Valid</t>
        </is>
      </c>
      <c r="D9" s="31" t="inlineStr">
        <is>
          <t>04:17:58</t>
        </is>
      </c>
      <c r="E9" s="31" t="inlineStr">
        <is>
          <t>04:18:58</t>
        </is>
      </c>
      <c r="F9" s="31" t="n">
        <v>60</v>
      </c>
      <c r="G9" s="31" t="n">
        <v>31</v>
      </c>
      <c r="H9" s="31" t="n">
        <v>5</v>
      </c>
      <c r="I9" s="31" t="inlineStr">
        <is>
          <t>TRIP</t>
        </is>
      </c>
      <c r="J9" s="32" t="n">
        <v>1091.17</v>
      </c>
      <c r="K9" s="31" t="inlineStr">
        <is>
          <t>N</t>
        </is>
      </c>
      <c r="L9" s="31" t="inlineStr">
        <is>
          <t>Gangapur City(GGC)</t>
        </is>
      </c>
      <c r="M9" s="33" t="inlineStr">
        <is>
          <t>5 km/h</t>
        </is>
      </c>
      <c r="N9" s="33" t="inlineStr">
        <is>
          <t>0
MA dropped from 1010 to 0.</t>
        </is>
      </c>
      <c r="O9" s="31" t="inlineStr">
        <is>
          <t>-</t>
        </is>
      </c>
      <c r="P9" s="34" t="inlineStr">
        <is>
          <t>Sudden MA drop; Trip mode</t>
        </is>
      </c>
      <c r="Q9" s="33" t="inlineStr">
        <is>
          <t>n/a (ahead signal not resolved)</t>
        </is>
      </c>
      <c r="R9" s="33" t="inlineStr">
        <is>
          <t>n/a</t>
        </is>
      </c>
      <c r="S9" s="31" t="inlineStr">
        <is>
          <t>Medha/Kernex</t>
        </is>
      </c>
    </row>
    <row r="10" ht="229" customHeight="1">
      <c r="A10" s="31" t="inlineStr">
        <is>
          <t>8 Jun</t>
        </is>
      </c>
      <c r="B10" s="31" t="inlineStr">
        <is>
          <t>37507</t>
        </is>
      </c>
      <c r="C10" s="31" t="inlineStr">
        <is>
          <t>Non-Valid</t>
        </is>
      </c>
      <c r="D10" s="31" t="inlineStr">
        <is>
          <t>12:24:22</t>
        </is>
      </c>
      <c r="E10" s="31" t="inlineStr">
        <is>
          <t>12:28:50</t>
        </is>
      </c>
      <c r="F10" s="31" t="n">
        <v>268</v>
      </c>
      <c r="G10" s="31" t="n">
        <v>132</v>
      </c>
      <c r="H10" s="31" t="n">
        <v>92</v>
      </c>
      <c r="I10" s="31" t="inlineStr">
        <is>
          <t>OS</t>
        </is>
      </c>
      <c r="J10" s="32" t="n">
        <v>944.08</v>
      </c>
      <c r="K10" s="31" t="inlineStr">
        <is>
          <t>N</t>
        </is>
      </c>
      <c r="L10" s="31" t="inlineStr">
        <is>
          <t>Arnetha(ARE)</t>
        </is>
      </c>
      <c r="M10" s="33" t="inlineStr">
        <is>
          <t>92 km/h</t>
        </is>
      </c>
      <c r="N10" s="33" t="inlineStr">
        <is>
          <t>n/a</t>
        </is>
      </c>
      <c r="O10" s="31" t="inlineStr">
        <is>
          <t>-</t>
        </is>
      </c>
      <c r="P10" s="34" t="inlineStr">
        <is>
          <t>Emergency: SOS</t>
        </is>
      </c>
      <c r="Q10" s="33" t="inlineStr">
        <is>
          <t>Route: entry ? → exit S5.
Condition: no interlocked route resolved at this approach — points/tracks not determined.
Loco: loco 397 m short of S5 (sig abs 944476); EB onset 12:24:22 at 92 km/h @ abs 944079 (397 m before S5); halt 12:28:50 @ abs 944501 (25 m past S5).</t>
        </is>
      </c>
      <c r="R10" s="33" t="inlineStr">
        <is>
          <t>n/a (No aspect-log rows at or before 12:24:22 on 08/06/2026 were found in Aspct2_Jun8.csv.)</t>
        </is>
      </c>
      <c r="S10" s="31" t="inlineStr">
        <is>
          <t>Medha/Kernex</t>
        </is>
      </c>
    </row>
    <row r="11" ht="244" customHeight="1">
      <c r="A11" s="31" t="inlineStr">
        <is>
          <t>9 Jun</t>
        </is>
      </c>
      <c r="B11" s="31" t="inlineStr">
        <is>
          <t>30435</t>
        </is>
      </c>
      <c r="C11" s="31" t="inlineStr">
        <is>
          <t>Non-Valid</t>
        </is>
      </c>
      <c r="D11" s="31" t="inlineStr">
        <is>
          <t>05:36:30</t>
        </is>
      </c>
      <c r="E11" s="31" t="inlineStr">
        <is>
          <t>05:37:00</t>
        </is>
      </c>
      <c r="F11" s="31" t="n">
        <v>30</v>
      </c>
      <c r="G11" s="31" t="n">
        <v>16</v>
      </c>
      <c r="H11" s="31" t="n">
        <v>28</v>
      </c>
      <c r="I11" s="31" t="inlineStr">
        <is>
          <t>TRIP</t>
        </is>
      </c>
      <c r="J11" s="32" t="n">
        <v>857.88</v>
      </c>
      <c r="K11" s="31" t="inlineStr">
        <is>
          <t>R</t>
        </is>
      </c>
      <c r="L11" s="31" t="inlineStr">
        <is>
          <t>Morak(MKX)</t>
        </is>
      </c>
      <c r="M11" s="33" t="inlineStr">
        <is>
          <t>28 km/h</t>
        </is>
      </c>
      <c r="N11" s="33" t="inlineStr">
        <is>
          <t>0
MA dropped from 577 to 0.</t>
        </is>
      </c>
      <c r="O11" s="31" t="inlineStr">
        <is>
          <t>-</t>
        </is>
      </c>
      <c r="P11" s="34" t="inlineStr">
        <is>
          <t>Sudden MA drop; Trip mode</t>
        </is>
      </c>
      <c r="Q11" s="33" t="inlineStr">
        <is>
          <t>Route: entry ? → exit UPIBSDIST.
Condition: no interlocked route resolved at this approach — points/tracks not determined.
Loco: loco 3331 m short of UPIBSDIST (sig abs 854549); EB onset 05:36:30 at 28 km/h @ abs 857880 (3331 m before UPIBSDIST); halt 05:37:00 @ abs 857832 (3283 m before UPIBSDIST).</t>
        </is>
      </c>
      <c r="R11" s="33" t="inlineStr">
        <is>
          <t>• At 05:36:20 on 09/06/2026, the approach signal UPIBSDIST showed RED (R) in the field / RED (R) on the DMI (field and DMI agree).</t>
        </is>
      </c>
      <c r="S11" s="31" t="inlineStr">
        <is>
          <t>Medha/Kernex</t>
        </is>
      </c>
    </row>
    <row r="12" ht="34" customHeight="1">
      <c r="A12" s="16" t="inlineStr">
        <is>
          <t>9 Jun</t>
        </is>
      </c>
      <c r="B12" s="16" t="inlineStr">
        <is>
          <t>37073</t>
        </is>
      </c>
      <c r="C12" s="16" t="inlineStr">
        <is>
          <t>Valid</t>
        </is>
      </c>
      <c r="D12" s="16" t="inlineStr">
        <is>
          <t>06:28:46</t>
        </is>
      </c>
      <c r="E12" s="16" t="inlineStr">
        <is>
          <t>06:28:54</t>
        </is>
      </c>
      <c r="F12" s="16" t="n">
        <v>8</v>
      </c>
      <c r="G12" s="16" t="n">
        <v>5</v>
      </c>
      <c r="H12" s="16" t="n">
        <v>71</v>
      </c>
      <c r="I12" s="16" t="inlineStr">
        <is>
          <t>StandBy</t>
        </is>
      </c>
      <c r="J12" s="35" t="n">
        <v>867.24</v>
      </c>
      <c r="K12" s="16" t="inlineStr">
        <is>
          <t>R</t>
        </is>
      </c>
      <c r="L12" s="16" t="inlineStr">
        <is>
          <t>IBH KIW-DARA</t>
        </is>
      </c>
      <c r="M12" s="36" t="inlineStr">
        <is>
          <t>71 km/h</t>
        </is>
      </c>
      <c r="N12" s="36" t="inlineStr">
        <is>
          <t>7649</t>
        </is>
      </c>
      <c r="O12" s="16" t="inlineStr">
        <is>
          <t>-</t>
        </is>
      </c>
      <c r="P12" s="36" t="inlineStr">
        <is>
          <t>-</t>
        </is>
      </c>
      <c r="Q12" s="36" t="inlineStr">
        <is>
          <t>n/a (no SLF for station)</t>
        </is>
      </c>
      <c r="R12" s="36" t="inlineStr">
        <is>
          <t>n/a</t>
        </is>
      </c>
      <c r="S12" s="16" t="inlineStr">
        <is>
          <t>HBL</t>
        </is>
      </c>
    </row>
    <row r="13" ht="214" customHeight="1">
      <c r="A13" s="31" t="inlineStr">
        <is>
          <t>9 Jun</t>
        </is>
      </c>
      <c r="B13" s="31" t="inlineStr">
        <is>
          <t>32763</t>
        </is>
      </c>
      <c r="C13" s="31" t="inlineStr">
        <is>
          <t>Non-Valid</t>
        </is>
      </c>
      <c r="D13" s="31" t="inlineStr">
        <is>
          <t>13:32:44</t>
        </is>
      </c>
      <c r="E13" s="31" t="inlineStr">
        <is>
          <t>13:32:54</t>
        </is>
      </c>
      <c r="F13" s="31" t="n">
        <v>10</v>
      </c>
      <c r="G13" s="31" t="n">
        <v>6</v>
      </c>
      <c r="H13" s="31" t="n">
        <v>27</v>
      </c>
      <c r="I13" s="31" t="inlineStr">
        <is>
          <t>SR</t>
        </is>
      </c>
      <c r="J13" s="32" t="n">
        <v>797.41</v>
      </c>
      <c r="K13" s="31" t="inlineStr">
        <is>
          <t>U</t>
        </is>
      </c>
      <c r="L13" s="31" t="inlineStr">
        <is>
          <t>Garoth(GOH)</t>
        </is>
      </c>
      <c r="M13" s="33" t="inlineStr">
        <is>
          <t>27 km/h</t>
        </is>
      </c>
      <c r="N13" s="33" t="inlineStr">
        <is>
          <t>3482</t>
        </is>
      </c>
      <c r="O13" s="31" t="inlineStr">
        <is>
          <t>-</t>
        </is>
      </c>
      <c r="P13" s="34" t="inlineStr">
        <is>
          <t>FS-&gt;SR degradation + EB</t>
        </is>
      </c>
      <c r="Q13" s="33" t="inlineStr">
        <is>
          <t>Route: entry ? → exit S2.
Condition: no interlocked route resolved at this approach — points/tracks not determined.
Loco: loco 245 m short of S2 (sig abs 797161); EB onset 13:32:44 at 27 km/h; halt 13:32:54.</t>
        </is>
      </c>
      <c r="R13" s="33" t="inlineStr">
        <is>
          <t>• At 13:28:55:594, the approach signal S2 was displaying GREEN (G) in the field but RED (R) on the DMI — a field/DMI aspect mismatch.
• At 13:32:22 on 09/06/2026, the approach signal S2 showed GREEN (G) in the field / GREEN (G) on the DMI (field and DMI agree).</t>
        </is>
      </c>
      <c r="S13" s="31" t="inlineStr">
        <is>
          <t>Medha/Kernex</t>
        </is>
      </c>
    </row>
    <row r="14" ht="244" customHeight="1">
      <c r="A14" s="31" t="inlineStr">
        <is>
          <t>9 Jun</t>
        </is>
      </c>
      <c r="B14" s="31" t="inlineStr">
        <is>
          <t>37369</t>
        </is>
      </c>
      <c r="C14" s="31" t="inlineStr">
        <is>
          <t>Non-Valid</t>
        </is>
      </c>
      <c r="D14" s="31" t="inlineStr">
        <is>
          <t>19:02:06</t>
        </is>
      </c>
      <c r="E14" s="31" t="inlineStr">
        <is>
          <t>19:02:06</t>
        </is>
      </c>
      <c r="F14" s="31" t="n">
        <v>0</v>
      </c>
      <c r="G14" s="31" t="n">
        <v>1</v>
      </c>
      <c r="H14" s="31" t="n">
        <v>128</v>
      </c>
      <c r="I14" s="31" t="inlineStr">
        <is>
          <t>FS</t>
        </is>
      </c>
      <c r="J14" s="32" t="n">
        <v>1015.25</v>
      </c>
      <c r="K14" s="31" t="inlineStr">
        <is>
          <t>N</t>
        </is>
      </c>
      <c r="L14" s="31" t="inlineStr">
        <is>
          <t>2.0 KM from RWJ</t>
        </is>
      </c>
      <c r="M14" s="33" t="inlineStr">
        <is>
          <t>128 km/h</t>
        </is>
      </c>
      <c r="N14" s="33" t="inlineStr">
        <is>
          <t>12891</t>
        </is>
      </c>
      <c r="O14" s="31" t="inlineStr">
        <is>
          <t>-</t>
        </is>
      </c>
      <c r="P14" s="33" t="inlineStr">
        <is>
          <t>-</t>
        </is>
      </c>
      <c r="Q14" s="33" t="inlineStr">
        <is>
          <t>Route: entry ? → exit UPDIST.
Condition: no interlocked route resolved at this approach — points/tracks not determined.
Loco: loco 1682 m short of UPDIST (sig abs 1016935); EB onset 19:02:06 at 128 km/h @ abs 1015253 (1682 m before UPDIST); halt 19:02:06 @ abs 1015253 (1682 m before UPDIST).</t>
        </is>
      </c>
      <c r="R14" s="33" t="inlineStr">
        <is>
          <t>• At 18:52:26 on 09/06/2026, the approach signal UPDIST showed DOUBLE YELLOW (YY) in the field / DOUBLE YELLOW (YY) on the DMI (field and DMI agree).</t>
        </is>
      </c>
      <c r="S14" s="31" t="inlineStr">
        <is>
          <t>HBL</t>
        </is>
      </c>
    </row>
    <row r="15" ht="229" customHeight="1">
      <c r="A15" s="31" t="inlineStr">
        <is>
          <t>10 Jun</t>
        </is>
      </c>
      <c r="B15" s="31" t="inlineStr">
        <is>
          <t>39334</t>
        </is>
      </c>
      <c r="C15" s="31" t="inlineStr">
        <is>
          <t>Non-Valid</t>
        </is>
      </c>
      <c r="D15" s="31" t="inlineStr">
        <is>
          <t>05:01:32</t>
        </is>
      </c>
      <c r="E15" s="31" t="inlineStr">
        <is>
          <t>05:02:54</t>
        </is>
      </c>
      <c r="F15" s="31" t="n">
        <v>82</v>
      </c>
      <c r="G15" s="31" t="n">
        <v>40</v>
      </c>
      <c r="H15" s="31" t="n">
        <v>62</v>
      </c>
      <c r="I15" s="31" t="inlineStr">
        <is>
          <t>FS</t>
        </is>
      </c>
      <c r="J15" s="32" t="n">
        <v>919.01</v>
      </c>
      <c r="K15" s="31" t="inlineStr">
        <is>
          <t>R</t>
        </is>
      </c>
      <c r="L15" s="31" t="inlineStr">
        <is>
          <t>Kota Jn.(KOTA) CENTRAL</t>
        </is>
      </c>
      <c r="M15" s="33" t="inlineStr">
        <is>
          <t>62 km/h</t>
        </is>
      </c>
      <c r="N15" s="33" t="inlineStr">
        <is>
          <t>n/a</t>
        </is>
      </c>
      <c r="O15" s="31" t="inlineStr">
        <is>
          <t>-</t>
        </is>
      </c>
      <c r="P15" s="34" t="inlineStr">
        <is>
          <t>Emergency: SOS</t>
        </is>
      </c>
      <c r="Q15" s="33" t="inlineStr">
        <is>
          <t>Route: entry ? → exit SV28.
Condition: no interlocked route resolved at this approach — points/tracks not determined.
Loco: loco 181 m short of SV28 (sig abs 918828); EB onset 05:01:32 at 62 km/h @ abs 919009 (181 m before SV28); halt 05:02:54 @ abs 918779 (49 m past SV28).</t>
        </is>
      </c>
      <c r="R15" s="33" t="inlineStr">
        <is>
          <t>• At 05:01:17:141, the approach signal SV28 was displaying BLANK (BLANK) in the field but YELLOW (Y) on the DMI — a field/DMI aspect mismatch.
• At 05:01:23 on 10/06/2026, the approach signal SV28 showed RED (R) in the field / RED (R) on the DMI (field and DMI agree).</t>
        </is>
      </c>
      <c r="S15" s="31" t="inlineStr">
        <is>
          <t>Medha/Kernex</t>
        </is>
      </c>
    </row>
    <row r="16" ht="229" customHeight="1">
      <c r="A16" s="31" t="inlineStr">
        <is>
          <t>10 Jun</t>
        </is>
      </c>
      <c r="B16" s="31" t="inlineStr">
        <is>
          <t>39334</t>
        </is>
      </c>
      <c r="C16" s="31" t="inlineStr">
        <is>
          <t>Non-Valid</t>
        </is>
      </c>
      <c r="D16" s="31" t="inlineStr">
        <is>
          <t>05:04:06</t>
        </is>
      </c>
      <c r="E16" s="31" t="inlineStr">
        <is>
          <t>05:04:06</t>
        </is>
      </c>
      <c r="F16" s="31" t="n">
        <v>0</v>
      </c>
      <c r="G16" s="31" t="n">
        <v>1</v>
      </c>
      <c r="H16" s="31" t="n">
        <v>0</v>
      </c>
      <c r="I16" s="31" t="inlineStr">
        <is>
          <t>POSTTRIP</t>
        </is>
      </c>
      <c r="J16" s="32" t="n">
        <v>918.78</v>
      </c>
      <c r="K16" s="31" t="inlineStr">
        <is>
          <t>R</t>
        </is>
      </c>
      <c r="L16" s="31" t="inlineStr">
        <is>
          <t>KOTA SOUTH</t>
        </is>
      </c>
      <c r="M16" s="33" t="inlineStr">
        <is>
          <t>0 km/h</t>
        </is>
      </c>
      <c r="N16" s="33" t="inlineStr">
        <is>
          <t>0</t>
        </is>
      </c>
      <c r="O16" s="31" t="inlineStr">
        <is>
          <t>SOS</t>
        </is>
      </c>
      <c r="P16" s="34" t="inlineStr">
        <is>
          <t>Emergency: SOS; EB at 0-1 km/h</t>
        </is>
      </c>
      <c r="Q16" s="33" t="inlineStr">
        <is>
          <t>Route: entry ? → exit S2.
Condition: no interlocked route resolved at this approach — points/tracks not determined.
Loco: loco 928 m short of S2 (sig abs 917851); EB onset 05:04:06 at 0 km/h @ abs 918779 (928 m before S2); halt 05:04:06 @ abs 918779 (928 m before S2).</t>
        </is>
      </c>
      <c r="R16" s="33" t="inlineStr">
        <is>
          <t>• At 04:45:10:157, the approach signal S2 was displaying GREEN (G) in the field but RED (R) on the DMI — a field/DMI aspect mismatch.
• At 05:01:54 on 10/06/2026, the approach signal S2 showed GREEN (G) in the field / GREEN (G) on the DMI (field and DMI agree).</t>
        </is>
      </c>
      <c r="S16" s="31" t="inlineStr">
        <is>
          <t>Medha/Kernex</t>
        </is>
      </c>
    </row>
    <row r="17" ht="349" customHeight="1">
      <c r="A17" s="31" t="inlineStr">
        <is>
          <t>10 Jun</t>
        </is>
      </c>
      <c r="B17" s="31" t="inlineStr">
        <is>
          <t>30440</t>
        </is>
      </c>
      <c r="C17" s="31" t="inlineStr">
        <is>
          <t>Non-Valid</t>
        </is>
      </c>
      <c r="D17" s="31" t="inlineStr">
        <is>
          <t>10:25:02</t>
        </is>
      </c>
      <c r="E17" s="31" t="inlineStr">
        <is>
          <t>10:25:08</t>
        </is>
      </c>
      <c r="F17" s="31" t="n">
        <v>6</v>
      </c>
      <c r="G17" s="31" t="n">
        <v>4</v>
      </c>
      <c r="H17" s="31" t="n">
        <v>10</v>
      </c>
      <c r="I17" s="31" t="inlineStr">
        <is>
          <t>FS</t>
        </is>
      </c>
      <c r="J17" s="32" t="n">
        <v>926.95</v>
      </c>
      <c r="K17" s="31" t="inlineStr">
        <is>
          <t>N</t>
        </is>
      </c>
      <c r="L17" s="31" t="inlineStr">
        <is>
          <t>Gurla(GQL)</t>
        </is>
      </c>
      <c r="M17" s="33" t="inlineStr">
        <is>
          <t>10 km/h</t>
        </is>
      </c>
      <c r="N17" s="33" t="inlineStr">
        <is>
          <t>n/a</t>
        </is>
      </c>
      <c r="O17" s="31" t="inlineStr">
        <is>
          <t>-</t>
        </is>
      </c>
      <c r="P17" s="33" t="inlineStr">
        <is>
          <t>-</t>
        </is>
      </c>
      <c r="Q17" s="33" t="inlineStr">
        <is>
          <t>Route: entry S39 → exit S49 (EntrySigId 2 / ExitSigId 3).
Condition: route clear — points P129/130, P131/132, P137/138, P139/140 (favourable/free).
FIU contacts: point P129/130 (c146) P→favourable; point P131/132 (c148) P→favourable; point P137/138 (c154) P→favourable.
Loco: loco 710 m short of S49 (sig abs 927658); EB onset 10:25:02 at 10 km/h @ abs 926948 (710 m before S49); halt 10:25:08 @ abs 926964 (694 m before S49).</t>
        </is>
      </c>
      <c r="R17" s="33" t="inlineStr">
        <is>
          <t>• At 10:23:32 on 10/06/2026, the approach signal S39 was showing RED (R) in the field while the ahead signal S49 was showing RED (R) — this combination is NOT among the valid combinations the control table allows for this route (valid: D-G, D-Y, G-G, Y-G, Y-R, Y-Y).</t>
        </is>
      </c>
      <c r="S17" s="31" t="inlineStr">
        <is>
          <t>HBL</t>
        </is>
      </c>
    </row>
    <row r="18" ht="349" customHeight="1">
      <c r="A18" s="31" t="inlineStr">
        <is>
          <t>10 Jun</t>
        </is>
      </c>
      <c r="B18" s="31" t="inlineStr">
        <is>
          <t>30440</t>
        </is>
      </c>
      <c r="C18" s="31" t="inlineStr">
        <is>
          <t>Non-Valid</t>
        </is>
      </c>
      <c r="D18" s="31" t="inlineStr">
        <is>
          <t>10:26:36</t>
        </is>
      </c>
      <c r="E18" s="31" t="inlineStr">
        <is>
          <t>10:26:38</t>
        </is>
      </c>
      <c r="F18" s="31" t="n">
        <v>2</v>
      </c>
      <c r="G18" s="31" t="n">
        <v>2</v>
      </c>
      <c r="H18" s="31" t="n">
        <v>1</v>
      </c>
      <c r="I18" s="31" t="inlineStr">
        <is>
          <t>TRIP</t>
        </is>
      </c>
      <c r="J18" s="32" t="n">
        <v>926.97</v>
      </c>
      <c r="K18" s="31" t="inlineStr">
        <is>
          <t>N</t>
        </is>
      </c>
      <c r="L18" s="31" t="inlineStr">
        <is>
          <t>Gurla(GQL)</t>
        </is>
      </c>
      <c r="M18" s="33" t="inlineStr">
        <is>
          <t>1 km/h</t>
        </is>
      </c>
      <c r="N18" s="33" t="inlineStr">
        <is>
          <t>5921</t>
        </is>
      </c>
      <c r="O18" s="31" t="inlineStr">
        <is>
          <t>-</t>
        </is>
      </c>
      <c r="P18" s="34" t="inlineStr">
        <is>
          <t>EB at 0-1 km/h; Trip mode</t>
        </is>
      </c>
      <c r="Q18" s="33" t="inlineStr">
        <is>
          <t>Route: entry S39 → exit S49 (EntrySigId 2 / ExitSigId 3).
Condition: route clear — points P129/130, P131/132, P137/138, P139/140 (favourable/free).
FIU contacts: point P129/130 (c146) P→favourable; point P131/132 (c148) P→favourable; point P137/138 (c154) P→favourable.
Loco: loco 693 m short of S49 (sig abs 927658); EB onset 10:26:36 at 1 km/h @ abs 926965 (693 m before S49); halt 10:26:38 @ abs 926966 (692 m before S49).</t>
        </is>
      </c>
      <c r="R18" s="33" t="inlineStr">
        <is>
          <t>• At 10:23:32 on 10/06/2026, the approach signal S39 was showing RED (R) in the field while the ahead signal S49 was showing RED (R) — this combination is NOT among the valid combinations the control table allows for this route (valid: D-G, D-Y, G-G, Y-G, Y-R, Y-Y).</t>
        </is>
      </c>
      <c r="S18" s="31" t="inlineStr">
        <is>
          <t>HBL</t>
        </is>
      </c>
    </row>
    <row r="19" ht="229" customHeight="1">
      <c r="A19" s="31" t="inlineStr">
        <is>
          <t>10 Jun</t>
        </is>
      </c>
      <c r="B19" s="31" t="inlineStr">
        <is>
          <t>39466</t>
        </is>
      </c>
      <c r="C19" s="31" t="inlineStr">
        <is>
          <t>Non-Valid</t>
        </is>
      </c>
      <c r="D19" s="31" t="inlineStr">
        <is>
          <t>12:47:40</t>
        </is>
      </c>
      <c r="E19" s="31" t="inlineStr">
        <is>
          <t>12:48:04</t>
        </is>
      </c>
      <c r="F19" s="31" t="n">
        <v>24</v>
      </c>
      <c r="G19" s="31" t="n">
        <v>13</v>
      </c>
      <c r="H19" s="31" t="n">
        <v>10</v>
      </c>
      <c r="I19" s="31" t="inlineStr">
        <is>
          <t>TRIP</t>
        </is>
      </c>
      <c r="J19" s="32" t="n">
        <v>926.97</v>
      </c>
      <c r="K19" s="31" t="inlineStr">
        <is>
          <t>N</t>
        </is>
      </c>
      <c r="L19" s="31" t="inlineStr">
        <is>
          <t>Gurla(GQL)</t>
        </is>
      </c>
      <c r="M19" s="33" t="inlineStr">
        <is>
          <t>10 km/h</t>
        </is>
      </c>
      <c r="N19" s="33" t="inlineStr">
        <is>
          <t>3395</t>
        </is>
      </c>
      <c r="O19" s="31" t="inlineStr">
        <is>
          <t>-</t>
        </is>
      </c>
      <c r="P19" s="34" t="inlineStr">
        <is>
          <t>Trip mode</t>
        </is>
      </c>
      <c r="Q19" s="33" t="inlineStr">
        <is>
          <t>Route: entry ? → exit S49.
Condition: no interlocked route resolved at this approach — points/tracks not determined.
Loco: loco 693 m short of S49 (sig abs 927658); EB onset 12:47:40 at 10 km/h @ abs 926965 (693 m before S49); halt 12:48:04 @ abs 926977 (681 m before S49).</t>
        </is>
      </c>
      <c r="R19" s="33" t="inlineStr">
        <is>
          <t>• At 12:43:10 on 10/06/2026, the approach signal S49 showed RED (R) in the field / RED (R) on the DMI (field and DMI agree).</t>
        </is>
      </c>
      <c r="S19" s="31" t="inlineStr">
        <is>
          <t>Medha/Kernex</t>
        </is>
      </c>
    </row>
    <row r="20" ht="289" customHeight="1">
      <c r="A20" s="31" t="inlineStr">
        <is>
          <t>11 Jun</t>
        </is>
      </c>
      <c r="B20" s="31" t="inlineStr">
        <is>
          <t>37286</t>
        </is>
      </c>
      <c r="C20" s="31" t="inlineStr">
        <is>
          <t>Non-Valid</t>
        </is>
      </c>
      <c r="D20" s="31" t="inlineStr">
        <is>
          <t>12:26:50</t>
        </is>
      </c>
      <c r="E20" s="31" t="inlineStr">
        <is>
          <t>12:27:36</t>
        </is>
      </c>
      <c r="F20" s="31" t="n">
        <v>46</v>
      </c>
      <c r="G20" s="31" t="n">
        <v>24</v>
      </c>
      <c r="H20" s="31" t="n">
        <v>28</v>
      </c>
      <c r="I20" s="31" t="inlineStr">
        <is>
          <t>FS</t>
        </is>
      </c>
      <c r="J20" s="32" t="n">
        <v>911.03</v>
      </c>
      <c r="K20" s="31" t="inlineStr">
        <is>
          <t>N</t>
        </is>
      </c>
      <c r="L20" s="31" t="inlineStr">
        <is>
          <t>DakaniyaTalav(DKNT)</t>
        </is>
      </c>
      <c r="M20" s="33" t="inlineStr">
        <is>
          <t>28 km/h</t>
        </is>
      </c>
      <c r="N20" s="33" t="inlineStr">
        <is>
          <t>200</t>
        </is>
      </c>
      <c r="O20" s="31" t="inlineStr">
        <is>
          <t>-</t>
        </is>
      </c>
      <c r="P20" s="33" t="inlineStr">
        <is>
          <t>-</t>
        </is>
      </c>
      <c r="Q20" s="33" t="inlineStr">
        <is>
          <t>Route: entry S5 → exit S39 (EntrySigId 3 / ExitSigId 4).
Condition: route clear — points P101/P102; tracks DMT (favourable/free).
FIU contacts: track DMT (c78) track=-→No state logged, relay=P.
Loco: loco 1192 m short of S39 (sig abs 912224); EB onset 12:26:50 at 28 km/h @ abs 911032 (1192 m before S39); halt 12:27:36 @ abs 911071 (1153 m before S39).</t>
        </is>
      </c>
      <c r="R20" s="33" t="inlineStr">
        <is>
          <t>n/a (No aspect-log rows at or before 12:26:50 on 11/06/2026 were found in Aspct2_Jun11.csv.)</t>
        </is>
      </c>
      <c r="S20" s="31" t="inlineStr">
        <is>
          <t>Medha/Kernex</t>
        </is>
      </c>
    </row>
    <row r="21" ht="289" customHeight="1">
      <c r="A21" s="31" t="inlineStr">
        <is>
          <t>11 Jun</t>
        </is>
      </c>
      <c r="B21" s="31" t="inlineStr">
        <is>
          <t>37286</t>
        </is>
      </c>
      <c r="C21" s="31" t="inlineStr">
        <is>
          <t>Non-Valid</t>
        </is>
      </c>
      <c r="D21" s="31" t="inlineStr">
        <is>
          <t>12:28:58</t>
        </is>
      </c>
      <c r="E21" s="31" t="inlineStr">
        <is>
          <t>12:29:00</t>
        </is>
      </c>
      <c r="F21" s="31" t="n">
        <v>2</v>
      </c>
      <c r="G21" s="31" t="n">
        <v>2</v>
      </c>
      <c r="H21" s="31" t="n">
        <v>0</v>
      </c>
      <c r="I21" s="31" t="inlineStr">
        <is>
          <t>POSTTRIP</t>
        </is>
      </c>
      <c r="J21" s="32" t="n">
        <v>911.0700000000001</v>
      </c>
      <c r="K21" s="31" t="inlineStr">
        <is>
          <t>N</t>
        </is>
      </c>
      <c r="L21" s="31" t="inlineStr">
        <is>
          <t>DakaniyaTalav(DKNT)</t>
        </is>
      </c>
      <c r="M21" s="33" t="inlineStr">
        <is>
          <t>0 km/h</t>
        </is>
      </c>
      <c r="N21" s="33" t="inlineStr">
        <is>
          <t>n/a</t>
        </is>
      </c>
      <c r="O21" s="31" t="inlineStr">
        <is>
          <t>-</t>
        </is>
      </c>
      <c r="P21" s="34" t="inlineStr">
        <is>
          <t>EB at 0-1 km/h</t>
        </is>
      </c>
      <c r="Q21" s="33" t="inlineStr">
        <is>
          <t>Route: entry S5 → exit S39 (EntrySigId 3 / ExitSigId 4).
Condition: route clear — points P101/P102; tracks DMT (favourable/free).
FIU contacts: track DMT (c78) track=-→No state logged, relay=P.
Loco: loco 1153 m short of S39 (sig abs 912224); EB onset 12:28:58 at 0 km/h @ abs 911071 (1153 m before S39); halt 12:29:00 @ abs 911071 (1153 m before S39).</t>
        </is>
      </c>
      <c r="R21" s="33" t="inlineStr">
        <is>
          <t>n/a (No aspect-log rows at or before 12:28:58 on 11/06/2026 were found in Aspct2_Jun11.csv.)</t>
        </is>
      </c>
      <c r="S21" s="31" t="inlineStr">
        <is>
          <t>Medha/Kernex</t>
        </is>
      </c>
    </row>
    <row r="22" ht="289" customHeight="1">
      <c r="A22" s="31" t="inlineStr">
        <is>
          <t>11 Jun</t>
        </is>
      </c>
      <c r="B22" s="31" t="inlineStr">
        <is>
          <t>37286</t>
        </is>
      </c>
      <c r="C22" s="31" t="inlineStr">
        <is>
          <t>Non-Valid</t>
        </is>
      </c>
      <c r="D22" s="31" t="inlineStr">
        <is>
          <t>12:29:46</t>
        </is>
      </c>
      <c r="E22" s="31" t="inlineStr">
        <is>
          <t>12:29:48</t>
        </is>
      </c>
      <c r="F22" s="31" t="n">
        <v>2</v>
      </c>
      <c r="G22" s="31" t="n">
        <v>2</v>
      </c>
      <c r="H22" s="31" t="n">
        <v>0</v>
      </c>
      <c r="I22" s="31" t="inlineStr">
        <is>
          <t>POSTTRIP</t>
        </is>
      </c>
      <c r="J22" s="32" t="n">
        <v>911.0700000000001</v>
      </c>
      <c r="K22" s="31" t="inlineStr">
        <is>
          <t>N</t>
        </is>
      </c>
      <c r="L22" s="31" t="inlineStr">
        <is>
          <t>DakaniyaTalav(DKNT)</t>
        </is>
      </c>
      <c r="M22" s="33" t="inlineStr">
        <is>
          <t>0 km/h</t>
        </is>
      </c>
      <c r="N22" s="33" t="inlineStr">
        <is>
          <t>n/a</t>
        </is>
      </c>
      <c r="O22" s="31" t="inlineStr">
        <is>
          <t>-</t>
        </is>
      </c>
      <c r="P22" s="34" t="inlineStr">
        <is>
          <t>EB at 0-1 km/h</t>
        </is>
      </c>
      <c r="Q22" s="33" t="inlineStr">
        <is>
          <t>Route: entry S5 → exit S39 (EntrySigId 3 / ExitSigId 4).
Condition: route clear — points P101/P102; tracks DMT (favourable/free).
FIU contacts: track DMT (c78) track=-→No state logged, relay=P.
Loco: loco 1153 m short of S39 (sig abs 912224); EB onset 12:29:46 at 0 km/h @ abs 911071 (1153 m before S39); halt 12:29:48 @ abs 911071 (1153 m before S39).</t>
        </is>
      </c>
      <c r="R22" s="33" t="inlineStr">
        <is>
          <t>n/a (No aspect-log rows at or before 12:29:46 on 11/06/2026 were found in Aspct2_Jun11.csv.)</t>
        </is>
      </c>
      <c r="S22" s="31" t="inlineStr">
        <is>
          <t>Medha/Kernex</t>
        </is>
      </c>
    </row>
    <row r="23" ht="334" customHeight="1">
      <c r="A23" s="31" t="inlineStr">
        <is>
          <t>11 Jun</t>
        </is>
      </c>
      <c r="B23" s="31" t="inlineStr">
        <is>
          <t>37466</t>
        </is>
      </c>
      <c r="C23" s="31" t="inlineStr">
        <is>
          <t>Non-Valid</t>
        </is>
      </c>
      <c r="D23" s="31" t="inlineStr">
        <is>
          <t>17:39:38</t>
        </is>
      </c>
      <c r="E23" s="31" t="inlineStr">
        <is>
          <t>17:41:34</t>
        </is>
      </c>
      <c r="F23" s="31" t="n">
        <v>116</v>
      </c>
      <c r="G23" s="31" t="n">
        <v>37</v>
      </c>
      <c r="H23" s="31" t="n">
        <v>54</v>
      </c>
      <c r="I23" s="31" t="inlineStr">
        <is>
          <t>OS</t>
        </is>
      </c>
      <c r="J23" s="32" t="n">
        <v>918.96</v>
      </c>
      <c r="K23" s="31" t="inlineStr">
        <is>
          <t>R</t>
        </is>
      </c>
      <c r="L23" s="31" t="inlineStr">
        <is>
          <t>Kota Jn.(KOTA) CENTRAL</t>
        </is>
      </c>
      <c r="M23" s="33" t="inlineStr">
        <is>
          <t>54 km/h</t>
        </is>
      </c>
      <c r="N23" s="33" t="inlineStr">
        <is>
          <t>n/a</t>
        </is>
      </c>
      <c r="O23" s="31" t="inlineStr">
        <is>
          <t>-</t>
        </is>
      </c>
      <c r="P23" s="33" t="inlineStr">
        <is>
          <t>-</t>
        </is>
      </c>
      <c r="Q23" s="33" t="inlineStr">
        <is>
          <t>Route: entry ? → exit SV28.
Condition: no interlocked route resolved at this approach — points/tracks not determined.
Loco: loco 136 m short of SV28 (sig abs 918828); EB onset 17:39:38 at 54 km/h @ abs 918964 (136 m before SV28); halt 17:41:34 @ abs 918823 (5 m past SV28).</t>
        </is>
      </c>
      <c r="R23" s="33" t="inlineStr">
        <is>
          <t>• At 17:26:14:163, the approach signal SV28 was displaying BLANK (BLANK) in the field but YELLOW (Y) on the DMI — a field/DMI aspect mismatch.
• At 17:26:18:964, the approach signal SV28 was displaying GREEN (G) in the field but YELLOW (Y) on the DMI — a field/DMI aspect mismatch.
• At 17:37:55 on 11/06/2026, the approach signal SV28 showed GREEN (G) in the field / GREEN (G) on the DMI (field and DMI agree).</t>
        </is>
      </c>
      <c r="S23" s="31" t="inlineStr">
        <is>
          <t>Medha/Kernex</t>
        </is>
      </c>
    </row>
    <row r="24" ht="229" customHeight="1">
      <c r="A24" s="31" t="inlineStr">
        <is>
          <t>12 Jun</t>
        </is>
      </c>
      <c r="B24" s="31" t="inlineStr">
        <is>
          <t>30176</t>
        </is>
      </c>
      <c r="C24" s="31" t="inlineStr">
        <is>
          <t>Non-Valid</t>
        </is>
      </c>
      <c r="D24" s="31" t="inlineStr">
        <is>
          <t>19:58:54</t>
        </is>
      </c>
      <c r="E24" s="31" t="inlineStr">
        <is>
          <t>20:00:58</t>
        </is>
      </c>
      <c r="F24" s="31" t="n">
        <v>124</v>
      </c>
      <c r="G24" s="31" t="n">
        <v>62</v>
      </c>
      <c r="H24" s="31" t="n">
        <v>8</v>
      </c>
      <c r="I24" s="31" t="inlineStr">
        <is>
          <t>TRIP</t>
        </is>
      </c>
      <c r="J24" s="32" t="n">
        <v>924.66</v>
      </c>
      <c r="K24" s="31" t="inlineStr">
        <is>
          <t>N</t>
        </is>
      </c>
      <c r="L24" s="31" t="inlineStr">
        <is>
          <t>Gurla(GQL)</t>
        </is>
      </c>
      <c r="M24" s="33" t="inlineStr">
        <is>
          <t>8 km/h</t>
        </is>
      </c>
      <c r="N24" s="33" t="inlineStr">
        <is>
          <t>n/a</t>
        </is>
      </c>
      <c r="O24" s="31" t="inlineStr">
        <is>
          <t>-</t>
        </is>
      </c>
      <c r="P24" s="34" t="inlineStr">
        <is>
          <t>Trip mode</t>
        </is>
      </c>
      <c r="Q24" s="33" t="inlineStr">
        <is>
          <t>Route: entry ? → exit S39.
Condition: no interlocked route resolved at this approach — points/tracks not determined.
Loco: loco 2298 m short of S39 (sig abs 926962); EB onset 19:58:54 at 8 km/h @ abs 924664 (2298 m before S39); halt 20:00:58 @ abs 924669 (2293 m before S39).</t>
        </is>
      </c>
      <c r="R24" s="33" t="inlineStr">
        <is>
          <t>• At 19:54:59 on 12/06/2026, the approach signal S39 showed RED (R) in the field / RED (R) on the DMI (field and DMI agree).</t>
        </is>
      </c>
      <c r="S24" s="31" t="inlineStr">
        <is>
          <t>Medha/Kernex</t>
        </is>
      </c>
    </row>
    <row r="25" ht="244" customHeight="1">
      <c r="A25" s="31" t="inlineStr">
        <is>
          <t>13 Jun</t>
        </is>
      </c>
      <c r="B25" s="31" t="inlineStr">
        <is>
          <t>37321</t>
        </is>
      </c>
      <c r="C25" s="31" t="inlineStr">
        <is>
          <t>Non-Valid</t>
        </is>
      </c>
      <c r="D25" s="31" t="inlineStr">
        <is>
          <t>05:22:16</t>
        </is>
      </c>
      <c r="E25" s="31" t="inlineStr">
        <is>
          <t>05:22:16</t>
        </is>
      </c>
      <c r="F25" s="31" t="n">
        <v>0</v>
      </c>
      <c r="G25" s="31" t="n">
        <v>1</v>
      </c>
      <c r="H25" s="31" t="n">
        <v>125</v>
      </c>
      <c r="I25" s="31" t="inlineStr">
        <is>
          <t>FS</t>
        </is>
      </c>
      <c r="J25" s="32" t="n">
        <v>803.64</v>
      </c>
      <c r="K25" s="31" t="inlineStr">
        <is>
          <t>N</t>
        </is>
      </c>
      <c r="L25" s="31" t="inlineStr">
        <is>
          <t>IBH-55(7.5KM from GOH)</t>
        </is>
      </c>
      <c r="M25" s="33" t="inlineStr">
        <is>
          <t>125 km/h</t>
        </is>
      </c>
      <c r="N25" s="33" t="inlineStr">
        <is>
          <t>5010</t>
        </is>
      </c>
      <c r="O25" s="31" t="inlineStr">
        <is>
          <t>-</t>
        </is>
      </c>
      <c r="P25" s="33" t="inlineStr">
        <is>
          <t>-</t>
        </is>
      </c>
      <c r="Q25" s="33" t="inlineStr">
        <is>
          <t>Route: entry ? → exit DNIBSS50.
Condition: no interlocked route resolved at this approach — points/tracks not determined.
Loco: loco 430 m short of DNIBSS50 (sig abs 804070); EB onset 05:22:16 at 125 km/h @ abs 803640 (430 m before DNIBSS50); halt 05:22:16 @ abs 803640 (430 m before DNIBSS50).</t>
        </is>
      </c>
      <c r="R25" s="33" t="inlineStr">
        <is>
          <t>• At 05:15:57 on 13/06/2026, the approach signal DNIBSS50 showed GREEN (G) in the field / GREEN (G) on the DMI (field and DMI agree).</t>
        </is>
      </c>
      <c r="S25" s="31" t="inlineStr">
        <is>
          <t>Medha/Kernex</t>
        </is>
      </c>
    </row>
    <row r="26" ht="34" customHeight="1">
      <c r="A26" s="31" t="inlineStr">
        <is>
          <t>13 Jun</t>
        </is>
      </c>
      <c r="B26" s="31" t="inlineStr">
        <is>
          <t>37321</t>
        </is>
      </c>
      <c r="C26" s="31" t="inlineStr">
        <is>
          <t>Non-Valid</t>
        </is>
      </c>
      <c r="D26" s="31" t="inlineStr">
        <is>
          <t>07:52:26</t>
        </is>
      </c>
      <c r="E26" s="31" t="inlineStr">
        <is>
          <t>07:53:14</t>
        </is>
      </c>
      <c r="F26" s="31" t="n">
        <v>48</v>
      </c>
      <c r="G26" s="31" t="n">
        <v>12</v>
      </c>
      <c r="H26" s="31" t="n">
        <v>127</v>
      </c>
      <c r="I26" s="31" t="inlineStr">
        <is>
          <t>Failure</t>
        </is>
      </c>
      <c r="J26" s="32" t="n">
        <v>1017.92</v>
      </c>
      <c r="K26" s="31" t="inlineStr">
        <is>
          <t>N</t>
        </is>
      </c>
      <c r="L26" s="31" t="inlineStr">
        <is>
          <t>IBH-RWJ</t>
        </is>
      </c>
      <c r="M26" s="33" t="inlineStr">
        <is>
          <t>127 km/h</t>
        </is>
      </c>
      <c r="N26" s="33" t="inlineStr">
        <is>
          <t>6865</t>
        </is>
      </c>
      <c r="O26" s="31" t="inlineStr">
        <is>
          <t>-</t>
        </is>
      </c>
      <c r="P26" s="34" t="inlineStr">
        <is>
          <t>Failure mode</t>
        </is>
      </c>
      <c r="Q26" s="33" t="inlineStr">
        <is>
          <t>n/a (ahead signal not resolved)</t>
        </is>
      </c>
      <c r="R26" s="33" t="inlineStr">
        <is>
          <t>n/a</t>
        </is>
      </c>
      <c r="S26" s="31" t="inlineStr">
        <is>
          <t>Medha/Kernex</t>
        </is>
      </c>
    </row>
    <row r="27" ht="229" customHeight="1">
      <c r="A27" s="31" t="inlineStr">
        <is>
          <t>13 Jun</t>
        </is>
      </c>
      <c r="B27" s="31" t="inlineStr">
        <is>
          <t>37321</t>
        </is>
      </c>
      <c r="C27" s="31" t="inlineStr">
        <is>
          <t>Non-Valid</t>
        </is>
      </c>
      <c r="D27" s="31" t="inlineStr">
        <is>
          <t>08:33:18</t>
        </is>
      </c>
      <c r="E27" s="31" t="inlineStr">
        <is>
          <t>08:33:54</t>
        </is>
      </c>
      <c r="F27" s="31" t="n">
        <v>36</v>
      </c>
      <c r="G27" s="31" t="n">
        <v>10</v>
      </c>
      <c r="H27" s="31" t="n">
        <v>102</v>
      </c>
      <c r="I27" s="31" t="inlineStr">
        <is>
          <t>Failure</t>
        </is>
      </c>
      <c r="J27" s="32" t="n">
        <v>1058.72</v>
      </c>
      <c r="K27" s="31" t="inlineStr">
        <is>
          <t>N</t>
        </is>
      </c>
      <c r="L27" s="31" t="inlineStr">
        <is>
          <t>Malarna(MLZ)</t>
        </is>
      </c>
      <c r="M27" s="33" t="inlineStr">
        <is>
          <t>102 km/h</t>
        </is>
      </c>
      <c r="N27" s="33" t="inlineStr">
        <is>
          <t>6534</t>
        </is>
      </c>
      <c r="O27" s="31" t="inlineStr">
        <is>
          <t>-</t>
        </is>
      </c>
      <c r="P27" s="34" t="inlineStr">
        <is>
          <t>Failure mode</t>
        </is>
      </c>
      <c r="Q27" s="33" t="inlineStr">
        <is>
          <t>Route: entry ? → exit S39.
Condition: no interlocked route resolved at this approach — points/tracks not determined.
Loco: loco 515 m short of S39 (sig abs 1059235); EB onset 08:33:18 at 102 km/h @ abs 1058720 (515 m before S39); halt 08:33:54 @ abs 1059276 (41 m past S39).</t>
        </is>
      </c>
      <c r="R27" s="33" t="inlineStr">
        <is>
          <t>• At 08:33:01 on 13/06/2026, the approach signal S39 showed GREEN (G) in the field / GREEN (G) on the DMI (field and DMI agree).</t>
        </is>
      </c>
      <c r="S27" s="31" t="inlineStr">
        <is>
          <t>Medha/Kernex</t>
        </is>
      </c>
    </row>
    <row r="28" ht="244" customHeight="1">
      <c r="A28" s="31" t="inlineStr">
        <is>
          <t>14 Jun</t>
        </is>
      </c>
      <c r="B28" s="31" t="inlineStr">
        <is>
          <t>39331</t>
        </is>
      </c>
      <c r="C28" s="31" t="inlineStr">
        <is>
          <t>Non-Valid</t>
        </is>
      </c>
      <c r="D28" s="31" t="inlineStr">
        <is>
          <t>03:56:46</t>
        </is>
      </c>
      <c r="E28" s="31" t="inlineStr">
        <is>
          <t>03:57:44</t>
        </is>
      </c>
      <c r="F28" s="31" t="n">
        <v>58</v>
      </c>
      <c r="G28" s="31" t="n">
        <v>26</v>
      </c>
      <c r="H28" s="31" t="n">
        <v>4</v>
      </c>
      <c r="I28" s="31" t="inlineStr">
        <is>
          <t>TRIP</t>
        </is>
      </c>
      <c r="J28" s="32" t="n">
        <v>1091.17</v>
      </c>
      <c r="K28" s="31" t="inlineStr">
        <is>
          <t>N</t>
        </is>
      </c>
      <c r="L28" s="31" t="inlineStr">
        <is>
          <t>Gangapur City(GGC)</t>
        </is>
      </c>
      <c r="M28" s="33" t="inlineStr">
        <is>
          <t>4 km/h</t>
        </is>
      </c>
      <c r="N28" s="33" t="inlineStr">
        <is>
          <t>0
MA dropped from 1010 to 0.</t>
        </is>
      </c>
      <c r="O28" s="31" t="inlineStr">
        <is>
          <t>-</t>
        </is>
      </c>
      <c r="P28" s="34" t="inlineStr">
        <is>
          <t>Sudden MA drop; Trip mode</t>
        </is>
      </c>
      <c r="Q28" s="33" t="inlineStr">
        <is>
          <t>Route: entry ? → exit S95.
Condition: no interlocked route resolved at this approach — points/tracks not determined.
Loco: loco 3420 m short of S95 (sig abs 1094594); EB onset 03:56:46 at 4 km/h @ abs 1091174 (3420 m before S95); halt 03:57:44 @ abs 1091178 (3416 m before S95).</t>
        </is>
      </c>
      <c r="R28" s="33" t="inlineStr">
        <is>
          <t>• At 03:55:51 on 14/06/2026, the approach signal S95 showed GREEN (G) in the field / GREEN (G) on the DMI (field and DMI agree).</t>
        </is>
      </c>
      <c r="S28" s="31" t="inlineStr">
        <is>
          <t>Medha/Kernex</t>
        </is>
      </c>
    </row>
    <row r="29" ht="229" customHeight="1">
      <c r="A29" s="31" t="inlineStr">
        <is>
          <t>14 Jun</t>
        </is>
      </c>
      <c r="B29" s="31" t="inlineStr">
        <is>
          <t>37369</t>
        </is>
      </c>
      <c r="C29" s="31" t="inlineStr">
        <is>
          <t>Non-Valid</t>
        </is>
      </c>
      <c r="D29" s="31" t="inlineStr">
        <is>
          <t>05:07:02</t>
        </is>
      </c>
      <c r="E29" s="31" t="inlineStr">
        <is>
          <t>05:07:08</t>
        </is>
      </c>
      <c r="F29" s="31" t="n">
        <v>6</v>
      </c>
      <c r="G29" s="31" t="n">
        <v>4</v>
      </c>
      <c r="H29" s="31" t="n">
        <v>9</v>
      </c>
      <c r="I29" s="31" t="inlineStr">
        <is>
          <t>FS</t>
        </is>
      </c>
      <c r="J29" s="32" t="n">
        <v>1028.91</v>
      </c>
      <c r="K29" s="31" t="inlineStr">
        <is>
          <t>N</t>
        </is>
      </c>
      <c r="L29" s="31" t="inlineStr">
        <is>
          <t>SawaiMadhopurJn(SWM)</t>
        </is>
      </c>
      <c r="M29" s="33" t="inlineStr">
        <is>
          <t>9 km/h</t>
        </is>
      </c>
      <c r="N29" s="33" t="inlineStr">
        <is>
          <t>n/a</t>
        </is>
      </c>
      <c r="O29" s="31" t="inlineStr">
        <is>
          <t>-</t>
        </is>
      </c>
      <c r="P29" s="33" t="inlineStr">
        <is>
          <t>-</t>
        </is>
      </c>
      <c r="Q29" s="33" t="inlineStr">
        <is>
          <t>Route: entry ? → exit S45.
Condition: no interlocked route resolved at this approach — points/tracks not determined.
Loco: loco 722 m short of S45 (sig abs 1028188); EB onset 05:07:02 at 9 km/h @ abs 1028910 (722 m before S45); halt 05:07:08 @ abs 1028924 (736 m before S45).</t>
        </is>
      </c>
      <c r="R29" s="33" t="inlineStr">
        <is>
          <t>• At 05:01:05 on 14/06/2026, the approach signal S45 showed RED (R) in the field / RED (R) on the DMI (field and DMI agree).</t>
        </is>
      </c>
      <c r="S29" s="31" t="inlineStr">
        <is>
          <t>HBL</t>
        </is>
      </c>
    </row>
    <row r="30" ht="229" customHeight="1">
      <c r="A30" s="31" t="inlineStr">
        <is>
          <t>14 Jun</t>
        </is>
      </c>
      <c r="B30" s="31" t="inlineStr">
        <is>
          <t>37369</t>
        </is>
      </c>
      <c r="C30" s="31" t="inlineStr">
        <is>
          <t>Non-Valid</t>
        </is>
      </c>
      <c r="D30" s="31" t="inlineStr">
        <is>
          <t>05:07:36</t>
        </is>
      </c>
      <c r="E30" s="31" t="inlineStr">
        <is>
          <t>05:07:40</t>
        </is>
      </c>
      <c r="F30" s="31" t="n">
        <v>4</v>
      </c>
      <c r="G30" s="31" t="n">
        <v>3</v>
      </c>
      <c r="H30" s="31" t="n">
        <v>2</v>
      </c>
      <c r="I30" s="31" t="inlineStr">
        <is>
          <t>POSTTRIP</t>
        </is>
      </c>
      <c r="J30" s="32" t="n">
        <v>1028.93</v>
      </c>
      <c r="K30" s="31" t="inlineStr">
        <is>
          <t>N</t>
        </is>
      </c>
      <c r="L30" s="31" t="inlineStr">
        <is>
          <t>SawaiMadhopurJn(SWM)</t>
        </is>
      </c>
      <c r="M30" s="33" t="inlineStr">
        <is>
          <t>1 km/h</t>
        </is>
      </c>
      <c r="N30" s="33" t="inlineStr">
        <is>
          <t>n/a</t>
        </is>
      </c>
      <c r="O30" s="31" t="inlineStr">
        <is>
          <t>-</t>
        </is>
      </c>
      <c r="P30" s="34" t="inlineStr">
        <is>
          <t>EB at 0-1 km/h</t>
        </is>
      </c>
      <c r="Q30" s="33" t="inlineStr">
        <is>
          <t>Route: entry ? → exit S45.
Condition: no interlocked route resolved at this approach — points/tracks not determined.
Loco: loco 738 m short of S45 (sig abs 1028188); EB onset 05:07:36 at 1 km/h @ abs 1028926 (738 m before S45); halt 05:07:40 @ abs 1028929 (741 m before S45).</t>
        </is>
      </c>
      <c r="R30" s="33" t="inlineStr">
        <is>
          <t>• At 05:01:05 on 14/06/2026, the approach signal S45 showed RED (R) in the field / RED (R) on the DMI (field and DMI agree).</t>
        </is>
      </c>
      <c r="S30" s="31" t="inlineStr">
        <is>
          <t>HBL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3"/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8 Jun</t>
        </is>
      </c>
      <c r="B5" s="16" t="inlineStr">
        <is>
          <t>30334</t>
        </is>
      </c>
      <c r="C5" s="16" t="n">
        <v>21203</v>
      </c>
      <c r="D5" s="16" t="n">
        <v>21166</v>
      </c>
      <c r="E5" s="16" t="n">
        <v>19521</v>
      </c>
      <c r="F5" s="38" t="n">
        <v>662971</v>
      </c>
      <c r="G5" s="38" t="n">
        <v>1411337</v>
      </c>
      <c r="H5" s="38" t="n">
        <v>699097</v>
      </c>
      <c r="I5" s="38" t="n">
        <v>1242984</v>
      </c>
      <c r="J5" s="19">
        <f>(I5-H5)/1000</f>
        <v/>
      </c>
      <c r="K5" s="16" t="inlineStr">
        <is>
          <t>Yes</t>
        </is>
      </c>
      <c r="L5" s="16" t="n">
        <v>124</v>
      </c>
      <c r="M5" s="39" t="inlineStr">
        <is>
          <t>- (full trip)</t>
        </is>
      </c>
    </row>
    <row r="6">
      <c r="A6" s="16" t="inlineStr">
        <is>
          <t>8 Jun</t>
        </is>
      </c>
      <c r="B6" s="16" t="inlineStr">
        <is>
          <t>43821</t>
        </is>
      </c>
      <c r="C6" s="16" t="n">
        <v>25894</v>
      </c>
      <c r="D6" s="16" t="n">
        <v>25662</v>
      </c>
      <c r="E6" s="16" t="n">
        <v>24651</v>
      </c>
      <c r="F6" s="38" t="n">
        <v>695673</v>
      </c>
      <c r="G6" s="38" t="n">
        <v>1436296</v>
      </c>
      <c r="H6" s="38" t="n">
        <v>699083</v>
      </c>
      <c r="I6" s="38" t="n">
        <v>1242965</v>
      </c>
      <c r="J6" s="19">
        <f>(I6-H6)/1000</f>
        <v/>
      </c>
      <c r="K6" s="16" t="inlineStr">
        <is>
          <t>Yes</t>
        </is>
      </c>
      <c r="L6" s="16" t="n">
        <v>124</v>
      </c>
      <c r="M6" s="39" t="inlineStr">
        <is>
          <t>- (full trip)</t>
        </is>
      </c>
    </row>
    <row r="7">
      <c r="A7" s="16" t="inlineStr">
        <is>
          <t>8 Jun</t>
        </is>
      </c>
      <c r="B7" s="16" t="inlineStr">
        <is>
          <t>37577</t>
        </is>
      </c>
      <c r="C7" s="16" t="n">
        <v>36260</v>
      </c>
      <c r="D7" s="16" t="n">
        <v>36015</v>
      </c>
      <c r="E7" s="16" t="n">
        <v>33853</v>
      </c>
      <c r="F7" s="38" t="n">
        <v>656299</v>
      </c>
      <c r="G7" s="38" t="n">
        <v>1437074</v>
      </c>
      <c r="H7" s="38" t="n">
        <v>699099</v>
      </c>
      <c r="I7" s="38" t="n">
        <v>1242964</v>
      </c>
      <c r="J7" s="19">
        <f>(I7-H7)/1000</f>
        <v/>
      </c>
      <c r="K7" s="16" t="inlineStr">
        <is>
          <t>Yes</t>
        </is>
      </c>
      <c r="L7" s="16" t="n">
        <v>124</v>
      </c>
      <c r="M7" s="39" t="inlineStr">
        <is>
          <t>- (full trip)</t>
        </is>
      </c>
    </row>
    <row r="8">
      <c r="A8" s="16" t="inlineStr">
        <is>
          <t>8 Jun</t>
        </is>
      </c>
      <c r="B8" s="16" t="inlineStr">
        <is>
          <t>37569</t>
        </is>
      </c>
      <c r="C8" s="16" t="n">
        <v>17768</v>
      </c>
      <c r="D8" s="16" t="n">
        <v>17755</v>
      </c>
      <c r="E8" s="16" t="n">
        <v>17130</v>
      </c>
      <c r="F8" s="38" t="n">
        <v>695677</v>
      </c>
      <c r="G8" s="38" t="n">
        <v>1436278</v>
      </c>
      <c r="H8" s="38" t="n">
        <v>699075</v>
      </c>
      <c r="I8" s="38" t="n">
        <v>1242710</v>
      </c>
      <c r="J8" s="19">
        <f>(I8-H8)/1000</f>
        <v/>
      </c>
      <c r="K8" s="16" t="inlineStr">
        <is>
          <t>Yes</t>
        </is>
      </c>
      <c r="L8" s="16" t="n">
        <v>124</v>
      </c>
      <c r="M8" s="39" t="inlineStr">
        <is>
          <t>- (full trip)</t>
        </is>
      </c>
    </row>
    <row r="9">
      <c r="A9" s="16" t="inlineStr">
        <is>
          <t>8 Jun</t>
        </is>
      </c>
      <c r="B9" s="16" t="inlineStr">
        <is>
          <t>37312</t>
        </is>
      </c>
      <c r="C9" s="16" t="n">
        <v>11754</v>
      </c>
      <c r="D9" s="16" t="n">
        <v>11706</v>
      </c>
      <c r="E9" s="16" t="n">
        <v>10301</v>
      </c>
      <c r="F9" s="38" t="n">
        <v>661144</v>
      </c>
      <c r="G9" s="38" t="n">
        <v>1436865</v>
      </c>
      <c r="H9" s="38" t="n">
        <v>699104</v>
      </c>
      <c r="I9" s="38" t="n">
        <v>1242725</v>
      </c>
      <c r="J9" s="19">
        <f>(I9-H9)/1000</f>
        <v/>
      </c>
      <c r="K9" s="16" t="inlineStr">
        <is>
          <t>Yes</t>
        </is>
      </c>
      <c r="L9" s="16" t="n">
        <v>124</v>
      </c>
      <c r="M9" s="39" t="inlineStr">
        <is>
          <t>- (full trip)</t>
        </is>
      </c>
    </row>
    <row r="10">
      <c r="A10" s="16" t="inlineStr">
        <is>
          <t>8 Jun</t>
        </is>
      </c>
      <c r="B10" s="16" t="inlineStr">
        <is>
          <t>39014</t>
        </is>
      </c>
      <c r="C10" s="16" t="n">
        <v>22658</v>
      </c>
      <c r="D10" s="16" t="n">
        <v>22601</v>
      </c>
      <c r="E10" s="16" t="n">
        <v>20952</v>
      </c>
      <c r="F10" s="38" t="n">
        <v>656355</v>
      </c>
      <c r="G10" s="38" t="n">
        <v>1426506</v>
      </c>
      <c r="H10" s="38" t="n">
        <v>699074</v>
      </c>
      <c r="I10" s="38" t="n">
        <v>1240729</v>
      </c>
      <c r="J10" s="19">
        <f>(I10-H10)/1000</f>
        <v/>
      </c>
      <c r="K10" s="16" t="inlineStr">
        <is>
          <t>Yes</t>
        </is>
      </c>
      <c r="L10" s="16" t="n">
        <v>124</v>
      </c>
      <c r="M10" s="39" t="inlineStr">
        <is>
          <t>- (full trip)</t>
        </is>
      </c>
    </row>
    <row r="11">
      <c r="A11" s="16" t="inlineStr">
        <is>
          <t>8 Jun</t>
        </is>
      </c>
      <c r="B11" s="16" t="inlineStr">
        <is>
          <t>30460</t>
        </is>
      </c>
      <c r="C11" s="16" t="n">
        <v>29242</v>
      </c>
      <c r="D11" s="16" t="n">
        <v>29232</v>
      </c>
      <c r="E11" s="16" t="n">
        <v>28991</v>
      </c>
      <c r="F11" s="38" t="n">
        <v>696243</v>
      </c>
      <c r="G11" s="38" t="n">
        <v>1240705</v>
      </c>
      <c r="H11" s="38" t="n">
        <v>699086</v>
      </c>
      <c r="I11" s="38" t="n">
        <v>1240705</v>
      </c>
      <c r="J11" s="19">
        <f>(I11-H11)/1000</f>
        <v/>
      </c>
      <c r="K11" s="16" t="inlineStr">
        <is>
          <t>Yes</t>
        </is>
      </c>
      <c r="L11" s="16" t="n">
        <v>124</v>
      </c>
      <c r="M11" s="39" t="inlineStr">
        <is>
          <t>- (full trip)</t>
        </is>
      </c>
    </row>
    <row r="12" ht="64" customHeight="1">
      <c r="A12" s="16" t="inlineStr">
        <is>
          <t>8 Jun</t>
        </is>
      </c>
      <c r="B12" s="16" t="inlineStr">
        <is>
          <t>39066</t>
        </is>
      </c>
      <c r="C12" s="16" t="n">
        <v>22443</v>
      </c>
      <c r="D12" s="16" t="n">
        <v>22410</v>
      </c>
      <c r="E12" s="16" t="n">
        <v>20912</v>
      </c>
      <c r="F12" s="38" t="n">
        <v>656333</v>
      </c>
      <c r="G12" s="38" t="n">
        <v>1169665</v>
      </c>
      <c r="H12" s="38" t="n">
        <v>699077</v>
      </c>
      <c r="I12" s="38" t="n">
        <v>1169665</v>
      </c>
      <c r="J12" s="19">
        <f>(I12-H12)/1000</f>
        <v/>
      </c>
      <c r="K12" s="16" t="inlineStr">
        <is>
          <t>Yes</t>
        </is>
      </c>
      <c r="L12" s="16" t="n">
        <v>108</v>
      </c>
      <c r="M12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3" ht="64" customHeight="1">
      <c r="A13" s="16" t="inlineStr">
        <is>
          <t>8 Jun</t>
        </is>
      </c>
      <c r="B13" s="16" t="inlineStr">
        <is>
          <t>30223</t>
        </is>
      </c>
      <c r="C13" s="16" t="n">
        <v>21815</v>
      </c>
      <c r="D13" s="16" t="n">
        <v>21795</v>
      </c>
      <c r="E13" s="16" t="n">
        <v>20356</v>
      </c>
      <c r="F13" s="38" t="n">
        <v>659950</v>
      </c>
      <c r="G13" s="38" t="n">
        <v>1169016</v>
      </c>
      <c r="H13" s="38" t="n">
        <v>699100</v>
      </c>
      <c r="I13" s="38" t="n">
        <v>1169016</v>
      </c>
      <c r="J13" s="19">
        <f>(I13-H13)/1000</f>
        <v/>
      </c>
      <c r="K13" s="16" t="inlineStr">
        <is>
          <t>Yes</t>
        </is>
      </c>
      <c r="L13" s="16" t="n">
        <v>108</v>
      </c>
      <c r="M13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4" ht="79" customHeight="1">
      <c r="A14" s="16" t="inlineStr">
        <is>
          <t>8 Jun</t>
        </is>
      </c>
      <c r="B14" s="16" t="inlineStr">
        <is>
          <t>37885</t>
        </is>
      </c>
      <c r="C14" s="16" t="n">
        <v>16146</v>
      </c>
      <c r="D14" s="16" t="n">
        <v>15810</v>
      </c>
      <c r="E14" s="16" t="n">
        <v>15637</v>
      </c>
      <c r="F14" s="38" t="n">
        <v>787542</v>
      </c>
      <c r="G14" s="38" t="n">
        <v>1424809</v>
      </c>
      <c r="H14" s="38" t="n">
        <v>787542</v>
      </c>
      <c r="I14" s="38" t="n">
        <v>1240725</v>
      </c>
      <c r="J14" s="19">
        <f>(I14-H14)/1000</f>
        <v/>
      </c>
      <c r="K14" s="16" t="inlineStr">
        <is>
          <t>Yes</t>
        </is>
      </c>
      <c r="L14" s="16" t="n">
        <v>104</v>
      </c>
      <c r="M14" s="39" t="inlineStr">
        <is>
          <t>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" ht="184" customHeight="1">
      <c r="A15" s="16" t="inlineStr">
        <is>
          <t>8 Jun</t>
        </is>
      </c>
      <c r="B15" s="16" t="inlineStr">
        <is>
          <t>30339</t>
        </is>
      </c>
      <c r="C15" s="16" t="n">
        <v>11779</v>
      </c>
      <c r="D15" s="16" t="n">
        <v>11743</v>
      </c>
      <c r="E15" s="16" t="n">
        <v>11604</v>
      </c>
      <c r="F15" s="38" t="n">
        <v>921256</v>
      </c>
      <c r="G15" s="38" t="n">
        <v>1416644</v>
      </c>
      <c r="H15" s="38" t="n">
        <v>921256</v>
      </c>
      <c r="I15" s="38" t="n">
        <v>1242950</v>
      </c>
      <c r="J15" s="19">
        <f>(I15-H15)/1000</f>
        <v/>
      </c>
      <c r="K15" s="16" t="inlineStr">
        <is>
          <t>Yes</t>
        </is>
      </c>
      <c r="L15" s="16" t="n">
        <v>78</v>
      </c>
      <c r="M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" ht="184" customHeight="1">
      <c r="A16" s="16" t="inlineStr">
        <is>
          <t>8 Jun</t>
        </is>
      </c>
      <c r="B16" s="16" t="inlineStr">
        <is>
          <t>30464</t>
        </is>
      </c>
      <c r="C16" s="16" t="n">
        <v>12056</v>
      </c>
      <c r="D16" s="16" t="n">
        <v>12030</v>
      </c>
      <c r="E16" s="16" t="n">
        <v>11899</v>
      </c>
      <c r="F16" s="38" t="n">
        <v>921484</v>
      </c>
      <c r="G16" s="38" t="n">
        <v>1423211</v>
      </c>
      <c r="H16" s="38" t="n">
        <v>921484</v>
      </c>
      <c r="I16" s="38" t="n">
        <v>1240714</v>
      </c>
      <c r="J16" s="19">
        <f>(I16-H16)/1000</f>
        <v/>
      </c>
      <c r="K16" s="16" t="inlineStr">
        <is>
          <t>Yes</t>
        </is>
      </c>
      <c r="L16" s="16" t="n">
        <v>78</v>
      </c>
      <c r="M1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" ht="184" customHeight="1">
      <c r="A17" s="16" t="inlineStr">
        <is>
          <t>8 Jun</t>
        </is>
      </c>
      <c r="B17" s="16" t="inlineStr">
        <is>
          <t>39046</t>
        </is>
      </c>
      <c r="C17" s="16" t="n">
        <v>9991</v>
      </c>
      <c r="D17" s="16" t="n">
        <v>9983</v>
      </c>
      <c r="E17" s="16" t="n">
        <v>9707</v>
      </c>
      <c r="F17" s="38" t="n">
        <v>921485</v>
      </c>
      <c r="G17" s="38" t="n">
        <v>1436130</v>
      </c>
      <c r="H17" s="38" t="n">
        <v>921485</v>
      </c>
      <c r="I17" s="38" t="n">
        <v>1240714</v>
      </c>
      <c r="J17" s="19">
        <f>(I17-H17)/1000</f>
        <v/>
      </c>
      <c r="K17" s="16" t="inlineStr">
        <is>
          <t>Yes</t>
        </is>
      </c>
      <c r="L17" s="16" t="n">
        <v>78</v>
      </c>
      <c r="M1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" ht="184" customHeight="1">
      <c r="A18" s="16" t="inlineStr">
        <is>
          <t>8 Jun</t>
        </is>
      </c>
      <c r="B18" s="16" t="inlineStr">
        <is>
          <t>39252</t>
        </is>
      </c>
      <c r="C18" s="16" t="n">
        <v>11920</v>
      </c>
      <c r="D18" s="16" t="n">
        <v>11909</v>
      </c>
      <c r="E18" s="16" t="n">
        <v>11571</v>
      </c>
      <c r="F18" s="38" t="n">
        <v>921484</v>
      </c>
      <c r="G18" s="38" t="n">
        <v>1446914</v>
      </c>
      <c r="H18" s="38" t="n">
        <v>921484</v>
      </c>
      <c r="I18" s="38" t="n">
        <v>1240712</v>
      </c>
      <c r="J18" s="19">
        <f>(I18-H18)/1000</f>
        <v/>
      </c>
      <c r="K18" s="16" t="inlineStr">
        <is>
          <t>Yes</t>
        </is>
      </c>
      <c r="L18" s="16" t="n">
        <v>78</v>
      </c>
      <c r="M1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" ht="184" customHeight="1">
      <c r="A19" s="16" t="inlineStr">
        <is>
          <t>8 Jun</t>
        </is>
      </c>
      <c r="B19" s="16" t="inlineStr">
        <is>
          <t>30335</t>
        </is>
      </c>
      <c r="C19" s="16" t="n">
        <v>12431</v>
      </c>
      <c r="D19" s="16" t="n">
        <v>12419</v>
      </c>
      <c r="E19" s="16" t="n">
        <v>11327</v>
      </c>
      <c r="F19" s="38" t="n">
        <v>921754</v>
      </c>
      <c r="G19" s="38" t="n">
        <v>1473534</v>
      </c>
      <c r="H19" s="38" t="n">
        <v>921754</v>
      </c>
      <c r="I19" s="38" t="n">
        <v>1240567</v>
      </c>
      <c r="J19" s="19">
        <f>(I19-H19)/1000</f>
        <v/>
      </c>
      <c r="K19" s="16" t="inlineStr">
        <is>
          <t>Yes</t>
        </is>
      </c>
      <c r="L19" s="16" t="n">
        <v>78</v>
      </c>
      <c r="M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84" customHeight="1">
      <c r="A20" s="16" t="inlineStr">
        <is>
          <t>8 Jun</t>
        </is>
      </c>
      <c r="B20" s="16" t="inlineStr">
        <is>
          <t>30567</t>
        </is>
      </c>
      <c r="C20" s="16" t="n">
        <v>10733</v>
      </c>
      <c r="D20" s="16" t="n">
        <v>10731</v>
      </c>
      <c r="E20" s="16" t="n">
        <v>9818</v>
      </c>
      <c r="F20" s="38" t="n">
        <v>928723</v>
      </c>
      <c r="G20" s="38" t="n">
        <v>1473357</v>
      </c>
      <c r="H20" s="38" t="n">
        <v>928723</v>
      </c>
      <c r="I20" s="38" t="n">
        <v>1240697</v>
      </c>
      <c r="J20" s="19">
        <f>(I20-H20)/1000</f>
        <v/>
      </c>
      <c r="K20" s="16" t="inlineStr">
        <is>
          <t>Yes</t>
        </is>
      </c>
      <c r="L20" s="16" t="n">
        <v>75</v>
      </c>
      <c r="M20" s="39" t="inlineStr">
        <is>
          <t>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" ht="184" customHeight="1">
      <c r="A21" s="16" t="inlineStr">
        <is>
          <t>8 Jun</t>
        </is>
      </c>
      <c r="B21" s="16" t="inlineStr">
        <is>
          <t>37540</t>
        </is>
      </c>
      <c r="C21" s="16" t="n">
        <v>6364</v>
      </c>
      <c r="D21" s="16" t="n">
        <v>6354</v>
      </c>
      <c r="E21" s="16" t="n">
        <v>6354</v>
      </c>
      <c r="F21" s="38" t="n">
        <v>735394</v>
      </c>
      <c r="G21" s="38" t="n">
        <v>1028911</v>
      </c>
      <c r="H21" s="38" t="n">
        <v>735394</v>
      </c>
      <c r="I21" s="38" t="n">
        <v>1028911</v>
      </c>
      <c r="J21" s="19">
        <f>(I21-H21)/1000</f>
        <v/>
      </c>
      <c r="K21" s="16" t="inlineStr">
        <is>
          <t>Yes</t>
        </is>
      </c>
      <c r="L21" s="16" t="n">
        <v>69</v>
      </c>
      <c r="M2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22" ht="199" customHeight="1">
      <c r="A22" s="16" t="inlineStr">
        <is>
          <t>8 Jun</t>
        </is>
      </c>
      <c r="B22" s="16" t="inlineStr">
        <is>
          <t>30752</t>
        </is>
      </c>
      <c r="C22" s="16" t="n">
        <v>23989</v>
      </c>
      <c r="D22" s="16" t="n">
        <v>23974</v>
      </c>
      <c r="E22" s="16" t="n">
        <v>23974</v>
      </c>
      <c r="F22" s="38" t="n">
        <v>920821</v>
      </c>
      <c r="G22" s="38" t="n">
        <v>1172908</v>
      </c>
      <c r="H22" s="38" t="n">
        <v>920821</v>
      </c>
      <c r="I22" s="38" t="n">
        <v>1172908</v>
      </c>
      <c r="J22" s="19">
        <f>(I22-H22)/1000</f>
        <v/>
      </c>
      <c r="K22" s="16" t="inlineStr">
        <is>
          <t>Yes</t>
        </is>
      </c>
      <c r="L22" s="16" t="n">
        <v>63</v>
      </c>
      <c r="M22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3" ht="199" customHeight="1">
      <c r="A23" s="16" t="inlineStr">
        <is>
          <t>8 Jun</t>
        </is>
      </c>
      <c r="B23" s="16" t="inlineStr">
        <is>
          <t>37257</t>
        </is>
      </c>
      <c r="C23" s="16" t="n">
        <v>32786</v>
      </c>
      <c r="D23" s="16" t="n">
        <v>32018</v>
      </c>
      <c r="E23" s="16" t="n">
        <v>32018</v>
      </c>
      <c r="F23" s="38" t="n">
        <v>920759</v>
      </c>
      <c r="G23" s="38" t="n">
        <v>1172539</v>
      </c>
      <c r="H23" s="38" t="n">
        <v>920759</v>
      </c>
      <c r="I23" s="38" t="n">
        <v>1172539</v>
      </c>
      <c r="J23" s="19">
        <f>(I23-H23)/1000</f>
        <v/>
      </c>
      <c r="K23" s="16" t="inlineStr">
        <is>
          <t>Yes</t>
        </is>
      </c>
      <c r="L23" s="16" t="n">
        <v>62</v>
      </c>
      <c r="M23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4" ht="184" customHeight="1">
      <c r="A24" s="16" t="inlineStr">
        <is>
          <t>8 Jun</t>
        </is>
      </c>
      <c r="B24" s="16" t="inlineStr">
        <is>
          <t>37507</t>
        </is>
      </c>
      <c r="C24" s="16" t="n">
        <v>10833</v>
      </c>
      <c r="D24" s="16" t="n">
        <v>10817</v>
      </c>
      <c r="E24" s="16" t="n">
        <v>9545</v>
      </c>
      <c r="F24" s="38" t="n">
        <v>657195</v>
      </c>
      <c r="G24" s="38" t="n">
        <v>944501</v>
      </c>
      <c r="H24" s="38" t="n">
        <v>699081</v>
      </c>
      <c r="I24" s="38" t="n">
        <v>944501</v>
      </c>
      <c r="J24" s="19">
        <f>(I24-H24)/1000</f>
        <v/>
      </c>
      <c r="K24" s="16" t="inlineStr">
        <is>
          <t>Yes</t>
        </is>
      </c>
      <c r="L24" s="16" t="n">
        <v>55</v>
      </c>
      <c r="M2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...(+19 more)</t>
        </is>
      </c>
    </row>
    <row r="25" ht="184" customHeight="1">
      <c r="A25" s="16" t="inlineStr">
        <is>
          <t>8 Jun</t>
        </is>
      </c>
      <c r="B25" s="16" t="inlineStr">
        <is>
          <t>30739</t>
        </is>
      </c>
      <c r="C25" s="16" t="n">
        <v>5654</v>
      </c>
      <c r="D25" s="16" t="n">
        <v>5649</v>
      </c>
      <c r="E25" s="16" t="n">
        <v>5521</v>
      </c>
      <c r="F25" s="38" t="n">
        <v>696239</v>
      </c>
      <c r="G25" s="38" t="n">
        <v>940678</v>
      </c>
      <c r="H25" s="38" t="n">
        <v>699090</v>
      </c>
      <c r="I25" s="38" t="n">
        <v>940678</v>
      </c>
      <c r="J25" s="19">
        <f>(I25-H25)/1000</f>
        <v/>
      </c>
      <c r="K25" s="16" t="inlineStr">
        <is>
          <t>Yes</t>
        </is>
      </c>
      <c r="L25" s="16" t="n">
        <v>53</v>
      </c>
      <c r="M2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...(+21 more)</t>
        </is>
      </c>
    </row>
    <row r="26" ht="184" customHeight="1">
      <c r="A26" s="16" t="inlineStr">
        <is>
          <t>8 Jun</t>
        </is>
      </c>
      <c r="B26" s="16" t="inlineStr">
        <is>
          <t>37219</t>
        </is>
      </c>
      <c r="C26" s="16" t="n">
        <v>10321</v>
      </c>
      <c r="D26" s="16" t="n">
        <v>10321</v>
      </c>
      <c r="E26" s="16" t="n">
        <v>9044</v>
      </c>
      <c r="F26" s="38" t="n">
        <v>656347</v>
      </c>
      <c r="G26" s="38" t="n">
        <v>922202</v>
      </c>
      <c r="H26" s="38" t="n">
        <v>699074</v>
      </c>
      <c r="I26" s="38" t="n">
        <v>922202</v>
      </c>
      <c r="J26" s="19">
        <f>(I26-H26)/1000</f>
        <v/>
      </c>
      <c r="K26" s="16" t="inlineStr">
        <is>
          <t>Yes</t>
        </is>
      </c>
      <c r="L26" s="16" t="n">
        <v>48</v>
      </c>
      <c r="M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...(+26 more)</t>
        </is>
      </c>
    </row>
    <row r="27" ht="184" customHeight="1">
      <c r="A27" s="16" t="inlineStr">
        <is>
          <t>8 Jun</t>
        </is>
      </c>
      <c r="B27" s="16" t="inlineStr">
        <is>
          <t>41696</t>
        </is>
      </c>
      <c r="C27" s="16" t="n">
        <v>4816</v>
      </c>
      <c r="D27" s="16" t="n">
        <v>4797</v>
      </c>
      <c r="E27" s="16" t="n">
        <v>4097</v>
      </c>
      <c r="F27" s="38" t="n">
        <v>656356</v>
      </c>
      <c r="G27" s="38" t="n">
        <v>920623</v>
      </c>
      <c r="H27" s="38" t="n">
        <v>699096</v>
      </c>
      <c r="I27" s="38" t="n">
        <v>920623</v>
      </c>
      <c r="J27" s="19">
        <f>(I27-H27)/1000</f>
        <v/>
      </c>
      <c r="K27" s="16" t="inlineStr">
        <is>
          <t>Yes</t>
        </is>
      </c>
      <c r="L27" s="16" t="n">
        <v>47</v>
      </c>
      <c r="M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8" ht="184" customHeight="1">
      <c r="A28" s="16" t="inlineStr">
        <is>
          <t>8 Jun</t>
        </is>
      </c>
      <c r="B28" s="16" t="inlineStr">
        <is>
          <t>30114</t>
        </is>
      </c>
      <c r="C28" s="16" t="n">
        <v>16490</v>
      </c>
      <c r="D28" s="16" t="n">
        <v>16490</v>
      </c>
      <c r="E28" s="16" t="n">
        <v>15563</v>
      </c>
      <c r="F28" s="38" t="n">
        <v>661171</v>
      </c>
      <c r="G28" s="38" t="n">
        <v>920244</v>
      </c>
      <c r="H28" s="38" t="n">
        <v>699072</v>
      </c>
      <c r="I28" s="38" t="n">
        <v>920244</v>
      </c>
      <c r="J28" s="19">
        <f>(I28-H28)/1000</f>
        <v/>
      </c>
      <c r="K28" s="16" t="inlineStr">
        <is>
          <t>Yes</t>
        </is>
      </c>
      <c r="L28" s="16" t="n">
        <v>47</v>
      </c>
      <c r="M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9" ht="184" customHeight="1">
      <c r="A29" s="16" t="inlineStr">
        <is>
          <t>8 Jun</t>
        </is>
      </c>
      <c r="B29" s="16" t="inlineStr">
        <is>
          <t>39243</t>
        </is>
      </c>
      <c r="C29" s="16" t="n">
        <v>8252</v>
      </c>
      <c r="D29" s="16" t="n">
        <v>8237</v>
      </c>
      <c r="E29" s="16" t="n">
        <v>7464</v>
      </c>
      <c r="F29" s="38" t="n">
        <v>1061305</v>
      </c>
      <c r="G29" s="38" t="n">
        <v>1444243</v>
      </c>
      <c r="H29" s="38" t="n">
        <v>1061305</v>
      </c>
      <c r="I29" s="38" t="n">
        <v>1242971</v>
      </c>
      <c r="J29" s="19">
        <f>(I29-H29)/1000</f>
        <v/>
      </c>
      <c r="K29" s="16" t="inlineStr">
        <is>
          <t>Yes</t>
        </is>
      </c>
      <c r="L29" s="16" t="n">
        <v>41</v>
      </c>
      <c r="M29" s="39" t="inlineStr">
        <is>
          <t>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  ...(+33 more)</t>
        </is>
      </c>
    </row>
    <row r="30" ht="184" customHeight="1">
      <c r="A30" s="16" t="inlineStr">
        <is>
          <t>8 Jun</t>
        </is>
      </c>
      <c r="B30" s="16" t="inlineStr">
        <is>
          <t>39245</t>
        </is>
      </c>
      <c r="C30" s="16" t="n">
        <v>53</v>
      </c>
      <c r="D30" s="16" t="n">
        <v>53</v>
      </c>
      <c r="E30" s="16" t="n">
        <v>53</v>
      </c>
      <c r="F30" s="38" t="n">
        <v>865955</v>
      </c>
      <c r="G30" s="38" t="n">
        <v>1026366</v>
      </c>
      <c r="H30" s="38" t="n">
        <v>865955</v>
      </c>
      <c r="I30" s="38" t="n">
        <v>1026366</v>
      </c>
      <c r="J30" s="19">
        <f>(I30-H30)/1000</f>
        <v/>
      </c>
      <c r="K30" s="16" t="inlineStr">
        <is>
          <t>Yes</t>
        </is>
      </c>
      <c r="L30" s="16" t="n">
        <v>42</v>
      </c>
      <c r="M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2.85 KM from MKX, Morak(MKX), IBH RMA-MKX  ...(+32 more)</t>
        </is>
      </c>
    </row>
    <row r="31" ht="184" customHeight="1">
      <c r="A31" s="16" t="inlineStr">
        <is>
          <t>8 Jun</t>
        </is>
      </c>
      <c r="B31" s="16" t="inlineStr">
        <is>
          <t>37366</t>
        </is>
      </c>
      <c r="C31" s="16" t="n">
        <v>8775</v>
      </c>
      <c r="D31" s="16" t="n">
        <v>8735</v>
      </c>
      <c r="E31" s="16" t="n">
        <v>8735</v>
      </c>
      <c r="F31" s="38" t="n">
        <v>920377</v>
      </c>
      <c r="G31" s="38" t="n">
        <v>1029028</v>
      </c>
      <c r="H31" s="38" t="n">
        <v>920377</v>
      </c>
      <c r="I31" s="38" t="n">
        <v>1029028</v>
      </c>
      <c r="J31" s="19">
        <f>(I31-H31)/1000</f>
        <v/>
      </c>
      <c r="K31" s="16" t="inlineStr">
        <is>
          <t>Yes</t>
        </is>
      </c>
      <c r="L31" s="16" t="n">
        <v>31</v>
      </c>
      <c r="M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2" ht="184" customHeight="1">
      <c r="A32" s="16" t="inlineStr">
        <is>
          <t>8 Jun</t>
        </is>
      </c>
      <c r="B32" s="16" t="inlineStr">
        <is>
          <t>37031</t>
        </is>
      </c>
      <c r="C32" s="16" t="n">
        <v>10554</v>
      </c>
      <c r="D32" s="16" t="n">
        <v>10495</v>
      </c>
      <c r="E32" s="16" t="n">
        <v>10495</v>
      </c>
      <c r="F32" s="38" t="n">
        <v>920372</v>
      </c>
      <c r="G32" s="38" t="n">
        <v>1028912</v>
      </c>
      <c r="H32" s="38" t="n">
        <v>920372</v>
      </c>
      <c r="I32" s="38" t="n">
        <v>1028912</v>
      </c>
      <c r="J32" s="19">
        <f>(I32-H32)/1000</f>
        <v/>
      </c>
      <c r="K32" s="16" t="inlineStr">
        <is>
          <t>Yes</t>
        </is>
      </c>
      <c r="L32" s="16" t="n">
        <v>31</v>
      </c>
      <c r="M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3" ht="184" customHeight="1">
      <c r="A33" s="16" t="inlineStr">
        <is>
          <t>8 Jun</t>
        </is>
      </c>
      <c r="B33" s="16" t="inlineStr">
        <is>
          <t>39108</t>
        </is>
      </c>
      <c r="C33" s="16" t="n">
        <v>6742</v>
      </c>
      <c r="D33" s="16" t="n">
        <v>6689</v>
      </c>
      <c r="E33" s="16" t="n">
        <v>6689</v>
      </c>
      <c r="F33" s="38" t="n">
        <v>921046</v>
      </c>
      <c r="G33" s="38" t="n">
        <v>1029022</v>
      </c>
      <c r="H33" s="38" t="n">
        <v>921046</v>
      </c>
      <c r="I33" s="38" t="n">
        <v>1029022</v>
      </c>
      <c r="J33" s="19">
        <f>(I33-H33)/1000</f>
        <v/>
      </c>
      <c r="K33" s="16" t="inlineStr">
        <is>
          <t>Yes</t>
        </is>
      </c>
      <c r="L33" s="16" t="n">
        <v>31</v>
      </c>
      <c r="M3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4" ht="184" customHeight="1">
      <c r="A34" s="16" t="inlineStr">
        <is>
          <t>8 Jun</t>
        </is>
      </c>
      <c r="B34" s="16" t="inlineStr">
        <is>
          <t>30511</t>
        </is>
      </c>
      <c r="C34" s="16" t="n">
        <v>32</v>
      </c>
      <c r="D34" s="16" t="n">
        <v>31</v>
      </c>
      <c r="E34" s="16" t="n">
        <v>27</v>
      </c>
      <c r="F34" s="38" t="n">
        <v>1611</v>
      </c>
      <c r="G34" s="38" t="n">
        <v>1023771</v>
      </c>
      <c r="H34" s="38" t="n">
        <v>923263</v>
      </c>
      <c r="I34" s="38" t="n">
        <v>1023771</v>
      </c>
      <c r="J34" s="19">
        <f>(I34-H34)/1000</f>
        <v/>
      </c>
      <c r="K34" s="16" t="inlineStr">
        <is>
          <t>Yes</t>
        </is>
      </c>
      <c r="L34" s="16" t="n">
        <v>29</v>
      </c>
      <c r="M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Kota Jn.(KOTA) CENTRAL, KOTA SOUTH  ...(+45 more)</t>
        </is>
      </c>
    </row>
    <row r="35" ht="184" customHeight="1">
      <c r="A35" s="16" t="inlineStr">
        <is>
          <t>8 Jun</t>
        </is>
      </c>
      <c r="B35" s="16" t="inlineStr">
        <is>
          <t>30572</t>
        </is>
      </c>
      <c r="C35" s="16" t="n">
        <v>3398</v>
      </c>
      <c r="D35" s="16" t="n">
        <v>3252</v>
      </c>
      <c r="E35" s="16" t="n">
        <v>2994</v>
      </c>
      <c r="F35" s="38" t="n">
        <v>1105972</v>
      </c>
      <c r="G35" s="38" t="n">
        <v>1484452</v>
      </c>
      <c r="H35" s="38" t="n">
        <v>1105972</v>
      </c>
      <c r="I35" s="38" t="n">
        <v>1189760</v>
      </c>
      <c r="J35" s="19">
        <f>(I35-H35)/1000</f>
        <v/>
      </c>
      <c r="K35" s="16" t="inlineStr">
        <is>
          <t>Yes</t>
        </is>
      </c>
      <c r="L35" s="16" t="n">
        <v>20</v>
      </c>
      <c r="M35" s="39" t="inlineStr">
        <is>
          <t>IBH 265, Murhesi Rampur(MSRP), IBH/LC-258, Jajjanpatti(JJA), DhaurmuiJaghina(DUM), IBH-247, Bharatpur Jn.(BTE), IBH-242, Sewar(SWAR), IBH-JCU, LC-232,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  ...(+54 more)</t>
        </is>
      </c>
    </row>
    <row r="36" ht="184" customHeight="1">
      <c r="A36" s="16" t="inlineStr">
        <is>
          <t>8 Jun</t>
        </is>
      </c>
      <c r="B36" s="16" t="inlineStr">
        <is>
          <t>30435</t>
        </is>
      </c>
      <c r="C36" s="16" t="n">
        <v>8299</v>
      </c>
      <c r="D36" s="16" t="n">
        <v>8278</v>
      </c>
      <c r="E36" s="16" t="n">
        <v>4114</v>
      </c>
      <c r="F36" s="38" t="n">
        <v>1160857</v>
      </c>
      <c r="G36" s="38" t="n">
        <v>1484782</v>
      </c>
      <c r="H36" s="38" t="n">
        <v>1160857</v>
      </c>
      <c r="I36" s="38" t="n">
        <v>1242964</v>
      </c>
      <c r="J36" s="19">
        <f>(I36-H36)/1000</f>
        <v/>
      </c>
      <c r="K36" s="16" t="inlineStr">
        <is>
          <t>Yes</t>
        </is>
      </c>
      <c r="L36" s="16" t="n">
        <v>21</v>
      </c>
      <c r="M36" s="39" t="inlineStr">
        <is>
          <t>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  ...(+53 more)</t>
        </is>
      </c>
    </row>
    <row r="37" ht="184" customHeight="1">
      <c r="A37" s="16" t="inlineStr">
        <is>
          <t>8 Jun</t>
        </is>
      </c>
      <c r="B37" s="16" t="inlineStr">
        <is>
          <t>37131</t>
        </is>
      </c>
      <c r="C37" s="16" t="n">
        <v>2689</v>
      </c>
      <c r="D37" s="16" t="n">
        <v>2689</v>
      </c>
      <c r="E37" s="16" t="n">
        <v>1727</v>
      </c>
      <c r="F37" s="38" t="n">
        <v>657181</v>
      </c>
      <c r="G37" s="38" t="n">
        <v>756290</v>
      </c>
      <c r="H37" s="38" t="n">
        <v>699072</v>
      </c>
      <c r="I37" s="38" t="n">
        <v>756290</v>
      </c>
      <c r="J37" s="19">
        <f>(I37-H37)/1000</f>
        <v/>
      </c>
      <c r="K37" s="16" t="inlineStr">
        <is>
          <t>Yes</t>
        </is>
      </c>
      <c r="L37" s="16" t="n">
        <v>15</v>
      </c>
      <c r="M3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38" ht="184" customHeight="1">
      <c r="A38" s="16" t="inlineStr">
        <is>
          <t>8 Jun</t>
        </is>
      </c>
      <c r="B38" s="16" t="inlineStr">
        <is>
          <t>30488</t>
        </is>
      </c>
      <c r="C38" s="16" t="n">
        <v>2397</v>
      </c>
      <c r="D38" s="16" t="n">
        <v>2392</v>
      </c>
      <c r="E38" s="16" t="n">
        <v>2392</v>
      </c>
      <c r="F38" s="38" t="n">
        <v>920532</v>
      </c>
      <c r="G38" s="38" t="n">
        <v>967911</v>
      </c>
      <c r="H38" s="38" t="n">
        <v>920532</v>
      </c>
      <c r="I38" s="38" t="n">
        <v>967911</v>
      </c>
      <c r="J38" s="19">
        <f>(I38-H38)/1000</f>
        <v/>
      </c>
      <c r="K38" s="16" t="inlineStr">
        <is>
          <t>Yes</t>
        </is>
      </c>
      <c r="L38" s="16" t="n">
        <v>16</v>
      </c>
      <c r="M3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...(+58 more)</t>
        </is>
      </c>
    </row>
    <row r="39" ht="184" customHeight="1">
      <c r="A39" s="16" t="inlineStr">
        <is>
          <t>8 Jun</t>
        </is>
      </c>
      <c r="B39" s="16" t="inlineStr">
        <is>
          <t>37818</t>
        </is>
      </c>
      <c r="C39" s="16" t="n">
        <v>2763</v>
      </c>
      <c r="D39" s="16" t="n">
        <v>2763</v>
      </c>
      <c r="E39" s="16" t="n">
        <v>1173</v>
      </c>
      <c r="F39" s="38" t="n">
        <v>657067</v>
      </c>
      <c r="G39" s="38" t="n">
        <v>731316</v>
      </c>
      <c r="H39" s="38" t="n">
        <v>699072</v>
      </c>
      <c r="I39" s="38" t="n">
        <v>731316</v>
      </c>
      <c r="J39" s="19">
        <f>(I39-H39)/1000</f>
        <v/>
      </c>
      <c r="K39" s="16" t="inlineStr">
        <is>
          <t>Yes</t>
        </is>
      </c>
      <c r="L39" s="16" t="n">
        <v>8</v>
      </c>
      <c r="M3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...(+66 more)</t>
        </is>
      </c>
    </row>
    <row r="40" ht="184" customHeight="1">
      <c r="A40" s="16" t="inlineStr">
        <is>
          <t>8 Jun</t>
        </is>
      </c>
      <c r="B40" s="16" t="inlineStr">
        <is>
          <t>37664</t>
        </is>
      </c>
      <c r="C40" s="16" t="n">
        <v>22</v>
      </c>
      <c r="D40" s="16" t="n">
        <v>22</v>
      </c>
      <c r="E40" s="16" t="n">
        <v>13</v>
      </c>
      <c r="F40" s="38" t="n">
        <v>1227294</v>
      </c>
      <c r="G40" s="38" t="n">
        <v>1422649</v>
      </c>
      <c r="H40" s="38" t="n">
        <v>1227294</v>
      </c>
      <c r="I40" s="38" t="n">
        <v>1240131</v>
      </c>
      <c r="J40" s="19">
        <f>(I40-H40)/1000</f>
        <v/>
      </c>
      <c r="K40" s="16" t="inlineStr">
        <is>
          <t>Yes</t>
        </is>
      </c>
      <c r="L40" s="16" t="n">
        <v>4</v>
      </c>
      <c r="M40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41" ht="184" customHeight="1">
      <c r="A41" s="16" t="inlineStr">
        <is>
          <t>8 Jun</t>
        </is>
      </c>
      <c r="B41" s="16" t="inlineStr">
        <is>
          <t>30665</t>
        </is>
      </c>
      <c r="C41" s="16" t="n">
        <v>789</v>
      </c>
      <c r="D41" s="16" t="n">
        <v>787</v>
      </c>
      <c r="E41" s="16" t="n">
        <v>40</v>
      </c>
      <c r="F41" s="38" t="n">
        <v>1231390</v>
      </c>
      <c r="G41" s="38" t="n">
        <v>1474419</v>
      </c>
      <c r="H41" s="38" t="n">
        <v>1231390</v>
      </c>
      <c r="I41" s="38" t="n">
        <v>1243233</v>
      </c>
      <c r="J41" s="19">
        <f>(I41-H41)/1000</f>
        <v/>
      </c>
      <c r="K41" s="16" t="inlineStr">
        <is>
          <t>Yes</t>
        </is>
      </c>
      <c r="L41" s="16" t="n">
        <v>3</v>
      </c>
      <c r="M41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42" ht="184" customHeight="1">
      <c r="A42" s="16" t="inlineStr">
        <is>
          <t>8 Jun</t>
        </is>
      </c>
      <c r="B42" s="16" t="inlineStr">
        <is>
          <t>37056</t>
        </is>
      </c>
      <c r="C42" s="16" t="n">
        <v>664</v>
      </c>
      <c r="D42" s="16" t="n">
        <v>656</v>
      </c>
      <c r="E42" s="16" t="n">
        <v>656</v>
      </c>
      <c r="F42" s="38" t="n">
        <v>921756</v>
      </c>
      <c r="G42" s="38" t="n">
        <v>931399</v>
      </c>
      <c r="H42" s="38" t="n">
        <v>921756</v>
      </c>
      <c r="I42" s="38" t="n">
        <v>931399</v>
      </c>
      <c r="J42" s="19">
        <f>(I42-H42)/1000</f>
        <v/>
      </c>
      <c r="K42" s="16" t="inlineStr">
        <is>
          <t>Yes</t>
        </is>
      </c>
      <c r="L42" s="16" t="n">
        <v>5</v>
      </c>
      <c r="M4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...(+69 more)</t>
        </is>
      </c>
    </row>
    <row r="43" ht="184" customHeight="1">
      <c r="A43" s="16" t="inlineStr">
        <is>
          <t>8 Jun</t>
        </is>
      </c>
      <c r="B43" s="16" t="inlineStr">
        <is>
          <t>32145</t>
        </is>
      </c>
      <c r="C43" s="16" t="n">
        <v>75</v>
      </c>
      <c r="D43" s="16" t="n">
        <v>56</v>
      </c>
      <c r="E43" s="16" t="n">
        <v>56</v>
      </c>
      <c r="F43" s="38" t="n">
        <v>1211513</v>
      </c>
      <c r="G43" s="38" t="n">
        <v>1211570</v>
      </c>
      <c r="H43" s="38" t="n">
        <v>1211513</v>
      </c>
      <c r="I43" s="38" t="n">
        <v>1211570</v>
      </c>
      <c r="J43" s="19">
        <f>(I43-H43)/1000</f>
        <v/>
      </c>
      <c r="K43" s="16" t="inlineStr">
        <is>
          <t>Yes</t>
        </is>
      </c>
      <c r="L43" s="16" t="n">
        <v>1</v>
      </c>
      <c r="M43" s="39" t="inlineStr">
        <is>
          <t>IBH 265, Murhesi Rampur(MSRP), IBH/LC-258, Jajjanpatti(JJA), DhaurmuiJaghina(DUM), IBH-247,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44" ht="184" customHeight="1">
      <c r="A44" s="31" t="inlineStr">
        <is>
          <t>8 Jun</t>
        </is>
      </c>
      <c r="B44" s="31" t="inlineStr">
        <is>
          <t>30006</t>
        </is>
      </c>
      <c r="C44" s="31" t="n">
        <v>595</v>
      </c>
      <c r="D44" s="31" t="n">
        <v>595</v>
      </c>
      <c r="E44" s="31" t="n">
        <v>0</v>
      </c>
      <c r="F44" s="40" t="n">
        <v>1401566</v>
      </c>
      <c r="G44" s="40" t="n">
        <v>1435360</v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" ht="184" customHeight="1">
      <c r="A45" s="31" t="inlineStr">
        <is>
          <t>8 Jun</t>
        </is>
      </c>
      <c r="B45" s="31" t="inlineStr">
        <is>
          <t>30206</t>
        </is>
      </c>
      <c r="C45" s="31" t="n">
        <v>844</v>
      </c>
      <c r="D45" s="31" t="n">
        <v>842</v>
      </c>
      <c r="E45" s="31" t="n">
        <v>0</v>
      </c>
      <c r="F45" s="40" t="n">
        <v>1401680</v>
      </c>
      <c r="G45" s="40" t="n">
        <v>1438423</v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6" ht="184" customHeight="1">
      <c r="A46" s="31" t="inlineStr">
        <is>
          <t>8 Jun</t>
        </is>
      </c>
      <c r="B46" s="31" t="inlineStr">
        <is>
          <t>30336</t>
        </is>
      </c>
      <c r="C46" s="31" t="n">
        <v>290</v>
      </c>
      <c r="D46" s="31" t="n">
        <v>290</v>
      </c>
      <c r="E46" s="31" t="n">
        <v>0</v>
      </c>
      <c r="F46" s="40" t="n">
        <v>1401409</v>
      </c>
      <c r="G46" s="40" t="n">
        <v>1422939</v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1" t="inlineStr">
        <is>
          <t>8 Jun</t>
        </is>
      </c>
      <c r="B47" s="31" t="inlineStr">
        <is>
          <t>30543</t>
        </is>
      </c>
      <c r="C47" s="31" t="n">
        <v>542</v>
      </c>
      <c r="D47" s="31" t="n">
        <v>541</v>
      </c>
      <c r="E47" s="31" t="n">
        <v>0</v>
      </c>
      <c r="F47" s="40" t="n">
        <v>1401375</v>
      </c>
      <c r="G47" s="40" t="n">
        <v>1436390</v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1" t="inlineStr">
        <is>
          <t>8 Jun</t>
        </is>
      </c>
      <c r="B48" s="31" t="inlineStr">
        <is>
          <t>30576</t>
        </is>
      </c>
      <c r="C48" s="31" t="n">
        <v>1127</v>
      </c>
      <c r="D48" s="31" t="n">
        <v>1126</v>
      </c>
      <c r="E48" s="31" t="n">
        <v>0</v>
      </c>
      <c r="F48" s="40" t="n">
        <v>1401357</v>
      </c>
      <c r="G48" s="40" t="n">
        <v>1444143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1" t="inlineStr">
        <is>
          <t>No</t>
        </is>
      </c>
      <c r="L48" s="31" t="n">
        <v>0</v>
      </c>
      <c r="M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1" t="inlineStr">
        <is>
          <t>8 Jun</t>
        </is>
      </c>
      <c r="B49" s="31" t="inlineStr">
        <is>
          <t>37120</t>
        </is>
      </c>
      <c r="C49" s="31" t="n">
        <v>737</v>
      </c>
      <c r="D49" s="31" t="n">
        <v>737</v>
      </c>
      <c r="E49" s="31" t="n">
        <v>0</v>
      </c>
      <c r="F49" s="40" t="n">
        <v>1401325</v>
      </c>
      <c r="G49" s="40" t="n">
        <v>1436374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1" t="inlineStr">
        <is>
          <t>8 Jun</t>
        </is>
      </c>
      <c r="B50" s="31" t="inlineStr">
        <is>
          <t>37134</t>
        </is>
      </c>
      <c r="C50" s="31" t="n">
        <v>293</v>
      </c>
      <c r="D50" s="31" t="n">
        <v>293</v>
      </c>
      <c r="E50" s="31" t="n">
        <v>0</v>
      </c>
      <c r="F50" s="40" t="n">
        <v>1297236</v>
      </c>
      <c r="G50" s="40" t="n">
        <v>1347019</v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1" t="inlineStr">
        <is>
          <t>8 Jun</t>
        </is>
      </c>
      <c r="B51" s="31" t="inlineStr">
        <is>
          <t>37314</t>
        </is>
      </c>
      <c r="C51" s="31" t="n">
        <v>275</v>
      </c>
      <c r="D51" s="31" t="n">
        <v>275</v>
      </c>
      <c r="E51" s="31" t="n">
        <v>0</v>
      </c>
      <c r="F51" s="40" t="n">
        <v>1401737</v>
      </c>
      <c r="G51" s="40" t="n">
        <v>1435607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1" t="inlineStr">
        <is>
          <t>8 Jun</t>
        </is>
      </c>
      <c r="B52" s="31" t="inlineStr">
        <is>
          <t>37328</t>
        </is>
      </c>
      <c r="C52" s="31" t="n">
        <v>828</v>
      </c>
      <c r="D52" s="31" t="n">
        <v>828</v>
      </c>
      <c r="E52" s="31" t="n">
        <v>0</v>
      </c>
      <c r="F52" s="40" t="n">
        <v>657571</v>
      </c>
      <c r="G52" s="40" t="n">
        <v>695495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1" t="inlineStr">
        <is>
          <t>8 Jun</t>
        </is>
      </c>
      <c r="B53" s="31" t="inlineStr">
        <is>
          <t>37339</t>
        </is>
      </c>
      <c r="C53" s="31" t="n">
        <v>345</v>
      </c>
      <c r="D53" s="31" t="n">
        <v>345</v>
      </c>
      <c r="E53" s="31" t="n">
        <v>0</v>
      </c>
      <c r="F53" s="40" t="n">
        <v>1401763</v>
      </c>
      <c r="G53" s="40" t="n">
        <v>1447996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1" t="inlineStr">
        <is>
          <t>8 Jun</t>
        </is>
      </c>
      <c r="B54" s="31" t="inlineStr">
        <is>
          <t>37380</t>
        </is>
      </c>
      <c r="C54" s="31" t="n">
        <v>7</v>
      </c>
      <c r="D54" s="31" t="n">
        <v>7</v>
      </c>
      <c r="E54" s="31" t="n">
        <v>0</v>
      </c>
      <c r="F54" s="40" t="n">
        <v>1281518</v>
      </c>
      <c r="G54" s="40" t="n">
        <v>1286208</v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1" t="inlineStr">
        <is>
          <t>8 Jun</t>
        </is>
      </c>
      <c r="B55" s="31" t="inlineStr">
        <is>
          <t>37420</t>
        </is>
      </c>
      <c r="C55" s="31" t="n">
        <v>530</v>
      </c>
      <c r="D55" s="31" t="n">
        <v>529</v>
      </c>
      <c r="E55" s="31" t="n">
        <v>0</v>
      </c>
      <c r="F55" s="40" t="n">
        <v>1401349</v>
      </c>
      <c r="G55" s="40" t="n">
        <v>1436355</v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1" t="inlineStr">
        <is>
          <t>8 Jun</t>
        </is>
      </c>
      <c r="B56" s="31" t="inlineStr">
        <is>
          <t>37467</t>
        </is>
      </c>
      <c r="C56" s="31" t="n">
        <v>26</v>
      </c>
      <c r="D56" s="31" t="n">
        <v>0</v>
      </c>
      <c r="E56" s="31" t="n">
        <v>0</v>
      </c>
      <c r="F56" s="40" t="inlineStr">
        <is>
          <t>-</t>
        </is>
      </c>
      <c r="G56" s="40" t="inlineStr">
        <is>
          <t>-</t>
        </is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1" t="inlineStr">
        <is>
          <t>8 Jun</t>
        </is>
      </c>
      <c r="B57" s="31" t="inlineStr">
        <is>
          <t>37552</t>
        </is>
      </c>
      <c r="C57" s="31" t="n">
        <v>289</v>
      </c>
      <c r="D57" s="31" t="n">
        <v>286</v>
      </c>
      <c r="E57" s="31" t="n">
        <v>0</v>
      </c>
      <c r="F57" s="40" t="n">
        <v>1401689</v>
      </c>
      <c r="G57" s="40" t="n">
        <v>1426151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1" t="inlineStr">
        <is>
          <t>8 Jun</t>
        </is>
      </c>
      <c r="B58" s="31" t="inlineStr">
        <is>
          <t>37725</t>
        </is>
      </c>
      <c r="C58" s="31" t="n">
        <v>574</v>
      </c>
      <c r="D58" s="31" t="n">
        <v>572</v>
      </c>
      <c r="E58" s="31" t="n">
        <v>0</v>
      </c>
      <c r="F58" s="40" t="n">
        <v>1401713</v>
      </c>
      <c r="G58" s="40" t="n">
        <v>1440626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1" t="inlineStr">
        <is>
          <t>8 Jun</t>
        </is>
      </c>
      <c r="B59" s="31" t="inlineStr">
        <is>
          <t>37858</t>
        </is>
      </c>
      <c r="C59" s="31" t="n">
        <v>1658</v>
      </c>
      <c r="D59" s="31" t="n">
        <v>1658</v>
      </c>
      <c r="E59" s="31" t="n">
        <v>0</v>
      </c>
      <c r="F59" s="40" t="n">
        <v>1401358</v>
      </c>
      <c r="G59" s="40" t="n">
        <v>1483757</v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1" t="inlineStr">
        <is>
          <t>8 Jun</t>
        </is>
      </c>
      <c r="B60" s="31" t="inlineStr">
        <is>
          <t>39105</t>
        </is>
      </c>
      <c r="C60" s="31" t="n">
        <v>272</v>
      </c>
      <c r="D60" s="31" t="n">
        <v>271</v>
      </c>
      <c r="E60" s="31" t="n">
        <v>0</v>
      </c>
      <c r="F60" s="40" t="n">
        <v>1401680</v>
      </c>
      <c r="G60" s="40" t="n">
        <v>1436601</v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1" t="inlineStr">
        <is>
          <t>8 Jun</t>
        </is>
      </c>
      <c r="B61" s="31" t="inlineStr">
        <is>
          <t>39131</t>
        </is>
      </c>
      <c r="C61" s="31" t="n">
        <v>808</v>
      </c>
      <c r="D61" s="31" t="n">
        <v>808</v>
      </c>
      <c r="E61" s="31" t="n">
        <v>0</v>
      </c>
      <c r="F61" s="40" t="n">
        <v>657003</v>
      </c>
      <c r="G61" s="40" t="n">
        <v>695573</v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1" t="inlineStr">
        <is>
          <t>No</t>
        </is>
      </c>
      <c r="L61" s="31" t="n">
        <v>0</v>
      </c>
      <c r="M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2" ht="184" customHeight="1">
      <c r="A62" s="31" t="inlineStr">
        <is>
          <t>8 Jun</t>
        </is>
      </c>
      <c r="B62" s="31" t="inlineStr">
        <is>
          <t>39264</t>
        </is>
      </c>
      <c r="C62" s="31" t="n">
        <v>1092</v>
      </c>
      <c r="D62" s="31" t="n">
        <v>1089</v>
      </c>
      <c r="E62" s="31" t="n">
        <v>0</v>
      </c>
      <c r="F62" s="40" t="n">
        <v>1275157</v>
      </c>
      <c r="G62" s="40" t="n">
        <v>1448942</v>
      </c>
      <c r="H62" s="40" t="inlineStr">
        <is>
          <t>-</t>
        </is>
      </c>
      <c r="I62" s="40" t="inlineStr">
        <is>
          <t>-</t>
        </is>
      </c>
      <c r="J62" s="41" t="n">
        <v>0</v>
      </c>
      <c r="K62" s="31" t="inlineStr">
        <is>
          <t>No</t>
        </is>
      </c>
      <c r="L62" s="31" t="n">
        <v>0</v>
      </c>
      <c r="M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3" ht="184" customHeight="1">
      <c r="A63" s="31" t="inlineStr">
        <is>
          <t>8 Jun</t>
        </is>
      </c>
      <c r="B63" s="31" t="inlineStr">
        <is>
          <t>45049</t>
        </is>
      </c>
      <c r="C63" s="31" t="n">
        <v>1449</v>
      </c>
      <c r="D63" s="31" t="n">
        <v>1447</v>
      </c>
      <c r="E63" s="31" t="n">
        <v>0</v>
      </c>
      <c r="F63" s="40" t="n">
        <v>1401735</v>
      </c>
      <c r="G63" s="40" t="n">
        <v>1476354</v>
      </c>
      <c r="H63" s="40" t="inlineStr">
        <is>
          <t>-</t>
        </is>
      </c>
      <c r="I63" s="40" t="inlineStr">
        <is>
          <t>-</t>
        </is>
      </c>
      <c r="J63" s="41" t="n">
        <v>0</v>
      </c>
      <c r="K63" s="31" t="inlineStr">
        <is>
          <t>No</t>
        </is>
      </c>
      <c r="L63" s="31" t="n">
        <v>0</v>
      </c>
      <c r="M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4" ht="184" customHeight="1">
      <c r="A64" s="31" t="inlineStr">
        <is>
          <t>8 Jun</t>
        </is>
      </c>
      <c r="B64" s="31" t="inlineStr">
        <is>
          <t>52196</t>
        </is>
      </c>
      <c r="C64" s="31" t="n">
        <v>5866</v>
      </c>
      <c r="D64" s="31" t="n">
        <v>5772</v>
      </c>
      <c r="E64" s="31" t="n">
        <v>0</v>
      </c>
      <c r="F64" s="40" t="n">
        <v>143307</v>
      </c>
      <c r="G64" s="40" t="n">
        <v>155184</v>
      </c>
      <c r="H64" s="40" t="inlineStr">
        <is>
          <t>-</t>
        </is>
      </c>
      <c r="I64" s="40" t="inlineStr">
        <is>
          <t>-</t>
        </is>
      </c>
      <c r="J64" s="41" t="n">
        <v>0</v>
      </c>
      <c r="K64" s="31" t="inlineStr">
        <is>
          <t>No</t>
        </is>
      </c>
      <c r="L64" s="31" t="n">
        <v>0</v>
      </c>
      <c r="M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5">
      <c r="A65" s="16" t="inlineStr">
        <is>
          <t>9 Jun</t>
        </is>
      </c>
      <c r="B65" s="16" t="inlineStr">
        <is>
          <t>37073</t>
        </is>
      </c>
      <c r="C65" s="16" t="n">
        <v>36053</v>
      </c>
      <c r="D65" s="16" t="n">
        <v>35975</v>
      </c>
      <c r="E65" s="16" t="n">
        <v>33868</v>
      </c>
      <c r="F65" s="38" t="n">
        <v>695668</v>
      </c>
      <c r="G65" s="38" t="n">
        <v>1476790</v>
      </c>
      <c r="H65" s="38" t="n">
        <v>699076</v>
      </c>
      <c r="I65" s="38" t="n">
        <v>1242984</v>
      </c>
      <c r="J65" s="19">
        <f>(I65-H65)/1000</f>
        <v/>
      </c>
      <c r="K65" s="16" t="inlineStr">
        <is>
          <t>Yes</t>
        </is>
      </c>
      <c r="L65" s="16" t="n">
        <v>124</v>
      </c>
      <c r="M65" s="39" t="inlineStr">
        <is>
          <t>- (full trip)</t>
        </is>
      </c>
    </row>
    <row r="66">
      <c r="A66" s="16" t="inlineStr">
        <is>
          <t>9 Jun</t>
        </is>
      </c>
      <c r="B66" s="16" t="inlineStr">
        <is>
          <t>30240</t>
        </is>
      </c>
      <c r="C66" s="16" t="n">
        <v>19360</v>
      </c>
      <c r="D66" s="16" t="n">
        <v>19321</v>
      </c>
      <c r="E66" s="16" t="n">
        <v>17158</v>
      </c>
      <c r="F66" s="38" t="n">
        <v>661915</v>
      </c>
      <c r="G66" s="38" t="n">
        <v>1469224</v>
      </c>
      <c r="H66" s="38" t="n">
        <v>699347</v>
      </c>
      <c r="I66" s="38" t="n">
        <v>1242712</v>
      </c>
      <c r="J66" s="19">
        <f>(I66-H66)/1000</f>
        <v/>
      </c>
      <c r="K66" s="16" t="inlineStr">
        <is>
          <t>Yes</t>
        </is>
      </c>
      <c r="L66" s="16" t="n">
        <v>124</v>
      </c>
      <c r="M66" s="39" t="inlineStr">
        <is>
          <t>- (full trip)</t>
        </is>
      </c>
    </row>
    <row r="67">
      <c r="A67" s="16" t="inlineStr">
        <is>
          <t>9 Jun</t>
        </is>
      </c>
      <c r="B67" s="16" t="inlineStr">
        <is>
          <t>37019</t>
        </is>
      </c>
      <c r="C67" s="16" t="n">
        <v>22946</v>
      </c>
      <c r="D67" s="16" t="n">
        <v>22917</v>
      </c>
      <c r="E67" s="16" t="n">
        <v>18979</v>
      </c>
      <c r="F67" s="38" t="n">
        <v>657138</v>
      </c>
      <c r="G67" s="38" t="n">
        <v>1498928</v>
      </c>
      <c r="H67" s="38" t="n">
        <v>699092</v>
      </c>
      <c r="I67" s="38" t="n">
        <v>1240604</v>
      </c>
      <c r="J67" s="19">
        <f>(I67-H67)/1000</f>
        <v/>
      </c>
      <c r="K67" s="16" t="inlineStr">
        <is>
          <t>Yes</t>
        </is>
      </c>
      <c r="L67" s="16" t="n">
        <v>124</v>
      </c>
      <c r="M67" s="39" t="inlineStr">
        <is>
          <t>- (full trip)</t>
        </is>
      </c>
    </row>
    <row r="68" ht="64" customHeight="1">
      <c r="A68" s="16" t="inlineStr">
        <is>
          <t>9 Jun</t>
        </is>
      </c>
      <c r="B68" s="16" t="inlineStr">
        <is>
          <t>37818</t>
        </is>
      </c>
      <c r="C68" s="16" t="n">
        <v>20999</v>
      </c>
      <c r="D68" s="16" t="n">
        <v>20946</v>
      </c>
      <c r="E68" s="16" t="n">
        <v>20946</v>
      </c>
      <c r="F68" s="38" t="n">
        <v>731233</v>
      </c>
      <c r="G68" s="38" t="n">
        <v>1211618</v>
      </c>
      <c r="H68" s="38" t="n">
        <v>731233</v>
      </c>
      <c r="I68" s="38" t="n">
        <v>1211618</v>
      </c>
      <c r="J68" s="19">
        <f>(I68-H68)/1000</f>
        <v/>
      </c>
      <c r="K68" s="16" t="inlineStr">
        <is>
          <t>Yes</t>
        </is>
      </c>
      <c r="L68" s="16" t="n">
        <v>111</v>
      </c>
      <c r="M68" s="39" t="inlineStr">
        <is>
          <t>IBH 265, Murhesi Rampur(MSRP), IBH/LC-258, Jajjanpatti(JJA), DhaurmuiJaghina(DUM), IBH-247, LuniRichha(LNR), IBH-10, Mehidpur Road(MEP), 3.9 KM  from RLK, Rohalkhurd(RLK), LC-3, IBH-1</t>
        </is>
      </c>
    </row>
    <row r="69" ht="79" customHeight="1">
      <c r="A69" s="16" t="inlineStr">
        <is>
          <t>9 Jun</t>
        </is>
      </c>
      <c r="B69" s="16" t="inlineStr">
        <is>
          <t>30435</t>
        </is>
      </c>
      <c r="C69" s="16" t="n">
        <v>25557</v>
      </c>
      <c r="D69" s="16" t="n">
        <v>25453</v>
      </c>
      <c r="E69" s="16" t="n">
        <v>23913</v>
      </c>
      <c r="F69" s="38" t="n">
        <v>657153</v>
      </c>
      <c r="G69" s="38" t="n">
        <v>1160672</v>
      </c>
      <c r="H69" s="38" t="n">
        <v>699081</v>
      </c>
      <c r="I69" s="38" t="n">
        <v>1160672</v>
      </c>
      <c r="J69" s="19">
        <f>(I69-H69)/1000</f>
        <v/>
      </c>
      <c r="K69" s="16" t="inlineStr">
        <is>
          <t>Yes</t>
        </is>
      </c>
      <c r="L69" s="16" t="n">
        <v>104</v>
      </c>
      <c r="M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</t>
        </is>
      </c>
    </row>
    <row r="70" ht="139" customHeight="1">
      <c r="A70" s="16" t="inlineStr">
        <is>
          <t>9 Jun</t>
        </is>
      </c>
      <c r="B70" s="16" t="inlineStr">
        <is>
          <t>39243</t>
        </is>
      </c>
      <c r="C70" s="16" t="n">
        <v>13970</v>
      </c>
      <c r="D70" s="16" t="n">
        <v>13970</v>
      </c>
      <c r="E70" s="16" t="n">
        <v>12830</v>
      </c>
      <c r="F70" s="38" t="n">
        <v>657158</v>
      </c>
      <c r="G70" s="38" t="n">
        <v>1061363</v>
      </c>
      <c r="H70" s="38" t="n">
        <v>699079</v>
      </c>
      <c r="I70" s="38" t="n">
        <v>1061363</v>
      </c>
      <c r="J70" s="19">
        <f>(I70-H70)/1000</f>
        <v/>
      </c>
      <c r="K70" s="16" t="inlineStr">
        <is>
          <t>Yes</t>
        </is>
      </c>
      <c r="L70" s="16" t="n">
        <v>85</v>
      </c>
      <c r="M7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</t>
        </is>
      </c>
    </row>
    <row r="71" ht="169" customHeight="1">
      <c r="A71" s="16" t="inlineStr">
        <is>
          <t>9 Jun</t>
        </is>
      </c>
      <c r="B71" s="16" t="inlineStr">
        <is>
          <t>37286</t>
        </is>
      </c>
      <c r="C71" s="16" t="n">
        <v>15235</v>
      </c>
      <c r="D71" s="16" t="n">
        <v>15193</v>
      </c>
      <c r="E71" s="16" t="n">
        <v>14104</v>
      </c>
      <c r="F71" s="38" t="n">
        <v>906468</v>
      </c>
      <c r="G71" s="38" t="n">
        <v>1455547</v>
      </c>
      <c r="H71" s="38" t="n">
        <v>906468</v>
      </c>
      <c r="I71" s="38" t="n">
        <v>1242970</v>
      </c>
      <c r="J71" s="19">
        <f>(I71-H71)/1000</f>
        <v/>
      </c>
      <c r="K71" s="16" t="inlineStr">
        <is>
          <t>Yes</t>
        </is>
      </c>
      <c r="L71" s="16" t="n">
        <v>81</v>
      </c>
      <c r="M71" s="39" t="inlineStr">
        <is>
          <t>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2" ht="169" customHeight="1">
      <c r="A72" s="16" t="inlineStr">
        <is>
          <t>9 Jun</t>
        </is>
      </c>
      <c r="B72" s="16" t="inlineStr">
        <is>
          <t>39466</t>
        </is>
      </c>
      <c r="C72" s="16" t="n">
        <v>29039</v>
      </c>
      <c r="D72" s="16" t="n">
        <v>28945</v>
      </c>
      <c r="E72" s="16" t="n">
        <v>27898</v>
      </c>
      <c r="F72" s="38" t="n">
        <v>657175</v>
      </c>
      <c r="G72" s="38" t="n">
        <v>1029599</v>
      </c>
      <c r="H72" s="38" t="n">
        <v>699081</v>
      </c>
      <c r="I72" s="38" t="n">
        <v>1029599</v>
      </c>
      <c r="J72" s="19">
        <f>(I72-H72)/1000</f>
        <v/>
      </c>
      <c r="K72" s="16" t="inlineStr">
        <is>
          <t>Yes</t>
        </is>
      </c>
      <c r="L72" s="16" t="n">
        <v>77</v>
      </c>
      <c r="M7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3" ht="169" customHeight="1">
      <c r="A73" s="16" t="inlineStr">
        <is>
          <t>9 Jun</t>
        </is>
      </c>
      <c r="B73" s="16" t="inlineStr">
        <is>
          <t>39035</t>
        </is>
      </c>
      <c r="C73" s="16" t="n">
        <v>13463</v>
      </c>
      <c r="D73" s="16" t="n">
        <v>13339</v>
      </c>
      <c r="E73" s="16" t="n">
        <v>11833</v>
      </c>
      <c r="F73" s="38" t="n">
        <v>918903</v>
      </c>
      <c r="G73" s="38" t="n">
        <v>1476764</v>
      </c>
      <c r="H73" s="38" t="n">
        <v>918903</v>
      </c>
      <c r="I73" s="38" t="n">
        <v>1242965</v>
      </c>
      <c r="J73" s="19">
        <f>(I73-H73)/1000</f>
        <v/>
      </c>
      <c r="K73" s="16" t="inlineStr">
        <is>
          <t>Yes</t>
        </is>
      </c>
      <c r="L73" s="16" t="n">
        <v>79</v>
      </c>
      <c r="M73" s="39" t="inlineStr">
        <is>
          <t>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4" ht="184" customHeight="1">
      <c r="A74" s="16" t="inlineStr">
        <is>
          <t>9 Jun</t>
        </is>
      </c>
      <c r="B74" s="16" t="inlineStr">
        <is>
          <t>30466</t>
        </is>
      </c>
      <c r="C74" s="16" t="n">
        <v>11373</v>
      </c>
      <c r="D74" s="16" t="n">
        <v>11333</v>
      </c>
      <c r="E74" s="16" t="n">
        <v>11333</v>
      </c>
      <c r="F74" s="38" t="n">
        <v>921250</v>
      </c>
      <c r="G74" s="38" t="n">
        <v>1242966</v>
      </c>
      <c r="H74" s="38" t="n">
        <v>921250</v>
      </c>
      <c r="I74" s="38" t="n">
        <v>1242966</v>
      </c>
      <c r="J74" s="19">
        <f>(I74-H74)/1000</f>
        <v/>
      </c>
      <c r="K74" s="16" t="inlineStr">
        <is>
          <t>Yes</t>
        </is>
      </c>
      <c r="L74" s="16" t="n">
        <v>78</v>
      </c>
      <c r="M7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5" ht="184" customHeight="1">
      <c r="A75" s="16" t="inlineStr">
        <is>
          <t>9 Jun</t>
        </is>
      </c>
      <c r="B75" s="16" t="inlineStr">
        <is>
          <t>30339</t>
        </is>
      </c>
      <c r="C75" s="16" t="n">
        <v>22324</v>
      </c>
      <c r="D75" s="16" t="n">
        <v>22275</v>
      </c>
      <c r="E75" s="16" t="n">
        <v>21904</v>
      </c>
      <c r="F75" s="38" t="n">
        <v>921485</v>
      </c>
      <c r="G75" s="38" t="n">
        <v>1447755</v>
      </c>
      <c r="H75" s="38" t="n">
        <v>921485</v>
      </c>
      <c r="I75" s="38" t="n">
        <v>1242984</v>
      </c>
      <c r="J75" s="19">
        <f>(I75-H75)/1000</f>
        <v/>
      </c>
      <c r="K75" s="16" t="inlineStr">
        <is>
          <t>Yes</t>
        </is>
      </c>
      <c r="L75" s="16" t="n">
        <v>78</v>
      </c>
      <c r="M7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6" ht="184" customHeight="1">
      <c r="A76" s="16" t="inlineStr">
        <is>
          <t>9 Jun</t>
        </is>
      </c>
      <c r="B76" s="16" t="inlineStr">
        <is>
          <t>37664</t>
        </is>
      </c>
      <c r="C76" s="16" t="n">
        <v>210</v>
      </c>
      <c r="D76" s="16" t="n">
        <v>163</v>
      </c>
      <c r="E76" s="16" t="n">
        <v>154</v>
      </c>
      <c r="F76" s="38" t="n">
        <v>920482</v>
      </c>
      <c r="G76" s="38" t="n">
        <v>1423832</v>
      </c>
      <c r="H76" s="38" t="n">
        <v>920482</v>
      </c>
      <c r="I76" s="38" t="n">
        <v>1239999</v>
      </c>
      <c r="J76" s="19">
        <f>(I76-H76)/1000</f>
        <v/>
      </c>
      <c r="K76" s="16" t="inlineStr">
        <is>
          <t>Yes</t>
        </is>
      </c>
      <c r="L76" s="16" t="n">
        <v>78</v>
      </c>
      <c r="M7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7" ht="184" customHeight="1">
      <c r="A77" s="16" t="inlineStr">
        <is>
          <t>9 Jun</t>
        </is>
      </c>
      <c r="B77" s="16" t="inlineStr">
        <is>
          <t>30488</t>
        </is>
      </c>
      <c r="C77" s="16" t="n">
        <v>12292</v>
      </c>
      <c r="D77" s="16" t="n">
        <v>12281</v>
      </c>
      <c r="E77" s="16" t="n">
        <v>11747</v>
      </c>
      <c r="F77" s="38" t="n">
        <v>921755</v>
      </c>
      <c r="G77" s="38" t="n">
        <v>1474567</v>
      </c>
      <c r="H77" s="38" t="n">
        <v>921755</v>
      </c>
      <c r="I77" s="38" t="n">
        <v>1240566</v>
      </c>
      <c r="J77" s="19">
        <f>(I77-H77)/1000</f>
        <v/>
      </c>
      <c r="K77" s="16" t="inlineStr">
        <is>
          <t>Yes</t>
        </is>
      </c>
      <c r="L77" s="16" t="n">
        <v>78</v>
      </c>
      <c r="M7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8" ht="184" customHeight="1">
      <c r="A78" s="16" t="inlineStr">
        <is>
          <t>9 Jun</t>
        </is>
      </c>
      <c r="B78" s="16" t="inlineStr">
        <is>
          <t>37219</t>
        </is>
      </c>
      <c r="C78" s="16" t="n">
        <v>10775</v>
      </c>
      <c r="D78" s="16" t="n">
        <v>10772</v>
      </c>
      <c r="E78" s="16" t="n">
        <v>10532</v>
      </c>
      <c r="F78" s="38" t="n">
        <v>922191</v>
      </c>
      <c r="G78" s="38" t="n">
        <v>1468654</v>
      </c>
      <c r="H78" s="38" t="n">
        <v>922191</v>
      </c>
      <c r="I78" s="38" t="n">
        <v>1240734</v>
      </c>
      <c r="J78" s="19">
        <f>(I78-H78)/1000</f>
        <v/>
      </c>
      <c r="K78" s="16" t="inlineStr">
        <is>
          <t>Yes</t>
        </is>
      </c>
      <c r="L78" s="16" t="n">
        <v>78</v>
      </c>
      <c r="M7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" ht="199" customHeight="1">
      <c r="A79" s="16" t="inlineStr">
        <is>
          <t>9 Jun</t>
        </is>
      </c>
      <c r="B79" s="16" t="inlineStr">
        <is>
          <t>30739</t>
        </is>
      </c>
      <c r="C79" s="16" t="n">
        <v>6920</v>
      </c>
      <c r="D79" s="16" t="n">
        <v>6892</v>
      </c>
      <c r="E79" s="16" t="n">
        <v>5788</v>
      </c>
      <c r="F79" s="38" t="n">
        <v>940574</v>
      </c>
      <c r="G79" s="38" t="n">
        <v>1473288</v>
      </c>
      <c r="H79" s="38" t="n">
        <v>940574</v>
      </c>
      <c r="I79" s="38" t="n">
        <v>1242944</v>
      </c>
      <c r="J79" s="19">
        <f>(I79-H79)/1000</f>
        <v/>
      </c>
      <c r="K79" s="16" t="inlineStr">
        <is>
          <t>Yes</t>
        </is>
      </c>
      <c r="L79" s="16" t="n">
        <v>72</v>
      </c>
      <c r="M79" s="39" t="inlineStr">
        <is>
          <t>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  ...(+2 more)</t>
        </is>
      </c>
    </row>
    <row r="80" ht="199" customHeight="1">
      <c r="A80" s="16" t="inlineStr">
        <is>
          <t>9 Jun</t>
        </is>
      </c>
      <c r="B80" s="16" t="inlineStr">
        <is>
          <t>37086</t>
        </is>
      </c>
      <c r="C80" s="16" t="n">
        <v>13122</v>
      </c>
      <c r="D80" s="16" t="n">
        <v>13122</v>
      </c>
      <c r="E80" s="16" t="n">
        <v>13122</v>
      </c>
      <c r="F80" s="38" t="n">
        <v>874153</v>
      </c>
      <c r="G80" s="38" t="n">
        <v>1172527</v>
      </c>
      <c r="H80" s="38" t="n">
        <v>874153</v>
      </c>
      <c r="I80" s="38" t="n">
        <v>1172527</v>
      </c>
      <c r="J80" s="19">
        <f>(I80-H80)/1000</f>
        <v/>
      </c>
      <c r="K80" s="16" t="inlineStr">
        <is>
          <t>Yes</t>
        </is>
      </c>
      <c r="L80" s="16" t="n">
        <v>71</v>
      </c>
      <c r="M80" s="39" t="inlineStr">
        <is>
          <t>IBH 265, Murhesi Rampur(MSRP), IBH/LC-258, Jajjanpatti(JJA), DhaurmuiJaghina(DUM), IBH-247, Bharatpur Jn.(BTE), IBH-242, Sewar(SWAR), IBH-JCU, LC-232, Pingora(PNGR), IBH-229, 2.35 KM from KEV, Kela Devi(KEV), IBH-224,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  ...(+3 more)</t>
        </is>
      </c>
    </row>
    <row r="81" ht="199" customHeight="1">
      <c r="A81" s="16" t="inlineStr">
        <is>
          <t>9 Jun</t>
        </is>
      </c>
      <c r="B81" s="16" t="inlineStr">
        <is>
          <t>30752</t>
        </is>
      </c>
      <c r="C81" s="16" t="n">
        <v>16545</v>
      </c>
      <c r="D81" s="16" t="n">
        <v>16543</v>
      </c>
      <c r="E81" s="16" t="n">
        <v>16543</v>
      </c>
      <c r="F81" s="38" t="n">
        <v>920731</v>
      </c>
      <c r="G81" s="38" t="n">
        <v>1172585</v>
      </c>
      <c r="H81" s="38" t="n">
        <v>920731</v>
      </c>
      <c r="I81" s="38" t="n">
        <v>1172585</v>
      </c>
      <c r="J81" s="19">
        <f>(I81-H81)/1000</f>
        <v/>
      </c>
      <c r="K81" s="16" t="inlineStr">
        <is>
          <t>Yes</t>
        </is>
      </c>
      <c r="L81" s="16" t="n">
        <v>62</v>
      </c>
      <c r="M81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82" ht="199" customHeight="1">
      <c r="A82" s="16" t="inlineStr">
        <is>
          <t>9 Jun</t>
        </is>
      </c>
      <c r="B82" s="16" t="inlineStr">
        <is>
          <t>30234</t>
        </is>
      </c>
      <c r="C82" s="16" t="n">
        <v>9275</v>
      </c>
      <c r="D82" s="16" t="n">
        <v>9256</v>
      </c>
      <c r="E82" s="16" t="n">
        <v>9256</v>
      </c>
      <c r="F82" s="38" t="n">
        <v>921481</v>
      </c>
      <c r="G82" s="38" t="n">
        <v>1173139</v>
      </c>
      <c r="H82" s="38" t="n">
        <v>921481</v>
      </c>
      <c r="I82" s="38" t="n">
        <v>1173139</v>
      </c>
      <c r="J82" s="19">
        <f>(I82-H82)/1000</f>
        <v/>
      </c>
      <c r="K82" s="16" t="inlineStr">
        <is>
          <t>Yes</t>
        </is>
      </c>
      <c r="L82" s="16" t="n">
        <v>63</v>
      </c>
      <c r="M82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83" ht="199" customHeight="1">
      <c r="A83" s="16" t="inlineStr">
        <is>
          <t>9 Jun</t>
        </is>
      </c>
      <c r="B83" s="16" t="inlineStr">
        <is>
          <t>37063</t>
        </is>
      </c>
      <c r="C83" s="16" t="n">
        <v>19921</v>
      </c>
      <c r="D83" s="16" t="n">
        <v>19873</v>
      </c>
      <c r="E83" s="16" t="n">
        <v>19873</v>
      </c>
      <c r="F83" s="38" t="n">
        <v>921717</v>
      </c>
      <c r="G83" s="38" t="n">
        <v>1172585</v>
      </c>
      <c r="H83" s="38" t="n">
        <v>921717</v>
      </c>
      <c r="I83" s="38" t="n">
        <v>1172585</v>
      </c>
      <c r="J83" s="19">
        <f>(I83-H83)/1000</f>
        <v/>
      </c>
      <c r="K83" s="16" t="inlineStr">
        <is>
          <t>Yes</t>
        </is>
      </c>
      <c r="L83" s="16" t="n">
        <v>62</v>
      </c>
      <c r="M83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84" ht="184" customHeight="1">
      <c r="A84" s="16" t="inlineStr">
        <is>
          <t>9 Jun</t>
        </is>
      </c>
      <c r="B84" s="16" t="inlineStr">
        <is>
          <t>39328</t>
        </is>
      </c>
      <c r="C84" s="16" t="n">
        <v>14502</v>
      </c>
      <c r="D84" s="16" t="n">
        <v>14485</v>
      </c>
      <c r="E84" s="16" t="n">
        <v>12982</v>
      </c>
      <c r="F84" s="38" t="n">
        <v>656337</v>
      </c>
      <c r="G84" s="38" t="n">
        <v>934654</v>
      </c>
      <c r="H84" s="38" t="n">
        <v>699074</v>
      </c>
      <c r="I84" s="38" t="n">
        <v>934654</v>
      </c>
      <c r="J84" s="19">
        <f>(I84-H84)/1000</f>
        <v/>
      </c>
      <c r="K84" s="16" t="inlineStr">
        <is>
          <t>Yes</t>
        </is>
      </c>
      <c r="L84" s="16" t="n">
        <v>51</v>
      </c>
      <c r="M8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...(+23 more)</t>
        </is>
      </c>
    </row>
    <row r="85" ht="184" customHeight="1">
      <c r="A85" s="16" t="inlineStr">
        <is>
          <t>9 Jun</t>
        </is>
      </c>
      <c r="B85" s="16" t="inlineStr">
        <is>
          <t>37470</t>
        </is>
      </c>
      <c r="C85" s="16" t="n">
        <v>6930</v>
      </c>
      <c r="D85" s="16" t="n">
        <v>6930</v>
      </c>
      <c r="E85" s="16" t="n">
        <v>6841</v>
      </c>
      <c r="F85" s="38" t="n">
        <v>695668</v>
      </c>
      <c r="G85" s="38" t="n">
        <v>920628</v>
      </c>
      <c r="H85" s="38" t="n">
        <v>699072</v>
      </c>
      <c r="I85" s="38" t="n">
        <v>920628</v>
      </c>
      <c r="J85" s="19">
        <f>(I85-H85)/1000</f>
        <v/>
      </c>
      <c r="K85" s="16" t="inlineStr">
        <is>
          <t>Yes</t>
        </is>
      </c>
      <c r="L85" s="16" t="n">
        <v>47</v>
      </c>
      <c r="M8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86" ht="184" customHeight="1">
      <c r="A86" s="16" t="inlineStr">
        <is>
          <t>9 Jun</t>
        </is>
      </c>
      <c r="B86" s="16" t="inlineStr">
        <is>
          <t>30334</t>
        </is>
      </c>
      <c r="C86" s="16" t="n">
        <v>9337</v>
      </c>
      <c r="D86" s="16" t="n">
        <v>9337</v>
      </c>
      <c r="E86" s="16" t="n">
        <v>8173</v>
      </c>
      <c r="F86" s="38" t="n">
        <v>661289</v>
      </c>
      <c r="G86" s="38" t="n">
        <v>917846</v>
      </c>
      <c r="H86" s="38" t="n">
        <v>699084</v>
      </c>
      <c r="I86" s="38" t="n">
        <v>917846</v>
      </c>
      <c r="J86" s="19">
        <f>(I86-H86)/1000</f>
        <v/>
      </c>
      <c r="K86" s="16" t="inlineStr">
        <is>
          <t>Yes</t>
        </is>
      </c>
      <c r="L86" s="16" t="n">
        <v>46</v>
      </c>
      <c r="M8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...(+28 more)</t>
        </is>
      </c>
    </row>
    <row r="87" ht="199" customHeight="1">
      <c r="A87" s="16" t="inlineStr">
        <is>
          <t>9 Jun</t>
        </is>
      </c>
      <c r="B87" s="16" t="inlineStr">
        <is>
          <t>37257</t>
        </is>
      </c>
      <c r="C87" s="16" t="n">
        <v>12567</v>
      </c>
      <c r="D87" s="16" t="n">
        <v>12562</v>
      </c>
      <c r="E87" s="16" t="n">
        <v>12562</v>
      </c>
      <c r="F87" s="38" t="n">
        <v>920756</v>
      </c>
      <c r="G87" s="38" t="n">
        <v>1117636</v>
      </c>
      <c r="H87" s="38" t="n">
        <v>920756</v>
      </c>
      <c r="I87" s="38" t="n">
        <v>1117636</v>
      </c>
      <c r="J87" s="19">
        <f>(I87-H87)/1000</f>
        <v/>
      </c>
      <c r="K87" s="16" t="inlineStr">
        <is>
          <t>Yes</t>
        </is>
      </c>
      <c r="L87" s="16" t="n">
        <v>50</v>
      </c>
      <c r="M8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  ...(+24 more)</t>
        </is>
      </c>
    </row>
    <row r="88" ht="184" customHeight="1">
      <c r="A88" s="16" t="inlineStr">
        <is>
          <t>9 Jun</t>
        </is>
      </c>
      <c r="B88" s="16" t="inlineStr">
        <is>
          <t>32763</t>
        </is>
      </c>
      <c r="C88" s="16" t="n">
        <v>8644</v>
      </c>
      <c r="D88" s="16" t="n">
        <v>8623</v>
      </c>
      <c r="E88" s="16" t="n">
        <v>8623</v>
      </c>
      <c r="F88" s="38" t="n">
        <v>735571</v>
      </c>
      <c r="G88" s="38" t="n">
        <v>920369</v>
      </c>
      <c r="H88" s="38" t="n">
        <v>735571</v>
      </c>
      <c r="I88" s="38" t="n">
        <v>920369</v>
      </c>
      <c r="J88" s="19">
        <f>(I88-H88)/1000</f>
        <v/>
      </c>
      <c r="K88" s="16" t="inlineStr">
        <is>
          <t>Yes</t>
        </is>
      </c>
      <c r="L88" s="16" t="n">
        <v>39</v>
      </c>
      <c r="M8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...(+35 more)</t>
        </is>
      </c>
    </row>
    <row r="89" ht="184" customHeight="1">
      <c r="A89" s="16" t="inlineStr">
        <is>
          <t>9 Jun</t>
        </is>
      </c>
      <c r="B89" s="16" t="inlineStr">
        <is>
          <t>30176</t>
        </is>
      </c>
      <c r="C89" s="16" t="n">
        <v>11320</v>
      </c>
      <c r="D89" s="16" t="n">
        <v>11303</v>
      </c>
      <c r="E89" s="16" t="n">
        <v>11303</v>
      </c>
      <c r="F89" s="38" t="n">
        <v>921767</v>
      </c>
      <c r="G89" s="38" t="n">
        <v>1095160</v>
      </c>
      <c r="H89" s="38" t="n">
        <v>921767</v>
      </c>
      <c r="I89" s="38" t="n">
        <v>1095160</v>
      </c>
      <c r="J89" s="19">
        <f>(I89-H89)/1000</f>
        <v/>
      </c>
      <c r="K89" s="16" t="inlineStr">
        <is>
          <t>Yes</t>
        </is>
      </c>
      <c r="L89" s="16" t="n">
        <v>45</v>
      </c>
      <c r="M8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KOTA SOUTH, DakaniyaTalav(DKNT), Dadhdevi(DDV), ALNI/DDV, Alniya(ALNI), IBH DHANIKASAR, Ravtha Road(RDT), IBH-95(7.25KM FROM DARA), Dara(DARA), IBH KIW-DARA, Kanwalpura(KIW), 2.85 KM from MKX, Morak(MKX), IBH RMA-MKX, RamganjMandi(RMA), IBH-79, Jhalawar Road(JHW)  ...(+29 more)</t>
        </is>
      </c>
    </row>
    <row r="90" ht="184" customHeight="1">
      <c r="A90" s="16" t="inlineStr">
        <is>
          <t>9 Jun</t>
        </is>
      </c>
      <c r="B90" s="16" t="inlineStr">
        <is>
          <t>39245</t>
        </is>
      </c>
      <c r="C90" s="16" t="n">
        <v>80</v>
      </c>
      <c r="D90" s="16" t="n">
        <v>80</v>
      </c>
      <c r="E90" s="16" t="n">
        <v>73</v>
      </c>
      <c r="F90" s="38" t="n">
        <v>695665</v>
      </c>
      <c r="G90" s="38" t="n">
        <v>865206</v>
      </c>
      <c r="H90" s="38" t="n">
        <v>700357</v>
      </c>
      <c r="I90" s="38" t="n">
        <v>865206</v>
      </c>
      <c r="J90" s="19">
        <f>(I90-H90)/1000</f>
        <v/>
      </c>
      <c r="K90" s="16" t="inlineStr">
        <is>
          <t>Yes</t>
        </is>
      </c>
      <c r="L90" s="16" t="n">
        <v>36</v>
      </c>
      <c r="M9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...(+38 more)</t>
        </is>
      </c>
    </row>
    <row r="91" ht="184" customHeight="1">
      <c r="A91" s="16" t="inlineStr">
        <is>
          <t>9 Jun</t>
        </is>
      </c>
      <c r="B91" s="16" t="inlineStr">
        <is>
          <t>37056</t>
        </is>
      </c>
      <c r="C91" s="16" t="n">
        <v>10421</v>
      </c>
      <c r="D91" s="16" t="n">
        <v>10364</v>
      </c>
      <c r="E91" s="16" t="n">
        <v>10364</v>
      </c>
      <c r="F91" s="38" t="n">
        <v>920372</v>
      </c>
      <c r="G91" s="38" t="n">
        <v>1029020</v>
      </c>
      <c r="H91" s="38" t="n">
        <v>920372</v>
      </c>
      <c r="I91" s="38" t="n">
        <v>1029020</v>
      </c>
      <c r="J91" s="19">
        <f>(I91-H91)/1000</f>
        <v/>
      </c>
      <c r="K91" s="16" t="inlineStr">
        <is>
          <t>Yes</t>
        </is>
      </c>
      <c r="L91" s="16" t="n">
        <v>31</v>
      </c>
      <c r="M9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2" ht="184" customHeight="1">
      <c r="A92" s="16" t="inlineStr">
        <is>
          <t>9 Jun</t>
        </is>
      </c>
      <c r="B92" s="16" t="inlineStr">
        <is>
          <t>39108</t>
        </is>
      </c>
      <c r="C92" s="16" t="n">
        <v>13428</v>
      </c>
      <c r="D92" s="16" t="n">
        <v>13406</v>
      </c>
      <c r="E92" s="16" t="n">
        <v>13406</v>
      </c>
      <c r="F92" s="38" t="n">
        <v>920463</v>
      </c>
      <c r="G92" s="38" t="n">
        <v>1028983</v>
      </c>
      <c r="H92" s="38" t="n">
        <v>920463</v>
      </c>
      <c r="I92" s="38" t="n">
        <v>1028983</v>
      </c>
      <c r="J92" s="19">
        <f>(I92-H92)/1000</f>
        <v/>
      </c>
      <c r="K92" s="16" t="inlineStr">
        <is>
          <t>Yes</t>
        </is>
      </c>
      <c r="L92" s="16" t="n">
        <v>31</v>
      </c>
      <c r="M9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3" ht="184" customHeight="1">
      <c r="A93" s="16" t="inlineStr">
        <is>
          <t>9 Jun</t>
        </is>
      </c>
      <c r="B93" s="16" t="inlineStr">
        <is>
          <t>37369</t>
        </is>
      </c>
      <c r="C93" s="16" t="n">
        <v>4409</v>
      </c>
      <c r="D93" s="16" t="n">
        <v>4398</v>
      </c>
      <c r="E93" s="16" t="n">
        <v>4398</v>
      </c>
      <c r="F93" s="38" t="n">
        <v>921481</v>
      </c>
      <c r="G93" s="38" t="n">
        <v>1029021</v>
      </c>
      <c r="H93" s="38" t="n">
        <v>921481</v>
      </c>
      <c r="I93" s="38" t="n">
        <v>1029021</v>
      </c>
      <c r="J93" s="19">
        <f>(I93-H93)/1000</f>
        <v/>
      </c>
      <c r="K93" s="16" t="inlineStr">
        <is>
          <t>Yes</t>
        </is>
      </c>
      <c r="L93" s="16" t="n">
        <v>31</v>
      </c>
      <c r="M9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4" ht="184" customHeight="1">
      <c r="A94" s="16" t="inlineStr">
        <is>
          <t>9 Jun</t>
        </is>
      </c>
      <c r="B94" s="16" t="inlineStr">
        <is>
          <t>37248</t>
        </is>
      </c>
      <c r="C94" s="16" t="n">
        <v>4543</v>
      </c>
      <c r="D94" s="16" t="n">
        <v>4501</v>
      </c>
      <c r="E94" s="16" t="n">
        <v>4501</v>
      </c>
      <c r="F94" s="38" t="n">
        <v>920366</v>
      </c>
      <c r="G94" s="38" t="n">
        <v>1027896</v>
      </c>
      <c r="H94" s="38" t="n">
        <v>920366</v>
      </c>
      <c r="I94" s="38" t="n">
        <v>1027896</v>
      </c>
      <c r="J94" s="19">
        <f>(I94-H94)/1000</f>
        <v/>
      </c>
      <c r="K94" s="16" t="inlineStr">
        <is>
          <t>Yes</t>
        </is>
      </c>
      <c r="L94" s="16" t="n">
        <v>31</v>
      </c>
      <c r="M9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5" ht="184" customHeight="1">
      <c r="A95" s="16" t="inlineStr">
        <is>
          <t>9 Jun</t>
        </is>
      </c>
      <c r="B95" s="16" t="inlineStr">
        <is>
          <t>39007</t>
        </is>
      </c>
      <c r="C95" s="16" t="n">
        <v>2305</v>
      </c>
      <c r="D95" s="16" t="n">
        <v>2270</v>
      </c>
      <c r="E95" s="16" t="n">
        <v>2270</v>
      </c>
      <c r="F95" s="38" t="n">
        <v>920375</v>
      </c>
      <c r="G95" s="38" t="n">
        <v>1027890</v>
      </c>
      <c r="H95" s="38" t="n">
        <v>920375</v>
      </c>
      <c r="I95" s="38" t="n">
        <v>1027890</v>
      </c>
      <c r="J95" s="19">
        <f>(I95-H95)/1000</f>
        <v/>
      </c>
      <c r="K95" s="16" t="inlineStr">
        <is>
          <t>Yes</t>
        </is>
      </c>
      <c r="L95" s="16" t="n">
        <v>31</v>
      </c>
      <c r="M9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6" ht="184" customHeight="1">
      <c r="A96" s="16" t="inlineStr">
        <is>
          <t>9 Jun</t>
        </is>
      </c>
      <c r="B96" s="16" t="inlineStr">
        <is>
          <t>37189</t>
        </is>
      </c>
      <c r="C96" s="16" t="n">
        <v>3551</v>
      </c>
      <c r="D96" s="16" t="n">
        <v>3534</v>
      </c>
      <c r="E96" s="16" t="n">
        <v>2545</v>
      </c>
      <c r="F96" s="38" t="n">
        <v>657196</v>
      </c>
      <c r="G96" s="38" t="n">
        <v>779866</v>
      </c>
      <c r="H96" s="38" t="n">
        <v>699089</v>
      </c>
      <c r="I96" s="38" t="n">
        <v>779866</v>
      </c>
      <c r="J96" s="19">
        <f>(I96-H96)/1000</f>
        <v/>
      </c>
      <c r="K96" s="16" t="inlineStr">
        <is>
          <t>Yes</t>
        </is>
      </c>
      <c r="L96" s="16" t="n">
        <v>19</v>
      </c>
      <c r="M9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...(+55 more)</t>
        </is>
      </c>
    </row>
    <row r="97" ht="184" customHeight="1">
      <c r="A97" s="16" t="inlineStr">
        <is>
          <t>9 Jun</t>
        </is>
      </c>
      <c r="B97" s="16" t="inlineStr">
        <is>
          <t>39421</t>
        </is>
      </c>
      <c r="C97" s="16" t="n">
        <v>287</v>
      </c>
      <c r="D97" s="16" t="n">
        <v>287</v>
      </c>
      <c r="E97" s="16" t="n">
        <v>134</v>
      </c>
      <c r="F97" s="38" t="n">
        <v>1186966</v>
      </c>
      <c r="G97" s="38" t="n">
        <v>1314707</v>
      </c>
      <c r="H97" s="38" t="n">
        <v>1186966</v>
      </c>
      <c r="I97" s="38" t="n">
        <v>1243744</v>
      </c>
      <c r="J97" s="19">
        <f>(I97-H97)/1000</f>
        <v/>
      </c>
      <c r="K97" s="16" t="inlineStr">
        <is>
          <t>Yes</t>
        </is>
      </c>
      <c r="L97" s="16" t="n">
        <v>13</v>
      </c>
      <c r="M97" s="39" t="inlineStr">
        <is>
          <t>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  ...(+61 more)</t>
        </is>
      </c>
    </row>
    <row r="98" ht="184" customHeight="1">
      <c r="A98" s="16" t="inlineStr">
        <is>
          <t>9 Jun</t>
        </is>
      </c>
      <c r="B98" s="16" t="inlineStr">
        <is>
          <t>37955</t>
        </is>
      </c>
      <c r="C98" s="16" t="n">
        <v>2551</v>
      </c>
      <c r="D98" s="16" t="n">
        <v>2537</v>
      </c>
      <c r="E98" s="16" t="n">
        <v>1516</v>
      </c>
      <c r="F98" s="38" t="n">
        <v>657171</v>
      </c>
      <c r="G98" s="38" t="n">
        <v>747088</v>
      </c>
      <c r="H98" s="38" t="n">
        <v>699095</v>
      </c>
      <c r="I98" s="38" t="n">
        <v>747088</v>
      </c>
      <c r="J98" s="19">
        <f>(I98-H98)/1000</f>
        <v/>
      </c>
      <c r="K98" s="16" t="inlineStr">
        <is>
          <t>Yes</t>
        </is>
      </c>
      <c r="L98" s="16" t="n">
        <v>12</v>
      </c>
      <c r="M9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...(+62 more)</t>
        </is>
      </c>
    </row>
    <row r="99" ht="184" customHeight="1">
      <c r="A99" s="16" t="inlineStr">
        <is>
          <t>9 Jun</t>
        </is>
      </c>
      <c r="B99" s="16" t="inlineStr">
        <is>
          <t>37577</t>
        </is>
      </c>
      <c r="C99" s="16" t="n">
        <v>1903</v>
      </c>
      <c r="D99" s="16" t="n">
        <v>1903</v>
      </c>
      <c r="E99" s="16" t="n">
        <v>1130</v>
      </c>
      <c r="F99" s="38" t="n">
        <v>657114</v>
      </c>
      <c r="G99" s="38" t="n">
        <v>741000</v>
      </c>
      <c r="H99" s="38" t="n">
        <v>699089</v>
      </c>
      <c r="I99" s="38" t="n">
        <v>741000</v>
      </c>
      <c r="J99" s="19">
        <f>(I99-H99)/1000</f>
        <v/>
      </c>
      <c r="K99" s="16" t="inlineStr">
        <is>
          <t>Yes</t>
        </is>
      </c>
      <c r="L99" s="16" t="n">
        <v>10</v>
      </c>
      <c r="M9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...(+64 more)</t>
        </is>
      </c>
    </row>
    <row r="100" ht="184" customHeight="1">
      <c r="A100" s="16" t="inlineStr">
        <is>
          <t>9 Jun</t>
        </is>
      </c>
      <c r="B100" s="16" t="inlineStr">
        <is>
          <t>30460</t>
        </is>
      </c>
      <c r="C100" s="16" t="n">
        <v>3687</v>
      </c>
      <c r="D100" s="16" t="n">
        <v>3639</v>
      </c>
      <c r="E100" s="16" t="n">
        <v>1806</v>
      </c>
      <c r="F100" s="38" t="n">
        <v>1205520</v>
      </c>
      <c r="G100" s="38" t="n">
        <v>1458003</v>
      </c>
      <c r="H100" s="38" t="n">
        <v>1205520</v>
      </c>
      <c r="I100" s="38" t="n">
        <v>1242975</v>
      </c>
      <c r="J100" s="19">
        <f>(I100-H100)/1000</f>
        <v/>
      </c>
      <c r="K100" s="16" t="inlineStr">
        <is>
          <t>Yes</t>
        </is>
      </c>
      <c r="L100" s="16" t="n">
        <v>8</v>
      </c>
      <c r="M100" s="39" t="inlineStr">
        <is>
          <t>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  ...(+66 more)</t>
        </is>
      </c>
    </row>
    <row r="101" ht="184" customHeight="1">
      <c r="A101" s="16" t="inlineStr">
        <is>
          <t>9 Jun</t>
        </is>
      </c>
      <c r="B101" s="16" t="inlineStr">
        <is>
          <t>30464</t>
        </is>
      </c>
      <c r="C101" s="16" t="n">
        <v>737</v>
      </c>
      <c r="D101" s="16" t="n">
        <v>732</v>
      </c>
      <c r="E101" s="16" t="n">
        <v>732</v>
      </c>
      <c r="F101" s="38" t="n">
        <v>921754</v>
      </c>
      <c r="G101" s="38" t="n">
        <v>933047</v>
      </c>
      <c r="H101" s="38" t="n">
        <v>921754</v>
      </c>
      <c r="I101" s="38" t="n">
        <v>933047</v>
      </c>
      <c r="J101" s="19">
        <f>(I101-H101)/1000</f>
        <v/>
      </c>
      <c r="K101" s="16" t="inlineStr">
        <is>
          <t>Yes</t>
        </is>
      </c>
      <c r="L101" s="16" t="n">
        <v>5</v>
      </c>
      <c r="M10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...(+69 more)</t>
        </is>
      </c>
    </row>
    <row r="102" ht="184" customHeight="1">
      <c r="A102" s="31" t="inlineStr">
        <is>
          <t>9 Jun</t>
        </is>
      </c>
      <c r="B102" s="31" t="inlineStr">
        <is>
          <t>30006</t>
        </is>
      </c>
      <c r="C102" s="31" t="n">
        <v>852</v>
      </c>
      <c r="D102" s="31" t="n">
        <v>852</v>
      </c>
      <c r="E102" s="31" t="n">
        <v>0</v>
      </c>
      <c r="F102" s="40" t="n">
        <v>1401567</v>
      </c>
      <c r="G102" s="40" t="n">
        <v>1449009</v>
      </c>
      <c r="H102" s="40" t="inlineStr">
        <is>
          <t>-</t>
        </is>
      </c>
      <c r="I102" s="40" t="inlineStr">
        <is>
          <t>-</t>
        </is>
      </c>
      <c r="J102" s="41" t="n">
        <v>0</v>
      </c>
      <c r="K102" s="31" t="inlineStr">
        <is>
          <t>No</t>
        </is>
      </c>
      <c r="L102" s="31" t="n">
        <v>0</v>
      </c>
      <c r="M1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3" ht="184" customHeight="1">
      <c r="A103" s="31" t="inlineStr">
        <is>
          <t>9 Jun</t>
        </is>
      </c>
      <c r="B103" s="31" t="inlineStr">
        <is>
          <t>30038</t>
        </is>
      </c>
      <c r="C103" s="31" t="n">
        <v>779</v>
      </c>
      <c r="D103" s="31" t="n">
        <v>779</v>
      </c>
      <c r="E103" s="31" t="n">
        <v>0</v>
      </c>
      <c r="F103" s="40" t="n">
        <v>1401732</v>
      </c>
      <c r="G103" s="40" t="n">
        <v>1449058</v>
      </c>
      <c r="H103" s="40" t="inlineStr">
        <is>
          <t>-</t>
        </is>
      </c>
      <c r="I103" s="40" t="inlineStr">
        <is>
          <t>-</t>
        </is>
      </c>
      <c r="J103" s="41" t="n">
        <v>0</v>
      </c>
      <c r="K103" s="31" t="inlineStr">
        <is>
          <t>No</t>
        </is>
      </c>
      <c r="L103" s="31" t="n">
        <v>0</v>
      </c>
      <c r="M1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4" ht="184" customHeight="1">
      <c r="A104" s="31" t="inlineStr">
        <is>
          <t>9 Jun</t>
        </is>
      </c>
      <c r="B104" s="31" t="inlineStr">
        <is>
          <t>30046</t>
        </is>
      </c>
      <c r="C104" s="31" t="n">
        <v>11</v>
      </c>
      <c r="D104" s="31" t="n">
        <v>11</v>
      </c>
      <c r="E104" s="31" t="n">
        <v>0</v>
      </c>
      <c r="F104" s="40" t="n">
        <v>662794</v>
      </c>
      <c r="G104" s="40" t="n">
        <v>695109</v>
      </c>
      <c r="H104" s="40" t="inlineStr">
        <is>
          <t>-</t>
        </is>
      </c>
      <c r="I104" s="40" t="inlineStr">
        <is>
          <t>-</t>
        </is>
      </c>
      <c r="J104" s="41" t="n">
        <v>0</v>
      </c>
      <c r="K104" s="31" t="inlineStr">
        <is>
          <t>No</t>
        </is>
      </c>
      <c r="L104" s="31" t="n">
        <v>0</v>
      </c>
      <c r="M1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5" ht="184" customHeight="1">
      <c r="A105" s="31" t="inlineStr">
        <is>
          <t>9 Jun</t>
        </is>
      </c>
      <c r="B105" s="31" t="inlineStr">
        <is>
          <t>30197</t>
        </is>
      </c>
      <c r="C105" s="31" t="n">
        <v>4074</v>
      </c>
      <c r="D105" s="31" t="n">
        <v>4074</v>
      </c>
      <c r="E105" s="31" t="n">
        <v>0</v>
      </c>
      <c r="F105" s="40" t="n">
        <v>144081</v>
      </c>
      <c r="G105" s="40" t="n">
        <v>145880</v>
      </c>
      <c r="H105" s="40" t="inlineStr">
        <is>
          <t>-</t>
        </is>
      </c>
      <c r="I105" s="40" t="inlineStr">
        <is>
          <t>-</t>
        </is>
      </c>
      <c r="J105" s="41" t="n">
        <v>0</v>
      </c>
      <c r="K105" s="31" t="inlineStr">
        <is>
          <t>No</t>
        </is>
      </c>
      <c r="L105" s="31" t="n">
        <v>0</v>
      </c>
      <c r="M1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6" ht="184" customHeight="1">
      <c r="A106" s="31" t="inlineStr">
        <is>
          <t>9 Jun</t>
        </is>
      </c>
      <c r="B106" s="31" t="inlineStr">
        <is>
          <t>30202</t>
        </is>
      </c>
      <c r="C106" s="31" t="n">
        <v>3</v>
      </c>
      <c r="D106" s="31" t="n">
        <v>0</v>
      </c>
      <c r="E106" s="31" t="n">
        <v>0</v>
      </c>
      <c r="F106" s="40" t="inlineStr">
        <is>
          <t>-</t>
        </is>
      </c>
      <c r="G106" s="40" t="inlineStr">
        <is>
          <t>-</t>
        </is>
      </c>
      <c r="H106" s="40" t="inlineStr">
        <is>
          <t>-</t>
        </is>
      </c>
      <c r="I106" s="40" t="inlineStr">
        <is>
          <t>-</t>
        </is>
      </c>
      <c r="J106" s="41" t="n">
        <v>0</v>
      </c>
      <c r="K106" s="31" t="inlineStr">
        <is>
          <t>No</t>
        </is>
      </c>
      <c r="L106" s="31" t="n">
        <v>0</v>
      </c>
      <c r="M1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7" ht="184" customHeight="1">
      <c r="A107" s="31" t="inlineStr">
        <is>
          <t>9 Jun</t>
        </is>
      </c>
      <c r="B107" s="31" t="inlineStr">
        <is>
          <t>30220</t>
        </is>
      </c>
      <c r="C107" s="31" t="n">
        <v>560</v>
      </c>
      <c r="D107" s="31" t="n">
        <v>555</v>
      </c>
      <c r="E107" s="31" t="n">
        <v>0</v>
      </c>
      <c r="F107" s="40" t="n">
        <v>1401386</v>
      </c>
      <c r="G107" s="40" t="n">
        <v>1436353</v>
      </c>
      <c r="H107" s="40" t="inlineStr">
        <is>
          <t>-</t>
        </is>
      </c>
      <c r="I107" s="40" t="inlineStr">
        <is>
          <t>-</t>
        </is>
      </c>
      <c r="J107" s="41" t="n">
        <v>0</v>
      </c>
      <c r="K107" s="31" t="inlineStr">
        <is>
          <t>No</t>
        </is>
      </c>
      <c r="L107" s="31" t="n">
        <v>0</v>
      </c>
      <c r="M10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8" ht="184" customHeight="1">
      <c r="A108" s="31" t="inlineStr">
        <is>
          <t>9 Jun</t>
        </is>
      </c>
      <c r="B108" s="31" t="inlineStr">
        <is>
          <t>30264</t>
        </is>
      </c>
      <c r="C108" s="31" t="n">
        <v>613</v>
      </c>
      <c r="D108" s="31" t="n">
        <v>612</v>
      </c>
      <c r="E108" s="31" t="n">
        <v>0</v>
      </c>
      <c r="F108" s="40" t="n">
        <v>1401708</v>
      </c>
      <c r="G108" s="40" t="n">
        <v>1436824</v>
      </c>
      <c r="H108" s="40" t="inlineStr">
        <is>
          <t>-</t>
        </is>
      </c>
      <c r="I108" s="40" t="inlineStr">
        <is>
          <t>-</t>
        </is>
      </c>
      <c r="J108" s="41" t="n">
        <v>0</v>
      </c>
      <c r="K108" s="31" t="inlineStr">
        <is>
          <t>No</t>
        </is>
      </c>
      <c r="L108" s="31" t="n">
        <v>0</v>
      </c>
      <c r="M10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9" ht="184" customHeight="1">
      <c r="A109" s="31" t="inlineStr">
        <is>
          <t>9 Jun</t>
        </is>
      </c>
      <c r="B109" s="31" t="inlineStr">
        <is>
          <t>30537</t>
        </is>
      </c>
      <c r="C109" s="31" t="n">
        <v>299</v>
      </c>
      <c r="D109" s="31" t="n">
        <v>299</v>
      </c>
      <c r="E109" s="31" t="n">
        <v>0</v>
      </c>
      <c r="F109" s="40" t="n">
        <v>1401358</v>
      </c>
      <c r="G109" s="40" t="n">
        <v>1436118</v>
      </c>
      <c r="H109" s="40" t="inlineStr">
        <is>
          <t>-</t>
        </is>
      </c>
      <c r="I109" s="40" t="inlineStr">
        <is>
          <t>-</t>
        </is>
      </c>
      <c r="J109" s="41" t="n">
        <v>0</v>
      </c>
      <c r="K109" s="31" t="inlineStr">
        <is>
          <t>No</t>
        </is>
      </c>
      <c r="L109" s="31" t="n">
        <v>0</v>
      </c>
      <c r="M1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0" ht="184" customHeight="1">
      <c r="A110" s="31" t="inlineStr">
        <is>
          <t>9 Jun</t>
        </is>
      </c>
      <c r="B110" s="31" t="inlineStr">
        <is>
          <t>30567</t>
        </is>
      </c>
      <c r="C110" s="31" t="n">
        <v>1489</v>
      </c>
      <c r="D110" s="31" t="n">
        <v>1489</v>
      </c>
      <c r="E110" s="31" t="n">
        <v>0</v>
      </c>
      <c r="F110" s="40" t="n">
        <v>1401341</v>
      </c>
      <c r="G110" s="40" t="n">
        <v>1469455</v>
      </c>
      <c r="H110" s="40" t="inlineStr">
        <is>
          <t>-</t>
        </is>
      </c>
      <c r="I110" s="40" t="inlineStr">
        <is>
          <t>-</t>
        </is>
      </c>
      <c r="J110" s="41" t="n">
        <v>0</v>
      </c>
      <c r="K110" s="31" t="inlineStr">
        <is>
          <t>No</t>
        </is>
      </c>
      <c r="L110" s="31" t="n">
        <v>0</v>
      </c>
      <c r="M1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1" ht="184" customHeight="1">
      <c r="A111" s="31" t="inlineStr">
        <is>
          <t>9 Jun</t>
        </is>
      </c>
      <c r="B111" s="31" t="inlineStr">
        <is>
          <t>30572</t>
        </is>
      </c>
      <c r="C111" s="31" t="n">
        <v>1981</v>
      </c>
      <c r="D111" s="31" t="n">
        <v>1980</v>
      </c>
      <c r="E111" s="31" t="n">
        <v>0</v>
      </c>
      <c r="F111" s="40" t="n">
        <v>1401353</v>
      </c>
      <c r="G111" s="40" t="n">
        <v>1454154</v>
      </c>
      <c r="H111" s="40" t="inlineStr">
        <is>
          <t>-</t>
        </is>
      </c>
      <c r="I111" s="40" t="inlineStr">
        <is>
          <t>-</t>
        </is>
      </c>
      <c r="J111" s="41" t="n">
        <v>0</v>
      </c>
      <c r="K111" s="31" t="inlineStr">
        <is>
          <t>No</t>
        </is>
      </c>
      <c r="L111" s="31" t="n">
        <v>0</v>
      </c>
      <c r="M1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2" ht="184" customHeight="1">
      <c r="A112" s="31" t="inlineStr">
        <is>
          <t>9 Jun</t>
        </is>
      </c>
      <c r="B112" s="31" t="inlineStr">
        <is>
          <t>30576</t>
        </is>
      </c>
      <c r="C112" s="31" t="n">
        <v>1</v>
      </c>
      <c r="D112" s="31" t="n">
        <v>0</v>
      </c>
      <c r="E112" s="31" t="n">
        <v>0</v>
      </c>
      <c r="F112" s="40" t="inlineStr">
        <is>
          <t>-</t>
        </is>
      </c>
      <c r="G112" s="40" t="inlineStr">
        <is>
          <t>-</t>
        </is>
      </c>
      <c r="H112" s="40" t="inlineStr">
        <is>
          <t>-</t>
        </is>
      </c>
      <c r="I112" s="40" t="inlineStr">
        <is>
          <t>-</t>
        </is>
      </c>
      <c r="J112" s="41" t="n">
        <v>0</v>
      </c>
      <c r="K112" s="31" t="inlineStr">
        <is>
          <t>No</t>
        </is>
      </c>
      <c r="L112" s="31" t="n">
        <v>0</v>
      </c>
      <c r="M1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3" ht="184" customHeight="1">
      <c r="A113" s="31" t="inlineStr">
        <is>
          <t>9 Jun</t>
        </is>
      </c>
      <c r="B113" s="31" t="inlineStr">
        <is>
          <t>30620</t>
        </is>
      </c>
      <c r="C113" s="31" t="n">
        <v>764</v>
      </c>
      <c r="D113" s="31" t="n">
        <v>762</v>
      </c>
      <c r="E113" s="31" t="n">
        <v>0</v>
      </c>
      <c r="F113" s="40" t="n">
        <v>1401712</v>
      </c>
      <c r="G113" s="40" t="n">
        <v>1438357</v>
      </c>
      <c r="H113" s="40" t="inlineStr">
        <is>
          <t>-</t>
        </is>
      </c>
      <c r="I113" s="40" t="inlineStr">
        <is>
          <t>-</t>
        </is>
      </c>
      <c r="J113" s="41" t="n">
        <v>0</v>
      </c>
      <c r="K113" s="31" t="inlineStr">
        <is>
          <t>No</t>
        </is>
      </c>
      <c r="L113" s="31" t="n">
        <v>0</v>
      </c>
      <c r="M1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4" ht="184" customHeight="1">
      <c r="A114" s="31" t="inlineStr">
        <is>
          <t>9 Jun</t>
        </is>
      </c>
      <c r="B114" s="31" t="inlineStr">
        <is>
          <t>30665</t>
        </is>
      </c>
      <c r="C114" s="31" t="n">
        <v>25</v>
      </c>
      <c r="D114" s="31" t="n">
        <v>0</v>
      </c>
      <c r="E114" s="31" t="n">
        <v>0</v>
      </c>
      <c r="F114" s="40" t="inlineStr">
        <is>
          <t>-</t>
        </is>
      </c>
      <c r="G114" s="40" t="inlineStr">
        <is>
          <t>-</t>
        </is>
      </c>
      <c r="H114" s="40" t="inlineStr">
        <is>
          <t>-</t>
        </is>
      </c>
      <c r="I114" s="40" t="inlineStr">
        <is>
          <t>-</t>
        </is>
      </c>
      <c r="J114" s="41" t="n">
        <v>0</v>
      </c>
      <c r="K114" s="31" t="inlineStr">
        <is>
          <t>No</t>
        </is>
      </c>
      <c r="L114" s="31" t="n">
        <v>0</v>
      </c>
      <c r="M1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5" ht="184" customHeight="1">
      <c r="A115" s="31" t="inlineStr">
        <is>
          <t>9 Jun</t>
        </is>
      </c>
      <c r="B115" s="31" t="inlineStr">
        <is>
          <t>30828</t>
        </is>
      </c>
      <c r="C115" s="31" t="n">
        <v>29</v>
      </c>
      <c r="D115" s="31" t="n">
        <v>0</v>
      </c>
      <c r="E115" s="31" t="n">
        <v>0</v>
      </c>
      <c r="F115" s="40" t="inlineStr">
        <is>
          <t>-</t>
        </is>
      </c>
      <c r="G115" s="40" t="inlineStr">
        <is>
          <t>-</t>
        </is>
      </c>
      <c r="H115" s="40" t="inlineStr">
        <is>
          <t>-</t>
        </is>
      </c>
      <c r="I115" s="40" t="inlineStr">
        <is>
          <t>-</t>
        </is>
      </c>
      <c r="J115" s="41" t="n">
        <v>0</v>
      </c>
      <c r="K115" s="31" t="inlineStr">
        <is>
          <t>No</t>
        </is>
      </c>
      <c r="L115" s="31" t="n">
        <v>0</v>
      </c>
      <c r="M1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6" ht="184" customHeight="1">
      <c r="A116" s="31" t="inlineStr">
        <is>
          <t>9 Jun</t>
        </is>
      </c>
      <c r="B116" s="31" t="inlineStr">
        <is>
          <t>33944</t>
        </is>
      </c>
      <c r="C116" s="31" t="n">
        <v>1025</v>
      </c>
      <c r="D116" s="31" t="n">
        <v>1007</v>
      </c>
      <c r="E116" s="31" t="n">
        <v>0</v>
      </c>
      <c r="F116" s="40" t="n">
        <v>672430</v>
      </c>
      <c r="G116" s="40" t="n">
        <v>695386</v>
      </c>
      <c r="H116" s="40" t="inlineStr">
        <is>
          <t>-</t>
        </is>
      </c>
      <c r="I116" s="40" t="inlineStr">
        <is>
          <t>-</t>
        </is>
      </c>
      <c r="J116" s="41" t="n">
        <v>0</v>
      </c>
      <c r="K116" s="31" t="inlineStr">
        <is>
          <t>No</t>
        </is>
      </c>
      <c r="L116" s="31" t="n">
        <v>0</v>
      </c>
      <c r="M1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7" ht="184" customHeight="1">
      <c r="A117" s="31" t="inlineStr">
        <is>
          <t>9 Jun</t>
        </is>
      </c>
      <c r="B117" s="31" t="inlineStr">
        <is>
          <t>35038</t>
        </is>
      </c>
      <c r="C117" s="31" t="n">
        <v>1585</v>
      </c>
      <c r="D117" s="31" t="n">
        <v>1585</v>
      </c>
      <c r="E117" s="31" t="n">
        <v>0</v>
      </c>
      <c r="F117" s="40" t="n">
        <v>1401564</v>
      </c>
      <c r="G117" s="40" t="n">
        <v>1473287</v>
      </c>
      <c r="H117" s="40" t="inlineStr">
        <is>
          <t>-</t>
        </is>
      </c>
      <c r="I117" s="40" t="inlineStr">
        <is>
          <t>-</t>
        </is>
      </c>
      <c r="J117" s="41" t="n">
        <v>0</v>
      </c>
      <c r="K117" s="31" t="inlineStr">
        <is>
          <t>No</t>
        </is>
      </c>
      <c r="L117" s="31" t="n">
        <v>0</v>
      </c>
      <c r="M1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8" ht="184" customHeight="1">
      <c r="A118" s="31" t="inlineStr">
        <is>
          <t>9 Jun</t>
        </is>
      </c>
      <c r="B118" s="31" t="inlineStr">
        <is>
          <t>37158</t>
        </is>
      </c>
      <c r="C118" s="31" t="n">
        <v>1302</v>
      </c>
      <c r="D118" s="31" t="n">
        <v>1302</v>
      </c>
      <c r="E118" s="31" t="n">
        <v>0</v>
      </c>
      <c r="F118" s="40" t="n">
        <v>1401732</v>
      </c>
      <c r="G118" s="40" t="n">
        <v>1469461</v>
      </c>
      <c r="H118" s="40" t="inlineStr">
        <is>
          <t>-</t>
        </is>
      </c>
      <c r="I118" s="40" t="inlineStr">
        <is>
          <t>-</t>
        </is>
      </c>
      <c r="J118" s="41" t="n">
        <v>0</v>
      </c>
      <c r="K118" s="31" t="inlineStr">
        <is>
          <t>No</t>
        </is>
      </c>
      <c r="L118" s="31" t="n">
        <v>0</v>
      </c>
      <c r="M1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9" ht="184" customHeight="1">
      <c r="A119" s="31" t="inlineStr">
        <is>
          <t>9 Jun</t>
        </is>
      </c>
      <c r="B119" s="31" t="inlineStr">
        <is>
          <t>37197</t>
        </is>
      </c>
      <c r="C119" s="31" t="n">
        <v>2</v>
      </c>
      <c r="D119" s="31" t="n">
        <v>0</v>
      </c>
      <c r="E119" s="31" t="n">
        <v>0</v>
      </c>
      <c r="F119" s="40" t="inlineStr">
        <is>
          <t>-</t>
        </is>
      </c>
      <c r="G119" s="40" t="inlineStr">
        <is>
          <t>-</t>
        </is>
      </c>
      <c r="H119" s="40" t="inlineStr">
        <is>
          <t>-</t>
        </is>
      </c>
      <c r="I119" s="40" t="inlineStr">
        <is>
          <t>-</t>
        </is>
      </c>
      <c r="J119" s="41" t="n">
        <v>0</v>
      </c>
      <c r="K119" s="31" t="inlineStr">
        <is>
          <t>No</t>
        </is>
      </c>
      <c r="L119" s="31" t="n">
        <v>0</v>
      </c>
      <c r="M11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0" ht="184" customHeight="1">
      <c r="A120" s="31" t="inlineStr">
        <is>
          <t>9 Jun</t>
        </is>
      </c>
      <c r="B120" s="31" t="inlineStr">
        <is>
          <t>37251</t>
        </is>
      </c>
      <c r="C120" s="31" t="n">
        <v>235</v>
      </c>
      <c r="D120" s="31" t="n">
        <v>230</v>
      </c>
      <c r="E120" s="31" t="n">
        <v>0</v>
      </c>
      <c r="F120" s="40" t="n">
        <v>1401739</v>
      </c>
      <c r="G120" s="40" t="n">
        <v>1410925</v>
      </c>
      <c r="H120" s="40" t="inlineStr">
        <is>
          <t>-</t>
        </is>
      </c>
      <c r="I120" s="40" t="inlineStr">
        <is>
          <t>-</t>
        </is>
      </c>
      <c r="J120" s="41" t="n">
        <v>0</v>
      </c>
      <c r="K120" s="31" t="inlineStr">
        <is>
          <t>No</t>
        </is>
      </c>
      <c r="L120" s="31" t="n">
        <v>0</v>
      </c>
      <c r="M12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1" ht="184" customHeight="1">
      <c r="A121" s="31" t="inlineStr">
        <is>
          <t>9 Jun</t>
        </is>
      </c>
      <c r="B121" s="31" t="inlineStr">
        <is>
          <t>37314</t>
        </is>
      </c>
      <c r="C121" s="31" t="n">
        <v>1895</v>
      </c>
      <c r="D121" s="31" t="n">
        <v>1894</v>
      </c>
      <c r="E121" s="31" t="n">
        <v>0</v>
      </c>
      <c r="F121" s="40" t="n">
        <v>1401345</v>
      </c>
      <c r="G121" s="40" t="n">
        <v>1474543</v>
      </c>
      <c r="H121" s="40" t="inlineStr">
        <is>
          <t>-</t>
        </is>
      </c>
      <c r="I121" s="40" t="inlineStr">
        <is>
          <t>-</t>
        </is>
      </c>
      <c r="J121" s="41" t="n">
        <v>0</v>
      </c>
      <c r="K121" s="31" t="inlineStr">
        <is>
          <t>No</t>
        </is>
      </c>
      <c r="L121" s="31" t="n">
        <v>0</v>
      </c>
      <c r="M12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2" ht="184" customHeight="1">
      <c r="A122" s="31" t="inlineStr">
        <is>
          <t>9 Jun</t>
        </is>
      </c>
      <c r="B122" s="31" t="inlineStr">
        <is>
          <t>37398</t>
        </is>
      </c>
      <c r="C122" s="31" t="n">
        <v>929</v>
      </c>
      <c r="D122" s="31" t="n">
        <v>814</v>
      </c>
      <c r="E122" s="31" t="n">
        <v>0</v>
      </c>
      <c r="F122" s="40" t="n">
        <v>661164</v>
      </c>
      <c r="G122" s="40" t="n">
        <v>696370</v>
      </c>
      <c r="H122" s="40" t="inlineStr">
        <is>
          <t>-</t>
        </is>
      </c>
      <c r="I122" s="40" t="inlineStr">
        <is>
          <t>-</t>
        </is>
      </c>
      <c r="J122" s="41" t="n">
        <v>0</v>
      </c>
      <c r="K122" s="31" t="inlineStr">
        <is>
          <t>No</t>
        </is>
      </c>
      <c r="L122" s="31" t="n">
        <v>0</v>
      </c>
      <c r="M12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3" ht="184" customHeight="1">
      <c r="A123" s="31" t="inlineStr">
        <is>
          <t>9 Jun</t>
        </is>
      </c>
      <c r="B123" s="31" t="inlineStr">
        <is>
          <t>37458</t>
        </is>
      </c>
      <c r="C123" s="31" t="n">
        <v>1</v>
      </c>
      <c r="D123" s="31" t="n">
        <v>1</v>
      </c>
      <c r="E123" s="31" t="n">
        <v>0</v>
      </c>
      <c r="F123" s="40" t="n">
        <v>1265544</v>
      </c>
      <c r="G123" s="40" t="n">
        <v>1265544</v>
      </c>
      <c r="H123" s="40" t="inlineStr">
        <is>
          <t>-</t>
        </is>
      </c>
      <c r="I123" s="40" t="inlineStr">
        <is>
          <t>-</t>
        </is>
      </c>
      <c r="J123" s="41" t="n">
        <v>0</v>
      </c>
      <c r="K123" s="31" t="inlineStr">
        <is>
          <t>No</t>
        </is>
      </c>
      <c r="L123" s="31" t="n">
        <v>0</v>
      </c>
      <c r="M12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4" ht="184" customHeight="1">
      <c r="A124" s="31" t="inlineStr">
        <is>
          <t>9 Jun</t>
        </is>
      </c>
      <c r="B124" s="31" t="inlineStr">
        <is>
          <t>37468</t>
        </is>
      </c>
      <c r="C124" s="31" t="n">
        <v>529</v>
      </c>
      <c r="D124" s="31" t="n">
        <v>529</v>
      </c>
      <c r="E124" s="31" t="n">
        <v>0</v>
      </c>
      <c r="F124" s="40" t="n">
        <v>1249547</v>
      </c>
      <c r="G124" s="40" t="n">
        <v>1373519</v>
      </c>
      <c r="H124" s="40" t="inlineStr">
        <is>
          <t>-</t>
        </is>
      </c>
      <c r="I124" s="40" t="inlineStr">
        <is>
          <t>-</t>
        </is>
      </c>
      <c r="J124" s="41" t="n">
        <v>0</v>
      </c>
      <c r="K124" s="31" t="inlineStr">
        <is>
          <t>No</t>
        </is>
      </c>
      <c r="L124" s="31" t="n">
        <v>0</v>
      </c>
      <c r="M12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5" ht="184" customHeight="1">
      <c r="A125" s="31" t="inlineStr">
        <is>
          <t>9 Jun</t>
        </is>
      </c>
      <c r="B125" s="31" t="inlineStr">
        <is>
          <t>37515</t>
        </is>
      </c>
      <c r="C125" s="31" t="n">
        <v>981</v>
      </c>
      <c r="D125" s="31" t="n">
        <v>981</v>
      </c>
      <c r="E125" s="31" t="n">
        <v>0</v>
      </c>
      <c r="F125" s="40" t="n">
        <v>657172</v>
      </c>
      <c r="G125" s="40" t="n">
        <v>695318</v>
      </c>
      <c r="H125" s="40" t="inlineStr">
        <is>
          <t>-</t>
        </is>
      </c>
      <c r="I125" s="40" t="inlineStr">
        <is>
          <t>-</t>
        </is>
      </c>
      <c r="J125" s="41" t="n">
        <v>0</v>
      </c>
      <c r="K125" s="31" t="inlineStr">
        <is>
          <t>No</t>
        </is>
      </c>
      <c r="L125" s="31" t="n">
        <v>0</v>
      </c>
      <c r="M12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6" ht="184" customHeight="1">
      <c r="A126" s="31" t="inlineStr">
        <is>
          <t>9 Jun</t>
        </is>
      </c>
      <c r="B126" s="31" t="inlineStr">
        <is>
          <t>37569</t>
        </is>
      </c>
      <c r="C126" s="31" t="n">
        <v>533</v>
      </c>
      <c r="D126" s="31" t="n">
        <v>533</v>
      </c>
      <c r="E126" s="31" t="n">
        <v>0</v>
      </c>
      <c r="F126" s="40" t="n">
        <v>661663</v>
      </c>
      <c r="G126" s="40" t="n">
        <v>695516</v>
      </c>
      <c r="H126" s="40" t="inlineStr">
        <is>
          <t>-</t>
        </is>
      </c>
      <c r="I126" s="40" t="inlineStr">
        <is>
          <t>-</t>
        </is>
      </c>
      <c r="J126" s="41" t="n">
        <v>0</v>
      </c>
      <c r="K126" s="31" t="inlineStr">
        <is>
          <t>No</t>
        </is>
      </c>
      <c r="L126" s="31" t="n">
        <v>0</v>
      </c>
      <c r="M12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7" ht="184" customHeight="1">
      <c r="A127" s="31" t="inlineStr">
        <is>
          <t>9 Jun</t>
        </is>
      </c>
      <c r="B127" s="31" t="inlineStr">
        <is>
          <t>37846</t>
        </is>
      </c>
      <c r="C127" s="31" t="n">
        <v>152</v>
      </c>
      <c r="D127" s="31" t="n">
        <v>136</v>
      </c>
      <c r="E127" s="31" t="n">
        <v>0</v>
      </c>
      <c r="F127" s="40" t="n">
        <v>696418</v>
      </c>
      <c r="G127" s="40" t="n">
        <v>697005</v>
      </c>
      <c r="H127" s="40" t="inlineStr">
        <is>
          <t>-</t>
        </is>
      </c>
      <c r="I127" s="40" t="inlineStr">
        <is>
          <t>-</t>
        </is>
      </c>
      <c r="J127" s="41" t="n">
        <v>0</v>
      </c>
      <c r="K127" s="31" t="inlineStr">
        <is>
          <t>No</t>
        </is>
      </c>
      <c r="L127" s="31" t="n">
        <v>0</v>
      </c>
      <c r="M12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8" ht="184" customHeight="1">
      <c r="A128" s="31" t="inlineStr">
        <is>
          <t>9 Jun</t>
        </is>
      </c>
      <c r="B128" s="31" t="inlineStr">
        <is>
          <t>39008</t>
        </is>
      </c>
      <c r="C128" s="31" t="n">
        <v>101</v>
      </c>
      <c r="D128" s="31" t="n">
        <v>99</v>
      </c>
      <c r="E128" s="31" t="n">
        <v>0</v>
      </c>
      <c r="F128" s="40" t="n">
        <v>1257601</v>
      </c>
      <c r="G128" s="40" t="n">
        <v>1276973</v>
      </c>
      <c r="H128" s="40" t="inlineStr">
        <is>
          <t>-</t>
        </is>
      </c>
      <c r="I128" s="40" t="inlineStr">
        <is>
          <t>-</t>
        </is>
      </c>
      <c r="J128" s="41" t="n">
        <v>0</v>
      </c>
      <c r="K128" s="31" t="inlineStr">
        <is>
          <t>No</t>
        </is>
      </c>
      <c r="L128" s="31" t="n">
        <v>0</v>
      </c>
      <c r="M12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9" ht="184" customHeight="1">
      <c r="A129" s="31" t="inlineStr">
        <is>
          <t>9 Jun</t>
        </is>
      </c>
      <c r="B129" s="31" t="inlineStr">
        <is>
          <t>39217</t>
        </is>
      </c>
      <c r="C129" s="31" t="n">
        <v>360</v>
      </c>
      <c r="D129" s="31" t="n">
        <v>360</v>
      </c>
      <c r="E129" s="31" t="n">
        <v>0</v>
      </c>
      <c r="F129" s="40" t="n">
        <v>1401372</v>
      </c>
      <c r="G129" s="40" t="n">
        <v>1437239</v>
      </c>
      <c r="H129" s="40" t="inlineStr">
        <is>
          <t>-</t>
        </is>
      </c>
      <c r="I129" s="40" t="inlineStr">
        <is>
          <t>-</t>
        </is>
      </c>
      <c r="J129" s="41" t="n">
        <v>0</v>
      </c>
      <c r="K129" s="31" t="inlineStr">
        <is>
          <t>No</t>
        </is>
      </c>
      <c r="L129" s="31" t="n">
        <v>0</v>
      </c>
      <c r="M12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0" ht="184" customHeight="1">
      <c r="A130" s="31" t="inlineStr">
        <is>
          <t>9 Jun</t>
        </is>
      </c>
      <c r="B130" s="31" t="inlineStr">
        <is>
          <t>39336</t>
        </is>
      </c>
      <c r="C130" s="31" t="n">
        <v>1335</v>
      </c>
      <c r="D130" s="31" t="n">
        <v>1334</v>
      </c>
      <c r="E130" s="31" t="n">
        <v>0</v>
      </c>
      <c r="F130" s="40" t="n">
        <v>1401335</v>
      </c>
      <c r="G130" s="40" t="n">
        <v>1436893</v>
      </c>
      <c r="H130" s="40" t="inlineStr">
        <is>
          <t>-</t>
        </is>
      </c>
      <c r="I130" s="40" t="inlineStr">
        <is>
          <t>-</t>
        </is>
      </c>
      <c r="J130" s="41" t="n">
        <v>0</v>
      </c>
      <c r="K130" s="31" t="inlineStr">
        <is>
          <t>No</t>
        </is>
      </c>
      <c r="L130" s="31" t="n">
        <v>0</v>
      </c>
      <c r="M13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1" ht="184" customHeight="1">
      <c r="A131" s="31" t="inlineStr">
        <is>
          <t>9 Jun</t>
        </is>
      </c>
      <c r="B131" s="31" t="inlineStr">
        <is>
          <t>39337</t>
        </is>
      </c>
      <c r="C131" s="31" t="n">
        <v>515</v>
      </c>
      <c r="D131" s="31" t="n">
        <v>514</v>
      </c>
      <c r="E131" s="31" t="n">
        <v>0</v>
      </c>
      <c r="F131" s="40" t="n">
        <v>1401428</v>
      </c>
      <c r="G131" s="40" t="n">
        <v>1437188</v>
      </c>
      <c r="H131" s="40" t="inlineStr">
        <is>
          <t>-</t>
        </is>
      </c>
      <c r="I131" s="40" t="inlineStr">
        <is>
          <t>-</t>
        </is>
      </c>
      <c r="J131" s="41" t="n">
        <v>0</v>
      </c>
      <c r="K131" s="31" t="inlineStr">
        <is>
          <t>No</t>
        </is>
      </c>
      <c r="L131" s="31" t="n">
        <v>0</v>
      </c>
      <c r="M13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2" ht="184" customHeight="1">
      <c r="A132" s="31" t="inlineStr">
        <is>
          <t>9 Jun</t>
        </is>
      </c>
      <c r="B132" s="31" t="inlineStr">
        <is>
          <t>39352</t>
        </is>
      </c>
      <c r="C132" s="31" t="n">
        <v>611</v>
      </c>
      <c r="D132" s="31" t="n">
        <v>610</v>
      </c>
      <c r="E132" s="31" t="n">
        <v>0</v>
      </c>
      <c r="F132" s="40" t="n">
        <v>1401688</v>
      </c>
      <c r="G132" s="40" t="n">
        <v>1468581</v>
      </c>
      <c r="H132" s="40" t="inlineStr">
        <is>
          <t>-</t>
        </is>
      </c>
      <c r="I132" s="40" t="inlineStr">
        <is>
          <t>-</t>
        </is>
      </c>
      <c r="J132" s="41" t="n">
        <v>0</v>
      </c>
      <c r="K132" s="31" t="inlineStr">
        <is>
          <t>No</t>
        </is>
      </c>
      <c r="L132" s="31" t="n">
        <v>0</v>
      </c>
      <c r="M13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3" ht="184" customHeight="1">
      <c r="A133" s="31" t="inlineStr">
        <is>
          <t>9 Jun</t>
        </is>
      </c>
      <c r="B133" s="31" t="inlineStr">
        <is>
          <t>39353</t>
        </is>
      </c>
      <c r="C133" s="31" t="n">
        <v>262</v>
      </c>
      <c r="D133" s="31" t="n">
        <v>259</v>
      </c>
      <c r="E133" s="31" t="n">
        <v>0</v>
      </c>
      <c r="F133" s="40" t="n">
        <v>1401712</v>
      </c>
      <c r="G133" s="40" t="n">
        <v>1436160</v>
      </c>
      <c r="H133" s="40" t="inlineStr">
        <is>
          <t>-</t>
        </is>
      </c>
      <c r="I133" s="40" t="inlineStr">
        <is>
          <t>-</t>
        </is>
      </c>
      <c r="J133" s="41" t="n">
        <v>0</v>
      </c>
      <c r="K133" s="31" t="inlineStr">
        <is>
          <t>No</t>
        </is>
      </c>
      <c r="L133" s="31" t="n">
        <v>0</v>
      </c>
      <c r="M13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4" ht="184" customHeight="1">
      <c r="A134" s="31" t="inlineStr">
        <is>
          <t>9 Jun</t>
        </is>
      </c>
      <c r="B134" s="31" t="inlineStr">
        <is>
          <t>39403</t>
        </is>
      </c>
      <c r="C134" s="31" t="n">
        <v>1355</v>
      </c>
      <c r="D134" s="31" t="n">
        <v>1353</v>
      </c>
      <c r="E134" s="31" t="n">
        <v>0</v>
      </c>
      <c r="F134" s="40" t="n">
        <v>1401729</v>
      </c>
      <c r="G134" s="40" t="n">
        <v>1461421</v>
      </c>
      <c r="H134" s="40" t="inlineStr">
        <is>
          <t>-</t>
        </is>
      </c>
      <c r="I134" s="40" t="inlineStr">
        <is>
          <t>-</t>
        </is>
      </c>
      <c r="J134" s="41" t="n">
        <v>0</v>
      </c>
      <c r="K134" s="31" t="inlineStr">
        <is>
          <t>No</t>
        </is>
      </c>
      <c r="L134" s="31" t="n">
        <v>0</v>
      </c>
      <c r="M13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5" ht="184" customHeight="1">
      <c r="A135" s="31" t="inlineStr">
        <is>
          <t>9 Jun</t>
        </is>
      </c>
      <c r="B135" s="31" t="inlineStr">
        <is>
          <t>39461</t>
        </is>
      </c>
      <c r="C135" s="31" t="n">
        <v>885</v>
      </c>
      <c r="D135" s="31" t="n">
        <v>885</v>
      </c>
      <c r="E135" s="31" t="n">
        <v>0</v>
      </c>
      <c r="F135" s="40" t="n">
        <v>1401758</v>
      </c>
      <c r="G135" s="40" t="n">
        <v>1458254</v>
      </c>
      <c r="H135" s="40" t="inlineStr">
        <is>
          <t>-</t>
        </is>
      </c>
      <c r="I135" s="40" t="inlineStr">
        <is>
          <t>-</t>
        </is>
      </c>
      <c r="J135" s="41" t="n">
        <v>0</v>
      </c>
      <c r="K135" s="31" t="inlineStr">
        <is>
          <t>No</t>
        </is>
      </c>
      <c r="L135" s="31" t="n">
        <v>0</v>
      </c>
      <c r="M13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6" ht="184" customHeight="1">
      <c r="A136" s="31" t="inlineStr">
        <is>
          <t>9 Jun</t>
        </is>
      </c>
      <c r="B136" s="31" t="inlineStr">
        <is>
          <t>39493</t>
        </is>
      </c>
      <c r="C136" s="31" t="n">
        <v>295</v>
      </c>
      <c r="D136" s="31" t="n">
        <v>295</v>
      </c>
      <c r="E136" s="31" t="n">
        <v>0</v>
      </c>
      <c r="F136" s="40" t="n">
        <v>1401361</v>
      </c>
      <c r="G136" s="40" t="n">
        <v>1422031</v>
      </c>
      <c r="H136" s="40" t="inlineStr">
        <is>
          <t>-</t>
        </is>
      </c>
      <c r="I136" s="40" t="inlineStr">
        <is>
          <t>-</t>
        </is>
      </c>
      <c r="J136" s="41" t="n">
        <v>0</v>
      </c>
      <c r="K136" s="31" t="inlineStr">
        <is>
          <t>No</t>
        </is>
      </c>
      <c r="L136" s="31" t="n">
        <v>0</v>
      </c>
      <c r="M13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7" ht="184" customHeight="1">
      <c r="A137" s="31" t="inlineStr">
        <is>
          <t>9 Jun</t>
        </is>
      </c>
      <c r="B137" s="31" t="inlineStr">
        <is>
          <t>39501</t>
        </is>
      </c>
      <c r="C137" s="31" t="n">
        <v>1396</v>
      </c>
      <c r="D137" s="31" t="n">
        <v>1395</v>
      </c>
      <c r="E137" s="31" t="n">
        <v>0</v>
      </c>
      <c r="F137" s="40" t="n">
        <v>1401347</v>
      </c>
      <c r="G137" s="40" t="n">
        <v>1467082</v>
      </c>
      <c r="H137" s="40" t="inlineStr">
        <is>
          <t>-</t>
        </is>
      </c>
      <c r="I137" s="40" t="inlineStr">
        <is>
          <t>-</t>
        </is>
      </c>
      <c r="J137" s="41" t="n">
        <v>0</v>
      </c>
      <c r="K137" s="31" t="inlineStr">
        <is>
          <t>No</t>
        </is>
      </c>
      <c r="L137" s="31" t="n">
        <v>0</v>
      </c>
      <c r="M1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8" ht="184" customHeight="1">
      <c r="A138" s="31" t="inlineStr">
        <is>
          <t>9 Jun</t>
        </is>
      </c>
      <c r="B138" s="31" t="inlineStr">
        <is>
          <t>52196</t>
        </is>
      </c>
      <c r="C138" s="31" t="n">
        <v>5138</v>
      </c>
      <c r="D138" s="31" t="n">
        <v>5090</v>
      </c>
      <c r="E138" s="31" t="n">
        <v>0</v>
      </c>
      <c r="F138" s="40" t="n">
        <v>143307</v>
      </c>
      <c r="G138" s="40" t="n">
        <v>152938</v>
      </c>
      <c r="H138" s="40" t="inlineStr">
        <is>
          <t>-</t>
        </is>
      </c>
      <c r="I138" s="40" t="inlineStr">
        <is>
          <t>-</t>
        </is>
      </c>
      <c r="J138" s="41" t="n">
        <v>0</v>
      </c>
      <c r="K138" s="31" t="inlineStr">
        <is>
          <t>No</t>
        </is>
      </c>
      <c r="L138" s="31" t="n">
        <v>0</v>
      </c>
      <c r="M1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9">
      <c r="A139" s="16" t="inlineStr">
        <is>
          <t>10 Jun</t>
        </is>
      </c>
      <c r="B139" s="16" t="inlineStr">
        <is>
          <t>30567</t>
        </is>
      </c>
      <c r="C139" s="16" t="n">
        <v>19721</v>
      </c>
      <c r="D139" s="16" t="n">
        <v>19657</v>
      </c>
      <c r="E139" s="16" t="n">
        <v>18567</v>
      </c>
      <c r="F139" s="38" t="n">
        <v>658474</v>
      </c>
      <c r="G139" s="38" t="n">
        <v>1242978</v>
      </c>
      <c r="H139" s="38" t="n">
        <v>699097</v>
      </c>
      <c r="I139" s="38" t="n">
        <v>1242978</v>
      </c>
      <c r="J139" s="19">
        <f>(I139-H139)/1000</f>
        <v/>
      </c>
      <c r="K139" s="16" t="inlineStr">
        <is>
          <t>Yes</t>
        </is>
      </c>
      <c r="L139" s="16" t="n">
        <v>124</v>
      </c>
      <c r="M139" s="39" t="inlineStr">
        <is>
          <t>- (full trip)</t>
        </is>
      </c>
    </row>
    <row r="140">
      <c r="A140" s="16" t="inlineStr">
        <is>
          <t>10 Jun</t>
        </is>
      </c>
      <c r="B140" s="16" t="inlineStr">
        <is>
          <t>37383</t>
        </is>
      </c>
      <c r="C140" s="16" t="n">
        <v>37257</v>
      </c>
      <c r="D140" s="16" t="n">
        <v>37206</v>
      </c>
      <c r="E140" s="16" t="n">
        <v>34414</v>
      </c>
      <c r="F140" s="38" t="n">
        <v>656328</v>
      </c>
      <c r="G140" s="38" t="n">
        <v>1437058</v>
      </c>
      <c r="H140" s="38" t="n">
        <v>699092</v>
      </c>
      <c r="I140" s="38" t="n">
        <v>1242951</v>
      </c>
      <c r="J140" s="19">
        <f>(I140-H140)/1000</f>
        <v/>
      </c>
      <c r="K140" s="16" t="inlineStr">
        <is>
          <t>Yes</t>
        </is>
      </c>
      <c r="L140" s="16" t="n">
        <v>124</v>
      </c>
      <c r="M140" s="39" t="inlineStr">
        <is>
          <t>- (full trip)</t>
        </is>
      </c>
    </row>
    <row r="141">
      <c r="A141" s="16" t="inlineStr">
        <is>
          <t>10 Jun</t>
        </is>
      </c>
      <c r="B141" s="16" t="inlineStr">
        <is>
          <t>37577</t>
        </is>
      </c>
      <c r="C141" s="16" t="n">
        <v>37375</v>
      </c>
      <c r="D141" s="16" t="n">
        <v>37336</v>
      </c>
      <c r="E141" s="16" t="n">
        <v>34553</v>
      </c>
      <c r="F141" s="38" t="n">
        <v>657360</v>
      </c>
      <c r="G141" s="38" t="n">
        <v>1453268</v>
      </c>
      <c r="H141" s="38" t="n">
        <v>699079</v>
      </c>
      <c r="I141" s="38" t="n">
        <v>1242938</v>
      </c>
      <c r="J141" s="19">
        <f>(I141-H141)/1000</f>
        <v/>
      </c>
      <c r="K141" s="16" t="inlineStr">
        <is>
          <t>Yes</t>
        </is>
      </c>
      <c r="L141" s="16" t="n">
        <v>124</v>
      </c>
      <c r="M141" s="39" t="inlineStr">
        <is>
          <t>- (full trip)</t>
        </is>
      </c>
    </row>
    <row r="142">
      <c r="A142" s="16" t="inlineStr">
        <is>
          <t>10 Jun</t>
        </is>
      </c>
      <c r="B142" s="16" t="inlineStr">
        <is>
          <t>39014</t>
        </is>
      </c>
      <c r="C142" s="16" t="n">
        <v>24539</v>
      </c>
      <c r="D142" s="16" t="n">
        <v>24190</v>
      </c>
      <c r="E142" s="16" t="n">
        <v>21073</v>
      </c>
      <c r="F142" s="38" t="n">
        <v>661626</v>
      </c>
      <c r="G142" s="38" t="n">
        <v>1499163</v>
      </c>
      <c r="H142" s="38" t="n">
        <v>699096</v>
      </c>
      <c r="I142" s="38" t="n">
        <v>1242938</v>
      </c>
      <c r="J142" s="19">
        <f>(I142-H142)/1000</f>
        <v/>
      </c>
      <c r="K142" s="16" t="inlineStr">
        <is>
          <t>Yes</t>
        </is>
      </c>
      <c r="L142" s="16" t="n">
        <v>124</v>
      </c>
      <c r="M142" s="39" t="inlineStr">
        <is>
          <t>- (full trip)</t>
        </is>
      </c>
    </row>
    <row r="143">
      <c r="A143" s="16" t="inlineStr">
        <is>
          <t>10 Jun</t>
        </is>
      </c>
      <c r="B143" s="16" t="inlineStr">
        <is>
          <t>37019</t>
        </is>
      </c>
      <c r="C143" s="16" t="n">
        <v>20051</v>
      </c>
      <c r="D143" s="16" t="n">
        <v>20038</v>
      </c>
      <c r="E143" s="16" t="n">
        <v>19114</v>
      </c>
      <c r="F143" s="38" t="n">
        <v>661455</v>
      </c>
      <c r="G143" s="38" t="n">
        <v>1242719</v>
      </c>
      <c r="H143" s="38" t="n">
        <v>699072</v>
      </c>
      <c r="I143" s="38" t="n">
        <v>1242719</v>
      </c>
      <c r="J143" s="19">
        <f>(I143-H143)/1000</f>
        <v/>
      </c>
      <c r="K143" s="16" t="inlineStr">
        <is>
          <t>Yes</t>
        </is>
      </c>
      <c r="L143" s="16" t="n">
        <v>124</v>
      </c>
      <c r="M143" s="39" t="inlineStr">
        <is>
          <t>- (full trip)</t>
        </is>
      </c>
    </row>
    <row r="144">
      <c r="A144" s="16" t="inlineStr">
        <is>
          <t>10 Jun</t>
        </is>
      </c>
      <c r="B144" s="16" t="inlineStr">
        <is>
          <t>37847</t>
        </is>
      </c>
      <c r="C144" s="16" t="n">
        <v>18944</v>
      </c>
      <c r="D144" s="16" t="n">
        <v>18918</v>
      </c>
      <c r="E144" s="16" t="n">
        <v>17621</v>
      </c>
      <c r="F144" s="38" t="n">
        <v>658772</v>
      </c>
      <c r="G144" s="38" t="n">
        <v>1436311</v>
      </c>
      <c r="H144" s="38" t="n">
        <v>699099</v>
      </c>
      <c r="I144" s="38" t="n">
        <v>1242744</v>
      </c>
      <c r="J144" s="19">
        <f>(I144-H144)/1000</f>
        <v/>
      </c>
      <c r="K144" s="16" t="inlineStr">
        <is>
          <t>Yes</t>
        </is>
      </c>
      <c r="L144" s="16" t="n">
        <v>124</v>
      </c>
      <c r="M144" s="39" t="inlineStr">
        <is>
          <t>- (full trip)</t>
        </is>
      </c>
    </row>
    <row r="145">
      <c r="A145" s="16" t="inlineStr">
        <is>
          <t>10 Jun</t>
        </is>
      </c>
      <c r="B145" s="16" t="inlineStr">
        <is>
          <t>30739</t>
        </is>
      </c>
      <c r="C145" s="16" t="n">
        <v>17831</v>
      </c>
      <c r="D145" s="16" t="n">
        <v>17824</v>
      </c>
      <c r="E145" s="16" t="n">
        <v>17585</v>
      </c>
      <c r="F145" s="38" t="n">
        <v>695661</v>
      </c>
      <c r="G145" s="38" t="n">
        <v>1241996</v>
      </c>
      <c r="H145" s="38" t="n">
        <v>699089</v>
      </c>
      <c r="I145" s="38" t="n">
        <v>1241996</v>
      </c>
      <c r="J145" s="19">
        <f>(I145-H145)/1000</f>
        <v/>
      </c>
      <c r="K145" s="16" t="inlineStr">
        <is>
          <t>Yes</t>
        </is>
      </c>
      <c r="L145" s="16" t="n">
        <v>124</v>
      </c>
      <c r="M145" s="39" t="inlineStr">
        <is>
          <t>- (full trip)</t>
        </is>
      </c>
    </row>
    <row r="146">
      <c r="A146" s="16" t="inlineStr">
        <is>
          <t>10 Jun</t>
        </is>
      </c>
      <c r="B146" s="16" t="inlineStr">
        <is>
          <t>37853</t>
        </is>
      </c>
      <c r="C146" s="16" t="n">
        <v>30489</v>
      </c>
      <c r="D146" s="16" t="n">
        <v>30452</v>
      </c>
      <c r="E146" s="16" t="n">
        <v>28965</v>
      </c>
      <c r="F146" s="38" t="n">
        <v>657172</v>
      </c>
      <c r="G146" s="38" t="n">
        <v>1240727</v>
      </c>
      <c r="H146" s="38" t="n">
        <v>699078</v>
      </c>
      <c r="I146" s="38" t="n">
        <v>1240727</v>
      </c>
      <c r="J146" s="19">
        <f>(I146-H146)/1000</f>
        <v/>
      </c>
      <c r="K146" s="16" t="inlineStr">
        <is>
          <t>Yes</t>
        </is>
      </c>
      <c r="L146" s="16" t="n">
        <v>124</v>
      </c>
      <c r="M146" s="39" t="inlineStr">
        <is>
          <t>- (full trip)</t>
        </is>
      </c>
    </row>
    <row r="147" ht="34" customHeight="1">
      <c r="A147" s="16" t="inlineStr">
        <is>
          <t>10 Jun</t>
        </is>
      </c>
      <c r="B147" s="16" t="inlineStr">
        <is>
          <t>30460</t>
        </is>
      </c>
      <c r="C147" s="16" t="n">
        <v>26111</v>
      </c>
      <c r="D147" s="16" t="n">
        <v>26111</v>
      </c>
      <c r="E147" s="16" t="n">
        <v>24933</v>
      </c>
      <c r="F147" s="38" t="n">
        <v>672434</v>
      </c>
      <c r="G147" s="38" t="n">
        <v>1205640</v>
      </c>
      <c r="H147" s="38" t="n">
        <v>699086</v>
      </c>
      <c r="I147" s="38" t="n">
        <v>1205640</v>
      </c>
      <c r="J147" s="19">
        <f>(I147-H147)/1000</f>
        <v/>
      </c>
      <c r="K147" s="16" t="inlineStr">
        <is>
          <t>Yes</t>
        </is>
      </c>
      <c r="L147" s="16" t="n">
        <v>117</v>
      </c>
      <c r="M147" s="39" t="inlineStr">
        <is>
          <t>IBH 265, Murhesi Rampur(MSRP), IBH/LC-258, Jajjanpatti(JJA), DhaurmuiJaghina(DUM), IBH-247, Bharatpur Jn.(BTE)</t>
        </is>
      </c>
    </row>
    <row r="148" ht="49" customHeight="1">
      <c r="A148" s="16" t="inlineStr">
        <is>
          <t>10 Jun</t>
        </is>
      </c>
      <c r="B148" s="16" t="inlineStr">
        <is>
          <t>37955</t>
        </is>
      </c>
      <c r="C148" s="16" t="n">
        <v>18640</v>
      </c>
      <c r="D148" s="16" t="n">
        <v>18633</v>
      </c>
      <c r="E148" s="16" t="n">
        <v>17888</v>
      </c>
      <c r="F148" s="38" t="n">
        <v>748231</v>
      </c>
      <c r="G148" s="38" t="n">
        <v>1493669</v>
      </c>
      <c r="H148" s="38" t="n">
        <v>748231</v>
      </c>
      <c r="I148" s="38" t="n">
        <v>1240722</v>
      </c>
      <c r="J148" s="19">
        <f>(I148-H148)/1000</f>
        <v/>
      </c>
      <c r="K148" s="16" t="inlineStr">
        <is>
          <t>Yes</t>
        </is>
      </c>
      <c r="L148" s="16" t="n">
        <v>113</v>
      </c>
      <c r="M148" s="39" t="inlineStr">
        <is>
          <t>Thuria(THUR), IBH-23, VikramgarhA lot(VMA), IBH-17, LuniRichha(LNR), IBH-10, Mehidpur Road(MEP), 3.9 KM  from RLK, Rohalkhurd(RLK), LC-3, IBH-1</t>
        </is>
      </c>
    </row>
    <row r="149" ht="64" customHeight="1">
      <c r="A149" s="16" t="inlineStr">
        <is>
          <t>10 Jun</t>
        </is>
      </c>
      <c r="B149" s="16" t="inlineStr">
        <is>
          <t>37189</t>
        </is>
      </c>
      <c r="C149" s="16" t="n">
        <v>16809</v>
      </c>
      <c r="D149" s="16" t="n">
        <v>16768</v>
      </c>
      <c r="E149" s="16" t="n">
        <v>14921</v>
      </c>
      <c r="F149" s="38" t="n">
        <v>779842</v>
      </c>
      <c r="G149" s="38" t="n">
        <v>1484547</v>
      </c>
      <c r="H149" s="38" t="n">
        <v>779842</v>
      </c>
      <c r="I149" s="38" t="n">
        <v>1240664</v>
      </c>
      <c r="J149" s="19">
        <f>(I149-H149)/1000</f>
        <v/>
      </c>
      <c r="K149" s="16" t="inlineStr">
        <is>
          <t>Yes</t>
        </is>
      </c>
      <c r="L149" s="16" t="n">
        <v>106</v>
      </c>
      <c r="M149" s="39" t="inlineStr">
        <is>
          <t>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0" ht="94" customHeight="1">
      <c r="A150" s="16" t="inlineStr">
        <is>
          <t>10 Jun</t>
        </is>
      </c>
      <c r="B150" s="16" t="inlineStr">
        <is>
          <t>30351</t>
        </is>
      </c>
      <c r="C150" s="16" t="n">
        <v>24812</v>
      </c>
      <c r="D150" s="16" t="n">
        <v>24663</v>
      </c>
      <c r="E150" s="16" t="n">
        <v>23732</v>
      </c>
      <c r="F150" s="38" t="n">
        <v>695604</v>
      </c>
      <c r="G150" s="38" t="n">
        <v>1131494</v>
      </c>
      <c r="H150" s="38" t="n">
        <v>699078</v>
      </c>
      <c r="I150" s="38" t="n">
        <v>1131494</v>
      </c>
      <c r="J150" s="19">
        <f>(I150-H150)/1000</f>
        <v/>
      </c>
      <c r="K150" s="16" t="inlineStr">
        <is>
          <t>Yes</t>
        </is>
      </c>
      <c r="L150" s="16" t="n">
        <v>98</v>
      </c>
      <c r="M15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</t>
        </is>
      </c>
    </row>
    <row r="151" ht="169" customHeight="1">
      <c r="A151" s="16" t="inlineStr">
        <is>
          <t>10 Jun</t>
        </is>
      </c>
      <c r="B151" s="16" t="inlineStr">
        <is>
          <t>39466</t>
        </is>
      </c>
      <c r="C151" s="16" t="n">
        <v>15754</v>
      </c>
      <c r="D151" s="16" t="n">
        <v>15508</v>
      </c>
      <c r="E151" s="16" t="n">
        <v>15098</v>
      </c>
      <c r="F151" s="38" t="n">
        <v>4605</v>
      </c>
      <c r="G151" s="38" t="n">
        <v>1028913</v>
      </c>
      <c r="H151" s="38" t="n">
        <v>699074</v>
      </c>
      <c r="I151" s="38" t="n">
        <v>1028913</v>
      </c>
      <c r="J151" s="19">
        <f>(I151-H151)/1000</f>
        <v/>
      </c>
      <c r="K151" s="16" t="inlineStr">
        <is>
          <t>Yes</t>
        </is>
      </c>
      <c r="L151" s="16" t="n">
        <v>77</v>
      </c>
      <c r="M15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2" ht="169" customHeight="1">
      <c r="A152" s="16" t="inlineStr">
        <is>
          <t>10 Jun</t>
        </is>
      </c>
      <c r="B152" s="16" t="inlineStr">
        <is>
          <t>30223</t>
        </is>
      </c>
      <c r="C152" s="16" t="n">
        <v>18462</v>
      </c>
      <c r="D152" s="16" t="n">
        <v>18439</v>
      </c>
      <c r="E152" s="16" t="n">
        <v>16966</v>
      </c>
      <c r="F152" s="38" t="n">
        <v>657191</v>
      </c>
      <c r="G152" s="38" t="n">
        <v>1028882</v>
      </c>
      <c r="H152" s="38" t="n">
        <v>699077</v>
      </c>
      <c r="I152" s="38" t="n">
        <v>1028882</v>
      </c>
      <c r="J152" s="19">
        <f>(I152-H152)/1000</f>
        <v/>
      </c>
      <c r="K152" s="16" t="inlineStr">
        <is>
          <t>Yes</t>
        </is>
      </c>
      <c r="L152" s="16" t="n">
        <v>77</v>
      </c>
      <c r="M15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3" ht="169" customHeight="1">
      <c r="A153" s="16" t="inlineStr">
        <is>
          <t>10 Jun</t>
        </is>
      </c>
      <c r="B153" s="16" t="inlineStr">
        <is>
          <t>30334</t>
        </is>
      </c>
      <c r="C153" s="16" t="n">
        <v>12773</v>
      </c>
      <c r="D153" s="16" t="n">
        <v>12771</v>
      </c>
      <c r="E153" s="16" t="n">
        <v>11160</v>
      </c>
      <c r="F153" s="38" t="n">
        <v>917770</v>
      </c>
      <c r="G153" s="38" t="n">
        <v>1494757</v>
      </c>
      <c r="H153" s="38" t="n">
        <v>917770</v>
      </c>
      <c r="I153" s="38" t="n">
        <v>1240694</v>
      </c>
      <c r="J153" s="19">
        <f>(I153-H153)/1000</f>
        <v/>
      </c>
      <c r="K153" s="16" t="inlineStr">
        <is>
          <t>Yes</t>
        </is>
      </c>
      <c r="L153" s="16" t="n">
        <v>79</v>
      </c>
      <c r="M153" s="39" t="inlineStr">
        <is>
          <t>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4" ht="184" customHeight="1">
      <c r="A154" s="16" t="inlineStr">
        <is>
          <t>10 Jun</t>
        </is>
      </c>
      <c r="B154" s="16" t="inlineStr">
        <is>
          <t>30339</t>
        </is>
      </c>
      <c r="C154" s="16" t="n">
        <v>24773</v>
      </c>
      <c r="D154" s="16" t="n">
        <v>24712</v>
      </c>
      <c r="E154" s="16" t="n">
        <v>24387</v>
      </c>
      <c r="F154" s="38" t="n">
        <v>920520</v>
      </c>
      <c r="G154" s="38" t="n">
        <v>1436372</v>
      </c>
      <c r="H154" s="38" t="n">
        <v>920520</v>
      </c>
      <c r="I154" s="38" t="n">
        <v>1242984</v>
      </c>
      <c r="J154" s="19">
        <f>(I154-H154)/1000</f>
        <v/>
      </c>
      <c r="K154" s="16" t="inlineStr">
        <is>
          <t>Yes</t>
        </is>
      </c>
      <c r="L154" s="16" t="n">
        <v>78</v>
      </c>
      <c r="M15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5" ht="184" customHeight="1">
      <c r="A155" s="16" t="inlineStr">
        <is>
          <t>10 Jun</t>
        </is>
      </c>
      <c r="B155" s="16" t="inlineStr">
        <is>
          <t>30335</t>
        </is>
      </c>
      <c r="C155" s="16" t="n">
        <v>12891</v>
      </c>
      <c r="D155" s="16" t="n">
        <v>12829</v>
      </c>
      <c r="E155" s="16" t="n">
        <v>11644</v>
      </c>
      <c r="F155" s="38" t="n">
        <v>921251</v>
      </c>
      <c r="G155" s="38" t="n">
        <v>1448985</v>
      </c>
      <c r="H155" s="38" t="n">
        <v>921251</v>
      </c>
      <c r="I155" s="38" t="n">
        <v>1242984</v>
      </c>
      <c r="J155" s="19">
        <f>(I155-H155)/1000</f>
        <v/>
      </c>
      <c r="K155" s="16" t="inlineStr">
        <is>
          <t>Yes</t>
        </is>
      </c>
      <c r="L155" s="16" t="n">
        <v>78</v>
      </c>
      <c r="M15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6" ht="184" customHeight="1">
      <c r="A156" s="16" t="inlineStr">
        <is>
          <t>10 Jun</t>
        </is>
      </c>
      <c r="B156" s="16" t="inlineStr">
        <is>
          <t>37356</t>
        </is>
      </c>
      <c r="C156" s="16" t="n">
        <v>13192</v>
      </c>
      <c r="D156" s="16" t="n">
        <v>13178</v>
      </c>
      <c r="E156" s="16" t="n">
        <v>13178</v>
      </c>
      <c r="F156" s="38" t="n">
        <v>921046</v>
      </c>
      <c r="G156" s="38" t="n">
        <v>1240715</v>
      </c>
      <c r="H156" s="38" t="n">
        <v>921046</v>
      </c>
      <c r="I156" s="38" t="n">
        <v>1240715</v>
      </c>
      <c r="J156" s="19">
        <f>(I156-H156)/1000</f>
        <v/>
      </c>
      <c r="K156" s="16" t="inlineStr">
        <is>
          <t>Yes</t>
        </is>
      </c>
      <c r="L156" s="16" t="n">
        <v>78</v>
      </c>
      <c r="M15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7" ht="184" customHeight="1">
      <c r="A157" s="16" t="inlineStr">
        <is>
          <t>10 Jun</t>
        </is>
      </c>
      <c r="B157" s="16" t="inlineStr">
        <is>
          <t>30466</t>
        </is>
      </c>
      <c r="C157" s="16" t="n">
        <v>11437</v>
      </c>
      <c r="D157" s="16" t="n">
        <v>11425</v>
      </c>
      <c r="E157" s="16" t="n">
        <v>10773</v>
      </c>
      <c r="F157" s="38" t="n">
        <v>921756</v>
      </c>
      <c r="G157" s="38" t="n">
        <v>1448374</v>
      </c>
      <c r="H157" s="38" t="n">
        <v>921756</v>
      </c>
      <c r="I157" s="38" t="n">
        <v>1240552</v>
      </c>
      <c r="J157" s="19">
        <f>(I157-H157)/1000</f>
        <v/>
      </c>
      <c r="K157" s="16" t="inlineStr">
        <is>
          <t>Yes</t>
        </is>
      </c>
      <c r="L157" s="16" t="n">
        <v>78</v>
      </c>
      <c r="M15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8" ht="184" customHeight="1">
      <c r="A158" s="16" t="inlineStr">
        <is>
          <t>10 Jun</t>
        </is>
      </c>
      <c r="B158" s="16" t="inlineStr">
        <is>
          <t>30234</t>
        </is>
      </c>
      <c r="C158" s="16" t="n">
        <v>10473</v>
      </c>
      <c r="D158" s="16" t="n">
        <v>10433</v>
      </c>
      <c r="E158" s="16" t="n">
        <v>10433</v>
      </c>
      <c r="F158" s="38" t="n">
        <v>824625</v>
      </c>
      <c r="G158" s="38" t="n">
        <v>1091805</v>
      </c>
      <c r="H158" s="38" t="n">
        <v>824625</v>
      </c>
      <c r="I158" s="38" t="n">
        <v>1091805</v>
      </c>
      <c r="J158" s="19">
        <f>(I158-H158)/1000</f>
        <v/>
      </c>
      <c r="K158" s="16" t="inlineStr">
        <is>
          <t>Yes</t>
        </is>
      </c>
      <c r="L158" s="16" t="n">
        <v>64</v>
      </c>
      <c r="M15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Bhawani Mandi(BWM), IBH-61(LC-60), Kurlasi(KRLS), IBH-55(7.5KM from GOH), Garoth(GOH), IBH-48, Shamgarh(SGZ), 3.0 Km From SGZ, IBH-HNU, Suwasra(SVA), NathuKheri(NKH), 4.5 KM from CMU, Chau Mahla(CMU), Talavli(TLZ), LC-28, IBH-27, Thuria(THUR)  ...(+10 more)</t>
        </is>
      </c>
    </row>
    <row r="159" ht="199" customHeight="1">
      <c r="A159" s="16" t="inlineStr">
        <is>
          <t>10 Jun</t>
        </is>
      </c>
      <c r="B159" s="16" t="inlineStr">
        <is>
          <t>30176</t>
        </is>
      </c>
      <c r="C159" s="16" t="n">
        <v>38999</v>
      </c>
      <c r="D159" s="16" t="n">
        <v>37551</v>
      </c>
      <c r="E159" s="16" t="n">
        <v>37551</v>
      </c>
      <c r="F159" s="38" t="n">
        <v>920270</v>
      </c>
      <c r="G159" s="38" t="n">
        <v>1174516</v>
      </c>
      <c r="H159" s="38" t="n">
        <v>920270</v>
      </c>
      <c r="I159" s="38" t="n">
        <v>1174516</v>
      </c>
      <c r="J159" s="19">
        <f>(I159-H159)/1000</f>
        <v/>
      </c>
      <c r="K159" s="16" t="inlineStr">
        <is>
          <t>Yes</t>
        </is>
      </c>
      <c r="L159" s="16" t="n">
        <v>63</v>
      </c>
      <c r="M159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160" ht="199" customHeight="1">
      <c r="A160" s="16" t="inlineStr">
        <is>
          <t>10 Jun</t>
        </is>
      </c>
      <c r="B160" s="16" t="inlineStr">
        <is>
          <t>37639</t>
        </is>
      </c>
      <c r="C160" s="16" t="n">
        <v>20034</v>
      </c>
      <c r="D160" s="16" t="n">
        <v>19986</v>
      </c>
      <c r="E160" s="16" t="n">
        <v>19986</v>
      </c>
      <c r="F160" s="38" t="n">
        <v>921720</v>
      </c>
      <c r="G160" s="38" t="n">
        <v>1172539</v>
      </c>
      <c r="H160" s="38" t="n">
        <v>921720</v>
      </c>
      <c r="I160" s="38" t="n">
        <v>1172539</v>
      </c>
      <c r="J160" s="19">
        <f>(I160-H160)/1000</f>
        <v/>
      </c>
      <c r="K160" s="16" t="inlineStr">
        <is>
          <t>Yes</t>
        </is>
      </c>
      <c r="L160" s="16" t="n">
        <v>62</v>
      </c>
      <c r="M160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61" ht="184" customHeight="1">
      <c r="A161" s="16" t="inlineStr">
        <is>
          <t>10 Jun</t>
        </is>
      </c>
      <c r="B161" s="16" t="inlineStr">
        <is>
          <t>39244</t>
        </is>
      </c>
      <c r="C161" s="16" t="n">
        <v>10810</v>
      </c>
      <c r="D161" s="16" t="n">
        <v>10793</v>
      </c>
      <c r="E161" s="16" t="n">
        <v>9707</v>
      </c>
      <c r="F161" s="38" t="n">
        <v>657316</v>
      </c>
      <c r="G161" s="38" t="n">
        <v>928399</v>
      </c>
      <c r="H161" s="38" t="n">
        <v>699089</v>
      </c>
      <c r="I161" s="38" t="n">
        <v>928399</v>
      </c>
      <c r="J161" s="19">
        <f>(I161-H161)/1000</f>
        <v/>
      </c>
      <c r="K161" s="16" t="inlineStr">
        <is>
          <t>Yes</t>
        </is>
      </c>
      <c r="L161" s="16" t="n">
        <v>49</v>
      </c>
      <c r="M16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...(+25 more)</t>
        </is>
      </c>
    </row>
    <row r="162" ht="184" customHeight="1">
      <c r="A162" s="16" t="inlineStr">
        <is>
          <t>10 Jun</t>
        </is>
      </c>
      <c r="B162" s="16" t="inlineStr">
        <is>
          <t>30440</t>
        </is>
      </c>
      <c r="C162" s="16" t="n">
        <v>9273</v>
      </c>
      <c r="D162" s="16" t="n">
        <v>9269</v>
      </c>
      <c r="E162" s="16" t="n">
        <v>8315</v>
      </c>
      <c r="F162" s="38" t="n">
        <v>657175</v>
      </c>
      <c r="G162" s="38" t="n">
        <v>926966</v>
      </c>
      <c r="H162" s="38" t="n">
        <v>699088</v>
      </c>
      <c r="I162" s="38" t="n">
        <v>926966</v>
      </c>
      <c r="J162" s="19">
        <f>(I162-H162)/1000</f>
        <v/>
      </c>
      <c r="K162" s="16" t="inlineStr">
        <is>
          <t>Yes</t>
        </is>
      </c>
      <c r="L162" s="16" t="n">
        <v>49</v>
      </c>
      <c r="M16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...(+25 more)</t>
        </is>
      </c>
    </row>
    <row r="163" ht="184" customHeight="1">
      <c r="A163" s="16" t="inlineStr">
        <is>
          <t>10 Jun</t>
        </is>
      </c>
      <c r="B163" s="16" t="inlineStr">
        <is>
          <t>39035</t>
        </is>
      </c>
      <c r="C163" s="16" t="n">
        <v>10259</v>
      </c>
      <c r="D163" s="16" t="n">
        <v>10259</v>
      </c>
      <c r="E163" s="16" t="n">
        <v>9134</v>
      </c>
      <c r="F163" s="38" t="n">
        <v>657307</v>
      </c>
      <c r="G163" s="38" t="n">
        <v>926069</v>
      </c>
      <c r="H163" s="38" t="n">
        <v>699089</v>
      </c>
      <c r="I163" s="38" t="n">
        <v>926069</v>
      </c>
      <c r="J163" s="19">
        <f>(I163-H163)/1000</f>
        <v/>
      </c>
      <c r="K163" s="16" t="inlineStr">
        <is>
          <t>Yes</t>
        </is>
      </c>
      <c r="L163" s="16" t="n">
        <v>49</v>
      </c>
      <c r="M16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...(+25 more)</t>
        </is>
      </c>
    </row>
    <row r="164" ht="184" customHeight="1">
      <c r="A164" s="16" t="inlineStr">
        <is>
          <t>10 Jun</t>
        </is>
      </c>
      <c r="B164" s="16" t="inlineStr">
        <is>
          <t>37507</t>
        </is>
      </c>
      <c r="C164" s="16" t="n">
        <v>9128</v>
      </c>
      <c r="D164" s="16" t="n">
        <v>9128</v>
      </c>
      <c r="E164" s="16" t="n">
        <v>8052</v>
      </c>
      <c r="F164" s="38" t="n">
        <v>657189</v>
      </c>
      <c r="G164" s="38" t="n">
        <v>920599</v>
      </c>
      <c r="H164" s="38" t="n">
        <v>699104</v>
      </c>
      <c r="I164" s="38" t="n">
        <v>920599</v>
      </c>
      <c r="J164" s="19">
        <f>(I164-H164)/1000</f>
        <v/>
      </c>
      <c r="K164" s="16" t="inlineStr">
        <is>
          <t>Yes</t>
        </is>
      </c>
      <c r="L164" s="16" t="n">
        <v>47</v>
      </c>
      <c r="M16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165" ht="199" customHeight="1">
      <c r="A165" s="16" t="inlineStr">
        <is>
          <t>10 Jun</t>
        </is>
      </c>
      <c r="B165" s="16" t="inlineStr">
        <is>
          <t>30181</t>
        </is>
      </c>
      <c r="C165" s="16" t="n">
        <v>9799</v>
      </c>
      <c r="D165" s="16" t="n">
        <v>9745</v>
      </c>
      <c r="E165" s="16" t="n">
        <v>9745</v>
      </c>
      <c r="F165" s="38" t="n">
        <v>1028537</v>
      </c>
      <c r="G165" s="38" t="n">
        <v>1242957</v>
      </c>
      <c r="H165" s="38" t="n">
        <v>1028537</v>
      </c>
      <c r="I165" s="38" t="n">
        <v>1242957</v>
      </c>
      <c r="J165" s="19">
        <f>(I165-H165)/1000</f>
        <v/>
      </c>
      <c r="K165" s="16" t="inlineStr">
        <is>
          <t>Yes</t>
        </is>
      </c>
      <c r="L165" s="16" t="n">
        <v>48</v>
      </c>
      <c r="M165" s="39" t="inlineStr">
        <is>
          <t>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  ...(+26 more)</t>
        </is>
      </c>
    </row>
    <row r="166" ht="184" customHeight="1">
      <c r="A166" s="16" t="inlineStr">
        <is>
          <t>10 Jun</t>
        </is>
      </c>
      <c r="B166" s="16" t="inlineStr">
        <is>
          <t>37286</t>
        </is>
      </c>
      <c r="C166" s="16" t="n">
        <v>9201</v>
      </c>
      <c r="D166" s="16" t="n">
        <v>9201</v>
      </c>
      <c r="E166" s="16" t="n">
        <v>8077</v>
      </c>
      <c r="F166" s="38" t="n">
        <v>661484</v>
      </c>
      <c r="G166" s="38" t="n">
        <v>906591</v>
      </c>
      <c r="H166" s="38" t="n">
        <v>699098</v>
      </c>
      <c r="I166" s="38" t="n">
        <v>906591</v>
      </c>
      <c r="J166" s="19">
        <f>(I166-H166)/1000</f>
        <v/>
      </c>
      <c r="K166" s="16" t="inlineStr">
        <is>
          <t>Yes</t>
        </is>
      </c>
      <c r="L166" s="16" t="n">
        <v>44</v>
      </c>
      <c r="M16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...(+30 more)</t>
        </is>
      </c>
    </row>
    <row r="167" ht="184" customHeight="1">
      <c r="A167" s="16" t="inlineStr">
        <is>
          <t>10 Jun</t>
        </is>
      </c>
      <c r="B167" s="16" t="inlineStr">
        <is>
          <t>37063</t>
        </is>
      </c>
      <c r="C167" s="16" t="n">
        <v>12542</v>
      </c>
      <c r="D167" s="16" t="n">
        <v>12539</v>
      </c>
      <c r="E167" s="16" t="n">
        <v>12539</v>
      </c>
      <c r="F167" s="38" t="n">
        <v>920694</v>
      </c>
      <c r="G167" s="38" t="n">
        <v>1113821</v>
      </c>
      <c r="H167" s="38" t="n">
        <v>920694</v>
      </c>
      <c r="I167" s="38" t="n">
        <v>1113821</v>
      </c>
      <c r="J167" s="19">
        <f>(I167-H167)/1000</f>
        <v/>
      </c>
      <c r="K167" s="16" t="inlineStr">
        <is>
          <t>Yes</t>
        </is>
      </c>
      <c r="L167" s="16" t="n">
        <v>49</v>
      </c>
      <c r="M16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  ...(+25 more)</t>
        </is>
      </c>
    </row>
    <row r="168" ht="184" customHeight="1">
      <c r="A168" s="16" t="inlineStr">
        <is>
          <t>10 Jun</t>
        </is>
      </c>
      <c r="B168" s="16" t="inlineStr">
        <is>
          <t>39421</t>
        </is>
      </c>
      <c r="C168" s="16" t="n">
        <v>2487</v>
      </c>
      <c r="D168" s="16" t="n">
        <v>2486</v>
      </c>
      <c r="E168" s="16" t="n">
        <v>471</v>
      </c>
      <c r="F168" s="38" t="n">
        <v>1054308</v>
      </c>
      <c r="G168" s="38" t="n">
        <v>1376308</v>
      </c>
      <c r="H168" s="38" t="n">
        <v>1054308</v>
      </c>
      <c r="I168" s="38" t="n">
        <v>1241512</v>
      </c>
      <c r="J168" s="19">
        <f>(I168-H168)/1000</f>
        <v/>
      </c>
      <c r="K168" s="16" t="inlineStr">
        <is>
          <t>Yes</t>
        </is>
      </c>
      <c r="L168" s="16" t="n">
        <v>42</v>
      </c>
      <c r="M168" s="39" t="inlineStr">
        <is>
          <t>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  ...(+32 more)</t>
        </is>
      </c>
    </row>
    <row r="169" ht="184" customHeight="1">
      <c r="A169" s="16" t="inlineStr">
        <is>
          <t>10 Jun</t>
        </is>
      </c>
      <c r="B169" s="16" t="inlineStr">
        <is>
          <t>37086</t>
        </is>
      </c>
      <c r="C169" s="16" t="n">
        <v>7741</v>
      </c>
      <c r="D169" s="16" t="n">
        <v>7741</v>
      </c>
      <c r="E169" s="16" t="n">
        <v>7131</v>
      </c>
      <c r="F169" s="38" t="n">
        <v>657190</v>
      </c>
      <c r="G169" s="38" t="n">
        <v>874184</v>
      </c>
      <c r="H169" s="38" t="n">
        <v>699078</v>
      </c>
      <c r="I169" s="38" t="n">
        <v>874184</v>
      </c>
      <c r="J169" s="19">
        <f>(I169-H169)/1000</f>
        <v/>
      </c>
      <c r="K169" s="16" t="inlineStr">
        <is>
          <t>Yes</t>
        </is>
      </c>
      <c r="L169" s="16" t="n">
        <v>38</v>
      </c>
      <c r="M1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...(+36 more)</t>
        </is>
      </c>
    </row>
    <row r="170" ht="184" customHeight="1">
      <c r="A170" s="16" t="inlineStr">
        <is>
          <t>10 Jun</t>
        </is>
      </c>
      <c r="B170" s="16" t="inlineStr">
        <is>
          <t>39328</t>
        </is>
      </c>
      <c r="C170" s="16" t="n">
        <v>10037</v>
      </c>
      <c r="D170" s="16" t="n">
        <v>10021</v>
      </c>
      <c r="E170" s="16" t="n">
        <v>7833</v>
      </c>
      <c r="F170" s="38" t="n">
        <v>1075790</v>
      </c>
      <c r="G170" s="38" t="n">
        <v>1484403</v>
      </c>
      <c r="H170" s="38" t="n">
        <v>1075790</v>
      </c>
      <c r="I170" s="38" t="n">
        <v>1242929</v>
      </c>
      <c r="J170" s="19">
        <f>(I170-H170)/1000</f>
        <v/>
      </c>
      <c r="K170" s="16" t="inlineStr">
        <is>
          <t>Yes</t>
        </is>
      </c>
      <c r="L170" s="16" t="n">
        <v>37</v>
      </c>
      <c r="M170" s="39" t="inlineStr">
        <is>
          <t>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  ...(+37 more)</t>
        </is>
      </c>
    </row>
    <row r="171" ht="184" customHeight="1">
      <c r="A171" s="16" t="inlineStr">
        <is>
          <t>10 Jun</t>
        </is>
      </c>
      <c r="B171" s="16" t="inlineStr">
        <is>
          <t>30395</t>
        </is>
      </c>
      <c r="C171" s="16" t="n">
        <v>4907</v>
      </c>
      <c r="D171" s="16" t="n">
        <v>4880</v>
      </c>
      <c r="E171" s="16" t="n">
        <v>4880</v>
      </c>
      <c r="F171" s="38" t="n">
        <v>920358</v>
      </c>
      <c r="G171" s="38" t="n">
        <v>1028897</v>
      </c>
      <c r="H171" s="38" t="n">
        <v>920358</v>
      </c>
      <c r="I171" s="38" t="n">
        <v>1028897</v>
      </c>
      <c r="J171" s="19">
        <f>(I171-H171)/1000</f>
        <v/>
      </c>
      <c r="K171" s="16" t="inlineStr">
        <is>
          <t>Yes</t>
        </is>
      </c>
      <c r="L171" s="16" t="n">
        <v>31</v>
      </c>
      <c r="M17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72" ht="184" customHeight="1">
      <c r="A172" s="16" t="inlineStr">
        <is>
          <t>10 Jun</t>
        </is>
      </c>
      <c r="B172" s="16" t="inlineStr">
        <is>
          <t>39108</t>
        </is>
      </c>
      <c r="C172" s="16" t="n">
        <v>6737</v>
      </c>
      <c r="D172" s="16" t="n">
        <v>6727</v>
      </c>
      <c r="E172" s="16" t="n">
        <v>6727</v>
      </c>
      <c r="F172" s="38" t="n">
        <v>921048</v>
      </c>
      <c r="G172" s="38" t="n">
        <v>1028995</v>
      </c>
      <c r="H172" s="38" t="n">
        <v>921048</v>
      </c>
      <c r="I172" s="38" t="n">
        <v>1028995</v>
      </c>
      <c r="J172" s="19">
        <f>(I172-H172)/1000</f>
        <v/>
      </c>
      <c r="K172" s="16" t="inlineStr">
        <is>
          <t>Yes</t>
        </is>
      </c>
      <c r="L172" s="16" t="n">
        <v>31</v>
      </c>
      <c r="M17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73" ht="184" customHeight="1">
      <c r="A173" s="16" t="inlineStr">
        <is>
          <t>10 Jun</t>
        </is>
      </c>
      <c r="B173" s="16" t="inlineStr">
        <is>
          <t>37073</t>
        </is>
      </c>
      <c r="C173" s="16" t="n">
        <v>7004</v>
      </c>
      <c r="D173" s="16" t="n">
        <v>7000</v>
      </c>
      <c r="E173" s="16" t="n">
        <v>4263</v>
      </c>
      <c r="F173" s="38" t="n">
        <v>1136217</v>
      </c>
      <c r="G173" s="38" t="n">
        <v>1498928</v>
      </c>
      <c r="H173" s="38" t="n">
        <v>1136217</v>
      </c>
      <c r="I173" s="38" t="n">
        <v>1240684</v>
      </c>
      <c r="J173" s="19">
        <f>(I173-H173)/1000</f>
        <v/>
      </c>
      <c r="K173" s="16" t="inlineStr">
        <is>
          <t>Yes</t>
        </is>
      </c>
      <c r="L173" s="16" t="n">
        <v>25</v>
      </c>
      <c r="M173" s="39" t="inlineStr">
        <is>
          <t>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  ...(+49 more)</t>
        </is>
      </c>
    </row>
    <row r="174" ht="184" customHeight="1">
      <c r="A174" s="16" t="inlineStr">
        <is>
          <t>10 Jun</t>
        </is>
      </c>
      <c r="B174" s="16" t="inlineStr">
        <is>
          <t>30464</t>
        </is>
      </c>
      <c r="C174" s="16" t="n">
        <v>4312</v>
      </c>
      <c r="D174" s="16" t="n">
        <v>4220</v>
      </c>
      <c r="E174" s="16" t="n">
        <v>4220</v>
      </c>
      <c r="F174" s="38" t="n">
        <v>932974</v>
      </c>
      <c r="G174" s="38" t="n">
        <v>1029032</v>
      </c>
      <c r="H174" s="38" t="n">
        <v>932974</v>
      </c>
      <c r="I174" s="38" t="n">
        <v>1029032</v>
      </c>
      <c r="J174" s="19">
        <f>(I174-H174)/1000</f>
        <v/>
      </c>
      <c r="K174" s="16" t="inlineStr">
        <is>
          <t>Yes</t>
        </is>
      </c>
      <c r="L174" s="16" t="n">
        <v>27</v>
      </c>
      <c r="M17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2.75 KM from GQL (LC-113), Gurla(GQL), KOTA C  ...(+47 more)</t>
        </is>
      </c>
    </row>
    <row r="175" ht="199" customHeight="1">
      <c r="A175" s="16" t="inlineStr">
        <is>
          <t>10 Jun</t>
        </is>
      </c>
      <c r="B175" s="16" t="inlineStr">
        <is>
          <t>37818</t>
        </is>
      </c>
      <c r="C175" s="16" t="n">
        <v>2131</v>
      </c>
      <c r="D175" s="16" t="n">
        <v>2131</v>
      </c>
      <c r="E175" s="16" t="n">
        <v>2131</v>
      </c>
      <c r="F175" s="38" t="n">
        <v>1161561</v>
      </c>
      <c r="G175" s="38" t="n">
        <v>1212930</v>
      </c>
      <c r="H175" s="38" t="n">
        <v>1161561</v>
      </c>
      <c r="I175" s="38" t="n">
        <v>1212930</v>
      </c>
      <c r="J175" s="19">
        <f>(I175-H175)/1000</f>
        <v/>
      </c>
      <c r="K175" s="16" t="inlineStr">
        <is>
          <t>Yes</t>
        </is>
      </c>
      <c r="L175" s="16" t="n">
        <v>15</v>
      </c>
      <c r="M175" s="39" t="inlineStr">
        <is>
          <t>IBH 265, Murhesi Rampur(MSRP), IBH/LC-258, Jajjanpatti(JJA), DhaurmuiJaghina(DUM), IBH-247,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  ...(+59 more)</t>
        </is>
      </c>
    </row>
    <row r="176" ht="199" customHeight="1">
      <c r="A176" s="16" t="inlineStr">
        <is>
          <t>10 Jun</t>
        </is>
      </c>
      <c r="B176" s="16" t="inlineStr">
        <is>
          <t>37103</t>
        </is>
      </c>
      <c r="C176" s="16" t="n">
        <v>7</v>
      </c>
      <c r="D176" s="16" t="n">
        <v>7</v>
      </c>
      <c r="E176" s="16" t="n">
        <v>7</v>
      </c>
      <c r="F176" s="38" t="n">
        <v>1174915</v>
      </c>
      <c r="G176" s="38" t="n">
        <v>1209533</v>
      </c>
      <c r="H176" s="38" t="n">
        <v>1174915</v>
      </c>
      <c r="I176" s="38" t="n">
        <v>1209533</v>
      </c>
      <c r="J176" s="19">
        <f>(I176-H176)/1000</f>
        <v/>
      </c>
      <c r="K176" s="16" t="inlineStr">
        <is>
          <t>Yes</t>
        </is>
      </c>
      <c r="L176" s="16" t="n">
        <v>10</v>
      </c>
      <c r="M176" s="39" t="inlineStr">
        <is>
          <t>IBH 265, Murhesi Rampur(MSRP), IBH/LC-258, Jajjanpatti(JJA), DhaurmuiJaghina(DUM), IBH-247,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  ...(+64 more)</t>
        </is>
      </c>
    </row>
    <row r="177" ht="184" customHeight="1">
      <c r="A177" s="16" t="inlineStr">
        <is>
          <t>10 Jun</t>
        </is>
      </c>
      <c r="B177" s="16" t="inlineStr">
        <is>
          <t>37846</t>
        </is>
      </c>
      <c r="C177" s="16" t="n">
        <v>1547</v>
      </c>
      <c r="D177" s="16" t="n">
        <v>1427</v>
      </c>
      <c r="E177" s="16" t="n">
        <v>1152</v>
      </c>
      <c r="F177" s="38" t="n">
        <v>696991</v>
      </c>
      <c r="G177" s="38" t="n">
        <v>725038</v>
      </c>
      <c r="H177" s="38" t="n">
        <v>699082</v>
      </c>
      <c r="I177" s="38" t="n">
        <v>725038</v>
      </c>
      <c r="J177" s="19">
        <f>(I177-H177)/1000</f>
        <v/>
      </c>
      <c r="K177" s="16" t="inlineStr">
        <is>
          <t>Yes</t>
        </is>
      </c>
      <c r="L177" s="16" t="n">
        <v>7</v>
      </c>
      <c r="M17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...(+67 more)</t>
        </is>
      </c>
    </row>
    <row r="178" ht="184" customHeight="1">
      <c r="A178" s="16" t="inlineStr">
        <is>
          <t>10 Jun</t>
        </is>
      </c>
      <c r="B178" s="16" t="inlineStr">
        <is>
          <t>30576</t>
        </is>
      </c>
      <c r="C178" s="16" t="n">
        <v>2784</v>
      </c>
      <c r="D178" s="16" t="n">
        <v>2577</v>
      </c>
      <c r="E178" s="16" t="n">
        <v>86</v>
      </c>
      <c r="F178" s="38" t="n">
        <v>1230882</v>
      </c>
      <c r="G178" s="38" t="n">
        <v>1506546</v>
      </c>
      <c r="H178" s="38" t="n">
        <v>1230882</v>
      </c>
      <c r="I178" s="38" t="n">
        <v>1243746</v>
      </c>
      <c r="J178" s="19">
        <f>(I178-H178)/1000</f>
        <v/>
      </c>
      <c r="K178" s="16" t="inlineStr">
        <is>
          <t>Yes</t>
        </is>
      </c>
      <c r="L178" s="16" t="n">
        <v>3</v>
      </c>
      <c r="M178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179" ht="184" customHeight="1">
      <c r="A179" s="16" t="inlineStr">
        <is>
          <t>10 Jun</t>
        </is>
      </c>
      <c r="B179" s="16" t="inlineStr">
        <is>
          <t>30197</t>
        </is>
      </c>
      <c r="C179" s="16" t="n">
        <v>2022</v>
      </c>
      <c r="D179" s="16" t="n">
        <v>1978</v>
      </c>
      <c r="E179" s="16" t="n">
        <v>1978</v>
      </c>
      <c r="F179" s="38" t="n">
        <v>928470</v>
      </c>
      <c r="G179" s="38" t="n">
        <v>930612</v>
      </c>
      <c r="H179" s="38" t="n">
        <v>928470</v>
      </c>
      <c r="I179" s="38" t="n">
        <v>930612</v>
      </c>
      <c r="J179" s="19">
        <f>(I179-H179)/1000</f>
        <v/>
      </c>
      <c r="K179" s="16" t="inlineStr">
        <is>
          <t>Yes</t>
        </is>
      </c>
      <c r="L179" s="16" t="n">
        <v>3</v>
      </c>
      <c r="M17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...(+71 more)</t>
        </is>
      </c>
    </row>
    <row r="180" ht="184" customHeight="1">
      <c r="A180" s="16" t="inlineStr">
        <is>
          <t>10 Jun</t>
        </is>
      </c>
      <c r="B180" s="16" t="inlineStr">
        <is>
          <t>39334</t>
        </is>
      </c>
      <c r="C180" s="16" t="n">
        <v>244</v>
      </c>
      <c r="D180" s="16" t="n">
        <v>244</v>
      </c>
      <c r="E180" s="16" t="n">
        <v>244</v>
      </c>
      <c r="F180" s="38" t="n">
        <v>918779</v>
      </c>
      <c r="G180" s="38" t="n">
        <v>920617</v>
      </c>
      <c r="H180" s="38" t="n">
        <v>918779</v>
      </c>
      <c r="I180" s="38" t="n">
        <v>920617</v>
      </c>
      <c r="J180" s="19">
        <f>(I180-H180)/1000</f>
        <v/>
      </c>
      <c r="K180" s="16" t="inlineStr">
        <is>
          <t>Yes</t>
        </is>
      </c>
      <c r="L180" s="16" t="n">
        <v>2</v>
      </c>
      <c r="M18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181" ht="184" customHeight="1">
      <c r="A181" s="31" t="inlineStr">
        <is>
          <t>10 Jun</t>
        </is>
      </c>
      <c r="B181" s="31" t="inlineStr">
        <is>
          <t>30038</t>
        </is>
      </c>
      <c r="C181" s="31" t="n">
        <v>1316</v>
      </c>
      <c r="D181" s="31" t="n">
        <v>1316</v>
      </c>
      <c r="E181" s="31" t="n">
        <v>0</v>
      </c>
      <c r="F181" s="40" t="n">
        <v>1401349</v>
      </c>
      <c r="G181" s="40" t="n">
        <v>1474588</v>
      </c>
      <c r="H181" s="40" t="inlineStr">
        <is>
          <t>-</t>
        </is>
      </c>
      <c r="I181" s="40" t="inlineStr">
        <is>
          <t>-</t>
        </is>
      </c>
      <c r="J181" s="41" t="n">
        <v>0</v>
      </c>
      <c r="K181" s="31" t="inlineStr">
        <is>
          <t>No</t>
        </is>
      </c>
      <c r="L181" s="31" t="n">
        <v>0</v>
      </c>
      <c r="M18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2" ht="184" customHeight="1">
      <c r="A182" s="31" t="inlineStr">
        <is>
          <t>10 Jun</t>
        </is>
      </c>
      <c r="B182" s="31" t="inlineStr">
        <is>
          <t>30206</t>
        </is>
      </c>
      <c r="C182" s="31" t="n">
        <v>1810</v>
      </c>
      <c r="D182" s="31" t="n">
        <v>1794</v>
      </c>
      <c r="E182" s="31" t="n">
        <v>0</v>
      </c>
      <c r="F182" s="40" t="n">
        <v>1401706</v>
      </c>
      <c r="G182" s="40" t="n">
        <v>1498924</v>
      </c>
      <c r="H182" s="40" t="inlineStr">
        <is>
          <t>-</t>
        </is>
      </c>
      <c r="I182" s="40" t="inlineStr">
        <is>
          <t>-</t>
        </is>
      </c>
      <c r="J182" s="41" t="n">
        <v>0</v>
      </c>
      <c r="K182" s="31" t="inlineStr">
        <is>
          <t>No</t>
        </is>
      </c>
      <c r="L182" s="31" t="n">
        <v>0</v>
      </c>
      <c r="M18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3" ht="184" customHeight="1">
      <c r="A183" s="31" t="inlineStr">
        <is>
          <t>10 Jun</t>
        </is>
      </c>
      <c r="B183" s="31" t="inlineStr">
        <is>
          <t>30520</t>
        </is>
      </c>
      <c r="C183" s="31" t="n">
        <v>464</v>
      </c>
      <c r="D183" s="31" t="n">
        <v>464</v>
      </c>
      <c r="E183" s="31" t="n">
        <v>0</v>
      </c>
      <c r="F183" s="40" t="n">
        <v>1401406</v>
      </c>
      <c r="G183" s="40" t="n">
        <v>1435666</v>
      </c>
      <c r="H183" s="40" t="inlineStr">
        <is>
          <t>-</t>
        </is>
      </c>
      <c r="I183" s="40" t="inlineStr">
        <is>
          <t>-</t>
        </is>
      </c>
      <c r="J183" s="41" t="n">
        <v>0</v>
      </c>
      <c r="K183" s="31" t="inlineStr">
        <is>
          <t>No</t>
        </is>
      </c>
      <c r="L183" s="31" t="n">
        <v>0</v>
      </c>
      <c r="M18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4" ht="184" customHeight="1">
      <c r="A184" s="31" t="inlineStr">
        <is>
          <t>10 Jun</t>
        </is>
      </c>
      <c r="B184" s="31" t="inlineStr">
        <is>
          <t>30542</t>
        </is>
      </c>
      <c r="C184" s="31" t="n">
        <v>212</v>
      </c>
      <c r="D184" s="31" t="n">
        <v>212</v>
      </c>
      <c r="E184" s="31" t="n">
        <v>0</v>
      </c>
      <c r="F184" s="40" t="n">
        <v>1401602</v>
      </c>
      <c r="G184" s="40" t="n">
        <v>1416496</v>
      </c>
      <c r="H184" s="40" t="inlineStr">
        <is>
          <t>-</t>
        </is>
      </c>
      <c r="I184" s="40" t="inlineStr">
        <is>
          <t>-</t>
        </is>
      </c>
      <c r="J184" s="41" t="n">
        <v>0</v>
      </c>
      <c r="K184" s="31" t="inlineStr">
        <is>
          <t>No</t>
        </is>
      </c>
      <c r="L184" s="31" t="n">
        <v>0</v>
      </c>
      <c r="M18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5" ht="184" customHeight="1">
      <c r="A185" s="31" t="inlineStr">
        <is>
          <t>10 Jun</t>
        </is>
      </c>
      <c r="B185" s="31" t="inlineStr">
        <is>
          <t>30592</t>
        </is>
      </c>
      <c r="C185" s="31" t="n">
        <v>263</v>
      </c>
      <c r="D185" s="31" t="n">
        <v>262</v>
      </c>
      <c r="E185" s="31" t="n">
        <v>0</v>
      </c>
      <c r="F185" s="40" t="n">
        <v>1401680</v>
      </c>
      <c r="G185" s="40" t="n">
        <v>1425328</v>
      </c>
      <c r="H185" s="40" t="inlineStr">
        <is>
          <t>-</t>
        </is>
      </c>
      <c r="I185" s="40" t="inlineStr">
        <is>
          <t>-</t>
        </is>
      </c>
      <c r="J185" s="41" t="n">
        <v>0</v>
      </c>
      <c r="K185" s="31" t="inlineStr">
        <is>
          <t>No</t>
        </is>
      </c>
      <c r="L185" s="31" t="n">
        <v>0</v>
      </c>
      <c r="M18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6" ht="184" customHeight="1">
      <c r="A186" s="31" t="inlineStr">
        <is>
          <t>10 Jun</t>
        </is>
      </c>
      <c r="B186" s="31" t="inlineStr">
        <is>
          <t>30822</t>
        </is>
      </c>
      <c r="C186" s="31" t="n">
        <v>312</v>
      </c>
      <c r="D186" s="31" t="n">
        <v>312</v>
      </c>
      <c r="E186" s="31" t="n">
        <v>0</v>
      </c>
      <c r="F186" s="40" t="n">
        <v>1401758</v>
      </c>
      <c r="G186" s="40" t="n">
        <v>1430481</v>
      </c>
      <c r="H186" s="40" t="inlineStr">
        <is>
          <t>-</t>
        </is>
      </c>
      <c r="I186" s="40" t="inlineStr">
        <is>
          <t>-</t>
        </is>
      </c>
      <c r="J186" s="41" t="n">
        <v>0</v>
      </c>
      <c r="K186" s="31" t="inlineStr">
        <is>
          <t>No</t>
        </is>
      </c>
      <c r="L186" s="31" t="n">
        <v>0</v>
      </c>
      <c r="M18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7" ht="184" customHeight="1">
      <c r="A187" s="31" t="inlineStr">
        <is>
          <t>10 Jun</t>
        </is>
      </c>
      <c r="B187" s="31" t="inlineStr">
        <is>
          <t>37054</t>
        </is>
      </c>
      <c r="C187" s="31" t="n">
        <v>234</v>
      </c>
      <c r="D187" s="31" t="n">
        <v>232</v>
      </c>
      <c r="E187" s="31" t="n">
        <v>0</v>
      </c>
      <c r="F187" s="40" t="n">
        <v>1401708</v>
      </c>
      <c r="G187" s="40" t="n">
        <v>1425364</v>
      </c>
      <c r="H187" s="40" t="inlineStr">
        <is>
          <t>-</t>
        </is>
      </c>
      <c r="I187" s="40" t="inlineStr">
        <is>
          <t>-</t>
        </is>
      </c>
      <c r="J187" s="41" t="n">
        <v>0</v>
      </c>
      <c r="K187" s="31" t="inlineStr">
        <is>
          <t>No</t>
        </is>
      </c>
      <c r="L187" s="31" t="n">
        <v>0</v>
      </c>
      <c r="M18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8" ht="184" customHeight="1">
      <c r="A188" s="31" t="inlineStr">
        <is>
          <t>10 Jun</t>
        </is>
      </c>
      <c r="B188" s="31" t="inlineStr">
        <is>
          <t>37134</t>
        </is>
      </c>
      <c r="C188" s="31" t="n">
        <v>467</v>
      </c>
      <c r="D188" s="31" t="n">
        <v>455</v>
      </c>
      <c r="E188" s="31" t="n">
        <v>0</v>
      </c>
      <c r="F188" s="40" t="n">
        <v>1264953</v>
      </c>
      <c r="G188" s="40" t="n">
        <v>1369194</v>
      </c>
      <c r="H188" s="40" t="inlineStr">
        <is>
          <t>-</t>
        </is>
      </c>
      <c r="I188" s="40" t="inlineStr">
        <is>
          <t>-</t>
        </is>
      </c>
      <c r="J188" s="41" t="n">
        <v>0</v>
      </c>
      <c r="K188" s="31" t="inlineStr">
        <is>
          <t>No</t>
        </is>
      </c>
      <c r="L188" s="31" t="n">
        <v>0</v>
      </c>
      <c r="M18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9" ht="184" customHeight="1">
      <c r="A189" s="31" t="inlineStr">
        <is>
          <t>10 Jun</t>
        </is>
      </c>
      <c r="B189" s="31" t="inlineStr">
        <is>
          <t>37322</t>
        </is>
      </c>
      <c r="C189" s="31" t="n">
        <v>1410</v>
      </c>
      <c r="D189" s="31" t="n">
        <v>1409</v>
      </c>
      <c r="E189" s="31" t="n">
        <v>0</v>
      </c>
      <c r="F189" s="40" t="n">
        <v>1401356</v>
      </c>
      <c r="G189" s="40" t="n">
        <v>1476189</v>
      </c>
      <c r="H189" s="40" t="inlineStr">
        <is>
          <t>-</t>
        </is>
      </c>
      <c r="I189" s="40" t="inlineStr">
        <is>
          <t>-</t>
        </is>
      </c>
      <c r="J189" s="41" t="n">
        <v>0</v>
      </c>
      <c r="K189" s="31" t="inlineStr">
        <is>
          <t>No</t>
        </is>
      </c>
      <c r="L189" s="31" t="n">
        <v>0</v>
      </c>
      <c r="M1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0" ht="184" customHeight="1">
      <c r="A190" s="31" t="inlineStr">
        <is>
          <t>10 Jun</t>
        </is>
      </c>
      <c r="B190" s="31" t="inlineStr">
        <is>
          <t>37335</t>
        </is>
      </c>
      <c r="C190" s="31" t="n">
        <v>2021</v>
      </c>
      <c r="D190" s="31" t="n">
        <v>2019</v>
      </c>
      <c r="E190" s="31" t="n">
        <v>0</v>
      </c>
      <c r="F190" s="40" t="n">
        <v>1401604</v>
      </c>
      <c r="G190" s="40" t="n">
        <v>1484961</v>
      </c>
      <c r="H190" s="40" t="inlineStr">
        <is>
          <t>-</t>
        </is>
      </c>
      <c r="I190" s="40" t="inlineStr">
        <is>
          <t>-</t>
        </is>
      </c>
      <c r="J190" s="41" t="n">
        <v>0</v>
      </c>
      <c r="K190" s="31" t="inlineStr">
        <is>
          <t>No</t>
        </is>
      </c>
      <c r="L190" s="31" t="n">
        <v>0</v>
      </c>
      <c r="M1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1" ht="184" customHeight="1">
      <c r="A191" s="31" t="inlineStr">
        <is>
          <t>10 Jun</t>
        </is>
      </c>
      <c r="B191" s="31" t="inlineStr">
        <is>
          <t>37424</t>
        </is>
      </c>
      <c r="C191" s="31" t="n">
        <v>1</v>
      </c>
      <c r="D191" s="31" t="n">
        <v>1</v>
      </c>
      <c r="E191" s="31" t="n">
        <v>0</v>
      </c>
      <c r="F191" s="40" t="n">
        <v>607955</v>
      </c>
      <c r="G191" s="40" t="n">
        <v>607955</v>
      </c>
      <c r="H191" s="40" t="inlineStr">
        <is>
          <t>-</t>
        </is>
      </c>
      <c r="I191" s="40" t="inlineStr">
        <is>
          <t>-</t>
        </is>
      </c>
      <c r="J191" s="41" t="n">
        <v>0</v>
      </c>
      <c r="K191" s="31" t="inlineStr">
        <is>
          <t>No</t>
        </is>
      </c>
      <c r="L191" s="31" t="n">
        <v>0</v>
      </c>
      <c r="M1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2" ht="184" customHeight="1">
      <c r="A192" s="31" t="inlineStr">
        <is>
          <t>10 Jun</t>
        </is>
      </c>
      <c r="B192" s="31" t="inlineStr">
        <is>
          <t>37470</t>
        </is>
      </c>
      <c r="C192" s="31" t="n">
        <v>563</v>
      </c>
      <c r="D192" s="31" t="n">
        <v>563</v>
      </c>
      <c r="E192" s="31" t="n">
        <v>0</v>
      </c>
      <c r="F192" s="40" t="n">
        <v>660681</v>
      </c>
      <c r="G192" s="40" t="n">
        <v>695587</v>
      </c>
      <c r="H192" s="40" t="inlineStr">
        <is>
          <t>-</t>
        </is>
      </c>
      <c r="I192" s="40" t="inlineStr">
        <is>
          <t>-</t>
        </is>
      </c>
      <c r="J192" s="41" t="n">
        <v>0</v>
      </c>
      <c r="K192" s="31" t="inlineStr">
        <is>
          <t>No</t>
        </is>
      </c>
      <c r="L192" s="31" t="n">
        <v>0</v>
      </c>
      <c r="M1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3" ht="184" customHeight="1">
      <c r="A193" s="31" t="inlineStr">
        <is>
          <t>10 Jun</t>
        </is>
      </c>
      <c r="B193" s="31" t="inlineStr">
        <is>
          <t>37474</t>
        </is>
      </c>
      <c r="C193" s="31" t="n">
        <v>1465</v>
      </c>
      <c r="D193" s="31" t="n">
        <v>1465</v>
      </c>
      <c r="E193" s="31" t="n">
        <v>0</v>
      </c>
      <c r="F193" s="40" t="n">
        <v>1401313</v>
      </c>
      <c r="G193" s="40" t="n">
        <v>1474590</v>
      </c>
      <c r="H193" s="40" t="inlineStr">
        <is>
          <t>-</t>
        </is>
      </c>
      <c r="I193" s="40" t="inlineStr">
        <is>
          <t>-</t>
        </is>
      </c>
      <c r="J193" s="41" t="n">
        <v>0</v>
      </c>
      <c r="K193" s="31" t="inlineStr">
        <is>
          <t>No</t>
        </is>
      </c>
      <c r="L193" s="31" t="n">
        <v>0</v>
      </c>
      <c r="M1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4" ht="184" customHeight="1">
      <c r="A194" s="31" t="inlineStr">
        <is>
          <t>10 Jun</t>
        </is>
      </c>
      <c r="B194" s="31" t="inlineStr">
        <is>
          <t>37725</t>
        </is>
      </c>
      <c r="C194" s="31" t="n">
        <v>480</v>
      </c>
      <c r="D194" s="31" t="n">
        <v>480</v>
      </c>
      <c r="E194" s="31" t="n">
        <v>0</v>
      </c>
      <c r="F194" s="40" t="n">
        <v>1401391</v>
      </c>
      <c r="G194" s="40" t="n">
        <v>1436388</v>
      </c>
      <c r="H194" s="40" t="inlineStr">
        <is>
          <t>-</t>
        </is>
      </c>
      <c r="I194" s="40" t="inlineStr">
        <is>
          <t>-</t>
        </is>
      </c>
      <c r="J194" s="41" t="n">
        <v>0</v>
      </c>
      <c r="K194" s="31" t="inlineStr">
        <is>
          <t>No</t>
        </is>
      </c>
      <c r="L194" s="31" t="n">
        <v>0</v>
      </c>
      <c r="M19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5" ht="184" customHeight="1">
      <c r="A195" s="31" t="inlineStr">
        <is>
          <t>10 Jun</t>
        </is>
      </c>
      <c r="B195" s="31" t="inlineStr">
        <is>
          <t>39008</t>
        </is>
      </c>
      <c r="C195" s="31" t="n">
        <v>1592</v>
      </c>
      <c r="D195" s="31" t="n">
        <v>1590</v>
      </c>
      <c r="E195" s="31" t="n">
        <v>0</v>
      </c>
      <c r="F195" s="40" t="n">
        <v>1401680</v>
      </c>
      <c r="G195" s="40" t="n">
        <v>1497591</v>
      </c>
      <c r="H195" s="40" t="inlineStr">
        <is>
          <t>-</t>
        </is>
      </c>
      <c r="I195" s="40" t="inlineStr">
        <is>
          <t>-</t>
        </is>
      </c>
      <c r="J195" s="41" t="n">
        <v>0</v>
      </c>
      <c r="K195" s="31" t="inlineStr">
        <is>
          <t>No</t>
        </is>
      </c>
      <c r="L195" s="31" t="n">
        <v>0</v>
      </c>
      <c r="M1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6" ht="184" customHeight="1">
      <c r="A196" s="31" t="inlineStr">
        <is>
          <t>10 Jun</t>
        </is>
      </c>
      <c r="B196" s="31" t="inlineStr">
        <is>
          <t>39149</t>
        </is>
      </c>
      <c r="C196" s="31" t="n">
        <v>611</v>
      </c>
      <c r="D196" s="31" t="n">
        <v>611</v>
      </c>
      <c r="E196" s="31" t="n">
        <v>0</v>
      </c>
      <c r="F196" s="40" t="n">
        <v>1401322</v>
      </c>
      <c r="G196" s="40" t="n">
        <v>1436658</v>
      </c>
      <c r="H196" s="40" t="inlineStr">
        <is>
          <t>-</t>
        </is>
      </c>
      <c r="I196" s="40" t="inlineStr">
        <is>
          <t>-</t>
        </is>
      </c>
      <c r="J196" s="41" t="n">
        <v>0</v>
      </c>
      <c r="K196" s="31" t="inlineStr">
        <is>
          <t>No</t>
        </is>
      </c>
      <c r="L196" s="31" t="n">
        <v>0</v>
      </c>
      <c r="M1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7" ht="184" customHeight="1">
      <c r="A197" s="31" t="inlineStr">
        <is>
          <t>10 Jun</t>
        </is>
      </c>
      <c r="B197" s="31" t="inlineStr">
        <is>
          <t>39439</t>
        </is>
      </c>
      <c r="C197" s="31" t="n">
        <v>281</v>
      </c>
      <c r="D197" s="31" t="n">
        <v>281</v>
      </c>
      <c r="E197" s="31" t="n">
        <v>1</v>
      </c>
      <c r="F197" s="40" t="n">
        <v>1242468</v>
      </c>
      <c r="G197" s="40" t="n">
        <v>1404130</v>
      </c>
      <c r="H197" s="40" t="inlineStr">
        <is>
          <t>-</t>
        </is>
      </c>
      <c r="I197" s="40" t="inlineStr">
        <is>
          <t>-</t>
        </is>
      </c>
      <c r="J197" s="41" t="n">
        <v>0</v>
      </c>
      <c r="K197" s="31" t="inlineStr">
        <is>
          <t>No</t>
        </is>
      </c>
      <c r="L197" s="31" t="n">
        <v>1</v>
      </c>
      <c r="M197" s="42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198" ht="184" customHeight="1">
      <c r="A198" s="31" t="inlineStr">
        <is>
          <t>10 Jun</t>
        </is>
      </c>
      <c r="B198" s="31" t="inlineStr">
        <is>
          <t>39565</t>
        </is>
      </c>
      <c r="C198" s="31" t="n">
        <v>273</v>
      </c>
      <c r="D198" s="31" t="n">
        <v>273</v>
      </c>
      <c r="E198" s="31" t="n">
        <v>0</v>
      </c>
      <c r="F198" s="40" t="n">
        <v>1401766</v>
      </c>
      <c r="G198" s="40" t="n">
        <v>1435848</v>
      </c>
      <c r="H198" s="40" t="inlineStr">
        <is>
          <t>-</t>
        </is>
      </c>
      <c r="I198" s="40" t="inlineStr">
        <is>
          <t>-</t>
        </is>
      </c>
      <c r="J198" s="41" t="n">
        <v>0</v>
      </c>
      <c r="K198" s="31" t="inlineStr">
        <is>
          <t>No</t>
        </is>
      </c>
      <c r="L198" s="31" t="n">
        <v>0</v>
      </c>
      <c r="M1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9" ht="184" customHeight="1">
      <c r="A199" s="31" t="inlineStr">
        <is>
          <t>10 Jun</t>
        </is>
      </c>
      <c r="B199" s="31" t="inlineStr">
        <is>
          <t>52196</t>
        </is>
      </c>
      <c r="C199" s="31" t="n">
        <v>8900</v>
      </c>
      <c r="D199" s="31" t="n">
        <v>8726</v>
      </c>
      <c r="E199" s="31" t="n">
        <v>0</v>
      </c>
      <c r="F199" s="40" t="n">
        <v>143308</v>
      </c>
      <c r="G199" s="40" t="n">
        <v>152938</v>
      </c>
      <c r="H199" s="40" t="inlineStr">
        <is>
          <t>-</t>
        </is>
      </c>
      <c r="I199" s="40" t="inlineStr">
        <is>
          <t>-</t>
        </is>
      </c>
      <c r="J199" s="41" t="n">
        <v>0</v>
      </c>
      <c r="K199" s="31" t="inlineStr">
        <is>
          <t>No</t>
        </is>
      </c>
      <c r="L199" s="31" t="n">
        <v>0</v>
      </c>
      <c r="M1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0">
      <c r="A200" s="16" t="inlineStr">
        <is>
          <t>11 Jun</t>
        </is>
      </c>
      <c r="B200" s="16" t="inlineStr">
        <is>
          <t>37955</t>
        </is>
      </c>
      <c r="C200" s="16" t="n">
        <v>21552</v>
      </c>
      <c r="D200" s="16" t="n">
        <v>21539</v>
      </c>
      <c r="E200" s="16" t="n">
        <v>19124</v>
      </c>
      <c r="F200" s="38" t="n">
        <v>657217</v>
      </c>
      <c r="G200" s="38" t="n">
        <v>1484978</v>
      </c>
      <c r="H200" s="38" t="n">
        <v>699073</v>
      </c>
      <c r="I200" s="38" t="n">
        <v>1242959</v>
      </c>
      <c r="J200" s="19">
        <f>(I200-H200)/1000</f>
        <v/>
      </c>
      <c r="K200" s="16" t="inlineStr">
        <is>
          <t>Yes</t>
        </is>
      </c>
      <c r="L200" s="16" t="n">
        <v>124</v>
      </c>
      <c r="M200" s="39" t="inlineStr">
        <is>
          <t>- (full trip)</t>
        </is>
      </c>
    </row>
    <row r="201">
      <c r="A201" s="16" t="inlineStr">
        <is>
          <t>11 Jun</t>
        </is>
      </c>
      <c r="B201" s="16" t="inlineStr">
        <is>
          <t>37493</t>
        </is>
      </c>
      <c r="C201" s="16" t="n">
        <v>28784</v>
      </c>
      <c r="D201" s="16" t="n">
        <v>28731</v>
      </c>
      <c r="E201" s="16" t="n">
        <v>26741</v>
      </c>
      <c r="F201" s="38" t="n">
        <v>657196</v>
      </c>
      <c r="G201" s="38" t="n">
        <v>1436473</v>
      </c>
      <c r="H201" s="38" t="n">
        <v>699087</v>
      </c>
      <c r="I201" s="38" t="n">
        <v>1242948</v>
      </c>
      <c r="J201" s="19">
        <f>(I201-H201)/1000</f>
        <v/>
      </c>
      <c r="K201" s="16" t="inlineStr">
        <is>
          <t>Yes</t>
        </is>
      </c>
      <c r="L201" s="16" t="n">
        <v>124</v>
      </c>
      <c r="M201" s="39" t="inlineStr">
        <is>
          <t>- (full trip)</t>
        </is>
      </c>
    </row>
    <row r="202">
      <c r="A202" s="16" t="inlineStr">
        <is>
          <t>11 Jun</t>
        </is>
      </c>
      <c r="B202" s="16" t="inlineStr">
        <is>
          <t>30567</t>
        </is>
      </c>
      <c r="C202" s="16" t="n">
        <v>21218</v>
      </c>
      <c r="D202" s="16" t="n">
        <v>21208</v>
      </c>
      <c r="E202" s="16" t="n">
        <v>20775</v>
      </c>
      <c r="F202" s="38" t="n">
        <v>696239</v>
      </c>
      <c r="G202" s="38" t="n">
        <v>1425477</v>
      </c>
      <c r="H202" s="38" t="n">
        <v>699076</v>
      </c>
      <c r="I202" s="38" t="n">
        <v>1240713</v>
      </c>
      <c r="J202" s="19">
        <f>(I202-H202)/1000</f>
        <v/>
      </c>
      <c r="K202" s="16" t="inlineStr">
        <is>
          <t>Yes</t>
        </is>
      </c>
      <c r="L202" s="16" t="n">
        <v>124</v>
      </c>
      <c r="M202" s="39" t="inlineStr">
        <is>
          <t>- (full trip)</t>
        </is>
      </c>
    </row>
    <row r="203" ht="34" customHeight="1">
      <c r="A203" s="16" t="inlineStr">
        <is>
          <t>11 Jun</t>
        </is>
      </c>
      <c r="B203" s="16" t="inlineStr">
        <is>
          <t>30460</t>
        </is>
      </c>
      <c r="C203" s="16" t="n">
        <v>19330</v>
      </c>
      <c r="D203" s="16" t="n">
        <v>19325</v>
      </c>
      <c r="E203" s="16" t="n">
        <v>17884</v>
      </c>
      <c r="F203" s="38" t="n">
        <v>662309</v>
      </c>
      <c r="G203" s="38" t="n">
        <v>1211608</v>
      </c>
      <c r="H203" s="38" t="n">
        <v>699074</v>
      </c>
      <c r="I203" s="38" t="n">
        <v>1211608</v>
      </c>
      <c r="J203" s="19">
        <f>(I203-H203)/1000</f>
        <v/>
      </c>
      <c r="K203" s="16" t="inlineStr">
        <is>
          <t>Yes</t>
        </is>
      </c>
      <c r="L203" s="16" t="n">
        <v>118</v>
      </c>
      <c r="M203" s="39" t="inlineStr">
        <is>
          <t>IBH 265, Murhesi Rampur(MSRP), IBH/LC-258, Jajjanpatti(JJA), DhaurmuiJaghina(DUM), IBH-247</t>
        </is>
      </c>
    </row>
    <row r="204" ht="64" customHeight="1">
      <c r="A204" s="16" t="inlineStr">
        <is>
          <t>11 Jun</t>
        </is>
      </c>
      <c r="B204" s="16" t="inlineStr">
        <is>
          <t>39066</t>
        </is>
      </c>
      <c r="C204" s="16" t="n">
        <v>22138</v>
      </c>
      <c r="D204" s="16" t="n">
        <v>22138</v>
      </c>
      <c r="E204" s="16" t="n">
        <v>21103</v>
      </c>
      <c r="F204" s="38" t="n">
        <v>657214</v>
      </c>
      <c r="G204" s="38" t="n">
        <v>1172525</v>
      </c>
      <c r="H204" s="38" t="n">
        <v>699076</v>
      </c>
      <c r="I204" s="38" t="n">
        <v>1172525</v>
      </c>
      <c r="J204" s="19">
        <f>(I204-H204)/1000</f>
        <v/>
      </c>
      <c r="K204" s="16" t="inlineStr">
        <is>
          <t>Yes</t>
        </is>
      </c>
      <c r="L204" s="16" t="n">
        <v>108</v>
      </c>
      <c r="M204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05" ht="64" customHeight="1">
      <c r="A205" s="16" t="inlineStr">
        <is>
          <t>11 Jun</t>
        </is>
      </c>
      <c r="B205" s="16" t="inlineStr">
        <is>
          <t>37286</t>
        </is>
      </c>
      <c r="C205" s="16" t="n">
        <v>21265</v>
      </c>
      <c r="D205" s="16" t="n">
        <v>21229</v>
      </c>
      <c r="E205" s="16" t="n">
        <v>19753</v>
      </c>
      <c r="F205" s="38" t="n">
        <v>661555</v>
      </c>
      <c r="G205" s="38" t="n">
        <v>1169715</v>
      </c>
      <c r="H205" s="38" t="n">
        <v>699079</v>
      </c>
      <c r="I205" s="38" t="n">
        <v>1169715</v>
      </c>
      <c r="J205" s="19">
        <f>(I205-H205)/1000</f>
        <v/>
      </c>
      <c r="K205" s="16" t="inlineStr">
        <is>
          <t>Yes</t>
        </is>
      </c>
      <c r="L205" s="16" t="n">
        <v>108</v>
      </c>
      <c r="M205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06" ht="79" customHeight="1">
      <c r="A206" s="16" t="inlineStr">
        <is>
          <t>11 Jun</t>
        </is>
      </c>
      <c r="B206" s="16" t="inlineStr">
        <is>
          <t>37818</t>
        </is>
      </c>
      <c r="C206" s="16" t="n">
        <v>17557</v>
      </c>
      <c r="D206" s="16" t="n">
        <v>17557</v>
      </c>
      <c r="E206" s="16" t="n">
        <v>16608</v>
      </c>
      <c r="F206" s="38" t="n">
        <v>657113</v>
      </c>
      <c r="G206" s="38" t="n">
        <v>1161616</v>
      </c>
      <c r="H206" s="38" t="n">
        <v>699094</v>
      </c>
      <c r="I206" s="38" t="n">
        <v>1161616</v>
      </c>
      <c r="J206" s="19">
        <f>(I206-H206)/1000</f>
        <v/>
      </c>
      <c r="K206" s="16" t="inlineStr">
        <is>
          <t>Yes</t>
        </is>
      </c>
      <c r="L206" s="16" t="n">
        <v>104</v>
      </c>
      <c r="M20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</t>
        </is>
      </c>
    </row>
    <row r="207" ht="79" customHeight="1">
      <c r="A207" s="16" t="inlineStr">
        <is>
          <t>11 Jun</t>
        </is>
      </c>
      <c r="B207" s="16" t="inlineStr">
        <is>
          <t>37470</t>
        </is>
      </c>
      <c r="C207" s="16" t="n">
        <v>142</v>
      </c>
      <c r="D207" s="16" t="n">
        <v>142</v>
      </c>
      <c r="E207" s="16" t="n">
        <v>133</v>
      </c>
      <c r="F207" s="38" t="n">
        <v>783495</v>
      </c>
      <c r="G207" s="38" t="n">
        <v>1419072</v>
      </c>
      <c r="H207" s="38" t="n">
        <v>783495</v>
      </c>
      <c r="I207" s="38" t="n">
        <v>1239868</v>
      </c>
      <c r="J207" s="19">
        <f>(I207-H207)/1000</f>
        <v/>
      </c>
      <c r="K207" s="16" t="inlineStr">
        <is>
          <t>Yes</t>
        </is>
      </c>
      <c r="L207" s="16" t="n">
        <v>105</v>
      </c>
      <c r="M207" s="39" t="inlineStr">
        <is>
          <t>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8" ht="139" customHeight="1">
      <c r="A208" s="16" t="inlineStr">
        <is>
          <t>11 Jun</t>
        </is>
      </c>
      <c r="B208" s="16" t="inlineStr">
        <is>
          <t>39328</t>
        </is>
      </c>
      <c r="C208" s="16" t="n">
        <v>23062</v>
      </c>
      <c r="D208" s="16" t="n">
        <v>23062</v>
      </c>
      <c r="E208" s="16" t="n">
        <v>21715</v>
      </c>
      <c r="F208" s="38" t="n">
        <v>657188</v>
      </c>
      <c r="G208" s="38" t="n">
        <v>1075766</v>
      </c>
      <c r="H208" s="38" t="n">
        <v>699082</v>
      </c>
      <c r="I208" s="38" t="n">
        <v>1075766</v>
      </c>
      <c r="J208" s="19">
        <f>(I208-H208)/1000</f>
        <v/>
      </c>
      <c r="K208" s="16" t="inlineStr">
        <is>
          <t>Yes</t>
        </is>
      </c>
      <c r="L208" s="16" t="n">
        <v>88</v>
      </c>
      <c r="M20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</t>
        </is>
      </c>
    </row>
    <row r="209" ht="169" customHeight="1">
      <c r="A209" s="16" t="inlineStr">
        <is>
          <t>11 Jun</t>
        </is>
      </c>
      <c r="B209" s="16" t="inlineStr">
        <is>
          <t>37466</t>
        </is>
      </c>
      <c r="C209" s="16" t="n">
        <v>11170</v>
      </c>
      <c r="D209" s="16" t="n">
        <v>10809</v>
      </c>
      <c r="E209" s="16" t="n">
        <v>10034</v>
      </c>
      <c r="F209" s="38" t="n">
        <v>659994</v>
      </c>
      <c r="G209" s="38" t="n">
        <v>1028562</v>
      </c>
      <c r="H209" s="38" t="n">
        <v>699075</v>
      </c>
      <c r="I209" s="38" t="n">
        <v>1028562</v>
      </c>
      <c r="J209" s="19">
        <f>(I209-H209)/1000</f>
        <v/>
      </c>
      <c r="K209" s="16" t="inlineStr">
        <is>
          <t>Yes</t>
        </is>
      </c>
      <c r="L209" s="16" t="n">
        <v>77</v>
      </c>
      <c r="M20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10" ht="184" customHeight="1">
      <c r="A210" s="16" t="inlineStr">
        <is>
          <t>11 Jun</t>
        </is>
      </c>
      <c r="B210" s="16" t="inlineStr">
        <is>
          <t>30339</t>
        </is>
      </c>
      <c r="C210" s="16" t="n">
        <v>22599</v>
      </c>
      <c r="D210" s="16" t="n">
        <v>22536</v>
      </c>
      <c r="E210" s="16" t="n">
        <v>22279</v>
      </c>
      <c r="F210" s="38" t="n">
        <v>920540</v>
      </c>
      <c r="G210" s="38" t="n">
        <v>1416448</v>
      </c>
      <c r="H210" s="38" t="n">
        <v>920540</v>
      </c>
      <c r="I210" s="38" t="n">
        <v>1242981</v>
      </c>
      <c r="J210" s="19">
        <f>(I210-H210)/1000</f>
        <v/>
      </c>
      <c r="K210" s="16" t="inlineStr">
        <is>
          <t>Yes</t>
        </is>
      </c>
      <c r="L210" s="16" t="n">
        <v>78</v>
      </c>
      <c r="M21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1" ht="184" customHeight="1">
      <c r="A211" s="16" t="inlineStr">
        <is>
          <t>11 Jun</t>
        </is>
      </c>
      <c r="B211" s="16" t="inlineStr">
        <is>
          <t>39239</t>
        </is>
      </c>
      <c r="C211" s="16" t="n">
        <v>21256</v>
      </c>
      <c r="D211" s="16" t="n">
        <v>21212</v>
      </c>
      <c r="E211" s="16" t="n">
        <v>20328</v>
      </c>
      <c r="F211" s="38" t="n">
        <v>920811</v>
      </c>
      <c r="G211" s="38" t="n">
        <v>1436940</v>
      </c>
      <c r="H211" s="38" t="n">
        <v>920811</v>
      </c>
      <c r="I211" s="38" t="n">
        <v>1242922</v>
      </c>
      <c r="J211" s="19">
        <f>(I211-H211)/1000</f>
        <v/>
      </c>
      <c r="K211" s="16" t="inlineStr">
        <is>
          <t>Yes</t>
        </is>
      </c>
      <c r="L211" s="16" t="n">
        <v>78</v>
      </c>
      <c r="M21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2" ht="184" customHeight="1">
      <c r="A212" s="16" t="inlineStr">
        <is>
          <t>11 Jun</t>
        </is>
      </c>
      <c r="B212" s="16" t="inlineStr">
        <is>
          <t>30488</t>
        </is>
      </c>
      <c r="C212" s="16" t="n">
        <v>12033</v>
      </c>
      <c r="D212" s="16" t="n">
        <v>11998</v>
      </c>
      <c r="E212" s="16" t="n">
        <v>11998</v>
      </c>
      <c r="F212" s="38" t="n">
        <v>921248</v>
      </c>
      <c r="G212" s="38" t="n">
        <v>1242966</v>
      </c>
      <c r="H212" s="38" t="n">
        <v>921248</v>
      </c>
      <c r="I212" s="38" t="n">
        <v>1242966</v>
      </c>
      <c r="J212" s="19">
        <f>(I212-H212)/1000</f>
        <v/>
      </c>
      <c r="K212" s="16" t="inlineStr">
        <is>
          <t>Yes</t>
        </is>
      </c>
      <c r="L212" s="16" t="n">
        <v>78</v>
      </c>
      <c r="M21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3" ht="184" customHeight="1">
      <c r="A213" s="16" t="inlineStr">
        <is>
          <t>11 Jun</t>
        </is>
      </c>
      <c r="B213" s="16" t="inlineStr">
        <is>
          <t>30335</t>
        </is>
      </c>
      <c r="C213" s="16" t="n">
        <v>22190</v>
      </c>
      <c r="D213" s="16" t="n">
        <v>22140</v>
      </c>
      <c r="E213" s="16" t="n">
        <v>21422</v>
      </c>
      <c r="F213" s="38" t="n">
        <v>920369</v>
      </c>
      <c r="G213" s="38" t="n">
        <v>1455121</v>
      </c>
      <c r="H213" s="38" t="n">
        <v>920369</v>
      </c>
      <c r="I213" s="38" t="n">
        <v>1240525</v>
      </c>
      <c r="J213" s="19">
        <f>(I213-H213)/1000</f>
        <v/>
      </c>
      <c r="K213" s="16" t="inlineStr">
        <is>
          <t>Yes</t>
        </is>
      </c>
      <c r="L213" s="16" t="n">
        <v>78</v>
      </c>
      <c r="M21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4" ht="184" customHeight="1">
      <c r="A214" s="16" t="inlineStr">
        <is>
          <t>11 Jun</t>
        </is>
      </c>
      <c r="B214" s="16" t="inlineStr">
        <is>
          <t>30739</t>
        </is>
      </c>
      <c r="C214" s="16" t="n">
        <v>6104</v>
      </c>
      <c r="D214" s="16" t="n">
        <v>6101</v>
      </c>
      <c r="E214" s="16" t="n">
        <v>5976</v>
      </c>
      <c r="F214" s="38" t="n">
        <v>921394</v>
      </c>
      <c r="G214" s="38" t="n">
        <v>1422996</v>
      </c>
      <c r="H214" s="38" t="n">
        <v>921394</v>
      </c>
      <c r="I214" s="38" t="n">
        <v>1240713</v>
      </c>
      <c r="J214" s="19">
        <f>(I214-H214)/1000</f>
        <v/>
      </c>
      <c r="K214" s="16" t="inlineStr">
        <is>
          <t>Yes</t>
        </is>
      </c>
      <c r="L214" s="16" t="n">
        <v>78</v>
      </c>
      <c r="M21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5" ht="184" customHeight="1">
      <c r="A215" s="16" t="inlineStr">
        <is>
          <t>11 Jun</t>
        </is>
      </c>
      <c r="B215" s="16" t="inlineStr">
        <is>
          <t>37312</t>
        </is>
      </c>
      <c r="C215" s="16" t="n">
        <v>5296</v>
      </c>
      <c r="D215" s="16" t="n">
        <v>5172</v>
      </c>
      <c r="E215" s="16" t="n">
        <v>5172</v>
      </c>
      <c r="F215" s="38" t="n">
        <v>921487</v>
      </c>
      <c r="G215" s="38" t="n">
        <v>1240706</v>
      </c>
      <c r="H215" s="38" t="n">
        <v>921487</v>
      </c>
      <c r="I215" s="38" t="n">
        <v>1240706</v>
      </c>
      <c r="J215" s="19">
        <f>(I215-H215)/1000</f>
        <v/>
      </c>
      <c r="K215" s="16" t="inlineStr">
        <is>
          <t>Yes</t>
        </is>
      </c>
      <c r="L215" s="16" t="n">
        <v>78</v>
      </c>
      <c r="M2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6" ht="184" customHeight="1">
      <c r="A216" s="16" t="inlineStr">
        <is>
          <t>11 Jun</t>
        </is>
      </c>
      <c r="B216" s="16" t="inlineStr">
        <is>
          <t>39035</t>
        </is>
      </c>
      <c r="C216" s="16" t="n">
        <v>9927</v>
      </c>
      <c r="D216" s="16" t="n">
        <v>9925</v>
      </c>
      <c r="E216" s="16" t="n">
        <v>9730</v>
      </c>
      <c r="F216" s="38" t="n">
        <v>926069</v>
      </c>
      <c r="G216" s="38" t="n">
        <v>1430448</v>
      </c>
      <c r="H216" s="38" t="n">
        <v>926069</v>
      </c>
      <c r="I216" s="38" t="n">
        <v>1240718</v>
      </c>
      <c r="J216" s="19">
        <f>(I216-H216)/1000</f>
        <v/>
      </c>
      <c r="K216" s="16" t="inlineStr">
        <is>
          <t>Yes</t>
        </is>
      </c>
      <c r="L216" s="16" t="n">
        <v>76</v>
      </c>
      <c r="M216" s="39" t="inlineStr">
        <is>
          <t>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7" ht="199" customHeight="1">
      <c r="A217" s="16" t="inlineStr">
        <is>
          <t>11 Jun</t>
        </is>
      </c>
      <c r="B217" s="16" t="inlineStr">
        <is>
          <t>39107</t>
        </is>
      </c>
      <c r="C217" s="16" t="n">
        <v>16975</v>
      </c>
      <c r="D217" s="16" t="n">
        <v>16915</v>
      </c>
      <c r="E217" s="16" t="n">
        <v>16055</v>
      </c>
      <c r="F217" s="38" t="n">
        <v>934043</v>
      </c>
      <c r="G217" s="38" t="n">
        <v>1438309</v>
      </c>
      <c r="H217" s="38" t="n">
        <v>934043</v>
      </c>
      <c r="I217" s="38" t="n">
        <v>1242980</v>
      </c>
      <c r="J217" s="19">
        <f>(I217-H217)/1000</f>
        <v/>
      </c>
      <c r="K217" s="16" t="inlineStr">
        <is>
          <t>Yes</t>
        </is>
      </c>
      <c r="L217" s="16" t="n">
        <v>74</v>
      </c>
      <c r="M217" s="39" t="inlineStr">
        <is>
          <t>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8" ht="199" customHeight="1">
      <c r="A218" s="16" t="inlineStr">
        <is>
          <t>11 Jun</t>
        </is>
      </c>
      <c r="B218" s="16" t="inlineStr">
        <is>
          <t>30176</t>
        </is>
      </c>
      <c r="C218" s="16" t="n">
        <v>31694</v>
      </c>
      <c r="D218" s="16" t="n">
        <v>31520</v>
      </c>
      <c r="E218" s="16" t="n">
        <v>31520</v>
      </c>
      <c r="F218" s="38" t="n">
        <v>920690</v>
      </c>
      <c r="G218" s="38" t="n">
        <v>1172530</v>
      </c>
      <c r="H218" s="38" t="n">
        <v>920690</v>
      </c>
      <c r="I218" s="38" t="n">
        <v>1172530</v>
      </c>
      <c r="J218" s="19">
        <f>(I218-H218)/1000</f>
        <v/>
      </c>
      <c r="K218" s="16" t="inlineStr">
        <is>
          <t>Yes</t>
        </is>
      </c>
      <c r="L218" s="16" t="n">
        <v>62</v>
      </c>
      <c r="M218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19" ht="199" customHeight="1">
      <c r="A219" s="16" t="inlineStr">
        <is>
          <t>11 Jun</t>
        </is>
      </c>
      <c r="B219" s="16" t="inlineStr">
        <is>
          <t>30752</t>
        </is>
      </c>
      <c r="C219" s="16" t="n">
        <v>20586</v>
      </c>
      <c r="D219" s="16" t="n">
        <v>20527</v>
      </c>
      <c r="E219" s="16" t="n">
        <v>20527</v>
      </c>
      <c r="F219" s="38" t="n">
        <v>921719</v>
      </c>
      <c r="G219" s="38" t="n">
        <v>1172914</v>
      </c>
      <c r="H219" s="38" t="n">
        <v>921719</v>
      </c>
      <c r="I219" s="38" t="n">
        <v>1172914</v>
      </c>
      <c r="J219" s="19">
        <f>(I219-H219)/1000</f>
        <v/>
      </c>
      <c r="K219" s="16" t="inlineStr">
        <is>
          <t>Yes</t>
        </is>
      </c>
      <c r="L219" s="16" t="n">
        <v>63</v>
      </c>
      <c r="M219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20" ht="184" customHeight="1">
      <c r="A220" s="16" t="inlineStr">
        <is>
          <t>11 Jun</t>
        </is>
      </c>
      <c r="B220" s="16" t="inlineStr">
        <is>
          <t>30343</t>
        </is>
      </c>
      <c r="C220" s="16" t="n">
        <v>8126</v>
      </c>
      <c r="D220" s="16" t="n">
        <v>8010</v>
      </c>
      <c r="E220" s="16" t="n">
        <v>7297</v>
      </c>
      <c r="F220" s="38" t="n">
        <v>665491</v>
      </c>
      <c r="G220" s="38" t="n">
        <v>1425734</v>
      </c>
      <c r="H220" s="38" t="n">
        <v>699110</v>
      </c>
      <c r="I220" s="38" t="n">
        <v>920636</v>
      </c>
      <c r="J220" s="19">
        <f>(I220-H220)/1000</f>
        <v/>
      </c>
      <c r="K220" s="16" t="inlineStr">
        <is>
          <t>Yes</t>
        </is>
      </c>
      <c r="L220" s="16" t="n">
        <v>47</v>
      </c>
      <c r="M22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21" ht="184" customHeight="1">
      <c r="A221" s="16" t="inlineStr">
        <is>
          <t>11 Jun</t>
        </is>
      </c>
      <c r="B221" s="16" t="inlineStr">
        <is>
          <t>37845</t>
        </is>
      </c>
      <c r="C221" s="16" t="n">
        <v>6379</v>
      </c>
      <c r="D221" s="16" t="n">
        <v>6379</v>
      </c>
      <c r="E221" s="16" t="n">
        <v>5513</v>
      </c>
      <c r="F221" s="38" t="n">
        <v>657110</v>
      </c>
      <c r="G221" s="38" t="n">
        <v>888623</v>
      </c>
      <c r="H221" s="38" t="n">
        <v>699092</v>
      </c>
      <c r="I221" s="38" t="n">
        <v>888623</v>
      </c>
      <c r="J221" s="19">
        <f>(I221-H221)/1000</f>
        <v/>
      </c>
      <c r="K221" s="16" t="inlineStr">
        <is>
          <t>Yes</t>
        </is>
      </c>
      <c r="L221" s="16" t="n">
        <v>40</v>
      </c>
      <c r="M22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...(+34 more)</t>
        </is>
      </c>
    </row>
    <row r="222" ht="184" customHeight="1">
      <c r="A222" s="16" t="inlineStr">
        <is>
          <t>11 Jun</t>
        </is>
      </c>
      <c r="B222" s="16" t="inlineStr">
        <is>
          <t>39108</t>
        </is>
      </c>
      <c r="C222" s="16" t="n">
        <v>16964</v>
      </c>
      <c r="D222" s="16" t="n">
        <v>16915</v>
      </c>
      <c r="E222" s="16" t="n">
        <v>16915</v>
      </c>
      <c r="F222" s="38" t="n">
        <v>844630</v>
      </c>
      <c r="G222" s="38" t="n">
        <v>1029041</v>
      </c>
      <c r="H222" s="38" t="n">
        <v>844630</v>
      </c>
      <c r="I222" s="38" t="n">
        <v>1029041</v>
      </c>
      <c r="J222" s="19">
        <f>(I222-H222)/1000</f>
        <v/>
      </c>
      <c r="K222" s="16" t="inlineStr">
        <is>
          <t>Yes</t>
        </is>
      </c>
      <c r="L222" s="16" t="n">
        <v>47</v>
      </c>
      <c r="M22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Jhalawar Road(JHW), DhuanKheri(DKRA), IBH-69  ...(+27 more)</t>
        </is>
      </c>
    </row>
    <row r="223" ht="184" customHeight="1">
      <c r="A223" s="16" t="inlineStr">
        <is>
          <t>11 Jun</t>
        </is>
      </c>
      <c r="B223" s="16" t="inlineStr">
        <is>
          <t>37639</t>
        </is>
      </c>
      <c r="C223" s="16" t="n">
        <v>12363</v>
      </c>
      <c r="D223" s="16" t="n">
        <v>12359</v>
      </c>
      <c r="E223" s="16" t="n">
        <v>12359</v>
      </c>
      <c r="F223" s="38" t="n">
        <v>920750</v>
      </c>
      <c r="G223" s="38" t="n">
        <v>1099460</v>
      </c>
      <c r="H223" s="38" t="n">
        <v>920750</v>
      </c>
      <c r="I223" s="38" t="n">
        <v>1099460</v>
      </c>
      <c r="J223" s="19">
        <f>(I223-H223)/1000</f>
        <v/>
      </c>
      <c r="K223" s="16" t="inlineStr">
        <is>
          <t>Yes</t>
        </is>
      </c>
      <c r="L223" s="16" t="n">
        <v>47</v>
      </c>
      <c r="M22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  ...(+27 more)</t>
        </is>
      </c>
    </row>
    <row r="224" ht="184" customHeight="1">
      <c r="A224" s="16" t="inlineStr">
        <is>
          <t>11 Jun</t>
        </is>
      </c>
      <c r="B224" s="16" t="inlineStr">
        <is>
          <t>30234</t>
        </is>
      </c>
      <c r="C224" s="16" t="n">
        <v>6157</v>
      </c>
      <c r="D224" s="16" t="n">
        <v>6157</v>
      </c>
      <c r="E224" s="16" t="n">
        <v>4239</v>
      </c>
      <c r="F224" s="38" t="n">
        <v>667201</v>
      </c>
      <c r="G224" s="38" t="n">
        <v>824681</v>
      </c>
      <c r="H224" s="38" t="n">
        <v>699092</v>
      </c>
      <c r="I224" s="38" t="n">
        <v>824681</v>
      </c>
      <c r="J224" s="19">
        <f>(I224-H224)/1000</f>
        <v/>
      </c>
      <c r="K224" s="16" t="inlineStr">
        <is>
          <t>Yes</t>
        </is>
      </c>
      <c r="L224" s="16" t="n">
        <v>28</v>
      </c>
      <c r="M22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...(+46 more)</t>
        </is>
      </c>
    </row>
    <row r="225" ht="184" customHeight="1">
      <c r="A225" s="16" t="inlineStr">
        <is>
          <t>11 Jun</t>
        </is>
      </c>
      <c r="B225" s="16" t="inlineStr">
        <is>
          <t>30351</t>
        </is>
      </c>
      <c r="C225" s="16" t="n">
        <v>5199</v>
      </c>
      <c r="D225" s="16" t="n">
        <v>5195</v>
      </c>
      <c r="E225" s="16" t="n">
        <v>4312</v>
      </c>
      <c r="F225" s="38" t="n">
        <v>1131316</v>
      </c>
      <c r="G225" s="38" t="n">
        <v>1442555</v>
      </c>
      <c r="H225" s="38" t="n">
        <v>1131316</v>
      </c>
      <c r="I225" s="38" t="n">
        <v>1240686</v>
      </c>
      <c r="J225" s="19">
        <f>(I225-H225)/1000</f>
        <v/>
      </c>
      <c r="K225" s="16" t="inlineStr">
        <is>
          <t>Yes</t>
        </is>
      </c>
      <c r="L225" s="16" t="n">
        <v>27</v>
      </c>
      <c r="M225" s="39" t="inlineStr">
        <is>
          <t>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  ...(+47 more)</t>
        </is>
      </c>
    </row>
    <row r="226" ht="184" customHeight="1">
      <c r="A226" s="16" t="inlineStr">
        <is>
          <t>11 Jun</t>
        </is>
      </c>
      <c r="B226" s="16" t="inlineStr">
        <is>
          <t>30395</t>
        </is>
      </c>
      <c r="C226" s="16" t="n">
        <v>4339</v>
      </c>
      <c r="D226" s="16" t="n">
        <v>4305</v>
      </c>
      <c r="E226" s="16" t="n">
        <v>4305</v>
      </c>
      <c r="F226" s="38" t="n">
        <v>920367</v>
      </c>
      <c r="G226" s="38" t="n">
        <v>1028889</v>
      </c>
      <c r="H226" s="38" t="n">
        <v>920367</v>
      </c>
      <c r="I226" s="38" t="n">
        <v>1028889</v>
      </c>
      <c r="J226" s="19">
        <f>(I226-H226)/1000</f>
        <v/>
      </c>
      <c r="K226" s="16" t="inlineStr">
        <is>
          <t>Yes</t>
        </is>
      </c>
      <c r="L226" s="16" t="n">
        <v>31</v>
      </c>
      <c r="M2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27" ht="184" customHeight="1">
      <c r="A227" s="16" t="inlineStr">
        <is>
          <t>11 Jun</t>
        </is>
      </c>
      <c r="B227" s="16" t="inlineStr">
        <is>
          <t>30358</t>
        </is>
      </c>
      <c r="C227" s="16" t="n">
        <v>1167</v>
      </c>
      <c r="D227" s="16" t="n">
        <v>881</v>
      </c>
      <c r="E227" s="16" t="n">
        <v>852</v>
      </c>
      <c r="F227" s="38" t="n">
        <v>665453</v>
      </c>
      <c r="G227" s="38" t="n">
        <v>1028471</v>
      </c>
      <c r="H227" s="38" t="n">
        <v>920804</v>
      </c>
      <c r="I227" s="38" t="n">
        <v>1028471</v>
      </c>
      <c r="J227" s="19">
        <f>(I227-H227)/1000</f>
        <v/>
      </c>
      <c r="K227" s="16" t="inlineStr">
        <is>
          <t>Yes</t>
        </is>
      </c>
      <c r="L227" s="16" t="n">
        <v>31</v>
      </c>
      <c r="M2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28" ht="184" customHeight="1">
      <c r="A228" s="16" t="inlineStr">
        <is>
          <t>11 Jun</t>
        </is>
      </c>
      <c r="B228" s="16" t="inlineStr">
        <is>
          <t>37383</t>
        </is>
      </c>
      <c r="C228" s="16" t="n">
        <v>2328</v>
      </c>
      <c r="D228" s="16" t="n">
        <v>2328</v>
      </c>
      <c r="E228" s="16" t="n">
        <v>1568</v>
      </c>
      <c r="F228" s="38" t="n">
        <v>657188</v>
      </c>
      <c r="G228" s="38" t="n">
        <v>748372</v>
      </c>
      <c r="H228" s="38" t="n">
        <v>699112</v>
      </c>
      <c r="I228" s="38" t="n">
        <v>748372</v>
      </c>
      <c r="J228" s="19">
        <f>(I228-H228)/1000</f>
        <v/>
      </c>
      <c r="K228" s="16" t="inlineStr">
        <is>
          <t>Yes</t>
        </is>
      </c>
      <c r="L228" s="16" t="n">
        <v>12</v>
      </c>
      <c r="M2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...(+62 more)</t>
        </is>
      </c>
    </row>
    <row r="229" ht="184" customHeight="1">
      <c r="A229" s="16" t="inlineStr">
        <is>
          <t>11 Jun</t>
        </is>
      </c>
      <c r="B229" s="16" t="inlineStr">
        <is>
          <t>30119</t>
        </is>
      </c>
      <c r="C229" s="16" t="n">
        <v>2489</v>
      </c>
      <c r="D229" s="16" t="n">
        <v>2474</v>
      </c>
      <c r="E229" s="16" t="n">
        <v>2474</v>
      </c>
      <c r="F229" s="38" t="n">
        <v>1227475</v>
      </c>
      <c r="G229" s="38" t="n">
        <v>1242921</v>
      </c>
      <c r="H229" s="38" t="n">
        <v>1227475</v>
      </c>
      <c r="I229" s="38" t="n">
        <v>1242921</v>
      </c>
      <c r="J229" s="19">
        <f>(I229-H229)/1000</f>
        <v/>
      </c>
      <c r="K229" s="16" t="inlineStr">
        <is>
          <t>Yes</t>
        </is>
      </c>
      <c r="L229" s="16" t="n">
        <v>4</v>
      </c>
      <c r="M229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230" ht="184" customHeight="1">
      <c r="A230" s="31" t="inlineStr">
        <is>
          <t>11 Jun</t>
        </is>
      </c>
      <c r="B230" s="31" t="inlineStr">
        <is>
          <t>30006</t>
        </is>
      </c>
      <c r="C230" s="31" t="n">
        <v>191</v>
      </c>
      <c r="D230" s="31" t="n">
        <v>191</v>
      </c>
      <c r="E230" s="31" t="n">
        <v>0</v>
      </c>
      <c r="F230" s="40" t="n">
        <v>1400626</v>
      </c>
      <c r="G230" s="40" t="n">
        <v>1425797</v>
      </c>
      <c r="H230" s="40" t="inlineStr">
        <is>
          <t>-</t>
        </is>
      </c>
      <c r="I230" s="40" t="inlineStr">
        <is>
          <t>-</t>
        </is>
      </c>
      <c r="J230" s="41" t="n">
        <v>0</v>
      </c>
      <c r="K230" s="31" t="inlineStr">
        <is>
          <t>No</t>
        </is>
      </c>
      <c r="L230" s="31" t="n">
        <v>0</v>
      </c>
      <c r="M23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1" ht="184" customHeight="1">
      <c r="A231" s="31" t="inlineStr">
        <is>
          <t>11 Jun</t>
        </is>
      </c>
      <c r="B231" s="31" t="inlineStr">
        <is>
          <t>30197</t>
        </is>
      </c>
      <c r="C231" s="31" t="n">
        <v>1097</v>
      </c>
      <c r="D231" s="31" t="n">
        <v>1083</v>
      </c>
      <c r="E231" s="31" t="n">
        <v>0</v>
      </c>
      <c r="F231" s="40" t="n">
        <v>143307</v>
      </c>
      <c r="G231" s="40" t="n">
        <v>149885</v>
      </c>
      <c r="H231" s="40" t="inlineStr">
        <is>
          <t>-</t>
        </is>
      </c>
      <c r="I231" s="40" t="inlineStr">
        <is>
          <t>-</t>
        </is>
      </c>
      <c r="J231" s="41" t="n">
        <v>0</v>
      </c>
      <c r="K231" s="31" t="inlineStr">
        <is>
          <t>No</t>
        </is>
      </c>
      <c r="L231" s="31" t="n">
        <v>0</v>
      </c>
      <c r="M23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2" ht="184" customHeight="1">
      <c r="A232" s="31" t="inlineStr">
        <is>
          <t>11 Jun</t>
        </is>
      </c>
      <c r="B232" s="31" t="inlineStr">
        <is>
          <t>30232</t>
        </is>
      </c>
      <c r="C232" s="31" t="n">
        <v>1</v>
      </c>
      <c r="D232" s="31" t="n">
        <v>1</v>
      </c>
      <c r="E232" s="31" t="n">
        <v>0</v>
      </c>
      <c r="F232" s="40" t="n">
        <v>1394604</v>
      </c>
      <c r="G232" s="40" t="n">
        <v>1394604</v>
      </c>
      <c r="H232" s="40" t="inlineStr">
        <is>
          <t>-</t>
        </is>
      </c>
      <c r="I232" s="40" t="inlineStr">
        <is>
          <t>-</t>
        </is>
      </c>
      <c r="J232" s="41" t="n">
        <v>0</v>
      </c>
      <c r="K232" s="31" t="inlineStr">
        <is>
          <t>No</t>
        </is>
      </c>
      <c r="L232" s="31" t="n">
        <v>0</v>
      </c>
      <c r="M23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3" ht="184" customHeight="1">
      <c r="A233" s="31" t="inlineStr">
        <is>
          <t>11 Jun</t>
        </is>
      </c>
      <c r="B233" s="31" t="inlineStr">
        <is>
          <t>30264</t>
        </is>
      </c>
      <c r="C233" s="31" t="n">
        <v>640</v>
      </c>
      <c r="D233" s="31" t="n">
        <v>639</v>
      </c>
      <c r="E233" s="31" t="n">
        <v>0</v>
      </c>
      <c r="F233" s="40" t="n">
        <v>1401376</v>
      </c>
      <c r="G233" s="40" t="n">
        <v>1436931</v>
      </c>
      <c r="H233" s="40" t="inlineStr">
        <is>
          <t>-</t>
        </is>
      </c>
      <c r="I233" s="40" t="inlineStr">
        <is>
          <t>-</t>
        </is>
      </c>
      <c r="J233" s="41" t="n">
        <v>0</v>
      </c>
      <c r="K233" s="31" t="inlineStr">
        <is>
          <t>No</t>
        </is>
      </c>
      <c r="L233" s="31" t="n">
        <v>0</v>
      </c>
      <c r="M23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4" ht="184" customHeight="1">
      <c r="A234" s="31" t="inlineStr">
        <is>
          <t>11 Jun</t>
        </is>
      </c>
      <c r="B234" s="31" t="inlineStr">
        <is>
          <t>30307</t>
        </is>
      </c>
      <c r="C234" s="31" t="n">
        <v>752</v>
      </c>
      <c r="D234" s="31" t="n">
        <v>751</v>
      </c>
      <c r="E234" s="31" t="n">
        <v>0</v>
      </c>
      <c r="F234" s="40" t="n">
        <v>1401350</v>
      </c>
      <c r="G234" s="40" t="n">
        <v>1437028</v>
      </c>
      <c r="H234" s="40" t="inlineStr">
        <is>
          <t>-</t>
        </is>
      </c>
      <c r="I234" s="40" t="inlineStr">
        <is>
          <t>-</t>
        </is>
      </c>
      <c r="J234" s="41" t="n">
        <v>0</v>
      </c>
      <c r="K234" s="31" t="inlineStr">
        <is>
          <t>No</t>
        </is>
      </c>
      <c r="L234" s="31" t="n">
        <v>0</v>
      </c>
      <c r="M23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5" ht="184" customHeight="1">
      <c r="A235" s="31" t="inlineStr">
        <is>
          <t>11 Jun</t>
        </is>
      </c>
      <c r="B235" s="31" t="inlineStr">
        <is>
          <t>30415</t>
        </is>
      </c>
      <c r="C235" s="31" t="n">
        <v>435</v>
      </c>
      <c r="D235" s="31" t="n">
        <v>434</v>
      </c>
      <c r="E235" s="31" t="n">
        <v>0</v>
      </c>
      <c r="F235" s="40" t="n">
        <v>1401344</v>
      </c>
      <c r="G235" s="40" t="n">
        <v>1430731</v>
      </c>
      <c r="H235" s="40" t="inlineStr">
        <is>
          <t>-</t>
        </is>
      </c>
      <c r="I235" s="40" t="inlineStr">
        <is>
          <t>-</t>
        </is>
      </c>
      <c r="J235" s="41" t="n">
        <v>0</v>
      </c>
      <c r="K235" s="31" t="inlineStr">
        <is>
          <t>No</t>
        </is>
      </c>
      <c r="L235" s="31" t="n">
        <v>0</v>
      </c>
      <c r="M23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6" ht="184" customHeight="1">
      <c r="A236" s="31" t="inlineStr">
        <is>
          <t>11 Jun</t>
        </is>
      </c>
      <c r="B236" s="31" t="inlineStr">
        <is>
          <t>30543</t>
        </is>
      </c>
      <c r="C236" s="31" t="n">
        <v>569</v>
      </c>
      <c r="D236" s="31" t="n">
        <v>569</v>
      </c>
      <c r="E236" s="31" t="n">
        <v>0</v>
      </c>
      <c r="F236" s="40" t="n">
        <v>1401386</v>
      </c>
      <c r="G236" s="40" t="n">
        <v>1435871</v>
      </c>
      <c r="H236" s="40" t="inlineStr">
        <is>
          <t>-</t>
        </is>
      </c>
      <c r="I236" s="40" t="inlineStr">
        <is>
          <t>-</t>
        </is>
      </c>
      <c r="J236" s="41" t="n">
        <v>0</v>
      </c>
      <c r="K236" s="31" t="inlineStr">
        <is>
          <t>No</t>
        </is>
      </c>
      <c r="L236" s="31" t="n">
        <v>0</v>
      </c>
      <c r="M23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7" ht="184" customHeight="1">
      <c r="A237" s="31" t="inlineStr">
        <is>
          <t>11 Jun</t>
        </is>
      </c>
      <c r="B237" s="31" t="inlineStr">
        <is>
          <t>30581</t>
        </is>
      </c>
      <c r="C237" s="31" t="n">
        <v>1957</v>
      </c>
      <c r="D237" s="31" t="n">
        <v>1663</v>
      </c>
      <c r="E237" s="31" t="n">
        <v>0</v>
      </c>
      <c r="F237" s="40" t="n">
        <v>1612</v>
      </c>
      <c r="G237" s="40" t="n">
        <v>697377</v>
      </c>
      <c r="H237" s="40" t="inlineStr">
        <is>
          <t>-</t>
        </is>
      </c>
      <c r="I237" s="40" t="inlineStr">
        <is>
          <t>-</t>
        </is>
      </c>
      <c r="J237" s="41" t="n">
        <v>0</v>
      </c>
      <c r="K237" s="31" t="inlineStr">
        <is>
          <t>No</t>
        </is>
      </c>
      <c r="L237" s="31" t="n">
        <v>0</v>
      </c>
      <c r="M2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8" ht="184" customHeight="1">
      <c r="A238" s="31" t="inlineStr">
        <is>
          <t>11 Jun</t>
        </is>
      </c>
      <c r="B238" s="31" t="inlineStr">
        <is>
          <t>37019</t>
        </is>
      </c>
      <c r="C238" s="31" t="n">
        <v>3245</v>
      </c>
      <c r="D238" s="31" t="n">
        <v>3204</v>
      </c>
      <c r="E238" s="31" t="n">
        <v>0</v>
      </c>
      <c r="F238" s="40" t="n">
        <v>1896</v>
      </c>
      <c r="G238" s="40" t="n">
        <v>697863</v>
      </c>
      <c r="H238" s="40" t="inlineStr">
        <is>
          <t>-</t>
        </is>
      </c>
      <c r="I238" s="40" t="inlineStr">
        <is>
          <t>-</t>
        </is>
      </c>
      <c r="J238" s="41" t="n">
        <v>0</v>
      </c>
      <c r="K238" s="31" t="inlineStr">
        <is>
          <t>No</t>
        </is>
      </c>
      <c r="L238" s="31" t="n">
        <v>0</v>
      </c>
      <c r="M2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9" ht="184" customHeight="1">
      <c r="A239" s="31" t="inlineStr">
        <is>
          <t>11 Jun</t>
        </is>
      </c>
      <c r="B239" s="31" t="inlineStr">
        <is>
          <t>37158</t>
        </is>
      </c>
      <c r="C239" s="31" t="n">
        <v>825</v>
      </c>
      <c r="D239" s="31" t="n">
        <v>825</v>
      </c>
      <c r="E239" s="31" t="n">
        <v>0</v>
      </c>
      <c r="F239" s="40" t="n">
        <v>1401465</v>
      </c>
      <c r="G239" s="40" t="n">
        <v>1464780</v>
      </c>
      <c r="H239" s="40" t="inlineStr">
        <is>
          <t>-</t>
        </is>
      </c>
      <c r="I239" s="40" t="inlineStr">
        <is>
          <t>-</t>
        </is>
      </c>
      <c r="J239" s="41" t="n">
        <v>0</v>
      </c>
      <c r="K239" s="31" t="inlineStr">
        <is>
          <t>No</t>
        </is>
      </c>
      <c r="L239" s="31" t="n">
        <v>0</v>
      </c>
      <c r="M2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0" ht="184" customHeight="1">
      <c r="A240" s="31" t="inlineStr">
        <is>
          <t>11 Jun</t>
        </is>
      </c>
      <c r="B240" s="31" t="inlineStr">
        <is>
          <t>37265</t>
        </is>
      </c>
      <c r="C240" s="31" t="n">
        <v>135</v>
      </c>
      <c r="D240" s="31" t="n">
        <v>134</v>
      </c>
      <c r="E240" s="31" t="n">
        <v>0</v>
      </c>
      <c r="F240" s="40" t="n">
        <v>1401680</v>
      </c>
      <c r="G240" s="40" t="n">
        <v>1424971</v>
      </c>
      <c r="H240" s="40" t="inlineStr">
        <is>
          <t>-</t>
        </is>
      </c>
      <c r="I240" s="40" t="inlineStr">
        <is>
          <t>-</t>
        </is>
      </c>
      <c r="J240" s="41" t="n">
        <v>0</v>
      </c>
      <c r="K240" s="31" t="inlineStr">
        <is>
          <t>No</t>
        </is>
      </c>
      <c r="L240" s="31" t="n">
        <v>0</v>
      </c>
      <c r="M2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1" ht="184" customHeight="1">
      <c r="A241" s="31" t="inlineStr">
        <is>
          <t>11 Jun</t>
        </is>
      </c>
      <c r="B241" s="31" t="inlineStr">
        <is>
          <t>37398</t>
        </is>
      </c>
      <c r="C241" s="31" t="n">
        <v>1880</v>
      </c>
      <c r="D241" s="31" t="n">
        <v>1838</v>
      </c>
      <c r="E241" s="31" t="n">
        <v>0</v>
      </c>
      <c r="F241" s="40" t="n">
        <v>1610</v>
      </c>
      <c r="G241" s="40" t="n">
        <v>697368</v>
      </c>
      <c r="H241" s="40" t="inlineStr">
        <is>
          <t>-</t>
        </is>
      </c>
      <c r="I241" s="40" t="inlineStr">
        <is>
          <t>-</t>
        </is>
      </c>
      <c r="J241" s="41" t="n">
        <v>0</v>
      </c>
      <c r="K241" s="31" t="inlineStr">
        <is>
          <t>No</t>
        </is>
      </c>
      <c r="L241" s="31" t="n">
        <v>0</v>
      </c>
      <c r="M2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2" ht="184" customHeight="1">
      <c r="A242" s="31" t="inlineStr">
        <is>
          <t>11 Jun</t>
        </is>
      </c>
      <c r="B242" s="31" t="inlineStr">
        <is>
          <t>37458</t>
        </is>
      </c>
      <c r="C242" s="31" t="n">
        <v>19</v>
      </c>
      <c r="D242" s="31" t="n">
        <v>19</v>
      </c>
      <c r="E242" s="31" t="n">
        <v>0</v>
      </c>
      <c r="F242" s="40" t="n">
        <v>1265384</v>
      </c>
      <c r="G242" s="40" t="n">
        <v>1356722</v>
      </c>
      <c r="H242" s="40" t="inlineStr">
        <is>
          <t>-</t>
        </is>
      </c>
      <c r="I242" s="40" t="inlineStr">
        <is>
          <t>-</t>
        </is>
      </c>
      <c r="J242" s="41" t="n">
        <v>0</v>
      </c>
      <c r="K242" s="31" t="inlineStr">
        <is>
          <t>No</t>
        </is>
      </c>
      <c r="L242" s="31" t="n">
        <v>0</v>
      </c>
      <c r="M2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3" ht="184" customHeight="1">
      <c r="A243" s="31" t="inlineStr">
        <is>
          <t>11 Jun</t>
        </is>
      </c>
      <c r="B243" s="31" t="inlineStr">
        <is>
          <t>37513</t>
        </is>
      </c>
      <c r="C243" s="31" t="n">
        <v>158</v>
      </c>
      <c r="D243" s="31" t="n">
        <v>158</v>
      </c>
      <c r="E243" s="31" t="n">
        <v>0</v>
      </c>
      <c r="F243" s="40" t="n">
        <v>1401720</v>
      </c>
      <c r="G243" s="40" t="n">
        <v>1435557</v>
      </c>
      <c r="H243" s="40" t="inlineStr">
        <is>
          <t>-</t>
        </is>
      </c>
      <c r="I243" s="40" t="inlineStr">
        <is>
          <t>-</t>
        </is>
      </c>
      <c r="J243" s="41" t="n">
        <v>0</v>
      </c>
      <c r="K243" s="31" t="inlineStr">
        <is>
          <t>No</t>
        </is>
      </c>
      <c r="L243" s="31" t="n">
        <v>0</v>
      </c>
      <c r="M2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4" ht="184" customHeight="1">
      <c r="A244" s="31" t="inlineStr">
        <is>
          <t>11 Jun</t>
        </is>
      </c>
      <c r="B244" s="31" t="inlineStr">
        <is>
          <t>37577</t>
        </is>
      </c>
      <c r="C244" s="31" t="n">
        <v>639</v>
      </c>
      <c r="D244" s="31" t="n">
        <v>639</v>
      </c>
      <c r="E244" s="31" t="n">
        <v>0</v>
      </c>
      <c r="F244" s="40" t="n">
        <v>657298</v>
      </c>
      <c r="G244" s="40" t="n">
        <v>695543</v>
      </c>
      <c r="H244" s="40" t="inlineStr">
        <is>
          <t>-</t>
        </is>
      </c>
      <c r="I244" s="40" t="inlineStr">
        <is>
          <t>-</t>
        </is>
      </c>
      <c r="J244" s="41" t="n">
        <v>0</v>
      </c>
      <c r="K244" s="31" t="inlineStr">
        <is>
          <t>No</t>
        </is>
      </c>
      <c r="L244" s="31" t="n">
        <v>0</v>
      </c>
      <c r="M2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5" ht="184" customHeight="1">
      <c r="A245" s="31" t="inlineStr">
        <is>
          <t>11 Jun</t>
        </is>
      </c>
      <c r="B245" s="31" t="inlineStr">
        <is>
          <t>37628</t>
        </is>
      </c>
      <c r="C245" s="31" t="n">
        <v>386</v>
      </c>
      <c r="D245" s="31" t="n">
        <v>385</v>
      </c>
      <c r="E245" s="31" t="n">
        <v>0</v>
      </c>
      <c r="F245" s="40" t="n">
        <v>1401376</v>
      </c>
      <c r="G245" s="40" t="n">
        <v>1436271</v>
      </c>
      <c r="H245" s="40" t="inlineStr">
        <is>
          <t>-</t>
        </is>
      </c>
      <c r="I245" s="40" t="inlineStr">
        <is>
          <t>-</t>
        </is>
      </c>
      <c r="J245" s="41" t="n">
        <v>0</v>
      </c>
      <c r="K245" s="31" t="inlineStr">
        <is>
          <t>No</t>
        </is>
      </c>
      <c r="L245" s="31" t="n">
        <v>0</v>
      </c>
      <c r="M2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6" ht="184" customHeight="1">
      <c r="A246" s="31" t="inlineStr">
        <is>
          <t>11 Jun</t>
        </is>
      </c>
      <c r="B246" s="31" t="inlineStr">
        <is>
          <t>37816</t>
        </is>
      </c>
      <c r="C246" s="31" t="n">
        <v>2</v>
      </c>
      <c r="D246" s="31" t="n">
        <v>2</v>
      </c>
      <c r="E246" s="31" t="n">
        <v>0</v>
      </c>
      <c r="F246" s="40" t="n">
        <v>1355490</v>
      </c>
      <c r="G246" s="40" t="n">
        <v>1364129</v>
      </c>
      <c r="H246" s="40" t="inlineStr">
        <is>
          <t>-</t>
        </is>
      </c>
      <c r="I246" s="40" t="inlineStr">
        <is>
          <t>-</t>
        </is>
      </c>
      <c r="J246" s="41" t="n">
        <v>0</v>
      </c>
      <c r="K246" s="31" t="inlineStr">
        <is>
          <t>No</t>
        </is>
      </c>
      <c r="L246" s="31" t="n">
        <v>0</v>
      </c>
      <c r="M2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7" ht="184" customHeight="1">
      <c r="A247" s="31" t="inlineStr">
        <is>
          <t>11 Jun</t>
        </is>
      </c>
      <c r="B247" s="31" t="inlineStr">
        <is>
          <t>37836</t>
        </is>
      </c>
      <c r="C247" s="31" t="n">
        <v>1384</v>
      </c>
      <c r="D247" s="31" t="n">
        <v>1383</v>
      </c>
      <c r="E247" s="31" t="n">
        <v>0</v>
      </c>
      <c r="F247" s="40" t="n">
        <v>1401314</v>
      </c>
      <c r="G247" s="40" t="n">
        <v>1466439</v>
      </c>
      <c r="H247" s="40" t="inlineStr">
        <is>
          <t>-</t>
        </is>
      </c>
      <c r="I247" s="40" t="inlineStr">
        <is>
          <t>-</t>
        </is>
      </c>
      <c r="J247" s="41" t="n">
        <v>0</v>
      </c>
      <c r="K247" s="31" t="inlineStr">
        <is>
          <t>No</t>
        </is>
      </c>
      <c r="L247" s="31" t="n">
        <v>0</v>
      </c>
      <c r="M2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8" ht="184" customHeight="1">
      <c r="A248" s="31" t="inlineStr">
        <is>
          <t>11 Jun</t>
        </is>
      </c>
      <c r="B248" s="31" t="inlineStr">
        <is>
          <t>37853</t>
        </is>
      </c>
      <c r="C248" s="31" t="n">
        <v>1389</v>
      </c>
      <c r="D248" s="31" t="n">
        <v>1389</v>
      </c>
      <c r="E248" s="31" t="n">
        <v>0</v>
      </c>
      <c r="F248" s="40" t="n">
        <v>1399297</v>
      </c>
      <c r="G248" s="40" t="n">
        <v>1450021</v>
      </c>
      <c r="H248" s="40" t="inlineStr">
        <is>
          <t>-</t>
        </is>
      </c>
      <c r="I248" s="40" t="inlineStr">
        <is>
          <t>-</t>
        </is>
      </c>
      <c r="J248" s="41" t="n">
        <v>0</v>
      </c>
      <c r="K248" s="31" t="inlineStr">
        <is>
          <t>No</t>
        </is>
      </c>
      <c r="L248" s="31" t="n">
        <v>0</v>
      </c>
      <c r="M2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9" ht="184" customHeight="1">
      <c r="A249" s="31" t="inlineStr">
        <is>
          <t>11 Jun</t>
        </is>
      </c>
      <c r="B249" s="31" t="inlineStr">
        <is>
          <t>37858</t>
        </is>
      </c>
      <c r="C249" s="31" t="n">
        <v>745</v>
      </c>
      <c r="D249" s="31" t="n">
        <v>745</v>
      </c>
      <c r="E249" s="31" t="n">
        <v>0</v>
      </c>
      <c r="F249" s="40" t="n">
        <v>1401759</v>
      </c>
      <c r="G249" s="40" t="n">
        <v>1458495</v>
      </c>
      <c r="H249" s="40" t="inlineStr">
        <is>
          <t>-</t>
        </is>
      </c>
      <c r="I249" s="40" t="inlineStr">
        <is>
          <t>-</t>
        </is>
      </c>
      <c r="J249" s="41" t="n">
        <v>0</v>
      </c>
      <c r="K249" s="31" t="inlineStr">
        <is>
          <t>No</t>
        </is>
      </c>
      <c r="L249" s="31" t="n">
        <v>0</v>
      </c>
      <c r="M2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0" ht="184" customHeight="1">
      <c r="A250" s="31" t="inlineStr">
        <is>
          <t>11 Jun</t>
        </is>
      </c>
      <c r="B250" s="31" t="inlineStr">
        <is>
          <t>39008</t>
        </is>
      </c>
      <c r="C250" s="31" t="n">
        <v>1734</v>
      </c>
      <c r="D250" s="31" t="n">
        <v>1730</v>
      </c>
      <c r="E250" s="31" t="n">
        <v>0</v>
      </c>
      <c r="F250" s="40" t="n">
        <v>1401336</v>
      </c>
      <c r="G250" s="40" t="n">
        <v>1472668</v>
      </c>
      <c r="H250" s="40" t="inlineStr">
        <is>
          <t>-</t>
        </is>
      </c>
      <c r="I250" s="40" t="inlineStr">
        <is>
          <t>-</t>
        </is>
      </c>
      <c r="J250" s="41" t="n">
        <v>0</v>
      </c>
      <c r="K250" s="31" t="inlineStr">
        <is>
          <t>No</t>
        </is>
      </c>
      <c r="L250" s="31" t="n">
        <v>0</v>
      </c>
      <c r="M2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1" ht="184" customHeight="1">
      <c r="A251" s="31" t="inlineStr">
        <is>
          <t>11 Jun</t>
        </is>
      </c>
      <c r="B251" s="31" t="inlineStr">
        <is>
          <t>39015</t>
        </is>
      </c>
      <c r="C251" s="31" t="n">
        <v>1688</v>
      </c>
      <c r="D251" s="31" t="n">
        <v>1608</v>
      </c>
      <c r="E251" s="31" t="n">
        <v>0</v>
      </c>
      <c r="F251" s="40" t="n">
        <v>1900</v>
      </c>
      <c r="G251" s="40" t="n">
        <v>697882</v>
      </c>
      <c r="H251" s="40" t="inlineStr">
        <is>
          <t>-</t>
        </is>
      </c>
      <c r="I251" s="40" t="inlineStr">
        <is>
          <t>-</t>
        </is>
      </c>
      <c r="J251" s="41" t="n">
        <v>0</v>
      </c>
      <c r="K251" s="31" t="inlineStr">
        <is>
          <t>No</t>
        </is>
      </c>
      <c r="L251" s="31" t="n">
        <v>0</v>
      </c>
      <c r="M2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2" ht="184" customHeight="1">
      <c r="A252" s="31" t="inlineStr">
        <is>
          <t>11 Jun</t>
        </is>
      </c>
      <c r="B252" s="31" t="inlineStr">
        <is>
          <t>39164</t>
        </is>
      </c>
      <c r="C252" s="31" t="n">
        <v>210</v>
      </c>
      <c r="D252" s="31" t="n">
        <v>210</v>
      </c>
      <c r="E252" s="31" t="n">
        <v>0</v>
      </c>
      <c r="F252" s="40" t="n">
        <v>1401774</v>
      </c>
      <c r="G252" s="40" t="n">
        <v>1425277</v>
      </c>
      <c r="H252" s="40" t="inlineStr">
        <is>
          <t>-</t>
        </is>
      </c>
      <c r="I252" s="40" t="inlineStr">
        <is>
          <t>-</t>
        </is>
      </c>
      <c r="J252" s="41" t="n">
        <v>0</v>
      </c>
      <c r="K252" s="31" t="inlineStr">
        <is>
          <t>No</t>
        </is>
      </c>
      <c r="L252" s="31" t="n">
        <v>0</v>
      </c>
      <c r="M2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3" ht="184" customHeight="1">
      <c r="A253" s="31" t="inlineStr">
        <is>
          <t>11 Jun</t>
        </is>
      </c>
      <c r="B253" s="31" t="inlineStr">
        <is>
          <t>39248</t>
        </is>
      </c>
      <c r="C253" s="31" t="n">
        <v>2</v>
      </c>
      <c r="D253" s="31" t="n">
        <v>2</v>
      </c>
      <c r="E253" s="31" t="n">
        <v>0</v>
      </c>
      <c r="F253" s="40" t="n">
        <v>1476626</v>
      </c>
      <c r="G253" s="40" t="n">
        <v>1479437</v>
      </c>
      <c r="H253" s="40" t="inlineStr">
        <is>
          <t>-</t>
        </is>
      </c>
      <c r="I253" s="40" t="inlineStr">
        <is>
          <t>-</t>
        </is>
      </c>
      <c r="J253" s="41" t="n">
        <v>0</v>
      </c>
      <c r="K253" s="31" t="inlineStr">
        <is>
          <t>No</t>
        </is>
      </c>
      <c r="L253" s="31" t="n">
        <v>0</v>
      </c>
      <c r="M2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4" ht="184" customHeight="1">
      <c r="A254" s="31" t="inlineStr">
        <is>
          <t>11 Jun</t>
        </is>
      </c>
      <c r="B254" s="31" t="inlineStr">
        <is>
          <t>39456</t>
        </is>
      </c>
      <c r="C254" s="31" t="n">
        <v>219</v>
      </c>
      <c r="D254" s="31" t="n">
        <v>219</v>
      </c>
      <c r="E254" s="31" t="n">
        <v>0</v>
      </c>
      <c r="F254" s="40" t="n">
        <v>1401710</v>
      </c>
      <c r="G254" s="40" t="n">
        <v>1436849</v>
      </c>
      <c r="H254" s="40" t="inlineStr">
        <is>
          <t>-</t>
        </is>
      </c>
      <c r="I254" s="40" t="inlineStr">
        <is>
          <t>-</t>
        </is>
      </c>
      <c r="J254" s="41" t="n">
        <v>0</v>
      </c>
      <c r="K254" s="31" t="inlineStr">
        <is>
          <t>No</t>
        </is>
      </c>
      <c r="L254" s="31" t="n">
        <v>0</v>
      </c>
      <c r="M2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5" ht="184" customHeight="1">
      <c r="A255" s="31" t="inlineStr">
        <is>
          <t>11 Jun</t>
        </is>
      </c>
      <c r="B255" s="31" t="inlineStr">
        <is>
          <t>39530</t>
        </is>
      </c>
      <c r="C255" s="31" t="n">
        <v>570</v>
      </c>
      <c r="D255" s="31" t="n">
        <v>569</v>
      </c>
      <c r="E255" s="31" t="n">
        <v>0</v>
      </c>
      <c r="F255" s="40" t="n">
        <v>1401348</v>
      </c>
      <c r="G255" s="40" t="n">
        <v>1431231</v>
      </c>
      <c r="H255" s="40" t="inlineStr">
        <is>
          <t>-</t>
        </is>
      </c>
      <c r="I255" s="40" t="inlineStr">
        <is>
          <t>-</t>
        </is>
      </c>
      <c r="J255" s="41" t="n">
        <v>0</v>
      </c>
      <c r="K255" s="31" t="inlineStr">
        <is>
          <t>No</t>
        </is>
      </c>
      <c r="L255" s="31" t="n">
        <v>0</v>
      </c>
      <c r="M2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6" ht="184" customHeight="1">
      <c r="A256" s="31" t="inlineStr">
        <is>
          <t>11 Jun</t>
        </is>
      </c>
      <c r="B256" s="31" t="inlineStr">
        <is>
          <t>52196</t>
        </is>
      </c>
      <c r="C256" s="31" t="n">
        <v>10440</v>
      </c>
      <c r="D256" s="31" t="n">
        <v>10354</v>
      </c>
      <c r="E256" s="31" t="n">
        <v>0</v>
      </c>
      <c r="F256" s="40" t="n">
        <v>142995</v>
      </c>
      <c r="G256" s="40" t="n">
        <v>148851</v>
      </c>
      <c r="H256" s="40" t="inlineStr">
        <is>
          <t>-</t>
        </is>
      </c>
      <c r="I256" s="40" t="inlineStr">
        <is>
          <t>-</t>
        </is>
      </c>
      <c r="J256" s="41" t="n">
        <v>0</v>
      </c>
      <c r="K256" s="31" t="inlineStr">
        <is>
          <t>No</t>
        </is>
      </c>
      <c r="L256" s="31" t="n">
        <v>0</v>
      </c>
      <c r="M2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7">
      <c r="A257" s="16" t="inlineStr">
        <is>
          <t>12 Jun</t>
        </is>
      </c>
      <c r="B257" s="16" t="inlineStr">
        <is>
          <t>37266</t>
        </is>
      </c>
      <c r="C257" s="16" t="n">
        <v>36534</v>
      </c>
      <c r="D257" s="16" t="n">
        <v>36434</v>
      </c>
      <c r="E257" s="16" t="n">
        <v>35020</v>
      </c>
      <c r="F257" s="38" t="n">
        <v>695672</v>
      </c>
      <c r="G257" s="38" t="n">
        <v>1444136</v>
      </c>
      <c r="H257" s="38" t="n">
        <v>699081</v>
      </c>
      <c r="I257" s="38" t="n">
        <v>1242969</v>
      </c>
      <c r="J257" s="19">
        <f>(I257-H257)/1000</f>
        <v/>
      </c>
      <c r="K257" s="16" t="inlineStr">
        <is>
          <t>Yes</t>
        </is>
      </c>
      <c r="L257" s="16" t="n">
        <v>124</v>
      </c>
      <c r="M257" s="39" t="inlineStr">
        <is>
          <t>- (full trip)</t>
        </is>
      </c>
    </row>
    <row r="258">
      <c r="A258" s="16" t="inlineStr">
        <is>
          <t>12 Jun</t>
        </is>
      </c>
      <c r="B258" s="16" t="inlineStr">
        <is>
          <t>39331</t>
        </is>
      </c>
      <c r="C258" s="16" t="n">
        <v>23055</v>
      </c>
      <c r="D258" s="16" t="n">
        <v>22536</v>
      </c>
      <c r="E258" s="16" t="n">
        <v>20712</v>
      </c>
      <c r="F258" s="38" t="n">
        <v>657270</v>
      </c>
      <c r="G258" s="38" t="n">
        <v>1437083</v>
      </c>
      <c r="H258" s="38" t="n">
        <v>699077</v>
      </c>
      <c r="I258" s="38" t="n">
        <v>1242917</v>
      </c>
      <c r="J258" s="19">
        <f>(I258-H258)/1000</f>
        <v/>
      </c>
      <c r="K258" s="16" t="inlineStr">
        <is>
          <t>Yes</t>
        </is>
      </c>
      <c r="L258" s="16" t="n">
        <v>124</v>
      </c>
      <c r="M258" s="39" t="inlineStr">
        <is>
          <t>- (full trip)</t>
        </is>
      </c>
    </row>
    <row r="259">
      <c r="A259" s="16" t="inlineStr">
        <is>
          <t>12 Jun</t>
        </is>
      </c>
      <c r="B259" s="16" t="inlineStr">
        <is>
          <t>37091</t>
        </is>
      </c>
      <c r="C259" s="16" t="n">
        <v>18344</v>
      </c>
      <c r="D259" s="16" t="n">
        <v>18314</v>
      </c>
      <c r="E259" s="16" t="n">
        <v>17004</v>
      </c>
      <c r="F259" s="38" t="n">
        <v>665798</v>
      </c>
      <c r="G259" s="38" t="n">
        <v>1426638</v>
      </c>
      <c r="H259" s="38" t="n">
        <v>699117</v>
      </c>
      <c r="I259" s="38" t="n">
        <v>1242737</v>
      </c>
      <c r="J259" s="19">
        <f>(I259-H259)/1000</f>
        <v/>
      </c>
      <c r="K259" s="16" t="inlineStr">
        <is>
          <t>Yes</t>
        </is>
      </c>
      <c r="L259" s="16" t="n">
        <v>124</v>
      </c>
      <c r="M259" s="39" t="inlineStr">
        <is>
          <t>- (full trip)</t>
        </is>
      </c>
    </row>
    <row r="260">
      <c r="A260" s="16" t="inlineStr">
        <is>
          <t>12 Jun</t>
        </is>
      </c>
      <c r="B260" s="16" t="inlineStr">
        <is>
          <t>30806</t>
        </is>
      </c>
      <c r="C260" s="16" t="n">
        <v>20473</v>
      </c>
      <c r="D260" s="16" t="n">
        <v>20466</v>
      </c>
      <c r="E260" s="16" t="n">
        <v>18344</v>
      </c>
      <c r="F260" s="38" t="n">
        <v>657131</v>
      </c>
      <c r="G260" s="38" t="n">
        <v>1436476</v>
      </c>
      <c r="H260" s="38" t="n">
        <v>699115</v>
      </c>
      <c r="I260" s="38" t="n">
        <v>1240700</v>
      </c>
      <c r="J260" s="19">
        <f>(I260-H260)/1000</f>
        <v/>
      </c>
      <c r="K260" s="16" t="inlineStr">
        <is>
          <t>Yes</t>
        </is>
      </c>
      <c r="L260" s="16" t="n">
        <v>124</v>
      </c>
      <c r="M260" s="39" t="inlineStr">
        <is>
          <t>- (full trip)</t>
        </is>
      </c>
    </row>
    <row r="261" ht="34" customHeight="1">
      <c r="A261" s="16" t="inlineStr">
        <is>
          <t>12 Jun</t>
        </is>
      </c>
      <c r="B261" s="16" t="inlineStr">
        <is>
          <t>39328</t>
        </is>
      </c>
      <c r="C261" s="16" t="n">
        <v>19538</v>
      </c>
      <c r="D261" s="16" t="n">
        <v>19462</v>
      </c>
      <c r="E261" s="16" t="n">
        <v>17620</v>
      </c>
      <c r="F261" s="38" t="n">
        <v>657125</v>
      </c>
      <c r="G261" s="38" t="n">
        <v>1211615</v>
      </c>
      <c r="H261" s="38" t="n">
        <v>699086</v>
      </c>
      <c r="I261" s="38" t="n">
        <v>1211615</v>
      </c>
      <c r="J261" s="19">
        <f>(I261-H261)/1000</f>
        <v/>
      </c>
      <c r="K261" s="16" t="inlineStr">
        <is>
          <t>Yes</t>
        </is>
      </c>
      <c r="L261" s="16" t="n">
        <v>118</v>
      </c>
      <c r="M261" s="39" t="inlineStr">
        <is>
          <t>IBH 265, Murhesi Rampur(MSRP), IBH/LC-258, Jajjanpatti(JJA), DhaurmuiJaghina(DUM), IBH-247</t>
        </is>
      </c>
    </row>
    <row r="262" ht="64" customHeight="1">
      <c r="A262" s="16" t="inlineStr">
        <is>
          <t>12 Jun</t>
        </is>
      </c>
      <c r="B262" s="16" t="inlineStr">
        <is>
          <t>39244</t>
        </is>
      </c>
      <c r="C262" s="16" t="n">
        <v>20997</v>
      </c>
      <c r="D262" s="16" t="n">
        <v>20457</v>
      </c>
      <c r="E262" s="16" t="n">
        <v>19531</v>
      </c>
      <c r="F262" s="38" t="n">
        <v>661293</v>
      </c>
      <c r="G262" s="38" t="n">
        <v>1170772</v>
      </c>
      <c r="H262" s="38" t="n">
        <v>699094</v>
      </c>
      <c r="I262" s="38" t="n">
        <v>1170772</v>
      </c>
      <c r="J262" s="19">
        <f>(I262-H262)/1000</f>
        <v/>
      </c>
      <c r="K262" s="16" t="inlineStr">
        <is>
          <t>Yes</t>
        </is>
      </c>
      <c r="L262" s="16" t="n">
        <v>108</v>
      </c>
      <c r="M262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63" ht="64" customHeight="1">
      <c r="A263" s="16" t="inlineStr">
        <is>
          <t>12 Jun</t>
        </is>
      </c>
      <c r="B263" s="16" t="inlineStr">
        <is>
          <t>39243</t>
        </is>
      </c>
      <c r="C263" s="16" t="n">
        <v>22256</v>
      </c>
      <c r="D263" s="16" t="n">
        <v>22225</v>
      </c>
      <c r="E263" s="16" t="n">
        <v>20766</v>
      </c>
      <c r="F263" s="38" t="n">
        <v>656350</v>
      </c>
      <c r="G263" s="38" t="n">
        <v>1169673</v>
      </c>
      <c r="H263" s="38" t="n">
        <v>699080</v>
      </c>
      <c r="I263" s="38" t="n">
        <v>1169673</v>
      </c>
      <c r="J263" s="19">
        <f>(I263-H263)/1000</f>
        <v/>
      </c>
      <c r="K263" s="16" t="inlineStr">
        <is>
          <t>Yes</t>
        </is>
      </c>
      <c r="L263" s="16" t="n">
        <v>108</v>
      </c>
      <c r="M263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64" ht="64" customHeight="1">
      <c r="A264" s="16" t="inlineStr">
        <is>
          <t>12 Jun</t>
        </is>
      </c>
      <c r="B264" s="16" t="inlineStr">
        <is>
          <t>30472</t>
        </is>
      </c>
      <c r="C264" s="16" t="n">
        <v>18241</v>
      </c>
      <c r="D264" s="16" t="n">
        <v>18228</v>
      </c>
      <c r="E264" s="16" t="n">
        <v>17465</v>
      </c>
      <c r="F264" s="38" t="n">
        <v>657179</v>
      </c>
      <c r="G264" s="38" t="n">
        <v>1169002</v>
      </c>
      <c r="H264" s="38" t="n">
        <v>699077</v>
      </c>
      <c r="I264" s="38" t="n">
        <v>1169002</v>
      </c>
      <c r="J264" s="19">
        <f>(I264-H264)/1000</f>
        <v/>
      </c>
      <c r="K264" s="16" t="inlineStr">
        <is>
          <t>Yes</t>
        </is>
      </c>
      <c r="L264" s="16" t="n">
        <v>108</v>
      </c>
      <c r="M264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65" ht="79" customHeight="1">
      <c r="A265" s="16" t="inlineStr">
        <is>
          <t>12 Jun</t>
        </is>
      </c>
      <c r="B265" s="16" t="inlineStr">
        <is>
          <t>37275</t>
        </is>
      </c>
      <c r="C265" s="16" t="n">
        <v>19349</v>
      </c>
      <c r="D265" s="16" t="n">
        <v>19344</v>
      </c>
      <c r="E265" s="16" t="n">
        <v>17968</v>
      </c>
      <c r="F265" s="38" t="n">
        <v>657192</v>
      </c>
      <c r="G265" s="38" t="n">
        <v>1163787</v>
      </c>
      <c r="H265" s="38" t="n">
        <v>699077</v>
      </c>
      <c r="I265" s="38" t="n">
        <v>1163787</v>
      </c>
      <c r="J265" s="19">
        <f>(I265-H265)/1000</f>
        <v/>
      </c>
      <c r="K265" s="16" t="inlineStr">
        <is>
          <t>Yes</t>
        </is>
      </c>
      <c r="L265" s="16" t="n">
        <v>105</v>
      </c>
      <c r="M26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</t>
        </is>
      </c>
    </row>
    <row r="266" ht="124" customHeight="1">
      <c r="A266" s="16" t="inlineStr">
        <is>
          <t>12 Jun</t>
        </is>
      </c>
      <c r="B266" s="16" t="inlineStr">
        <is>
          <t>30507</t>
        </is>
      </c>
      <c r="C266" s="16" t="n">
        <v>28125</v>
      </c>
      <c r="D266" s="16" t="n">
        <v>28105</v>
      </c>
      <c r="E266" s="16" t="n">
        <v>26984</v>
      </c>
      <c r="F266" s="38" t="n">
        <v>862377</v>
      </c>
      <c r="G266" s="38" t="n">
        <v>1437174</v>
      </c>
      <c r="H266" s="38" t="n">
        <v>862377</v>
      </c>
      <c r="I266" s="38" t="n">
        <v>1242949</v>
      </c>
      <c r="J266" s="19">
        <f>(I266-H266)/1000</f>
        <v/>
      </c>
      <c r="K266" s="16" t="inlineStr">
        <is>
          <t>Yes</t>
        </is>
      </c>
      <c r="L266" s="16" t="n">
        <v>90</v>
      </c>
      <c r="M266" s="39" t="inlineStr">
        <is>
          <t>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67" ht="169" customHeight="1">
      <c r="A267" s="16" t="inlineStr">
        <is>
          <t>12 Jun</t>
        </is>
      </c>
      <c r="B267" s="16" t="inlineStr">
        <is>
          <t>39287</t>
        </is>
      </c>
      <c r="C267" s="16" t="n">
        <v>29301</v>
      </c>
      <c r="D267" s="16" t="n">
        <v>29048</v>
      </c>
      <c r="E267" s="16" t="n">
        <v>27779</v>
      </c>
      <c r="F267" s="38" t="n">
        <v>656353</v>
      </c>
      <c r="G267" s="38" t="n">
        <v>1028915</v>
      </c>
      <c r="H267" s="38" t="n">
        <v>699073</v>
      </c>
      <c r="I267" s="38" t="n">
        <v>1028915</v>
      </c>
      <c r="J267" s="19">
        <f>(I267-H267)/1000</f>
        <v/>
      </c>
      <c r="K267" s="16" t="inlineStr">
        <is>
          <t>Yes</t>
        </is>
      </c>
      <c r="L267" s="16" t="n">
        <v>77</v>
      </c>
      <c r="M26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68" ht="169" customHeight="1">
      <c r="A268" s="16" t="inlineStr">
        <is>
          <t>12 Jun</t>
        </is>
      </c>
      <c r="B268" s="16" t="inlineStr">
        <is>
          <t>30440</t>
        </is>
      </c>
      <c r="C268" s="16" t="n">
        <v>11884</v>
      </c>
      <c r="D268" s="16" t="n">
        <v>11862</v>
      </c>
      <c r="E268" s="16" t="n">
        <v>11190</v>
      </c>
      <c r="F268" s="38" t="n">
        <v>695668</v>
      </c>
      <c r="G268" s="38" t="n">
        <v>1028407</v>
      </c>
      <c r="H268" s="38" t="n">
        <v>699088</v>
      </c>
      <c r="I268" s="38" t="n">
        <v>1028407</v>
      </c>
      <c r="J268" s="19">
        <f>(I268-H268)/1000</f>
        <v/>
      </c>
      <c r="K268" s="16" t="inlineStr">
        <is>
          <t>Yes</t>
        </is>
      </c>
      <c r="L268" s="16" t="n">
        <v>77</v>
      </c>
      <c r="M26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69" ht="169" customHeight="1">
      <c r="A269" s="16" t="inlineStr">
        <is>
          <t>12 Jun</t>
        </is>
      </c>
      <c r="B269" s="16" t="inlineStr">
        <is>
          <t>39199</t>
        </is>
      </c>
      <c r="C269" s="16" t="n">
        <v>324</v>
      </c>
      <c r="D269" s="16" t="n">
        <v>114</v>
      </c>
      <c r="E269" s="16" t="n">
        <v>111</v>
      </c>
      <c r="F269" s="38" t="n">
        <v>696847</v>
      </c>
      <c r="G269" s="38" t="n">
        <v>1028917</v>
      </c>
      <c r="H269" s="38" t="n">
        <v>700269</v>
      </c>
      <c r="I269" s="38" t="n">
        <v>1028917</v>
      </c>
      <c r="J269" s="19">
        <f>(I269-H269)/1000</f>
        <v/>
      </c>
      <c r="K269" s="16" t="inlineStr">
        <is>
          <t>Yes</t>
        </is>
      </c>
      <c r="L269" s="16" t="n">
        <v>77</v>
      </c>
      <c r="M2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70" ht="184" customHeight="1">
      <c r="A270" s="16" t="inlineStr">
        <is>
          <t>12 Jun</t>
        </is>
      </c>
      <c r="B270" s="16" t="inlineStr">
        <is>
          <t>30466</t>
        </is>
      </c>
      <c r="C270" s="16" t="n">
        <v>11397</v>
      </c>
      <c r="D270" s="16" t="n">
        <v>11367</v>
      </c>
      <c r="E270" s="16" t="n">
        <v>11049</v>
      </c>
      <c r="F270" s="38" t="n">
        <v>921253</v>
      </c>
      <c r="G270" s="38" t="n">
        <v>1435653</v>
      </c>
      <c r="H270" s="38" t="n">
        <v>921253</v>
      </c>
      <c r="I270" s="38" t="n">
        <v>1242954</v>
      </c>
      <c r="J270" s="19">
        <f>(I270-H270)/1000</f>
        <v/>
      </c>
      <c r="K270" s="16" t="inlineStr">
        <is>
          <t>Yes</t>
        </is>
      </c>
      <c r="L270" s="16" t="n">
        <v>78</v>
      </c>
      <c r="M27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1" ht="184" customHeight="1">
      <c r="A271" s="16" t="inlineStr">
        <is>
          <t>12 Jun</t>
        </is>
      </c>
      <c r="B271" s="16" t="inlineStr">
        <is>
          <t>39107</t>
        </is>
      </c>
      <c r="C271" s="16" t="n">
        <v>21310</v>
      </c>
      <c r="D271" s="16" t="n">
        <v>21262</v>
      </c>
      <c r="E271" s="16" t="n">
        <v>20308</v>
      </c>
      <c r="F271" s="38" t="n">
        <v>921484</v>
      </c>
      <c r="G271" s="38" t="n">
        <v>1437082</v>
      </c>
      <c r="H271" s="38" t="n">
        <v>921484</v>
      </c>
      <c r="I271" s="38" t="n">
        <v>1242972</v>
      </c>
      <c r="J271" s="19">
        <f>(I271-H271)/1000</f>
        <v/>
      </c>
      <c r="K271" s="16" t="inlineStr">
        <is>
          <t>Yes</t>
        </is>
      </c>
      <c r="L271" s="16" t="n">
        <v>78</v>
      </c>
      <c r="M27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2" ht="184" customHeight="1">
      <c r="A272" s="16" t="inlineStr">
        <is>
          <t>12 Jun</t>
        </is>
      </c>
      <c r="B272" s="16" t="inlineStr">
        <is>
          <t>30488</t>
        </is>
      </c>
      <c r="C272" s="16" t="n">
        <v>11251</v>
      </c>
      <c r="D272" s="16" t="n">
        <v>11240</v>
      </c>
      <c r="E272" s="16" t="n">
        <v>10997</v>
      </c>
      <c r="F272" s="38" t="n">
        <v>921757</v>
      </c>
      <c r="G272" s="38" t="n">
        <v>1499858</v>
      </c>
      <c r="H272" s="38" t="n">
        <v>921757</v>
      </c>
      <c r="I272" s="38" t="n">
        <v>1240563</v>
      </c>
      <c r="J272" s="19">
        <f>(I272-H272)/1000</f>
        <v/>
      </c>
      <c r="K272" s="16" t="inlineStr">
        <is>
          <t>Yes</t>
        </is>
      </c>
      <c r="L272" s="16" t="n">
        <v>78</v>
      </c>
      <c r="M27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3" ht="184" customHeight="1">
      <c r="A273" s="16" t="inlineStr">
        <is>
          <t>12 Jun</t>
        </is>
      </c>
      <c r="B273" s="16" t="inlineStr">
        <is>
          <t>37845</t>
        </is>
      </c>
      <c r="C273" s="16" t="n">
        <v>10130</v>
      </c>
      <c r="D273" s="16" t="n">
        <v>10123</v>
      </c>
      <c r="E273" s="16" t="n">
        <v>9805</v>
      </c>
      <c r="F273" s="38" t="n">
        <v>923007</v>
      </c>
      <c r="G273" s="38" t="n">
        <v>1436651</v>
      </c>
      <c r="H273" s="38" t="n">
        <v>923007</v>
      </c>
      <c r="I273" s="38" t="n">
        <v>1240702</v>
      </c>
      <c r="J273" s="19">
        <f>(I273-H273)/1000</f>
        <v/>
      </c>
      <c r="K273" s="16" t="inlineStr">
        <is>
          <t>Yes</t>
        </is>
      </c>
      <c r="L273" s="16" t="n">
        <v>77</v>
      </c>
      <c r="M273" s="39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4" ht="199" customHeight="1">
      <c r="A274" s="16" t="inlineStr">
        <is>
          <t>12 Jun</t>
        </is>
      </c>
      <c r="B274" s="16" t="inlineStr">
        <is>
          <t>30176</t>
        </is>
      </c>
      <c r="C274" s="16" t="n">
        <v>27032</v>
      </c>
      <c r="D274" s="16" t="n">
        <v>26502</v>
      </c>
      <c r="E274" s="16" t="n">
        <v>26502</v>
      </c>
      <c r="F274" s="38" t="n">
        <v>920737</v>
      </c>
      <c r="G274" s="38" t="n">
        <v>1172547</v>
      </c>
      <c r="H274" s="38" t="n">
        <v>920737</v>
      </c>
      <c r="I274" s="38" t="n">
        <v>1172547</v>
      </c>
      <c r="J274" s="19">
        <f>(I274-H274)/1000</f>
        <v/>
      </c>
      <c r="K274" s="16" t="inlineStr">
        <is>
          <t>Yes</t>
        </is>
      </c>
      <c r="L274" s="16" t="n">
        <v>62</v>
      </c>
      <c r="M274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75" ht="199" customHeight="1">
      <c r="A275" s="16" t="inlineStr">
        <is>
          <t>12 Jun</t>
        </is>
      </c>
      <c r="B275" s="16" t="inlineStr">
        <is>
          <t>37257</t>
        </is>
      </c>
      <c r="C275" s="16" t="n">
        <v>19758</v>
      </c>
      <c r="D275" s="16" t="n">
        <v>19371</v>
      </c>
      <c r="E275" s="16" t="n">
        <v>19371</v>
      </c>
      <c r="F275" s="38" t="n">
        <v>921717</v>
      </c>
      <c r="G275" s="38" t="n">
        <v>1172539</v>
      </c>
      <c r="H275" s="38" t="n">
        <v>921717</v>
      </c>
      <c r="I275" s="38" t="n">
        <v>1172539</v>
      </c>
      <c r="J275" s="19">
        <f>(I275-H275)/1000</f>
        <v/>
      </c>
      <c r="K275" s="16" t="inlineStr">
        <is>
          <t>Yes</t>
        </is>
      </c>
      <c r="L275" s="16" t="n">
        <v>62</v>
      </c>
      <c r="M275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76" ht="184" customHeight="1">
      <c r="A276" s="16" t="inlineStr">
        <is>
          <t>12 Jun</t>
        </is>
      </c>
      <c r="B276" s="16" t="inlineStr">
        <is>
          <t>37361</t>
        </is>
      </c>
      <c r="C276" s="16" t="n">
        <v>9024</v>
      </c>
      <c r="D276" s="16" t="n">
        <v>9016</v>
      </c>
      <c r="E276" s="16" t="n">
        <v>8718</v>
      </c>
      <c r="F276" s="38" t="n">
        <v>696243</v>
      </c>
      <c r="G276" s="38" t="n">
        <v>921317</v>
      </c>
      <c r="H276" s="38" t="n">
        <v>699071</v>
      </c>
      <c r="I276" s="38" t="n">
        <v>921317</v>
      </c>
      <c r="J276" s="19">
        <f>(I276-H276)/1000</f>
        <v/>
      </c>
      <c r="K276" s="16" t="inlineStr">
        <is>
          <t>Yes</t>
        </is>
      </c>
      <c r="L276" s="16" t="n">
        <v>47</v>
      </c>
      <c r="M27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77" ht="184" customHeight="1">
      <c r="A277" s="16" t="inlineStr">
        <is>
          <t>12 Jun</t>
        </is>
      </c>
      <c r="B277" s="16" t="inlineStr">
        <is>
          <t>37493</t>
        </is>
      </c>
      <c r="C277" s="16" t="n">
        <v>6969</v>
      </c>
      <c r="D277" s="16" t="n">
        <v>6969</v>
      </c>
      <c r="E277" s="16" t="n">
        <v>5923</v>
      </c>
      <c r="F277" s="38" t="n">
        <v>656384</v>
      </c>
      <c r="G277" s="38" t="n">
        <v>897108</v>
      </c>
      <c r="H277" s="38" t="n">
        <v>699076</v>
      </c>
      <c r="I277" s="38" t="n">
        <v>897108</v>
      </c>
      <c r="J277" s="19">
        <f>(I277-H277)/1000</f>
        <v/>
      </c>
      <c r="K277" s="16" t="inlineStr">
        <is>
          <t>Yes</t>
        </is>
      </c>
      <c r="L277" s="16" t="n">
        <v>42</v>
      </c>
      <c r="M27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...(+32 more)</t>
        </is>
      </c>
    </row>
    <row r="278" ht="184" customHeight="1">
      <c r="A278" s="16" t="inlineStr">
        <is>
          <t>12 Jun</t>
        </is>
      </c>
      <c r="B278" s="16" t="inlineStr">
        <is>
          <t>30752</t>
        </is>
      </c>
      <c r="C278" s="16" t="n">
        <v>12462</v>
      </c>
      <c r="D278" s="16" t="n">
        <v>12459</v>
      </c>
      <c r="E278" s="16" t="n">
        <v>12459</v>
      </c>
      <c r="F278" s="38" t="n">
        <v>920681</v>
      </c>
      <c r="G278" s="38" t="n">
        <v>1107811</v>
      </c>
      <c r="H278" s="38" t="n">
        <v>920681</v>
      </c>
      <c r="I278" s="38" t="n">
        <v>1107811</v>
      </c>
      <c r="J278" s="19">
        <f>(I278-H278)/1000</f>
        <v/>
      </c>
      <c r="K278" s="16" t="inlineStr">
        <is>
          <t>Yes</t>
        </is>
      </c>
      <c r="L278" s="16" t="n">
        <v>48</v>
      </c>
      <c r="M27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  ...(+26 more)</t>
        </is>
      </c>
    </row>
    <row r="279" ht="184" customHeight="1">
      <c r="A279" s="16" t="inlineStr">
        <is>
          <t>12 Jun</t>
        </is>
      </c>
      <c r="B279" s="16" t="inlineStr">
        <is>
          <t>39108</t>
        </is>
      </c>
      <c r="C279" s="16" t="n">
        <v>9664</v>
      </c>
      <c r="D279" s="16" t="n">
        <v>9611</v>
      </c>
      <c r="E279" s="16" t="n">
        <v>9611</v>
      </c>
      <c r="F279" s="38" t="n">
        <v>920363</v>
      </c>
      <c r="G279" s="38" t="n">
        <v>1029031</v>
      </c>
      <c r="H279" s="38" t="n">
        <v>920363</v>
      </c>
      <c r="I279" s="38" t="n">
        <v>1029031</v>
      </c>
      <c r="J279" s="19">
        <f>(I279-H279)/1000</f>
        <v/>
      </c>
      <c r="K279" s="16" t="inlineStr">
        <is>
          <t>Yes</t>
        </is>
      </c>
      <c r="L279" s="16" t="n">
        <v>31</v>
      </c>
      <c r="M27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80" ht="184" customHeight="1">
      <c r="A280" s="16" t="inlineStr">
        <is>
          <t>12 Jun</t>
        </is>
      </c>
      <c r="B280" s="16" t="inlineStr">
        <is>
          <t>37056</t>
        </is>
      </c>
      <c r="C280" s="16" t="n">
        <v>10196</v>
      </c>
      <c r="D280" s="16" t="n">
        <v>10170</v>
      </c>
      <c r="E280" s="16" t="n">
        <v>10170</v>
      </c>
      <c r="F280" s="38" t="n">
        <v>920373</v>
      </c>
      <c r="G280" s="38" t="n">
        <v>1028910</v>
      </c>
      <c r="H280" s="38" t="n">
        <v>920373</v>
      </c>
      <c r="I280" s="38" t="n">
        <v>1028910</v>
      </c>
      <c r="J280" s="19">
        <f>(I280-H280)/1000</f>
        <v/>
      </c>
      <c r="K280" s="16" t="inlineStr">
        <is>
          <t>Yes</t>
        </is>
      </c>
      <c r="L280" s="16" t="n">
        <v>31</v>
      </c>
      <c r="M28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81" ht="184" customHeight="1">
      <c r="A281" s="16" t="inlineStr">
        <is>
          <t>12 Jun</t>
        </is>
      </c>
      <c r="B281" s="16" t="inlineStr">
        <is>
          <t>30339</t>
        </is>
      </c>
      <c r="C281" s="16" t="n">
        <v>1869</v>
      </c>
      <c r="D281" s="16" t="n">
        <v>1869</v>
      </c>
      <c r="E281" s="16" t="n">
        <v>1869</v>
      </c>
      <c r="F281" s="38" t="n">
        <v>981286</v>
      </c>
      <c r="G281" s="38" t="n">
        <v>1020839</v>
      </c>
      <c r="H281" s="38" t="n">
        <v>981286</v>
      </c>
      <c r="I281" s="38" t="n">
        <v>1020839</v>
      </c>
      <c r="J281" s="19">
        <f>(I281-H281)/1000</f>
        <v/>
      </c>
      <c r="K281" s="16" t="inlineStr">
        <is>
          <t>Yes</t>
        </is>
      </c>
      <c r="L281" s="16" t="n">
        <v>11</v>
      </c>
      <c r="M28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LC-136W  ...(+63 more)</t>
        </is>
      </c>
    </row>
    <row r="282" ht="184" customHeight="1">
      <c r="A282" s="16" t="inlineStr">
        <is>
          <t>12 Jun</t>
        </is>
      </c>
      <c r="B282" s="16" t="inlineStr">
        <is>
          <t>37458</t>
        </is>
      </c>
      <c r="C282" s="16" t="n">
        <v>384</v>
      </c>
      <c r="D282" s="16" t="n">
        <v>382</v>
      </c>
      <c r="E282" s="16" t="n">
        <v>218</v>
      </c>
      <c r="F282" s="38" t="n">
        <v>1229584</v>
      </c>
      <c r="G282" s="38" t="n">
        <v>1305870</v>
      </c>
      <c r="H282" s="38" t="n">
        <v>1229584</v>
      </c>
      <c r="I282" s="38" t="n">
        <v>1243856</v>
      </c>
      <c r="J282" s="19">
        <f>(I282-H282)/1000</f>
        <v/>
      </c>
      <c r="K282" s="16" t="inlineStr">
        <is>
          <t>Yes</t>
        </is>
      </c>
      <c r="L282" s="16" t="n">
        <v>4</v>
      </c>
      <c r="M282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283" ht="184" customHeight="1">
      <c r="A283" s="16" t="inlineStr">
        <is>
          <t>12 Jun</t>
        </is>
      </c>
      <c r="B283" s="16" t="inlineStr">
        <is>
          <t>37618</t>
        </is>
      </c>
      <c r="C283" s="16" t="n">
        <v>1727</v>
      </c>
      <c r="D283" s="16" t="n">
        <v>1669</v>
      </c>
      <c r="E283" s="16" t="n">
        <v>38</v>
      </c>
      <c r="F283" s="38" t="n">
        <v>1231127</v>
      </c>
      <c r="G283" s="38" t="n">
        <v>1528843</v>
      </c>
      <c r="H283" s="38" t="n">
        <v>1231127</v>
      </c>
      <c r="I283" s="38" t="n">
        <v>1243268</v>
      </c>
      <c r="J283" s="19">
        <f>(I283-H283)/1000</f>
        <v/>
      </c>
      <c r="K283" s="16" t="inlineStr">
        <is>
          <t>Yes</t>
        </is>
      </c>
      <c r="L283" s="16" t="n">
        <v>3</v>
      </c>
      <c r="M283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284" ht="199" customHeight="1">
      <c r="A284" s="16" t="inlineStr">
        <is>
          <t>12 Jun</t>
        </is>
      </c>
      <c r="B284" s="16" t="inlineStr">
        <is>
          <t>39161</t>
        </is>
      </c>
      <c r="C284" s="16" t="n">
        <v>142</v>
      </c>
      <c r="D284" s="16" t="n">
        <v>142</v>
      </c>
      <c r="E284" s="16" t="n">
        <v>142</v>
      </c>
      <c r="F284" s="38" t="n">
        <v>1159389</v>
      </c>
      <c r="G284" s="38" t="n">
        <v>1171240</v>
      </c>
      <c r="H284" s="38" t="n">
        <v>1159389</v>
      </c>
      <c r="I284" s="38" t="n">
        <v>1171240</v>
      </c>
      <c r="J284" s="19">
        <f>(I284-H284)/1000</f>
        <v/>
      </c>
      <c r="K284" s="16" t="inlineStr">
        <is>
          <t>Yes</t>
        </is>
      </c>
      <c r="L284" s="16" t="n">
        <v>5</v>
      </c>
      <c r="M284" s="39" t="inlineStr">
        <is>
          <t>IBH 265, Murhesi Rampur(MSRP), IBH/LC-258, Jajjanpatti(JJA), DhaurmuiJaghina(DUM), IBH-247, Bharatpur Jn.(BTE), IBH-242, Sewar(SWAR), IBH-JCU, LC-232, Pingora(PNGR), IBH-229, 2.35 KM from KEV, Kela Devi(KEV), IBH-224,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  ...(+69 more)</t>
        </is>
      </c>
    </row>
    <row r="285" ht="184" customHeight="1">
      <c r="A285" s="16" t="inlineStr">
        <is>
          <t>12 Jun</t>
        </is>
      </c>
      <c r="B285" s="16" t="inlineStr">
        <is>
          <t>39516</t>
        </is>
      </c>
      <c r="C285" s="16" t="n">
        <v>213</v>
      </c>
      <c r="D285" s="16" t="n">
        <v>213</v>
      </c>
      <c r="E285" s="16" t="n">
        <v>72</v>
      </c>
      <c r="F285" s="38" t="n">
        <v>1232925</v>
      </c>
      <c r="G285" s="38" t="n">
        <v>1268548</v>
      </c>
      <c r="H285" s="38" t="n">
        <v>1232925</v>
      </c>
      <c r="I285" s="38" t="n">
        <v>1243946</v>
      </c>
      <c r="J285" s="19">
        <f>(I285-H285)/1000</f>
        <v/>
      </c>
      <c r="K285" s="16" t="inlineStr">
        <is>
          <t>Yes</t>
        </is>
      </c>
      <c r="L285" s="16" t="n">
        <v>3</v>
      </c>
      <c r="M285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286" ht="184" customHeight="1">
      <c r="A286" s="16" t="inlineStr">
        <is>
          <t>12 Jun</t>
        </is>
      </c>
      <c r="B286" s="16" t="inlineStr">
        <is>
          <t>37369</t>
        </is>
      </c>
      <c r="C286" s="16" t="n">
        <v>175</v>
      </c>
      <c r="D286" s="16" t="n">
        <v>166</v>
      </c>
      <c r="E286" s="16" t="n">
        <v>166</v>
      </c>
      <c r="F286" s="38" t="n">
        <v>1022565</v>
      </c>
      <c r="G286" s="38" t="n">
        <v>1028405</v>
      </c>
      <c r="H286" s="38" t="n">
        <v>1022565</v>
      </c>
      <c r="I286" s="38" t="n">
        <v>1028405</v>
      </c>
      <c r="J286" s="19">
        <f>(I286-H286)/1000</f>
        <v/>
      </c>
      <c r="K286" s="16" t="inlineStr">
        <is>
          <t>Yes</t>
        </is>
      </c>
      <c r="L286" s="16" t="n">
        <v>3</v>
      </c>
      <c r="M28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IBH-RWJ, 2.0 KM from RWJ, RawanjnaDungar(RWJ)  ...(+71 more)</t>
        </is>
      </c>
    </row>
    <row r="287" ht="184" customHeight="1">
      <c r="A287" s="16" t="inlineStr">
        <is>
          <t>12 Jun</t>
        </is>
      </c>
      <c r="B287" s="16" t="inlineStr">
        <is>
          <t>37903</t>
        </is>
      </c>
      <c r="C287" s="16" t="n">
        <v>115</v>
      </c>
      <c r="D287" s="16" t="n">
        <v>3</v>
      </c>
      <c r="E287" s="16" t="n">
        <v>3</v>
      </c>
      <c r="F287" s="38" t="n">
        <v>1027818</v>
      </c>
      <c r="G287" s="38" t="n">
        <v>1028486</v>
      </c>
      <c r="H287" s="38" t="n">
        <v>1027818</v>
      </c>
      <c r="I287" s="38" t="n">
        <v>1028486</v>
      </c>
      <c r="J287" s="19">
        <f>(I287-H287)/1000</f>
        <v/>
      </c>
      <c r="K287" s="16" t="inlineStr">
        <is>
          <t>Yes</t>
        </is>
      </c>
      <c r="L287" s="16" t="n">
        <v>1</v>
      </c>
      <c r="M28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LC-148, Kushtala(KTA), IBH-RWJ  ...(+73 more)</t>
        </is>
      </c>
    </row>
    <row r="288" ht="184" customHeight="1">
      <c r="A288" s="16" t="inlineStr">
        <is>
          <t>12 Jun</t>
        </is>
      </c>
      <c r="B288" s="16" t="inlineStr">
        <is>
          <t>30391</t>
        </is>
      </c>
      <c r="C288" s="16" t="n">
        <v>65</v>
      </c>
      <c r="D288" s="16" t="n">
        <v>7</v>
      </c>
      <c r="E288" s="16" t="n">
        <v>7</v>
      </c>
      <c r="F288" s="38" t="n">
        <v>1027791</v>
      </c>
      <c r="G288" s="38" t="n">
        <v>1027850</v>
      </c>
      <c r="H288" s="38" t="n">
        <v>1027791</v>
      </c>
      <c r="I288" s="38" t="n">
        <v>1027850</v>
      </c>
      <c r="J288" s="19">
        <f>(I288-H288)/1000</f>
        <v/>
      </c>
      <c r="K288" s="16" t="inlineStr">
        <is>
          <t>Yes</t>
        </is>
      </c>
      <c r="L288" s="16" t="n">
        <v>1</v>
      </c>
      <c r="M28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LC-148, Kushtala(KTA), IBH-RWJ  ...(+73 more)</t>
        </is>
      </c>
    </row>
    <row r="289" ht="184" customHeight="1">
      <c r="A289" s="31" t="inlineStr">
        <is>
          <t>12 Jun</t>
        </is>
      </c>
      <c r="B289" s="31" t="inlineStr">
        <is>
          <t>30006</t>
        </is>
      </c>
      <c r="C289" s="31" t="n">
        <v>619</v>
      </c>
      <c r="D289" s="31" t="n">
        <v>618</v>
      </c>
      <c r="E289" s="31" t="n">
        <v>0</v>
      </c>
      <c r="F289" s="40" t="n">
        <v>1401325</v>
      </c>
      <c r="G289" s="40" t="n">
        <v>1438744</v>
      </c>
      <c r="H289" s="40" t="inlineStr">
        <is>
          <t>-</t>
        </is>
      </c>
      <c r="I289" s="40" t="inlineStr">
        <is>
          <t>-</t>
        </is>
      </c>
      <c r="J289" s="41" t="n">
        <v>0</v>
      </c>
      <c r="K289" s="31" t="inlineStr">
        <is>
          <t>No</t>
        </is>
      </c>
      <c r="L289" s="31" t="n">
        <v>0</v>
      </c>
      <c r="M2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0" ht="184" customHeight="1">
      <c r="A290" s="31" t="inlineStr">
        <is>
          <t>12 Jun</t>
        </is>
      </c>
      <c r="B290" s="31" t="inlineStr">
        <is>
          <t>30197</t>
        </is>
      </c>
      <c r="C290" s="31" t="n">
        <v>427</v>
      </c>
      <c r="D290" s="31" t="n">
        <v>426</v>
      </c>
      <c r="E290" s="31" t="n">
        <v>0</v>
      </c>
      <c r="F290" s="40" t="n">
        <v>145452</v>
      </c>
      <c r="G290" s="40" t="n">
        <v>145452</v>
      </c>
      <c r="H290" s="40" t="inlineStr">
        <is>
          <t>-</t>
        </is>
      </c>
      <c r="I290" s="40" t="inlineStr">
        <is>
          <t>-</t>
        </is>
      </c>
      <c r="J290" s="41" t="n">
        <v>0</v>
      </c>
      <c r="K290" s="31" t="inlineStr">
        <is>
          <t>No</t>
        </is>
      </c>
      <c r="L290" s="31" t="n">
        <v>0</v>
      </c>
      <c r="M2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1" ht="184" customHeight="1">
      <c r="A291" s="31" t="inlineStr">
        <is>
          <t>12 Jun</t>
        </is>
      </c>
      <c r="B291" s="31" t="inlineStr">
        <is>
          <t>30220</t>
        </is>
      </c>
      <c r="C291" s="31" t="n">
        <v>2170</v>
      </c>
      <c r="D291" s="31" t="n">
        <v>1042</v>
      </c>
      <c r="E291" s="31" t="n">
        <v>0</v>
      </c>
      <c r="F291" s="40" t="n">
        <v>1274246</v>
      </c>
      <c r="G291" s="40" t="n">
        <v>1436517</v>
      </c>
      <c r="H291" s="40" t="inlineStr">
        <is>
          <t>-</t>
        </is>
      </c>
      <c r="I291" s="40" t="inlineStr">
        <is>
          <t>-</t>
        </is>
      </c>
      <c r="J291" s="41" t="n">
        <v>0</v>
      </c>
      <c r="K291" s="31" t="inlineStr">
        <is>
          <t>No</t>
        </is>
      </c>
      <c r="L291" s="31" t="n">
        <v>0</v>
      </c>
      <c r="M2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2" ht="184" customHeight="1">
      <c r="A292" s="31" t="inlineStr">
        <is>
          <t>12 Jun</t>
        </is>
      </c>
      <c r="B292" s="31" t="inlineStr">
        <is>
          <t>30232</t>
        </is>
      </c>
      <c r="C292" s="31" t="n">
        <v>91</v>
      </c>
      <c r="D292" s="31" t="n">
        <v>91</v>
      </c>
      <c r="E292" s="31" t="n">
        <v>0</v>
      </c>
      <c r="F292" s="40" t="n">
        <v>1308772</v>
      </c>
      <c r="G292" s="40" t="n">
        <v>1377747</v>
      </c>
      <c r="H292" s="40" t="inlineStr">
        <is>
          <t>-</t>
        </is>
      </c>
      <c r="I292" s="40" t="inlineStr">
        <is>
          <t>-</t>
        </is>
      </c>
      <c r="J292" s="41" t="n">
        <v>0</v>
      </c>
      <c r="K292" s="31" t="inlineStr">
        <is>
          <t>No</t>
        </is>
      </c>
      <c r="L292" s="31" t="n">
        <v>0</v>
      </c>
      <c r="M2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3" ht="184" customHeight="1">
      <c r="A293" s="31" t="inlineStr">
        <is>
          <t>12 Jun</t>
        </is>
      </c>
      <c r="B293" s="31" t="inlineStr">
        <is>
          <t>30344</t>
        </is>
      </c>
      <c r="C293" s="31" t="n">
        <v>5</v>
      </c>
      <c r="D293" s="31" t="n">
        <v>0</v>
      </c>
      <c r="E293" s="31" t="n">
        <v>0</v>
      </c>
      <c r="F293" s="40" t="inlineStr">
        <is>
          <t>-</t>
        </is>
      </c>
      <c r="G293" s="40" t="inlineStr">
        <is>
          <t>-</t>
        </is>
      </c>
      <c r="H293" s="40" t="inlineStr">
        <is>
          <t>-</t>
        </is>
      </c>
      <c r="I293" s="40" t="inlineStr">
        <is>
          <t>-</t>
        </is>
      </c>
      <c r="J293" s="41" t="n">
        <v>0</v>
      </c>
      <c r="K293" s="31" t="inlineStr">
        <is>
          <t>No</t>
        </is>
      </c>
      <c r="L293" s="31" t="n">
        <v>0</v>
      </c>
      <c r="M2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4" ht="184" customHeight="1">
      <c r="A294" s="31" t="inlineStr">
        <is>
          <t>12 Jun</t>
        </is>
      </c>
      <c r="B294" s="31" t="inlineStr">
        <is>
          <t>30383</t>
        </is>
      </c>
      <c r="C294" s="31" t="n">
        <v>1427</v>
      </c>
      <c r="D294" s="31" t="n">
        <v>262</v>
      </c>
      <c r="E294" s="31" t="n">
        <v>1</v>
      </c>
      <c r="F294" s="40" t="n">
        <v>1235962</v>
      </c>
      <c r="G294" s="40" t="n">
        <v>1436178</v>
      </c>
      <c r="H294" s="40" t="inlineStr">
        <is>
          <t>-</t>
        </is>
      </c>
      <c r="I294" s="40" t="inlineStr">
        <is>
          <t>-</t>
        </is>
      </c>
      <c r="J294" s="41" t="n">
        <v>0</v>
      </c>
      <c r="K294" s="31" t="inlineStr">
        <is>
          <t>No</t>
        </is>
      </c>
      <c r="L294" s="31" t="n">
        <v>1</v>
      </c>
      <c r="M294" s="42" t="inlineStr">
        <is>
          <t>IBH 265,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295" ht="184" customHeight="1">
      <c r="A295" s="31" t="inlineStr">
        <is>
          <t>12 Jun</t>
        </is>
      </c>
      <c r="B295" s="31" t="inlineStr">
        <is>
          <t>30388</t>
        </is>
      </c>
      <c r="C295" s="31" t="n">
        <v>824</v>
      </c>
      <c r="D295" s="31" t="n">
        <v>823</v>
      </c>
      <c r="E295" s="31" t="n">
        <v>0</v>
      </c>
      <c r="F295" s="40" t="n">
        <v>1401337</v>
      </c>
      <c r="G295" s="40" t="n">
        <v>1436755</v>
      </c>
      <c r="H295" s="40" t="inlineStr">
        <is>
          <t>-</t>
        </is>
      </c>
      <c r="I295" s="40" t="inlineStr">
        <is>
          <t>-</t>
        </is>
      </c>
      <c r="J295" s="41" t="n">
        <v>0</v>
      </c>
      <c r="K295" s="31" t="inlineStr">
        <is>
          <t>No</t>
        </is>
      </c>
      <c r="L295" s="31" t="n">
        <v>0</v>
      </c>
      <c r="M2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6" ht="184" customHeight="1">
      <c r="A296" s="31" t="inlineStr">
        <is>
          <t>12 Jun</t>
        </is>
      </c>
      <c r="B296" s="31" t="inlineStr">
        <is>
          <t>30405</t>
        </is>
      </c>
      <c r="C296" s="31" t="n">
        <v>5</v>
      </c>
      <c r="D296" s="31" t="n">
        <v>5</v>
      </c>
      <c r="E296" s="31" t="n">
        <v>0</v>
      </c>
      <c r="F296" s="40" t="n">
        <v>1405357</v>
      </c>
      <c r="G296" s="40" t="n">
        <v>1422658</v>
      </c>
      <c r="H296" s="40" t="inlineStr">
        <is>
          <t>-</t>
        </is>
      </c>
      <c r="I296" s="40" t="inlineStr">
        <is>
          <t>-</t>
        </is>
      </c>
      <c r="J296" s="41" t="n">
        <v>0</v>
      </c>
      <c r="K296" s="31" t="inlineStr">
        <is>
          <t>No</t>
        </is>
      </c>
      <c r="L296" s="31" t="n">
        <v>0</v>
      </c>
      <c r="M2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7" ht="184" customHeight="1">
      <c r="A297" s="31" t="inlineStr">
        <is>
          <t>12 Jun</t>
        </is>
      </c>
      <c r="B297" s="31" t="inlineStr">
        <is>
          <t>30533</t>
        </is>
      </c>
      <c r="C297" s="31" t="n">
        <v>1564</v>
      </c>
      <c r="D297" s="31" t="n">
        <v>1547</v>
      </c>
      <c r="E297" s="31" t="n">
        <v>0</v>
      </c>
      <c r="F297" s="40" t="n">
        <v>1594</v>
      </c>
      <c r="G297" s="40" t="n">
        <v>697372</v>
      </c>
      <c r="H297" s="40" t="inlineStr">
        <is>
          <t>-</t>
        </is>
      </c>
      <c r="I297" s="40" t="inlineStr">
        <is>
          <t>-</t>
        </is>
      </c>
      <c r="J297" s="41" t="n">
        <v>0</v>
      </c>
      <c r="K297" s="31" t="inlineStr">
        <is>
          <t>No</t>
        </is>
      </c>
      <c r="L297" s="31" t="n">
        <v>0</v>
      </c>
      <c r="M2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8" ht="184" customHeight="1">
      <c r="A298" s="31" t="inlineStr">
        <is>
          <t>12 Jun</t>
        </is>
      </c>
      <c r="B298" s="31" t="inlineStr">
        <is>
          <t>30537</t>
        </is>
      </c>
      <c r="C298" s="31" t="n">
        <v>532</v>
      </c>
      <c r="D298" s="31" t="n">
        <v>532</v>
      </c>
      <c r="E298" s="31" t="n">
        <v>0</v>
      </c>
      <c r="F298" s="40" t="n">
        <v>1401348</v>
      </c>
      <c r="G298" s="40" t="n">
        <v>1436233</v>
      </c>
      <c r="H298" s="40" t="inlineStr">
        <is>
          <t>-</t>
        </is>
      </c>
      <c r="I298" s="40" t="inlineStr">
        <is>
          <t>-</t>
        </is>
      </c>
      <c r="J298" s="41" t="n">
        <v>0</v>
      </c>
      <c r="K298" s="31" t="inlineStr">
        <is>
          <t>No</t>
        </is>
      </c>
      <c r="L298" s="31" t="n">
        <v>0</v>
      </c>
      <c r="M2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9" ht="184" customHeight="1">
      <c r="A299" s="31" t="inlineStr">
        <is>
          <t>12 Jun</t>
        </is>
      </c>
      <c r="B299" s="31" t="inlineStr">
        <is>
          <t>30635</t>
        </is>
      </c>
      <c r="C299" s="31" t="n">
        <v>1625</v>
      </c>
      <c r="D299" s="31" t="n">
        <v>1592</v>
      </c>
      <c r="E299" s="31" t="n">
        <v>0</v>
      </c>
      <c r="F299" s="40" t="n">
        <v>1594</v>
      </c>
      <c r="G299" s="40" t="n">
        <v>697383</v>
      </c>
      <c r="H299" s="40" t="inlineStr">
        <is>
          <t>-</t>
        </is>
      </c>
      <c r="I299" s="40" t="inlineStr">
        <is>
          <t>-</t>
        </is>
      </c>
      <c r="J299" s="41" t="n">
        <v>0</v>
      </c>
      <c r="K299" s="31" t="inlineStr">
        <is>
          <t>No</t>
        </is>
      </c>
      <c r="L299" s="31" t="n">
        <v>0</v>
      </c>
      <c r="M2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0" ht="184" customHeight="1">
      <c r="A300" s="31" t="inlineStr">
        <is>
          <t>12 Jun</t>
        </is>
      </c>
      <c r="B300" s="31" t="inlineStr">
        <is>
          <t>30643</t>
        </is>
      </c>
      <c r="C300" s="31" t="n">
        <v>68</v>
      </c>
      <c r="D300" s="31" t="n">
        <v>68</v>
      </c>
      <c r="E300" s="31" t="n">
        <v>0</v>
      </c>
      <c r="F300" s="40" t="n">
        <v>1256172</v>
      </c>
      <c r="G300" s="40" t="n">
        <v>1311489</v>
      </c>
      <c r="H300" s="40" t="inlineStr">
        <is>
          <t>-</t>
        </is>
      </c>
      <c r="I300" s="40" t="inlineStr">
        <is>
          <t>-</t>
        </is>
      </c>
      <c r="J300" s="41" t="n">
        <v>0</v>
      </c>
      <c r="K300" s="31" t="inlineStr">
        <is>
          <t>No</t>
        </is>
      </c>
      <c r="L300" s="31" t="n">
        <v>0</v>
      </c>
      <c r="M3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1" ht="184" customHeight="1">
      <c r="A301" s="31" t="inlineStr">
        <is>
          <t>12 Jun</t>
        </is>
      </c>
      <c r="B301" s="31" t="inlineStr">
        <is>
          <t>30715</t>
        </is>
      </c>
      <c r="C301" s="31" t="n">
        <v>347</v>
      </c>
      <c r="D301" s="31" t="n">
        <v>346</v>
      </c>
      <c r="E301" s="31" t="n">
        <v>0</v>
      </c>
      <c r="F301" s="40" t="n">
        <v>1401374</v>
      </c>
      <c r="G301" s="40" t="n">
        <v>1417316</v>
      </c>
      <c r="H301" s="40" t="inlineStr">
        <is>
          <t>-</t>
        </is>
      </c>
      <c r="I301" s="40" t="inlineStr">
        <is>
          <t>-</t>
        </is>
      </c>
      <c r="J301" s="41" t="n">
        <v>0</v>
      </c>
      <c r="K301" s="31" t="inlineStr">
        <is>
          <t>No</t>
        </is>
      </c>
      <c r="L301" s="31" t="n">
        <v>0</v>
      </c>
      <c r="M3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2" ht="184" customHeight="1">
      <c r="A302" s="31" t="inlineStr">
        <is>
          <t>12 Jun</t>
        </is>
      </c>
      <c r="B302" s="31" t="inlineStr">
        <is>
          <t>30822</t>
        </is>
      </c>
      <c r="C302" s="31" t="n">
        <v>678</v>
      </c>
      <c r="D302" s="31" t="n">
        <v>677</v>
      </c>
      <c r="E302" s="31" t="n">
        <v>0</v>
      </c>
      <c r="F302" s="40" t="n">
        <v>1401430</v>
      </c>
      <c r="G302" s="40" t="n">
        <v>1436822</v>
      </c>
      <c r="H302" s="40" t="inlineStr">
        <is>
          <t>-</t>
        </is>
      </c>
      <c r="I302" s="40" t="inlineStr">
        <is>
          <t>-</t>
        </is>
      </c>
      <c r="J302" s="41" t="n">
        <v>0</v>
      </c>
      <c r="K302" s="31" t="inlineStr">
        <is>
          <t>No</t>
        </is>
      </c>
      <c r="L302" s="31" t="n">
        <v>0</v>
      </c>
      <c r="M3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3" ht="184" customHeight="1">
      <c r="A303" s="31" t="inlineStr">
        <is>
          <t>12 Jun</t>
        </is>
      </c>
      <c r="B303" s="31" t="inlineStr">
        <is>
          <t>37012</t>
        </is>
      </c>
      <c r="C303" s="31" t="n">
        <v>320</v>
      </c>
      <c r="D303" s="31" t="n">
        <v>319</v>
      </c>
      <c r="E303" s="31" t="n">
        <v>0</v>
      </c>
      <c r="F303" s="40" t="n">
        <v>1401437</v>
      </c>
      <c r="G303" s="40" t="n">
        <v>1427615</v>
      </c>
      <c r="H303" s="40" t="inlineStr">
        <is>
          <t>-</t>
        </is>
      </c>
      <c r="I303" s="40" t="inlineStr">
        <is>
          <t>-</t>
        </is>
      </c>
      <c r="J303" s="41" t="n">
        <v>0</v>
      </c>
      <c r="K303" s="31" t="inlineStr">
        <is>
          <t>No</t>
        </is>
      </c>
      <c r="L303" s="31" t="n">
        <v>0</v>
      </c>
      <c r="M3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4" ht="184" customHeight="1">
      <c r="A304" s="31" t="inlineStr">
        <is>
          <t>12 Jun</t>
        </is>
      </c>
      <c r="B304" s="31" t="inlineStr">
        <is>
          <t>37120</t>
        </is>
      </c>
      <c r="C304" s="31" t="n">
        <v>462</v>
      </c>
      <c r="D304" s="31" t="n">
        <v>462</v>
      </c>
      <c r="E304" s="31" t="n">
        <v>0</v>
      </c>
      <c r="F304" s="40" t="n">
        <v>1401346</v>
      </c>
      <c r="G304" s="40" t="n">
        <v>1426356</v>
      </c>
      <c r="H304" s="40" t="inlineStr">
        <is>
          <t>-</t>
        </is>
      </c>
      <c r="I304" s="40" t="inlineStr">
        <is>
          <t>-</t>
        </is>
      </c>
      <c r="J304" s="41" t="n">
        <v>0</v>
      </c>
      <c r="K304" s="31" t="inlineStr">
        <is>
          <t>No</t>
        </is>
      </c>
      <c r="L304" s="31" t="n">
        <v>0</v>
      </c>
      <c r="M3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5" ht="184" customHeight="1">
      <c r="A305" s="31" t="inlineStr">
        <is>
          <t>12 Jun</t>
        </is>
      </c>
      <c r="B305" s="31" t="inlineStr">
        <is>
          <t>37189</t>
        </is>
      </c>
      <c r="C305" s="31" t="n">
        <v>866</v>
      </c>
      <c r="D305" s="31" t="n">
        <v>865</v>
      </c>
      <c r="E305" s="31" t="n">
        <v>0</v>
      </c>
      <c r="F305" s="40" t="n">
        <v>1401344</v>
      </c>
      <c r="G305" s="40" t="n">
        <v>1516572</v>
      </c>
      <c r="H305" s="40" t="inlineStr">
        <is>
          <t>-</t>
        </is>
      </c>
      <c r="I305" s="40" t="inlineStr">
        <is>
          <t>-</t>
        </is>
      </c>
      <c r="J305" s="41" t="n">
        <v>0</v>
      </c>
      <c r="K305" s="31" t="inlineStr">
        <is>
          <t>No</t>
        </is>
      </c>
      <c r="L305" s="31" t="n">
        <v>0</v>
      </c>
      <c r="M3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6" ht="184" customHeight="1">
      <c r="A306" s="31" t="inlineStr">
        <is>
          <t>12 Jun</t>
        </is>
      </c>
      <c r="B306" s="31" t="inlineStr">
        <is>
          <t>37249</t>
        </is>
      </c>
      <c r="C306" s="31" t="n">
        <v>1612</v>
      </c>
      <c r="D306" s="31" t="n">
        <v>258</v>
      </c>
      <c r="E306" s="31" t="n">
        <v>0</v>
      </c>
      <c r="F306" s="40" t="n">
        <v>1401565</v>
      </c>
      <c r="G306" s="40" t="n">
        <v>1436004</v>
      </c>
      <c r="H306" s="40" t="inlineStr">
        <is>
          <t>-</t>
        </is>
      </c>
      <c r="I306" s="40" t="inlineStr">
        <is>
          <t>-</t>
        </is>
      </c>
      <c r="J306" s="41" t="n">
        <v>0</v>
      </c>
      <c r="K306" s="31" t="inlineStr">
        <is>
          <t>No</t>
        </is>
      </c>
      <c r="L306" s="31" t="n">
        <v>0</v>
      </c>
      <c r="M3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7" ht="184" customHeight="1">
      <c r="A307" s="31" t="inlineStr">
        <is>
          <t>12 Jun</t>
        </is>
      </c>
      <c r="B307" s="31" t="inlineStr">
        <is>
          <t>37313</t>
        </is>
      </c>
      <c r="C307" s="31" t="n">
        <v>253</v>
      </c>
      <c r="D307" s="31" t="n">
        <v>253</v>
      </c>
      <c r="E307" s="31" t="n">
        <v>0</v>
      </c>
      <c r="F307" s="40" t="n">
        <v>1401769</v>
      </c>
      <c r="G307" s="40" t="n">
        <v>1518589</v>
      </c>
      <c r="H307" s="40" t="inlineStr">
        <is>
          <t>-</t>
        </is>
      </c>
      <c r="I307" s="40" t="inlineStr">
        <is>
          <t>-</t>
        </is>
      </c>
      <c r="J307" s="41" t="n">
        <v>0</v>
      </c>
      <c r="K307" s="31" t="inlineStr">
        <is>
          <t>No</t>
        </is>
      </c>
      <c r="L307" s="31" t="n">
        <v>0</v>
      </c>
      <c r="M30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8" ht="184" customHeight="1">
      <c r="A308" s="31" t="inlineStr">
        <is>
          <t>12 Jun</t>
        </is>
      </c>
      <c r="B308" s="31" t="inlineStr">
        <is>
          <t>37424</t>
        </is>
      </c>
      <c r="C308" s="31" t="n">
        <v>1767</v>
      </c>
      <c r="D308" s="31" t="n">
        <v>1748</v>
      </c>
      <c r="E308" s="31" t="n">
        <v>0</v>
      </c>
      <c r="F308" s="40" t="n">
        <v>1626</v>
      </c>
      <c r="G308" s="40" t="n">
        <v>697367</v>
      </c>
      <c r="H308" s="40" t="inlineStr">
        <is>
          <t>-</t>
        </is>
      </c>
      <c r="I308" s="40" t="inlineStr">
        <is>
          <t>-</t>
        </is>
      </c>
      <c r="J308" s="41" t="n">
        <v>0</v>
      </c>
      <c r="K308" s="31" t="inlineStr">
        <is>
          <t>No</t>
        </is>
      </c>
      <c r="L308" s="31" t="n">
        <v>0</v>
      </c>
      <c r="M30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9" ht="184" customHeight="1">
      <c r="A309" s="31" t="inlineStr">
        <is>
          <t>12 Jun</t>
        </is>
      </c>
      <c r="B309" s="31" t="inlineStr">
        <is>
          <t>37560</t>
        </is>
      </c>
      <c r="C309" s="31" t="n">
        <v>1690</v>
      </c>
      <c r="D309" s="31" t="n">
        <v>1690</v>
      </c>
      <c r="E309" s="31" t="n">
        <v>0</v>
      </c>
      <c r="F309" s="40" t="n">
        <v>1355641</v>
      </c>
      <c r="G309" s="40" t="n">
        <v>1436303</v>
      </c>
      <c r="H309" s="40" t="inlineStr">
        <is>
          <t>-</t>
        </is>
      </c>
      <c r="I309" s="40" t="inlineStr">
        <is>
          <t>-</t>
        </is>
      </c>
      <c r="J309" s="41" t="n">
        <v>0</v>
      </c>
      <c r="K309" s="31" t="inlineStr">
        <is>
          <t>No</t>
        </is>
      </c>
      <c r="L309" s="31" t="n">
        <v>0</v>
      </c>
      <c r="M3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0" ht="184" customHeight="1">
      <c r="A310" s="31" t="inlineStr">
        <is>
          <t>12 Jun</t>
        </is>
      </c>
      <c r="B310" s="31" t="inlineStr">
        <is>
          <t>37656</t>
        </is>
      </c>
      <c r="C310" s="31" t="n">
        <v>541</v>
      </c>
      <c r="D310" s="31" t="n">
        <v>491</v>
      </c>
      <c r="E310" s="31" t="n">
        <v>0</v>
      </c>
      <c r="F310" s="40" t="n">
        <v>1891</v>
      </c>
      <c r="G310" s="40" t="n">
        <v>697891</v>
      </c>
      <c r="H310" s="40" t="inlineStr">
        <is>
          <t>-</t>
        </is>
      </c>
      <c r="I310" s="40" t="inlineStr">
        <is>
          <t>-</t>
        </is>
      </c>
      <c r="J310" s="41" t="n">
        <v>0</v>
      </c>
      <c r="K310" s="31" t="inlineStr">
        <is>
          <t>No</t>
        </is>
      </c>
      <c r="L310" s="31" t="n">
        <v>0</v>
      </c>
      <c r="M3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1" ht="184" customHeight="1">
      <c r="A311" s="31" t="inlineStr">
        <is>
          <t>12 Jun</t>
        </is>
      </c>
      <c r="B311" s="31" t="inlineStr">
        <is>
          <t>37922</t>
        </is>
      </c>
      <c r="C311" s="31" t="n">
        <v>585</v>
      </c>
      <c r="D311" s="31" t="n">
        <v>584</v>
      </c>
      <c r="E311" s="31" t="n">
        <v>0</v>
      </c>
      <c r="F311" s="40" t="n">
        <v>1401397</v>
      </c>
      <c r="G311" s="40" t="n">
        <v>1437247</v>
      </c>
      <c r="H311" s="40" t="inlineStr">
        <is>
          <t>-</t>
        </is>
      </c>
      <c r="I311" s="40" t="inlineStr">
        <is>
          <t>-</t>
        </is>
      </c>
      <c r="J311" s="41" t="n">
        <v>0</v>
      </c>
      <c r="K311" s="31" t="inlineStr">
        <is>
          <t>No</t>
        </is>
      </c>
      <c r="L311" s="31" t="n">
        <v>0</v>
      </c>
      <c r="M3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2" ht="184" customHeight="1">
      <c r="A312" s="31" t="inlineStr">
        <is>
          <t>12 Jun</t>
        </is>
      </c>
      <c r="B312" s="31" t="inlineStr">
        <is>
          <t>38096</t>
        </is>
      </c>
      <c r="C312" s="31" t="n">
        <v>23</v>
      </c>
      <c r="D312" s="31" t="n">
        <v>23</v>
      </c>
      <c r="E312" s="31" t="n">
        <v>0</v>
      </c>
      <c r="F312" s="40" t="n">
        <v>2500320</v>
      </c>
      <c r="G312" s="40" t="n">
        <v>2500573</v>
      </c>
      <c r="H312" s="40" t="inlineStr">
        <is>
          <t>-</t>
        </is>
      </c>
      <c r="I312" s="40" t="inlineStr">
        <is>
          <t>-</t>
        </is>
      </c>
      <c r="J312" s="41" t="n">
        <v>0</v>
      </c>
      <c r="K312" s="31" t="inlineStr">
        <is>
          <t>No</t>
        </is>
      </c>
      <c r="L312" s="31" t="n">
        <v>0</v>
      </c>
      <c r="M3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3" ht="184" customHeight="1">
      <c r="A313" s="31" t="inlineStr">
        <is>
          <t>12 Jun</t>
        </is>
      </c>
      <c r="B313" s="31" t="inlineStr">
        <is>
          <t>39005</t>
        </is>
      </c>
      <c r="C313" s="31" t="n">
        <v>337</v>
      </c>
      <c r="D313" s="31" t="n">
        <v>335</v>
      </c>
      <c r="E313" s="31" t="n">
        <v>0</v>
      </c>
      <c r="F313" s="40" t="n">
        <v>1249405</v>
      </c>
      <c r="G313" s="40" t="n">
        <v>1436976</v>
      </c>
      <c r="H313" s="40" t="inlineStr">
        <is>
          <t>-</t>
        </is>
      </c>
      <c r="I313" s="40" t="inlineStr">
        <is>
          <t>-</t>
        </is>
      </c>
      <c r="J313" s="41" t="n">
        <v>0</v>
      </c>
      <c r="K313" s="31" t="inlineStr">
        <is>
          <t>No</t>
        </is>
      </c>
      <c r="L313" s="31" t="n">
        <v>0</v>
      </c>
      <c r="M3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4" ht="184" customHeight="1">
      <c r="A314" s="31" t="inlineStr">
        <is>
          <t>12 Jun</t>
        </is>
      </c>
      <c r="B314" s="31" t="inlineStr">
        <is>
          <t>39180</t>
        </is>
      </c>
      <c r="C314" s="31" t="n">
        <v>121</v>
      </c>
      <c r="D314" s="31" t="n">
        <v>113</v>
      </c>
      <c r="E314" s="31" t="n">
        <v>0</v>
      </c>
      <c r="F314" s="40" t="n">
        <v>1401708</v>
      </c>
      <c r="G314" s="40" t="n">
        <v>1407696</v>
      </c>
      <c r="H314" s="40" t="inlineStr">
        <is>
          <t>-</t>
        </is>
      </c>
      <c r="I314" s="40" t="inlineStr">
        <is>
          <t>-</t>
        </is>
      </c>
      <c r="J314" s="41" t="n">
        <v>0</v>
      </c>
      <c r="K314" s="31" t="inlineStr">
        <is>
          <t>No</t>
        </is>
      </c>
      <c r="L314" s="31" t="n">
        <v>0</v>
      </c>
      <c r="M3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5" ht="184" customHeight="1">
      <c r="A315" s="31" t="inlineStr">
        <is>
          <t>12 Jun</t>
        </is>
      </c>
      <c r="B315" s="31" t="inlineStr">
        <is>
          <t>39248</t>
        </is>
      </c>
      <c r="C315" s="31" t="n">
        <v>298</v>
      </c>
      <c r="D315" s="31" t="n">
        <v>298</v>
      </c>
      <c r="E315" s="31" t="n">
        <v>0</v>
      </c>
      <c r="F315" s="40" t="n">
        <v>1435735</v>
      </c>
      <c r="G315" s="40" t="n">
        <v>1450826</v>
      </c>
      <c r="H315" s="40" t="inlineStr">
        <is>
          <t>-</t>
        </is>
      </c>
      <c r="I315" s="40" t="inlineStr">
        <is>
          <t>-</t>
        </is>
      </c>
      <c r="J315" s="41" t="n">
        <v>0</v>
      </c>
      <c r="K315" s="31" t="inlineStr">
        <is>
          <t>No</t>
        </is>
      </c>
      <c r="L315" s="31" t="n">
        <v>0</v>
      </c>
      <c r="M3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6" ht="184" customHeight="1">
      <c r="A316" s="31" t="inlineStr">
        <is>
          <t>12 Jun</t>
        </is>
      </c>
      <c r="B316" s="31" t="inlineStr">
        <is>
          <t>39395</t>
        </is>
      </c>
      <c r="C316" s="31" t="n">
        <v>713</v>
      </c>
      <c r="D316" s="31" t="n">
        <v>712</v>
      </c>
      <c r="E316" s="31" t="n">
        <v>0</v>
      </c>
      <c r="F316" s="40" t="n">
        <v>1401346</v>
      </c>
      <c r="G316" s="40" t="n">
        <v>1437073</v>
      </c>
      <c r="H316" s="40" t="inlineStr">
        <is>
          <t>-</t>
        </is>
      </c>
      <c r="I316" s="40" t="inlineStr">
        <is>
          <t>-</t>
        </is>
      </c>
      <c r="J316" s="41" t="n">
        <v>0</v>
      </c>
      <c r="K316" s="31" t="inlineStr">
        <is>
          <t>No</t>
        </is>
      </c>
      <c r="L316" s="31" t="n">
        <v>0</v>
      </c>
      <c r="M3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7" ht="184" customHeight="1">
      <c r="A317" s="31" t="inlineStr">
        <is>
          <t>12 Jun</t>
        </is>
      </c>
      <c r="B317" s="31" t="inlineStr">
        <is>
          <t>39403</t>
        </is>
      </c>
      <c r="C317" s="31" t="n">
        <v>298</v>
      </c>
      <c r="D317" s="31" t="n">
        <v>296</v>
      </c>
      <c r="E317" s="31" t="n">
        <v>0</v>
      </c>
      <c r="F317" s="40" t="n">
        <v>1401718</v>
      </c>
      <c r="G317" s="40" t="n">
        <v>1436883</v>
      </c>
      <c r="H317" s="40" t="inlineStr">
        <is>
          <t>-</t>
        </is>
      </c>
      <c r="I317" s="40" t="inlineStr">
        <is>
          <t>-</t>
        </is>
      </c>
      <c r="J317" s="41" t="n">
        <v>0</v>
      </c>
      <c r="K317" s="31" t="inlineStr">
        <is>
          <t>No</t>
        </is>
      </c>
      <c r="L317" s="31" t="n">
        <v>0</v>
      </c>
      <c r="M3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8" ht="184" customHeight="1">
      <c r="A318" s="31" t="inlineStr">
        <is>
          <t>12 Jun</t>
        </is>
      </c>
      <c r="B318" s="31" t="inlineStr">
        <is>
          <t>39500</t>
        </is>
      </c>
      <c r="C318" s="31" t="n">
        <v>7</v>
      </c>
      <c r="D318" s="31" t="n">
        <v>0</v>
      </c>
      <c r="E318" s="31" t="n">
        <v>0</v>
      </c>
      <c r="F318" s="40" t="inlineStr">
        <is>
          <t>-</t>
        </is>
      </c>
      <c r="G318" s="40" t="inlineStr">
        <is>
          <t>-</t>
        </is>
      </c>
      <c r="H318" s="40" t="inlineStr">
        <is>
          <t>-</t>
        </is>
      </c>
      <c r="I318" s="40" t="inlineStr">
        <is>
          <t>-</t>
        </is>
      </c>
      <c r="J318" s="41" t="n">
        <v>0</v>
      </c>
      <c r="K318" s="31" t="inlineStr">
        <is>
          <t>No</t>
        </is>
      </c>
      <c r="L318" s="31" t="n">
        <v>0</v>
      </c>
      <c r="M3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9" ht="184" customHeight="1">
      <c r="A319" s="31" t="inlineStr">
        <is>
          <t>12 Jun</t>
        </is>
      </c>
      <c r="B319" s="31" t="inlineStr">
        <is>
          <t>39565</t>
        </is>
      </c>
      <c r="C319" s="31" t="n">
        <v>318</v>
      </c>
      <c r="D319" s="31" t="n">
        <v>318</v>
      </c>
      <c r="E319" s="31" t="n">
        <v>0</v>
      </c>
      <c r="F319" s="40" t="n">
        <v>1401744</v>
      </c>
      <c r="G319" s="40" t="n">
        <v>1435848</v>
      </c>
      <c r="H319" s="40" t="inlineStr">
        <is>
          <t>-</t>
        </is>
      </c>
      <c r="I319" s="40" t="inlineStr">
        <is>
          <t>-</t>
        </is>
      </c>
      <c r="J319" s="41" t="n">
        <v>0</v>
      </c>
      <c r="K319" s="31" t="inlineStr">
        <is>
          <t>No</t>
        </is>
      </c>
      <c r="L319" s="31" t="n">
        <v>0</v>
      </c>
      <c r="M31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0" ht="184" customHeight="1">
      <c r="A320" s="31" t="inlineStr">
        <is>
          <t>12 Jun</t>
        </is>
      </c>
      <c r="B320" s="31" t="inlineStr">
        <is>
          <t>52196</t>
        </is>
      </c>
      <c r="C320" s="31" t="n">
        <v>5321</v>
      </c>
      <c r="D320" s="31" t="n">
        <v>5295</v>
      </c>
      <c r="E320" s="31" t="n">
        <v>0</v>
      </c>
      <c r="F320" s="40" t="n">
        <v>143307</v>
      </c>
      <c r="G320" s="40" t="n">
        <v>154783</v>
      </c>
      <c r="H320" s="40" t="inlineStr">
        <is>
          <t>-</t>
        </is>
      </c>
      <c r="I320" s="40" t="inlineStr">
        <is>
          <t>-</t>
        </is>
      </c>
      <c r="J320" s="41" t="n">
        <v>0</v>
      </c>
      <c r="K320" s="31" t="inlineStr">
        <is>
          <t>No</t>
        </is>
      </c>
      <c r="L320" s="31" t="n">
        <v>0</v>
      </c>
      <c r="M32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1">
      <c r="A321" s="16" t="inlineStr">
        <is>
          <t>13 Jun</t>
        </is>
      </c>
      <c r="B321" s="16" t="inlineStr">
        <is>
          <t>30397</t>
        </is>
      </c>
      <c r="C321" s="16" t="n">
        <v>34542</v>
      </c>
      <c r="D321" s="16" t="n">
        <v>34481</v>
      </c>
      <c r="E321" s="16" t="n">
        <v>33989</v>
      </c>
      <c r="F321" s="38" t="n">
        <v>695626</v>
      </c>
      <c r="G321" s="38" t="n">
        <v>1242978</v>
      </c>
      <c r="H321" s="38" t="n">
        <v>699074</v>
      </c>
      <c r="I321" s="38" t="n">
        <v>1242978</v>
      </c>
      <c r="J321" s="19">
        <f>(I321-H321)/1000</f>
        <v/>
      </c>
      <c r="K321" s="16" t="inlineStr">
        <is>
          <t>Yes</t>
        </is>
      </c>
      <c r="L321" s="16" t="n">
        <v>124</v>
      </c>
      <c r="M321" s="39" t="inlineStr">
        <is>
          <t>- (full trip)</t>
        </is>
      </c>
    </row>
    <row r="322">
      <c r="A322" s="16" t="inlineStr">
        <is>
          <t>13 Jun</t>
        </is>
      </c>
      <c r="B322" s="16" t="inlineStr">
        <is>
          <t>30567</t>
        </is>
      </c>
      <c r="C322" s="16" t="n">
        <v>23020</v>
      </c>
      <c r="D322" s="16" t="n">
        <v>22957</v>
      </c>
      <c r="E322" s="16" t="n">
        <v>20633</v>
      </c>
      <c r="F322" s="38" t="n">
        <v>672457</v>
      </c>
      <c r="G322" s="38" t="n">
        <v>1426336</v>
      </c>
      <c r="H322" s="38" t="n">
        <v>699087</v>
      </c>
      <c r="I322" s="38" t="n">
        <v>1242974</v>
      </c>
      <c r="J322" s="19">
        <f>(I322-H322)/1000</f>
        <v/>
      </c>
      <c r="K322" s="16" t="inlineStr">
        <is>
          <t>Yes</t>
        </is>
      </c>
      <c r="L322" s="16" t="n">
        <v>124</v>
      </c>
      <c r="M322" s="39" t="inlineStr">
        <is>
          <t>- (full trip)</t>
        </is>
      </c>
    </row>
    <row r="323">
      <c r="A323" s="16" t="inlineStr">
        <is>
          <t>13 Jun</t>
        </is>
      </c>
      <c r="B323" s="16" t="inlineStr">
        <is>
          <t>43821</t>
        </is>
      </c>
      <c r="C323" s="16" t="n">
        <v>24915</v>
      </c>
      <c r="D323" s="16" t="n">
        <v>24823</v>
      </c>
      <c r="E323" s="16" t="n">
        <v>23998</v>
      </c>
      <c r="F323" s="38" t="n">
        <v>695665</v>
      </c>
      <c r="G323" s="38" t="n">
        <v>1500726</v>
      </c>
      <c r="H323" s="38" t="n">
        <v>699092</v>
      </c>
      <c r="I323" s="38" t="n">
        <v>1242984</v>
      </c>
      <c r="J323" s="19">
        <f>(I323-H323)/1000</f>
        <v/>
      </c>
      <c r="K323" s="16" t="inlineStr">
        <is>
          <t>Yes</t>
        </is>
      </c>
      <c r="L323" s="16" t="n">
        <v>124</v>
      </c>
      <c r="M323" s="39" t="inlineStr">
        <is>
          <t>- (full trip)</t>
        </is>
      </c>
    </row>
    <row r="324">
      <c r="A324" s="16" t="inlineStr">
        <is>
          <t>13 Jun</t>
        </is>
      </c>
      <c r="B324" s="16" t="inlineStr">
        <is>
          <t>37312</t>
        </is>
      </c>
      <c r="C324" s="16" t="n">
        <v>11831</v>
      </c>
      <c r="D324" s="16" t="n">
        <v>11783</v>
      </c>
      <c r="E324" s="16" t="n">
        <v>10052</v>
      </c>
      <c r="F324" s="38" t="n">
        <v>657184</v>
      </c>
      <c r="G324" s="38" t="n">
        <v>1503153</v>
      </c>
      <c r="H324" s="38" t="n">
        <v>699072</v>
      </c>
      <c r="I324" s="38" t="n">
        <v>1242726</v>
      </c>
      <c r="J324" s="19">
        <f>(I324-H324)/1000</f>
        <v/>
      </c>
      <c r="K324" s="16" t="inlineStr">
        <is>
          <t>Yes</t>
        </is>
      </c>
      <c r="L324" s="16" t="n">
        <v>124</v>
      </c>
      <c r="M324" s="39" t="inlineStr">
        <is>
          <t>- (full trip)</t>
        </is>
      </c>
    </row>
    <row r="325">
      <c r="A325" s="16" t="inlineStr">
        <is>
          <t>13 Jun</t>
        </is>
      </c>
      <c r="B325" s="16" t="inlineStr">
        <is>
          <t>39014</t>
        </is>
      </c>
      <c r="C325" s="16" t="n">
        <v>30018</v>
      </c>
      <c r="D325" s="16" t="n">
        <v>29572</v>
      </c>
      <c r="E325" s="16" t="n">
        <v>27878</v>
      </c>
      <c r="F325" s="38" t="n">
        <v>656334</v>
      </c>
      <c r="G325" s="38" t="n">
        <v>1240732</v>
      </c>
      <c r="H325" s="38" t="n">
        <v>699087</v>
      </c>
      <c r="I325" s="38" t="n">
        <v>1240732</v>
      </c>
      <c r="J325" s="19">
        <f>(I325-H325)/1000</f>
        <v/>
      </c>
      <c r="K325" s="16" t="inlineStr">
        <is>
          <t>Yes</t>
        </is>
      </c>
      <c r="L325" s="16" t="n">
        <v>124</v>
      </c>
      <c r="M325" s="39" t="inlineStr">
        <is>
          <t>- (full trip)</t>
        </is>
      </c>
    </row>
    <row r="326" ht="34" customHeight="1">
      <c r="A326" s="16" t="inlineStr">
        <is>
          <t>13 Jun</t>
        </is>
      </c>
      <c r="B326" s="16" t="inlineStr">
        <is>
          <t>30460</t>
        </is>
      </c>
      <c r="C326" s="16" t="n">
        <v>20197</v>
      </c>
      <c r="D326" s="16" t="n">
        <v>20197</v>
      </c>
      <c r="E326" s="16" t="n">
        <v>19002</v>
      </c>
      <c r="F326" s="38" t="n">
        <v>661310</v>
      </c>
      <c r="G326" s="38" t="n">
        <v>1212960</v>
      </c>
      <c r="H326" s="38" t="n">
        <v>699088</v>
      </c>
      <c r="I326" s="38" t="n">
        <v>1212960</v>
      </c>
      <c r="J326" s="19">
        <f>(I326-H326)/1000</f>
        <v/>
      </c>
      <c r="K326" s="16" t="inlineStr">
        <is>
          <t>Yes</t>
        </is>
      </c>
      <c r="L326" s="16" t="n">
        <v>118</v>
      </c>
      <c r="M326" s="39" t="inlineStr">
        <is>
          <t>IBH 265, Murhesi Rampur(MSRP), IBH/LC-258, Jajjanpatti(JJA), DhaurmuiJaghina(DUM), IBH-247</t>
        </is>
      </c>
    </row>
    <row r="327" ht="64" customHeight="1">
      <c r="A327" s="16" t="inlineStr">
        <is>
          <t>13 Jun</t>
        </is>
      </c>
      <c r="B327" s="16" t="inlineStr">
        <is>
          <t>37321</t>
        </is>
      </c>
      <c r="C327" s="16" t="n">
        <v>7001</v>
      </c>
      <c r="D327" s="16" t="n">
        <v>6869</v>
      </c>
      <c r="E327" s="16" t="n">
        <v>6085</v>
      </c>
      <c r="F327" s="38" t="n">
        <v>662566</v>
      </c>
      <c r="G327" s="38" t="n">
        <v>1169669</v>
      </c>
      <c r="H327" s="38" t="n">
        <v>699110</v>
      </c>
      <c r="I327" s="38" t="n">
        <v>1169669</v>
      </c>
      <c r="J327" s="19">
        <f>(I327-H327)/1000</f>
        <v/>
      </c>
      <c r="K327" s="16" t="inlineStr">
        <is>
          <t>Yes</t>
        </is>
      </c>
      <c r="L327" s="16" t="n">
        <v>108</v>
      </c>
      <c r="M327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28" ht="169" customHeight="1">
      <c r="A328" s="16" t="inlineStr">
        <is>
          <t>13 Jun</t>
        </is>
      </c>
      <c r="B328" s="16" t="inlineStr">
        <is>
          <t>39287</t>
        </is>
      </c>
      <c r="C328" s="16" t="n">
        <v>24179</v>
      </c>
      <c r="D328" s="16" t="n">
        <v>23811</v>
      </c>
      <c r="E328" s="16" t="n">
        <v>22524</v>
      </c>
      <c r="F328" s="38" t="n">
        <v>657199</v>
      </c>
      <c r="G328" s="38" t="n">
        <v>1028922</v>
      </c>
      <c r="H328" s="38" t="n">
        <v>699071</v>
      </c>
      <c r="I328" s="38" t="n">
        <v>1028922</v>
      </c>
      <c r="J328" s="19">
        <f>(I328-H328)/1000</f>
        <v/>
      </c>
      <c r="K328" s="16" t="inlineStr">
        <is>
          <t>Yes</t>
        </is>
      </c>
      <c r="L328" s="16" t="n">
        <v>77</v>
      </c>
      <c r="M3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29" ht="169" customHeight="1">
      <c r="A329" s="16" t="inlineStr">
        <is>
          <t>13 Jun</t>
        </is>
      </c>
      <c r="B329" s="16" t="inlineStr">
        <is>
          <t>37466</t>
        </is>
      </c>
      <c r="C329" s="16" t="n">
        <v>27778</v>
      </c>
      <c r="D329" s="16" t="n">
        <v>27090</v>
      </c>
      <c r="E329" s="16" t="n">
        <v>26627</v>
      </c>
      <c r="F329" s="38" t="n">
        <v>695658</v>
      </c>
      <c r="G329" s="38" t="n">
        <v>1028920</v>
      </c>
      <c r="H329" s="38" t="n">
        <v>699092</v>
      </c>
      <c r="I329" s="38" t="n">
        <v>1028920</v>
      </c>
      <c r="J329" s="19">
        <f>(I329-H329)/1000</f>
        <v/>
      </c>
      <c r="K329" s="16" t="inlineStr">
        <is>
          <t>Yes</t>
        </is>
      </c>
      <c r="L329" s="16" t="n">
        <v>77</v>
      </c>
      <c r="M32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30" ht="184" customHeight="1">
      <c r="A330" s="16" t="inlineStr">
        <is>
          <t>13 Jun</t>
        </is>
      </c>
      <c r="B330" s="16" t="inlineStr">
        <is>
          <t>30351</t>
        </is>
      </c>
      <c r="C330" s="16" t="n">
        <v>15659</v>
      </c>
      <c r="D330" s="16" t="n">
        <v>15601</v>
      </c>
      <c r="E330" s="16" t="n">
        <v>12073</v>
      </c>
      <c r="F330" s="38" t="n">
        <v>920540</v>
      </c>
      <c r="G330" s="38" t="n">
        <v>1449223</v>
      </c>
      <c r="H330" s="38" t="n">
        <v>920540</v>
      </c>
      <c r="I330" s="38" t="n">
        <v>1242965</v>
      </c>
      <c r="J330" s="19">
        <f>(I330-H330)/1000</f>
        <v/>
      </c>
      <c r="K330" s="16" t="inlineStr">
        <is>
          <t>Yes</t>
        </is>
      </c>
      <c r="L330" s="16" t="n">
        <v>78</v>
      </c>
      <c r="M33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1" ht="184" customHeight="1">
      <c r="A331" s="16" t="inlineStr">
        <is>
          <t>13 Jun</t>
        </is>
      </c>
      <c r="B331" s="16" t="inlineStr">
        <is>
          <t>30335</t>
        </is>
      </c>
      <c r="C331" s="16" t="n">
        <v>12023</v>
      </c>
      <c r="D331" s="16" t="n">
        <v>11977</v>
      </c>
      <c r="E331" s="16" t="n">
        <v>11289</v>
      </c>
      <c r="F331" s="38" t="n">
        <v>921247</v>
      </c>
      <c r="G331" s="38" t="n">
        <v>1437283</v>
      </c>
      <c r="H331" s="38" t="n">
        <v>921247</v>
      </c>
      <c r="I331" s="38" t="n">
        <v>1242984</v>
      </c>
      <c r="J331" s="19">
        <f>(I331-H331)/1000</f>
        <v/>
      </c>
      <c r="K331" s="16" t="inlineStr">
        <is>
          <t>Yes</t>
        </is>
      </c>
      <c r="L331" s="16" t="n">
        <v>78</v>
      </c>
      <c r="M33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2" ht="184" customHeight="1">
      <c r="A332" s="16" t="inlineStr">
        <is>
          <t>13 Jun</t>
        </is>
      </c>
      <c r="B332" s="16" t="inlineStr">
        <is>
          <t>39107</t>
        </is>
      </c>
      <c r="C332" s="16" t="n">
        <v>15073</v>
      </c>
      <c r="D332" s="16" t="n">
        <v>15053</v>
      </c>
      <c r="E332" s="16" t="n">
        <v>13465</v>
      </c>
      <c r="F332" s="38" t="n">
        <v>920545</v>
      </c>
      <c r="G332" s="38" t="n">
        <v>1503718</v>
      </c>
      <c r="H332" s="38" t="n">
        <v>920545</v>
      </c>
      <c r="I332" s="38" t="n">
        <v>1240710</v>
      </c>
      <c r="J332" s="19">
        <f>(I332-H332)/1000</f>
        <v/>
      </c>
      <c r="K332" s="16" t="inlineStr">
        <is>
          <t>Yes</t>
        </is>
      </c>
      <c r="L332" s="16" t="n">
        <v>78</v>
      </c>
      <c r="M33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3" ht="184" customHeight="1">
      <c r="A333" s="16" t="inlineStr">
        <is>
          <t>13 Jun</t>
        </is>
      </c>
      <c r="B333" s="16" t="inlineStr">
        <is>
          <t>30395</t>
        </is>
      </c>
      <c r="C333" s="16" t="n">
        <v>6509</v>
      </c>
      <c r="D333" s="16" t="n">
        <v>6501</v>
      </c>
      <c r="E333" s="16" t="n">
        <v>6216</v>
      </c>
      <c r="F333" s="38" t="n">
        <v>921487</v>
      </c>
      <c r="G333" s="38" t="n">
        <v>1467740</v>
      </c>
      <c r="H333" s="38" t="n">
        <v>921487</v>
      </c>
      <c r="I333" s="38" t="n">
        <v>1240718</v>
      </c>
      <c r="J333" s="19">
        <f>(I333-H333)/1000</f>
        <v/>
      </c>
      <c r="K333" s="16" t="inlineStr">
        <is>
          <t>Yes</t>
        </is>
      </c>
      <c r="L333" s="16" t="n">
        <v>78</v>
      </c>
      <c r="M33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4" ht="184" customHeight="1">
      <c r="A334" s="16" t="inlineStr">
        <is>
          <t>13 Jun</t>
        </is>
      </c>
      <c r="B334" s="16" t="inlineStr">
        <is>
          <t>30466</t>
        </is>
      </c>
      <c r="C334" s="16" t="n">
        <v>12097</v>
      </c>
      <c r="D334" s="16" t="n">
        <v>12085</v>
      </c>
      <c r="E334" s="16" t="n">
        <v>11154</v>
      </c>
      <c r="F334" s="38" t="n">
        <v>921759</v>
      </c>
      <c r="G334" s="38" t="n">
        <v>1472526</v>
      </c>
      <c r="H334" s="38" t="n">
        <v>921759</v>
      </c>
      <c r="I334" s="38" t="n">
        <v>1240548</v>
      </c>
      <c r="J334" s="19">
        <f>(I334-H334)/1000</f>
        <v/>
      </c>
      <c r="K334" s="16" t="inlineStr">
        <is>
          <t>Yes</t>
        </is>
      </c>
      <c r="L334" s="16" t="n">
        <v>78</v>
      </c>
      <c r="M33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5" ht="184" customHeight="1">
      <c r="A335" s="16" t="inlineStr">
        <is>
          <t>13 Jun</t>
        </is>
      </c>
      <c r="B335" s="16" t="inlineStr">
        <is>
          <t>37028</t>
        </is>
      </c>
      <c r="C335" s="16" t="n">
        <v>125</v>
      </c>
      <c r="D335" s="16" t="n">
        <v>124</v>
      </c>
      <c r="E335" s="16" t="n">
        <v>111</v>
      </c>
      <c r="F335" s="38" t="n">
        <v>923338</v>
      </c>
      <c r="G335" s="38" t="n">
        <v>1436703</v>
      </c>
      <c r="H335" s="38" t="n">
        <v>923338</v>
      </c>
      <c r="I335" s="38" t="n">
        <v>1239980</v>
      </c>
      <c r="J335" s="19">
        <f>(I335-H335)/1000</f>
        <v/>
      </c>
      <c r="K335" s="16" t="inlineStr">
        <is>
          <t>Yes</t>
        </is>
      </c>
      <c r="L335" s="16" t="n">
        <v>77</v>
      </c>
      <c r="M335" s="39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6" ht="184" customHeight="1">
      <c r="A336" s="16" t="inlineStr">
        <is>
          <t>13 Jun</t>
        </is>
      </c>
      <c r="B336" s="16" t="inlineStr">
        <is>
          <t>37369</t>
        </is>
      </c>
      <c r="C336" s="16" t="n">
        <v>9852</v>
      </c>
      <c r="D336" s="16" t="n">
        <v>9847</v>
      </c>
      <c r="E336" s="16" t="n">
        <v>9529</v>
      </c>
      <c r="F336" s="38" t="n">
        <v>695603</v>
      </c>
      <c r="G336" s="38" t="n">
        <v>970738</v>
      </c>
      <c r="H336" s="38" t="n">
        <v>699085</v>
      </c>
      <c r="I336" s="38" t="n">
        <v>970738</v>
      </c>
      <c r="J336" s="19">
        <f>(I336-H336)/1000</f>
        <v/>
      </c>
      <c r="K336" s="16" t="inlineStr">
        <is>
          <t>Yes</t>
        </is>
      </c>
      <c r="L336" s="16" t="n">
        <v>62</v>
      </c>
      <c r="M33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...(+12 more)</t>
        </is>
      </c>
    </row>
    <row r="337" ht="199" customHeight="1">
      <c r="A337" s="16" t="inlineStr">
        <is>
          <t>13 Jun</t>
        </is>
      </c>
      <c r="B337" s="16" t="inlineStr">
        <is>
          <t>37257</t>
        </is>
      </c>
      <c r="C337" s="16" t="n">
        <v>33036</v>
      </c>
      <c r="D337" s="16" t="n">
        <v>32975</v>
      </c>
      <c r="E337" s="16" t="n">
        <v>32975</v>
      </c>
      <c r="F337" s="38" t="n">
        <v>920680</v>
      </c>
      <c r="G337" s="38" t="n">
        <v>1172585</v>
      </c>
      <c r="H337" s="38" t="n">
        <v>920680</v>
      </c>
      <c r="I337" s="38" t="n">
        <v>1172585</v>
      </c>
      <c r="J337" s="19">
        <f>(I337-H337)/1000</f>
        <v/>
      </c>
      <c r="K337" s="16" t="inlineStr">
        <is>
          <t>Yes</t>
        </is>
      </c>
      <c r="L337" s="16" t="n">
        <v>62</v>
      </c>
      <c r="M337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38" ht="199" customHeight="1">
      <c r="A338" s="16" t="inlineStr">
        <is>
          <t>13 Jun</t>
        </is>
      </c>
      <c r="B338" s="16" t="inlineStr">
        <is>
          <t>30176</t>
        </is>
      </c>
      <c r="C338" s="16" t="n">
        <v>21862</v>
      </c>
      <c r="D338" s="16" t="n">
        <v>21751</v>
      </c>
      <c r="E338" s="16" t="n">
        <v>21751</v>
      </c>
      <c r="F338" s="38" t="n">
        <v>920721</v>
      </c>
      <c r="G338" s="38" t="n">
        <v>1172542</v>
      </c>
      <c r="H338" s="38" t="n">
        <v>920721</v>
      </c>
      <c r="I338" s="38" t="n">
        <v>1172542</v>
      </c>
      <c r="J338" s="19">
        <f>(I338-H338)/1000</f>
        <v/>
      </c>
      <c r="K338" s="16" t="inlineStr">
        <is>
          <t>Yes</t>
        </is>
      </c>
      <c r="L338" s="16" t="n">
        <v>62</v>
      </c>
      <c r="M338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39" ht="184" customHeight="1">
      <c r="A339" s="16" t="inlineStr">
        <is>
          <t>13 Jun</t>
        </is>
      </c>
      <c r="B339" s="16" t="inlineStr">
        <is>
          <t>37361</t>
        </is>
      </c>
      <c r="C339" s="16" t="n">
        <v>7600</v>
      </c>
      <c r="D339" s="16" t="n">
        <v>7529</v>
      </c>
      <c r="E339" s="16" t="n">
        <v>7529</v>
      </c>
      <c r="F339" s="38" t="n">
        <v>957932</v>
      </c>
      <c r="G339" s="38" t="n">
        <v>1164948</v>
      </c>
      <c r="H339" s="38" t="n">
        <v>957932</v>
      </c>
      <c r="I339" s="38" t="n">
        <v>1164948</v>
      </c>
      <c r="J339" s="19">
        <f>(I339-H339)/1000</f>
        <v/>
      </c>
      <c r="K339" s="16" t="inlineStr">
        <is>
          <t>Yes</t>
        </is>
      </c>
      <c r="L339" s="16" t="n">
        <v>47</v>
      </c>
      <c r="M33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  ...(+27 more)</t>
        </is>
      </c>
    </row>
    <row r="340" ht="184" customHeight="1">
      <c r="A340" s="16" t="inlineStr">
        <is>
          <t>13 Jun</t>
        </is>
      </c>
      <c r="B340" s="16" t="inlineStr">
        <is>
          <t>37355</t>
        </is>
      </c>
      <c r="C340" s="16" t="n">
        <v>5312</v>
      </c>
      <c r="D340" s="16" t="n">
        <v>5309</v>
      </c>
      <c r="E340" s="16" t="n">
        <v>5309</v>
      </c>
      <c r="F340" s="38" t="n">
        <v>921765</v>
      </c>
      <c r="G340" s="38" t="n">
        <v>1092448</v>
      </c>
      <c r="H340" s="38" t="n">
        <v>921765</v>
      </c>
      <c r="I340" s="38" t="n">
        <v>1092448</v>
      </c>
      <c r="J340" s="19">
        <f>(I340-H340)/1000</f>
        <v/>
      </c>
      <c r="K340" s="16" t="inlineStr">
        <is>
          <t>Yes</t>
        </is>
      </c>
      <c r="L340" s="16" t="n">
        <v>45</v>
      </c>
      <c r="M34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KOTA SOUTH, DakaniyaTalav(DKNT), Dadhdevi(DDV), ALNI/DDV, Alniya(ALNI), IBH DHANIKASAR, Ravtha Road(RDT), IBH-95(7.25KM FROM DARA), Dara(DARA), IBH KIW-DARA, Kanwalpura(KIW), 2.85 KM from MKX, Morak(MKX), IBH RMA-MKX, RamganjMandi(RMA), IBH-79, Jhalawar Road(JHW)  ...(+29 more)</t>
        </is>
      </c>
    </row>
    <row r="341" ht="184" customHeight="1">
      <c r="A341" s="16" t="inlineStr">
        <is>
          <t>13 Jun</t>
        </is>
      </c>
      <c r="B341" s="16" t="inlineStr">
        <is>
          <t>39199</t>
        </is>
      </c>
      <c r="C341" s="16" t="n">
        <v>4137</v>
      </c>
      <c r="D341" s="16" t="n">
        <v>3857</v>
      </c>
      <c r="E341" s="16" t="n">
        <v>3857</v>
      </c>
      <c r="F341" s="38" t="n">
        <v>913643</v>
      </c>
      <c r="G341" s="38" t="n">
        <v>1028498</v>
      </c>
      <c r="H341" s="38" t="n">
        <v>913643</v>
      </c>
      <c r="I341" s="38" t="n">
        <v>1028498</v>
      </c>
      <c r="J341" s="19">
        <f>(I341-H341)/1000</f>
        <v/>
      </c>
      <c r="K341" s="16" t="inlineStr">
        <is>
          <t>Yes</t>
        </is>
      </c>
      <c r="L341" s="16" t="n">
        <v>33</v>
      </c>
      <c r="M34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Dadhdevi(DDV), ALNI/DDV, Alniya(ALNI)  ...(+41 more)</t>
        </is>
      </c>
    </row>
    <row r="342" ht="184" customHeight="1">
      <c r="A342" s="16" t="inlineStr">
        <is>
          <t>13 Jun</t>
        </is>
      </c>
      <c r="B342" s="16" t="inlineStr">
        <is>
          <t>30339</t>
        </is>
      </c>
      <c r="C342" s="16" t="n">
        <v>10988</v>
      </c>
      <c r="D342" s="16" t="n">
        <v>10946</v>
      </c>
      <c r="E342" s="16" t="n">
        <v>10946</v>
      </c>
      <c r="F342" s="38" t="n">
        <v>920374</v>
      </c>
      <c r="G342" s="38" t="n">
        <v>1028943</v>
      </c>
      <c r="H342" s="38" t="n">
        <v>920374</v>
      </c>
      <c r="I342" s="38" t="n">
        <v>1028943</v>
      </c>
      <c r="J342" s="19">
        <f>(I342-H342)/1000</f>
        <v/>
      </c>
      <c r="K342" s="16" t="inlineStr">
        <is>
          <t>Yes</t>
        </is>
      </c>
      <c r="L342" s="16" t="n">
        <v>31</v>
      </c>
      <c r="M34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43" ht="184" customHeight="1">
      <c r="A343" s="16" t="inlineStr">
        <is>
          <t>13 Jun</t>
        </is>
      </c>
      <c r="B343" s="16" t="inlineStr">
        <is>
          <t>39108</t>
        </is>
      </c>
      <c r="C343" s="16" t="n">
        <v>4400</v>
      </c>
      <c r="D343" s="16" t="n">
        <v>4364</v>
      </c>
      <c r="E343" s="16" t="n">
        <v>4364</v>
      </c>
      <c r="F343" s="38" t="n">
        <v>920368</v>
      </c>
      <c r="G343" s="38" t="n">
        <v>1027890</v>
      </c>
      <c r="H343" s="38" t="n">
        <v>920368</v>
      </c>
      <c r="I343" s="38" t="n">
        <v>1027890</v>
      </c>
      <c r="J343" s="19">
        <f>(I343-H343)/1000</f>
        <v/>
      </c>
      <c r="K343" s="16" t="inlineStr">
        <is>
          <t>Yes</t>
        </is>
      </c>
      <c r="L343" s="16" t="n">
        <v>31</v>
      </c>
      <c r="M34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44" ht="184" customHeight="1">
      <c r="A344" s="16" t="inlineStr">
        <is>
          <t>13 Jun</t>
        </is>
      </c>
      <c r="B344" s="16" t="inlineStr">
        <is>
          <t>30817</t>
        </is>
      </c>
      <c r="C344" s="16" t="n">
        <v>10</v>
      </c>
      <c r="D344" s="16" t="n">
        <v>10</v>
      </c>
      <c r="E344" s="16" t="n">
        <v>3</v>
      </c>
      <c r="F344" s="38" t="n">
        <v>1138434</v>
      </c>
      <c r="G344" s="38" t="n">
        <v>1298457</v>
      </c>
      <c r="H344" s="38" t="n">
        <v>1138434</v>
      </c>
      <c r="I344" s="38" t="n">
        <v>1241536</v>
      </c>
      <c r="J344" s="19">
        <f>(I344-H344)/1000</f>
        <v/>
      </c>
      <c r="K344" s="16" t="inlineStr">
        <is>
          <t>Yes</t>
        </is>
      </c>
      <c r="L344" s="16" t="n">
        <v>25</v>
      </c>
      <c r="M344" s="39" t="inlineStr">
        <is>
          <t>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  ...(+49 more)</t>
        </is>
      </c>
    </row>
    <row r="345" ht="184" customHeight="1">
      <c r="A345" s="16" t="inlineStr">
        <is>
          <t>13 Jun</t>
        </is>
      </c>
      <c r="B345" s="16" t="inlineStr">
        <is>
          <t>37266</t>
        </is>
      </c>
      <c r="C345" s="16" t="n">
        <v>6468</v>
      </c>
      <c r="D345" s="16" t="n">
        <v>6397</v>
      </c>
      <c r="E345" s="16" t="n">
        <v>4683</v>
      </c>
      <c r="F345" s="38" t="n">
        <v>1142026</v>
      </c>
      <c r="G345" s="38" t="n">
        <v>1476619</v>
      </c>
      <c r="H345" s="38" t="n">
        <v>1142026</v>
      </c>
      <c r="I345" s="38" t="n">
        <v>1242740</v>
      </c>
      <c r="J345" s="19">
        <f>(I345-H345)/1000</f>
        <v/>
      </c>
      <c r="K345" s="16" t="inlineStr">
        <is>
          <t>Yes</t>
        </is>
      </c>
      <c r="L345" s="16" t="n">
        <v>25</v>
      </c>
      <c r="M345" s="39" t="inlineStr">
        <is>
          <t>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  ...(+49 more)</t>
        </is>
      </c>
    </row>
    <row r="346" ht="184" customHeight="1">
      <c r="A346" s="16" t="inlineStr">
        <is>
          <t>13 Jun</t>
        </is>
      </c>
      <c r="B346" s="16" t="inlineStr">
        <is>
          <t>30507</t>
        </is>
      </c>
      <c r="C346" s="16" t="n">
        <v>3426</v>
      </c>
      <c r="D346" s="16" t="n">
        <v>3426</v>
      </c>
      <c r="E346" s="16" t="n">
        <v>2286</v>
      </c>
      <c r="F346" s="38" t="n">
        <v>657166</v>
      </c>
      <c r="G346" s="38" t="n">
        <v>775065</v>
      </c>
      <c r="H346" s="38" t="n">
        <v>699085</v>
      </c>
      <c r="I346" s="38" t="n">
        <v>775065</v>
      </c>
      <c r="J346" s="19">
        <f>(I346-H346)/1000</f>
        <v/>
      </c>
      <c r="K346" s="16" t="inlineStr">
        <is>
          <t>Yes</t>
        </is>
      </c>
      <c r="L346" s="16" t="n">
        <v>18</v>
      </c>
      <c r="M34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...(+56 more)</t>
        </is>
      </c>
    </row>
    <row r="347" ht="184" customHeight="1">
      <c r="A347" s="16" t="inlineStr">
        <is>
          <t>13 Jun</t>
        </is>
      </c>
      <c r="B347" s="16" t="inlineStr">
        <is>
          <t>30828</t>
        </is>
      </c>
      <c r="C347" s="16" t="n">
        <v>85</v>
      </c>
      <c r="D347" s="16" t="n">
        <v>75</v>
      </c>
      <c r="E347" s="16" t="n">
        <v>73</v>
      </c>
      <c r="F347" s="38" t="n">
        <v>1210994</v>
      </c>
      <c r="G347" s="38" t="n">
        <v>1336747</v>
      </c>
      <c r="H347" s="38" t="n">
        <v>1210994</v>
      </c>
      <c r="I347" s="38" t="n">
        <v>1240378</v>
      </c>
      <c r="J347" s="19">
        <f>(I347-H347)/1000</f>
        <v/>
      </c>
      <c r="K347" s="16" t="inlineStr">
        <is>
          <t>Yes</t>
        </is>
      </c>
      <c r="L347" s="16" t="n">
        <v>7</v>
      </c>
      <c r="M347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348" ht="184" customHeight="1">
      <c r="A348" s="16" t="inlineStr">
        <is>
          <t>13 Jun</t>
        </is>
      </c>
      <c r="B348" s="16" t="inlineStr">
        <is>
          <t>37048</t>
        </is>
      </c>
      <c r="C348" s="16" t="n">
        <v>2505</v>
      </c>
      <c r="D348" s="16" t="n">
        <v>2505</v>
      </c>
      <c r="E348" s="16" t="n">
        <v>3</v>
      </c>
      <c r="F348" s="38" t="n">
        <v>1213595</v>
      </c>
      <c r="G348" s="38" t="n">
        <v>1450002</v>
      </c>
      <c r="H348" s="38" t="n">
        <v>1213595</v>
      </c>
      <c r="I348" s="38" t="n">
        <v>1231134</v>
      </c>
      <c r="J348" s="19">
        <f>(I348-H348)/1000</f>
        <v/>
      </c>
      <c r="K348" s="16" t="inlineStr">
        <is>
          <t>Yes</t>
        </is>
      </c>
      <c r="L348" s="16" t="n">
        <v>4</v>
      </c>
      <c r="M348" s="39" t="inlineStr">
        <is>
          <t>IBH 265, Murhesi Rampur(MSRP),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349" ht="184" customHeight="1">
      <c r="A349" s="16" t="inlineStr">
        <is>
          <t>13 Jun</t>
        </is>
      </c>
      <c r="B349" s="16" t="inlineStr">
        <is>
          <t>37636</t>
        </is>
      </c>
      <c r="C349" s="16" t="n">
        <v>6</v>
      </c>
      <c r="D349" s="16" t="n">
        <v>6</v>
      </c>
      <c r="E349" s="16" t="n">
        <v>6</v>
      </c>
      <c r="F349" s="38" t="n">
        <v>1229263</v>
      </c>
      <c r="G349" s="38" t="n">
        <v>1231939</v>
      </c>
      <c r="H349" s="38" t="n">
        <v>1229263</v>
      </c>
      <c r="I349" s="38" t="n">
        <v>1231939</v>
      </c>
      <c r="J349" s="19">
        <f>(I349-H349)/1000</f>
        <v/>
      </c>
      <c r="K349" s="16" t="inlineStr">
        <is>
          <t>Yes</t>
        </is>
      </c>
      <c r="L349" s="16" t="n">
        <v>2</v>
      </c>
      <c r="M349" s="39" t="inlineStr">
        <is>
          <t>IBH 265, Murhesi Rampur(MSRP),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350" ht="184" customHeight="1">
      <c r="A350" s="16" t="inlineStr">
        <is>
          <t>13 Jun</t>
        </is>
      </c>
      <c r="B350" s="16" t="inlineStr">
        <is>
          <t>39336</t>
        </is>
      </c>
      <c r="C350" s="16" t="n">
        <v>1267</v>
      </c>
      <c r="D350" s="16" t="n">
        <v>1266</v>
      </c>
      <c r="E350" s="16" t="n">
        <v>4</v>
      </c>
      <c r="F350" s="38" t="n">
        <v>1207688</v>
      </c>
      <c r="G350" s="38" t="n">
        <v>1518732</v>
      </c>
      <c r="H350" s="38" t="n">
        <v>1207688</v>
      </c>
      <c r="I350" s="38" t="n">
        <v>1210053</v>
      </c>
      <c r="J350" s="19">
        <f>(I350-H350)/1000</f>
        <v/>
      </c>
      <c r="K350" s="16" t="inlineStr">
        <is>
          <t>Yes</t>
        </is>
      </c>
      <c r="L350" s="16" t="n">
        <v>2</v>
      </c>
      <c r="M350" s="39" t="inlineStr">
        <is>
          <t>IBH 265, Murhesi Rampur(MSRP), IBH/LC-258, Jajjanpatti(JJA), DhaurmuiJaghina(DUM), IBH-247,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351" ht="184" customHeight="1">
      <c r="A351" s="31" t="inlineStr">
        <is>
          <t>13 Jun</t>
        </is>
      </c>
      <c r="B351" s="31" t="inlineStr">
        <is>
          <t>30464</t>
        </is>
      </c>
      <c r="C351" s="31" t="n">
        <v>12</v>
      </c>
      <c r="D351" s="31" t="n">
        <v>0</v>
      </c>
      <c r="E351" s="31" t="n">
        <v>0</v>
      </c>
      <c r="F351" s="40" t="inlineStr">
        <is>
          <t>-</t>
        </is>
      </c>
      <c r="G351" s="40" t="inlineStr">
        <is>
          <t>-</t>
        </is>
      </c>
      <c r="H351" s="40" t="inlineStr">
        <is>
          <t>-</t>
        </is>
      </c>
      <c r="I351" s="40" t="inlineStr">
        <is>
          <t>-</t>
        </is>
      </c>
      <c r="J351" s="41" t="n">
        <v>0</v>
      </c>
      <c r="K351" s="31" t="inlineStr">
        <is>
          <t>No</t>
        </is>
      </c>
      <c r="L351" s="31" t="n">
        <v>0</v>
      </c>
      <c r="M3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2" ht="184" customHeight="1">
      <c r="A352" s="31" t="inlineStr">
        <is>
          <t>13 Jun</t>
        </is>
      </c>
      <c r="B352" s="31" t="inlineStr">
        <is>
          <t>30519</t>
        </is>
      </c>
      <c r="C352" s="31" t="n">
        <v>340</v>
      </c>
      <c r="D352" s="31" t="n">
        <v>336</v>
      </c>
      <c r="E352" s="31" t="n">
        <v>0</v>
      </c>
      <c r="F352" s="40" t="n">
        <v>1406511</v>
      </c>
      <c r="G352" s="40" t="n">
        <v>1426131</v>
      </c>
      <c r="H352" s="40" t="inlineStr">
        <is>
          <t>-</t>
        </is>
      </c>
      <c r="I352" s="40" t="inlineStr">
        <is>
          <t>-</t>
        </is>
      </c>
      <c r="J352" s="41" t="n">
        <v>0</v>
      </c>
      <c r="K352" s="31" t="inlineStr">
        <is>
          <t>No</t>
        </is>
      </c>
      <c r="L352" s="31" t="n">
        <v>0</v>
      </c>
      <c r="M3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3" ht="184" customHeight="1">
      <c r="A353" s="31" t="inlineStr">
        <is>
          <t>13 Jun</t>
        </is>
      </c>
      <c r="B353" s="31" t="inlineStr">
        <is>
          <t>30542</t>
        </is>
      </c>
      <c r="C353" s="31" t="n">
        <v>213</v>
      </c>
      <c r="D353" s="31" t="n">
        <v>213</v>
      </c>
      <c r="E353" s="31" t="n">
        <v>0</v>
      </c>
      <c r="F353" s="40" t="n">
        <v>1401440</v>
      </c>
      <c r="G353" s="40" t="n">
        <v>1415961</v>
      </c>
      <c r="H353" s="40" t="inlineStr">
        <is>
          <t>-</t>
        </is>
      </c>
      <c r="I353" s="40" t="inlineStr">
        <is>
          <t>-</t>
        </is>
      </c>
      <c r="J353" s="41" t="n">
        <v>0</v>
      </c>
      <c r="K353" s="31" t="inlineStr">
        <is>
          <t>No</t>
        </is>
      </c>
      <c r="L353" s="31" t="n">
        <v>0</v>
      </c>
      <c r="M3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4" ht="184" customHeight="1">
      <c r="A354" s="31" t="inlineStr">
        <is>
          <t>13 Jun</t>
        </is>
      </c>
      <c r="B354" s="31" t="inlineStr">
        <is>
          <t>30810</t>
        </is>
      </c>
      <c r="C354" s="31" t="n">
        <v>462</v>
      </c>
      <c r="D354" s="31" t="n">
        <v>462</v>
      </c>
      <c r="E354" s="31" t="n">
        <v>1</v>
      </c>
      <c r="F354" s="40" t="n">
        <v>1229792</v>
      </c>
      <c r="G354" s="40" t="n">
        <v>1333508</v>
      </c>
      <c r="H354" s="40" t="inlineStr">
        <is>
          <t>-</t>
        </is>
      </c>
      <c r="I354" s="40" t="inlineStr">
        <is>
          <t>-</t>
        </is>
      </c>
      <c r="J354" s="41" t="n">
        <v>0</v>
      </c>
      <c r="K354" s="31" t="inlineStr">
        <is>
          <t>No</t>
        </is>
      </c>
      <c r="L354" s="31" t="n">
        <v>2</v>
      </c>
      <c r="M354" s="42" t="inlineStr">
        <is>
          <t>IBH 265, Murhesi Rampur(MSRP),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355" ht="184" customHeight="1">
      <c r="A355" s="31" t="inlineStr">
        <is>
          <t>13 Jun</t>
        </is>
      </c>
      <c r="B355" s="31" t="inlineStr">
        <is>
          <t>37073</t>
        </is>
      </c>
      <c r="C355" s="31" t="n">
        <v>1813</v>
      </c>
      <c r="D355" s="31" t="n">
        <v>1813</v>
      </c>
      <c r="E355" s="31" t="n">
        <v>0</v>
      </c>
      <c r="F355" s="40" t="n">
        <v>1401390</v>
      </c>
      <c r="G355" s="40" t="n">
        <v>1463914</v>
      </c>
      <c r="H355" s="40" t="inlineStr">
        <is>
          <t>-</t>
        </is>
      </c>
      <c r="I355" s="40" t="inlineStr">
        <is>
          <t>-</t>
        </is>
      </c>
      <c r="J355" s="41" t="n">
        <v>0</v>
      </c>
      <c r="K355" s="31" t="inlineStr">
        <is>
          <t>No</t>
        </is>
      </c>
      <c r="L355" s="31" t="n">
        <v>0</v>
      </c>
      <c r="M3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6" ht="184" customHeight="1">
      <c r="A356" s="31" t="inlineStr">
        <is>
          <t>13 Jun</t>
        </is>
      </c>
      <c r="B356" s="31" t="inlineStr">
        <is>
          <t>37335</t>
        </is>
      </c>
      <c r="C356" s="31" t="n">
        <v>2421</v>
      </c>
      <c r="D356" s="31" t="n">
        <v>2421</v>
      </c>
      <c r="E356" s="31" t="n">
        <v>0</v>
      </c>
      <c r="F356" s="40" t="n">
        <v>1330900</v>
      </c>
      <c r="G356" s="40" t="n">
        <v>1476722</v>
      </c>
      <c r="H356" s="40" t="inlineStr">
        <is>
          <t>-</t>
        </is>
      </c>
      <c r="I356" s="40" t="inlineStr">
        <is>
          <t>-</t>
        </is>
      </c>
      <c r="J356" s="41" t="n">
        <v>0</v>
      </c>
      <c r="K356" s="31" t="inlineStr">
        <is>
          <t>No</t>
        </is>
      </c>
      <c r="L356" s="31" t="n">
        <v>0</v>
      </c>
      <c r="M3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7" ht="184" customHeight="1">
      <c r="A357" s="31" t="inlineStr">
        <is>
          <t>13 Jun</t>
        </is>
      </c>
      <c r="B357" s="31" t="inlineStr">
        <is>
          <t>37429</t>
        </is>
      </c>
      <c r="C357" s="31" t="n">
        <v>1</v>
      </c>
      <c r="D357" s="31" t="n">
        <v>1</v>
      </c>
      <c r="E357" s="31" t="n">
        <v>0</v>
      </c>
      <c r="F357" s="40" t="n">
        <v>1266362</v>
      </c>
      <c r="G357" s="40" t="n">
        <v>1266362</v>
      </c>
      <c r="H357" s="40" t="inlineStr">
        <is>
          <t>-</t>
        </is>
      </c>
      <c r="I357" s="40" t="inlineStr">
        <is>
          <t>-</t>
        </is>
      </c>
      <c r="J357" s="41" t="n">
        <v>0</v>
      </c>
      <c r="K357" s="31" t="inlineStr">
        <is>
          <t>No</t>
        </is>
      </c>
      <c r="L357" s="31" t="n">
        <v>0</v>
      </c>
      <c r="M3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8" ht="184" customHeight="1">
      <c r="A358" s="31" t="inlineStr">
        <is>
          <t>13 Jun</t>
        </is>
      </c>
      <c r="B358" s="31" t="inlineStr">
        <is>
          <t>37545</t>
        </is>
      </c>
      <c r="C358" s="31" t="n">
        <v>10</v>
      </c>
      <c r="D358" s="31" t="n">
        <v>0</v>
      </c>
      <c r="E358" s="31" t="n">
        <v>0</v>
      </c>
      <c r="F358" s="40" t="inlineStr">
        <is>
          <t>-</t>
        </is>
      </c>
      <c r="G358" s="40" t="inlineStr">
        <is>
          <t>-</t>
        </is>
      </c>
      <c r="H358" s="40" t="inlineStr">
        <is>
          <t>-</t>
        </is>
      </c>
      <c r="I358" s="40" t="inlineStr">
        <is>
          <t>-</t>
        </is>
      </c>
      <c r="J358" s="41" t="n">
        <v>0</v>
      </c>
      <c r="K358" s="31" t="inlineStr">
        <is>
          <t>No</t>
        </is>
      </c>
      <c r="L358" s="31" t="n">
        <v>0</v>
      </c>
      <c r="M3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9" ht="184" customHeight="1">
      <c r="A359" s="31" t="inlineStr">
        <is>
          <t>13 Jun</t>
        </is>
      </c>
      <c r="B359" s="31" t="inlineStr">
        <is>
          <t>37552</t>
        </is>
      </c>
      <c r="C359" s="31" t="n">
        <v>161</v>
      </c>
      <c r="D359" s="31" t="n">
        <v>157</v>
      </c>
      <c r="E359" s="31" t="n">
        <v>0</v>
      </c>
      <c r="F359" s="40" t="n">
        <v>1401718</v>
      </c>
      <c r="G359" s="40" t="n">
        <v>1436194</v>
      </c>
      <c r="H359" s="40" t="inlineStr">
        <is>
          <t>-</t>
        </is>
      </c>
      <c r="I359" s="40" t="inlineStr">
        <is>
          <t>-</t>
        </is>
      </c>
      <c r="J359" s="41" t="n">
        <v>0</v>
      </c>
      <c r="K359" s="31" t="inlineStr">
        <is>
          <t>No</t>
        </is>
      </c>
      <c r="L359" s="31" t="n">
        <v>0</v>
      </c>
      <c r="M3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0" ht="184" customHeight="1">
      <c r="A360" s="31" t="inlineStr">
        <is>
          <t>13 Jun</t>
        </is>
      </c>
      <c r="B360" s="31" t="inlineStr">
        <is>
          <t>37564</t>
        </is>
      </c>
      <c r="C360" s="31" t="n">
        <v>696</v>
      </c>
      <c r="D360" s="31" t="n">
        <v>696</v>
      </c>
      <c r="E360" s="31" t="n">
        <v>0</v>
      </c>
      <c r="F360" s="40" t="n">
        <v>1401315</v>
      </c>
      <c r="G360" s="40" t="n">
        <v>1436975</v>
      </c>
      <c r="H360" s="40" t="inlineStr">
        <is>
          <t>-</t>
        </is>
      </c>
      <c r="I360" s="40" t="inlineStr">
        <is>
          <t>-</t>
        </is>
      </c>
      <c r="J360" s="41" t="n">
        <v>0</v>
      </c>
      <c r="K360" s="31" t="inlineStr">
        <is>
          <t>No</t>
        </is>
      </c>
      <c r="L360" s="31" t="n">
        <v>0</v>
      </c>
      <c r="M3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1" ht="184" customHeight="1">
      <c r="A361" s="31" t="inlineStr">
        <is>
          <t>13 Jun</t>
        </is>
      </c>
      <c r="B361" s="31" t="inlineStr">
        <is>
          <t>37618</t>
        </is>
      </c>
      <c r="C361" s="31" t="n">
        <v>2052</v>
      </c>
      <c r="D361" s="31" t="n">
        <v>2051</v>
      </c>
      <c r="E361" s="31" t="n">
        <v>0</v>
      </c>
      <c r="F361" s="40" t="n">
        <v>1401392</v>
      </c>
      <c r="G361" s="40" t="n">
        <v>1508621</v>
      </c>
      <c r="H361" s="40" t="inlineStr">
        <is>
          <t>-</t>
        </is>
      </c>
      <c r="I361" s="40" t="inlineStr">
        <is>
          <t>-</t>
        </is>
      </c>
      <c r="J361" s="41" t="n">
        <v>0</v>
      </c>
      <c r="K361" s="31" t="inlineStr">
        <is>
          <t>No</t>
        </is>
      </c>
      <c r="L361" s="31" t="n">
        <v>0</v>
      </c>
      <c r="M3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2" ht="184" customHeight="1">
      <c r="A362" s="31" t="inlineStr">
        <is>
          <t>13 Jun</t>
        </is>
      </c>
      <c r="B362" s="31" t="inlineStr">
        <is>
          <t>39008</t>
        </is>
      </c>
      <c r="C362" s="31" t="n">
        <v>5376</v>
      </c>
      <c r="D362" s="31" t="n">
        <v>5376</v>
      </c>
      <c r="E362" s="31" t="n">
        <v>0</v>
      </c>
      <c r="F362" s="40" t="n">
        <v>1321801</v>
      </c>
      <c r="G362" s="40" t="n">
        <v>1462365</v>
      </c>
      <c r="H362" s="40" t="inlineStr">
        <is>
          <t>-</t>
        </is>
      </c>
      <c r="I362" s="40" t="inlineStr">
        <is>
          <t>-</t>
        </is>
      </c>
      <c r="J362" s="41" t="n">
        <v>0</v>
      </c>
      <c r="K362" s="31" t="inlineStr">
        <is>
          <t>No</t>
        </is>
      </c>
      <c r="L362" s="31" t="n">
        <v>0</v>
      </c>
      <c r="M3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3" ht="184" customHeight="1">
      <c r="A363" s="31" t="inlineStr">
        <is>
          <t>13 Jun</t>
        </is>
      </c>
      <c r="B363" s="31" t="inlineStr">
        <is>
          <t>39032</t>
        </is>
      </c>
      <c r="C363" s="31" t="n">
        <v>623</v>
      </c>
      <c r="D363" s="31" t="n">
        <v>622</v>
      </c>
      <c r="E363" s="31" t="n">
        <v>0</v>
      </c>
      <c r="F363" s="40" t="n">
        <v>1401522</v>
      </c>
      <c r="G363" s="40" t="n">
        <v>1427291</v>
      </c>
      <c r="H363" s="40" t="inlineStr">
        <is>
          <t>-</t>
        </is>
      </c>
      <c r="I363" s="40" t="inlineStr">
        <is>
          <t>-</t>
        </is>
      </c>
      <c r="J363" s="41" t="n">
        <v>0</v>
      </c>
      <c r="K363" s="31" t="inlineStr">
        <is>
          <t>No</t>
        </is>
      </c>
      <c r="L363" s="31" t="n">
        <v>0</v>
      </c>
      <c r="M3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4" ht="184" customHeight="1">
      <c r="A364" s="31" t="inlineStr">
        <is>
          <t>13 Jun</t>
        </is>
      </c>
      <c r="B364" s="31" t="inlineStr">
        <is>
          <t>39143</t>
        </is>
      </c>
      <c r="C364" s="31" t="n">
        <v>518</v>
      </c>
      <c r="D364" s="31" t="n">
        <v>518</v>
      </c>
      <c r="E364" s="31" t="n">
        <v>0</v>
      </c>
      <c r="F364" s="40" t="n">
        <v>1401731</v>
      </c>
      <c r="G364" s="40" t="n">
        <v>1437075</v>
      </c>
      <c r="H364" s="40" t="inlineStr">
        <is>
          <t>-</t>
        </is>
      </c>
      <c r="I364" s="40" t="inlineStr">
        <is>
          <t>-</t>
        </is>
      </c>
      <c r="J364" s="41" t="n">
        <v>0</v>
      </c>
      <c r="K364" s="31" t="inlineStr">
        <is>
          <t>No</t>
        </is>
      </c>
      <c r="L364" s="31" t="n">
        <v>0</v>
      </c>
      <c r="M3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5" ht="184" customHeight="1">
      <c r="A365" s="31" t="inlineStr">
        <is>
          <t>13 Jun</t>
        </is>
      </c>
      <c r="B365" s="31" t="inlineStr">
        <is>
          <t>39155</t>
        </is>
      </c>
      <c r="C365" s="31" t="n">
        <v>1529</v>
      </c>
      <c r="D365" s="31" t="n">
        <v>1364</v>
      </c>
      <c r="E365" s="31" t="n">
        <v>0</v>
      </c>
      <c r="F365" s="40" t="n">
        <v>1249368</v>
      </c>
      <c r="G365" s="40" t="n">
        <v>1468550</v>
      </c>
      <c r="H365" s="40" t="inlineStr">
        <is>
          <t>-</t>
        </is>
      </c>
      <c r="I365" s="40" t="inlineStr">
        <is>
          <t>-</t>
        </is>
      </c>
      <c r="J365" s="41" t="n">
        <v>0</v>
      </c>
      <c r="K365" s="31" t="inlineStr">
        <is>
          <t>No</t>
        </is>
      </c>
      <c r="L365" s="31" t="n">
        <v>0</v>
      </c>
      <c r="M36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6" ht="184" customHeight="1">
      <c r="A366" s="31" t="inlineStr">
        <is>
          <t>13 Jun</t>
        </is>
      </c>
      <c r="B366" s="31" t="inlineStr">
        <is>
          <t>39180</t>
        </is>
      </c>
      <c r="C366" s="31" t="n">
        <v>244</v>
      </c>
      <c r="D366" s="31" t="n">
        <v>244</v>
      </c>
      <c r="E366" s="31" t="n">
        <v>0</v>
      </c>
      <c r="F366" s="40" t="n">
        <v>1437902</v>
      </c>
      <c r="G366" s="40" t="n">
        <v>1474567</v>
      </c>
      <c r="H366" s="40" t="inlineStr">
        <is>
          <t>-</t>
        </is>
      </c>
      <c r="I366" s="40" t="inlineStr">
        <is>
          <t>-</t>
        </is>
      </c>
      <c r="J366" s="41" t="n">
        <v>0</v>
      </c>
      <c r="K366" s="31" t="inlineStr">
        <is>
          <t>No</t>
        </is>
      </c>
      <c r="L366" s="31" t="n">
        <v>0</v>
      </c>
      <c r="M36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7" ht="184" customHeight="1">
      <c r="A367" s="31" t="inlineStr">
        <is>
          <t>13 Jun</t>
        </is>
      </c>
      <c r="B367" s="31" t="inlineStr">
        <is>
          <t>39331</t>
        </is>
      </c>
      <c r="C367" s="31" t="n">
        <v>1396</v>
      </c>
      <c r="D367" s="31" t="n">
        <v>1396</v>
      </c>
      <c r="E367" s="31" t="n">
        <v>0</v>
      </c>
      <c r="F367" s="40" t="n">
        <v>656322</v>
      </c>
      <c r="G367" s="40" t="n">
        <v>696371</v>
      </c>
      <c r="H367" s="40" t="inlineStr">
        <is>
          <t>-</t>
        </is>
      </c>
      <c r="I367" s="40" t="inlineStr">
        <is>
          <t>-</t>
        </is>
      </c>
      <c r="J367" s="41" t="n">
        <v>0</v>
      </c>
      <c r="K367" s="31" t="inlineStr">
        <is>
          <t>No</t>
        </is>
      </c>
      <c r="L367" s="31" t="n">
        <v>0</v>
      </c>
      <c r="M36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8" ht="184" customHeight="1">
      <c r="A368" s="31" t="inlineStr">
        <is>
          <t>13 Jun</t>
        </is>
      </c>
      <c r="B368" s="31" t="inlineStr">
        <is>
          <t>39421</t>
        </is>
      </c>
      <c r="C368" s="31" t="n">
        <v>1064</v>
      </c>
      <c r="D368" s="31" t="n">
        <v>1064</v>
      </c>
      <c r="E368" s="31" t="n">
        <v>0</v>
      </c>
      <c r="F368" s="40" t="n">
        <v>1265730</v>
      </c>
      <c r="G368" s="40" t="n">
        <v>1402152</v>
      </c>
      <c r="H368" s="40" t="inlineStr">
        <is>
          <t>-</t>
        </is>
      </c>
      <c r="I368" s="40" t="inlineStr">
        <is>
          <t>-</t>
        </is>
      </c>
      <c r="J368" s="41" t="n">
        <v>0</v>
      </c>
      <c r="K368" s="31" t="inlineStr">
        <is>
          <t>No</t>
        </is>
      </c>
      <c r="L368" s="31" t="n">
        <v>0</v>
      </c>
      <c r="M36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9" ht="184" customHeight="1">
      <c r="A369" s="31" t="inlineStr">
        <is>
          <t>13 Jun</t>
        </is>
      </c>
      <c r="B369" s="31" t="inlineStr">
        <is>
          <t>52196</t>
        </is>
      </c>
      <c r="C369" s="31" t="n">
        <v>5240</v>
      </c>
      <c r="D369" s="31" t="n">
        <v>5090</v>
      </c>
      <c r="E369" s="31" t="n">
        <v>0</v>
      </c>
      <c r="F369" s="40" t="n">
        <v>148852</v>
      </c>
      <c r="G369" s="40" t="n">
        <v>153043</v>
      </c>
      <c r="H369" s="40" t="inlineStr">
        <is>
          <t>-</t>
        </is>
      </c>
      <c r="I369" s="40" t="inlineStr">
        <is>
          <t>-</t>
        </is>
      </c>
      <c r="J369" s="41" t="n">
        <v>0</v>
      </c>
      <c r="K369" s="31" t="inlineStr">
        <is>
          <t>No</t>
        </is>
      </c>
      <c r="L369" s="31" t="n">
        <v>0</v>
      </c>
      <c r="M36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0">
      <c r="A370" s="16" t="inlineStr">
        <is>
          <t>14 Jun</t>
        </is>
      </c>
      <c r="B370" s="16" t="inlineStr">
        <is>
          <t>30507</t>
        </is>
      </c>
      <c r="C370" s="16" t="n">
        <v>37177</v>
      </c>
      <c r="D370" s="16" t="n">
        <v>37132</v>
      </c>
      <c r="E370" s="16" t="n">
        <v>35037</v>
      </c>
      <c r="F370" s="38" t="n">
        <v>656327</v>
      </c>
      <c r="G370" s="38" t="n">
        <v>1436993</v>
      </c>
      <c r="H370" s="38" t="n">
        <v>699088</v>
      </c>
      <c r="I370" s="38" t="n">
        <v>1242938</v>
      </c>
      <c r="J370" s="19">
        <f>(I370-H370)/1000</f>
        <v/>
      </c>
      <c r="K370" s="16" t="inlineStr">
        <is>
          <t>Yes</t>
        </is>
      </c>
      <c r="L370" s="16" t="n">
        <v>124</v>
      </c>
      <c r="M370" s="39" t="inlineStr">
        <is>
          <t>- (full trip)</t>
        </is>
      </c>
    </row>
    <row r="371">
      <c r="A371" s="16" t="inlineStr">
        <is>
          <t>14 Jun</t>
        </is>
      </c>
      <c r="B371" s="16" t="inlineStr">
        <is>
          <t>39029</t>
        </is>
      </c>
      <c r="C371" s="16" t="n">
        <v>34860</v>
      </c>
      <c r="D371" s="16" t="n">
        <v>34825</v>
      </c>
      <c r="E371" s="16" t="n">
        <v>32788</v>
      </c>
      <c r="F371" s="38" t="n">
        <v>657169</v>
      </c>
      <c r="G371" s="38" t="n">
        <v>1436957</v>
      </c>
      <c r="H371" s="38" t="n">
        <v>699086</v>
      </c>
      <c r="I371" s="38" t="n">
        <v>1242931</v>
      </c>
      <c r="J371" s="19">
        <f>(I371-H371)/1000</f>
        <v/>
      </c>
      <c r="K371" s="16" t="inlineStr">
        <is>
          <t>Yes</t>
        </is>
      </c>
      <c r="L371" s="16" t="n">
        <v>124</v>
      </c>
      <c r="M371" s="39" t="inlineStr">
        <is>
          <t>- (full trip)</t>
        </is>
      </c>
    </row>
    <row r="372">
      <c r="A372" s="16" t="inlineStr">
        <is>
          <t>14 Jun</t>
        </is>
      </c>
      <c r="B372" s="16" t="inlineStr">
        <is>
          <t>37856</t>
        </is>
      </c>
      <c r="C372" s="16" t="n">
        <v>18548</v>
      </c>
      <c r="D372" s="16" t="n">
        <v>18524</v>
      </c>
      <c r="E372" s="16" t="n">
        <v>17072</v>
      </c>
      <c r="F372" s="38" t="n">
        <v>657176</v>
      </c>
      <c r="G372" s="38" t="n">
        <v>1436380</v>
      </c>
      <c r="H372" s="38" t="n">
        <v>699089</v>
      </c>
      <c r="I372" s="38" t="n">
        <v>1242744</v>
      </c>
      <c r="J372" s="19">
        <f>(I372-H372)/1000</f>
        <v/>
      </c>
      <c r="K372" s="16" t="inlineStr">
        <is>
          <t>Yes</t>
        </is>
      </c>
      <c r="L372" s="16" t="n">
        <v>124</v>
      </c>
      <c r="M372" s="39" t="inlineStr">
        <is>
          <t>- (full trip)</t>
        </is>
      </c>
    </row>
    <row r="373">
      <c r="A373" s="16" t="inlineStr">
        <is>
          <t>14 Jun</t>
        </is>
      </c>
      <c r="B373" s="16" t="inlineStr">
        <is>
          <t>39521</t>
        </is>
      </c>
      <c r="C373" s="16" t="n">
        <v>20746</v>
      </c>
      <c r="D373" s="16" t="n">
        <v>20731</v>
      </c>
      <c r="E373" s="16" t="n">
        <v>18071</v>
      </c>
      <c r="F373" s="38" t="n">
        <v>657170</v>
      </c>
      <c r="G373" s="38" t="n">
        <v>1516052</v>
      </c>
      <c r="H373" s="38" t="n">
        <v>699114</v>
      </c>
      <c r="I373" s="38" t="n">
        <v>1242722</v>
      </c>
      <c r="J373" s="19">
        <f>(I373-H373)/1000</f>
        <v/>
      </c>
      <c r="K373" s="16" t="inlineStr">
        <is>
          <t>Yes</t>
        </is>
      </c>
      <c r="L373" s="16" t="n">
        <v>124</v>
      </c>
      <c r="M373" s="39" t="inlineStr">
        <is>
          <t>- (full trip)</t>
        </is>
      </c>
    </row>
    <row r="374">
      <c r="A374" s="16" t="inlineStr">
        <is>
          <t>14 Jun</t>
        </is>
      </c>
      <c r="B374" s="16" t="inlineStr">
        <is>
          <t>37266</t>
        </is>
      </c>
      <c r="C374" s="16" t="n">
        <v>17407</v>
      </c>
      <c r="D374" s="16" t="n">
        <v>17407</v>
      </c>
      <c r="E374" s="16" t="n">
        <v>16297</v>
      </c>
      <c r="F374" s="38" t="n">
        <v>659478</v>
      </c>
      <c r="G374" s="38" t="n">
        <v>1226233</v>
      </c>
      <c r="H374" s="38" t="n">
        <v>699106</v>
      </c>
      <c r="I374" s="38" t="n">
        <v>1226233</v>
      </c>
      <c r="J374" s="19">
        <f>(I374-H374)/1000</f>
        <v/>
      </c>
      <c r="K374" s="16" t="inlineStr">
        <is>
          <t>Yes</t>
        </is>
      </c>
      <c r="L374" s="16" t="n">
        <v>121</v>
      </c>
      <c r="M374" s="39" t="inlineStr">
        <is>
          <t>IBH 265, Murhesi Rampur(MSRP), IBH/LC-258</t>
        </is>
      </c>
    </row>
    <row r="375" ht="34" customHeight="1">
      <c r="A375" s="16" t="inlineStr">
        <is>
          <t>14 Jun</t>
        </is>
      </c>
      <c r="B375" s="16" t="inlineStr">
        <is>
          <t>30460</t>
        </is>
      </c>
      <c r="C375" s="16" t="n">
        <v>18199</v>
      </c>
      <c r="D375" s="16" t="n">
        <v>18194</v>
      </c>
      <c r="E375" s="16" t="n">
        <v>17421</v>
      </c>
      <c r="F375" s="38" t="n">
        <v>662193</v>
      </c>
      <c r="G375" s="38" t="n">
        <v>1211614</v>
      </c>
      <c r="H375" s="38" t="n">
        <v>699070</v>
      </c>
      <c r="I375" s="38" t="n">
        <v>1211614</v>
      </c>
      <c r="J375" s="19">
        <f>(I375-H375)/1000</f>
        <v/>
      </c>
      <c r="K375" s="16" t="inlineStr">
        <is>
          <t>Yes</t>
        </is>
      </c>
      <c r="L375" s="16" t="n">
        <v>118</v>
      </c>
      <c r="M375" s="39" t="inlineStr">
        <is>
          <t>IBH 265, Murhesi Rampur(MSRP), IBH/LC-258, Jajjanpatti(JJA), DhaurmuiJaghina(DUM), IBH-247</t>
        </is>
      </c>
    </row>
    <row r="376" ht="64" customHeight="1">
      <c r="A376" s="16" t="inlineStr">
        <is>
          <t>14 Jun</t>
        </is>
      </c>
      <c r="B376" s="16" t="inlineStr">
        <is>
          <t>37086</t>
        </is>
      </c>
      <c r="C376" s="16" t="n">
        <v>21540</v>
      </c>
      <c r="D376" s="16" t="n">
        <v>21518</v>
      </c>
      <c r="E376" s="16" t="n">
        <v>19958</v>
      </c>
      <c r="F376" s="38" t="n">
        <v>656328</v>
      </c>
      <c r="G376" s="38" t="n">
        <v>1173151</v>
      </c>
      <c r="H376" s="38" t="n">
        <v>699078</v>
      </c>
      <c r="I376" s="38" t="n">
        <v>1173151</v>
      </c>
      <c r="J376" s="19">
        <f>(I376-H376)/1000</f>
        <v/>
      </c>
      <c r="K376" s="16" t="inlineStr">
        <is>
          <t>Yes</t>
        </is>
      </c>
      <c r="L376" s="16" t="n">
        <v>109</v>
      </c>
      <c r="M376" s="39" t="inlineStr">
        <is>
          <t>IBH 265, Murhesi Rampur(MSRP), IBH/LC-258, Jajjanpatti(JJA), DhaurmuiJaghina(DUM), IBH-247, Bharatpur Jn.(BTE), IBH-242, Sewar(SWAR), IBH-JCU, LC-232, Pingora(PNGR), IBH-229, 2.35 KM from KEV, Kela Devi(KEV)</t>
        </is>
      </c>
    </row>
    <row r="377" ht="64" customHeight="1">
      <c r="A377" s="16" t="inlineStr">
        <is>
          <t>14 Jun</t>
        </is>
      </c>
      <c r="B377" s="16" t="inlineStr">
        <is>
          <t>37275</t>
        </is>
      </c>
      <c r="C377" s="16" t="n">
        <v>20675</v>
      </c>
      <c r="D377" s="16" t="n">
        <v>20674</v>
      </c>
      <c r="E377" s="16" t="n">
        <v>19644</v>
      </c>
      <c r="F377" s="38" t="n">
        <v>661530</v>
      </c>
      <c r="G377" s="38" t="n">
        <v>1172539</v>
      </c>
      <c r="H377" s="38" t="n">
        <v>699079</v>
      </c>
      <c r="I377" s="38" t="n">
        <v>1172539</v>
      </c>
      <c r="J377" s="19">
        <f>(I377-H377)/1000</f>
        <v/>
      </c>
      <c r="K377" s="16" t="inlineStr">
        <is>
          <t>Yes</t>
        </is>
      </c>
      <c r="L377" s="16" t="n">
        <v>108</v>
      </c>
      <c r="M377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78" ht="64" customHeight="1">
      <c r="A378" s="16" t="inlineStr">
        <is>
          <t>14 Jun</t>
        </is>
      </c>
      <c r="B378" s="16" t="inlineStr">
        <is>
          <t>37163</t>
        </is>
      </c>
      <c r="C378" s="16" t="n">
        <v>18975</v>
      </c>
      <c r="D378" s="16" t="n">
        <v>18949</v>
      </c>
      <c r="E378" s="16" t="n">
        <v>17326</v>
      </c>
      <c r="F378" s="38" t="n">
        <v>656321</v>
      </c>
      <c r="G378" s="38" t="n">
        <v>1169680</v>
      </c>
      <c r="H378" s="38" t="n">
        <v>699074</v>
      </c>
      <c r="I378" s="38" t="n">
        <v>1169680</v>
      </c>
      <c r="J378" s="19">
        <f>(I378-H378)/1000</f>
        <v/>
      </c>
      <c r="K378" s="16" t="inlineStr">
        <is>
          <t>Yes</t>
        </is>
      </c>
      <c r="L378" s="16" t="n">
        <v>108</v>
      </c>
      <c r="M378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79" ht="79" customHeight="1">
      <c r="A379" s="16" t="inlineStr">
        <is>
          <t>14 Jun</t>
        </is>
      </c>
      <c r="B379" s="16" t="inlineStr">
        <is>
          <t>39331</t>
        </is>
      </c>
      <c r="C379" s="16" t="n">
        <v>20494</v>
      </c>
      <c r="D379" s="16" t="n">
        <v>20466</v>
      </c>
      <c r="E379" s="16" t="n">
        <v>19380</v>
      </c>
      <c r="F379" s="38" t="n">
        <v>787521</v>
      </c>
      <c r="G379" s="38" t="n">
        <v>1447658</v>
      </c>
      <c r="H379" s="38" t="n">
        <v>787521</v>
      </c>
      <c r="I379" s="38" t="n">
        <v>1240715</v>
      </c>
      <c r="J379" s="19">
        <f>(I379-H379)/1000</f>
        <v/>
      </c>
      <c r="K379" s="16" t="inlineStr">
        <is>
          <t>Yes</t>
        </is>
      </c>
      <c r="L379" s="16" t="n">
        <v>104</v>
      </c>
      <c r="M379" s="39" t="inlineStr">
        <is>
          <t>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0" ht="169" customHeight="1">
      <c r="A380" s="16" t="inlineStr">
        <is>
          <t>14 Jun</t>
        </is>
      </c>
      <c r="B380" s="16" t="inlineStr">
        <is>
          <t>37369</t>
        </is>
      </c>
      <c r="C380" s="16" t="n">
        <v>20811</v>
      </c>
      <c r="D380" s="16" t="n">
        <v>20745</v>
      </c>
      <c r="E380" s="16" t="n">
        <v>20380</v>
      </c>
      <c r="F380" s="38" t="n">
        <v>696329</v>
      </c>
      <c r="G380" s="38" t="n">
        <v>1028929</v>
      </c>
      <c r="H380" s="38" t="n">
        <v>699078</v>
      </c>
      <c r="I380" s="38" t="n">
        <v>1028929</v>
      </c>
      <c r="J380" s="19">
        <f>(I380-H380)/1000</f>
        <v/>
      </c>
      <c r="K380" s="16" t="inlineStr">
        <is>
          <t>Yes</t>
        </is>
      </c>
      <c r="L380" s="16" t="n">
        <v>77</v>
      </c>
      <c r="M38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81" ht="169" customHeight="1">
      <c r="A381" s="16" t="inlineStr">
        <is>
          <t>14 Jun</t>
        </is>
      </c>
      <c r="B381" s="16" t="inlineStr">
        <is>
          <t>37471</t>
        </is>
      </c>
      <c r="C381" s="16" t="n">
        <v>13500</v>
      </c>
      <c r="D381" s="16" t="n">
        <v>13299</v>
      </c>
      <c r="E381" s="16" t="n">
        <v>12335</v>
      </c>
      <c r="F381" s="38" t="n">
        <v>658852</v>
      </c>
      <c r="G381" s="38" t="n">
        <v>1028758</v>
      </c>
      <c r="H381" s="38" t="n">
        <v>699086</v>
      </c>
      <c r="I381" s="38" t="n">
        <v>1028758</v>
      </c>
      <c r="J381" s="19">
        <f>(I381-H381)/1000</f>
        <v/>
      </c>
      <c r="K381" s="16" t="inlineStr">
        <is>
          <t>Yes</t>
        </is>
      </c>
      <c r="L381" s="16" t="n">
        <v>77</v>
      </c>
      <c r="M38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82" ht="169" customHeight="1">
      <c r="A382" s="16" t="inlineStr">
        <is>
          <t>14 Jun</t>
        </is>
      </c>
      <c r="B382" s="16" t="inlineStr">
        <is>
          <t>37793</t>
        </is>
      </c>
      <c r="C382" s="16" t="n">
        <v>14579</v>
      </c>
      <c r="D382" s="16" t="n">
        <v>14357</v>
      </c>
      <c r="E382" s="16" t="n">
        <v>14288</v>
      </c>
      <c r="F382" s="38" t="n">
        <v>696816</v>
      </c>
      <c r="G382" s="38" t="n">
        <v>1028476</v>
      </c>
      <c r="H382" s="38" t="n">
        <v>699079</v>
      </c>
      <c r="I382" s="38" t="n">
        <v>1028476</v>
      </c>
      <c r="J382" s="19">
        <f>(I382-H382)/1000</f>
        <v/>
      </c>
      <c r="K382" s="16" t="inlineStr">
        <is>
          <t>Yes</t>
        </is>
      </c>
      <c r="L382" s="16" t="n">
        <v>77</v>
      </c>
      <c r="M38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83" ht="169" customHeight="1">
      <c r="A383" s="16" t="inlineStr">
        <is>
          <t>14 Jun</t>
        </is>
      </c>
      <c r="B383" s="16" t="inlineStr">
        <is>
          <t>37466</t>
        </is>
      </c>
      <c r="C383" s="16" t="n">
        <v>253</v>
      </c>
      <c r="D383" s="16" t="n">
        <v>173</v>
      </c>
      <c r="E383" s="16" t="n">
        <v>145</v>
      </c>
      <c r="F383" s="38" t="n">
        <v>6089</v>
      </c>
      <c r="G383" s="38" t="n">
        <v>1029098</v>
      </c>
      <c r="H383" s="38" t="n">
        <v>701632</v>
      </c>
      <c r="I383" s="38" t="n">
        <v>1029098</v>
      </c>
      <c r="J383" s="19">
        <f>(I383-H383)/1000</f>
        <v/>
      </c>
      <c r="K383" s="16" t="inlineStr">
        <is>
          <t>Yes</t>
        </is>
      </c>
      <c r="L383" s="16" t="n">
        <v>77</v>
      </c>
      <c r="M38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84" ht="184" customHeight="1">
      <c r="A384" s="16" t="inlineStr">
        <is>
          <t>14 Jun</t>
        </is>
      </c>
      <c r="B384" s="16" t="inlineStr">
        <is>
          <t>30488</t>
        </is>
      </c>
      <c r="C384" s="16" t="n">
        <v>12304</v>
      </c>
      <c r="D384" s="16" t="n">
        <v>12273</v>
      </c>
      <c r="E384" s="16" t="n">
        <v>11361</v>
      </c>
      <c r="F384" s="38" t="n">
        <v>921249</v>
      </c>
      <c r="G384" s="38" t="n">
        <v>1499296</v>
      </c>
      <c r="H384" s="38" t="n">
        <v>921249</v>
      </c>
      <c r="I384" s="38" t="n">
        <v>1242965</v>
      </c>
      <c r="J384" s="19">
        <f>(I384-H384)/1000</f>
        <v/>
      </c>
      <c r="K384" s="16" t="inlineStr">
        <is>
          <t>Yes</t>
        </is>
      </c>
      <c r="L384" s="16" t="n">
        <v>78</v>
      </c>
      <c r="M38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5" ht="184" customHeight="1">
      <c r="A385" s="16" t="inlineStr">
        <is>
          <t>14 Jun</t>
        </is>
      </c>
      <c r="B385" s="16" t="inlineStr">
        <is>
          <t>30339</t>
        </is>
      </c>
      <c r="C385" s="16" t="n">
        <v>20059</v>
      </c>
      <c r="D385" s="16" t="n">
        <v>20020</v>
      </c>
      <c r="E385" s="16" t="n">
        <v>19700</v>
      </c>
      <c r="F385" s="38" t="n">
        <v>921481</v>
      </c>
      <c r="G385" s="38" t="n">
        <v>1436679</v>
      </c>
      <c r="H385" s="38" t="n">
        <v>921481</v>
      </c>
      <c r="I385" s="38" t="n">
        <v>1242965</v>
      </c>
      <c r="J385" s="19">
        <f>(I385-H385)/1000</f>
        <v/>
      </c>
      <c r="K385" s="16" t="inlineStr">
        <is>
          <t>Yes</t>
        </is>
      </c>
      <c r="L385" s="16" t="n">
        <v>78</v>
      </c>
      <c r="M38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6" ht="184" customHeight="1">
      <c r="A386" s="16" t="inlineStr">
        <is>
          <t>14 Jun</t>
        </is>
      </c>
      <c r="B386" s="16" t="inlineStr">
        <is>
          <t>30464</t>
        </is>
      </c>
      <c r="C386" s="16" t="n">
        <v>13958</v>
      </c>
      <c r="D386" s="16" t="n">
        <v>13803</v>
      </c>
      <c r="E386" s="16" t="n">
        <v>11589</v>
      </c>
      <c r="F386" s="38" t="n">
        <v>921488</v>
      </c>
      <c r="G386" s="38" t="n">
        <v>1499333</v>
      </c>
      <c r="H386" s="38" t="n">
        <v>921488</v>
      </c>
      <c r="I386" s="38" t="n">
        <v>1240713</v>
      </c>
      <c r="J386" s="19">
        <f>(I386-H386)/1000</f>
        <v/>
      </c>
      <c r="K386" s="16" t="inlineStr">
        <is>
          <t>Yes</t>
        </is>
      </c>
      <c r="L386" s="16" t="n">
        <v>78</v>
      </c>
      <c r="M38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7" ht="184" customHeight="1">
      <c r="A387" s="16" t="inlineStr">
        <is>
          <t>14 Jun</t>
        </is>
      </c>
      <c r="B387" s="16" t="inlineStr">
        <is>
          <t>30335</t>
        </is>
      </c>
      <c r="C387" s="16" t="n">
        <v>11207</v>
      </c>
      <c r="D387" s="16" t="n">
        <v>11196</v>
      </c>
      <c r="E387" s="16" t="n">
        <v>10714</v>
      </c>
      <c r="F387" s="38" t="n">
        <v>921757</v>
      </c>
      <c r="G387" s="38" t="n">
        <v>1448999</v>
      </c>
      <c r="H387" s="38" t="n">
        <v>921757</v>
      </c>
      <c r="I387" s="38" t="n">
        <v>1240549</v>
      </c>
      <c r="J387" s="19">
        <f>(I387-H387)/1000</f>
        <v/>
      </c>
      <c r="K387" s="16" t="inlineStr">
        <is>
          <t>Yes</t>
        </is>
      </c>
      <c r="L387" s="16" t="n">
        <v>78</v>
      </c>
      <c r="M38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8" ht="184" customHeight="1">
      <c r="A388" s="16" t="inlineStr">
        <is>
          <t>14 Jun</t>
        </is>
      </c>
      <c r="B388" s="16" t="inlineStr">
        <is>
          <t>39125</t>
        </is>
      </c>
      <c r="C388" s="16" t="n">
        <v>4871</v>
      </c>
      <c r="D388" s="16" t="n">
        <v>4423</v>
      </c>
      <c r="E388" s="16" t="n">
        <v>4423</v>
      </c>
      <c r="F388" s="38" t="n">
        <v>745061</v>
      </c>
      <c r="G388" s="38" t="n">
        <v>1028733</v>
      </c>
      <c r="H388" s="38" t="n">
        <v>745061</v>
      </c>
      <c r="I388" s="38" t="n">
        <v>1028733</v>
      </c>
      <c r="J388" s="19">
        <f>(I388-H388)/1000</f>
        <v/>
      </c>
      <c r="K388" s="16" t="inlineStr">
        <is>
          <t>Yes</t>
        </is>
      </c>
      <c r="L388" s="16" t="n">
        <v>67</v>
      </c>
      <c r="M38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IBH-23, VikramgarhA lot(VMA), IBH-17  ...(+7 more)</t>
        </is>
      </c>
    </row>
    <row r="389" ht="199" customHeight="1">
      <c r="A389" s="16" t="inlineStr">
        <is>
          <t>14 Jun</t>
        </is>
      </c>
      <c r="B389" s="16" t="inlineStr">
        <is>
          <t>37257</t>
        </is>
      </c>
      <c r="C389" s="16" t="n">
        <v>31925</v>
      </c>
      <c r="D389" s="16" t="n">
        <v>31689</v>
      </c>
      <c r="E389" s="16" t="n">
        <v>31689</v>
      </c>
      <c r="F389" s="38" t="n">
        <v>920754</v>
      </c>
      <c r="G389" s="38" t="n">
        <v>1172579</v>
      </c>
      <c r="H389" s="38" t="n">
        <v>920754</v>
      </c>
      <c r="I389" s="38" t="n">
        <v>1172579</v>
      </c>
      <c r="J389" s="19">
        <f>(I389-H389)/1000</f>
        <v/>
      </c>
      <c r="K389" s="16" t="inlineStr">
        <is>
          <t>Yes</t>
        </is>
      </c>
      <c r="L389" s="16" t="n">
        <v>62</v>
      </c>
      <c r="M389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90" ht="199" customHeight="1">
      <c r="A390" s="16" t="inlineStr">
        <is>
          <t>14 Jun</t>
        </is>
      </c>
      <c r="B390" s="16" t="inlineStr">
        <is>
          <t>37355</t>
        </is>
      </c>
      <c r="C390" s="16" t="n">
        <v>17931</v>
      </c>
      <c r="D390" s="16" t="n">
        <v>17912</v>
      </c>
      <c r="E390" s="16" t="n">
        <v>17912</v>
      </c>
      <c r="F390" s="38" t="n">
        <v>920758</v>
      </c>
      <c r="G390" s="38" t="n">
        <v>1169643</v>
      </c>
      <c r="H390" s="38" t="n">
        <v>920758</v>
      </c>
      <c r="I390" s="38" t="n">
        <v>1169643</v>
      </c>
      <c r="J390" s="19">
        <f>(I390-H390)/1000</f>
        <v/>
      </c>
      <c r="K390" s="16" t="inlineStr">
        <is>
          <t>Yes</t>
        </is>
      </c>
      <c r="L390" s="16" t="n">
        <v>62</v>
      </c>
      <c r="M390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91" ht="184" customHeight="1">
      <c r="A391" s="16" t="inlineStr">
        <is>
          <t>14 Jun</t>
        </is>
      </c>
      <c r="B391" s="16" t="inlineStr">
        <is>
          <t>37063</t>
        </is>
      </c>
      <c r="C391" s="16" t="n">
        <v>10491</v>
      </c>
      <c r="D391" s="16" t="n">
        <v>10486</v>
      </c>
      <c r="E391" s="16" t="n">
        <v>10486</v>
      </c>
      <c r="F391" s="38" t="n">
        <v>921758</v>
      </c>
      <c r="G391" s="38" t="n">
        <v>1092450</v>
      </c>
      <c r="H391" s="38" t="n">
        <v>921758</v>
      </c>
      <c r="I391" s="38" t="n">
        <v>1092450</v>
      </c>
      <c r="J391" s="19">
        <f>(I391-H391)/1000</f>
        <v/>
      </c>
      <c r="K391" s="16" t="inlineStr">
        <is>
          <t>Yes</t>
        </is>
      </c>
      <c r="L391" s="16" t="n">
        <v>45</v>
      </c>
      <c r="M39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KOTA SOUTH, DakaniyaTalav(DKNT), Dadhdevi(DDV), ALNI/DDV, Alniya(ALNI), IBH DHANIKASAR, Ravtha Road(RDT), IBH-95(7.25KM FROM DARA), Dara(DARA), IBH KIW-DARA, Kanwalpura(KIW), 2.85 KM from MKX, Morak(MKX), IBH RMA-MKX, RamganjMandi(RMA), IBH-79, Jhalawar Road(JHW)  ...(+29 more)</t>
        </is>
      </c>
    </row>
    <row r="392" ht="184" customHeight="1">
      <c r="A392" s="16" t="inlineStr">
        <is>
          <t>14 Jun</t>
        </is>
      </c>
      <c r="B392" s="16" t="inlineStr">
        <is>
          <t>37322</t>
        </is>
      </c>
      <c r="C392" s="16" t="n">
        <v>6683</v>
      </c>
      <c r="D392" s="16" t="n">
        <v>6666</v>
      </c>
      <c r="E392" s="16" t="n">
        <v>5727</v>
      </c>
      <c r="F392" s="38" t="n">
        <v>661634</v>
      </c>
      <c r="G392" s="38" t="n">
        <v>866214</v>
      </c>
      <c r="H392" s="38" t="n">
        <v>699079</v>
      </c>
      <c r="I392" s="38" t="n">
        <v>866214</v>
      </c>
      <c r="J392" s="19">
        <f>(I392-H392)/1000</f>
        <v/>
      </c>
      <c r="K392" s="16" t="inlineStr">
        <is>
          <t>Yes</t>
        </is>
      </c>
      <c r="L392" s="16" t="n">
        <v>36</v>
      </c>
      <c r="M39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...(+38 more)</t>
        </is>
      </c>
    </row>
    <row r="393" ht="184" customHeight="1">
      <c r="A393" s="16" t="inlineStr">
        <is>
          <t>14 Jun</t>
        </is>
      </c>
      <c r="B393" s="16" t="inlineStr">
        <is>
          <t>39199</t>
        </is>
      </c>
      <c r="C393" s="16" t="n">
        <v>6938</v>
      </c>
      <c r="D393" s="16" t="n">
        <v>6924</v>
      </c>
      <c r="E393" s="16" t="n">
        <v>6805</v>
      </c>
      <c r="F393" s="38" t="n">
        <v>696818</v>
      </c>
      <c r="G393" s="38" t="n">
        <v>865644</v>
      </c>
      <c r="H393" s="38" t="n">
        <v>699076</v>
      </c>
      <c r="I393" s="38" t="n">
        <v>865644</v>
      </c>
      <c r="J393" s="19">
        <f>(I393-H393)/1000</f>
        <v/>
      </c>
      <c r="K393" s="16" t="inlineStr">
        <is>
          <t>Yes</t>
        </is>
      </c>
      <c r="L393" s="16" t="n">
        <v>36</v>
      </c>
      <c r="M39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...(+38 more)</t>
        </is>
      </c>
    </row>
    <row r="394" ht="184" customHeight="1">
      <c r="A394" s="16" t="inlineStr">
        <is>
          <t>14 Jun</t>
        </is>
      </c>
      <c r="B394" s="16" t="inlineStr">
        <is>
          <t>39072</t>
        </is>
      </c>
      <c r="C394" s="16" t="n">
        <v>3829</v>
      </c>
      <c r="D394" s="16" t="n">
        <v>3797</v>
      </c>
      <c r="E394" s="16" t="n">
        <v>805</v>
      </c>
      <c r="F394" s="38" t="n">
        <v>1077902</v>
      </c>
      <c r="G394" s="38" t="n">
        <v>1404179</v>
      </c>
      <c r="H394" s="38" t="n">
        <v>1077902</v>
      </c>
      <c r="I394" s="38" t="n">
        <v>1243912</v>
      </c>
      <c r="J394" s="19">
        <f>(I394-H394)/1000</f>
        <v/>
      </c>
      <c r="K394" s="16" t="inlineStr">
        <is>
          <t>Yes</t>
        </is>
      </c>
      <c r="L394" s="16" t="n">
        <v>37</v>
      </c>
      <c r="M394" s="39" t="inlineStr">
        <is>
          <t>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  ...(+37 more)</t>
        </is>
      </c>
    </row>
    <row r="395" ht="184" customHeight="1">
      <c r="A395" s="16" t="inlineStr">
        <is>
          <t>14 Jun</t>
        </is>
      </c>
      <c r="B395" s="16" t="inlineStr">
        <is>
          <t>39014</t>
        </is>
      </c>
      <c r="C395" s="16" t="n">
        <v>10097</v>
      </c>
      <c r="D395" s="16" t="n">
        <v>10081</v>
      </c>
      <c r="E395" s="16" t="n">
        <v>6715</v>
      </c>
      <c r="F395" s="38" t="n">
        <v>1092474</v>
      </c>
      <c r="G395" s="38" t="n">
        <v>1516094</v>
      </c>
      <c r="H395" s="38" t="n">
        <v>1092474</v>
      </c>
      <c r="I395" s="38" t="n">
        <v>1242956</v>
      </c>
      <c r="J395" s="19">
        <f>(I395-H395)/1000</f>
        <v/>
      </c>
      <c r="K395" s="16" t="inlineStr">
        <is>
          <t>Yes</t>
        </is>
      </c>
      <c r="L395" s="16" t="n">
        <v>34</v>
      </c>
      <c r="M395" s="39" t="inlineStr">
        <is>
          <t>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  ...(+40 more)</t>
        </is>
      </c>
    </row>
    <row r="396" ht="184" customHeight="1">
      <c r="A396" s="16" t="inlineStr">
        <is>
          <t>14 Jun</t>
        </is>
      </c>
      <c r="B396" s="16" t="inlineStr">
        <is>
          <t>37035</t>
        </is>
      </c>
      <c r="C396" s="16" t="n">
        <v>9424</v>
      </c>
      <c r="D396" s="16" t="n">
        <v>9353</v>
      </c>
      <c r="E396" s="16" t="n">
        <v>9353</v>
      </c>
      <c r="F396" s="38" t="n">
        <v>920371</v>
      </c>
      <c r="G396" s="38" t="n">
        <v>1028906</v>
      </c>
      <c r="H396" s="38" t="n">
        <v>920371</v>
      </c>
      <c r="I396" s="38" t="n">
        <v>1028906</v>
      </c>
      <c r="J396" s="19">
        <f>(I396-H396)/1000</f>
        <v/>
      </c>
      <c r="K396" s="16" t="inlineStr">
        <is>
          <t>Yes</t>
        </is>
      </c>
      <c r="L396" s="16" t="n">
        <v>31</v>
      </c>
      <c r="M39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97" ht="184" customHeight="1">
      <c r="A397" s="16" t="inlineStr">
        <is>
          <t>14 Jun</t>
        </is>
      </c>
      <c r="B397" s="16" t="inlineStr">
        <is>
          <t>37629</t>
        </is>
      </c>
      <c r="C397" s="16" t="n">
        <v>2437</v>
      </c>
      <c r="D397" s="16" t="n">
        <v>2116</v>
      </c>
      <c r="E397" s="16" t="n">
        <v>1947</v>
      </c>
      <c r="F397" s="38" t="n">
        <v>851</v>
      </c>
      <c r="G397" s="38" t="n">
        <v>1027258</v>
      </c>
      <c r="H397" s="38" t="n">
        <v>922043</v>
      </c>
      <c r="I397" s="38" t="n">
        <v>1027258</v>
      </c>
      <c r="J397" s="19">
        <f>(I397-H397)/1000</f>
        <v/>
      </c>
      <c r="K397" s="16" t="inlineStr">
        <is>
          <t>Yes</t>
        </is>
      </c>
      <c r="L397" s="16" t="n">
        <v>31</v>
      </c>
      <c r="M39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98" ht="184" customHeight="1">
      <c r="A398" s="16" t="inlineStr">
        <is>
          <t>14 Jun</t>
        </is>
      </c>
      <c r="B398" s="16" t="inlineStr">
        <is>
          <t>39421</t>
        </is>
      </c>
      <c r="C398" s="16" t="n">
        <v>4031</v>
      </c>
      <c r="D398" s="16" t="n">
        <v>4029</v>
      </c>
      <c r="E398" s="16" t="n">
        <v>1254</v>
      </c>
      <c r="F398" s="38" t="n">
        <v>1143567</v>
      </c>
      <c r="G398" s="38" t="n">
        <v>1399797</v>
      </c>
      <c r="H398" s="38" t="n">
        <v>1143567</v>
      </c>
      <c r="I398" s="38" t="n">
        <v>1243784</v>
      </c>
      <c r="J398" s="19">
        <f>(I398-H398)/1000</f>
        <v/>
      </c>
      <c r="K398" s="16" t="inlineStr">
        <is>
          <t>Yes</t>
        </is>
      </c>
      <c r="L398" s="16" t="n">
        <v>24</v>
      </c>
      <c r="M398" s="39" t="inlineStr">
        <is>
          <t>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  ...(+50 more)</t>
        </is>
      </c>
    </row>
    <row r="399" ht="184" customHeight="1">
      <c r="A399" s="16" t="inlineStr">
        <is>
          <t>14 Jun</t>
        </is>
      </c>
      <c r="B399" s="16" t="inlineStr">
        <is>
          <t>30397</t>
        </is>
      </c>
      <c r="C399" s="16" t="n">
        <v>6074</v>
      </c>
      <c r="D399" s="16" t="n">
        <v>6067</v>
      </c>
      <c r="E399" s="16" t="n">
        <v>4257</v>
      </c>
      <c r="F399" s="38" t="n">
        <v>1143516</v>
      </c>
      <c r="G399" s="38" t="n">
        <v>1479192</v>
      </c>
      <c r="H399" s="38" t="n">
        <v>1143516</v>
      </c>
      <c r="I399" s="38" t="n">
        <v>1240688</v>
      </c>
      <c r="J399" s="19">
        <f>(I399-H399)/1000</f>
        <v/>
      </c>
      <c r="K399" s="16" t="inlineStr">
        <is>
          <t>Yes</t>
        </is>
      </c>
      <c r="L399" s="16" t="n">
        <v>24</v>
      </c>
      <c r="M399" s="39" t="inlineStr">
        <is>
          <t>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  ...(+50 more)</t>
        </is>
      </c>
    </row>
    <row r="400" ht="184" customHeight="1">
      <c r="A400" s="16" t="inlineStr">
        <is>
          <t>14 Jun</t>
        </is>
      </c>
      <c r="B400" s="16" t="inlineStr">
        <is>
          <t>39340</t>
        </is>
      </c>
      <c r="C400" s="16" t="n">
        <v>2884</v>
      </c>
      <c r="D400" s="16" t="n">
        <v>2525</v>
      </c>
      <c r="E400" s="16" t="n">
        <v>223</v>
      </c>
      <c r="F400" s="38" t="n">
        <v>1153905</v>
      </c>
      <c r="G400" s="38" t="n">
        <v>1499124</v>
      </c>
      <c r="H400" s="38" t="n">
        <v>1153905</v>
      </c>
      <c r="I400" s="38" t="n">
        <v>1243539</v>
      </c>
      <c r="J400" s="19">
        <f>(I400-H400)/1000</f>
        <v/>
      </c>
      <c r="K400" s="16" t="inlineStr">
        <is>
          <t>Yes</t>
        </is>
      </c>
      <c r="L400" s="16" t="n">
        <v>22</v>
      </c>
      <c r="M400" s="39" t="inlineStr">
        <is>
          <t>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  ...(+52 more)</t>
        </is>
      </c>
    </row>
    <row r="401" ht="184" customHeight="1">
      <c r="A401" s="16" t="inlineStr">
        <is>
          <t>14 Jun</t>
        </is>
      </c>
      <c r="B401" s="16" t="inlineStr">
        <is>
          <t>39500</t>
        </is>
      </c>
      <c r="C401" s="16" t="n">
        <v>87</v>
      </c>
      <c r="D401" s="16" t="n">
        <v>87</v>
      </c>
      <c r="E401" s="16" t="n">
        <v>32</v>
      </c>
      <c r="F401" s="38" t="n">
        <v>1162383</v>
      </c>
      <c r="G401" s="38" t="n">
        <v>1407437</v>
      </c>
      <c r="H401" s="38" t="n">
        <v>1162383</v>
      </c>
      <c r="I401" s="38" t="n">
        <v>1241618</v>
      </c>
      <c r="J401" s="19">
        <f>(I401-H401)/1000</f>
        <v/>
      </c>
      <c r="K401" s="16" t="inlineStr">
        <is>
          <t>Yes</t>
        </is>
      </c>
      <c r="L401" s="16" t="n">
        <v>21</v>
      </c>
      <c r="M401" s="39" t="inlineStr">
        <is>
          <t>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  ...(+53 more)</t>
        </is>
      </c>
    </row>
    <row r="402" ht="184" customHeight="1">
      <c r="A402" s="16" t="inlineStr">
        <is>
          <t>14 Jun</t>
        </is>
      </c>
      <c r="B402" s="16" t="inlineStr">
        <is>
          <t>39155</t>
        </is>
      </c>
      <c r="C402" s="16" t="n">
        <v>49</v>
      </c>
      <c r="D402" s="16" t="n">
        <v>46</v>
      </c>
      <c r="E402" s="16" t="n">
        <v>46</v>
      </c>
      <c r="F402" s="38" t="n">
        <v>1158023</v>
      </c>
      <c r="G402" s="38" t="n">
        <v>1230805</v>
      </c>
      <c r="H402" s="38" t="n">
        <v>1158023</v>
      </c>
      <c r="I402" s="38" t="n">
        <v>1230805</v>
      </c>
      <c r="J402" s="19">
        <f>(I402-H402)/1000</f>
        <v/>
      </c>
      <c r="K402" s="16" t="inlineStr">
        <is>
          <t>Yes</t>
        </is>
      </c>
      <c r="L402" s="16" t="n">
        <v>19</v>
      </c>
      <c r="M402" s="39" t="inlineStr">
        <is>
          <t>IBH 265, Murhesi Rampur(MSRP),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  ...(+55 more)</t>
        </is>
      </c>
    </row>
    <row r="403" ht="184" customHeight="1">
      <c r="A403" s="16" t="inlineStr">
        <is>
          <t>14 Jun</t>
        </is>
      </c>
      <c r="B403" s="16" t="inlineStr">
        <is>
          <t>37054</t>
        </is>
      </c>
      <c r="C403" s="16" t="n">
        <v>1514</v>
      </c>
      <c r="D403" s="16" t="n">
        <v>1514</v>
      </c>
      <c r="E403" s="16" t="n">
        <v>108</v>
      </c>
      <c r="F403" s="38" t="n">
        <v>1211119</v>
      </c>
      <c r="G403" s="38" t="n">
        <v>1436177</v>
      </c>
      <c r="H403" s="38" t="n">
        <v>1211119</v>
      </c>
      <c r="I403" s="38" t="n">
        <v>1242362</v>
      </c>
      <c r="J403" s="19">
        <f>(I403-H403)/1000</f>
        <v/>
      </c>
      <c r="K403" s="16" t="inlineStr">
        <is>
          <t>Yes</t>
        </is>
      </c>
      <c r="L403" s="16" t="n">
        <v>7</v>
      </c>
      <c r="M403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404" ht="184" customHeight="1">
      <c r="A404" s="16" t="inlineStr">
        <is>
          <t>14 Jun</t>
        </is>
      </c>
      <c r="B404" s="16" t="inlineStr">
        <is>
          <t>30334</t>
        </is>
      </c>
      <c r="C404" s="16" t="n">
        <v>1163</v>
      </c>
      <c r="D404" s="16" t="n">
        <v>1134</v>
      </c>
      <c r="E404" s="16" t="n">
        <v>1134</v>
      </c>
      <c r="F404" s="38" t="n">
        <v>1212521</v>
      </c>
      <c r="G404" s="38" t="n">
        <v>1242984</v>
      </c>
      <c r="H404" s="38" t="n">
        <v>1212521</v>
      </c>
      <c r="I404" s="38" t="n">
        <v>1242984</v>
      </c>
      <c r="J404" s="19">
        <f>(I404-H404)/1000</f>
        <v/>
      </c>
      <c r="K404" s="16" t="inlineStr">
        <is>
          <t>Yes</t>
        </is>
      </c>
      <c r="L404" s="16" t="n">
        <v>7</v>
      </c>
      <c r="M404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405" ht="184" customHeight="1">
      <c r="A405" s="16" t="inlineStr">
        <is>
          <t>14 Jun</t>
        </is>
      </c>
      <c r="B405" s="16" t="inlineStr">
        <is>
          <t>39403</t>
        </is>
      </c>
      <c r="C405" s="16" t="n">
        <v>355</v>
      </c>
      <c r="D405" s="16" t="n">
        <v>351</v>
      </c>
      <c r="E405" s="16" t="n">
        <v>15</v>
      </c>
      <c r="F405" s="38" t="n">
        <v>1213339</v>
      </c>
      <c r="G405" s="38" t="n">
        <v>1437008</v>
      </c>
      <c r="H405" s="38" t="n">
        <v>1213339</v>
      </c>
      <c r="I405" s="38" t="n">
        <v>1243239</v>
      </c>
      <c r="J405" s="19">
        <f>(I405-H405)/1000</f>
        <v/>
      </c>
      <c r="K405" s="16" t="inlineStr">
        <is>
          <t>Yes</t>
        </is>
      </c>
      <c r="L405" s="16" t="n">
        <v>7</v>
      </c>
      <c r="M405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406" ht="184" customHeight="1">
      <c r="A406" s="16" t="inlineStr">
        <is>
          <t>14 Jun</t>
        </is>
      </c>
      <c r="B406" s="16" t="inlineStr">
        <is>
          <t>30716</t>
        </is>
      </c>
      <c r="C406" s="16" t="n">
        <v>2553</v>
      </c>
      <c r="D406" s="16" t="n">
        <v>2546</v>
      </c>
      <c r="E406" s="16" t="n">
        <v>241</v>
      </c>
      <c r="F406" s="38" t="n">
        <v>1229006</v>
      </c>
      <c r="G406" s="38" t="n">
        <v>1430170</v>
      </c>
      <c r="H406" s="38" t="n">
        <v>1229006</v>
      </c>
      <c r="I406" s="38" t="n">
        <v>1243782</v>
      </c>
      <c r="J406" s="19">
        <f>(I406-H406)/1000</f>
        <v/>
      </c>
      <c r="K406" s="16" t="inlineStr">
        <is>
          <t>Yes</t>
        </is>
      </c>
      <c r="L406" s="16" t="n">
        <v>4</v>
      </c>
      <c r="M406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407" ht="184" customHeight="1">
      <c r="A407" s="16" t="inlineStr">
        <is>
          <t>14 Jun</t>
        </is>
      </c>
      <c r="B407" s="16" t="inlineStr">
        <is>
          <t>39530</t>
        </is>
      </c>
      <c r="C407" s="16" t="n">
        <v>2732</v>
      </c>
      <c r="D407" s="16" t="n">
        <v>2725</v>
      </c>
      <c r="E407" s="16" t="n">
        <v>129</v>
      </c>
      <c r="F407" s="38" t="n">
        <v>1229417</v>
      </c>
      <c r="G407" s="38" t="n">
        <v>1496594</v>
      </c>
      <c r="H407" s="38" t="n">
        <v>1229417</v>
      </c>
      <c r="I407" s="38" t="n">
        <v>1243799</v>
      </c>
      <c r="J407" s="19">
        <f>(I407-H407)/1000</f>
        <v/>
      </c>
      <c r="K407" s="16" t="inlineStr">
        <is>
          <t>Yes</t>
        </is>
      </c>
      <c r="L407" s="16" t="n">
        <v>4</v>
      </c>
      <c r="M407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408" ht="184" customHeight="1">
      <c r="A408" s="16" t="inlineStr">
        <is>
          <t>14 Jun</t>
        </is>
      </c>
      <c r="B408" s="16" t="inlineStr">
        <is>
          <t>30006</t>
        </is>
      </c>
      <c r="C408" s="16" t="n">
        <v>33</v>
      </c>
      <c r="D408" s="16" t="n">
        <v>28</v>
      </c>
      <c r="E408" s="16" t="n">
        <v>2</v>
      </c>
      <c r="F408" s="38" t="n">
        <v>1232069</v>
      </c>
      <c r="G408" s="38" t="n">
        <v>1516196</v>
      </c>
      <c r="H408" s="38" t="n">
        <v>1232069</v>
      </c>
      <c r="I408" s="38" t="n">
        <v>1238507</v>
      </c>
      <c r="J408" s="19">
        <f>(I408-H408)/1000</f>
        <v/>
      </c>
      <c r="K408" s="16" t="inlineStr">
        <is>
          <t>Yes</t>
        </is>
      </c>
      <c r="L408" s="16" t="n">
        <v>3</v>
      </c>
      <c r="M408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409" ht="184" customHeight="1">
      <c r="A409" s="16" t="inlineStr">
        <is>
          <t>14 Jun</t>
        </is>
      </c>
      <c r="B409" s="16" t="inlineStr">
        <is>
          <t>30608</t>
        </is>
      </c>
      <c r="C409" s="16" t="n">
        <v>1467</v>
      </c>
      <c r="D409" s="16" t="n">
        <v>1467</v>
      </c>
      <c r="E409" s="16" t="n">
        <v>2</v>
      </c>
      <c r="F409" s="38" t="n">
        <v>1211099</v>
      </c>
      <c r="G409" s="38" t="n">
        <v>1436374</v>
      </c>
      <c r="H409" s="38" t="n">
        <v>1211099</v>
      </c>
      <c r="I409" s="38" t="n">
        <v>1213404</v>
      </c>
      <c r="J409" s="19">
        <f>(I409-H409)/1000</f>
        <v/>
      </c>
      <c r="K409" s="16" t="inlineStr">
        <is>
          <t>Yes</t>
        </is>
      </c>
      <c r="L409" s="16" t="n">
        <v>2</v>
      </c>
      <c r="M409" s="39" t="inlineStr">
        <is>
          <t>IBH 265, Murhesi Rampur(MSRP), IBH/LC-258, Jajjanpatti(JJA), DhaurmuiJaghina(DUM),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410" ht="184" customHeight="1">
      <c r="A410" s="31" t="inlineStr">
        <is>
          <t>14 Jun</t>
        </is>
      </c>
      <c r="B410" s="31" t="inlineStr">
        <is>
          <t>30302</t>
        </is>
      </c>
      <c r="C410" s="31" t="n">
        <v>674</v>
      </c>
      <c r="D410" s="31" t="n">
        <v>672</v>
      </c>
      <c r="E410" s="31" t="n">
        <v>0</v>
      </c>
      <c r="F410" s="40" t="n">
        <v>1401690</v>
      </c>
      <c r="G410" s="40" t="n">
        <v>1448284</v>
      </c>
      <c r="H410" s="40" t="inlineStr">
        <is>
          <t>-</t>
        </is>
      </c>
      <c r="I410" s="40" t="inlineStr">
        <is>
          <t>-</t>
        </is>
      </c>
      <c r="J410" s="41" t="n">
        <v>0</v>
      </c>
      <c r="K410" s="31" t="inlineStr">
        <is>
          <t>No</t>
        </is>
      </c>
      <c r="L410" s="31" t="n">
        <v>0</v>
      </c>
      <c r="M4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1" ht="184" customHeight="1">
      <c r="A411" s="31" t="inlineStr">
        <is>
          <t>14 Jun</t>
        </is>
      </c>
      <c r="B411" s="31" t="inlineStr">
        <is>
          <t>30396</t>
        </is>
      </c>
      <c r="C411" s="31" t="n">
        <v>565</v>
      </c>
      <c r="D411" s="31" t="n">
        <v>564</v>
      </c>
      <c r="E411" s="31" t="n">
        <v>0</v>
      </c>
      <c r="F411" s="40" t="n">
        <v>1401328</v>
      </c>
      <c r="G411" s="40" t="n">
        <v>1437533</v>
      </c>
      <c r="H411" s="40" t="inlineStr">
        <is>
          <t>-</t>
        </is>
      </c>
      <c r="I411" s="40" t="inlineStr">
        <is>
          <t>-</t>
        </is>
      </c>
      <c r="J411" s="41" t="n">
        <v>0</v>
      </c>
      <c r="K411" s="31" t="inlineStr">
        <is>
          <t>No</t>
        </is>
      </c>
      <c r="L411" s="31" t="n">
        <v>0</v>
      </c>
      <c r="M4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2" ht="184" customHeight="1">
      <c r="A412" s="31" t="inlineStr">
        <is>
          <t>14 Jun</t>
        </is>
      </c>
      <c r="B412" s="31" t="inlineStr">
        <is>
          <t>30533</t>
        </is>
      </c>
      <c r="C412" s="31" t="n">
        <v>1719</v>
      </c>
      <c r="D412" s="31" t="n">
        <v>1650</v>
      </c>
      <c r="E412" s="31" t="n">
        <v>0</v>
      </c>
      <c r="F412" s="40" t="n">
        <v>1901</v>
      </c>
      <c r="G412" s="40" t="n">
        <v>697885</v>
      </c>
      <c r="H412" s="40" t="inlineStr">
        <is>
          <t>-</t>
        </is>
      </c>
      <c r="I412" s="40" t="inlineStr">
        <is>
          <t>-</t>
        </is>
      </c>
      <c r="J412" s="41" t="n">
        <v>0</v>
      </c>
      <c r="K412" s="31" t="inlineStr">
        <is>
          <t>No</t>
        </is>
      </c>
      <c r="L412" s="31" t="n">
        <v>0</v>
      </c>
      <c r="M4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3" ht="184" customHeight="1">
      <c r="A413" s="31" t="inlineStr">
        <is>
          <t>14 Jun</t>
        </is>
      </c>
      <c r="B413" s="31" t="inlineStr">
        <is>
          <t>30567</t>
        </is>
      </c>
      <c r="C413" s="31" t="n">
        <v>1488</v>
      </c>
      <c r="D413" s="31" t="n">
        <v>1488</v>
      </c>
      <c r="E413" s="31" t="n">
        <v>0</v>
      </c>
      <c r="F413" s="40" t="n">
        <v>661560</v>
      </c>
      <c r="G413" s="40" t="n">
        <v>696501</v>
      </c>
      <c r="H413" s="40" t="inlineStr">
        <is>
          <t>-</t>
        </is>
      </c>
      <c r="I413" s="40" t="inlineStr">
        <is>
          <t>-</t>
        </is>
      </c>
      <c r="J413" s="41" t="n">
        <v>0</v>
      </c>
      <c r="K413" s="31" t="inlineStr">
        <is>
          <t>No</t>
        </is>
      </c>
      <c r="L413" s="31" t="n">
        <v>0</v>
      </c>
      <c r="M4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4" ht="184" customHeight="1">
      <c r="A414" s="31" t="inlineStr">
        <is>
          <t>14 Jun</t>
        </is>
      </c>
      <c r="B414" s="31" t="inlineStr">
        <is>
          <t>30810</t>
        </is>
      </c>
      <c r="C414" s="31" t="n">
        <v>3518</v>
      </c>
      <c r="D414" s="31" t="n">
        <v>3518</v>
      </c>
      <c r="E414" s="31" t="n">
        <v>0</v>
      </c>
      <c r="F414" s="40" t="n">
        <v>1339768</v>
      </c>
      <c r="G414" s="40" t="n">
        <v>1498573</v>
      </c>
      <c r="H414" s="40" t="inlineStr">
        <is>
          <t>-</t>
        </is>
      </c>
      <c r="I414" s="40" t="inlineStr">
        <is>
          <t>-</t>
        </is>
      </c>
      <c r="J414" s="41" t="n">
        <v>0</v>
      </c>
      <c r="K414" s="31" t="inlineStr">
        <is>
          <t>No</t>
        </is>
      </c>
      <c r="L414" s="31" t="n">
        <v>0</v>
      </c>
      <c r="M4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5" ht="184" customHeight="1">
      <c r="A415" s="31" t="inlineStr">
        <is>
          <t>14 Jun</t>
        </is>
      </c>
      <c r="B415" s="31" t="inlineStr">
        <is>
          <t>37095</t>
        </is>
      </c>
      <c r="C415" s="31" t="n">
        <v>1380</v>
      </c>
      <c r="D415" s="31" t="n">
        <v>1380</v>
      </c>
      <c r="E415" s="31" t="n">
        <v>0</v>
      </c>
      <c r="F415" s="40" t="n">
        <v>1355111</v>
      </c>
      <c r="G415" s="40" t="n">
        <v>1435834</v>
      </c>
      <c r="H415" s="40" t="inlineStr">
        <is>
          <t>-</t>
        </is>
      </c>
      <c r="I415" s="40" t="inlineStr">
        <is>
          <t>-</t>
        </is>
      </c>
      <c r="J415" s="41" t="n">
        <v>0</v>
      </c>
      <c r="K415" s="31" t="inlineStr">
        <is>
          <t>No</t>
        </is>
      </c>
      <c r="L415" s="31" t="n">
        <v>0</v>
      </c>
      <c r="M4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6" ht="184" customHeight="1">
      <c r="A416" s="31" t="inlineStr">
        <is>
          <t>14 Jun</t>
        </is>
      </c>
      <c r="B416" s="31" t="inlineStr">
        <is>
          <t>37340</t>
        </is>
      </c>
      <c r="C416" s="31" t="n">
        <v>170</v>
      </c>
      <c r="D416" s="31" t="n">
        <v>170</v>
      </c>
      <c r="E416" s="31" t="n">
        <v>0</v>
      </c>
      <c r="F416" s="40" t="n">
        <v>1265885</v>
      </c>
      <c r="G416" s="40" t="n">
        <v>1314809</v>
      </c>
      <c r="H416" s="40" t="inlineStr">
        <is>
          <t>-</t>
        </is>
      </c>
      <c r="I416" s="40" t="inlineStr">
        <is>
          <t>-</t>
        </is>
      </c>
      <c r="J416" s="41" t="n">
        <v>0</v>
      </c>
      <c r="K416" s="31" t="inlineStr">
        <is>
          <t>No</t>
        </is>
      </c>
      <c r="L416" s="31" t="n">
        <v>0</v>
      </c>
      <c r="M4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7" ht="184" customHeight="1">
      <c r="A417" s="31" t="inlineStr">
        <is>
          <t>14 Jun</t>
        </is>
      </c>
      <c r="B417" s="31" t="inlineStr">
        <is>
          <t>37464</t>
        </is>
      </c>
      <c r="C417" s="31" t="n">
        <v>2</v>
      </c>
      <c r="D417" s="31" t="n">
        <v>0</v>
      </c>
      <c r="E417" s="31" t="n">
        <v>0</v>
      </c>
      <c r="F417" s="40" t="inlineStr">
        <is>
          <t>-</t>
        </is>
      </c>
      <c r="G417" s="40" t="inlineStr">
        <is>
          <t>-</t>
        </is>
      </c>
      <c r="H417" s="40" t="inlineStr">
        <is>
          <t>-</t>
        </is>
      </c>
      <c r="I417" s="40" t="inlineStr">
        <is>
          <t>-</t>
        </is>
      </c>
      <c r="J417" s="41" t="n">
        <v>0</v>
      </c>
      <c r="K417" s="31" t="inlineStr">
        <is>
          <t>No</t>
        </is>
      </c>
      <c r="L417" s="31" t="n">
        <v>0</v>
      </c>
      <c r="M4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8" ht="184" customHeight="1">
      <c r="A418" s="31" t="inlineStr">
        <is>
          <t>14 Jun</t>
        </is>
      </c>
      <c r="B418" s="31" t="inlineStr">
        <is>
          <t>37474</t>
        </is>
      </c>
      <c r="C418" s="31" t="n">
        <v>1464</v>
      </c>
      <c r="D418" s="31" t="n">
        <v>1463</v>
      </c>
      <c r="E418" s="31" t="n">
        <v>0</v>
      </c>
      <c r="F418" s="40" t="n">
        <v>1401314</v>
      </c>
      <c r="G418" s="40" t="n">
        <v>1449451</v>
      </c>
      <c r="H418" s="40" t="inlineStr">
        <is>
          <t>-</t>
        </is>
      </c>
      <c r="I418" s="40" t="inlineStr">
        <is>
          <t>-</t>
        </is>
      </c>
      <c r="J418" s="41" t="n">
        <v>0</v>
      </c>
      <c r="K418" s="31" t="inlineStr">
        <is>
          <t>No</t>
        </is>
      </c>
      <c r="L418" s="31" t="n">
        <v>0</v>
      </c>
      <c r="M4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9" ht="184" customHeight="1">
      <c r="A419" s="31" t="inlineStr">
        <is>
          <t>14 Jun</t>
        </is>
      </c>
      <c r="B419" s="31" t="inlineStr">
        <is>
          <t>37618</t>
        </is>
      </c>
      <c r="C419" s="31" t="n">
        <v>1969</v>
      </c>
      <c r="D419" s="31" t="n">
        <v>1969</v>
      </c>
      <c r="E419" s="31" t="n">
        <v>0</v>
      </c>
      <c r="F419" s="40" t="n">
        <v>1401325</v>
      </c>
      <c r="G419" s="40" t="n">
        <v>1508517</v>
      </c>
      <c r="H419" s="40" t="inlineStr">
        <is>
          <t>-</t>
        </is>
      </c>
      <c r="I419" s="40" t="inlineStr">
        <is>
          <t>-</t>
        </is>
      </c>
      <c r="J419" s="41" t="n">
        <v>0</v>
      </c>
      <c r="K419" s="31" t="inlineStr">
        <is>
          <t>No</t>
        </is>
      </c>
      <c r="L419" s="31" t="n">
        <v>0</v>
      </c>
      <c r="M41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0" ht="184" customHeight="1">
      <c r="A420" s="31" t="inlineStr">
        <is>
          <t>14 Jun</t>
        </is>
      </c>
      <c r="B420" s="31" t="inlineStr">
        <is>
          <t>37636</t>
        </is>
      </c>
      <c r="C420" s="31" t="n">
        <v>2261</v>
      </c>
      <c r="D420" s="31" t="n">
        <v>2260</v>
      </c>
      <c r="E420" s="31" t="n">
        <v>0</v>
      </c>
      <c r="F420" s="40" t="n">
        <v>1252230</v>
      </c>
      <c r="G420" s="40" t="n">
        <v>1478130</v>
      </c>
      <c r="H420" s="40" t="inlineStr">
        <is>
          <t>-</t>
        </is>
      </c>
      <c r="I420" s="40" t="inlineStr">
        <is>
          <t>-</t>
        </is>
      </c>
      <c r="J420" s="41" t="n">
        <v>0</v>
      </c>
      <c r="K420" s="31" t="inlineStr">
        <is>
          <t>No</t>
        </is>
      </c>
      <c r="L420" s="31" t="n">
        <v>0</v>
      </c>
      <c r="M42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1" ht="184" customHeight="1">
      <c r="A421" s="31" t="inlineStr">
        <is>
          <t>14 Jun</t>
        </is>
      </c>
      <c r="B421" s="31" t="inlineStr">
        <is>
          <t>37796</t>
        </is>
      </c>
      <c r="C421" s="31" t="n">
        <v>371</v>
      </c>
      <c r="D421" s="31" t="n">
        <v>371</v>
      </c>
      <c r="E421" s="31" t="n">
        <v>0</v>
      </c>
      <c r="F421" s="40" t="n">
        <v>1401771</v>
      </c>
      <c r="G421" s="40" t="n">
        <v>1437046</v>
      </c>
      <c r="H421" s="40" t="inlineStr">
        <is>
          <t>-</t>
        </is>
      </c>
      <c r="I421" s="40" t="inlineStr">
        <is>
          <t>-</t>
        </is>
      </c>
      <c r="J421" s="41" t="n">
        <v>0</v>
      </c>
      <c r="K421" s="31" t="inlineStr">
        <is>
          <t>No</t>
        </is>
      </c>
      <c r="L421" s="31" t="n">
        <v>0</v>
      </c>
      <c r="M42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2" ht="184" customHeight="1">
      <c r="A422" s="31" t="inlineStr">
        <is>
          <t>14 Jun</t>
        </is>
      </c>
      <c r="B422" s="31" t="inlineStr">
        <is>
          <t>37836</t>
        </is>
      </c>
      <c r="C422" s="31" t="n">
        <v>2134</v>
      </c>
      <c r="D422" s="31" t="n">
        <v>2133</v>
      </c>
      <c r="E422" s="31" t="n">
        <v>0</v>
      </c>
      <c r="F422" s="40" t="n">
        <v>1401343</v>
      </c>
      <c r="G422" s="40" t="n">
        <v>1500019</v>
      </c>
      <c r="H422" s="40" t="inlineStr">
        <is>
          <t>-</t>
        </is>
      </c>
      <c r="I422" s="40" t="inlineStr">
        <is>
          <t>-</t>
        </is>
      </c>
      <c r="J422" s="41" t="n">
        <v>0</v>
      </c>
      <c r="K422" s="31" t="inlineStr">
        <is>
          <t>No</t>
        </is>
      </c>
      <c r="L422" s="31" t="n">
        <v>0</v>
      </c>
      <c r="M42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3" ht="184" customHeight="1">
      <c r="A423" s="31" t="inlineStr">
        <is>
          <t>14 Jun</t>
        </is>
      </c>
      <c r="B423" s="31" t="inlineStr">
        <is>
          <t>37917</t>
        </is>
      </c>
      <c r="C423" s="31" t="n">
        <v>695</v>
      </c>
      <c r="D423" s="31" t="n">
        <v>694</v>
      </c>
      <c r="E423" s="31" t="n">
        <v>0</v>
      </c>
      <c r="F423" s="40" t="n">
        <v>1401341</v>
      </c>
      <c r="G423" s="40" t="n">
        <v>1447486</v>
      </c>
      <c r="H423" s="40" t="inlineStr">
        <is>
          <t>-</t>
        </is>
      </c>
      <c r="I423" s="40" t="inlineStr">
        <is>
          <t>-</t>
        </is>
      </c>
      <c r="J423" s="41" t="n">
        <v>0</v>
      </c>
      <c r="K423" s="31" t="inlineStr">
        <is>
          <t>No</t>
        </is>
      </c>
      <c r="L423" s="31" t="n">
        <v>0</v>
      </c>
      <c r="M42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4" ht="184" customHeight="1">
      <c r="A424" s="31" t="inlineStr">
        <is>
          <t>14 Jun</t>
        </is>
      </c>
      <c r="B424" s="31" t="inlineStr">
        <is>
          <t>39143</t>
        </is>
      </c>
      <c r="C424" s="31" t="n">
        <v>1024</v>
      </c>
      <c r="D424" s="31" t="n">
        <v>1024</v>
      </c>
      <c r="E424" s="31" t="n">
        <v>0</v>
      </c>
      <c r="F424" s="40" t="n">
        <v>1401322</v>
      </c>
      <c r="G424" s="40" t="n">
        <v>1455635</v>
      </c>
      <c r="H424" s="40" t="inlineStr">
        <is>
          <t>-</t>
        </is>
      </c>
      <c r="I424" s="40" t="inlineStr">
        <is>
          <t>-</t>
        </is>
      </c>
      <c r="J424" s="41" t="n">
        <v>0</v>
      </c>
      <c r="K424" s="31" t="inlineStr">
        <is>
          <t>No</t>
        </is>
      </c>
      <c r="L424" s="31" t="n">
        <v>0</v>
      </c>
      <c r="M42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5" ht="184" customHeight="1">
      <c r="A425" s="31" t="inlineStr">
        <is>
          <t>14 Jun</t>
        </is>
      </c>
      <c r="B425" s="31" t="inlineStr">
        <is>
          <t>39154</t>
        </is>
      </c>
      <c r="C425" s="31" t="n">
        <v>606</v>
      </c>
      <c r="D425" s="31" t="n">
        <v>606</v>
      </c>
      <c r="E425" s="31" t="n">
        <v>0</v>
      </c>
      <c r="F425" s="40" t="n">
        <v>1401733</v>
      </c>
      <c r="G425" s="40" t="n">
        <v>1489490</v>
      </c>
      <c r="H425" s="40" t="inlineStr">
        <is>
          <t>-</t>
        </is>
      </c>
      <c r="I425" s="40" t="inlineStr">
        <is>
          <t>-</t>
        </is>
      </c>
      <c r="J425" s="41" t="n">
        <v>0</v>
      </c>
      <c r="K425" s="31" t="inlineStr">
        <is>
          <t>No</t>
        </is>
      </c>
      <c r="L425" s="31" t="n">
        <v>0</v>
      </c>
      <c r="M42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6" ht="184" customHeight="1">
      <c r="A426" s="31" t="inlineStr">
        <is>
          <t>14 Jun</t>
        </is>
      </c>
      <c r="B426" s="31" t="inlineStr">
        <is>
          <t>39180</t>
        </is>
      </c>
      <c r="C426" s="31" t="n">
        <v>940</v>
      </c>
      <c r="D426" s="31" t="n">
        <v>931</v>
      </c>
      <c r="E426" s="31" t="n">
        <v>0</v>
      </c>
      <c r="F426" s="40" t="n">
        <v>1401420</v>
      </c>
      <c r="G426" s="40" t="n">
        <v>1427039</v>
      </c>
      <c r="H426" s="40" t="inlineStr">
        <is>
          <t>-</t>
        </is>
      </c>
      <c r="I426" s="40" t="inlineStr">
        <is>
          <t>-</t>
        </is>
      </c>
      <c r="J426" s="41" t="n">
        <v>0</v>
      </c>
      <c r="K426" s="31" t="inlineStr">
        <is>
          <t>No</t>
        </is>
      </c>
      <c r="L426" s="31" t="n">
        <v>0</v>
      </c>
      <c r="M42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7" ht="184" customHeight="1">
      <c r="A427" s="31" t="inlineStr">
        <is>
          <t>14 Jun</t>
        </is>
      </c>
      <c r="B427" s="31" t="inlineStr">
        <is>
          <t>39353</t>
        </is>
      </c>
      <c r="C427" s="31" t="n">
        <v>823</v>
      </c>
      <c r="D427" s="31" t="n">
        <v>823</v>
      </c>
      <c r="E427" s="31" t="n">
        <v>0</v>
      </c>
      <c r="F427" s="40" t="n">
        <v>1273885</v>
      </c>
      <c r="G427" s="40" t="n">
        <v>1436502</v>
      </c>
      <c r="H427" s="40" t="inlineStr">
        <is>
          <t>-</t>
        </is>
      </c>
      <c r="I427" s="40" t="inlineStr">
        <is>
          <t>-</t>
        </is>
      </c>
      <c r="J427" s="41" t="n">
        <v>0</v>
      </c>
      <c r="K427" s="31" t="inlineStr">
        <is>
          <t>No</t>
        </is>
      </c>
      <c r="L427" s="31" t="n">
        <v>0</v>
      </c>
      <c r="M42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2"/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44" t="inlineStr">
        <is>
          <t>Mode Degradation</t>
        </is>
      </c>
      <c r="C8" s="45" t="inlineStr">
        <is>
          <t>FS→Trip/LS/SR/Standby &amp; OS→SR/Standby (every transition). Excluded: start-of-mission/re-init SR, NonLeading→SR, FS→SR at 0 km/h, boundary-station re-init (917-reverse).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2026-06-26T09:44:38Z</dcterms:created>
  <dcterms:modified xmlns:dcterms="http://purl.org/dc/terms/" xmlns:xsi="http://www.w3.org/2001/XMLSchema-instance" xsi:type="dcterms:W3CDTF">2026-06-26T09:44:39Z</dcterms:modified>
</cp:coreProperties>
</file>
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18530" windowHeight="6950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KM Verification" sheetId="4" state="visible" r:id="rId4"/>
    <sheet xmlns:r="http://schemas.openxmlformats.org/officeDocument/2006/relationships" name="Methodology" sheetId="5" state="visible" r:id="rId5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000"/>
    <numFmt numFmtId="166" formatCode="0.00000"/>
    <numFmt numFmtId="167" formatCode="0.000"/>
    <numFmt numFmtId="168" formatCode="_ * #,##0.00_ ;_ * \-#,##0.00_ ;_ * &quot;-&quot;??_ ;_ @_ "/>
    <numFmt numFmtId="169" formatCode="_ * #,##0_ ;_ * \-#,##0_ ;_ * &quot;-&quot;_ ;_ @_ "/>
    <numFmt numFmtId="170" formatCode="_ &quot;₹&quot;* #,##0_ ;_ &quot;₹&quot;* \-#,##0_ ;_ &quot;₹&quot;* &quot;-&quot;_ ;_ @_ "/>
    <numFmt numFmtId="171" formatCode="_ &quot;₹&quot;* #,##0.00_ ;_ &quot;₹&quot;* \-#,##0.00_ ;_ &quot;₹&quot;* &quot;-&quot;??_ ;_ @_ "/>
  </numFmts>
  <fonts count="36">
    <font>
      <name val="Calibri"/>
      <charset val="134"/>
      <color theme="1"/>
      <sz val="11"/>
      <scheme val="minor"/>
    </font>
    <font>
      <name val="Arial"/>
      <charset val="134"/>
      <b val="1"/>
      <color rgb="FF1F3864"/>
      <sz val="16"/>
    </font>
    <font>
      <name val="Arial"/>
      <charset val="134"/>
      <b val="1"/>
      <color rgb="FF2E5496"/>
      <sz val="11"/>
    </font>
    <font>
      <name val="Arial"/>
      <charset val="134"/>
      <sz val="10"/>
    </font>
    <font>
      <name val="Arial"/>
      <charset val="134"/>
      <b val="1"/>
      <color rgb="FF1F3864"/>
      <sz val="13"/>
    </font>
    <font>
      <name val="Arial"/>
      <charset val="134"/>
      <i val="1"/>
      <color rgb="FF808080"/>
      <sz val="9"/>
    </font>
    <font>
      <name val="Arial"/>
      <charset val="134"/>
      <b val="1"/>
      <color rgb="FFFFFFFF"/>
      <sz val="9"/>
    </font>
    <font>
      <name val="Arial"/>
      <charset val="134"/>
      <b val="1"/>
      <color rgb="FF1F3864"/>
      <sz val="10"/>
    </font>
    <font>
      <name val="Arial"/>
      <charset val="134"/>
      <b val="1"/>
      <sz val="10"/>
    </font>
    <font>
      <name val="Arial"/>
      <charset val="134"/>
      <b val="1"/>
      <color rgb="FFFFFFFF"/>
      <sz val="10"/>
    </font>
    <font>
      <name val="Arial"/>
      <charset val="134"/>
      <b val="1"/>
      <color rgb="FF1F3864"/>
      <sz val="18"/>
    </font>
    <font>
      <name val="Arial"/>
      <charset val="134"/>
      <i val="1"/>
      <color rgb="FF808080"/>
      <sz val="10"/>
    </font>
    <font>
      <name val="Arial"/>
      <charset val="134"/>
      <b val="1"/>
      <sz val="11"/>
    </font>
    <font>
      <name val="Arial"/>
      <charset val="134"/>
      <b val="1"/>
      <color rgb="FF1F3864"/>
      <sz val="11"/>
    </font>
    <font>
      <name val="Arial"/>
      <charset val="134"/>
      <b val="1"/>
      <color rgb="FF1F3864"/>
      <sz val="12"/>
    </font>
    <font>
      <name val="Calibri"/>
      <charset val="0"/>
      <color theme="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Arial"/>
      <i val="1"/>
      <color rgb="00808080"/>
      <sz val="9"/>
    </font>
  </fonts>
  <fills count="40">
    <fill>
      <patternFill/>
    </fill>
    <fill>
      <patternFill patternType="gray125"/>
    </fill>
    <fill>
      <patternFill patternType="solid">
        <fgColor rgb="FF2E549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E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7" fillId="0" borderId="0"/>
    <xf numFmtId="0" fontId="18" fillId="11" borderId="0" applyAlignment="1">
      <alignment vertical="center"/>
    </xf>
    <xf numFmtId="168" fontId="17" fillId="0" borderId="0" applyAlignment="1">
      <alignment vertical="center"/>
    </xf>
    <xf numFmtId="169" fontId="17" fillId="0" borderId="0" applyAlignment="1">
      <alignment vertical="center"/>
    </xf>
    <xf numFmtId="170" fontId="17" fillId="0" borderId="0" applyAlignment="1">
      <alignment vertical="center"/>
    </xf>
    <xf numFmtId="171" fontId="17" fillId="0" borderId="0" applyAlignment="1">
      <alignment vertical="center"/>
    </xf>
    <xf numFmtId="9" fontId="17" fillId="0" borderId="0" applyAlignment="1">
      <alignment vertical="center"/>
    </xf>
    <xf numFmtId="0" fontId="19" fillId="0" borderId="0" applyAlignment="1">
      <alignment vertical="center"/>
    </xf>
    <xf numFmtId="0" fontId="15" fillId="16" borderId="0" applyAlignment="1">
      <alignment vertical="center"/>
    </xf>
    <xf numFmtId="0" fontId="21" fillId="0" borderId="0" applyAlignment="1">
      <alignment vertical="center"/>
    </xf>
    <xf numFmtId="0" fontId="23" fillId="18" borderId="3" applyAlignment="1">
      <alignment vertical="center"/>
    </xf>
    <xf numFmtId="0" fontId="24" fillId="0" borderId="4" applyAlignment="1">
      <alignment vertical="center"/>
    </xf>
    <xf numFmtId="0" fontId="17" fillId="19" borderId="5" applyAlignment="1">
      <alignment vertical="center"/>
    </xf>
    <xf numFmtId="0" fontId="18" fillId="23" borderId="0" applyAlignment="1">
      <alignment vertical="center"/>
    </xf>
    <xf numFmtId="0" fontId="20" fillId="0" borderId="0" applyAlignment="1">
      <alignment vertical="center"/>
    </xf>
    <xf numFmtId="0" fontId="18" fillId="25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" applyAlignment="1">
      <alignment vertical="center"/>
    </xf>
    <xf numFmtId="0" fontId="28" fillId="0" borderId="6" applyAlignment="1">
      <alignment vertical="center"/>
    </xf>
    <xf numFmtId="0" fontId="28" fillId="0" borderId="0" applyAlignment="1">
      <alignment vertical="center"/>
    </xf>
    <xf numFmtId="0" fontId="16" fillId="10" borderId="2" applyAlignment="1">
      <alignment vertical="center"/>
    </xf>
    <xf numFmtId="0" fontId="15" fillId="22" borderId="0" applyAlignment="1">
      <alignment vertical="center"/>
    </xf>
    <xf numFmtId="0" fontId="22" fillId="17" borderId="0" applyAlignment="1">
      <alignment vertical="center"/>
    </xf>
    <xf numFmtId="0" fontId="29" fillId="28" borderId="7" applyAlignment="1">
      <alignment vertical="center"/>
    </xf>
    <xf numFmtId="0" fontId="18" fillId="29" borderId="0" applyAlignment="1">
      <alignment vertical="center"/>
    </xf>
    <xf numFmtId="0" fontId="30" fillId="28" borderId="2" applyAlignment="1">
      <alignment vertical="center"/>
    </xf>
    <xf numFmtId="0" fontId="32" fillId="0" borderId="8" applyAlignment="1">
      <alignment vertical="center"/>
    </xf>
    <xf numFmtId="0" fontId="33" fillId="0" borderId="9" applyAlignment="1">
      <alignment vertical="center"/>
    </xf>
    <xf numFmtId="0" fontId="34" fillId="33" borderId="0" applyAlignment="1">
      <alignment vertical="center"/>
    </xf>
    <xf numFmtId="0" fontId="31" fillId="32" borderId="0" applyAlignment="1">
      <alignment vertical="center"/>
    </xf>
    <xf numFmtId="0" fontId="15" fillId="9" borderId="0" applyAlignment="1">
      <alignment vertical="center"/>
    </xf>
    <xf numFmtId="0" fontId="18" fillId="27" borderId="0" applyAlignment="1">
      <alignment vertical="center"/>
    </xf>
    <xf numFmtId="0" fontId="15" fillId="35" borderId="0" applyAlignment="1">
      <alignment vertical="center"/>
    </xf>
    <xf numFmtId="0" fontId="15" fillId="26" borderId="0" applyAlignment="1">
      <alignment vertical="center"/>
    </xf>
    <xf numFmtId="0" fontId="18" fillId="37" borderId="0" applyAlignment="1">
      <alignment vertical="center"/>
    </xf>
    <xf numFmtId="0" fontId="18" fillId="31" borderId="0" applyAlignment="1">
      <alignment vertical="center"/>
    </xf>
    <xf numFmtId="0" fontId="15" fillId="36" borderId="0" applyAlignment="1">
      <alignment vertical="center"/>
    </xf>
    <xf numFmtId="0" fontId="15" fillId="14" borderId="0" applyAlignment="1">
      <alignment vertical="center"/>
    </xf>
    <xf numFmtId="0" fontId="18" fillId="21" borderId="0" applyAlignment="1">
      <alignment vertical="center"/>
    </xf>
    <xf numFmtId="0" fontId="15" fillId="39" borderId="0" applyAlignment="1">
      <alignment vertical="center"/>
    </xf>
    <xf numFmtId="0" fontId="18" fillId="20" borderId="0" applyAlignment="1">
      <alignment vertical="center"/>
    </xf>
    <xf numFmtId="0" fontId="18" fillId="34" borderId="0" applyAlignment="1">
      <alignment vertical="center"/>
    </xf>
    <xf numFmtId="0" fontId="15" fillId="13" borderId="0" applyAlignment="1">
      <alignment vertical="center"/>
    </xf>
    <xf numFmtId="0" fontId="18" fillId="30" borderId="0" applyAlignment="1">
      <alignment vertical="center"/>
    </xf>
    <xf numFmtId="0" fontId="15" fillId="12" borderId="0" applyAlignment="1">
      <alignment vertical="center"/>
    </xf>
    <xf numFmtId="0" fontId="15" fillId="24" borderId="0" applyAlignment="1">
      <alignment vertical="center"/>
    </xf>
    <xf numFmtId="0" fontId="18" fillId="15" borderId="0" applyAlignment="1">
      <alignment vertical="center"/>
    </xf>
    <xf numFmtId="0" fontId="15" fillId="38" borderId="0" applyAlignment="1">
      <alignment vertical="center"/>
    </xf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2" fontId="9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3" fontId="13" fillId="7" borderId="1" applyAlignment="1" pivotButton="0" quotePrefix="0" xfId="0">
      <alignment horizontal="center" vertical="center" wrapText="1"/>
    </xf>
    <xf numFmtId="4" fontId="13" fillId="7" borderId="1" applyAlignment="1" pivotButton="0" quotePrefix="0" xfId="0">
      <alignment horizontal="center" vertical="center" wrapText="1"/>
    </xf>
    <xf numFmtId="2" fontId="13" fillId="7" borderId="1" applyAlignment="1" pivotButton="0" quotePrefix="0" xfId="0">
      <alignment horizontal="center" vertical="center" wrapText="1"/>
    </xf>
    <xf numFmtId="3" fontId="13" fillId="3" borderId="1" applyAlignment="1" pivotButton="0" quotePrefix="0" xfId="0">
      <alignment horizontal="center" vertical="center" wrapText="1"/>
    </xf>
    <xf numFmtId="165" fontId="13" fillId="7" borderId="1" applyAlignment="1" pivotButton="0" quotePrefix="0" xfId="0">
      <alignment horizontal="center" vertical="center" wrapText="1"/>
    </xf>
    <xf numFmtId="166" fontId="13" fillId="7" borderId="1" applyAlignment="1" pivotButton="0" quotePrefix="0" xfId="0">
      <alignment horizontal="center" vertical="center" wrapText="1"/>
    </xf>
    <xf numFmtId="167" fontId="13" fillId="7" borderId="1" applyAlignment="1" pivotButton="0" quotePrefix="0" xfId="0">
      <alignment horizontal="center" vertical="center" wrapText="1"/>
    </xf>
    <xf numFmtId="2" fontId="14" fillId="8" borderId="1" applyAlignment="1" pivotButton="0" quotePrefix="0" xfId="0">
      <alignment horizontal="center" vertical="center" wrapText="1"/>
    </xf>
    <xf numFmtId="165" fontId="13" fillId="7" borderId="1" applyAlignment="1" pivotButton="0" quotePrefix="0" xfId="0">
      <alignment horizontal="center" vertical="center" wrapText="1"/>
    </xf>
    <xf numFmtId="166" fontId="13" fillId="7" borderId="1" applyAlignment="1" pivotButton="0" quotePrefix="0" xfId="0">
      <alignment horizontal="center" vertical="center" wrapText="1"/>
    </xf>
    <xf numFmtId="167" fontId="13" fillId="7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35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tabSelected="1" topLeftCell="M1" workbookViewId="0">
      <selection activeCell="C9" sqref="C9"/>
    </sheetView>
  </sheetViews>
  <sheetFormatPr baseColWidth="8" defaultColWidth="9" defaultRowHeight="14.5" outlineLevelRow="4"/>
  <cols>
    <col width="13" customWidth="1" min="1" max="3"/>
    <col width="17" customWidth="1" min="4" max="9"/>
    <col width="19" customWidth="1" min="10" max="11"/>
    <col width="23" customWidth="1" min="12" max="12"/>
    <col width="29" customWidth="1" min="13" max="13"/>
    <col width="17" customWidth="1" min="14" max="14"/>
    <col width="19" customWidth="1" min="15" max="16"/>
    <col width="28" customWidth="1" min="17" max="17"/>
    <col width="23" customWidth="1" min="18" max="18"/>
    <col width="13" customWidth="1" min="19" max="19"/>
    <col width="28" customWidth="1" min="20" max="20"/>
  </cols>
  <sheetData>
    <row r="1" ht="23" customHeight="1">
      <c r="A1" s="34" t="inlineStr">
        <is>
          <t>ER — Kavach Unified KPI</t>
        </is>
      </c>
    </row>
    <row r="2">
      <c r="A2" s="35" t="inlineStr">
        <is>
          <t>Period: Jun8 - Jun14 (custom)  ·  all locomotives  ·  one combined row</t>
        </is>
      </c>
    </row>
    <row r="4" ht="34" customHeight="1">
      <c r="A4" s="36" t="inlineStr">
        <is>
          <t>Month</t>
        </is>
      </c>
      <c r="B4" s="36" t="inlineStr">
        <is>
          <t>Zone</t>
        </is>
      </c>
      <c r="C4" s="36" t="inlineStr">
        <is>
          <t>Section</t>
        </is>
      </c>
      <c r="D4" s="36" t="inlineStr">
        <is>
          <t>No Of Trips</t>
        </is>
      </c>
      <c r="E4" s="36" t="inlineStr">
        <is>
          <t>Total KMs Run On Kavach</t>
        </is>
      </c>
      <c r="F4" s="36" t="inlineStr">
        <is>
          <t>Availability (FS+OS)</t>
        </is>
      </c>
      <c r="G4" s="36" t="inlineStr">
        <is>
          <t>Total EB</t>
        </is>
      </c>
      <c r="H4" s="36" t="inlineStr">
        <is>
          <t>EB (Valid Trips)</t>
        </is>
      </c>
      <c r="I4" s="36" t="inlineStr">
        <is>
          <t>EB (Non-Valid Trips)</t>
        </is>
      </c>
      <c r="J4" s="36" t="inlineStr">
        <is>
          <t>EB per Trip</t>
        </is>
      </c>
      <c r="K4" s="36" t="inlineStr">
        <is>
          <t>EB per KM</t>
        </is>
      </c>
      <c r="L4" s="36" t="inlineStr">
        <is>
          <t>EB per 100 KM</t>
        </is>
      </c>
      <c r="M4" s="36" t="inlineStr">
        <is>
          <t>EB per Trip per 1000 KM</t>
        </is>
      </c>
      <c r="N4" s="36" t="inlineStr">
        <is>
          <t>Total Mode Degradation</t>
        </is>
      </c>
      <c r="O4" s="36" t="inlineStr">
        <is>
          <t>Mode Degradation per Trip</t>
        </is>
      </c>
      <c r="P4" s="36" t="inlineStr">
        <is>
          <t>Mode Degradation per KM</t>
        </is>
      </c>
      <c r="Q4" s="36" t="inlineStr">
        <is>
          <t>Mode Degradation per Trip per 100 KM</t>
        </is>
      </c>
      <c r="R4" s="36" t="inlineStr">
        <is>
          <t>Mode Degradation per 100 KM</t>
        </is>
      </c>
      <c r="S4" s="36" t="inlineStr">
        <is>
          <t>Undesirable EB</t>
        </is>
      </c>
      <c r="T4" s="36" t="inlineStr">
        <is>
          <t>UNIFIED KPI</t>
        </is>
      </c>
    </row>
    <row r="5" ht="67" customHeight="1">
      <c r="A5" s="37" t="inlineStr">
        <is>
          <t xml:space="preserve">Jun8 - Jun14 </t>
        </is>
      </c>
      <c r="B5" s="37" t="inlineStr">
        <is>
          <t>ER</t>
        </is>
      </c>
      <c r="C5" s="37" t="inlineStr">
        <is>
          <t>12000_HWH to 12062_CAM</t>
        </is>
      </c>
      <c r="D5" s="38">
        <f>'Daily Breakdown'!C231</f>
        <v/>
      </c>
      <c r="E5" s="39">
        <f>'Daily Breakdown'!D231</f>
        <v/>
      </c>
      <c r="F5" s="40">
        <f>'Daily Breakdown'!G231</f>
        <v/>
      </c>
      <c r="G5" s="38">
        <f>'Daily Breakdown'!H231</f>
        <v/>
      </c>
      <c r="H5" s="41">
        <f>'Daily Breakdown'!I231</f>
        <v/>
      </c>
      <c r="I5" s="41">
        <f>'Daily Breakdown'!J231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38">
        <f>'Daily Breakdown'!K231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41" t="n">
        <v>45</v>
      </c>
      <c r="T5" s="45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showGridLines="0" workbookViewId="0">
      <pane ySplit="3" topLeftCell="A4" activePane="bottomLeft" state="frozen"/>
      <selection activeCell="A1" sqref="A1"/>
      <selection pane="bottomLeft" activeCell="A1" sqref="A1:K1"/>
    </sheetView>
  </sheetViews>
  <sheetFormatPr baseColWidth="8" defaultColWidth="9" defaultRowHeight="14.5"/>
  <cols>
    <col width="13" customWidth="1" min="1" max="2"/>
    <col width="34" customWidth="1" min="3" max="6"/>
    <col width="29" customWidth="1" min="7" max="7"/>
    <col width="34" customWidth="1" min="8" max="11"/>
  </cols>
  <sheetData>
    <row r="1" ht="16.5" customHeight="1">
      <c r="A1" s="4" t="inlineStr">
        <is>
          <t>Daily Breakdown — by day and locomotive (all locos)</t>
        </is>
      </c>
    </row>
    <row r="2">
      <c r="A2" s="52" t="inlineStr">
        <is>
          <t>Availability base excludes locos with FS+OS pkts = 0 (they are still listed; only the Total-pkts availability base drops them).</t>
        </is>
      </c>
    </row>
    <row r="3">
      <c r="A3" s="6" t="inlineStr">
        <is>
          <t>Date</t>
        </is>
      </c>
      <c r="B3" s="6" t="inlineStr">
        <is>
          <t>Loco ID</t>
        </is>
      </c>
      <c r="C3" s="6" t="inlineStr">
        <is>
          <t>No of Trips</t>
        </is>
      </c>
      <c r="D3" s="6" t="inlineStr">
        <is>
          <t>Total KMs</t>
        </is>
      </c>
      <c r="E3" s="6" t="inlineStr">
        <is>
          <t>FS+OS pkts</t>
        </is>
      </c>
      <c r="F3" s="6" t="inlineStr">
        <is>
          <t>Total pkts</t>
        </is>
      </c>
      <c r="G3" s="6" t="inlineStr">
        <is>
          <t>Availability (FS+OS)</t>
        </is>
      </c>
      <c r="H3" s="6" t="inlineStr">
        <is>
          <t>Total EB</t>
        </is>
      </c>
      <c r="I3" s="6" t="inlineStr">
        <is>
          <t>EB (Valid)</t>
        </is>
      </c>
      <c r="J3" s="6" t="inlineStr">
        <is>
          <t>EB (Non-Valid)</t>
        </is>
      </c>
      <c r="K3" s="6" t="inlineStr">
        <is>
          <t>Mode Degradation</t>
        </is>
      </c>
    </row>
    <row r="4">
      <c r="A4" s="21" t="inlineStr">
        <is>
          <t>8 Jun</t>
        </is>
      </c>
      <c r="B4" s="21" t="inlineStr">
        <is>
          <t>30112</t>
        </is>
      </c>
      <c r="C4" s="7" t="n">
        <v>2</v>
      </c>
      <c r="D4" s="49" t="n">
        <v>243.73</v>
      </c>
      <c r="E4" s="23" t="n">
        <v>17416</v>
      </c>
      <c r="F4" s="23" t="n">
        <v>17733</v>
      </c>
      <c r="G4" s="11">
        <f>IF(F4=0,0,E4/F4*100)</f>
        <v/>
      </c>
      <c r="H4" s="7" t="n">
        <v>2</v>
      </c>
      <c r="I4" s="7" t="n">
        <v>2</v>
      </c>
      <c r="J4" s="7" t="n">
        <v>0</v>
      </c>
      <c r="K4" s="7" t="n">
        <v>9</v>
      </c>
    </row>
    <row r="5">
      <c r="A5" s="21" t="inlineStr">
        <is>
          <t>8 Jun</t>
        </is>
      </c>
      <c r="B5" s="21" t="inlineStr">
        <is>
          <t>37719</t>
        </is>
      </c>
      <c r="C5" s="7" t="n">
        <v>1</v>
      </c>
      <c r="D5" s="49" t="n">
        <v>243.86</v>
      </c>
      <c r="E5" s="23" t="n">
        <v>8583</v>
      </c>
      <c r="F5" s="23" t="n">
        <v>8695</v>
      </c>
      <c r="G5" s="11">
        <f>IF(F5=0,0,E5/F5*100)</f>
        <v/>
      </c>
      <c r="H5" s="7" t="n">
        <v>0</v>
      </c>
      <c r="I5" s="7" t="n">
        <v>0</v>
      </c>
      <c r="J5" s="7" t="n">
        <v>0</v>
      </c>
      <c r="K5" s="7" t="n">
        <v>5</v>
      </c>
    </row>
    <row r="6">
      <c r="A6" s="21" t="inlineStr">
        <is>
          <t>8 Jun</t>
        </is>
      </c>
      <c r="B6" s="21" t="inlineStr">
        <is>
          <t>39133</t>
        </is>
      </c>
      <c r="C6" s="7" t="n">
        <v>0</v>
      </c>
      <c r="D6" s="49" t="n">
        <v>94.27</v>
      </c>
      <c r="E6" s="23" t="n">
        <v>12659</v>
      </c>
      <c r="F6" s="23" t="n">
        <v>12788</v>
      </c>
      <c r="G6" s="11">
        <f>IF(F6=0,0,E6/F6*100)</f>
        <v/>
      </c>
      <c r="H6" s="7" t="n">
        <v>0</v>
      </c>
      <c r="I6" s="7" t="n">
        <v>0</v>
      </c>
      <c r="J6" s="7" t="n">
        <v>0</v>
      </c>
      <c r="K6" s="7" t="n">
        <v>2</v>
      </c>
    </row>
    <row r="7">
      <c r="A7" s="21" t="inlineStr">
        <is>
          <t>8 Jun</t>
        </is>
      </c>
      <c r="B7" s="21" t="inlineStr">
        <is>
          <t>30692</t>
        </is>
      </c>
      <c r="C7" s="7" t="n">
        <v>0</v>
      </c>
      <c r="D7" s="49" t="n">
        <v>199.19</v>
      </c>
      <c r="E7" s="23" t="n">
        <v>12232</v>
      </c>
      <c r="F7" s="23" t="n">
        <v>12585</v>
      </c>
      <c r="G7" s="11">
        <f>IF(F7=0,0,E7/F7*100)</f>
        <v/>
      </c>
      <c r="H7" s="7" t="n">
        <v>0</v>
      </c>
      <c r="I7" s="7" t="n">
        <v>0</v>
      </c>
      <c r="J7" s="7" t="n">
        <v>0</v>
      </c>
      <c r="K7" s="7" t="n">
        <v>1</v>
      </c>
    </row>
    <row r="8">
      <c r="A8" s="21" t="inlineStr">
        <is>
          <t>8 Jun</t>
        </is>
      </c>
      <c r="B8" s="21" t="inlineStr">
        <is>
          <t>39132</t>
        </is>
      </c>
      <c r="C8" s="7" t="n">
        <v>0</v>
      </c>
      <c r="D8" s="49" t="n">
        <v>199.74</v>
      </c>
      <c r="E8" s="23" t="n">
        <v>12368</v>
      </c>
      <c r="F8" s="23" t="n">
        <v>12491</v>
      </c>
      <c r="G8" s="11">
        <f>IF(F8=0,0,E8/F8*100)</f>
        <v/>
      </c>
      <c r="H8" s="7" t="n">
        <v>0</v>
      </c>
      <c r="I8" s="7" t="n">
        <v>0</v>
      </c>
      <c r="J8" s="7" t="n">
        <v>0</v>
      </c>
      <c r="K8" s="7" t="n">
        <v>0</v>
      </c>
    </row>
    <row r="9">
      <c r="A9" s="21" t="inlineStr">
        <is>
          <t>8 Jun</t>
        </is>
      </c>
      <c r="B9" s="21" t="inlineStr">
        <is>
          <t>30455</t>
        </is>
      </c>
      <c r="C9" s="7" t="n">
        <v>0</v>
      </c>
      <c r="D9" s="49" t="n">
        <v>232.24</v>
      </c>
      <c r="E9" s="23" t="n">
        <v>10851</v>
      </c>
      <c r="F9" s="23" t="n">
        <v>11117</v>
      </c>
      <c r="G9" s="11">
        <f>IF(F9=0,0,E9/F9*100)</f>
        <v/>
      </c>
      <c r="H9" s="7" t="n">
        <v>0</v>
      </c>
      <c r="I9" s="7" t="n">
        <v>0</v>
      </c>
      <c r="J9" s="7" t="n">
        <v>0</v>
      </c>
      <c r="K9" s="7" t="n">
        <v>7</v>
      </c>
    </row>
    <row r="10">
      <c r="A10" s="21" t="inlineStr">
        <is>
          <t>8 Jun</t>
        </is>
      </c>
      <c r="B10" s="21" t="inlineStr">
        <is>
          <t>30805</t>
        </is>
      </c>
      <c r="C10" s="7" t="n">
        <v>0</v>
      </c>
      <c r="D10" s="49" t="n">
        <v>199.74</v>
      </c>
      <c r="E10" s="23" t="n">
        <v>10768</v>
      </c>
      <c r="F10" s="23" t="n">
        <v>11042</v>
      </c>
      <c r="G10" s="11">
        <f>IF(F10=0,0,E10/F10*100)</f>
        <v/>
      </c>
      <c r="H10" s="7" t="n">
        <v>0</v>
      </c>
      <c r="I10" s="7" t="n">
        <v>0</v>
      </c>
      <c r="J10" s="7" t="n">
        <v>0</v>
      </c>
      <c r="K10" s="7" t="n">
        <v>1</v>
      </c>
    </row>
    <row r="11">
      <c r="A11" s="21" t="inlineStr">
        <is>
          <t>8 Jun</t>
        </is>
      </c>
      <c r="B11" s="21" t="inlineStr">
        <is>
          <t>30371</t>
        </is>
      </c>
      <c r="C11" s="7" t="n">
        <v>0</v>
      </c>
      <c r="D11" s="49" t="n">
        <v>231.67</v>
      </c>
      <c r="E11" s="23" t="n">
        <v>10089</v>
      </c>
      <c r="F11" s="23" t="n">
        <v>10175</v>
      </c>
      <c r="G11" s="11">
        <f>IF(F11=0,0,E11/F11*100)</f>
        <v/>
      </c>
      <c r="H11" s="7" t="n">
        <v>0</v>
      </c>
      <c r="I11" s="7" t="n">
        <v>0</v>
      </c>
      <c r="J11" s="7" t="n">
        <v>0</v>
      </c>
      <c r="K11" s="7" t="n">
        <v>2</v>
      </c>
    </row>
    <row r="12">
      <c r="A12" s="21" t="inlineStr">
        <is>
          <t>8 Jun</t>
        </is>
      </c>
      <c r="B12" s="21" t="inlineStr">
        <is>
          <t>39135</t>
        </is>
      </c>
      <c r="C12" s="7" t="n">
        <v>0</v>
      </c>
      <c r="D12" s="49" t="n">
        <v>94.26000000000001</v>
      </c>
      <c r="E12" s="23" t="n">
        <v>9183</v>
      </c>
      <c r="F12" s="23" t="n">
        <v>9510</v>
      </c>
      <c r="G12" s="11">
        <f>IF(F12=0,0,E12/F12*100)</f>
        <v/>
      </c>
      <c r="H12" s="7" t="n">
        <v>1</v>
      </c>
      <c r="I12" s="7" t="n">
        <v>0</v>
      </c>
      <c r="J12" s="7" t="n">
        <v>1</v>
      </c>
      <c r="K12" s="7" t="n">
        <v>2</v>
      </c>
    </row>
    <row r="13">
      <c r="A13" s="21" t="inlineStr">
        <is>
          <t>8 Jun</t>
        </is>
      </c>
      <c r="B13" s="21" t="inlineStr">
        <is>
          <t>30457</t>
        </is>
      </c>
      <c r="C13" s="7" t="n">
        <v>0</v>
      </c>
      <c r="D13" s="49" t="n">
        <v>187.97</v>
      </c>
      <c r="E13" s="23" t="n">
        <v>8560</v>
      </c>
      <c r="F13" s="23" t="n">
        <v>8789</v>
      </c>
      <c r="G13" s="11">
        <f>IF(F13=0,0,E13/F13*100)</f>
        <v/>
      </c>
      <c r="H13" s="7" t="n">
        <v>2</v>
      </c>
      <c r="I13" s="7" t="n">
        <v>0</v>
      </c>
      <c r="J13" s="7" t="n">
        <v>2</v>
      </c>
      <c r="K13" s="7" t="n">
        <v>3</v>
      </c>
    </row>
    <row r="14">
      <c r="A14" s="21" t="inlineStr">
        <is>
          <t>8 Jun</t>
        </is>
      </c>
      <c r="B14" s="21" t="inlineStr">
        <is>
          <t>37879</t>
        </is>
      </c>
      <c r="C14" s="7" t="n">
        <v>0</v>
      </c>
      <c r="D14" s="49" t="n">
        <v>199.04</v>
      </c>
      <c r="E14" s="23" t="n">
        <v>8195</v>
      </c>
      <c r="F14" s="23" t="n">
        <v>8258</v>
      </c>
      <c r="G14" s="11">
        <f>IF(F14=0,0,E14/F14*100)</f>
        <v/>
      </c>
      <c r="H14" s="7" t="n">
        <v>1</v>
      </c>
      <c r="I14" s="7" t="n">
        <v>0</v>
      </c>
      <c r="J14" s="7" t="n">
        <v>1</v>
      </c>
      <c r="K14" s="7" t="n">
        <v>1</v>
      </c>
    </row>
    <row r="15">
      <c r="A15" s="21" t="inlineStr">
        <is>
          <t>8 Jun</t>
        </is>
      </c>
      <c r="B15" s="21" t="inlineStr">
        <is>
          <t>37585</t>
        </is>
      </c>
      <c r="C15" s="7" t="n">
        <v>0</v>
      </c>
      <c r="D15" s="49" t="n">
        <v>94.39</v>
      </c>
      <c r="E15" s="23" t="n">
        <v>7751</v>
      </c>
      <c r="F15" s="23" t="n">
        <v>7830</v>
      </c>
      <c r="G15" s="11">
        <f>IF(F15=0,0,E15/F15*100)</f>
        <v/>
      </c>
      <c r="H15" s="7" t="n">
        <v>0</v>
      </c>
      <c r="I15" s="7" t="n">
        <v>0</v>
      </c>
      <c r="J15" s="7" t="n">
        <v>0</v>
      </c>
      <c r="K15" s="7" t="n">
        <v>1</v>
      </c>
    </row>
    <row r="16">
      <c r="A16" s="21" t="inlineStr">
        <is>
          <t>8 Jun</t>
        </is>
      </c>
      <c r="B16" s="21" t="inlineStr">
        <is>
          <t>39179</t>
        </is>
      </c>
      <c r="C16" s="7" t="n">
        <v>0</v>
      </c>
      <c r="D16" s="49" t="n">
        <v>199.74</v>
      </c>
      <c r="E16" s="23" t="n">
        <v>7344</v>
      </c>
      <c r="F16" s="23" t="n">
        <v>7404</v>
      </c>
      <c r="G16" s="11">
        <f>IF(F16=0,0,E16/F16*100)</f>
        <v/>
      </c>
      <c r="H16" s="7" t="n">
        <v>0</v>
      </c>
      <c r="I16" s="7" t="n">
        <v>0</v>
      </c>
      <c r="J16" s="7" t="n">
        <v>0</v>
      </c>
      <c r="K16" s="7" t="n">
        <v>0</v>
      </c>
    </row>
    <row r="17">
      <c r="A17" s="21" t="inlineStr">
        <is>
          <t>8 Jun</t>
        </is>
      </c>
      <c r="B17" s="21" t="inlineStr">
        <is>
          <t>39178</t>
        </is>
      </c>
      <c r="C17" s="7" t="n">
        <v>0</v>
      </c>
      <c r="D17" s="49" t="n">
        <v>199.53</v>
      </c>
      <c r="E17" s="23" t="n">
        <v>7065</v>
      </c>
      <c r="F17" s="23" t="n">
        <v>7258</v>
      </c>
      <c r="G17" s="11">
        <f>IF(F17=0,0,E17/F17*100)</f>
        <v/>
      </c>
      <c r="H17" s="7" t="n">
        <v>0</v>
      </c>
      <c r="I17" s="7" t="n">
        <v>0</v>
      </c>
      <c r="J17" s="7" t="n">
        <v>0</v>
      </c>
      <c r="K17" s="7" t="n">
        <v>7</v>
      </c>
    </row>
    <row r="18">
      <c r="A18" s="21" t="inlineStr">
        <is>
          <t>8 Jun</t>
        </is>
      </c>
      <c r="B18" s="21" t="inlineStr">
        <is>
          <t>30327</t>
        </is>
      </c>
      <c r="C18" s="7" t="n">
        <v>0</v>
      </c>
      <c r="D18" s="49" t="n">
        <v>177.91</v>
      </c>
      <c r="E18" s="23" t="n">
        <v>7054</v>
      </c>
      <c r="F18" s="23" t="n">
        <v>7190</v>
      </c>
      <c r="G18" s="11">
        <f>IF(F18=0,0,E18/F18*100)</f>
        <v/>
      </c>
      <c r="H18" s="7" t="n">
        <v>0</v>
      </c>
      <c r="I18" s="7" t="n">
        <v>0</v>
      </c>
      <c r="J18" s="7" t="n">
        <v>0</v>
      </c>
      <c r="K18" s="7" t="n">
        <v>3</v>
      </c>
    </row>
    <row r="19">
      <c r="A19" s="21" t="inlineStr">
        <is>
          <t>8 Jun</t>
        </is>
      </c>
      <c r="B19" s="21" t="inlineStr">
        <is>
          <t>37894</t>
        </is>
      </c>
      <c r="C19" s="7" t="n">
        <v>0</v>
      </c>
      <c r="D19" s="49" t="n">
        <v>199.4</v>
      </c>
      <c r="E19" s="23" t="n">
        <v>6556</v>
      </c>
      <c r="F19" s="23" t="n">
        <v>6637</v>
      </c>
      <c r="G19" s="11">
        <f>IF(F19=0,0,E19/F19*100)</f>
        <v/>
      </c>
      <c r="H19" s="7" t="n">
        <v>0</v>
      </c>
      <c r="I19" s="7" t="n">
        <v>0</v>
      </c>
      <c r="J19" s="7" t="n">
        <v>0</v>
      </c>
      <c r="K19" s="7" t="n">
        <v>1</v>
      </c>
    </row>
    <row r="20">
      <c r="A20" s="21" t="inlineStr">
        <is>
          <t>8 Jun</t>
        </is>
      </c>
      <c r="B20" s="21" t="inlineStr">
        <is>
          <t>37034</t>
        </is>
      </c>
      <c r="C20" s="7" t="n">
        <v>0</v>
      </c>
      <c r="D20" s="49" t="n">
        <v>186.78</v>
      </c>
      <c r="E20" s="23" t="n">
        <v>6038</v>
      </c>
      <c r="F20" s="23" t="n">
        <v>6188</v>
      </c>
      <c r="G20" s="11">
        <f>IF(F20=0,0,E20/F20*100)</f>
        <v/>
      </c>
      <c r="H20" s="7" t="n">
        <v>2</v>
      </c>
      <c r="I20" s="7" t="n">
        <v>0</v>
      </c>
      <c r="J20" s="7" t="n">
        <v>2</v>
      </c>
      <c r="K20" s="7" t="n">
        <v>5</v>
      </c>
    </row>
    <row r="21">
      <c r="A21" s="21" t="inlineStr">
        <is>
          <t>8 Jun</t>
        </is>
      </c>
      <c r="B21" s="21" t="inlineStr">
        <is>
          <t>37609</t>
        </is>
      </c>
      <c r="C21" s="7" t="n">
        <v>0</v>
      </c>
      <c r="D21" s="49" t="n">
        <v>81.98999999999999</v>
      </c>
      <c r="E21" s="23" t="n">
        <v>5109</v>
      </c>
      <c r="F21" s="23" t="n">
        <v>5223</v>
      </c>
      <c r="G21" s="11">
        <f>IF(F21=0,0,E21/F21*100)</f>
        <v/>
      </c>
      <c r="H21" s="7" t="n">
        <v>0</v>
      </c>
      <c r="I21" s="7" t="n">
        <v>0</v>
      </c>
      <c r="J21" s="7" t="n">
        <v>0</v>
      </c>
      <c r="K21" s="7" t="n">
        <v>3</v>
      </c>
    </row>
    <row r="22">
      <c r="A22" s="21" t="inlineStr">
        <is>
          <t>8 Jun</t>
        </is>
      </c>
      <c r="B22" s="21" t="inlineStr">
        <is>
          <t>37481</t>
        </is>
      </c>
      <c r="C22" s="7" t="n">
        <v>0</v>
      </c>
      <c r="D22" s="49" t="n">
        <v>198.24</v>
      </c>
      <c r="E22" s="23" t="n">
        <v>5123</v>
      </c>
      <c r="F22" s="23" t="n">
        <v>5171</v>
      </c>
      <c r="G22" s="11">
        <f>IF(F22=0,0,E22/F22*100)</f>
        <v/>
      </c>
      <c r="H22" s="7" t="n">
        <v>0</v>
      </c>
      <c r="I22" s="7" t="n">
        <v>0</v>
      </c>
      <c r="J22" s="7" t="n">
        <v>0</v>
      </c>
      <c r="K22" s="7" t="n">
        <v>4</v>
      </c>
    </row>
    <row r="23">
      <c r="A23" s="21" t="inlineStr">
        <is>
          <t>8 Jun</t>
        </is>
      </c>
      <c r="B23" s="21" t="inlineStr">
        <is>
          <t>37025</t>
        </is>
      </c>
      <c r="C23" s="7" t="n">
        <v>0</v>
      </c>
      <c r="D23" s="49" t="n">
        <v>93.77</v>
      </c>
      <c r="E23" s="23" t="n">
        <v>4547</v>
      </c>
      <c r="F23" s="23" t="n">
        <v>4763</v>
      </c>
      <c r="G23" s="11">
        <f>IF(F23=0,0,E23/F23*100)</f>
        <v/>
      </c>
      <c r="H23" s="7" t="n">
        <v>0</v>
      </c>
      <c r="I23" s="7" t="n">
        <v>0</v>
      </c>
      <c r="J23" s="7" t="n">
        <v>0</v>
      </c>
      <c r="K23" s="7" t="n">
        <v>1</v>
      </c>
    </row>
    <row r="24">
      <c r="A24" s="21" t="inlineStr">
        <is>
          <t>8 Jun</t>
        </is>
      </c>
      <c r="B24" s="21" t="inlineStr">
        <is>
          <t>30686</t>
        </is>
      </c>
      <c r="C24" s="7" t="n">
        <v>0</v>
      </c>
      <c r="D24" s="49" t="n">
        <v>91.62</v>
      </c>
      <c r="E24" s="23" t="n">
        <v>4225</v>
      </c>
      <c r="F24" s="23" t="n">
        <v>4273</v>
      </c>
      <c r="G24" s="11">
        <f>IF(F24=0,0,E24/F24*100)</f>
        <v/>
      </c>
      <c r="H24" s="7" t="n">
        <v>0</v>
      </c>
      <c r="I24" s="7" t="n">
        <v>0</v>
      </c>
      <c r="J24" s="7" t="n">
        <v>0</v>
      </c>
      <c r="K24" s="7" t="n">
        <v>2</v>
      </c>
    </row>
    <row r="25">
      <c r="A25" s="21" t="inlineStr">
        <is>
          <t>8 Jun</t>
        </is>
      </c>
      <c r="B25" s="21" t="inlineStr">
        <is>
          <t>37908</t>
        </is>
      </c>
      <c r="C25" s="7" t="n">
        <v>0</v>
      </c>
      <c r="D25" s="49" t="n">
        <v>94.25</v>
      </c>
      <c r="E25" s="23" t="n">
        <v>3841</v>
      </c>
      <c r="F25" s="23" t="n">
        <v>3929</v>
      </c>
      <c r="G25" s="11">
        <f>IF(F25=0,0,E25/F25*100)</f>
        <v/>
      </c>
      <c r="H25" s="7" t="n">
        <v>0</v>
      </c>
      <c r="I25" s="7" t="n">
        <v>0</v>
      </c>
      <c r="J25" s="7" t="n">
        <v>0</v>
      </c>
      <c r="K25" s="7" t="n">
        <v>3</v>
      </c>
    </row>
    <row r="26">
      <c r="A26" s="21" t="inlineStr">
        <is>
          <t>8 Jun</t>
        </is>
      </c>
      <c r="B26" s="21" t="inlineStr">
        <is>
          <t>37042</t>
        </is>
      </c>
      <c r="C26" s="7" t="n">
        <v>0</v>
      </c>
      <c r="D26" s="49" t="n">
        <v>79.43000000000001</v>
      </c>
      <c r="E26" s="23" t="n">
        <v>3242</v>
      </c>
      <c r="F26" s="23" t="n">
        <v>3352</v>
      </c>
      <c r="G26" s="11">
        <f>IF(F26=0,0,E26/F26*100)</f>
        <v/>
      </c>
      <c r="H26" s="7" t="n">
        <v>0</v>
      </c>
      <c r="I26" s="7" t="n">
        <v>0</v>
      </c>
      <c r="J26" s="7" t="n">
        <v>0</v>
      </c>
      <c r="K26" s="7" t="n">
        <v>4</v>
      </c>
    </row>
    <row r="27">
      <c r="A27" s="21" t="inlineStr">
        <is>
          <t>8 Jun</t>
        </is>
      </c>
      <c r="B27" s="21" t="inlineStr">
        <is>
          <t>30742</t>
        </is>
      </c>
      <c r="C27" s="7" t="n">
        <v>0</v>
      </c>
      <c r="D27" s="49" t="n">
        <v>81.98999999999999</v>
      </c>
      <c r="E27" s="23" t="n">
        <v>3154</v>
      </c>
      <c r="F27" s="23" t="n">
        <v>3317</v>
      </c>
      <c r="G27" s="11">
        <f>IF(F27=0,0,E27/F27*100)</f>
        <v/>
      </c>
      <c r="H27" s="7" t="n">
        <v>0</v>
      </c>
      <c r="I27" s="7" t="n">
        <v>0</v>
      </c>
      <c r="J27" s="7" t="n">
        <v>0</v>
      </c>
      <c r="K27" s="7" t="n">
        <v>7</v>
      </c>
    </row>
    <row r="28">
      <c r="A28" s="21" t="inlineStr">
        <is>
          <t>8 Jun</t>
        </is>
      </c>
      <c r="B28" s="21" t="inlineStr">
        <is>
          <t>30322</t>
        </is>
      </c>
      <c r="C28" s="7" t="n">
        <v>0</v>
      </c>
      <c r="D28" s="49" t="n">
        <v>82.52</v>
      </c>
      <c r="E28" s="23" t="n">
        <v>3283</v>
      </c>
      <c r="F28" s="23" t="n">
        <v>3291</v>
      </c>
      <c r="G28" s="11">
        <f>IF(F28=0,0,E28/F28*100)</f>
        <v/>
      </c>
      <c r="H28" s="7" t="n">
        <v>0</v>
      </c>
      <c r="I28" s="7" t="n">
        <v>0</v>
      </c>
      <c r="J28" s="7" t="n">
        <v>0</v>
      </c>
      <c r="K28" s="7" t="n">
        <v>0</v>
      </c>
    </row>
    <row r="29">
      <c r="A29" s="21" t="inlineStr">
        <is>
          <t>8 Jun</t>
        </is>
      </c>
      <c r="B29" s="21" t="inlineStr">
        <is>
          <t>37086</t>
        </is>
      </c>
      <c r="C29" s="7" t="n">
        <v>0</v>
      </c>
      <c r="D29" s="49" t="n">
        <v>71.79000000000001</v>
      </c>
      <c r="E29" s="23" t="n">
        <v>2994</v>
      </c>
      <c r="F29" s="23" t="n">
        <v>3056</v>
      </c>
      <c r="G29" s="11">
        <f>IF(F29=0,0,E29/F29*100)</f>
        <v/>
      </c>
      <c r="H29" s="7" t="n">
        <v>0</v>
      </c>
      <c r="I29" s="7" t="n">
        <v>0</v>
      </c>
      <c r="J29" s="7" t="n">
        <v>0</v>
      </c>
      <c r="K29" s="7" t="n">
        <v>0</v>
      </c>
    </row>
    <row r="30">
      <c r="A30" s="21" t="inlineStr">
        <is>
          <t>8 Jun</t>
        </is>
      </c>
      <c r="B30" s="21" t="inlineStr">
        <is>
          <t>37720</t>
        </is>
      </c>
      <c r="C30" s="7" t="n">
        <v>0</v>
      </c>
      <c r="D30" s="49" t="n">
        <v>81.68000000000001</v>
      </c>
      <c r="E30" s="23" t="n">
        <v>2876</v>
      </c>
      <c r="F30" s="23" t="n">
        <v>2996</v>
      </c>
      <c r="G30" s="11">
        <f>IF(F30=0,0,E30/F30*100)</f>
        <v/>
      </c>
      <c r="H30" s="7" t="n">
        <v>0</v>
      </c>
      <c r="I30" s="7" t="n">
        <v>0</v>
      </c>
      <c r="J30" s="7" t="n">
        <v>0</v>
      </c>
      <c r="K30" s="7" t="n">
        <v>2</v>
      </c>
    </row>
    <row r="31">
      <c r="A31" s="21" t="inlineStr">
        <is>
          <t>8 Jun</t>
        </is>
      </c>
      <c r="B31" s="21" t="inlineStr">
        <is>
          <t>30305</t>
        </is>
      </c>
      <c r="C31" s="7" t="n">
        <v>0</v>
      </c>
      <c r="D31" s="49" t="n">
        <v>54.34</v>
      </c>
      <c r="E31" s="23" t="n">
        <v>1790</v>
      </c>
      <c r="F31" s="23" t="n">
        <v>1890</v>
      </c>
      <c r="G31" s="11">
        <f>IF(F31=0,0,E31/F31*100)</f>
        <v/>
      </c>
      <c r="H31" s="7" t="n">
        <v>2</v>
      </c>
      <c r="I31" s="7" t="n">
        <v>0</v>
      </c>
      <c r="J31" s="7" t="n">
        <v>2</v>
      </c>
      <c r="K31" s="7" t="n">
        <v>3</v>
      </c>
    </row>
    <row r="32">
      <c r="A32" s="21" t="inlineStr">
        <is>
          <t>8 Jun</t>
        </is>
      </c>
      <c r="B32" s="21" t="inlineStr">
        <is>
          <t>37272</t>
        </is>
      </c>
      <c r="C32" s="7" t="n">
        <v>0</v>
      </c>
      <c r="D32" s="49" t="n">
        <v>11.13</v>
      </c>
      <c r="E32" s="23" t="n">
        <v>939</v>
      </c>
      <c r="F32" s="23" t="n">
        <v>1038</v>
      </c>
      <c r="G32" s="11">
        <f>IF(F32=0,0,E32/F32*100)</f>
        <v/>
      </c>
      <c r="H32" s="7" t="n">
        <v>0</v>
      </c>
      <c r="I32" s="7" t="n">
        <v>0</v>
      </c>
      <c r="J32" s="7" t="n">
        <v>0</v>
      </c>
      <c r="K32" s="7" t="n">
        <v>0</v>
      </c>
    </row>
    <row r="33">
      <c r="A33" s="21" t="inlineStr">
        <is>
          <t>8 Jun</t>
        </is>
      </c>
      <c r="B33" s="21" t="inlineStr">
        <is>
          <t>45002</t>
        </is>
      </c>
      <c r="C33" s="7" t="n">
        <v>0</v>
      </c>
      <c r="D33" s="49" t="n">
        <v>0.45</v>
      </c>
      <c r="E33" s="23" t="n">
        <v>371</v>
      </c>
      <c r="F33" s="23" t="n">
        <v>470</v>
      </c>
      <c r="G33" s="11">
        <f>IF(F33=0,0,E33/F33*100)</f>
        <v/>
      </c>
      <c r="H33" s="7" t="n">
        <v>3</v>
      </c>
      <c r="I33" s="7" t="n">
        <v>0</v>
      </c>
      <c r="J33" s="7" t="n">
        <v>3</v>
      </c>
      <c r="K33" s="7" t="n">
        <v>1</v>
      </c>
    </row>
    <row r="34">
      <c r="A34" s="24" t="inlineStr">
        <is>
          <t>8 Jun</t>
        </is>
      </c>
      <c r="B34" s="24" t="inlineStr">
        <is>
          <t>Day Total</t>
        </is>
      </c>
      <c r="C34" s="25">
        <f>SUM(C4:C33)</f>
        <v/>
      </c>
      <c r="D34" s="50">
        <f>SUM(D4:D33)</f>
        <v/>
      </c>
      <c r="E34" s="27">
        <f>SUM(E4:E33)</f>
        <v/>
      </c>
      <c r="F34" s="27">
        <f>SUMIF(E4:E33,"&gt;0",F4:F33)</f>
        <v/>
      </c>
      <c r="G34" s="28">
        <f>IF(F34=0,0,E34/F34*100)</f>
        <v/>
      </c>
      <c r="H34" s="25">
        <f>SUM(H4:H33)</f>
        <v/>
      </c>
      <c r="I34" s="25">
        <f>SUM(I4:I33)</f>
        <v/>
      </c>
      <c r="J34" s="25">
        <f>SUM(J4:J33)</f>
        <v/>
      </c>
      <c r="K34" s="25">
        <f>SUM(K4:K33)</f>
        <v/>
      </c>
    </row>
    <row r="35">
      <c r="A35" s="21" t="inlineStr">
        <is>
          <t>9 Jun</t>
        </is>
      </c>
      <c r="B35" s="21" t="inlineStr">
        <is>
          <t>30112</t>
        </is>
      </c>
      <c r="C35" s="7" t="n">
        <v>1</v>
      </c>
      <c r="D35" s="49" t="n">
        <v>244.03</v>
      </c>
      <c r="E35" s="23" t="n">
        <v>12141</v>
      </c>
      <c r="F35" s="23" t="n">
        <v>12160</v>
      </c>
      <c r="G35" s="11">
        <f>IF(F35=0,0,E35/F35*100)</f>
        <v/>
      </c>
      <c r="H35" s="7" t="n">
        <v>0</v>
      </c>
      <c r="I35" s="7" t="n">
        <v>0</v>
      </c>
      <c r="J35" s="7" t="n">
        <v>0</v>
      </c>
      <c r="K35" s="7" t="n">
        <v>1</v>
      </c>
    </row>
    <row r="36">
      <c r="A36" s="21" t="inlineStr">
        <is>
          <t>9 Jun</t>
        </is>
      </c>
      <c r="B36" s="21" t="inlineStr">
        <is>
          <t>37860</t>
        </is>
      </c>
      <c r="C36" s="7" t="n">
        <v>0</v>
      </c>
      <c r="D36" s="49" t="n">
        <v>203.24</v>
      </c>
      <c r="E36" s="23" t="n">
        <v>17383</v>
      </c>
      <c r="F36" s="23" t="n">
        <v>17723</v>
      </c>
      <c r="G36" s="11">
        <f>IF(F36=0,0,E36/F36*100)</f>
        <v/>
      </c>
      <c r="H36" s="7" t="n">
        <v>0</v>
      </c>
      <c r="I36" s="7" t="n">
        <v>0</v>
      </c>
      <c r="J36" s="7" t="n">
        <v>0</v>
      </c>
      <c r="K36" s="7" t="n">
        <v>5</v>
      </c>
    </row>
    <row r="37">
      <c r="A37" s="21" t="inlineStr">
        <is>
          <t>9 Jun</t>
        </is>
      </c>
      <c r="B37" s="21" t="inlineStr">
        <is>
          <t>37898</t>
        </is>
      </c>
      <c r="C37" s="7" t="n">
        <v>0</v>
      </c>
      <c r="D37" s="49" t="n">
        <v>199.04</v>
      </c>
      <c r="E37" s="23" t="n">
        <v>11635</v>
      </c>
      <c r="F37" s="23" t="n">
        <v>11766</v>
      </c>
      <c r="G37" s="11">
        <f>IF(F37=0,0,E37/F37*100)</f>
        <v/>
      </c>
      <c r="H37" s="7" t="n">
        <v>1</v>
      </c>
      <c r="I37" s="7" t="n">
        <v>0</v>
      </c>
      <c r="J37" s="7" t="n">
        <v>1</v>
      </c>
      <c r="K37" s="7" t="n">
        <v>1</v>
      </c>
    </row>
    <row r="38">
      <c r="A38" s="21" t="inlineStr">
        <is>
          <t>9 Jun</t>
        </is>
      </c>
      <c r="B38" s="21" t="inlineStr">
        <is>
          <t>30493</t>
        </is>
      </c>
      <c r="C38" s="7" t="n">
        <v>0</v>
      </c>
      <c r="D38" s="49" t="n">
        <v>231.64</v>
      </c>
      <c r="E38" s="23" t="n">
        <v>10596</v>
      </c>
      <c r="F38" s="23" t="n">
        <v>10804</v>
      </c>
      <c r="G38" s="11">
        <f>IF(F38=0,0,E38/F38*100)</f>
        <v/>
      </c>
      <c r="H38" s="7" t="n">
        <v>0</v>
      </c>
      <c r="I38" s="7" t="n">
        <v>0</v>
      </c>
      <c r="J38" s="7" t="n">
        <v>0</v>
      </c>
      <c r="K38" s="7" t="n">
        <v>6</v>
      </c>
    </row>
    <row r="39">
      <c r="A39" s="21" t="inlineStr">
        <is>
          <t>9 Jun</t>
        </is>
      </c>
      <c r="B39" s="21" t="inlineStr">
        <is>
          <t>39410</t>
        </is>
      </c>
      <c r="C39" s="7" t="n">
        <v>0</v>
      </c>
      <c r="D39" s="49" t="n">
        <v>199.74</v>
      </c>
      <c r="E39" s="23" t="n">
        <v>10426</v>
      </c>
      <c r="F39" s="23" t="n">
        <v>10600</v>
      </c>
      <c r="G39" s="11">
        <f>IF(F39=0,0,E39/F39*100)</f>
        <v/>
      </c>
      <c r="H39" s="7" t="n">
        <v>0</v>
      </c>
      <c r="I39" s="7" t="n">
        <v>0</v>
      </c>
      <c r="J39" s="7" t="n">
        <v>0</v>
      </c>
      <c r="K39" s="7" t="n">
        <v>6</v>
      </c>
    </row>
    <row r="40">
      <c r="A40" s="21" t="inlineStr">
        <is>
          <t>9 Jun</t>
        </is>
      </c>
      <c r="B40" s="21" t="inlineStr">
        <is>
          <t>39263</t>
        </is>
      </c>
      <c r="C40" s="7" t="n">
        <v>0</v>
      </c>
      <c r="D40" s="49" t="n">
        <v>231.63</v>
      </c>
      <c r="E40" s="23" t="n">
        <v>9965</v>
      </c>
      <c r="F40" s="23" t="n">
        <v>10068</v>
      </c>
      <c r="G40" s="11">
        <f>IF(F40=0,0,E40/F40*100)</f>
        <v/>
      </c>
      <c r="H40" s="7" t="n">
        <v>0</v>
      </c>
      <c r="I40" s="7" t="n">
        <v>0</v>
      </c>
      <c r="J40" s="7" t="n">
        <v>0</v>
      </c>
      <c r="K40" s="7" t="n">
        <v>5</v>
      </c>
    </row>
    <row r="41">
      <c r="A41" s="21" t="inlineStr">
        <is>
          <t>9 Jun</t>
        </is>
      </c>
      <c r="B41" s="21" t="inlineStr">
        <is>
          <t>30487</t>
        </is>
      </c>
      <c r="C41" s="7" t="n">
        <v>0</v>
      </c>
      <c r="D41" s="49" t="n">
        <v>191.51</v>
      </c>
      <c r="E41" s="23" t="n">
        <v>9504</v>
      </c>
      <c r="F41" s="23" t="n">
        <v>9700</v>
      </c>
      <c r="G41" s="11">
        <f>IF(F41=0,0,E41/F41*100)</f>
        <v/>
      </c>
      <c r="H41" s="7" t="n">
        <v>0</v>
      </c>
      <c r="I41" s="7" t="n">
        <v>0</v>
      </c>
      <c r="J41" s="7" t="n">
        <v>0</v>
      </c>
      <c r="K41" s="7" t="n">
        <v>4</v>
      </c>
    </row>
    <row r="42">
      <c r="A42" s="21" t="inlineStr">
        <is>
          <t>9 Jun</t>
        </is>
      </c>
      <c r="B42" s="21" t="inlineStr">
        <is>
          <t>30191</t>
        </is>
      </c>
      <c r="C42" s="7" t="n">
        <v>0</v>
      </c>
      <c r="D42" s="49" t="n">
        <v>94.26000000000001</v>
      </c>
      <c r="E42" s="23" t="n">
        <v>9294</v>
      </c>
      <c r="F42" s="23" t="n">
        <v>9417</v>
      </c>
      <c r="G42" s="11">
        <f>IF(F42=0,0,E42/F42*100)</f>
        <v/>
      </c>
      <c r="H42" s="7" t="n">
        <v>0</v>
      </c>
      <c r="I42" s="7" t="n">
        <v>0</v>
      </c>
      <c r="J42" s="7" t="n">
        <v>0</v>
      </c>
      <c r="K42" s="7" t="n">
        <v>5</v>
      </c>
    </row>
    <row r="43">
      <c r="A43" s="21" t="inlineStr">
        <is>
          <t>9 Jun</t>
        </is>
      </c>
      <c r="B43" s="21" t="inlineStr">
        <is>
          <t>37562</t>
        </is>
      </c>
      <c r="C43" s="7" t="n">
        <v>0</v>
      </c>
      <c r="D43" s="49" t="n">
        <v>203</v>
      </c>
      <c r="E43" s="23" t="n">
        <v>9025</v>
      </c>
      <c r="F43" s="23" t="n">
        <v>9244</v>
      </c>
      <c r="G43" s="11">
        <f>IF(F43=0,0,E43/F43*100)</f>
        <v/>
      </c>
      <c r="H43" s="7" t="n">
        <v>0</v>
      </c>
      <c r="I43" s="7" t="n">
        <v>0</v>
      </c>
      <c r="J43" s="7" t="n">
        <v>0</v>
      </c>
      <c r="K43" s="7" t="n">
        <v>3</v>
      </c>
    </row>
    <row r="44">
      <c r="A44" s="21" t="inlineStr">
        <is>
          <t>9 Jun</t>
        </is>
      </c>
      <c r="B44" s="21" t="inlineStr">
        <is>
          <t>39135</t>
        </is>
      </c>
      <c r="C44" s="7" t="n">
        <v>0</v>
      </c>
      <c r="D44" s="49" t="n">
        <v>229.82</v>
      </c>
      <c r="E44" s="23" t="n">
        <v>8820</v>
      </c>
      <c r="F44" s="23" t="n">
        <v>9108</v>
      </c>
      <c r="G44" s="11">
        <f>IF(F44=0,0,E44/F44*100)</f>
        <v/>
      </c>
      <c r="H44" s="7" t="n">
        <v>0</v>
      </c>
      <c r="I44" s="7" t="n">
        <v>0</v>
      </c>
      <c r="J44" s="7" t="n">
        <v>0</v>
      </c>
      <c r="K44" s="7" t="n">
        <v>8</v>
      </c>
    </row>
    <row r="45">
      <c r="A45" s="21" t="inlineStr">
        <is>
          <t>9 Jun</t>
        </is>
      </c>
      <c r="B45" s="21" t="inlineStr">
        <is>
          <t>30200</t>
        </is>
      </c>
      <c r="C45" s="7" t="n">
        <v>0</v>
      </c>
      <c r="D45" s="49" t="n">
        <v>208.41</v>
      </c>
      <c r="E45" s="23" t="n">
        <v>8386</v>
      </c>
      <c r="F45" s="23" t="n">
        <v>8700</v>
      </c>
      <c r="G45" s="11">
        <f>IF(F45=0,0,E45/F45*100)</f>
        <v/>
      </c>
      <c r="H45" s="7" t="n">
        <v>0</v>
      </c>
      <c r="I45" s="7" t="n">
        <v>0</v>
      </c>
      <c r="J45" s="7" t="n">
        <v>0</v>
      </c>
      <c r="K45" s="7" t="n">
        <v>3</v>
      </c>
    </row>
    <row r="46">
      <c r="A46" s="21" t="inlineStr">
        <is>
          <t>9 Jun</t>
        </is>
      </c>
      <c r="B46" s="21" t="inlineStr">
        <is>
          <t>37779</t>
        </is>
      </c>
      <c r="C46" s="7" t="n">
        <v>0</v>
      </c>
      <c r="D46" s="49" t="n">
        <v>199.74</v>
      </c>
      <c r="E46" s="23" t="n">
        <v>8330</v>
      </c>
      <c r="F46" s="23" t="n">
        <v>8407</v>
      </c>
      <c r="G46" s="11">
        <f>IF(F46=0,0,E46/F46*100)</f>
        <v/>
      </c>
      <c r="H46" s="7" t="n">
        <v>0</v>
      </c>
      <c r="I46" s="7" t="n">
        <v>0</v>
      </c>
      <c r="J46" s="7" t="n">
        <v>0</v>
      </c>
      <c r="K46" s="7" t="n">
        <v>0</v>
      </c>
    </row>
    <row r="47">
      <c r="A47" s="21" t="inlineStr">
        <is>
          <t>9 Jun</t>
        </is>
      </c>
      <c r="B47" s="21" t="inlineStr">
        <is>
          <t>37609</t>
        </is>
      </c>
      <c r="C47" s="7" t="n">
        <v>0</v>
      </c>
      <c r="D47" s="49" t="n">
        <v>188.31</v>
      </c>
      <c r="E47" s="23" t="n">
        <v>7999</v>
      </c>
      <c r="F47" s="23" t="n">
        <v>8179</v>
      </c>
      <c r="G47" s="11">
        <f>IF(F47=0,0,E47/F47*100)</f>
        <v/>
      </c>
      <c r="H47" s="7" t="n">
        <v>0</v>
      </c>
      <c r="I47" s="7" t="n">
        <v>0</v>
      </c>
      <c r="J47" s="7" t="n">
        <v>0</v>
      </c>
      <c r="K47" s="7" t="n">
        <v>4</v>
      </c>
    </row>
    <row r="48">
      <c r="A48" s="21" t="inlineStr">
        <is>
          <t>9 Jun</t>
        </is>
      </c>
      <c r="B48" s="21" t="inlineStr">
        <is>
          <t>37025</t>
        </is>
      </c>
      <c r="C48" s="7" t="n">
        <v>0</v>
      </c>
      <c r="D48" s="49" t="n">
        <v>94.39</v>
      </c>
      <c r="E48" s="23" t="n">
        <v>7352</v>
      </c>
      <c r="F48" s="23" t="n">
        <v>7467</v>
      </c>
      <c r="G48" s="11">
        <f>IF(F48=0,0,E48/F48*100)</f>
        <v/>
      </c>
      <c r="H48" s="7" t="n">
        <v>1</v>
      </c>
      <c r="I48" s="7" t="n">
        <v>0</v>
      </c>
      <c r="J48" s="7" t="n">
        <v>1</v>
      </c>
      <c r="K48" s="7" t="n">
        <v>2</v>
      </c>
    </row>
    <row r="49">
      <c r="A49" s="21" t="inlineStr">
        <is>
          <t>9 Jun</t>
        </is>
      </c>
      <c r="B49" s="21" t="inlineStr">
        <is>
          <t>39060</t>
        </is>
      </c>
      <c r="C49" s="7" t="n">
        <v>0</v>
      </c>
      <c r="D49" s="49" t="n">
        <v>99.25</v>
      </c>
      <c r="E49" s="23" t="n">
        <v>7351</v>
      </c>
      <c r="F49" s="23" t="n">
        <v>7387</v>
      </c>
      <c r="G49" s="11">
        <f>IF(F49=0,0,E49/F49*100)</f>
        <v/>
      </c>
      <c r="H49" s="7" t="n">
        <v>0</v>
      </c>
      <c r="I49" s="7" t="n">
        <v>0</v>
      </c>
      <c r="J49" s="7" t="n">
        <v>0</v>
      </c>
      <c r="K49" s="7" t="n">
        <v>1</v>
      </c>
    </row>
    <row r="50">
      <c r="A50" s="21" t="inlineStr">
        <is>
          <t>9 Jun</t>
        </is>
      </c>
      <c r="B50" s="21" t="inlineStr">
        <is>
          <t>37719</t>
        </is>
      </c>
      <c r="C50" s="7" t="n">
        <v>0</v>
      </c>
      <c r="D50" s="49" t="n">
        <v>199.61</v>
      </c>
      <c r="E50" s="23" t="n">
        <v>6795</v>
      </c>
      <c r="F50" s="23" t="n">
        <v>6805</v>
      </c>
      <c r="G50" s="11">
        <f>IF(F50=0,0,E50/F50*100)</f>
        <v/>
      </c>
      <c r="H50" s="7" t="n">
        <v>0</v>
      </c>
      <c r="I50" s="7" t="n">
        <v>0</v>
      </c>
      <c r="J50" s="7" t="n">
        <v>0</v>
      </c>
      <c r="K50" s="7" t="n">
        <v>0</v>
      </c>
    </row>
    <row r="51">
      <c r="A51" s="21" t="inlineStr">
        <is>
          <t>9 Jun</t>
        </is>
      </c>
      <c r="B51" s="21" t="inlineStr">
        <is>
          <t>37720</t>
        </is>
      </c>
      <c r="C51" s="7" t="n">
        <v>0</v>
      </c>
      <c r="D51" s="49" t="n">
        <v>82.53</v>
      </c>
      <c r="E51" s="23" t="n">
        <v>5959</v>
      </c>
      <c r="F51" s="23" t="n">
        <v>6104</v>
      </c>
      <c r="G51" s="11">
        <f>IF(F51=0,0,E51/F51*100)</f>
        <v/>
      </c>
      <c r="H51" s="7" t="n">
        <v>0</v>
      </c>
      <c r="I51" s="7" t="n">
        <v>0</v>
      </c>
      <c r="J51" s="7" t="n">
        <v>0</v>
      </c>
      <c r="K51" s="7" t="n">
        <v>4</v>
      </c>
    </row>
    <row r="52">
      <c r="A52" s="21" t="inlineStr">
        <is>
          <t>9 Jun</t>
        </is>
      </c>
      <c r="B52" s="21" t="inlineStr">
        <is>
          <t>30084</t>
        </is>
      </c>
      <c r="C52" s="7" t="n">
        <v>0</v>
      </c>
      <c r="D52" s="49" t="n">
        <v>8.390000000000001</v>
      </c>
      <c r="E52" s="23" t="n">
        <v>4659</v>
      </c>
      <c r="F52" s="23" t="n">
        <v>6021</v>
      </c>
      <c r="G52" s="11">
        <f>IF(F52=0,0,E52/F52*100)</f>
        <v/>
      </c>
      <c r="H52" s="7" t="n">
        <v>22</v>
      </c>
      <c r="I52" s="7" t="n">
        <v>0</v>
      </c>
      <c r="J52" s="7" t="n">
        <v>22</v>
      </c>
      <c r="K52" s="7" t="n">
        <v>14</v>
      </c>
    </row>
    <row r="53">
      <c r="A53" s="21" t="inlineStr">
        <is>
          <t>9 Jun</t>
        </is>
      </c>
      <c r="B53" s="21" t="inlineStr">
        <is>
          <t>37502</t>
        </is>
      </c>
      <c r="C53" s="7" t="n">
        <v>0</v>
      </c>
      <c r="D53" s="49" t="n">
        <v>138.67</v>
      </c>
      <c r="E53" s="23" t="n">
        <v>5342</v>
      </c>
      <c r="F53" s="23" t="n">
        <v>5377</v>
      </c>
      <c r="G53" s="11">
        <f>IF(F53=0,0,E53/F53*100)</f>
        <v/>
      </c>
      <c r="H53" s="7" t="n">
        <v>0</v>
      </c>
      <c r="I53" s="7" t="n">
        <v>0</v>
      </c>
      <c r="J53" s="7" t="n">
        <v>0</v>
      </c>
      <c r="K53" s="7" t="n">
        <v>0</v>
      </c>
    </row>
    <row r="54">
      <c r="A54" s="21" t="inlineStr">
        <is>
          <t>9 Jun</t>
        </is>
      </c>
      <c r="B54" s="21" t="inlineStr">
        <is>
          <t>30692</t>
        </is>
      </c>
      <c r="C54" s="7" t="n">
        <v>0</v>
      </c>
      <c r="D54" s="49" t="n">
        <v>93.77</v>
      </c>
      <c r="E54" s="23" t="n">
        <v>5034</v>
      </c>
      <c r="F54" s="23" t="n">
        <v>5129</v>
      </c>
      <c r="G54" s="11">
        <f>IF(F54=0,0,E54/F54*100)</f>
        <v/>
      </c>
      <c r="H54" s="7" t="n">
        <v>0</v>
      </c>
      <c r="I54" s="7" t="n">
        <v>0</v>
      </c>
      <c r="J54" s="7" t="n">
        <v>0</v>
      </c>
      <c r="K54" s="7" t="n">
        <v>0</v>
      </c>
    </row>
    <row r="55">
      <c r="A55" s="21" t="inlineStr">
        <is>
          <t>9 Jun</t>
        </is>
      </c>
      <c r="B55" s="21" t="inlineStr">
        <is>
          <t>37086</t>
        </is>
      </c>
      <c r="C55" s="7" t="n">
        <v>0</v>
      </c>
      <c r="D55" s="49" t="n">
        <v>127.57</v>
      </c>
      <c r="E55" s="23" t="n">
        <v>4493</v>
      </c>
      <c r="F55" s="23" t="n">
        <v>4513</v>
      </c>
      <c r="G55" s="11">
        <f>IF(F55=0,0,E55/F55*100)</f>
        <v/>
      </c>
      <c r="H55" s="7" t="n">
        <v>0</v>
      </c>
      <c r="I55" s="7" t="n">
        <v>0</v>
      </c>
      <c r="J55" s="7" t="n">
        <v>0</v>
      </c>
      <c r="K55" s="7" t="n">
        <v>1</v>
      </c>
    </row>
    <row r="56">
      <c r="A56" s="21" t="inlineStr">
        <is>
          <t>9 Jun</t>
        </is>
      </c>
      <c r="B56" s="21" t="inlineStr">
        <is>
          <t>37400</t>
        </is>
      </c>
      <c r="C56" s="7" t="n">
        <v>0</v>
      </c>
      <c r="D56" s="49" t="n">
        <v>94.43000000000001</v>
      </c>
      <c r="E56" s="23" t="n">
        <v>3874</v>
      </c>
      <c r="F56" s="23" t="n">
        <v>4066</v>
      </c>
      <c r="G56" s="11">
        <f>IF(F56=0,0,E56/F56*100)</f>
        <v/>
      </c>
      <c r="H56" s="7" t="n">
        <v>3</v>
      </c>
      <c r="I56" s="7" t="n">
        <v>0</v>
      </c>
      <c r="J56" s="7" t="n">
        <v>3</v>
      </c>
      <c r="K56" s="7" t="n">
        <v>1</v>
      </c>
    </row>
    <row r="57">
      <c r="A57" s="21" t="inlineStr">
        <is>
          <t>9 Jun</t>
        </is>
      </c>
      <c r="B57" s="21" t="inlineStr">
        <is>
          <t>37168</t>
        </is>
      </c>
      <c r="C57" s="7" t="n">
        <v>0</v>
      </c>
      <c r="D57" s="49" t="n">
        <v>94.15000000000001</v>
      </c>
      <c r="E57" s="23" t="n">
        <v>3530</v>
      </c>
      <c r="F57" s="23" t="n">
        <v>3963</v>
      </c>
      <c r="G57" s="11">
        <f>IF(F57=0,0,E57/F57*100)</f>
        <v/>
      </c>
      <c r="H57" s="7" t="n">
        <v>0</v>
      </c>
      <c r="I57" s="7" t="n">
        <v>0</v>
      </c>
      <c r="J57" s="7" t="n">
        <v>0</v>
      </c>
      <c r="K57" s="7" t="n">
        <v>2</v>
      </c>
    </row>
    <row r="58">
      <c r="A58" s="21" t="inlineStr">
        <is>
          <t>9 Jun</t>
        </is>
      </c>
      <c r="B58" s="21" t="inlineStr">
        <is>
          <t>30742</t>
        </is>
      </c>
      <c r="C58" s="7" t="n">
        <v>0</v>
      </c>
      <c r="D58" s="49" t="n">
        <v>81.66</v>
      </c>
      <c r="E58" s="23" t="n">
        <v>3927</v>
      </c>
      <c r="F58" s="23" t="n">
        <v>3943</v>
      </c>
      <c r="G58" s="11">
        <f>IF(F58=0,0,E58/F58*100)</f>
        <v/>
      </c>
      <c r="H58" s="7" t="n">
        <v>0</v>
      </c>
      <c r="I58" s="7" t="n">
        <v>0</v>
      </c>
      <c r="J58" s="7" t="n">
        <v>0</v>
      </c>
      <c r="K58" s="7" t="n">
        <v>2</v>
      </c>
    </row>
    <row r="59">
      <c r="A59" s="21" t="inlineStr">
        <is>
          <t>9 Jun</t>
        </is>
      </c>
      <c r="B59" s="21" t="inlineStr">
        <is>
          <t>37016</t>
        </is>
      </c>
      <c r="C59" s="7" t="n">
        <v>0</v>
      </c>
      <c r="D59" s="49" t="n">
        <v>93.77</v>
      </c>
      <c r="E59" s="23" t="n">
        <v>3852</v>
      </c>
      <c r="F59" s="23" t="n">
        <v>3919</v>
      </c>
      <c r="G59" s="11">
        <f>IF(F59=0,0,E59/F59*100)</f>
        <v/>
      </c>
      <c r="H59" s="7" t="n">
        <v>0</v>
      </c>
      <c r="I59" s="7" t="n">
        <v>0</v>
      </c>
      <c r="J59" s="7" t="n">
        <v>0</v>
      </c>
      <c r="K59" s="7" t="n">
        <v>1</v>
      </c>
    </row>
    <row r="60">
      <c r="A60" s="21" t="inlineStr">
        <is>
          <t>9 Jun</t>
        </is>
      </c>
      <c r="B60" s="21" t="inlineStr">
        <is>
          <t>37014</t>
        </is>
      </c>
      <c r="C60" s="7" t="n">
        <v>0</v>
      </c>
      <c r="D60" s="49" t="n">
        <v>94</v>
      </c>
      <c r="E60" s="23" t="n">
        <v>3845</v>
      </c>
      <c r="F60" s="23" t="n">
        <v>3895</v>
      </c>
      <c r="G60" s="11">
        <f>IF(F60=0,0,E60/F60*100)</f>
        <v/>
      </c>
      <c r="H60" s="7" t="n">
        <v>0</v>
      </c>
      <c r="I60" s="7" t="n">
        <v>0</v>
      </c>
      <c r="J60" s="7" t="n">
        <v>0</v>
      </c>
      <c r="K60" s="7" t="n">
        <v>0</v>
      </c>
    </row>
    <row r="61">
      <c r="A61" s="21" t="inlineStr">
        <is>
          <t>9 Jun</t>
        </is>
      </c>
      <c r="B61" s="21" t="inlineStr">
        <is>
          <t>39560</t>
        </is>
      </c>
      <c r="C61" s="7" t="n">
        <v>0</v>
      </c>
      <c r="D61" s="49" t="n">
        <v>81.29000000000001</v>
      </c>
      <c r="E61" s="23" t="n">
        <v>3146</v>
      </c>
      <c r="F61" s="23" t="n">
        <v>3254</v>
      </c>
      <c r="G61" s="11">
        <f>IF(F61=0,0,E61/F61*100)</f>
        <v/>
      </c>
      <c r="H61" s="7" t="n">
        <v>0</v>
      </c>
      <c r="I61" s="7" t="n">
        <v>0</v>
      </c>
      <c r="J61" s="7" t="n">
        <v>0</v>
      </c>
      <c r="K61" s="7" t="n">
        <v>3</v>
      </c>
    </row>
    <row r="62">
      <c r="A62" s="21" t="inlineStr">
        <is>
          <t>9 Jun</t>
        </is>
      </c>
      <c r="B62" s="21" t="inlineStr">
        <is>
          <t>30371</t>
        </is>
      </c>
      <c r="C62" s="7" t="n">
        <v>0</v>
      </c>
      <c r="D62" s="49" t="n">
        <v>45.99</v>
      </c>
      <c r="E62" s="23" t="n">
        <v>1930</v>
      </c>
      <c r="F62" s="23" t="n">
        <v>1934</v>
      </c>
      <c r="G62" s="11">
        <f>IF(F62=0,0,E62/F62*100)</f>
        <v/>
      </c>
      <c r="H62" s="7" t="n">
        <v>0</v>
      </c>
      <c r="I62" s="7" t="n">
        <v>0</v>
      </c>
      <c r="J62" s="7" t="n">
        <v>0</v>
      </c>
      <c r="K62" s="7" t="n">
        <v>0</v>
      </c>
    </row>
    <row r="63">
      <c r="A63" s="21" t="inlineStr">
        <is>
          <t>9 Jun</t>
        </is>
      </c>
      <c r="B63" s="21" t="inlineStr">
        <is>
          <t>37533</t>
        </is>
      </c>
      <c r="C63" s="7" t="n">
        <v>0</v>
      </c>
      <c r="D63" s="49" t="n">
        <v>1.29</v>
      </c>
      <c r="E63" s="23" t="n">
        <v>46</v>
      </c>
      <c r="F63" s="23" t="n">
        <v>343</v>
      </c>
      <c r="G63" s="11">
        <f>IF(F63=0,0,E63/F63*100)</f>
        <v/>
      </c>
      <c r="H63" s="7" t="n">
        <v>1</v>
      </c>
      <c r="I63" s="7" t="n">
        <v>0</v>
      </c>
      <c r="J63" s="7" t="n">
        <v>1</v>
      </c>
      <c r="K63" s="7" t="n">
        <v>0</v>
      </c>
    </row>
    <row r="64">
      <c r="A64" s="21" t="inlineStr">
        <is>
          <t>9 Jun</t>
        </is>
      </c>
      <c r="B64" s="21" t="inlineStr">
        <is>
          <t>37244</t>
        </is>
      </c>
      <c r="C64" s="7" t="n">
        <v>0</v>
      </c>
      <c r="D64" s="49" t="n">
        <v>0.65</v>
      </c>
      <c r="E64" s="23" t="n">
        <v>212</v>
      </c>
      <c r="F64" s="23" t="n">
        <v>220</v>
      </c>
      <c r="G64" s="11">
        <f>IF(F64=0,0,E64/F64*100)</f>
        <v/>
      </c>
      <c r="H64" s="7" t="n">
        <v>0</v>
      </c>
      <c r="I64" s="7" t="n">
        <v>0</v>
      </c>
      <c r="J64" s="7" t="n">
        <v>0</v>
      </c>
      <c r="K64" s="7" t="n">
        <v>0</v>
      </c>
    </row>
    <row r="65">
      <c r="A65" s="24" t="inlineStr">
        <is>
          <t>9 Jun</t>
        </is>
      </c>
      <c r="B65" s="24" t="inlineStr">
        <is>
          <t>Day Total</t>
        </is>
      </c>
      <c r="C65" s="25">
        <f>SUM(C35:C64)</f>
        <v/>
      </c>
      <c r="D65" s="50">
        <f>SUM(D35:D64)</f>
        <v/>
      </c>
      <c r="E65" s="27">
        <f>SUM(E35:E64)</f>
        <v/>
      </c>
      <c r="F65" s="27">
        <f>SUMIF(E35:E64,"&gt;0",F35:F64)</f>
        <v/>
      </c>
      <c r="G65" s="28">
        <f>IF(F65=0,0,E65/F65*100)</f>
        <v/>
      </c>
      <c r="H65" s="25">
        <f>SUM(H35:H64)</f>
        <v/>
      </c>
      <c r="I65" s="25">
        <f>SUM(I35:I64)</f>
        <v/>
      </c>
      <c r="J65" s="25">
        <f>SUM(J35:J64)</f>
        <v/>
      </c>
      <c r="K65" s="25">
        <f>SUM(K35:K64)</f>
        <v/>
      </c>
    </row>
    <row r="66">
      <c r="A66" s="21" t="inlineStr">
        <is>
          <t>10 Jun</t>
        </is>
      </c>
      <c r="B66" s="21" t="inlineStr">
        <is>
          <t>37215</t>
        </is>
      </c>
      <c r="C66" s="7" t="n">
        <v>1</v>
      </c>
      <c r="D66" s="49" t="n">
        <v>243.64</v>
      </c>
      <c r="E66" s="23" t="n">
        <v>11535</v>
      </c>
      <c r="F66" s="23" t="n">
        <v>11823</v>
      </c>
      <c r="G66" s="11">
        <f>IF(F66=0,0,E66/F66*100)</f>
        <v/>
      </c>
      <c r="H66" s="7" t="n">
        <v>0</v>
      </c>
      <c r="I66" s="7" t="n">
        <v>0</v>
      </c>
      <c r="J66" s="7" t="n">
        <v>0</v>
      </c>
      <c r="K66" s="7" t="n">
        <v>2</v>
      </c>
    </row>
    <row r="67">
      <c r="A67" s="21" t="inlineStr">
        <is>
          <t>10 Jun</t>
        </is>
      </c>
      <c r="B67" s="21" t="inlineStr">
        <is>
          <t>37860</t>
        </is>
      </c>
      <c r="C67" s="7" t="n">
        <v>1</v>
      </c>
      <c r="D67" s="49" t="n">
        <v>241.14</v>
      </c>
      <c r="E67" s="23" t="n">
        <v>11619</v>
      </c>
      <c r="F67" s="23" t="n">
        <v>11809</v>
      </c>
      <c r="G67" s="11">
        <f>IF(F67=0,0,E67/F67*100)</f>
        <v/>
      </c>
      <c r="H67" s="7" t="n">
        <v>0</v>
      </c>
      <c r="I67" s="7" t="n">
        <v>0</v>
      </c>
      <c r="J67" s="7" t="n">
        <v>0</v>
      </c>
      <c r="K67" s="7" t="n">
        <v>3</v>
      </c>
    </row>
    <row r="68">
      <c r="A68" s="21" t="inlineStr">
        <is>
          <t>10 Jun</t>
        </is>
      </c>
      <c r="B68" s="21" t="inlineStr">
        <is>
          <t>37585</t>
        </is>
      </c>
      <c r="C68" s="7" t="n">
        <v>0</v>
      </c>
      <c r="D68" s="49" t="n">
        <v>99.69</v>
      </c>
      <c r="E68" s="23" t="n">
        <v>14785</v>
      </c>
      <c r="F68" s="23" t="n">
        <v>15238</v>
      </c>
      <c r="G68" s="11">
        <f>IF(F68=0,0,E68/F68*100)</f>
        <v/>
      </c>
      <c r="H68" s="7" t="n">
        <v>1</v>
      </c>
      <c r="I68" s="7" t="n">
        <v>0</v>
      </c>
      <c r="J68" s="7" t="n">
        <v>1</v>
      </c>
      <c r="K68" s="7" t="n">
        <v>10</v>
      </c>
    </row>
    <row r="69">
      <c r="A69" s="21" t="inlineStr">
        <is>
          <t>10 Jun</t>
        </is>
      </c>
      <c r="B69" s="21" t="inlineStr">
        <is>
          <t>37908</t>
        </is>
      </c>
      <c r="C69" s="7" t="n">
        <v>0</v>
      </c>
      <c r="D69" s="49" t="n">
        <v>94.3</v>
      </c>
      <c r="E69" s="23" t="n">
        <v>12889</v>
      </c>
      <c r="F69" s="23" t="n">
        <v>12993</v>
      </c>
      <c r="G69" s="11">
        <f>IF(F69=0,0,E69/F69*100)</f>
        <v/>
      </c>
      <c r="H69" s="7" t="n">
        <v>0</v>
      </c>
      <c r="I69" s="7" t="n">
        <v>0</v>
      </c>
      <c r="J69" s="7" t="n">
        <v>0</v>
      </c>
      <c r="K69" s="7" t="n">
        <v>1</v>
      </c>
    </row>
    <row r="70">
      <c r="A70" s="21" t="inlineStr">
        <is>
          <t>10 Jun</t>
        </is>
      </c>
      <c r="B70" s="21" t="inlineStr">
        <is>
          <t>37898</t>
        </is>
      </c>
      <c r="C70" s="7" t="n">
        <v>0</v>
      </c>
      <c r="D70" s="49" t="n">
        <v>199.74</v>
      </c>
      <c r="E70" s="23" t="n">
        <v>11916</v>
      </c>
      <c r="F70" s="23" t="n">
        <v>12319</v>
      </c>
      <c r="G70" s="11">
        <f>IF(F70=0,0,E70/F70*100)</f>
        <v/>
      </c>
      <c r="H70" s="7" t="n">
        <v>0</v>
      </c>
      <c r="I70" s="7" t="n">
        <v>0</v>
      </c>
      <c r="J70" s="7" t="n">
        <v>0</v>
      </c>
      <c r="K70" s="7" t="n">
        <v>9</v>
      </c>
    </row>
    <row r="71">
      <c r="A71" s="21" t="inlineStr">
        <is>
          <t>10 Jun</t>
        </is>
      </c>
      <c r="B71" s="21" t="inlineStr">
        <is>
          <t>39178</t>
        </is>
      </c>
      <c r="C71" s="7" t="n">
        <v>0</v>
      </c>
      <c r="D71" s="49" t="n">
        <v>199.05</v>
      </c>
      <c r="E71" s="23" t="n">
        <v>11820</v>
      </c>
      <c r="F71" s="23" t="n">
        <v>11860</v>
      </c>
      <c r="G71" s="11">
        <f>IF(F71=0,0,E71/F71*100)</f>
        <v/>
      </c>
      <c r="H71" s="7" t="n">
        <v>0</v>
      </c>
      <c r="I71" s="7" t="n">
        <v>0</v>
      </c>
      <c r="J71" s="7" t="n">
        <v>0</v>
      </c>
      <c r="K71" s="7" t="n">
        <v>0</v>
      </c>
    </row>
    <row r="72">
      <c r="A72" s="21" t="inlineStr">
        <is>
          <t>10 Jun</t>
        </is>
      </c>
      <c r="B72" s="21" t="inlineStr">
        <is>
          <t>37185</t>
        </is>
      </c>
      <c r="C72" s="7" t="n">
        <v>0</v>
      </c>
      <c r="D72" s="49" t="n">
        <v>199.76</v>
      </c>
      <c r="E72" s="23" t="n">
        <v>9317</v>
      </c>
      <c r="F72" s="23" t="n">
        <v>9439</v>
      </c>
      <c r="G72" s="11">
        <f>IF(F72=0,0,E72/F72*100)</f>
        <v/>
      </c>
      <c r="H72" s="7" t="n">
        <v>0</v>
      </c>
      <c r="I72" s="7" t="n">
        <v>0</v>
      </c>
      <c r="J72" s="7" t="n">
        <v>0</v>
      </c>
      <c r="K72" s="7" t="n">
        <v>1</v>
      </c>
    </row>
    <row r="73">
      <c r="A73" s="21" t="inlineStr">
        <is>
          <t>10 Jun</t>
        </is>
      </c>
      <c r="B73" s="21" t="inlineStr">
        <is>
          <t>37025</t>
        </is>
      </c>
      <c r="C73" s="7" t="n">
        <v>0</v>
      </c>
      <c r="D73" s="49" t="n">
        <v>199.73</v>
      </c>
      <c r="E73" s="23" t="n">
        <v>9156</v>
      </c>
      <c r="F73" s="23" t="n">
        <v>9203</v>
      </c>
      <c r="G73" s="11">
        <f>IF(F73=0,0,E73/F73*100)</f>
        <v/>
      </c>
      <c r="H73" s="7" t="n">
        <v>1</v>
      </c>
      <c r="I73" s="7" t="n">
        <v>0</v>
      </c>
      <c r="J73" s="7" t="n">
        <v>1</v>
      </c>
      <c r="K73" s="7" t="n">
        <v>0</v>
      </c>
    </row>
    <row r="74">
      <c r="A74" s="21" t="inlineStr">
        <is>
          <t>10 Jun</t>
        </is>
      </c>
      <c r="B74" s="21" t="inlineStr">
        <is>
          <t>39409</t>
        </is>
      </c>
      <c r="C74" s="7" t="n">
        <v>0</v>
      </c>
      <c r="D74" s="49" t="n">
        <v>199.05</v>
      </c>
      <c r="E74" s="23" t="n">
        <v>8871</v>
      </c>
      <c r="F74" s="23" t="n">
        <v>8948</v>
      </c>
      <c r="G74" s="11">
        <f>IF(F74=0,0,E74/F74*100)</f>
        <v/>
      </c>
      <c r="H74" s="7" t="n">
        <v>0</v>
      </c>
      <c r="I74" s="7" t="n">
        <v>0</v>
      </c>
      <c r="J74" s="7" t="n">
        <v>0</v>
      </c>
      <c r="K74" s="7" t="n">
        <v>2</v>
      </c>
    </row>
    <row r="75">
      <c r="A75" s="21" t="inlineStr">
        <is>
          <t>10 Jun</t>
        </is>
      </c>
      <c r="B75" s="21" t="inlineStr">
        <is>
          <t>30300</t>
        </is>
      </c>
      <c r="C75" s="7" t="n">
        <v>0</v>
      </c>
      <c r="D75" s="49" t="n">
        <v>189.49</v>
      </c>
      <c r="E75" s="23" t="n">
        <v>8858</v>
      </c>
      <c r="F75" s="23" t="n">
        <v>8896</v>
      </c>
      <c r="G75" s="11">
        <f>IF(F75=0,0,E75/F75*100)</f>
        <v/>
      </c>
      <c r="H75" s="7" t="n">
        <v>0</v>
      </c>
      <c r="I75" s="7" t="n">
        <v>0</v>
      </c>
      <c r="J75" s="7" t="n">
        <v>0</v>
      </c>
      <c r="K75" s="7" t="n">
        <v>1</v>
      </c>
    </row>
    <row r="76">
      <c r="A76" s="21" t="inlineStr">
        <is>
          <t>10 Jun</t>
        </is>
      </c>
      <c r="B76" s="21" t="inlineStr">
        <is>
          <t>37452</t>
        </is>
      </c>
      <c r="C76" s="7" t="n">
        <v>0</v>
      </c>
      <c r="D76" s="49" t="n">
        <v>199.05</v>
      </c>
      <c r="E76" s="23" t="n">
        <v>8800</v>
      </c>
      <c r="F76" s="23" t="n">
        <v>8843</v>
      </c>
      <c r="G76" s="11">
        <f>IF(F76=0,0,E76/F76*100)</f>
        <v/>
      </c>
      <c r="H76" s="7" t="n">
        <v>1</v>
      </c>
      <c r="I76" s="7" t="n">
        <v>0</v>
      </c>
      <c r="J76" s="7" t="n">
        <v>1</v>
      </c>
      <c r="K76" s="7" t="n">
        <v>1</v>
      </c>
    </row>
    <row r="77">
      <c r="A77" s="21" t="inlineStr">
        <is>
          <t>10 Jun</t>
        </is>
      </c>
      <c r="B77" s="21" t="inlineStr">
        <is>
          <t>39263</t>
        </is>
      </c>
      <c r="C77" s="7" t="n">
        <v>0</v>
      </c>
      <c r="D77" s="49" t="n">
        <v>232.25</v>
      </c>
      <c r="E77" s="23" t="n">
        <v>8233</v>
      </c>
      <c r="F77" s="23" t="n">
        <v>8465</v>
      </c>
      <c r="G77" s="11">
        <f>IF(F77=0,0,E77/F77*100)</f>
        <v/>
      </c>
      <c r="H77" s="7" t="n">
        <v>0</v>
      </c>
      <c r="I77" s="7" t="n">
        <v>0</v>
      </c>
      <c r="J77" s="7" t="n">
        <v>0</v>
      </c>
      <c r="K77" s="7" t="n">
        <v>3</v>
      </c>
    </row>
    <row r="78">
      <c r="A78" s="21" t="inlineStr">
        <is>
          <t>10 Jun</t>
        </is>
      </c>
      <c r="B78" s="21" t="inlineStr">
        <is>
          <t>30692</t>
        </is>
      </c>
      <c r="C78" s="7" t="n">
        <v>0</v>
      </c>
      <c r="D78" s="49" t="n">
        <v>220.43</v>
      </c>
      <c r="E78" s="23" t="n">
        <v>7801</v>
      </c>
      <c r="F78" s="23" t="n">
        <v>8163</v>
      </c>
      <c r="G78" s="11">
        <f>IF(F78=0,0,E78/F78*100)</f>
        <v/>
      </c>
      <c r="H78" s="7" t="n">
        <v>0</v>
      </c>
      <c r="I78" s="7" t="n">
        <v>0</v>
      </c>
      <c r="J78" s="7" t="n">
        <v>0</v>
      </c>
      <c r="K78" s="7" t="n">
        <v>5</v>
      </c>
    </row>
    <row r="79">
      <c r="A79" s="21" t="inlineStr">
        <is>
          <t>10 Jun</t>
        </is>
      </c>
      <c r="B79" s="21" t="inlineStr">
        <is>
          <t>37244</t>
        </is>
      </c>
      <c r="C79" s="7" t="n">
        <v>0</v>
      </c>
      <c r="D79" s="49" t="n">
        <v>197.83</v>
      </c>
      <c r="E79" s="23" t="n">
        <v>7977</v>
      </c>
      <c r="F79" s="23" t="n">
        <v>7983</v>
      </c>
      <c r="G79" s="11">
        <f>IF(F79=0,0,E79/F79*100)</f>
        <v/>
      </c>
      <c r="H79" s="7" t="n">
        <v>0</v>
      </c>
      <c r="I79" s="7" t="n">
        <v>0</v>
      </c>
      <c r="J79" s="7" t="n">
        <v>0</v>
      </c>
      <c r="K79" s="7" t="n">
        <v>1</v>
      </c>
    </row>
    <row r="80">
      <c r="A80" s="21" t="inlineStr">
        <is>
          <t>10 Jun</t>
        </is>
      </c>
      <c r="B80" s="21" t="inlineStr">
        <is>
          <t>39482</t>
        </is>
      </c>
      <c r="C80" s="7" t="n">
        <v>0</v>
      </c>
      <c r="D80" s="49" t="n">
        <v>199.54</v>
      </c>
      <c r="E80" s="23" t="n">
        <v>7593</v>
      </c>
      <c r="F80" s="23" t="n">
        <v>7819</v>
      </c>
      <c r="G80" s="11">
        <f>IF(F80=0,0,E80/F80*100)</f>
        <v/>
      </c>
      <c r="H80" s="7" t="n">
        <v>0</v>
      </c>
      <c r="I80" s="7" t="n">
        <v>0</v>
      </c>
      <c r="J80" s="7" t="n">
        <v>0</v>
      </c>
      <c r="K80" s="7" t="n">
        <v>7</v>
      </c>
    </row>
    <row r="81">
      <c r="A81" s="21" t="inlineStr">
        <is>
          <t>10 Jun</t>
        </is>
      </c>
      <c r="B81" s="21" t="inlineStr">
        <is>
          <t>37401</t>
        </is>
      </c>
      <c r="C81" s="7" t="n">
        <v>0</v>
      </c>
      <c r="D81" s="49" t="n">
        <v>199.2</v>
      </c>
      <c r="E81" s="23" t="n">
        <v>7552</v>
      </c>
      <c r="F81" s="23" t="n">
        <v>7656</v>
      </c>
      <c r="G81" s="11">
        <f>IF(F81=0,0,E81/F81*100)</f>
        <v/>
      </c>
      <c r="H81" s="7" t="n">
        <v>0</v>
      </c>
      <c r="I81" s="7" t="n">
        <v>0</v>
      </c>
      <c r="J81" s="7" t="n">
        <v>0</v>
      </c>
      <c r="K81" s="7" t="n">
        <v>2</v>
      </c>
    </row>
    <row r="82">
      <c r="A82" s="21" t="inlineStr">
        <is>
          <t>10 Jun</t>
        </is>
      </c>
      <c r="B82" s="21" t="inlineStr">
        <is>
          <t>30371</t>
        </is>
      </c>
      <c r="C82" s="7" t="n">
        <v>0</v>
      </c>
      <c r="D82" s="49" t="n">
        <v>186.32</v>
      </c>
      <c r="E82" s="23" t="n">
        <v>7116</v>
      </c>
      <c r="F82" s="23" t="n">
        <v>7361</v>
      </c>
      <c r="G82" s="11">
        <f>IF(F82=0,0,E82/F82*100)</f>
        <v/>
      </c>
      <c r="H82" s="7" t="n">
        <v>0</v>
      </c>
      <c r="I82" s="7" t="n">
        <v>0</v>
      </c>
      <c r="J82" s="7" t="n">
        <v>0</v>
      </c>
      <c r="K82" s="7" t="n">
        <v>3</v>
      </c>
    </row>
    <row r="83">
      <c r="A83" s="21" t="inlineStr">
        <is>
          <t>10 Jun</t>
        </is>
      </c>
      <c r="B83" s="21" t="inlineStr">
        <is>
          <t>39105</t>
        </is>
      </c>
      <c r="C83" s="7" t="n">
        <v>0</v>
      </c>
      <c r="D83" s="49" t="n">
        <v>199.62</v>
      </c>
      <c r="E83" s="23" t="n">
        <v>7117</v>
      </c>
      <c r="F83" s="23" t="n">
        <v>7151</v>
      </c>
      <c r="G83" s="11">
        <f>IF(F83=0,0,E83/F83*100)</f>
        <v/>
      </c>
      <c r="H83" s="7" t="n">
        <v>0</v>
      </c>
      <c r="I83" s="7" t="n">
        <v>0</v>
      </c>
      <c r="J83" s="7" t="n">
        <v>0</v>
      </c>
      <c r="K83" s="7" t="n">
        <v>0</v>
      </c>
    </row>
    <row r="84">
      <c r="A84" s="21" t="inlineStr">
        <is>
          <t>10 Jun</t>
        </is>
      </c>
      <c r="B84" s="21" t="inlineStr">
        <is>
          <t>30370</t>
        </is>
      </c>
      <c r="C84" s="7" t="n">
        <v>0</v>
      </c>
      <c r="D84" s="49" t="n">
        <v>199.4</v>
      </c>
      <c r="E84" s="23" t="n">
        <v>7062</v>
      </c>
      <c r="F84" s="23" t="n">
        <v>7128</v>
      </c>
      <c r="G84" s="11">
        <f>IF(F84=0,0,E84/F84*100)</f>
        <v/>
      </c>
      <c r="H84" s="7" t="n">
        <v>0</v>
      </c>
      <c r="I84" s="7" t="n">
        <v>0</v>
      </c>
      <c r="J84" s="7" t="n">
        <v>0</v>
      </c>
      <c r="K84" s="7" t="n">
        <v>1</v>
      </c>
    </row>
    <row r="85">
      <c r="A85" s="21" t="inlineStr">
        <is>
          <t>10 Jun</t>
        </is>
      </c>
      <c r="B85" s="21" t="inlineStr">
        <is>
          <t>37403</t>
        </is>
      </c>
      <c r="C85" s="7" t="n">
        <v>0</v>
      </c>
      <c r="D85" s="49" t="n">
        <v>135.23</v>
      </c>
      <c r="E85" s="23" t="n">
        <v>6577</v>
      </c>
      <c r="F85" s="23" t="n">
        <v>6640</v>
      </c>
      <c r="G85" s="11">
        <f>IF(F85=0,0,E85/F85*100)</f>
        <v/>
      </c>
      <c r="H85" s="7" t="n">
        <v>0</v>
      </c>
      <c r="I85" s="7" t="n">
        <v>0</v>
      </c>
      <c r="J85" s="7" t="n">
        <v>0</v>
      </c>
      <c r="K85" s="7" t="n">
        <v>3</v>
      </c>
    </row>
    <row r="86">
      <c r="A86" s="21" t="inlineStr">
        <is>
          <t>10 Jun</t>
        </is>
      </c>
      <c r="B86" s="21" t="inlineStr">
        <is>
          <t>30503</t>
        </is>
      </c>
      <c r="C86" s="7" t="n">
        <v>0</v>
      </c>
      <c r="D86" s="49" t="n">
        <v>94.37</v>
      </c>
      <c r="E86" s="23" t="n">
        <v>5783</v>
      </c>
      <c r="F86" s="23" t="n">
        <v>5976</v>
      </c>
      <c r="G86" s="11">
        <f>IF(F86=0,0,E86/F86*100)</f>
        <v/>
      </c>
      <c r="H86" s="7" t="n">
        <v>3</v>
      </c>
      <c r="I86" s="7" t="n">
        <v>0</v>
      </c>
      <c r="J86" s="7" t="n">
        <v>3</v>
      </c>
      <c r="K86" s="7" t="n">
        <v>11</v>
      </c>
    </row>
    <row r="87">
      <c r="A87" s="21" t="inlineStr">
        <is>
          <t>10 Jun</t>
        </is>
      </c>
      <c r="B87" s="21" t="inlineStr">
        <is>
          <t>37024</t>
        </is>
      </c>
      <c r="C87" s="7" t="n">
        <v>0</v>
      </c>
      <c r="D87" s="49" t="n">
        <v>93.77</v>
      </c>
      <c r="E87" s="23" t="n">
        <v>5533</v>
      </c>
      <c r="F87" s="23" t="n">
        <v>5574</v>
      </c>
      <c r="G87" s="11">
        <f>IF(F87=0,0,E87/F87*100)</f>
        <v/>
      </c>
      <c r="H87" s="7" t="n">
        <v>0</v>
      </c>
      <c r="I87" s="7" t="n">
        <v>0</v>
      </c>
      <c r="J87" s="7" t="n">
        <v>0</v>
      </c>
      <c r="K87" s="7" t="n">
        <v>0</v>
      </c>
    </row>
    <row r="88">
      <c r="A88" s="21" t="inlineStr">
        <is>
          <t>10 Jun</t>
        </is>
      </c>
      <c r="B88" s="21" t="inlineStr">
        <is>
          <t>39170</t>
        </is>
      </c>
      <c r="C88" s="7" t="n">
        <v>0</v>
      </c>
      <c r="D88" s="49" t="n">
        <v>93.91</v>
      </c>
      <c r="E88" s="23" t="n">
        <v>3896</v>
      </c>
      <c r="F88" s="23" t="n">
        <v>3984</v>
      </c>
      <c r="G88" s="11">
        <f>IF(F88=0,0,E88/F88*100)</f>
        <v/>
      </c>
      <c r="H88" s="7" t="n">
        <v>0</v>
      </c>
      <c r="I88" s="7" t="n">
        <v>0</v>
      </c>
      <c r="J88" s="7" t="n">
        <v>0</v>
      </c>
      <c r="K88" s="7" t="n">
        <v>2</v>
      </c>
    </row>
    <row r="89">
      <c r="A89" s="21" t="inlineStr">
        <is>
          <t>10 Jun</t>
        </is>
      </c>
      <c r="B89" s="21" t="inlineStr">
        <is>
          <t>39133</t>
        </is>
      </c>
      <c r="C89" s="7" t="n">
        <v>0</v>
      </c>
      <c r="D89" s="49" t="n">
        <v>94.29000000000001</v>
      </c>
      <c r="E89" s="23" t="n">
        <v>3753</v>
      </c>
      <c r="F89" s="23" t="n">
        <v>3875</v>
      </c>
      <c r="G89" s="11">
        <f>IF(F89=0,0,E89/F89*100)</f>
        <v/>
      </c>
      <c r="H89" s="7" t="n">
        <v>0</v>
      </c>
      <c r="I89" s="7" t="n">
        <v>0</v>
      </c>
      <c r="J89" s="7" t="n">
        <v>0</v>
      </c>
      <c r="K89" s="7" t="n">
        <v>2</v>
      </c>
    </row>
    <row r="90">
      <c r="A90" s="21" t="inlineStr">
        <is>
          <t>10 Jun</t>
        </is>
      </c>
      <c r="B90" s="21" t="inlineStr">
        <is>
          <t>30639</t>
        </is>
      </c>
      <c r="C90" s="7" t="n">
        <v>0</v>
      </c>
      <c r="D90" s="49" t="n">
        <v>93.77</v>
      </c>
      <c r="E90" s="23" t="n">
        <v>3748</v>
      </c>
      <c r="F90" s="23" t="n">
        <v>3812</v>
      </c>
      <c r="G90" s="11">
        <f>IF(F90=0,0,E90/F90*100)</f>
        <v/>
      </c>
      <c r="H90" s="7" t="n">
        <v>0</v>
      </c>
      <c r="I90" s="7" t="n">
        <v>0</v>
      </c>
      <c r="J90" s="7" t="n">
        <v>0</v>
      </c>
      <c r="K90" s="7" t="n">
        <v>1</v>
      </c>
    </row>
    <row r="91">
      <c r="A91" s="21" t="inlineStr">
        <is>
          <t>10 Jun</t>
        </is>
      </c>
      <c r="B91" s="21" t="inlineStr">
        <is>
          <t>30084</t>
        </is>
      </c>
      <c r="C91" s="7" t="n">
        <v>0</v>
      </c>
      <c r="D91" s="49" t="n">
        <v>4.84</v>
      </c>
      <c r="E91" s="23" t="n">
        <v>1147</v>
      </c>
      <c r="F91" s="23" t="n">
        <v>3600</v>
      </c>
      <c r="G91" s="11">
        <f>IF(F91=0,0,E91/F91*100)</f>
        <v/>
      </c>
      <c r="H91" s="7" t="n">
        <v>12</v>
      </c>
      <c r="I91" s="7" t="n">
        <v>0</v>
      </c>
      <c r="J91" s="7" t="n">
        <v>12</v>
      </c>
      <c r="K91" s="7" t="n">
        <v>0</v>
      </c>
    </row>
    <row r="92">
      <c r="A92" s="21" t="inlineStr">
        <is>
          <t>10 Jun</t>
        </is>
      </c>
      <c r="B92" s="21" t="inlineStr">
        <is>
          <t>30742</t>
        </is>
      </c>
      <c r="C92" s="7" t="n">
        <v>0</v>
      </c>
      <c r="D92" s="49" t="n">
        <v>81.40000000000001</v>
      </c>
      <c r="E92" s="23" t="n">
        <v>3250</v>
      </c>
      <c r="F92" s="23" t="n">
        <v>3455</v>
      </c>
      <c r="G92" s="11">
        <f>IF(F92=0,0,E92/F92*100)</f>
        <v/>
      </c>
      <c r="H92" s="7" t="n">
        <v>0</v>
      </c>
      <c r="I92" s="7" t="n">
        <v>0</v>
      </c>
      <c r="J92" s="7" t="n">
        <v>0</v>
      </c>
      <c r="K92" s="7" t="n">
        <v>8</v>
      </c>
    </row>
    <row r="93">
      <c r="A93" s="21" t="inlineStr">
        <is>
          <t>10 Jun</t>
        </is>
      </c>
      <c r="B93" s="21" t="inlineStr">
        <is>
          <t>30329</t>
        </is>
      </c>
      <c r="C93" s="7" t="n">
        <v>0</v>
      </c>
      <c r="D93" s="49" t="n">
        <v>82.48</v>
      </c>
      <c r="E93" s="23" t="n">
        <v>3416</v>
      </c>
      <c r="F93" s="23" t="n">
        <v>3444</v>
      </c>
      <c r="G93" s="11">
        <f>IF(F93=0,0,E93/F93*100)</f>
        <v/>
      </c>
      <c r="H93" s="7" t="n">
        <v>0</v>
      </c>
      <c r="I93" s="7" t="n">
        <v>0</v>
      </c>
      <c r="J93" s="7" t="n">
        <v>0</v>
      </c>
      <c r="K93" s="7" t="n">
        <v>5</v>
      </c>
    </row>
    <row r="94">
      <c r="A94" s="21" t="inlineStr">
        <is>
          <t>10 Jun</t>
        </is>
      </c>
      <c r="B94" s="21" t="inlineStr">
        <is>
          <t>30203</t>
        </is>
      </c>
      <c r="C94" s="7" t="n">
        <v>0</v>
      </c>
      <c r="D94" s="49" t="n">
        <v>82.5</v>
      </c>
      <c r="E94" s="23" t="n">
        <v>3315</v>
      </c>
      <c r="F94" s="23" t="n">
        <v>3324</v>
      </c>
      <c r="G94" s="11">
        <f>IF(F94=0,0,E94/F94*100)</f>
        <v/>
      </c>
      <c r="H94" s="7" t="n">
        <v>0</v>
      </c>
      <c r="I94" s="7" t="n">
        <v>0</v>
      </c>
      <c r="J94" s="7" t="n">
        <v>0</v>
      </c>
      <c r="K94" s="7" t="n">
        <v>0</v>
      </c>
    </row>
    <row r="95">
      <c r="A95" s="21" t="inlineStr">
        <is>
          <t>10 Jun</t>
        </is>
      </c>
      <c r="B95" s="21" t="inlineStr">
        <is>
          <t>30372</t>
        </is>
      </c>
      <c r="C95" s="7" t="n">
        <v>0</v>
      </c>
      <c r="D95" s="49" t="n">
        <v>82.54000000000001</v>
      </c>
      <c r="E95" s="23" t="n">
        <v>2781</v>
      </c>
      <c r="F95" s="23" t="n">
        <v>2980</v>
      </c>
      <c r="G95" s="11">
        <f>IF(F95=0,0,E95/F95*100)</f>
        <v/>
      </c>
      <c r="H95" s="7" t="n">
        <v>0</v>
      </c>
      <c r="I95" s="7" t="n">
        <v>0</v>
      </c>
      <c r="J95" s="7" t="n">
        <v>0</v>
      </c>
      <c r="K95" s="7" t="n">
        <v>7</v>
      </c>
    </row>
    <row r="96">
      <c r="A96" s="21" t="inlineStr">
        <is>
          <t>10 Jun</t>
        </is>
      </c>
      <c r="B96" s="21" t="inlineStr">
        <is>
          <t>37502</t>
        </is>
      </c>
      <c r="C96" s="7" t="n">
        <v>0</v>
      </c>
      <c r="D96" s="49" t="n">
        <v>41.96</v>
      </c>
      <c r="E96" s="23" t="n">
        <v>1648</v>
      </c>
      <c r="F96" s="23" t="n">
        <v>1653</v>
      </c>
      <c r="G96" s="11">
        <f>IF(F96=0,0,E96/F96*100)</f>
        <v/>
      </c>
      <c r="H96" s="7" t="n">
        <v>0</v>
      </c>
      <c r="I96" s="7" t="n">
        <v>0</v>
      </c>
      <c r="J96" s="7" t="n">
        <v>0</v>
      </c>
      <c r="K96" s="7" t="n">
        <v>0</v>
      </c>
    </row>
    <row r="97">
      <c r="A97" s="21" t="inlineStr">
        <is>
          <t>10 Jun</t>
        </is>
      </c>
      <c r="B97" s="21" t="inlineStr">
        <is>
          <t>38842</t>
        </is>
      </c>
      <c r="C97" s="7" t="n">
        <v>0</v>
      </c>
      <c r="D97" s="49" t="n">
        <v>0.23</v>
      </c>
      <c r="E97" s="23" t="n">
        <v>432</v>
      </c>
      <c r="F97" s="23" t="n">
        <v>1481</v>
      </c>
      <c r="G97" s="11">
        <f>IF(F97=0,0,E97/F97*100)</f>
        <v/>
      </c>
      <c r="H97" s="7" t="n">
        <v>4</v>
      </c>
      <c r="I97" s="7" t="n">
        <v>0</v>
      </c>
      <c r="J97" s="7" t="n">
        <v>4</v>
      </c>
      <c r="K97" s="7" t="n">
        <v>5</v>
      </c>
    </row>
    <row r="98">
      <c r="A98" s="21" t="inlineStr">
        <is>
          <t>10 Jun</t>
        </is>
      </c>
      <c r="B98" s="21" t="inlineStr">
        <is>
          <t>37719</t>
        </is>
      </c>
      <c r="C98" s="7" t="n">
        <v>0</v>
      </c>
      <c r="D98" s="49" t="n">
        <v>5.46</v>
      </c>
      <c r="E98" s="23" t="n">
        <v>726</v>
      </c>
      <c r="F98" s="23" t="n">
        <v>886</v>
      </c>
      <c r="G98" s="11">
        <f>IF(F98=0,0,E98/F98*100)</f>
        <v/>
      </c>
      <c r="H98" s="7" t="n">
        <v>0</v>
      </c>
      <c r="I98" s="7" t="n">
        <v>0</v>
      </c>
      <c r="J98" s="7" t="n">
        <v>0</v>
      </c>
      <c r="K98" s="7" t="n">
        <v>1</v>
      </c>
    </row>
    <row r="99">
      <c r="A99" s="21" t="inlineStr">
        <is>
          <t>10 Jun</t>
        </is>
      </c>
      <c r="B99" s="21" t="inlineStr">
        <is>
          <t>30468</t>
        </is>
      </c>
      <c r="C99" s="7" t="n">
        <v>0</v>
      </c>
      <c r="D99" s="49" t="n">
        <v>0.06</v>
      </c>
      <c r="E99" s="23" t="n">
        <v>55</v>
      </c>
      <c r="F99" s="23" t="n">
        <v>103</v>
      </c>
      <c r="G99" s="11">
        <f>IF(F99=0,0,E99/F99*100)</f>
        <v/>
      </c>
      <c r="H99" s="7" t="n">
        <v>0</v>
      </c>
      <c r="I99" s="7" t="n">
        <v>0</v>
      </c>
      <c r="J99" s="7" t="n">
        <v>0</v>
      </c>
      <c r="K99" s="7" t="n">
        <v>1</v>
      </c>
    </row>
    <row r="100">
      <c r="A100" s="24" t="inlineStr">
        <is>
          <t>10 Jun</t>
        </is>
      </c>
      <c r="B100" s="24" t="inlineStr">
        <is>
          <t>Day Total</t>
        </is>
      </c>
      <c r="C100" s="25">
        <f>SUM(C66:C99)</f>
        <v/>
      </c>
      <c r="D100" s="50">
        <f>SUM(D66:D99)</f>
        <v/>
      </c>
      <c r="E100" s="27">
        <f>SUM(E66:E99)</f>
        <v/>
      </c>
      <c r="F100" s="27">
        <f>SUMIF(E66:E99,"&gt;0",F66:F99)</f>
        <v/>
      </c>
      <c r="G100" s="28">
        <f>IF(F100=0,0,E100/F100*100)</f>
        <v/>
      </c>
      <c r="H100" s="25">
        <f>SUM(H66:H99)</f>
        <v/>
      </c>
      <c r="I100" s="25">
        <f>SUM(I66:I99)</f>
        <v/>
      </c>
      <c r="J100" s="25">
        <f>SUM(J66:J99)</f>
        <v/>
      </c>
      <c r="K100" s="25">
        <f>SUM(K66:K99)</f>
        <v/>
      </c>
    </row>
    <row r="101">
      <c r="A101" s="21" t="inlineStr">
        <is>
          <t>11 Jun</t>
        </is>
      </c>
      <c r="B101" s="21" t="inlineStr">
        <is>
          <t>37034</t>
        </is>
      </c>
      <c r="C101" s="7" t="n">
        <v>1</v>
      </c>
      <c r="D101" s="49" t="n">
        <v>244.01</v>
      </c>
      <c r="E101" s="23" t="n">
        <v>12534</v>
      </c>
      <c r="F101" s="23" t="n">
        <v>12623</v>
      </c>
      <c r="G101" s="11">
        <f>IF(F101=0,0,E101/F101*100)</f>
        <v/>
      </c>
      <c r="H101" s="7" t="n">
        <v>0</v>
      </c>
      <c r="I101" s="7" t="n">
        <v>0</v>
      </c>
      <c r="J101" s="7" t="n">
        <v>0</v>
      </c>
      <c r="K101" s="7" t="n">
        <v>1</v>
      </c>
    </row>
    <row r="102">
      <c r="A102" s="21" t="inlineStr">
        <is>
          <t>11 Jun</t>
        </is>
      </c>
      <c r="B102" s="21" t="inlineStr">
        <is>
          <t>39105</t>
        </is>
      </c>
      <c r="C102" s="7" t="n">
        <v>1</v>
      </c>
      <c r="D102" s="49" t="n">
        <v>244</v>
      </c>
      <c r="E102" s="23" t="n">
        <v>8905</v>
      </c>
      <c r="F102" s="23" t="n">
        <v>9076</v>
      </c>
      <c r="G102" s="11">
        <f>IF(F102=0,0,E102/F102*100)</f>
        <v/>
      </c>
      <c r="H102" s="7" t="n">
        <v>0</v>
      </c>
      <c r="I102" s="7" t="n">
        <v>0</v>
      </c>
      <c r="J102" s="7" t="n">
        <v>0</v>
      </c>
      <c r="K102" s="7" t="n">
        <v>4</v>
      </c>
    </row>
    <row r="103">
      <c r="A103" s="21" t="inlineStr">
        <is>
          <t>11 Jun</t>
        </is>
      </c>
      <c r="B103" s="21" t="inlineStr">
        <is>
          <t>39410</t>
        </is>
      </c>
      <c r="C103" s="7" t="n">
        <v>1</v>
      </c>
      <c r="D103" s="49" t="n">
        <v>243.68</v>
      </c>
      <c r="E103" s="23" t="n">
        <v>8347</v>
      </c>
      <c r="F103" s="23" t="n">
        <v>8669</v>
      </c>
      <c r="G103" s="11">
        <f>IF(F103=0,0,E103/F103*100)</f>
        <v/>
      </c>
      <c r="H103" s="7" t="n">
        <v>0</v>
      </c>
      <c r="I103" s="7" t="n">
        <v>0</v>
      </c>
      <c r="J103" s="7" t="n">
        <v>0</v>
      </c>
      <c r="K103" s="7" t="n">
        <v>13</v>
      </c>
    </row>
    <row r="104">
      <c r="A104" s="21" t="inlineStr">
        <is>
          <t>11 Jun</t>
        </is>
      </c>
      <c r="B104" s="21" t="inlineStr">
        <is>
          <t>37778</t>
        </is>
      </c>
      <c r="C104" s="7" t="n">
        <v>0</v>
      </c>
      <c r="D104" s="49" t="n">
        <v>199.78</v>
      </c>
      <c r="E104" s="23" t="n">
        <v>18629</v>
      </c>
      <c r="F104" s="23" t="n">
        <v>18946</v>
      </c>
      <c r="G104" s="11">
        <f>IF(F104=0,0,E104/F104*100)</f>
        <v/>
      </c>
      <c r="H104" s="7" t="n">
        <v>0</v>
      </c>
      <c r="I104" s="7" t="n">
        <v>0</v>
      </c>
      <c r="J104" s="7" t="n">
        <v>0</v>
      </c>
      <c r="K104" s="7" t="n">
        <v>11</v>
      </c>
    </row>
    <row r="105">
      <c r="A105" s="21" t="inlineStr">
        <is>
          <t>11 Jun</t>
        </is>
      </c>
      <c r="B105" s="21" t="inlineStr">
        <is>
          <t>39133</t>
        </is>
      </c>
      <c r="C105" s="7" t="n">
        <v>0</v>
      </c>
      <c r="D105" s="49" t="n">
        <v>199.75</v>
      </c>
      <c r="E105" s="23" t="n">
        <v>12074</v>
      </c>
      <c r="F105" s="23" t="n">
        <v>12169</v>
      </c>
      <c r="G105" s="11">
        <f>IF(F105=0,0,E105/F105*100)</f>
        <v/>
      </c>
      <c r="H105" s="7" t="n">
        <v>1</v>
      </c>
      <c r="I105" s="7" t="n">
        <v>0</v>
      </c>
      <c r="J105" s="7" t="n">
        <v>1</v>
      </c>
      <c r="K105" s="7" t="n">
        <v>0</v>
      </c>
    </row>
    <row r="106">
      <c r="A106" s="21" t="inlineStr">
        <is>
          <t>11 Jun</t>
        </is>
      </c>
      <c r="B106" s="21" t="inlineStr">
        <is>
          <t>37720</t>
        </is>
      </c>
      <c r="C106" s="7" t="n">
        <v>0</v>
      </c>
      <c r="D106" s="49" t="n">
        <v>232.22</v>
      </c>
      <c r="E106" s="23" t="n">
        <v>11338</v>
      </c>
      <c r="F106" s="23" t="n">
        <v>11834</v>
      </c>
      <c r="G106" s="11">
        <f>IF(F106=0,0,E106/F106*100)</f>
        <v/>
      </c>
      <c r="H106" s="7" t="n">
        <v>0</v>
      </c>
      <c r="I106" s="7" t="n">
        <v>0</v>
      </c>
      <c r="J106" s="7" t="n">
        <v>0</v>
      </c>
      <c r="K106" s="7" t="n">
        <v>17</v>
      </c>
    </row>
    <row r="107">
      <c r="A107" s="21" t="inlineStr">
        <is>
          <t>11 Jun</t>
        </is>
      </c>
      <c r="B107" s="21" t="inlineStr">
        <is>
          <t>37185</t>
        </is>
      </c>
      <c r="C107" s="7" t="n">
        <v>0</v>
      </c>
      <c r="D107" s="49" t="n">
        <v>199.19</v>
      </c>
      <c r="E107" s="23" t="n">
        <v>9644</v>
      </c>
      <c r="F107" s="23" t="n">
        <v>10107</v>
      </c>
      <c r="G107" s="11">
        <f>IF(F107=0,0,E107/F107*100)</f>
        <v/>
      </c>
      <c r="H107" s="7" t="n">
        <v>2</v>
      </c>
      <c r="I107" s="7" t="n">
        <v>0</v>
      </c>
      <c r="J107" s="7" t="n">
        <v>2</v>
      </c>
      <c r="K107" s="7" t="n">
        <v>0</v>
      </c>
    </row>
    <row r="108">
      <c r="A108" s="21" t="inlineStr">
        <is>
          <t>11 Jun</t>
        </is>
      </c>
      <c r="B108" s="21" t="inlineStr">
        <is>
          <t>37860</t>
        </is>
      </c>
      <c r="C108" s="7" t="n">
        <v>0</v>
      </c>
      <c r="D108" s="49" t="n">
        <v>199.04</v>
      </c>
      <c r="E108" s="23" t="n">
        <v>9779</v>
      </c>
      <c r="F108" s="23" t="n">
        <v>9897</v>
      </c>
      <c r="G108" s="11">
        <f>IF(F108=0,0,E108/F108*100)</f>
        <v/>
      </c>
      <c r="H108" s="7" t="n">
        <v>0</v>
      </c>
      <c r="I108" s="7" t="n">
        <v>0</v>
      </c>
      <c r="J108" s="7" t="n">
        <v>0</v>
      </c>
      <c r="K108" s="7" t="n">
        <v>4</v>
      </c>
    </row>
    <row r="109">
      <c r="A109" s="21" t="inlineStr">
        <is>
          <t>11 Jun</t>
        </is>
      </c>
      <c r="B109" s="21" t="inlineStr">
        <is>
          <t>30639</t>
        </is>
      </c>
      <c r="C109" s="7" t="n">
        <v>0</v>
      </c>
      <c r="D109" s="49" t="n">
        <v>93.77</v>
      </c>
      <c r="E109" s="23" t="n">
        <v>8746</v>
      </c>
      <c r="F109" s="23" t="n">
        <v>8905</v>
      </c>
      <c r="G109" s="11">
        <f>IF(F109=0,0,E109/F109*100)</f>
        <v/>
      </c>
      <c r="H109" s="7" t="n">
        <v>1</v>
      </c>
      <c r="I109" s="7" t="n">
        <v>0</v>
      </c>
      <c r="J109" s="7" t="n">
        <v>1</v>
      </c>
      <c r="K109" s="7" t="n">
        <v>1</v>
      </c>
    </row>
    <row r="110">
      <c r="A110" s="21" t="inlineStr">
        <is>
          <t>11 Jun</t>
        </is>
      </c>
      <c r="B110" s="21" t="inlineStr">
        <is>
          <t>37859</t>
        </is>
      </c>
      <c r="C110" s="7" t="n">
        <v>0</v>
      </c>
      <c r="D110" s="49" t="n">
        <v>199.4</v>
      </c>
      <c r="E110" s="23" t="n">
        <v>7579</v>
      </c>
      <c r="F110" s="23" t="n">
        <v>7651</v>
      </c>
      <c r="G110" s="11">
        <f>IF(F110=0,0,E110/F110*100)</f>
        <v/>
      </c>
      <c r="H110" s="7" t="n">
        <v>0</v>
      </c>
      <c r="I110" s="7" t="n">
        <v>0</v>
      </c>
      <c r="J110" s="7" t="n">
        <v>0</v>
      </c>
      <c r="K110" s="7" t="n">
        <v>2</v>
      </c>
    </row>
    <row r="111">
      <c r="A111" s="21" t="inlineStr">
        <is>
          <t>11 Jun</t>
        </is>
      </c>
      <c r="B111" s="21" t="inlineStr">
        <is>
          <t>37908</t>
        </is>
      </c>
      <c r="C111" s="7" t="n">
        <v>0</v>
      </c>
      <c r="D111" s="49" t="n">
        <v>199.41</v>
      </c>
      <c r="E111" s="23" t="n">
        <v>7473</v>
      </c>
      <c r="F111" s="23" t="n">
        <v>7514</v>
      </c>
      <c r="G111" s="11">
        <f>IF(F111=0,0,E111/F111*100)</f>
        <v/>
      </c>
      <c r="H111" s="7" t="n">
        <v>0</v>
      </c>
      <c r="I111" s="7" t="n">
        <v>0</v>
      </c>
      <c r="J111" s="7" t="n">
        <v>0</v>
      </c>
      <c r="K111" s="7" t="n">
        <v>0</v>
      </c>
    </row>
    <row r="112">
      <c r="A112" s="21" t="inlineStr">
        <is>
          <t>11 Jun</t>
        </is>
      </c>
      <c r="B112" s="21" t="inlineStr">
        <is>
          <t>37401</t>
        </is>
      </c>
      <c r="C112" s="7" t="n">
        <v>0</v>
      </c>
      <c r="D112" s="49" t="n">
        <v>176.73</v>
      </c>
      <c r="E112" s="23" t="n">
        <v>6486</v>
      </c>
      <c r="F112" s="23" t="n">
        <v>6509</v>
      </c>
      <c r="G112" s="11">
        <f>IF(F112=0,0,E112/F112*100)</f>
        <v/>
      </c>
      <c r="H112" s="7" t="n">
        <v>0</v>
      </c>
      <c r="I112" s="7" t="n">
        <v>0</v>
      </c>
      <c r="J112" s="7" t="n">
        <v>0</v>
      </c>
      <c r="K112" s="7" t="n">
        <v>2</v>
      </c>
    </row>
    <row r="113">
      <c r="A113" s="21" t="inlineStr">
        <is>
          <t>11 Jun</t>
        </is>
      </c>
      <c r="B113" s="21" t="inlineStr">
        <is>
          <t>37014</t>
        </is>
      </c>
      <c r="C113" s="7" t="n">
        <v>0</v>
      </c>
      <c r="D113" s="49" t="n">
        <v>93.77</v>
      </c>
      <c r="E113" s="23" t="n">
        <v>5241</v>
      </c>
      <c r="F113" s="23" t="n">
        <v>5340</v>
      </c>
      <c r="G113" s="11">
        <f>IF(F113=0,0,E113/F113*100)</f>
        <v/>
      </c>
      <c r="H113" s="7" t="n">
        <v>0</v>
      </c>
      <c r="I113" s="7" t="n">
        <v>0</v>
      </c>
      <c r="J113" s="7" t="n">
        <v>0</v>
      </c>
      <c r="K113" s="7" t="n">
        <v>6</v>
      </c>
    </row>
    <row r="114">
      <c r="A114" s="21" t="inlineStr">
        <is>
          <t>11 Jun</t>
        </is>
      </c>
      <c r="B114" s="21" t="inlineStr">
        <is>
          <t>37168</t>
        </is>
      </c>
      <c r="C114" s="7" t="n">
        <v>0</v>
      </c>
      <c r="D114" s="49" t="n">
        <v>93.77</v>
      </c>
      <c r="E114" s="23" t="n">
        <v>4690</v>
      </c>
      <c r="F114" s="23" t="n">
        <v>4732</v>
      </c>
      <c r="G114" s="11">
        <f>IF(F114=0,0,E114/F114*100)</f>
        <v/>
      </c>
      <c r="H114" s="7" t="n">
        <v>0</v>
      </c>
      <c r="I114" s="7" t="n">
        <v>0</v>
      </c>
      <c r="J114" s="7" t="n">
        <v>0</v>
      </c>
      <c r="K114" s="7" t="n">
        <v>0</v>
      </c>
    </row>
    <row r="115">
      <c r="A115" s="21" t="inlineStr">
        <is>
          <t>11 Jun</t>
        </is>
      </c>
      <c r="B115" s="21" t="inlineStr">
        <is>
          <t>39178</t>
        </is>
      </c>
      <c r="C115" s="7" t="n">
        <v>0</v>
      </c>
      <c r="D115" s="49" t="n">
        <v>94.41</v>
      </c>
      <c r="E115" s="23" t="n">
        <v>3624</v>
      </c>
      <c r="F115" s="23" t="n">
        <v>4334</v>
      </c>
      <c r="G115" s="11">
        <f>IF(F115=0,0,E115/F115*100)</f>
        <v/>
      </c>
      <c r="H115" s="7" t="n">
        <v>0</v>
      </c>
      <c r="I115" s="7" t="n">
        <v>0</v>
      </c>
      <c r="J115" s="7" t="n">
        <v>0</v>
      </c>
      <c r="K115" s="7" t="n">
        <v>4</v>
      </c>
    </row>
    <row r="116">
      <c r="A116" s="21" t="inlineStr">
        <is>
          <t>11 Jun</t>
        </is>
      </c>
      <c r="B116" s="21" t="inlineStr">
        <is>
          <t>37585</t>
        </is>
      </c>
      <c r="C116" s="7" t="n">
        <v>0</v>
      </c>
      <c r="D116" s="49" t="n">
        <v>100.09</v>
      </c>
      <c r="E116" s="23" t="n">
        <v>4057</v>
      </c>
      <c r="F116" s="23" t="n">
        <v>4061</v>
      </c>
      <c r="G116" s="11">
        <f>IF(F116=0,0,E116/F116*100)</f>
        <v/>
      </c>
      <c r="H116" s="7" t="n">
        <v>0</v>
      </c>
      <c r="I116" s="7" t="n">
        <v>0</v>
      </c>
      <c r="J116" s="7" t="n">
        <v>0</v>
      </c>
      <c r="K116" s="7" t="n">
        <v>0</v>
      </c>
    </row>
    <row r="117">
      <c r="A117" s="21" t="inlineStr">
        <is>
          <t>11 Jun</t>
        </is>
      </c>
      <c r="B117" s="21" t="inlineStr">
        <is>
          <t>30200</t>
        </is>
      </c>
      <c r="C117" s="7" t="n">
        <v>0</v>
      </c>
      <c r="D117" s="49" t="n">
        <v>92.66</v>
      </c>
      <c r="E117" s="23" t="n">
        <v>3969</v>
      </c>
      <c r="F117" s="23" t="n">
        <v>4049</v>
      </c>
      <c r="G117" s="11">
        <f>IF(F117=0,0,E117/F117*100)</f>
        <v/>
      </c>
      <c r="H117" s="7" t="n">
        <v>1</v>
      </c>
      <c r="I117" s="7" t="n">
        <v>0</v>
      </c>
      <c r="J117" s="7" t="n">
        <v>1</v>
      </c>
      <c r="K117" s="7" t="n">
        <v>2</v>
      </c>
    </row>
    <row r="118">
      <c r="A118" s="21" t="inlineStr">
        <is>
          <t>11 Jun</t>
        </is>
      </c>
      <c r="B118" s="21" t="inlineStr">
        <is>
          <t>37081</t>
        </is>
      </c>
      <c r="C118" s="7" t="n">
        <v>0</v>
      </c>
      <c r="D118" s="49" t="n">
        <v>56.3</v>
      </c>
      <c r="E118" s="23" t="n">
        <v>3470</v>
      </c>
      <c r="F118" s="23" t="n">
        <v>3632</v>
      </c>
      <c r="G118" s="11">
        <f>IF(F118=0,0,E118/F118*100)</f>
        <v/>
      </c>
      <c r="H118" s="7" t="n">
        <v>0</v>
      </c>
      <c r="I118" s="7" t="n">
        <v>0</v>
      </c>
      <c r="J118" s="7" t="n">
        <v>0</v>
      </c>
      <c r="K118" s="7" t="n">
        <v>12</v>
      </c>
    </row>
    <row r="119">
      <c r="A119" s="21" t="inlineStr">
        <is>
          <t>11 Jun</t>
        </is>
      </c>
      <c r="B119" s="21" t="inlineStr">
        <is>
          <t>30742</t>
        </is>
      </c>
      <c r="C119" s="7" t="n">
        <v>0</v>
      </c>
      <c r="D119" s="49" t="n">
        <v>82.55</v>
      </c>
      <c r="E119" s="23" t="n">
        <v>3107</v>
      </c>
      <c r="F119" s="23" t="n">
        <v>3182</v>
      </c>
      <c r="G119" s="11">
        <f>IF(F119=0,0,E119/F119*100)</f>
        <v/>
      </c>
      <c r="H119" s="7" t="n">
        <v>0</v>
      </c>
      <c r="I119" s="7" t="n">
        <v>0</v>
      </c>
      <c r="J119" s="7" t="n">
        <v>0</v>
      </c>
      <c r="K119" s="7" t="n">
        <v>7</v>
      </c>
    </row>
    <row r="120">
      <c r="A120" s="21" t="inlineStr">
        <is>
          <t>11 Jun</t>
        </is>
      </c>
      <c r="B120" s="21" t="inlineStr">
        <is>
          <t>30487</t>
        </is>
      </c>
      <c r="C120" s="7" t="n">
        <v>0</v>
      </c>
      <c r="D120" s="49" t="n">
        <v>82.47</v>
      </c>
      <c r="E120" s="23" t="n">
        <v>2989</v>
      </c>
      <c r="F120" s="23" t="n">
        <v>3170</v>
      </c>
      <c r="G120" s="11">
        <f>IF(F120=0,0,E120/F120*100)</f>
        <v/>
      </c>
      <c r="H120" s="7" t="n">
        <v>0</v>
      </c>
      <c r="I120" s="7" t="n">
        <v>0</v>
      </c>
      <c r="J120" s="7" t="n">
        <v>0</v>
      </c>
      <c r="K120" s="7" t="n">
        <v>5</v>
      </c>
    </row>
    <row r="121">
      <c r="A121" s="21" t="inlineStr">
        <is>
          <t>11 Jun</t>
        </is>
      </c>
      <c r="B121" s="21" t="inlineStr">
        <is>
          <t>30328</t>
        </is>
      </c>
      <c r="C121" s="7" t="n">
        <v>0</v>
      </c>
      <c r="D121" s="49" t="n">
        <v>82.64</v>
      </c>
      <c r="E121" s="23" t="n">
        <v>3030</v>
      </c>
      <c r="F121" s="23" t="n">
        <v>3072</v>
      </c>
      <c r="G121" s="11">
        <f>IF(F121=0,0,E121/F121*100)</f>
        <v/>
      </c>
      <c r="H121" s="7" t="n">
        <v>0</v>
      </c>
      <c r="I121" s="7" t="n">
        <v>0</v>
      </c>
      <c r="J121" s="7" t="n">
        <v>0</v>
      </c>
      <c r="K121" s="7" t="n">
        <v>3</v>
      </c>
    </row>
    <row r="122">
      <c r="A122" s="21" t="inlineStr">
        <is>
          <t>11 Jun</t>
        </is>
      </c>
      <c r="B122" s="21" t="inlineStr">
        <is>
          <t>30322</t>
        </is>
      </c>
      <c r="C122" s="7" t="n">
        <v>0</v>
      </c>
      <c r="D122" s="49" t="n">
        <v>82.48</v>
      </c>
      <c r="E122" s="23" t="n">
        <v>3015</v>
      </c>
      <c r="F122" s="23" t="n">
        <v>3028</v>
      </c>
      <c r="G122" s="11">
        <f>IF(F122=0,0,E122/F122*100)</f>
        <v/>
      </c>
      <c r="H122" s="7" t="n">
        <v>0</v>
      </c>
      <c r="I122" s="7" t="n">
        <v>0</v>
      </c>
      <c r="J122" s="7" t="n">
        <v>0</v>
      </c>
      <c r="K122" s="7" t="n">
        <v>1</v>
      </c>
    </row>
    <row r="123">
      <c r="A123" s="21" t="inlineStr">
        <is>
          <t>11 Jun</t>
        </is>
      </c>
      <c r="B123" s="21" t="inlineStr">
        <is>
          <t>39132</t>
        </is>
      </c>
      <c r="C123" s="7" t="n">
        <v>0</v>
      </c>
      <c r="D123" s="49" t="n">
        <v>46.54</v>
      </c>
      <c r="E123" s="23" t="n">
        <v>2096</v>
      </c>
      <c r="F123" s="23" t="n">
        <v>2458</v>
      </c>
      <c r="G123" s="11">
        <f>IF(F123=0,0,E123/F123*100)</f>
        <v/>
      </c>
      <c r="H123" s="7" t="n">
        <v>3</v>
      </c>
      <c r="I123" s="7" t="n">
        <v>0</v>
      </c>
      <c r="J123" s="7" t="n">
        <v>3</v>
      </c>
      <c r="K123" s="7" t="n">
        <v>3</v>
      </c>
    </row>
    <row r="124">
      <c r="A124" s="21" t="inlineStr">
        <is>
          <t>11 Jun</t>
        </is>
      </c>
      <c r="B124" s="21" t="inlineStr">
        <is>
          <t>30327</t>
        </is>
      </c>
      <c r="C124" s="7" t="n">
        <v>0</v>
      </c>
      <c r="D124" s="49" t="n">
        <v>48.14</v>
      </c>
      <c r="E124" s="23" t="n">
        <v>1740</v>
      </c>
      <c r="F124" s="23" t="n">
        <v>1744</v>
      </c>
      <c r="G124" s="11">
        <f>IF(F124=0,0,E124/F124*100)</f>
        <v/>
      </c>
      <c r="H124" s="7" t="n">
        <v>0</v>
      </c>
      <c r="I124" s="7" t="n">
        <v>0</v>
      </c>
      <c r="J124" s="7" t="n">
        <v>0</v>
      </c>
      <c r="K124" s="7" t="n">
        <v>0</v>
      </c>
    </row>
    <row r="125">
      <c r="A125" s="21" t="inlineStr">
        <is>
          <t>11 Jun</t>
        </is>
      </c>
      <c r="B125" s="21" t="inlineStr">
        <is>
          <t>30686</t>
        </is>
      </c>
      <c r="C125" s="7" t="n">
        <v>0</v>
      </c>
      <c r="D125" s="49" t="n">
        <v>13.02</v>
      </c>
      <c r="E125" s="23" t="n">
        <v>1006</v>
      </c>
      <c r="F125" s="23" t="n">
        <v>1067</v>
      </c>
      <c r="G125" s="11">
        <f>IF(F125=0,0,E125/F125*100)</f>
        <v/>
      </c>
      <c r="H125" s="7" t="n">
        <v>0</v>
      </c>
      <c r="I125" s="7" t="n">
        <v>0</v>
      </c>
      <c r="J125" s="7" t="n">
        <v>0</v>
      </c>
      <c r="K125" s="7" t="n">
        <v>0</v>
      </c>
    </row>
    <row r="126">
      <c r="A126" s="21" t="inlineStr">
        <is>
          <t>11 Jun</t>
        </is>
      </c>
      <c r="B126" s="21" t="inlineStr">
        <is>
          <t>30676</t>
        </is>
      </c>
      <c r="C126" s="7" t="n">
        <v>0</v>
      </c>
      <c r="D126" s="49" t="n">
        <v>0.64</v>
      </c>
      <c r="E126" s="23" t="n">
        <v>41</v>
      </c>
      <c r="F126" s="23" t="n">
        <v>44</v>
      </c>
      <c r="G126" s="11">
        <f>IF(F126=0,0,E126/F126*100)</f>
        <v/>
      </c>
      <c r="H126" s="7" t="n">
        <v>0</v>
      </c>
      <c r="I126" s="7" t="n">
        <v>0</v>
      </c>
      <c r="J126" s="7" t="n">
        <v>0</v>
      </c>
      <c r="K126" s="7" t="n">
        <v>0</v>
      </c>
    </row>
    <row r="127">
      <c r="A127" s="24" t="inlineStr">
        <is>
          <t>11 Jun</t>
        </is>
      </c>
      <c r="B127" s="24" t="inlineStr">
        <is>
          <t>Day Total</t>
        </is>
      </c>
      <c r="C127" s="25">
        <f>SUM(C101:C126)</f>
        <v/>
      </c>
      <c r="D127" s="50">
        <f>SUM(D101:D126)</f>
        <v/>
      </c>
      <c r="E127" s="27">
        <f>SUM(E101:E126)</f>
        <v/>
      </c>
      <c r="F127" s="27">
        <f>SUMIF(E101:E126,"&gt;0",F101:F126)</f>
        <v/>
      </c>
      <c r="G127" s="28">
        <f>IF(F127=0,0,E127/F127*100)</f>
        <v/>
      </c>
      <c r="H127" s="25">
        <f>SUM(H101:H126)</f>
        <v/>
      </c>
      <c r="I127" s="25">
        <f>SUM(I101:I126)</f>
        <v/>
      </c>
      <c r="J127" s="25">
        <f>SUM(J101:J126)</f>
        <v/>
      </c>
      <c r="K127" s="25">
        <f>SUM(K101:K126)</f>
        <v/>
      </c>
    </row>
    <row r="128">
      <c r="A128" s="21" t="inlineStr">
        <is>
          <t>12 Jun</t>
        </is>
      </c>
      <c r="B128" s="21" t="inlineStr">
        <is>
          <t>37081</t>
        </is>
      </c>
      <c r="C128" s="7" t="n">
        <v>2</v>
      </c>
      <c r="D128" s="49" t="n">
        <v>244.03</v>
      </c>
      <c r="E128" s="23" t="n">
        <v>23107</v>
      </c>
      <c r="F128" s="23" t="n">
        <v>23354</v>
      </c>
      <c r="G128" s="11">
        <f>IF(F128=0,0,E128/F128*100)</f>
        <v/>
      </c>
      <c r="H128" s="7" t="n">
        <v>0</v>
      </c>
      <c r="I128" s="7" t="n">
        <v>0</v>
      </c>
      <c r="J128" s="7" t="n">
        <v>0</v>
      </c>
      <c r="K128" s="7" t="n">
        <v>8</v>
      </c>
    </row>
    <row r="129">
      <c r="A129" s="21" t="inlineStr">
        <is>
          <t>12 Jun</t>
        </is>
      </c>
      <c r="B129" s="21" t="inlineStr">
        <is>
          <t>37778</t>
        </is>
      </c>
      <c r="C129" s="7" t="n">
        <v>1</v>
      </c>
      <c r="D129" s="49" t="n">
        <v>244.03</v>
      </c>
      <c r="E129" s="23" t="n">
        <v>17647</v>
      </c>
      <c r="F129" s="23" t="n">
        <v>17975</v>
      </c>
      <c r="G129" s="11">
        <f>IF(F129=0,0,E129/F129*100)</f>
        <v/>
      </c>
      <c r="H129" s="7" t="n">
        <v>0</v>
      </c>
      <c r="I129" s="7" t="n">
        <v>0</v>
      </c>
      <c r="J129" s="7" t="n">
        <v>0</v>
      </c>
      <c r="K129" s="7" t="n">
        <v>8</v>
      </c>
    </row>
    <row r="130">
      <c r="A130" s="21" t="inlineStr">
        <is>
          <t>12 Jun</t>
        </is>
      </c>
      <c r="B130" s="21" t="inlineStr">
        <is>
          <t>37042</t>
        </is>
      </c>
      <c r="C130" s="7" t="n">
        <v>1</v>
      </c>
      <c r="D130" s="49" t="n">
        <v>244.03</v>
      </c>
      <c r="E130" s="23" t="n">
        <v>14853</v>
      </c>
      <c r="F130" s="23" t="n">
        <v>15481</v>
      </c>
      <c r="G130" s="11">
        <f>IF(F130=0,0,E130/F130*100)</f>
        <v/>
      </c>
      <c r="H130" s="7" t="n">
        <v>0</v>
      </c>
      <c r="I130" s="7" t="n">
        <v>0</v>
      </c>
      <c r="J130" s="7" t="n">
        <v>0</v>
      </c>
      <c r="K130" s="7" t="n">
        <v>12</v>
      </c>
    </row>
    <row r="131">
      <c r="A131" s="21" t="inlineStr">
        <is>
          <t>12 Jun</t>
        </is>
      </c>
      <c r="B131" s="21" t="inlineStr">
        <is>
          <t>39135</t>
        </is>
      </c>
      <c r="C131" s="7" t="n">
        <v>1</v>
      </c>
      <c r="D131" s="49" t="n">
        <v>244</v>
      </c>
      <c r="E131" s="23" t="n">
        <v>11278</v>
      </c>
      <c r="F131" s="23" t="n">
        <v>11331</v>
      </c>
      <c r="G131" s="11">
        <f>IF(F131=0,0,E131/F131*100)</f>
        <v/>
      </c>
      <c r="H131" s="7" t="n">
        <v>0</v>
      </c>
      <c r="I131" s="7" t="n">
        <v>0</v>
      </c>
      <c r="J131" s="7" t="n">
        <v>0</v>
      </c>
      <c r="K131" s="7" t="n">
        <v>4</v>
      </c>
    </row>
    <row r="132">
      <c r="A132" s="21" t="inlineStr">
        <is>
          <t>12 Jun</t>
        </is>
      </c>
      <c r="B132" s="21" t="inlineStr">
        <is>
          <t>37040</t>
        </is>
      </c>
      <c r="C132" s="7" t="n">
        <v>1</v>
      </c>
      <c r="D132" s="49" t="n">
        <v>244.02</v>
      </c>
      <c r="E132" s="23" t="n">
        <v>9553</v>
      </c>
      <c r="F132" s="23" t="n">
        <v>9739</v>
      </c>
      <c r="G132" s="11">
        <f>IF(F132=0,0,E132/F132*100)</f>
        <v/>
      </c>
      <c r="H132" s="7" t="n">
        <v>3</v>
      </c>
      <c r="I132" s="7" t="n">
        <v>3</v>
      </c>
      <c r="J132" s="7" t="n">
        <v>0</v>
      </c>
      <c r="K132" s="7" t="n">
        <v>6</v>
      </c>
    </row>
    <row r="133">
      <c r="A133" s="21" t="inlineStr">
        <is>
          <t>12 Jun</t>
        </is>
      </c>
      <c r="B133" s="21" t="inlineStr">
        <is>
          <t>37403</t>
        </is>
      </c>
      <c r="C133" s="7" t="n">
        <v>1</v>
      </c>
      <c r="D133" s="49" t="n">
        <v>243.87</v>
      </c>
      <c r="E133" s="23" t="n">
        <v>8365</v>
      </c>
      <c r="F133" s="23" t="n">
        <v>8553</v>
      </c>
      <c r="G133" s="11">
        <f>IF(F133=0,0,E133/F133*100)</f>
        <v/>
      </c>
      <c r="H133" s="7" t="n">
        <v>1</v>
      </c>
      <c r="I133" s="7" t="n">
        <v>1</v>
      </c>
      <c r="J133" s="7" t="n">
        <v>0</v>
      </c>
      <c r="K133" s="7" t="n">
        <v>4</v>
      </c>
    </row>
    <row r="134">
      <c r="A134" s="21" t="inlineStr">
        <is>
          <t>12 Jun</t>
        </is>
      </c>
      <c r="B134" s="21" t="inlineStr">
        <is>
          <t>37954</t>
        </is>
      </c>
      <c r="C134" s="7" t="n">
        <v>0</v>
      </c>
      <c r="D134" s="49" t="n">
        <v>150.14</v>
      </c>
      <c r="E134" s="23" t="n">
        <v>13335</v>
      </c>
      <c r="F134" s="23" t="n">
        <v>13868</v>
      </c>
      <c r="G134" s="11">
        <f>IF(F134=0,0,E134/F134*100)</f>
        <v/>
      </c>
      <c r="H134" s="7" t="n">
        <v>0</v>
      </c>
      <c r="I134" s="7" t="n">
        <v>0</v>
      </c>
      <c r="J134" s="7" t="n">
        <v>0</v>
      </c>
      <c r="K134" s="7" t="n">
        <v>10</v>
      </c>
    </row>
    <row r="135">
      <c r="A135" s="21" t="inlineStr">
        <is>
          <t>12 Jun</t>
        </is>
      </c>
      <c r="B135" s="21" t="inlineStr">
        <is>
          <t>39170</t>
        </is>
      </c>
      <c r="C135" s="7" t="n">
        <v>0</v>
      </c>
      <c r="D135" s="49" t="n">
        <v>199.75</v>
      </c>
      <c r="E135" s="23" t="n">
        <v>12414</v>
      </c>
      <c r="F135" s="23" t="n">
        <v>12493</v>
      </c>
      <c r="G135" s="11">
        <f>IF(F135=0,0,E135/F135*100)</f>
        <v/>
      </c>
      <c r="H135" s="7" t="n">
        <v>0</v>
      </c>
      <c r="I135" s="7" t="n">
        <v>0</v>
      </c>
      <c r="J135" s="7" t="n">
        <v>0</v>
      </c>
      <c r="K135" s="7" t="n">
        <v>0</v>
      </c>
    </row>
    <row r="136">
      <c r="A136" s="21" t="inlineStr">
        <is>
          <t>12 Jun</t>
        </is>
      </c>
      <c r="B136" s="21" t="inlineStr">
        <is>
          <t>30457</t>
        </is>
      </c>
      <c r="C136" s="7" t="n">
        <v>0</v>
      </c>
      <c r="D136" s="49" t="n">
        <v>231.64</v>
      </c>
      <c r="E136" s="23" t="n">
        <v>9970</v>
      </c>
      <c r="F136" s="23" t="n">
        <v>10120</v>
      </c>
      <c r="G136" s="11">
        <f>IF(F136=0,0,E136/F136*100)</f>
        <v/>
      </c>
      <c r="H136" s="7" t="n">
        <v>1</v>
      </c>
      <c r="I136" s="7" t="n">
        <v>0</v>
      </c>
      <c r="J136" s="7" t="n">
        <v>1</v>
      </c>
      <c r="K136" s="7" t="n">
        <v>4</v>
      </c>
    </row>
    <row r="137">
      <c r="A137" s="21" t="inlineStr">
        <is>
          <t>12 Jun</t>
        </is>
      </c>
      <c r="B137" s="21" t="inlineStr">
        <is>
          <t>30204</t>
        </is>
      </c>
      <c r="C137" s="7" t="n">
        <v>0</v>
      </c>
      <c r="D137" s="49" t="n">
        <v>232.21</v>
      </c>
      <c r="E137" s="23" t="n">
        <v>9961</v>
      </c>
      <c r="F137" s="23" t="n">
        <v>10118</v>
      </c>
      <c r="G137" s="11">
        <f>IF(F137=0,0,E137/F137*100)</f>
        <v/>
      </c>
      <c r="H137" s="7" t="n">
        <v>0</v>
      </c>
      <c r="I137" s="7" t="n">
        <v>0</v>
      </c>
      <c r="J137" s="7" t="n">
        <v>0</v>
      </c>
      <c r="K137" s="7" t="n">
        <v>8</v>
      </c>
    </row>
    <row r="138">
      <c r="A138" s="21" t="inlineStr">
        <is>
          <t>12 Jun</t>
        </is>
      </c>
      <c r="B138" s="21" t="inlineStr">
        <is>
          <t>30305</t>
        </is>
      </c>
      <c r="C138" s="7" t="n">
        <v>0</v>
      </c>
      <c r="D138" s="49" t="n">
        <v>232.21</v>
      </c>
      <c r="E138" s="23" t="n">
        <v>9078</v>
      </c>
      <c r="F138" s="23" t="n">
        <v>9278</v>
      </c>
      <c r="G138" s="11">
        <f>IF(F138=0,0,E138/F138*100)</f>
        <v/>
      </c>
      <c r="H138" s="7" t="n">
        <v>0</v>
      </c>
      <c r="I138" s="7" t="n">
        <v>0</v>
      </c>
      <c r="J138" s="7" t="n">
        <v>0</v>
      </c>
      <c r="K138" s="7" t="n">
        <v>8</v>
      </c>
    </row>
    <row r="139">
      <c r="A139" s="21" t="inlineStr">
        <is>
          <t>12 Jun</t>
        </is>
      </c>
      <c r="B139" s="21" t="inlineStr">
        <is>
          <t>30686</t>
        </is>
      </c>
      <c r="C139" s="7" t="n">
        <v>0</v>
      </c>
      <c r="D139" s="49" t="n">
        <v>231.02</v>
      </c>
      <c r="E139" s="23" t="n">
        <v>8891</v>
      </c>
      <c r="F139" s="23" t="n">
        <v>9159</v>
      </c>
      <c r="G139" s="11">
        <f>IF(F139=0,0,E139/F139*100)</f>
        <v/>
      </c>
      <c r="H139" s="7" t="n">
        <v>0</v>
      </c>
      <c r="I139" s="7" t="n">
        <v>0</v>
      </c>
      <c r="J139" s="7" t="n">
        <v>0</v>
      </c>
      <c r="K139" s="7" t="n">
        <v>12</v>
      </c>
    </row>
    <row r="140">
      <c r="A140" s="21" t="inlineStr">
        <is>
          <t>12 Jun</t>
        </is>
      </c>
      <c r="B140" s="21" t="inlineStr">
        <is>
          <t>30639</t>
        </is>
      </c>
      <c r="C140" s="7" t="n">
        <v>0</v>
      </c>
      <c r="D140" s="49" t="n">
        <v>94.26000000000001</v>
      </c>
      <c r="E140" s="23" t="n">
        <v>8968</v>
      </c>
      <c r="F140" s="23" t="n">
        <v>9138</v>
      </c>
      <c r="G140" s="11">
        <f>IF(F140=0,0,E140/F140*100)</f>
        <v/>
      </c>
      <c r="H140" s="7" t="n">
        <v>0</v>
      </c>
      <c r="I140" s="7" t="n">
        <v>0</v>
      </c>
      <c r="J140" s="7" t="n">
        <v>0</v>
      </c>
      <c r="K140" s="7" t="n">
        <v>5</v>
      </c>
    </row>
    <row r="141">
      <c r="A141" s="21" t="inlineStr">
        <is>
          <t>12 Jun</t>
        </is>
      </c>
      <c r="B141" s="21" t="inlineStr">
        <is>
          <t>37024</t>
        </is>
      </c>
      <c r="C141" s="7" t="n">
        <v>0</v>
      </c>
      <c r="D141" s="49" t="n">
        <v>94.29000000000001</v>
      </c>
      <c r="E141" s="23" t="n">
        <v>8572</v>
      </c>
      <c r="F141" s="23" t="n">
        <v>8787</v>
      </c>
      <c r="G141" s="11">
        <f>IF(F141=0,0,E141/F141*100)</f>
        <v/>
      </c>
      <c r="H141" s="7" t="n">
        <v>0</v>
      </c>
      <c r="I141" s="7" t="n">
        <v>0</v>
      </c>
      <c r="J141" s="7" t="n">
        <v>0</v>
      </c>
      <c r="K141" s="7" t="n">
        <v>0</v>
      </c>
    </row>
    <row r="142">
      <c r="A142" s="21" t="inlineStr">
        <is>
          <t>12 Jun</t>
        </is>
      </c>
      <c r="B142" s="21" t="inlineStr">
        <is>
          <t>37907</t>
        </is>
      </c>
      <c r="C142" s="7" t="n">
        <v>0</v>
      </c>
      <c r="D142" s="49" t="n">
        <v>94.39</v>
      </c>
      <c r="E142" s="23" t="n">
        <v>8416</v>
      </c>
      <c r="F142" s="23" t="n">
        <v>8500</v>
      </c>
      <c r="G142" s="11">
        <f>IF(F142=0,0,E142/F142*100)</f>
        <v/>
      </c>
      <c r="H142" s="7" t="n">
        <v>0</v>
      </c>
      <c r="I142" s="7" t="n">
        <v>0</v>
      </c>
      <c r="J142" s="7" t="n">
        <v>0</v>
      </c>
      <c r="K142" s="7" t="n">
        <v>1</v>
      </c>
    </row>
    <row r="143">
      <c r="A143" s="21" t="inlineStr">
        <is>
          <t>12 Jun</t>
        </is>
      </c>
      <c r="B143" s="21" t="inlineStr">
        <is>
          <t>37609</t>
        </is>
      </c>
      <c r="C143" s="7" t="n">
        <v>0</v>
      </c>
      <c r="D143" s="49" t="n">
        <v>232.26</v>
      </c>
      <c r="E143" s="23" t="n">
        <v>8236</v>
      </c>
      <c r="F143" s="23" t="n">
        <v>8379</v>
      </c>
      <c r="G143" s="11">
        <f>IF(F143=0,0,E143/F143*100)</f>
        <v/>
      </c>
      <c r="H143" s="7" t="n">
        <v>0</v>
      </c>
      <c r="I143" s="7" t="n">
        <v>0</v>
      </c>
      <c r="J143" s="7" t="n">
        <v>0</v>
      </c>
      <c r="K143" s="7" t="n">
        <v>3</v>
      </c>
    </row>
    <row r="144">
      <c r="A144" s="21" t="inlineStr">
        <is>
          <t>12 Jun</t>
        </is>
      </c>
      <c r="B144" s="21" t="inlineStr">
        <is>
          <t>37034</t>
        </is>
      </c>
      <c r="C144" s="7" t="n">
        <v>0</v>
      </c>
      <c r="D144" s="49" t="n">
        <v>221.08</v>
      </c>
      <c r="E144" s="23" t="n">
        <v>8004</v>
      </c>
      <c r="F144" s="23" t="n">
        <v>8191</v>
      </c>
      <c r="G144" s="11">
        <f>IF(F144=0,0,E144/F144*100)</f>
        <v/>
      </c>
      <c r="H144" s="7" t="n">
        <v>0</v>
      </c>
      <c r="I144" s="7" t="n">
        <v>0</v>
      </c>
      <c r="J144" s="7" t="n">
        <v>0</v>
      </c>
      <c r="K144" s="7" t="n">
        <v>8</v>
      </c>
    </row>
    <row r="145">
      <c r="A145" s="21" t="inlineStr">
        <is>
          <t>12 Jun</t>
        </is>
      </c>
      <c r="B145" s="21" t="inlineStr">
        <is>
          <t>37719</t>
        </is>
      </c>
      <c r="C145" s="7" t="n">
        <v>0</v>
      </c>
      <c r="D145" s="49" t="n">
        <v>198.79</v>
      </c>
      <c r="E145" s="23" t="n">
        <v>8089</v>
      </c>
      <c r="F145" s="23" t="n">
        <v>8178</v>
      </c>
      <c r="G145" s="11">
        <f>IF(F145=0,0,E145/F145*100)</f>
        <v/>
      </c>
      <c r="H145" s="7" t="n">
        <v>0</v>
      </c>
      <c r="I145" s="7" t="n">
        <v>0</v>
      </c>
      <c r="J145" s="7" t="n">
        <v>0</v>
      </c>
      <c r="K145" s="7" t="n">
        <v>0</v>
      </c>
    </row>
    <row r="146">
      <c r="A146" s="21" t="inlineStr">
        <is>
          <t>12 Jun</t>
        </is>
      </c>
      <c r="B146" s="21" t="inlineStr">
        <is>
          <t>30371</t>
        </is>
      </c>
      <c r="C146" s="7" t="n">
        <v>0</v>
      </c>
      <c r="D146" s="49" t="n">
        <v>186.83</v>
      </c>
      <c r="E146" s="23" t="n">
        <v>7748</v>
      </c>
      <c r="F146" s="23" t="n">
        <v>7847</v>
      </c>
      <c r="G146" s="11">
        <f>IF(F146=0,0,E146/F146*100)</f>
        <v/>
      </c>
      <c r="H146" s="7" t="n">
        <v>0</v>
      </c>
      <c r="I146" s="7" t="n">
        <v>0</v>
      </c>
      <c r="J146" s="7" t="n">
        <v>0</v>
      </c>
      <c r="K146" s="7" t="n">
        <v>3</v>
      </c>
    </row>
    <row r="147">
      <c r="A147" s="21" t="inlineStr">
        <is>
          <t>12 Jun</t>
        </is>
      </c>
      <c r="B147" s="21" t="inlineStr">
        <is>
          <t>30329</t>
        </is>
      </c>
      <c r="C147" s="7" t="n">
        <v>0</v>
      </c>
      <c r="D147" s="49" t="n">
        <v>82.64</v>
      </c>
      <c r="E147" s="23" t="n">
        <v>7395</v>
      </c>
      <c r="F147" s="23" t="n">
        <v>7569</v>
      </c>
      <c r="G147" s="11">
        <f>IF(F147=0,0,E147/F147*100)</f>
        <v/>
      </c>
      <c r="H147" s="7" t="n">
        <v>0</v>
      </c>
      <c r="I147" s="7" t="n">
        <v>0</v>
      </c>
      <c r="J147" s="7" t="n">
        <v>0</v>
      </c>
      <c r="K147" s="7" t="n">
        <v>5</v>
      </c>
    </row>
    <row r="148">
      <c r="A148" s="21" t="inlineStr">
        <is>
          <t>12 Jun</t>
        </is>
      </c>
      <c r="B148" s="21" t="inlineStr">
        <is>
          <t>30327</t>
        </is>
      </c>
      <c r="C148" s="7" t="n">
        <v>0</v>
      </c>
      <c r="D148" s="49" t="n">
        <v>184.18</v>
      </c>
      <c r="E148" s="23" t="n">
        <v>7136</v>
      </c>
      <c r="F148" s="23" t="n">
        <v>7390</v>
      </c>
      <c r="G148" s="11">
        <f>IF(F148=0,0,E148/F148*100)</f>
        <v/>
      </c>
      <c r="H148" s="7" t="n">
        <v>0</v>
      </c>
      <c r="I148" s="7" t="n">
        <v>0</v>
      </c>
      <c r="J148" s="7" t="n">
        <v>0</v>
      </c>
      <c r="K148" s="7" t="n">
        <v>7</v>
      </c>
    </row>
    <row r="149">
      <c r="A149" s="21" t="inlineStr">
        <is>
          <t>12 Jun</t>
        </is>
      </c>
      <c r="B149" s="21" t="inlineStr">
        <is>
          <t>39105</t>
        </is>
      </c>
      <c r="C149" s="7" t="n">
        <v>0</v>
      </c>
      <c r="D149" s="49" t="n">
        <v>199.4</v>
      </c>
      <c r="E149" s="23" t="n">
        <v>7272</v>
      </c>
      <c r="F149" s="23" t="n">
        <v>7343</v>
      </c>
      <c r="G149" s="11">
        <f>IF(F149=0,0,E149/F149*100)</f>
        <v/>
      </c>
      <c r="H149" s="7" t="n">
        <v>0</v>
      </c>
      <c r="I149" s="7" t="n">
        <v>0</v>
      </c>
      <c r="J149" s="7" t="n">
        <v>0</v>
      </c>
      <c r="K149" s="7" t="n">
        <v>0</v>
      </c>
    </row>
    <row r="150">
      <c r="A150" s="21" t="inlineStr">
        <is>
          <t>12 Jun</t>
        </is>
      </c>
      <c r="B150" s="21" t="inlineStr">
        <is>
          <t>37452</t>
        </is>
      </c>
      <c r="C150" s="7" t="n">
        <v>0</v>
      </c>
      <c r="D150" s="49" t="n">
        <v>199.46</v>
      </c>
      <c r="E150" s="23" t="n">
        <v>7166</v>
      </c>
      <c r="F150" s="23" t="n">
        <v>7268</v>
      </c>
      <c r="G150" s="11">
        <f>IF(F150=0,0,E150/F150*100)</f>
        <v/>
      </c>
      <c r="H150" s="7" t="n">
        <v>0</v>
      </c>
      <c r="I150" s="7" t="n">
        <v>0</v>
      </c>
      <c r="J150" s="7" t="n">
        <v>0</v>
      </c>
      <c r="K150" s="7" t="n">
        <v>2</v>
      </c>
    </row>
    <row r="151">
      <c r="A151" s="21" t="inlineStr">
        <is>
          <t>12 Jun</t>
        </is>
      </c>
      <c r="B151" s="21" t="inlineStr">
        <is>
          <t>39111</t>
        </is>
      </c>
      <c r="C151" s="7" t="n">
        <v>0</v>
      </c>
      <c r="D151" s="49" t="n">
        <v>94.13</v>
      </c>
      <c r="E151" s="23" t="n">
        <v>3964</v>
      </c>
      <c r="F151" s="23" t="n">
        <v>4571</v>
      </c>
      <c r="G151" s="11">
        <f>IF(F151=0,0,E151/F151*100)</f>
        <v/>
      </c>
      <c r="H151" s="7" t="n">
        <v>0</v>
      </c>
      <c r="I151" s="7" t="n">
        <v>0</v>
      </c>
      <c r="J151" s="7" t="n">
        <v>0</v>
      </c>
      <c r="K151" s="7" t="n">
        <v>1</v>
      </c>
    </row>
    <row r="152">
      <c r="A152" s="21" t="inlineStr">
        <is>
          <t>12 Jun</t>
        </is>
      </c>
      <c r="B152" s="21" t="inlineStr">
        <is>
          <t>30503</t>
        </is>
      </c>
      <c r="C152" s="7" t="n">
        <v>0</v>
      </c>
      <c r="D152" s="49" t="n">
        <v>92.63</v>
      </c>
      <c r="E152" s="23" t="n">
        <v>4268</v>
      </c>
      <c r="F152" s="23" t="n">
        <v>4316</v>
      </c>
      <c r="G152" s="11">
        <f>IF(F152=0,0,E152/F152*100)</f>
        <v/>
      </c>
      <c r="H152" s="7" t="n">
        <v>0</v>
      </c>
      <c r="I152" s="7" t="n">
        <v>0</v>
      </c>
      <c r="J152" s="7" t="n">
        <v>0</v>
      </c>
      <c r="K152" s="7" t="n">
        <v>0</v>
      </c>
    </row>
    <row r="153">
      <c r="A153" s="21" t="inlineStr">
        <is>
          <t>12 Jun</t>
        </is>
      </c>
      <c r="B153" s="21" t="inlineStr">
        <is>
          <t>30372</t>
        </is>
      </c>
      <c r="C153" s="7" t="n">
        <v>0</v>
      </c>
      <c r="D153" s="49" t="n">
        <v>81.29000000000001</v>
      </c>
      <c r="E153" s="23" t="n">
        <v>3618</v>
      </c>
      <c r="F153" s="23" t="n">
        <v>3717</v>
      </c>
      <c r="G153" s="11">
        <f>IF(F153=0,0,E153/F153*100)</f>
        <v/>
      </c>
      <c r="H153" s="7" t="n">
        <v>0</v>
      </c>
      <c r="I153" s="7" t="n">
        <v>0</v>
      </c>
      <c r="J153" s="7" t="n">
        <v>0</v>
      </c>
      <c r="K153" s="7" t="n">
        <v>3</v>
      </c>
    </row>
    <row r="154">
      <c r="A154" s="21" t="inlineStr">
        <is>
          <t>12 Jun</t>
        </is>
      </c>
      <c r="B154" s="21" t="inlineStr">
        <is>
          <t>37185</t>
        </is>
      </c>
      <c r="C154" s="7" t="n">
        <v>0</v>
      </c>
      <c r="D154" s="49" t="n">
        <v>92.27</v>
      </c>
      <c r="E154" s="23" t="n">
        <v>3347</v>
      </c>
      <c r="F154" s="23" t="n">
        <v>3387</v>
      </c>
      <c r="G154" s="11">
        <f>IF(F154=0,0,E154/F154*100)</f>
        <v/>
      </c>
      <c r="H154" s="7" t="n">
        <v>1</v>
      </c>
      <c r="I154" s="7" t="n">
        <v>0</v>
      </c>
      <c r="J154" s="7" t="n">
        <v>1</v>
      </c>
      <c r="K154" s="7" t="n">
        <v>2</v>
      </c>
    </row>
    <row r="155">
      <c r="A155" s="21" t="inlineStr">
        <is>
          <t>12 Jun</t>
        </is>
      </c>
      <c r="B155" s="21" t="inlineStr">
        <is>
          <t>30328</t>
        </is>
      </c>
      <c r="C155" s="7" t="n">
        <v>0</v>
      </c>
      <c r="D155" s="49" t="n">
        <v>81.39</v>
      </c>
      <c r="E155" s="23" t="n">
        <v>3084</v>
      </c>
      <c r="F155" s="23" t="n">
        <v>3238</v>
      </c>
      <c r="G155" s="11">
        <f>IF(F155=0,0,E155/F155*100)</f>
        <v/>
      </c>
      <c r="H155" s="7" t="n">
        <v>0</v>
      </c>
      <c r="I155" s="7" t="n">
        <v>0</v>
      </c>
      <c r="J155" s="7" t="n">
        <v>0</v>
      </c>
      <c r="K155" s="7" t="n">
        <v>3</v>
      </c>
    </row>
    <row r="156">
      <c r="A156" s="21" t="inlineStr">
        <is>
          <t>12 Jun</t>
        </is>
      </c>
      <c r="B156" s="21" t="inlineStr">
        <is>
          <t>30203</t>
        </is>
      </c>
      <c r="C156" s="7" t="n">
        <v>0</v>
      </c>
      <c r="D156" s="49" t="n">
        <v>81.40000000000001</v>
      </c>
      <c r="E156" s="23" t="n">
        <v>2989</v>
      </c>
      <c r="F156" s="23" t="n">
        <v>3101</v>
      </c>
      <c r="G156" s="11">
        <f>IF(F156=0,0,E156/F156*100)</f>
        <v/>
      </c>
      <c r="H156" s="7" t="n">
        <v>0</v>
      </c>
      <c r="I156" s="7" t="n">
        <v>0</v>
      </c>
      <c r="J156" s="7" t="n">
        <v>0</v>
      </c>
      <c r="K156" s="7" t="n">
        <v>4</v>
      </c>
    </row>
    <row r="157">
      <c r="A157" s="21" t="inlineStr">
        <is>
          <t>12 Jun</t>
        </is>
      </c>
      <c r="B157" s="21" t="inlineStr">
        <is>
          <t>37481</t>
        </is>
      </c>
      <c r="C157" s="7" t="n">
        <v>0</v>
      </c>
      <c r="D157" s="49" t="n">
        <v>94.42</v>
      </c>
      <c r="E157" s="23" t="n">
        <v>2428</v>
      </c>
      <c r="F157" s="23" t="n">
        <v>2489</v>
      </c>
      <c r="G157" s="11">
        <f>IF(F157=0,0,E157/F157*100)</f>
        <v/>
      </c>
      <c r="H157" s="7" t="n">
        <v>0</v>
      </c>
      <c r="I157" s="7" t="n">
        <v>0</v>
      </c>
      <c r="J157" s="7" t="n">
        <v>0</v>
      </c>
      <c r="K157" s="7" t="n">
        <v>0</v>
      </c>
    </row>
    <row r="158">
      <c r="A158" s="21" t="inlineStr">
        <is>
          <t>12 Jun</t>
        </is>
      </c>
      <c r="B158" s="21" t="inlineStr">
        <is>
          <t>30469</t>
        </is>
      </c>
      <c r="C158" s="7" t="n">
        <v>0</v>
      </c>
      <c r="D158" s="49" t="n">
        <v>54.43</v>
      </c>
      <c r="E158" s="23" t="n">
        <v>1999</v>
      </c>
      <c r="F158" s="23" t="n">
        <v>2002</v>
      </c>
      <c r="G158" s="11">
        <f>IF(F158=0,0,E158/F158*100)</f>
        <v/>
      </c>
      <c r="H158" s="7" t="n">
        <v>0</v>
      </c>
      <c r="I158" s="7" t="n">
        <v>0</v>
      </c>
      <c r="J158" s="7" t="n">
        <v>0</v>
      </c>
      <c r="K158" s="7" t="n">
        <v>0</v>
      </c>
    </row>
    <row r="159">
      <c r="A159" s="21" t="inlineStr">
        <is>
          <t>12 Jun</t>
        </is>
      </c>
      <c r="B159" s="21" t="inlineStr">
        <is>
          <t>30568</t>
        </is>
      </c>
      <c r="C159" s="7" t="n">
        <v>0</v>
      </c>
      <c r="D159" s="49" t="n">
        <v>23.65</v>
      </c>
      <c r="E159" s="23" t="n">
        <v>1551</v>
      </c>
      <c r="F159" s="23" t="n">
        <v>1615</v>
      </c>
      <c r="G159" s="11">
        <f>IF(F159=0,0,E159/F159*100)</f>
        <v/>
      </c>
      <c r="H159" s="7" t="n">
        <v>0</v>
      </c>
      <c r="I159" s="7" t="n">
        <v>0</v>
      </c>
      <c r="J159" s="7" t="n">
        <v>0</v>
      </c>
      <c r="K159" s="7" t="n">
        <v>0</v>
      </c>
    </row>
    <row r="160">
      <c r="A160" s="21" t="inlineStr">
        <is>
          <t>12 Jun</t>
        </is>
      </c>
      <c r="B160" s="21" t="inlineStr">
        <is>
          <t>30676</t>
        </is>
      </c>
      <c r="C160" s="7" t="n">
        <v>0</v>
      </c>
      <c r="D160" s="49" t="n">
        <v>3.97</v>
      </c>
      <c r="E160" s="23" t="n">
        <v>422</v>
      </c>
      <c r="F160" s="23" t="n">
        <v>427</v>
      </c>
      <c r="G160" s="11">
        <f>IF(F160=0,0,E160/F160*100)</f>
        <v/>
      </c>
      <c r="H160" s="7" t="n">
        <v>0</v>
      </c>
      <c r="I160" s="7" t="n">
        <v>0</v>
      </c>
      <c r="J160" s="7" t="n">
        <v>0</v>
      </c>
      <c r="K160" s="7" t="n">
        <v>0</v>
      </c>
    </row>
    <row r="161">
      <c r="A161" s="21" t="inlineStr">
        <is>
          <t>12 Jun</t>
        </is>
      </c>
      <c r="B161" s="21" t="inlineStr">
        <is>
          <t>39059</t>
        </is>
      </c>
      <c r="C161" s="7" t="n">
        <v>0</v>
      </c>
      <c r="D161" s="49" t="n">
        <v>0.64</v>
      </c>
      <c r="E161" s="23" t="n">
        <v>185</v>
      </c>
      <c r="F161" s="23" t="n">
        <v>209</v>
      </c>
      <c r="G161" s="11">
        <f>IF(F161=0,0,E161/F161*100)</f>
        <v/>
      </c>
      <c r="H161" s="7" t="n">
        <v>0</v>
      </c>
      <c r="I161" s="7" t="n">
        <v>0</v>
      </c>
      <c r="J161" s="7" t="n">
        <v>0</v>
      </c>
      <c r="K161" s="7" t="n">
        <v>0</v>
      </c>
    </row>
    <row r="162">
      <c r="A162" s="21" t="inlineStr">
        <is>
          <t>12 Jun</t>
        </is>
      </c>
      <c r="B162" s="21" t="inlineStr">
        <is>
          <t>37527</t>
        </is>
      </c>
      <c r="C162" s="7" t="n">
        <v>0</v>
      </c>
      <c r="D162" s="49" t="n">
        <v>0.08</v>
      </c>
      <c r="E162" s="23" t="n">
        <v>19</v>
      </c>
      <c r="F162" s="23" t="n">
        <v>74</v>
      </c>
      <c r="G162" s="11">
        <f>IF(F162=0,0,E162/F162*100)</f>
        <v/>
      </c>
      <c r="H162" s="7" t="n">
        <v>0</v>
      </c>
      <c r="I162" s="7" t="n">
        <v>0</v>
      </c>
      <c r="J162" s="7" t="n">
        <v>0</v>
      </c>
      <c r="K162" s="7" t="n">
        <v>0</v>
      </c>
    </row>
    <row r="163">
      <c r="A163" s="24" t="inlineStr">
        <is>
          <t>12 Jun</t>
        </is>
      </c>
      <c r="B163" s="24" t="inlineStr">
        <is>
          <t>Day Total</t>
        </is>
      </c>
      <c r="C163" s="25">
        <f>SUM(C128:C162)</f>
        <v/>
      </c>
      <c r="D163" s="50">
        <f>SUM(D128:D162)</f>
        <v/>
      </c>
      <c r="E163" s="27">
        <f>SUM(E128:E162)</f>
        <v/>
      </c>
      <c r="F163" s="27">
        <f>SUMIF(E128:E162,"&gt;0",F128:F162)</f>
        <v/>
      </c>
      <c r="G163" s="28">
        <f>IF(F163=0,0,E163/F163*100)</f>
        <v/>
      </c>
      <c r="H163" s="25">
        <f>SUM(H128:H162)</f>
        <v/>
      </c>
      <c r="I163" s="25">
        <f>SUM(I128:I162)</f>
        <v/>
      </c>
      <c r="J163" s="25">
        <f>SUM(J128:J162)</f>
        <v/>
      </c>
      <c r="K163" s="25">
        <f>SUM(K128:K162)</f>
        <v/>
      </c>
    </row>
    <row r="164">
      <c r="A164" s="21" t="inlineStr">
        <is>
          <t>13 Jun</t>
        </is>
      </c>
      <c r="B164" s="21" t="inlineStr">
        <is>
          <t>39409</t>
        </is>
      </c>
      <c r="C164" s="7" t="n">
        <v>1</v>
      </c>
      <c r="D164" s="49" t="n">
        <v>244.02</v>
      </c>
      <c r="E164" s="23" t="n">
        <v>15723</v>
      </c>
      <c r="F164" s="23" t="n">
        <v>16234</v>
      </c>
      <c r="G164" s="11">
        <f>IF(F164=0,0,E164/F164*100)</f>
        <v/>
      </c>
      <c r="H164" s="7" t="n">
        <v>1</v>
      </c>
      <c r="I164" s="7" t="n">
        <v>1</v>
      </c>
      <c r="J164" s="7" t="n">
        <v>0</v>
      </c>
      <c r="K164" s="7" t="n">
        <v>19</v>
      </c>
    </row>
    <row r="165">
      <c r="A165" s="21" t="inlineStr">
        <is>
          <t>13 Jun</t>
        </is>
      </c>
      <c r="B165" s="21" t="inlineStr">
        <is>
          <t>37081</t>
        </is>
      </c>
      <c r="C165" s="7" t="n">
        <v>1</v>
      </c>
      <c r="D165" s="49" t="n">
        <v>244</v>
      </c>
      <c r="E165" s="23" t="n">
        <v>13095</v>
      </c>
      <c r="F165" s="23" t="n">
        <v>13675</v>
      </c>
      <c r="G165" s="11">
        <f>IF(F165=0,0,E165/F165*100)</f>
        <v/>
      </c>
      <c r="H165" s="7" t="n">
        <v>0</v>
      </c>
      <c r="I165" s="7" t="n">
        <v>0</v>
      </c>
      <c r="J165" s="7" t="n">
        <v>0</v>
      </c>
      <c r="K165" s="7" t="n">
        <v>17</v>
      </c>
    </row>
    <row r="166">
      <c r="A166" s="21" t="inlineStr">
        <is>
          <t>13 Jun</t>
        </is>
      </c>
      <c r="B166" s="21" t="inlineStr">
        <is>
          <t>35001</t>
        </is>
      </c>
      <c r="C166" s="7" t="n">
        <v>1</v>
      </c>
      <c r="D166" s="49" t="n">
        <v>242.68</v>
      </c>
      <c r="E166" s="23" t="n">
        <v>9909</v>
      </c>
      <c r="F166" s="23" t="n">
        <v>10421</v>
      </c>
      <c r="G166" s="11">
        <f>IF(F166=0,0,E166/F166*100)</f>
        <v/>
      </c>
      <c r="H166" s="7" t="n">
        <v>0</v>
      </c>
      <c r="I166" s="7" t="n">
        <v>0</v>
      </c>
      <c r="J166" s="7" t="n">
        <v>0</v>
      </c>
      <c r="K166" s="7" t="n">
        <v>12</v>
      </c>
    </row>
    <row r="167">
      <c r="A167" s="21" t="inlineStr">
        <is>
          <t>13 Jun</t>
        </is>
      </c>
      <c r="B167" s="21" t="inlineStr">
        <is>
          <t>37014</t>
        </is>
      </c>
      <c r="C167" s="7" t="n">
        <v>1</v>
      </c>
      <c r="D167" s="49" t="n">
        <v>243.86</v>
      </c>
      <c r="E167" s="23" t="n">
        <v>8586</v>
      </c>
      <c r="F167" s="23" t="n">
        <v>8733</v>
      </c>
      <c r="G167" s="11">
        <f>IF(F167=0,0,E167/F167*100)</f>
        <v/>
      </c>
      <c r="H167" s="7" t="n">
        <v>0</v>
      </c>
      <c r="I167" s="7" t="n">
        <v>0</v>
      </c>
      <c r="J167" s="7" t="n">
        <v>0</v>
      </c>
      <c r="K167" s="7" t="n">
        <v>3</v>
      </c>
    </row>
    <row r="168">
      <c r="A168" s="21" t="inlineStr">
        <is>
          <t>13 Jun</t>
        </is>
      </c>
      <c r="B168" s="21" t="inlineStr">
        <is>
          <t>37894</t>
        </is>
      </c>
      <c r="C168" s="7" t="n">
        <v>0</v>
      </c>
      <c r="D168" s="49" t="n">
        <v>205.27</v>
      </c>
      <c r="E168" s="23" t="n">
        <v>14178</v>
      </c>
      <c r="F168" s="23" t="n">
        <v>14680</v>
      </c>
      <c r="G168" s="11">
        <f>IF(F168=0,0,E168/F168*100)</f>
        <v/>
      </c>
      <c r="H168" s="7" t="n">
        <v>0</v>
      </c>
      <c r="I168" s="7" t="n">
        <v>0</v>
      </c>
      <c r="J168" s="7" t="n">
        <v>0</v>
      </c>
      <c r="K168" s="7" t="n">
        <v>10</v>
      </c>
    </row>
    <row r="169">
      <c r="A169" s="21" t="inlineStr">
        <is>
          <t>13 Jun</t>
        </is>
      </c>
      <c r="B169" s="21" t="inlineStr">
        <is>
          <t>30457</t>
        </is>
      </c>
      <c r="C169" s="7" t="n">
        <v>0</v>
      </c>
      <c r="D169" s="49" t="n">
        <v>232.25</v>
      </c>
      <c r="E169" s="23" t="n">
        <v>11395</v>
      </c>
      <c r="F169" s="23" t="n">
        <v>11596</v>
      </c>
      <c r="G169" s="11">
        <f>IF(F169=0,0,E169/F169*100)</f>
        <v/>
      </c>
      <c r="H169" s="7" t="n">
        <v>0</v>
      </c>
      <c r="I169" s="7" t="n">
        <v>0</v>
      </c>
      <c r="J169" s="7" t="n">
        <v>0</v>
      </c>
      <c r="K169" s="7" t="n">
        <v>5</v>
      </c>
    </row>
    <row r="170">
      <c r="A170" s="21" t="inlineStr">
        <is>
          <t>13 Jun</t>
        </is>
      </c>
      <c r="B170" s="21" t="inlineStr">
        <is>
          <t>37720</t>
        </is>
      </c>
      <c r="C170" s="7" t="n">
        <v>0</v>
      </c>
      <c r="D170" s="49" t="n">
        <v>232.23</v>
      </c>
      <c r="E170" s="23" t="n">
        <v>10378</v>
      </c>
      <c r="F170" s="23" t="n">
        <v>10614</v>
      </c>
      <c r="G170" s="11">
        <f>IF(F170=0,0,E170/F170*100)</f>
        <v/>
      </c>
      <c r="H170" s="7" t="n">
        <v>1</v>
      </c>
      <c r="I170" s="7" t="n">
        <v>0</v>
      </c>
      <c r="J170" s="7" t="n">
        <v>1</v>
      </c>
      <c r="K170" s="7" t="n">
        <v>9</v>
      </c>
    </row>
    <row r="171">
      <c r="A171" s="21" t="inlineStr">
        <is>
          <t>13 Jun</t>
        </is>
      </c>
      <c r="B171" s="21" t="inlineStr">
        <is>
          <t>37610</t>
        </is>
      </c>
      <c r="C171" s="7" t="n">
        <v>0</v>
      </c>
      <c r="D171" s="49" t="n">
        <v>231.66</v>
      </c>
      <c r="E171" s="23" t="n">
        <v>9325</v>
      </c>
      <c r="F171" s="23" t="n">
        <v>9621</v>
      </c>
      <c r="G171" s="11">
        <f>IF(F171=0,0,E171/F171*100)</f>
        <v/>
      </c>
      <c r="H171" s="7" t="n">
        <v>0</v>
      </c>
      <c r="I171" s="7" t="n">
        <v>0</v>
      </c>
      <c r="J171" s="7" t="n">
        <v>0</v>
      </c>
      <c r="K171" s="7" t="n">
        <v>5</v>
      </c>
    </row>
    <row r="172">
      <c r="A172" s="21" t="inlineStr">
        <is>
          <t>13 Jun</t>
        </is>
      </c>
      <c r="B172" s="21" t="inlineStr">
        <is>
          <t>30692</t>
        </is>
      </c>
      <c r="C172" s="7" t="n">
        <v>0</v>
      </c>
      <c r="D172" s="49" t="n">
        <v>199.05</v>
      </c>
      <c r="E172" s="23" t="n">
        <v>8864</v>
      </c>
      <c r="F172" s="23" t="n">
        <v>9404</v>
      </c>
      <c r="G172" s="11">
        <f>IF(F172=0,0,E172/F172*100)</f>
        <v/>
      </c>
      <c r="H172" s="7" t="n">
        <v>0</v>
      </c>
      <c r="I172" s="7" t="n">
        <v>0</v>
      </c>
      <c r="J172" s="7" t="n">
        <v>0</v>
      </c>
      <c r="K172" s="7" t="n">
        <v>5</v>
      </c>
    </row>
    <row r="173">
      <c r="A173" s="21" t="inlineStr">
        <is>
          <t>13 Jun</t>
        </is>
      </c>
      <c r="B173" s="21" t="inlineStr">
        <is>
          <t>30568</t>
        </is>
      </c>
      <c r="C173" s="7" t="n">
        <v>0</v>
      </c>
      <c r="D173" s="49" t="n">
        <v>220.37</v>
      </c>
      <c r="E173" s="23" t="n">
        <v>8901</v>
      </c>
      <c r="F173" s="23" t="n">
        <v>9064</v>
      </c>
      <c r="G173" s="11">
        <f>IF(F173=0,0,E173/F173*100)</f>
        <v/>
      </c>
      <c r="H173" s="7" t="n">
        <v>0</v>
      </c>
      <c r="I173" s="7" t="n">
        <v>0</v>
      </c>
      <c r="J173" s="7" t="n">
        <v>0</v>
      </c>
      <c r="K173" s="7" t="n">
        <v>6</v>
      </c>
    </row>
    <row r="174">
      <c r="A174" s="21" t="inlineStr">
        <is>
          <t>13 Jun</t>
        </is>
      </c>
      <c r="B174" s="21" t="inlineStr">
        <is>
          <t>30200</t>
        </is>
      </c>
      <c r="C174" s="7" t="n">
        <v>0</v>
      </c>
      <c r="D174" s="49" t="n">
        <v>94.28</v>
      </c>
      <c r="E174" s="23" t="n">
        <v>8638</v>
      </c>
      <c r="F174" s="23" t="n">
        <v>8809</v>
      </c>
      <c r="G174" s="11">
        <f>IF(F174=0,0,E174/F174*100)</f>
        <v/>
      </c>
      <c r="H174" s="7" t="n">
        <v>1</v>
      </c>
      <c r="I174" s="7" t="n">
        <v>0</v>
      </c>
      <c r="J174" s="7" t="n">
        <v>1</v>
      </c>
      <c r="K174" s="7" t="n">
        <v>1</v>
      </c>
    </row>
    <row r="175">
      <c r="A175" s="21" t="inlineStr">
        <is>
          <t>13 Jun</t>
        </is>
      </c>
      <c r="B175" s="21" t="inlineStr">
        <is>
          <t>30805</t>
        </is>
      </c>
      <c r="C175" s="7" t="n">
        <v>0</v>
      </c>
      <c r="D175" s="49" t="n">
        <v>199.05</v>
      </c>
      <c r="E175" s="23" t="n">
        <v>8610</v>
      </c>
      <c r="F175" s="23" t="n">
        <v>8756</v>
      </c>
      <c r="G175" s="11">
        <f>IF(F175=0,0,E175/F175*100)</f>
        <v/>
      </c>
      <c r="H175" s="7" t="n">
        <v>0</v>
      </c>
      <c r="I175" s="7" t="n">
        <v>0</v>
      </c>
      <c r="J175" s="7" t="n">
        <v>0</v>
      </c>
      <c r="K175" s="7" t="n">
        <v>5</v>
      </c>
    </row>
    <row r="176">
      <c r="A176" s="21" t="inlineStr">
        <is>
          <t>13 Jun</t>
        </is>
      </c>
      <c r="B176" s="21" t="inlineStr">
        <is>
          <t>37005</t>
        </is>
      </c>
      <c r="C176" s="7" t="n">
        <v>0</v>
      </c>
      <c r="D176" s="49" t="n">
        <v>94.26000000000001</v>
      </c>
      <c r="E176" s="23" t="n">
        <v>8431</v>
      </c>
      <c r="F176" s="23" t="n">
        <v>8643</v>
      </c>
      <c r="G176" s="11">
        <f>IF(F176=0,0,E176/F176*100)</f>
        <v/>
      </c>
      <c r="H176" s="7" t="n">
        <v>0</v>
      </c>
      <c r="I176" s="7" t="n">
        <v>0</v>
      </c>
      <c r="J176" s="7" t="n">
        <v>0</v>
      </c>
      <c r="K176" s="7" t="n">
        <v>0</v>
      </c>
    </row>
    <row r="177">
      <c r="A177" s="21" t="inlineStr">
        <is>
          <t>13 Jun</t>
        </is>
      </c>
      <c r="B177" s="21" t="inlineStr">
        <is>
          <t>37024</t>
        </is>
      </c>
      <c r="C177" s="7" t="n">
        <v>0</v>
      </c>
      <c r="D177" s="49" t="n">
        <v>94.27</v>
      </c>
      <c r="E177" s="23" t="n">
        <v>8521</v>
      </c>
      <c r="F177" s="23" t="n">
        <v>8640</v>
      </c>
      <c r="G177" s="11">
        <f>IF(F177=0,0,E177/F177*100)</f>
        <v/>
      </c>
      <c r="H177" s="7" t="n">
        <v>1</v>
      </c>
      <c r="I177" s="7" t="n">
        <v>0</v>
      </c>
      <c r="J177" s="7" t="n">
        <v>1</v>
      </c>
      <c r="K177" s="7" t="n">
        <v>0</v>
      </c>
    </row>
    <row r="178">
      <c r="A178" s="21" t="inlineStr">
        <is>
          <t>13 Jun</t>
        </is>
      </c>
      <c r="B178" s="21" t="inlineStr">
        <is>
          <t>39411</t>
        </is>
      </c>
      <c r="C178" s="7" t="n">
        <v>0</v>
      </c>
      <c r="D178" s="49" t="n">
        <v>199.05</v>
      </c>
      <c r="E178" s="23" t="n">
        <v>8372</v>
      </c>
      <c r="F178" s="23" t="n">
        <v>8477</v>
      </c>
      <c r="G178" s="11">
        <f>IF(F178=0,0,E178/F178*100)</f>
        <v/>
      </c>
      <c r="H178" s="7" t="n">
        <v>0</v>
      </c>
      <c r="I178" s="7" t="n">
        <v>0</v>
      </c>
      <c r="J178" s="7" t="n">
        <v>0</v>
      </c>
      <c r="K178" s="7" t="n">
        <v>1</v>
      </c>
    </row>
    <row r="179">
      <c r="A179" s="21" t="inlineStr">
        <is>
          <t>13 Jun</t>
        </is>
      </c>
      <c r="B179" s="21" t="inlineStr">
        <is>
          <t>39059</t>
        </is>
      </c>
      <c r="C179" s="7" t="n">
        <v>0</v>
      </c>
      <c r="D179" s="49" t="n">
        <v>216.04</v>
      </c>
      <c r="E179" s="23" t="n">
        <v>8312</v>
      </c>
      <c r="F179" s="23" t="n">
        <v>8432</v>
      </c>
      <c r="G179" s="11">
        <f>IF(F179=0,0,E179/F179*100)</f>
        <v/>
      </c>
      <c r="H179" s="7" t="n">
        <v>0</v>
      </c>
      <c r="I179" s="7" t="n">
        <v>0</v>
      </c>
      <c r="J179" s="7" t="n">
        <v>0</v>
      </c>
      <c r="K179" s="7" t="n">
        <v>2</v>
      </c>
    </row>
    <row r="180">
      <c r="A180" s="21" t="inlineStr">
        <is>
          <t>13 Jun</t>
        </is>
      </c>
      <c r="B180" s="21" t="inlineStr">
        <is>
          <t>37244</t>
        </is>
      </c>
      <c r="C180" s="7" t="n">
        <v>0</v>
      </c>
      <c r="D180" s="49" t="n">
        <v>199.05</v>
      </c>
      <c r="E180" s="23" t="n">
        <v>8302</v>
      </c>
      <c r="F180" s="23" t="n">
        <v>8402</v>
      </c>
      <c r="G180" s="11">
        <f>IF(F180=0,0,E180/F180*100)</f>
        <v/>
      </c>
      <c r="H180" s="7" t="n">
        <v>0</v>
      </c>
      <c r="I180" s="7" t="n">
        <v>0</v>
      </c>
      <c r="J180" s="7" t="n">
        <v>0</v>
      </c>
      <c r="K180" s="7" t="n">
        <v>0</v>
      </c>
    </row>
    <row r="181">
      <c r="A181" s="21" t="inlineStr">
        <is>
          <t>13 Jun</t>
        </is>
      </c>
      <c r="B181" s="21" t="inlineStr">
        <is>
          <t>37879</t>
        </is>
      </c>
      <c r="C181" s="7" t="n">
        <v>0</v>
      </c>
      <c r="D181" s="49" t="n">
        <v>199.43</v>
      </c>
      <c r="E181" s="23" t="n">
        <v>8155</v>
      </c>
      <c r="F181" s="23" t="n">
        <v>8177</v>
      </c>
      <c r="G181" s="11">
        <f>IF(F181=0,0,E181/F181*100)</f>
        <v/>
      </c>
      <c r="H181" s="7" t="n">
        <v>0</v>
      </c>
      <c r="I181" s="7" t="n">
        <v>0</v>
      </c>
      <c r="J181" s="7" t="n">
        <v>0</v>
      </c>
      <c r="K181" s="7" t="n">
        <v>0</v>
      </c>
    </row>
    <row r="182">
      <c r="A182" s="21" t="inlineStr">
        <is>
          <t>13 Jun</t>
        </is>
      </c>
      <c r="B182" s="21" t="inlineStr">
        <is>
          <t>39263</t>
        </is>
      </c>
      <c r="C182" s="7" t="n">
        <v>0</v>
      </c>
      <c r="D182" s="49" t="n">
        <v>231.61</v>
      </c>
      <c r="E182" s="23" t="n">
        <v>7781</v>
      </c>
      <c r="F182" s="23" t="n">
        <v>8108</v>
      </c>
      <c r="G182" s="11">
        <f>IF(F182=0,0,E182/F182*100)</f>
        <v/>
      </c>
      <c r="H182" s="7" t="n">
        <v>0</v>
      </c>
      <c r="I182" s="7" t="n">
        <v>0</v>
      </c>
      <c r="J182" s="7" t="n">
        <v>0</v>
      </c>
      <c r="K182" s="7" t="n">
        <v>7</v>
      </c>
    </row>
    <row r="183">
      <c r="A183" s="21" t="inlineStr">
        <is>
          <t>13 Jun</t>
        </is>
      </c>
      <c r="B183" s="21" t="inlineStr">
        <is>
          <t>30469</t>
        </is>
      </c>
      <c r="C183" s="7" t="n">
        <v>0</v>
      </c>
      <c r="D183" s="49" t="n">
        <v>177.88</v>
      </c>
      <c r="E183" s="23" t="n">
        <v>7834</v>
      </c>
      <c r="F183" s="23" t="n">
        <v>7956</v>
      </c>
      <c r="G183" s="11">
        <f>IF(F183=0,0,E183/F183*100)</f>
        <v/>
      </c>
      <c r="H183" s="7" t="n">
        <v>0</v>
      </c>
      <c r="I183" s="7" t="n">
        <v>0</v>
      </c>
      <c r="J183" s="7" t="n">
        <v>0</v>
      </c>
      <c r="K183" s="7" t="n">
        <v>5</v>
      </c>
    </row>
    <row r="184">
      <c r="A184" s="21" t="inlineStr">
        <is>
          <t>13 Jun</t>
        </is>
      </c>
      <c r="B184" s="21" t="inlineStr">
        <is>
          <t>39060</t>
        </is>
      </c>
      <c r="C184" s="7" t="n">
        <v>0</v>
      </c>
      <c r="D184" s="49" t="n">
        <v>199.75</v>
      </c>
      <c r="E184" s="23" t="n">
        <v>7272</v>
      </c>
      <c r="F184" s="23" t="n">
        <v>7634</v>
      </c>
      <c r="G184" s="11">
        <f>IF(F184=0,0,E184/F184*100)</f>
        <v/>
      </c>
      <c r="H184" s="7" t="n">
        <v>2</v>
      </c>
      <c r="I184" s="7" t="n">
        <v>0</v>
      </c>
      <c r="J184" s="7" t="n">
        <v>2</v>
      </c>
      <c r="K184" s="7" t="n">
        <v>12</v>
      </c>
    </row>
    <row r="185">
      <c r="A185" s="21" t="inlineStr">
        <is>
          <t>13 Jun</t>
        </is>
      </c>
      <c r="B185" s="21" t="inlineStr">
        <is>
          <t>30487</t>
        </is>
      </c>
      <c r="C185" s="7" t="n">
        <v>0</v>
      </c>
      <c r="D185" s="49" t="n">
        <v>152.83</v>
      </c>
      <c r="E185" s="23" t="n">
        <v>7324</v>
      </c>
      <c r="F185" s="23" t="n">
        <v>7490</v>
      </c>
      <c r="G185" s="11">
        <f>IF(F185=0,0,E185/F185*100)</f>
        <v/>
      </c>
      <c r="H185" s="7" t="n">
        <v>0</v>
      </c>
      <c r="I185" s="7" t="n">
        <v>0</v>
      </c>
      <c r="J185" s="7" t="n">
        <v>0</v>
      </c>
      <c r="K185" s="7" t="n">
        <v>7</v>
      </c>
    </row>
    <row r="186">
      <c r="A186" s="21" t="inlineStr">
        <is>
          <t>13 Jun</t>
        </is>
      </c>
      <c r="B186" s="21" t="inlineStr">
        <is>
          <t>30552</t>
        </is>
      </c>
      <c r="C186" s="7" t="n">
        <v>0</v>
      </c>
      <c r="D186" s="49" t="n">
        <v>186.18</v>
      </c>
      <c r="E186" s="23" t="n">
        <v>0</v>
      </c>
      <c r="F186" s="23" t="n">
        <v>5258</v>
      </c>
      <c r="G186" s="11">
        <f>IF(F186=0,0,E186/F186*100)</f>
        <v/>
      </c>
      <c r="H186" s="7" t="n">
        <v>0</v>
      </c>
      <c r="I186" s="7" t="n">
        <v>0</v>
      </c>
      <c r="J186" s="7" t="n">
        <v>0</v>
      </c>
      <c r="K186" s="7" t="n">
        <v>0</v>
      </c>
    </row>
    <row r="187">
      <c r="A187" s="21" t="inlineStr">
        <is>
          <t>13 Jun</t>
        </is>
      </c>
      <c r="B187" s="21" t="inlineStr">
        <is>
          <t>39482</t>
        </is>
      </c>
      <c r="C187" s="7" t="n">
        <v>0</v>
      </c>
      <c r="D187" s="49" t="n">
        <v>199.2</v>
      </c>
      <c r="E187" s="23" t="n">
        <v>4867</v>
      </c>
      <c r="F187" s="23" t="n">
        <v>4918</v>
      </c>
      <c r="G187" s="11">
        <f>IF(F187=0,0,E187/F187*100)</f>
        <v/>
      </c>
      <c r="H187" s="7" t="n">
        <v>0</v>
      </c>
      <c r="I187" s="7" t="n">
        <v>0</v>
      </c>
      <c r="J187" s="7" t="n">
        <v>0</v>
      </c>
      <c r="K187" s="7" t="n">
        <v>0</v>
      </c>
    </row>
    <row r="188">
      <c r="A188" s="21" t="inlineStr">
        <is>
          <t>13 Jun</t>
        </is>
      </c>
      <c r="B188" s="21" t="inlineStr">
        <is>
          <t>39178</t>
        </is>
      </c>
      <c r="C188" s="7" t="n">
        <v>0</v>
      </c>
      <c r="D188" s="49" t="n">
        <v>93.77</v>
      </c>
      <c r="E188" s="23" t="n">
        <v>4234</v>
      </c>
      <c r="F188" s="23" t="n">
        <v>4511</v>
      </c>
      <c r="G188" s="11">
        <f>IF(F188=0,0,E188/F188*100)</f>
        <v/>
      </c>
      <c r="H188" s="7" t="n">
        <v>0</v>
      </c>
      <c r="I188" s="7" t="n">
        <v>0</v>
      </c>
      <c r="J188" s="7" t="n">
        <v>0</v>
      </c>
      <c r="K188" s="7" t="n">
        <v>1</v>
      </c>
    </row>
    <row r="189">
      <c r="A189" s="21" t="inlineStr">
        <is>
          <t>13 Jun</t>
        </is>
      </c>
      <c r="B189" s="21" t="inlineStr">
        <is>
          <t>39177</t>
        </is>
      </c>
      <c r="C189" s="7" t="n">
        <v>0</v>
      </c>
      <c r="D189" s="49" t="n">
        <v>94.08</v>
      </c>
      <c r="E189" s="23" t="n">
        <v>3938</v>
      </c>
      <c r="F189" s="23" t="n">
        <v>4105</v>
      </c>
      <c r="G189" s="11">
        <f>IF(F189=0,0,E189/F189*100)</f>
        <v/>
      </c>
      <c r="H189" s="7" t="n">
        <v>0</v>
      </c>
      <c r="I189" s="7" t="n">
        <v>0</v>
      </c>
      <c r="J189" s="7" t="n">
        <v>0</v>
      </c>
      <c r="K189" s="7" t="n">
        <v>0</v>
      </c>
    </row>
    <row r="190">
      <c r="A190" s="21" t="inlineStr">
        <is>
          <t>13 Jun</t>
        </is>
      </c>
      <c r="B190" s="21" t="inlineStr">
        <is>
          <t>30112</t>
        </is>
      </c>
      <c r="C190" s="7" t="n">
        <v>0</v>
      </c>
      <c r="D190" s="49" t="n">
        <v>93.77</v>
      </c>
      <c r="E190" s="23" t="n">
        <v>4063</v>
      </c>
      <c r="F190" s="23" t="n">
        <v>4097</v>
      </c>
      <c r="G190" s="11">
        <f>IF(F190=0,0,E190/F190*100)</f>
        <v/>
      </c>
      <c r="H190" s="7" t="n">
        <v>0</v>
      </c>
      <c r="I190" s="7" t="n">
        <v>0</v>
      </c>
      <c r="J190" s="7" t="n">
        <v>0</v>
      </c>
      <c r="K190" s="7" t="n">
        <v>0</v>
      </c>
    </row>
    <row r="191">
      <c r="A191" s="21" t="inlineStr">
        <is>
          <t>13 Jun</t>
        </is>
      </c>
      <c r="B191" s="21" t="inlineStr">
        <is>
          <t>37360</t>
        </is>
      </c>
      <c r="C191" s="7" t="n">
        <v>0</v>
      </c>
      <c r="D191" s="49" t="n">
        <v>98.26000000000001</v>
      </c>
      <c r="E191" s="23" t="n">
        <v>3479</v>
      </c>
      <c r="F191" s="23" t="n">
        <v>3598</v>
      </c>
      <c r="G191" s="11">
        <f>IF(F191=0,0,E191/F191*100)</f>
        <v/>
      </c>
      <c r="H191" s="7" t="n">
        <v>1</v>
      </c>
      <c r="I191" s="7" t="n">
        <v>0</v>
      </c>
      <c r="J191" s="7" t="n">
        <v>1</v>
      </c>
      <c r="K191" s="7" t="n">
        <v>2</v>
      </c>
    </row>
    <row r="192">
      <c r="A192" s="21" t="inlineStr">
        <is>
          <t>13 Jun</t>
        </is>
      </c>
      <c r="B192" s="21" t="inlineStr">
        <is>
          <t>37168</t>
        </is>
      </c>
      <c r="C192" s="7" t="n">
        <v>0</v>
      </c>
      <c r="D192" s="49" t="n">
        <v>93.92</v>
      </c>
      <c r="E192" s="23" t="n">
        <v>3387</v>
      </c>
      <c r="F192" s="23" t="n">
        <v>3445</v>
      </c>
      <c r="G192" s="11">
        <f>IF(F192=0,0,E192/F192*100)</f>
        <v/>
      </c>
      <c r="H192" s="7" t="n">
        <v>0</v>
      </c>
      <c r="I192" s="7" t="n">
        <v>0</v>
      </c>
      <c r="J192" s="7" t="n">
        <v>0</v>
      </c>
      <c r="K192" s="7" t="n">
        <v>0</v>
      </c>
    </row>
    <row r="193">
      <c r="A193" s="21" t="inlineStr">
        <is>
          <t>13 Jun</t>
        </is>
      </c>
      <c r="B193" s="21" t="inlineStr">
        <is>
          <t>37403</t>
        </is>
      </c>
      <c r="C193" s="7" t="n">
        <v>0</v>
      </c>
      <c r="D193" s="49" t="n">
        <v>94.17</v>
      </c>
      <c r="E193" s="23" t="n">
        <v>3252</v>
      </c>
      <c r="F193" s="23" t="n">
        <v>3361</v>
      </c>
      <c r="G193" s="11">
        <f>IF(F193=0,0,E193/F193*100)</f>
        <v/>
      </c>
      <c r="H193" s="7" t="n">
        <v>0</v>
      </c>
      <c r="I193" s="7" t="n">
        <v>0</v>
      </c>
      <c r="J193" s="7" t="n">
        <v>0</v>
      </c>
      <c r="K193" s="7" t="n">
        <v>1</v>
      </c>
    </row>
    <row r="194">
      <c r="A194" s="21" t="inlineStr">
        <is>
          <t>13 Jun</t>
        </is>
      </c>
      <c r="B194" s="21" t="inlineStr">
        <is>
          <t>30676</t>
        </is>
      </c>
      <c r="C194" s="7" t="n">
        <v>0</v>
      </c>
      <c r="D194" s="49" t="n">
        <v>81.38</v>
      </c>
      <c r="E194" s="23" t="n">
        <v>2909</v>
      </c>
      <c r="F194" s="23" t="n">
        <v>3008</v>
      </c>
      <c r="G194" s="11">
        <f>IF(F194=0,0,E194/F194*100)</f>
        <v/>
      </c>
      <c r="H194" s="7" t="n">
        <v>0</v>
      </c>
      <c r="I194" s="7" t="n">
        <v>0</v>
      </c>
      <c r="J194" s="7" t="n">
        <v>0</v>
      </c>
      <c r="K194" s="7" t="n">
        <v>2</v>
      </c>
    </row>
    <row r="195">
      <c r="A195" s="21" t="inlineStr">
        <is>
          <t>13 Jun</t>
        </is>
      </c>
      <c r="B195" s="21" t="inlineStr">
        <is>
          <t>30371</t>
        </is>
      </c>
      <c r="C195" s="7" t="n">
        <v>0</v>
      </c>
      <c r="D195" s="49" t="n">
        <v>82.52</v>
      </c>
      <c r="E195" s="23" t="n">
        <v>2724</v>
      </c>
      <c r="F195" s="23" t="n">
        <v>2755</v>
      </c>
      <c r="G195" s="11">
        <f>IF(F195=0,0,E195/F195*100)</f>
        <v/>
      </c>
      <c r="H195" s="7" t="n">
        <v>0</v>
      </c>
      <c r="I195" s="7" t="n">
        <v>0</v>
      </c>
      <c r="J195" s="7" t="n">
        <v>0</v>
      </c>
      <c r="K195" s="7" t="n">
        <v>5</v>
      </c>
    </row>
    <row r="196">
      <c r="A196" s="21" t="inlineStr">
        <is>
          <t>13 Jun</t>
        </is>
      </c>
      <c r="B196" s="21" t="inlineStr">
        <is>
          <t>30203</t>
        </is>
      </c>
      <c r="C196" s="7" t="n">
        <v>0</v>
      </c>
      <c r="D196" s="49" t="n">
        <v>57.23</v>
      </c>
      <c r="E196" s="23" t="n">
        <v>2355</v>
      </c>
      <c r="F196" s="23" t="n">
        <v>2420</v>
      </c>
      <c r="G196" s="11">
        <f>IF(F196=0,0,E196/F196*100)</f>
        <v/>
      </c>
      <c r="H196" s="7" t="n">
        <v>1</v>
      </c>
      <c r="I196" s="7" t="n">
        <v>0</v>
      </c>
      <c r="J196" s="7" t="n">
        <v>1</v>
      </c>
      <c r="K196" s="7" t="n">
        <v>3</v>
      </c>
    </row>
    <row r="197">
      <c r="A197" s="21" t="inlineStr">
        <is>
          <t>13 Jun</t>
        </is>
      </c>
      <c r="B197" s="21" t="inlineStr">
        <is>
          <t>30328</t>
        </is>
      </c>
      <c r="C197" s="7" t="n">
        <v>0</v>
      </c>
      <c r="D197" s="49" t="n">
        <v>56.02</v>
      </c>
      <c r="E197" s="23" t="n">
        <v>1746</v>
      </c>
      <c r="F197" s="23" t="n">
        <v>1748</v>
      </c>
      <c r="G197" s="11">
        <f>IF(F197=0,0,E197/F197*100)</f>
        <v/>
      </c>
      <c r="H197" s="7" t="n">
        <v>0</v>
      </c>
      <c r="I197" s="7" t="n">
        <v>0</v>
      </c>
      <c r="J197" s="7" t="n">
        <v>0</v>
      </c>
      <c r="K197" s="7" t="n">
        <v>0</v>
      </c>
    </row>
    <row r="198">
      <c r="A198" s="21" t="inlineStr">
        <is>
          <t>13 Jun</t>
        </is>
      </c>
      <c r="B198" s="21" t="inlineStr">
        <is>
          <t>39195</t>
        </is>
      </c>
      <c r="C198" s="7" t="n">
        <v>0</v>
      </c>
      <c r="D198" s="49" t="n">
        <v>11.69</v>
      </c>
      <c r="E198" s="23" t="n">
        <v>1193</v>
      </c>
      <c r="F198" s="23" t="n">
        <v>1384</v>
      </c>
      <c r="G198" s="11">
        <f>IF(F198=0,0,E198/F198*100)</f>
        <v/>
      </c>
      <c r="H198" s="7" t="n">
        <v>3</v>
      </c>
      <c r="I198" s="7" t="n">
        <v>0</v>
      </c>
      <c r="J198" s="7" t="n">
        <v>3</v>
      </c>
      <c r="K198" s="7" t="n">
        <v>2</v>
      </c>
    </row>
    <row r="199">
      <c r="A199" s="21" t="inlineStr">
        <is>
          <t>13 Jun</t>
        </is>
      </c>
      <c r="B199" s="21" t="inlineStr">
        <is>
          <t>39113</t>
        </is>
      </c>
      <c r="C199" s="7" t="n">
        <v>0</v>
      </c>
      <c r="D199" s="49" t="n">
        <v>0.51</v>
      </c>
      <c r="E199" s="23" t="n">
        <v>474</v>
      </c>
      <c r="F199" s="23" t="n">
        <v>547</v>
      </c>
      <c r="G199" s="11">
        <f>IF(F199=0,0,E199/F199*100)</f>
        <v/>
      </c>
      <c r="H199" s="7" t="n">
        <v>2</v>
      </c>
      <c r="I199" s="7" t="n">
        <v>0</v>
      </c>
      <c r="J199" s="7" t="n">
        <v>2</v>
      </c>
      <c r="K199" s="7" t="n">
        <v>4</v>
      </c>
    </row>
    <row r="200">
      <c r="A200" s="21" t="inlineStr">
        <is>
          <t>13 Jun</t>
        </is>
      </c>
      <c r="B200" s="21" t="inlineStr">
        <is>
          <t>39616</t>
        </is>
      </c>
      <c r="C200" s="7" t="n">
        <v>0</v>
      </c>
      <c r="D200" s="49" t="n">
        <v>0.05</v>
      </c>
      <c r="E200" s="23" t="n">
        <v>246</v>
      </c>
      <c r="F200" s="23" t="n">
        <v>368</v>
      </c>
      <c r="G200" s="11">
        <f>IF(F200=0,0,E200/F200*100)</f>
        <v/>
      </c>
      <c r="H200" s="7" t="n">
        <v>0</v>
      </c>
      <c r="I200" s="7" t="n">
        <v>0</v>
      </c>
      <c r="J200" s="7" t="n">
        <v>0</v>
      </c>
      <c r="K200" s="7" t="n">
        <v>1</v>
      </c>
    </row>
    <row r="201">
      <c r="A201" s="21" t="inlineStr">
        <is>
          <t>13 Jun</t>
        </is>
      </c>
      <c r="B201" s="21" t="inlineStr">
        <is>
          <t>37586</t>
        </is>
      </c>
      <c r="C201" s="7" t="n">
        <v>0</v>
      </c>
      <c r="D201" s="49" t="n">
        <v>0.21</v>
      </c>
      <c r="E201" s="23" t="n">
        <v>125</v>
      </c>
      <c r="F201" s="23" t="n">
        <v>144</v>
      </c>
      <c r="G201" s="11">
        <f>IF(F201=0,0,E201/F201*100)</f>
        <v/>
      </c>
      <c r="H201" s="7" t="n">
        <v>0</v>
      </c>
      <c r="I201" s="7" t="n">
        <v>0</v>
      </c>
      <c r="J201" s="7" t="n">
        <v>0</v>
      </c>
      <c r="K201" s="7" t="n">
        <v>0</v>
      </c>
    </row>
    <row r="202">
      <c r="A202" s="24" t="inlineStr">
        <is>
          <t>13 Jun</t>
        </is>
      </c>
      <c r="B202" s="24" t="inlineStr">
        <is>
          <t>Day Total</t>
        </is>
      </c>
      <c r="C202" s="25">
        <f>SUM(C164:C201)</f>
        <v/>
      </c>
      <c r="D202" s="50">
        <f>SUM(D164:D201)</f>
        <v/>
      </c>
      <c r="E202" s="27">
        <f>SUM(E164:E201)</f>
        <v/>
      </c>
      <c r="F202" s="27">
        <f>SUMIF(E164:E201,"&gt;0",F164:F201)</f>
        <v/>
      </c>
      <c r="G202" s="28">
        <f>IF(F202=0,0,E202/F202*100)</f>
        <v/>
      </c>
      <c r="H202" s="25">
        <f>SUM(H164:H201)</f>
        <v/>
      </c>
      <c r="I202" s="25">
        <f>SUM(I164:I201)</f>
        <v/>
      </c>
      <c r="J202" s="25">
        <f>SUM(J164:J201)</f>
        <v/>
      </c>
      <c r="K202" s="25">
        <f>SUM(K164:K201)</f>
        <v/>
      </c>
    </row>
    <row r="203">
      <c r="A203" s="21" t="inlineStr">
        <is>
          <t>14 Jun</t>
        </is>
      </c>
      <c r="B203" s="21" t="inlineStr">
        <is>
          <t>35001</t>
        </is>
      </c>
      <c r="C203" s="7" t="n">
        <v>2</v>
      </c>
      <c r="D203" s="49" t="n">
        <v>244.01</v>
      </c>
      <c r="E203" s="23" t="n">
        <v>23456</v>
      </c>
      <c r="F203" s="23" t="n">
        <v>23784</v>
      </c>
      <c r="G203" s="11">
        <f>IF(F203=0,0,E203/F203*100)</f>
        <v/>
      </c>
      <c r="H203" s="7" t="n">
        <v>0</v>
      </c>
      <c r="I203" s="7" t="n">
        <v>0</v>
      </c>
      <c r="J203" s="7" t="n">
        <v>0</v>
      </c>
      <c r="K203" s="7" t="n">
        <v>11</v>
      </c>
    </row>
    <row r="204">
      <c r="A204" s="21" t="inlineStr">
        <is>
          <t>14 Jun</t>
        </is>
      </c>
      <c r="B204" s="21" t="inlineStr">
        <is>
          <t>37401</t>
        </is>
      </c>
      <c r="C204" s="7" t="n">
        <v>1</v>
      </c>
      <c r="D204" s="49" t="n">
        <v>244.01</v>
      </c>
      <c r="E204" s="23" t="n">
        <v>14508</v>
      </c>
      <c r="F204" s="23" t="n">
        <v>14956</v>
      </c>
      <c r="G204" s="11">
        <f>IF(F204=0,0,E204/F204*100)</f>
        <v/>
      </c>
      <c r="H204" s="7" t="n">
        <v>1</v>
      </c>
      <c r="I204" s="7" t="n">
        <v>1</v>
      </c>
      <c r="J204" s="7" t="n">
        <v>0</v>
      </c>
      <c r="K204" s="7" t="n">
        <v>15</v>
      </c>
    </row>
    <row r="205">
      <c r="A205" s="21" t="inlineStr">
        <is>
          <t>14 Jun</t>
        </is>
      </c>
      <c r="B205" s="21" t="inlineStr">
        <is>
          <t>37779</t>
        </is>
      </c>
      <c r="C205" s="7" t="n">
        <v>0</v>
      </c>
      <c r="D205" s="49" t="n">
        <v>198.7</v>
      </c>
      <c r="E205" s="23" t="n">
        <v>13169</v>
      </c>
      <c r="F205" s="23" t="n">
        <v>13497</v>
      </c>
      <c r="G205" s="11">
        <f>IF(F205=0,0,E205/F205*100)</f>
        <v/>
      </c>
      <c r="H205" s="7" t="n">
        <v>0</v>
      </c>
      <c r="I205" s="7" t="n">
        <v>0</v>
      </c>
      <c r="J205" s="7" t="n">
        <v>0</v>
      </c>
      <c r="K205" s="7" t="n">
        <v>11</v>
      </c>
    </row>
    <row r="206">
      <c r="A206" s="21" t="inlineStr">
        <is>
          <t>14 Jun</t>
        </is>
      </c>
      <c r="B206" s="21" t="inlineStr">
        <is>
          <t>39111</t>
        </is>
      </c>
      <c r="C206" s="7" t="n">
        <v>0</v>
      </c>
      <c r="D206" s="49" t="n">
        <v>199.73</v>
      </c>
      <c r="E206" s="23" t="n">
        <v>12907</v>
      </c>
      <c r="F206" s="23" t="n">
        <v>13169</v>
      </c>
      <c r="G206" s="11">
        <f>IF(F206=0,0,E206/F206*100)</f>
        <v/>
      </c>
      <c r="H206" s="7" t="n">
        <v>0</v>
      </c>
      <c r="I206" s="7" t="n">
        <v>0</v>
      </c>
      <c r="J206" s="7" t="n">
        <v>0</v>
      </c>
      <c r="K206" s="7" t="n">
        <v>3</v>
      </c>
    </row>
    <row r="207">
      <c r="A207" s="21" t="inlineStr">
        <is>
          <t>14 Jun</t>
        </is>
      </c>
      <c r="B207" s="21" t="inlineStr">
        <is>
          <t>37272</t>
        </is>
      </c>
      <c r="C207" s="7" t="n">
        <v>0</v>
      </c>
      <c r="D207" s="49" t="n">
        <v>199.75</v>
      </c>
      <c r="E207" s="23" t="n">
        <v>12875</v>
      </c>
      <c r="F207" s="23" t="n">
        <v>13039</v>
      </c>
      <c r="G207" s="11">
        <f>IF(F207=0,0,E207/F207*100)</f>
        <v/>
      </c>
      <c r="H207" s="7" t="n">
        <v>0</v>
      </c>
      <c r="I207" s="7" t="n">
        <v>0</v>
      </c>
      <c r="J207" s="7" t="n">
        <v>0</v>
      </c>
      <c r="K207" s="7" t="n">
        <v>11</v>
      </c>
    </row>
    <row r="208">
      <c r="A208" s="21" t="inlineStr">
        <is>
          <t>14 Jun</t>
        </is>
      </c>
      <c r="B208" s="21" t="inlineStr">
        <is>
          <t>37609</t>
        </is>
      </c>
      <c r="C208" s="7" t="n">
        <v>0</v>
      </c>
      <c r="D208" s="49" t="n">
        <v>232.23</v>
      </c>
      <c r="E208" s="23" t="n">
        <v>11186</v>
      </c>
      <c r="F208" s="23" t="n">
        <v>11343</v>
      </c>
      <c r="G208" s="11">
        <f>IF(F208=0,0,E208/F208*100)</f>
        <v/>
      </c>
      <c r="H208" s="7" t="n">
        <v>1</v>
      </c>
      <c r="I208" s="7" t="n">
        <v>0</v>
      </c>
      <c r="J208" s="7" t="n">
        <v>1</v>
      </c>
      <c r="K208" s="7" t="n">
        <v>5</v>
      </c>
    </row>
    <row r="209">
      <c r="A209" s="21" t="inlineStr">
        <is>
          <t>14 Jun</t>
        </is>
      </c>
      <c r="B209" s="21" t="inlineStr">
        <is>
          <t>37040</t>
        </is>
      </c>
      <c r="C209" s="7" t="n">
        <v>0</v>
      </c>
      <c r="D209" s="49" t="n">
        <v>199.05</v>
      </c>
      <c r="E209" s="23" t="n">
        <v>9539</v>
      </c>
      <c r="F209" s="23" t="n">
        <v>9572</v>
      </c>
      <c r="G209" s="11">
        <f>IF(F209=0,0,E209/F209*100)</f>
        <v/>
      </c>
      <c r="H209" s="7" t="n">
        <v>0</v>
      </c>
      <c r="I209" s="7" t="n">
        <v>0</v>
      </c>
      <c r="J209" s="7" t="n">
        <v>0</v>
      </c>
      <c r="K209" s="7" t="n">
        <v>0</v>
      </c>
    </row>
    <row r="210">
      <c r="A210" s="21" t="inlineStr">
        <is>
          <t>14 Jun</t>
        </is>
      </c>
      <c r="B210" s="21" t="inlineStr">
        <is>
          <t>30508</t>
        </is>
      </c>
      <c r="C210" s="7" t="n">
        <v>0</v>
      </c>
      <c r="D210" s="49" t="n">
        <v>199.05</v>
      </c>
      <c r="E210" s="23" t="n">
        <v>9391</v>
      </c>
      <c r="F210" s="23" t="n">
        <v>9443</v>
      </c>
      <c r="G210" s="11">
        <f>IF(F210=0,0,E210/F210*100)</f>
        <v/>
      </c>
      <c r="H210" s="7" t="n">
        <v>0</v>
      </c>
      <c r="I210" s="7" t="n">
        <v>0</v>
      </c>
      <c r="J210" s="7" t="n">
        <v>0</v>
      </c>
      <c r="K210" s="7" t="n">
        <v>2</v>
      </c>
    </row>
    <row r="211">
      <c r="A211" s="21" t="inlineStr">
        <is>
          <t>14 Jun</t>
        </is>
      </c>
      <c r="B211" s="21" t="inlineStr">
        <is>
          <t>37024</t>
        </is>
      </c>
      <c r="C211" s="7" t="n">
        <v>0</v>
      </c>
      <c r="D211" s="49" t="n">
        <v>94.26000000000001</v>
      </c>
      <c r="E211" s="23" t="n">
        <v>8537</v>
      </c>
      <c r="F211" s="23" t="n">
        <v>8661</v>
      </c>
      <c r="G211" s="11">
        <f>IF(F211=0,0,E211/F211*100)</f>
        <v/>
      </c>
      <c r="H211" s="7" t="n">
        <v>0</v>
      </c>
      <c r="I211" s="7" t="n">
        <v>0</v>
      </c>
      <c r="J211" s="7" t="n">
        <v>0</v>
      </c>
      <c r="K211" s="7" t="n">
        <v>0</v>
      </c>
    </row>
    <row r="212">
      <c r="A212" s="21" t="inlineStr">
        <is>
          <t>14 Jun</t>
        </is>
      </c>
      <c r="B212" s="21" t="inlineStr">
        <is>
          <t>37268</t>
        </is>
      </c>
      <c r="C212" s="7" t="n">
        <v>0</v>
      </c>
      <c r="D212" s="49" t="n">
        <v>94.28</v>
      </c>
      <c r="E212" s="23" t="n">
        <v>7802</v>
      </c>
      <c r="F212" s="23" t="n">
        <v>7995</v>
      </c>
      <c r="G212" s="11">
        <f>IF(F212=0,0,E212/F212*100)</f>
        <v/>
      </c>
      <c r="H212" s="7" t="n">
        <v>0</v>
      </c>
      <c r="I212" s="7" t="n">
        <v>0</v>
      </c>
      <c r="J212" s="7" t="n">
        <v>0</v>
      </c>
      <c r="K212" s="7" t="n">
        <v>0</v>
      </c>
    </row>
    <row r="213">
      <c r="A213" s="21" t="inlineStr">
        <is>
          <t>14 Jun</t>
        </is>
      </c>
      <c r="B213" s="21" t="inlineStr">
        <is>
          <t>39263</t>
        </is>
      </c>
      <c r="C213" s="7" t="n">
        <v>0</v>
      </c>
      <c r="D213" s="49" t="n">
        <v>232.24</v>
      </c>
      <c r="E213" s="23" t="n">
        <v>7732</v>
      </c>
      <c r="F213" s="23" t="n">
        <v>7849</v>
      </c>
      <c r="G213" s="11">
        <f>IF(F213=0,0,E213/F213*100)</f>
        <v/>
      </c>
      <c r="H213" s="7" t="n">
        <v>0</v>
      </c>
      <c r="I213" s="7" t="n">
        <v>0</v>
      </c>
      <c r="J213" s="7" t="n">
        <v>0</v>
      </c>
      <c r="K213" s="7" t="n">
        <v>3</v>
      </c>
    </row>
    <row r="214">
      <c r="A214" s="21" t="inlineStr">
        <is>
          <t>14 Jun</t>
        </is>
      </c>
      <c r="B214" s="21" t="inlineStr">
        <is>
          <t>39178</t>
        </is>
      </c>
      <c r="C214" s="7" t="n">
        <v>0</v>
      </c>
      <c r="D214" s="49" t="n">
        <v>198.74</v>
      </c>
      <c r="E214" s="23" t="n">
        <v>7617</v>
      </c>
      <c r="F214" s="23" t="n">
        <v>7665</v>
      </c>
      <c r="G214" s="11">
        <f>IF(F214=0,0,E214/F214*100)</f>
        <v/>
      </c>
      <c r="H214" s="7" t="n">
        <v>0</v>
      </c>
      <c r="I214" s="7" t="n">
        <v>0</v>
      </c>
      <c r="J214" s="7" t="n">
        <v>0</v>
      </c>
      <c r="K214" s="7" t="n">
        <v>0</v>
      </c>
    </row>
    <row r="215">
      <c r="A215" s="21" t="inlineStr">
        <is>
          <t>14 Jun</t>
        </is>
      </c>
      <c r="B215" s="21" t="inlineStr">
        <is>
          <t>37586</t>
        </is>
      </c>
      <c r="C215" s="7" t="n">
        <v>0</v>
      </c>
      <c r="D215" s="49" t="n">
        <v>199.22</v>
      </c>
      <c r="E215" s="23" t="n">
        <v>6979</v>
      </c>
      <c r="F215" s="23" t="n">
        <v>7600</v>
      </c>
      <c r="G215" s="11">
        <f>IF(F215=0,0,E215/F215*100)</f>
        <v/>
      </c>
      <c r="H215" s="7" t="n">
        <v>0</v>
      </c>
      <c r="I215" s="7" t="n">
        <v>0</v>
      </c>
      <c r="J215" s="7" t="n">
        <v>0</v>
      </c>
      <c r="K215" s="7" t="n">
        <v>13</v>
      </c>
    </row>
    <row r="216">
      <c r="A216" s="21" t="inlineStr">
        <is>
          <t>14 Jun</t>
        </is>
      </c>
      <c r="B216" s="21" t="inlineStr">
        <is>
          <t>30503</t>
        </is>
      </c>
      <c r="C216" s="7" t="n">
        <v>0</v>
      </c>
      <c r="D216" s="49" t="n">
        <v>199.74</v>
      </c>
      <c r="E216" s="23" t="n">
        <v>7335</v>
      </c>
      <c r="F216" s="23" t="n">
        <v>7389</v>
      </c>
      <c r="G216" s="11">
        <f>IF(F216=0,0,E216/F216*100)</f>
        <v/>
      </c>
      <c r="H216" s="7" t="n">
        <v>0</v>
      </c>
      <c r="I216" s="7" t="n">
        <v>0</v>
      </c>
      <c r="J216" s="7" t="n">
        <v>0</v>
      </c>
      <c r="K216" s="7" t="n">
        <v>0</v>
      </c>
    </row>
    <row r="217">
      <c r="A217" s="21" t="inlineStr">
        <is>
          <t>14 Jun</t>
        </is>
      </c>
      <c r="B217" s="21" t="inlineStr">
        <is>
          <t>39411</t>
        </is>
      </c>
      <c r="C217" s="7" t="n">
        <v>0</v>
      </c>
      <c r="D217" s="49" t="n">
        <v>199.74</v>
      </c>
      <c r="E217" s="23" t="n">
        <v>7166</v>
      </c>
      <c r="F217" s="23" t="n">
        <v>7257</v>
      </c>
      <c r="G217" s="11">
        <f>IF(F217=0,0,E217/F217*100)</f>
        <v/>
      </c>
      <c r="H217" s="7" t="n">
        <v>0</v>
      </c>
      <c r="I217" s="7" t="n">
        <v>0</v>
      </c>
      <c r="J217" s="7" t="n">
        <v>0</v>
      </c>
      <c r="K217" s="7" t="n">
        <v>0</v>
      </c>
    </row>
    <row r="218">
      <c r="A218" s="21" t="inlineStr">
        <is>
          <t>14 Jun</t>
        </is>
      </c>
      <c r="B218" s="21" t="inlineStr">
        <is>
          <t>30328</t>
        </is>
      </c>
      <c r="C218" s="7" t="n">
        <v>0</v>
      </c>
      <c r="D218" s="49" t="n">
        <v>176.29</v>
      </c>
      <c r="E218" s="23" t="n">
        <v>6151</v>
      </c>
      <c r="F218" s="23" t="n">
        <v>6644</v>
      </c>
      <c r="G218" s="11">
        <f>IF(F218=0,0,E218/F218*100)</f>
        <v/>
      </c>
      <c r="H218" s="7" t="n">
        <v>0</v>
      </c>
      <c r="I218" s="7" t="n">
        <v>0</v>
      </c>
      <c r="J218" s="7" t="n">
        <v>0</v>
      </c>
      <c r="K218" s="7" t="n">
        <v>11</v>
      </c>
    </row>
    <row r="219">
      <c r="A219" s="21" t="inlineStr">
        <is>
          <t>14 Jun</t>
        </is>
      </c>
      <c r="B219" s="21" t="inlineStr">
        <is>
          <t>30329</t>
        </is>
      </c>
      <c r="C219" s="7" t="n">
        <v>0</v>
      </c>
      <c r="D219" s="49" t="n">
        <v>82.52</v>
      </c>
      <c r="E219" s="23" t="n">
        <v>5534</v>
      </c>
      <c r="F219" s="23" t="n">
        <v>5726</v>
      </c>
      <c r="G219" s="11">
        <f>IF(F219=0,0,E219/F219*100)</f>
        <v/>
      </c>
      <c r="H219" s="7" t="n">
        <v>0</v>
      </c>
      <c r="I219" s="7" t="n">
        <v>0</v>
      </c>
      <c r="J219" s="7" t="n">
        <v>0</v>
      </c>
      <c r="K219" s="7" t="n">
        <v>11</v>
      </c>
    </row>
    <row r="220">
      <c r="A220" s="21" t="inlineStr">
        <is>
          <t>14 Jun</t>
        </is>
      </c>
      <c r="B220" s="21" t="inlineStr">
        <is>
          <t>37907</t>
        </is>
      </c>
      <c r="C220" s="7" t="n">
        <v>0</v>
      </c>
      <c r="D220" s="49" t="n">
        <v>93.77</v>
      </c>
      <c r="E220" s="23" t="n">
        <v>4551</v>
      </c>
      <c r="F220" s="23" t="n">
        <v>4629</v>
      </c>
      <c r="G220" s="11">
        <f>IF(F220=0,0,E220/F220*100)</f>
        <v/>
      </c>
      <c r="H220" s="7" t="n">
        <v>0</v>
      </c>
      <c r="I220" s="7" t="n">
        <v>0</v>
      </c>
      <c r="J220" s="7" t="n">
        <v>0</v>
      </c>
      <c r="K220" s="7" t="n">
        <v>3</v>
      </c>
    </row>
    <row r="221">
      <c r="A221" s="21" t="inlineStr">
        <is>
          <t>14 Jun</t>
        </is>
      </c>
      <c r="B221" s="21" t="inlineStr">
        <is>
          <t>37719</t>
        </is>
      </c>
      <c r="C221" s="7" t="n">
        <v>0</v>
      </c>
      <c r="D221" s="49" t="n">
        <v>94.13</v>
      </c>
      <c r="E221" s="23" t="n">
        <v>3676</v>
      </c>
      <c r="F221" s="23" t="n">
        <v>3703</v>
      </c>
      <c r="G221" s="11">
        <f>IF(F221=0,0,E221/F221*100)</f>
        <v/>
      </c>
      <c r="H221" s="7" t="n">
        <v>0</v>
      </c>
      <c r="I221" s="7" t="n">
        <v>0</v>
      </c>
      <c r="J221" s="7" t="n">
        <v>0</v>
      </c>
      <c r="K221" s="7" t="n">
        <v>0</v>
      </c>
    </row>
    <row r="222">
      <c r="A222" s="21" t="inlineStr">
        <is>
          <t>14 Jun</t>
        </is>
      </c>
      <c r="B222" s="21" t="inlineStr">
        <is>
          <t>37244</t>
        </is>
      </c>
      <c r="C222" s="7" t="n">
        <v>0</v>
      </c>
      <c r="D222" s="49" t="n">
        <v>91.42</v>
      </c>
      <c r="E222" s="23" t="n">
        <v>2343</v>
      </c>
      <c r="F222" s="23" t="n">
        <v>2694</v>
      </c>
      <c r="G222" s="11">
        <f>IF(F222=0,0,E222/F222*100)</f>
        <v/>
      </c>
      <c r="H222" s="7" t="n">
        <v>3</v>
      </c>
      <c r="I222" s="7" t="n">
        <v>0</v>
      </c>
      <c r="J222" s="7" t="n">
        <v>3</v>
      </c>
      <c r="K222" s="7" t="n">
        <v>4</v>
      </c>
    </row>
    <row r="223">
      <c r="A223" s="21" t="inlineStr">
        <is>
          <t>14 Jun</t>
        </is>
      </c>
      <c r="B223" s="21" t="inlineStr">
        <is>
          <t>37610</t>
        </is>
      </c>
      <c r="C223" s="7" t="n">
        <v>0</v>
      </c>
      <c r="D223" s="49" t="n">
        <v>39.89</v>
      </c>
      <c r="E223" s="23" t="n">
        <v>2209</v>
      </c>
      <c r="F223" s="23" t="n">
        <v>2225</v>
      </c>
      <c r="G223" s="11">
        <f>IF(F223=0,0,E223/F223*100)</f>
        <v/>
      </c>
      <c r="H223" s="7" t="n">
        <v>0</v>
      </c>
      <c r="I223" s="7" t="n">
        <v>0</v>
      </c>
      <c r="J223" s="7" t="n">
        <v>0</v>
      </c>
      <c r="K223" s="7" t="n">
        <v>0</v>
      </c>
    </row>
    <row r="224">
      <c r="A224" s="21" t="inlineStr">
        <is>
          <t>14 Jun</t>
        </is>
      </c>
      <c r="B224" s="21" t="inlineStr">
        <is>
          <t>30692</t>
        </is>
      </c>
      <c r="C224" s="7" t="n">
        <v>0</v>
      </c>
      <c r="D224" s="49" t="n">
        <v>69.95999999999999</v>
      </c>
      <c r="E224" s="23" t="n">
        <v>1785</v>
      </c>
      <c r="F224" s="23" t="n">
        <v>2087</v>
      </c>
      <c r="G224" s="11">
        <f>IF(F224=0,0,E224/F224*100)</f>
        <v/>
      </c>
      <c r="H224" s="7" t="n">
        <v>3</v>
      </c>
      <c r="I224" s="7" t="n">
        <v>0</v>
      </c>
      <c r="J224" s="7" t="n">
        <v>3</v>
      </c>
      <c r="K224" s="7" t="n">
        <v>2</v>
      </c>
    </row>
    <row r="225">
      <c r="A225" s="21" t="inlineStr">
        <is>
          <t>14 Jun</t>
        </is>
      </c>
      <c r="B225" s="21" t="inlineStr">
        <is>
          <t>39135</t>
        </is>
      </c>
      <c r="C225" s="7" t="n">
        <v>0</v>
      </c>
      <c r="D225" s="49" t="n">
        <v>29.31</v>
      </c>
      <c r="E225" s="23" t="n">
        <v>1515</v>
      </c>
      <c r="F225" s="23" t="n">
        <v>1978</v>
      </c>
      <c r="G225" s="11">
        <f>IF(F225=0,0,E225/F225*100)</f>
        <v/>
      </c>
      <c r="H225" s="7" t="n">
        <v>0</v>
      </c>
      <c r="I225" s="7" t="n">
        <v>0</v>
      </c>
      <c r="J225" s="7" t="n">
        <v>0</v>
      </c>
      <c r="K225" s="7" t="n">
        <v>0</v>
      </c>
    </row>
    <row r="226">
      <c r="A226" s="21" t="inlineStr">
        <is>
          <t>14 Jun</t>
        </is>
      </c>
      <c r="B226" s="21" t="inlineStr">
        <is>
          <t>37456</t>
        </is>
      </c>
      <c r="C226" s="7" t="n">
        <v>0</v>
      </c>
      <c r="D226" s="49" t="n">
        <v>11.41</v>
      </c>
      <c r="E226" s="23" t="n">
        <v>959</v>
      </c>
      <c r="F226" s="23" t="n">
        <v>1028</v>
      </c>
      <c r="G226" s="11">
        <f>IF(F226=0,0,E226/F226*100)</f>
        <v/>
      </c>
      <c r="H226" s="7" t="n">
        <v>0</v>
      </c>
      <c r="I226" s="7" t="n">
        <v>0</v>
      </c>
      <c r="J226" s="7" t="n">
        <v>0</v>
      </c>
      <c r="K226" s="7" t="n">
        <v>0</v>
      </c>
    </row>
    <row r="227">
      <c r="A227" s="21" t="inlineStr">
        <is>
          <t>14 Jun</t>
        </is>
      </c>
      <c r="B227" s="21" t="inlineStr">
        <is>
          <t>30468</t>
        </is>
      </c>
      <c r="C227" s="7" t="n">
        <v>0</v>
      </c>
      <c r="D227" s="49" t="n">
        <v>56.38</v>
      </c>
      <c r="E227" s="23" t="n">
        <v>841</v>
      </c>
      <c r="F227" s="23" t="n">
        <v>850</v>
      </c>
      <c r="G227" s="11">
        <f>IF(F227=0,0,E227/F227*100)</f>
        <v/>
      </c>
      <c r="H227" s="7" t="n">
        <v>0</v>
      </c>
      <c r="I227" s="7" t="n">
        <v>0</v>
      </c>
      <c r="J227" s="7" t="n">
        <v>0</v>
      </c>
      <c r="K227" s="7" t="n">
        <v>3</v>
      </c>
    </row>
    <row r="228">
      <c r="A228" s="21" t="inlineStr">
        <is>
          <t>14 Jun</t>
        </is>
      </c>
      <c r="B228" s="21" t="inlineStr">
        <is>
          <t>37527</t>
        </is>
      </c>
      <c r="C228" s="7" t="n">
        <v>0</v>
      </c>
      <c r="D228" s="49" t="n">
        <v>198.71</v>
      </c>
      <c r="E228" s="23" t="n">
        <v>59</v>
      </c>
      <c r="F228" s="23" t="n">
        <v>253</v>
      </c>
      <c r="G228" s="11">
        <f>IF(F228=0,0,E228/F228*100)</f>
        <v/>
      </c>
      <c r="H228" s="7" t="n">
        <v>0</v>
      </c>
      <c r="I228" s="7" t="n">
        <v>0</v>
      </c>
      <c r="J228" s="7" t="n">
        <v>0</v>
      </c>
      <c r="K228" s="7" t="n">
        <v>0</v>
      </c>
    </row>
    <row r="229">
      <c r="A229" s="21" t="inlineStr">
        <is>
          <t>14 Jun</t>
        </is>
      </c>
      <c r="B229" s="21" t="inlineStr">
        <is>
          <t>30552</t>
        </is>
      </c>
      <c r="C229" s="7" t="n">
        <v>0</v>
      </c>
      <c r="D229" s="49" t="n">
        <v>0.51</v>
      </c>
      <c r="E229" s="23" t="n">
        <v>0</v>
      </c>
      <c r="F229" s="23" t="n">
        <v>37</v>
      </c>
      <c r="G229" s="11">
        <f>IF(F229=0,0,E229/F229*100)</f>
        <v/>
      </c>
      <c r="H229" s="7" t="n">
        <v>0</v>
      </c>
      <c r="I229" s="7" t="n">
        <v>0</v>
      </c>
      <c r="J229" s="7" t="n">
        <v>0</v>
      </c>
      <c r="K229" s="7" t="n">
        <v>0</v>
      </c>
    </row>
    <row r="230">
      <c r="A230" s="24" t="inlineStr">
        <is>
          <t>14 Jun</t>
        </is>
      </c>
      <c r="B230" s="24" t="inlineStr">
        <is>
          <t>Day Total</t>
        </is>
      </c>
      <c r="C230" s="25">
        <f>SUM(C203:C229)</f>
        <v/>
      </c>
      <c r="D230" s="50">
        <f>SUM(D203:D229)</f>
        <v/>
      </c>
      <c r="E230" s="27">
        <f>SUM(E203:E229)</f>
        <v/>
      </c>
      <c r="F230" s="27">
        <f>SUMIF(E203:E229,"&gt;0",F203:F229)</f>
        <v/>
      </c>
      <c r="G230" s="28">
        <f>IF(F230=0,0,E230/F230*100)</f>
        <v/>
      </c>
      <c r="H230" s="25">
        <f>SUM(H203:H229)</f>
        <v/>
      </c>
      <c r="I230" s="25">
        <f>SUM(I203:I229)</f>
        <v/>
      </c>
      <c r="J230" s="25">
        <f>SUM(J203:J229)</f>
        <v/>
      </c>
      <c r="K230" s="25">
        <f>SUM(K203:K229)</f>
        <v/>
      </c>
    </row>
    <row r="231">
      <c r="A231" s="29" t="inlineStr">
        <is>
          <t>GRAND TOTAL</t>
        </is>
      </c>
      <c r="B231" s="29" t="n"/>
      <c r="C231" s="30">
        <f>C34+C65+C100+C127+C163+C202+C230</f>
        <v/>
      </c>
      <c r="D231" s="51">
        <f>D34+D65+D100+D127+D163+D202+D230</f>
        <v/>
      </c>
      <c r="E231" s="32">
        <f>E34+E65+E100+E127+E163+E202+E230</f>
        <v/>
      </c>
      <c r="F231" s="32">
        <f>F34+F65+F100+F127+F163+F202+F230</f>
        <v/>
      </c>
      <c r="G231" s="33">
        <f>IF(F231=0,0,E231/F231*100)</f>
        <v/>
      </c>
      <c r="H231" s="30">
        <f>H34+H65+H100+H127+H163+H202+H230</f>
        <v/>
      </c>
      <c r="I231" s="30">
        <f>I34+I65+I100+I127+I163+I202+I230</f>
        <v/>
      </c>
      <c r="J231" s="30">
        <f>J34+J65+J100+J127+J163+J202+J230</f>
        <v/>
      </c>
      <c r="K231" s="30">
        <f>K34+K65+K100+K127+K163+K202+K230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ySplit="5" topLeftCell="A6" activePane="bottomLeft" state="frozen"/>
      <selection activeCell="A1" sqref="A1"/>
      <selection pane="bottomLeft" activeCell="A1" sqref="A1:P1"/>
    </sheetView>
  </sheetViews>
  <sheetFormatPr baseColWidth="8" defaultColWidth="9" defaultRowHeight="14.5"/>
  <cols>
    <col width="13" customWidth="1" min="1" max="12"/>
    <col width="56" customWidth="1" min="13" max="13"/>
    <col width="26" customWidth="1" min="14" max="14"/>
    <col width="13" customWidth="1" min="15" max="15"/>
    <col width="46" customWidth="1" min="16" max="16"/>
  </cols>
  <sheetData>
    <row r="1" ht="16.5" customHeight="1">
      <c r="A1" s="4" t="inlineStr">
        <is>
          <t>EB Detail — every Emergency-Brake event, with speed / MA / Emergency diagnostics + undesirable classification</t>
        </is>
      </c>
    </row>
    <row r="3">
      <c r="A3" s="15" t="inlineStr">
        <is>
          <t>Total EB = 98   ·   Valid trips = 8   ·   Non-valid trips = 90   ·   Undesirable = 45</t>
        </is>
      </c>
    </row>
    <row r="5" ht="34" customHeight="1">
      <c r="A5" s="6" t="inlineStr">
        <is>
          <t>Date</t>
        </is>
      </c>
      <c r="B5" s="6" t="inlineStr">
        <is>
          <t>Loco ID</t>
        </is>
      </c>
      <c r="C5" s="6" t="inlineStr">
        <is>
          <t>Trip Type</t>
        </is>
      </c>
      <c r="D5" s="6" t="inlineStr">
        <is>
          <t>Onset</t>
        </is>
      </c>
      <c r="E5" s="6" t="inlineStr">
        <is>
          <t>End</t>
        </is>
      </c>
      <c r="F5" s="6" t="inlineStr">
        <is>
          <t>Duration (s)</t>
        </is>
      </c>
      <c r="G5" s="6" t="inlineStr">
        <is>
          <t>EB Packets</t>
        </is>
      </c>
      <c r="H5" s="6" t="inlineStr">
        <is>
          <t>Max Speed</t>
        </is>
      </c>
      <c r="I5" s="6" t="inlineStr">
        <is>
          <t>Mode @onset</t>
        </is>
      </c>
      <c r="J5" s="6" t="inlineStr">
        <is>
          <t>Location (km)</t>
        </is>
      </c>
      <c r="K5" s="6" t="inlineStr">
        <is>
          <t>Dir</t>
        </is>
      </c>
      <c r="L5" s="6" t="inlineStr">
        <is>
          <t>Station</t>
        </is>
      </c>
      <c r="M5" s="6" t="inlineStr">
        <is>
          <t>Speed at EB (PG check)</t>
        </is>
      </c>
      <c r="N5" s="6" t="inlineStr">
        <is>
          <t>MA wrt Sig</t>
        </is>
      </c>
      <c r="O5" s="6" t="inlineStr">
        <is>
          <t>Emergency (LReg)</t>
        </is>
      </c>
      <c r="P5" s="6" t="inlineStr">
        <is>
          <t>Suspected Reason (undesirable)</t>
        </is>
      </c>
    </row>
    <row r="6" ht="25" customHeight="1">
      <c r="A6" s="9" t="inlineStr">
        <is>
          <t>8 Jun</t>
        </is>
      </c>
      <c r="B6" s="9" t="inlineStr">
        <is>
          <t>37034</t>
        </is>
      </c>
      <c r="C6" s="9" t="inlineStr">
        <is>
          <t>Non-Valid</t>
        </is>
      </c>
      <c r="D6" s="9" t="inlineStr">
        <is>
          <t>00:38:48</t>
        </is>
      </c>
      <c r="E6" s="9" t="inlineStr">
        <is>
          <t>00:38:48</t>
        </is>
      </c>
      <c r="F6" s="9" t="n">
        <v>0</v>
      </c>
      <c r="G6" s="9" t="n">
        <v>1</v>
      </c>
      <c r="H6" s="9" t="n">
        <v>8</v>
      </c>
      <c r="I6" s="9" t="inlineStr">
        <is>
          <t>TRIP</t>
        </is>
      </c>
      <c r="J6" s="16" t="n">
        <v>92.12</v>
      </c>
      <c r="K6" s="9" t="inlineStr">
        <is>
          <t>N</t>
        </is>
      </c>
      <c r="L6" s="9" t="inlineStr">
        <is>
          <t>Barddhaman Jn</t>
        </is>
      </c>
      <c r="M6" s="17" t="inlineStr">
        <is>
          <t>8 km/h</t>
        </is>
      </c>
      <c r="N6" s="17" t="inlineStr">
        <is>
          <t>65535</t>
        </is>
      </c>
      <c r="O6" s="9" t="inlineStr">
        <is>
          <t>-</t>
        </is>
      </c>
      <c r="P6" s="18" t="inlineStr">
        <is>
          <t>Trip mode</t>
        </is>
      </c>
    </row>
    <row r="7">
      <c r="A7" s="9" t="inlineStr">
        <is>
          <t>8 Jun</t>
        </is>
      </c>
      <c r="B7" s="9" t="inlineStr">
        <is>
          <t>37034</t>
        </is>
      </c>
      <c r="C7" s="9" t="inlineStr">
        <is>
          <t>Non-Valid</t>
        </is>
      </c>
      <c r="D7" s="9" t="inlineStr">
        <is>
          <t>02:22:06</t>
        </is>
      </c>
      <c r="E7" s="9" t="inlineStr">
        <is>
          <t>02:22:06</t>
        </is>
      </c>
      <c r="F7" s="9" t="n">
        <v>0</v>
      </c>
      <c r="G7" s="9" t="n">
        <v>1</v>
      </c>
      <c r="H7" s="9" t="n">
        <v>98</v>
      </c>
      <c r="I7" s="9" t="inlineStr">
        <is>
          <t>FS</t>
        </is>
      </c>
      <c r="J7" s="16" t="n">
        <v>217.09</v>
      </c>
      <c r="K7" s="9" t="inlineStr">
        <is>
          <t>N</t>
        </is>
      </c>
      <c r="L7" s="9" t="inlineStr">
        <is>
          <t>Barakar</t>
        </is>
      </c>
      <c r="M7" s="17" t="inlineStr">
        <is>
          <t>98 km/h</t>
        </is>
      </c>
      <c r="N7" s="17" t="inlineStr">
        <is>
          <t>n/a</t>
        </is>
      </c>
      <c r="O7" s="9" t="inlineStr">
        <is>
          <t>-</t>
        </is>
      </c>
      <c r="P7" s="17" t="inlineStr">
        <is>
          <t>-</t>
        </is>
      </c>
    </row>
    <row r="8">
      <c r="A8" s="9" t="inlineStr">
        <is>
          <t>8 Jun</t>
        </is>
      </c>
      <c r="B8" s="9" t="inlineStr">
        <is>
          <t>30305</t>
        </is>
      </c>
      <c r="C8" s="9" t="inlineStr">
        <is>
          <t>Non-Valid</t>
        </is>
      </c>
      <c r="D8" s="9" t="inlineStr">
        <is>
          <t>03:34:28</t>
        </is>
      </c>
      <c r="E8" s="9" t="inlineStr">
        <is>
          <t>03:34:32</t>
        </is>
      </c>
      <c r="F8" s="9" t="n">
        <v>4</v>
      </c>
      <c r="G8" s="9" t="n">
        <v>3</v>
      </c>
      <c r="H8" s="9" t="n">
        <v>3</v>
      </c>
      <c r="I8" s="9" t="inlineStr">
        <is>
          <t>FS</t>
        </is>
      </c>
      <c r="J8" s="16" t="n">
        <v>39.78</v>
      </c>
      <c r="K8" s="9" t="inlineStr">
        <is>
          <t>R</t>
        </is>
      </c>
      <c r="L8" s="9" t="inlineStr">
        <is>
          <t>Chandanpur</t>
        </is>
      </c>
      <c r="M8" s="17" t="inlineStr">
        <is>
          <t>3 km/h</t>
        </is>
      </c>
      <c r="N8" s="17" t="inlineStr">
        <is>
          <t>200</t>
        </is>
      </c>
      <c r="O8" s="9" t="inlineStr">
        <is>
          <t>-</t>
        </is>
      </c>
      <c r="P8" s="17" t="inlineStr">
        <is>
          <t>-</t>
        </is>
      </c>
    </row>
    <row r="9">
      <c r="A9" s="9" t="inlineStr">
        <is>
          <t>8 Jun</t>
        </is>
      </c>
      <c r="B9" s="9" t="inlineStr">
        <is>
          <t>30305</t>
        </is>
      </c>
      <c r="C9" s="9" t="inlineStr">
        <is>
          <t>Non-Valid</t>
        </is>
      </c>
      <c r="D9" s="9" t="inlineStr">
        <is>
          <t>03:35:22</t>
        </is>
      </c>
      <c r="E9" s="9" t="inlineStr">
        <is>
          <t>03:35:22</t>
        </is>
      </c>
      <c r="F9" s="9" t="n">
        <v>0</v>
      </c>
      <c r="G9" s="9" t="n">
        <v>1</v>
      </c>
      <c r="H9" s="9" t="n">
        <v>1</v>
      </c>
      <c r="I9" s="9" t="inlineStr">
        <is>
          <t>TRIP</t>
        </is>
      </c>
      <c r="J9" s="16" t="n">
        <v>39.78</v>
      </c>
      <c r="K9" s="9" t="inlineStr">
        <is>
          <t>R</t>
        </is>
      </c>
      <c r="L9" s="9" t="inlineStr">
        <is>
          <t>Chandanpur</t>
        </is>
      </c>
      <c r="M9" s="17" t="inlineStr">
        <is>
          <t>1 km/h</t>
        </is>
      </c>
      <c r="N9" s="17" t="inlineStr">
        <is>
          <t>5186</t>
        </is>
      </c>
      <c r="O9" s="9" t="inlineStr">
        <is>
          <t>-</t>
        </is>
      </c>
      <c r="P9" s="18" t="inlineStr">
        <is>
          <t>EB at 0-1 km/h; Trip mode</t>
        </is>
      </c>
    </row>
    <row r="10">
      <c r="A10" s="9" t="inlineStr">
        <is>
          <t>8 Jun</t>
        </is>
      </c>
      <c r="B10" s="9" t="inlineStr">
        <is>
          <t>37879</t>
        </is>
      </c>
      <c r="C10" s="9" t="inlineStr">
        <is>
          <t>Non-Valid</t>
        </is>
      </c>
      <c r="D10" s="9" t="inlineStr">
        <is>
          <t>03:49:08</t>
        </is>
      </c>
      <c r="E10" s="9" t="inlineStr">
        <is>
          <t>03:49:12</t>
        </is>
      </c>
      <c r="F10" s="9" t="n">
        <v>4</v>
      </c>
      <c r="G10" s="9" t="n">
        <v>3</v>
      </c>
      <c r="H10" s="9" t="n">
        <v>7</v>
      </c>
      <c r="I10" s="9" t="inlineStr">
        <is>
          <t>FS</t>
        </is>
      </c>
      <c r="J10" s="16" t="n">
        <v>39.79</v>
      </c>
      <c r="K10" s="9" t="inlineStr">
        <is>
          <t>R</t>
        </is>
      </c>
      <c r="L10" s="9" t="inlineStr">
        <is>
          <t>Chandanpur</t>
        </is>
      </c>
      <c r="M10" s="17" t="inlineStr">
        <is>
          <t>7 km/h</t>
        </is>
      </c>
      <c r="N10" s="17" t="inlineStr">
        <is>
          <t>4940</t>
        </is>
      </c>
      <c r="O10" s="9" t="inlineStr">
        <is>
          <t>-</t>
        </is>
      </c>
      <c r="P10" s="17" t="inlineStr">
        <is>
          <t>-</t>
        </is>
      </c>
    </row>
    <row r="11" ht="34" customHeight="1">
      <c r="A11" s="7" t="inlineStr">
        <is>
          <t>8 Jun</t>
        </is>
      </c>
      <c r="B11" s="7" t="inlineStr">
        <is>
          <t>30112</t>
        </is>
      </c>
      <c r="C11" s="7" t="inlineStr">
        <is>
          <t>Valid</t>
        </is>
      </c>
      <c r="D11" s="7" t="inlineStr">
        <is>
          <t>10:28:52</t>
        </is>
      </c>
      <c r="E11" s="7" t="inlineStr">
        <is>
          <t>10:28:52</t>
        </is>
      </c>
      <c r="F11" s="7" t="n">
        <v>0</v>
      </c>
      <c r="G11" s="7" t="n">
        <v>1</v>
      </c>
      <c r="H11" s="7" t="n">
        <v>2</v>
      </c>
      <c r="I11" s="7" t="inlineStr">
        <is>
          <t>OS</t>
        </is>
      </c>
      <c r="J11" s="19" t="n">
        <v>2.46</v>
      </c>
      <c r="K11" s="7" t="inlineStr">
        <is>
          <t>R</t>
        </is>
      </c>
      <c r="L11" s="7" t="inlineStr">
        <is>
          <t>Howrah Sorting Yard</t>
        </is>
      </c>
      <c r="M11" s="20" t="inlineStr">
        <is>
          <t>2 km/h</t>
        </is>
      </c>
      <c r="N11" s="20" t="inlineStr">
        <is>
          <t>1814</t>
        </is>
      </c>
      <c r="O11" s="7" t="inlineStr">
        <is>
          <t>-</t>
        </is>
      </c>
      <c r="P11" s="20" t="inlineStr">
        <is>
          <t>-</t>
        </is>
      </c>
    </row>
    <row r="12" ht="34" customHeight="1">
      <c r="A12" s="7" t="inlineStr">
        <is>
          <t>8 Jun</t>
        </is>
      </c>
      <c r="B12" s="7" t="inlineStr">
        <is>
          <t>30112</t>
        </is>
      </c>
      <c r="C12" s="7" t="inlineStr">
        <is>
          <t>Valid</t>
        </is>
      </c>
      <c r="D12" s="7" t="inlineStr">
        <is>
          <t>10:29:52</t>
        </is>
      </c>
      <c r="E12" s="7" t="inlineStr">
        <is>
          <t>10:29:52</t>
        </is>
      </c>
      <c r="F12" s="7" t="n">
        <v>0</v>
      </c>
      <c r="G12" s="7" t="n">
        <v>1</v>
      </c>
      <c r="H12" s="7" t="n">
        <v>1</v>
      </c>
      <c r="I12" s="7" t="inlineStr">
        <is>
          <t>POSTTRIP</t>
        </is>
      </c>
      <c r="J12" s="19" t="n">
        <v>2.45</v>
      </c>
      <c r="K12" s="7" t="inlineStr">
        <is>
          <t>R</t>
        </is>
      </c>
      <c r="L12" s="7" t="inlineStr">
        <is>
          <t>Howrah Sorting Yard</t>
        </is>
      </c>
      <c r="M12" s="20" t="inlineStr">
        <is>
          <t>1 km/h</t>
        </is>
      </c>
      <c r="N12" s="20" t="inlineStr">
        <is>
          <t>1814</t>
        </is>
      </c>
      <c r="O12" s="7" t="inlineStr">
        <is>
          <t>-</t>
        </is>
      </c>
      <c r="P12" s="18" t="inlineStr">
        <is>
          <t>EB at 0-1 km/h</t>
        </is>
      </c>
    </row>
    <row r="13">
      <c r="A13" s="9" t="inlineStr">
        <is>
          <t>8 Jun</t>
        </is>
      </c>
      <c r="B13" s="9" t="inlineStr">
        <is>
          <t>30457</t>
        </is>
      </c>
      <c r="C13" s="9" t="inlineStr">
        <is>
          <t>Non-Valid</t>
        </is>
      </c>
      <c r="D13" s="9" t="inlineStr">
        <is>
          <t>15:40:38</t>
        </is>
      </c>
      <c r="E13" s="9" t="inlineStr">
        <is>
          <t>15:40:40</t>
        </is>
      </c>
      <c r="F13" s="9" t="n">
        <v>2</v>
      </c>
      <c r="G13" s="9" t="n">
        <v>2</v>
      </c>
      <c r="H13" s="9" t="n">
        <v>1</v>
      </c>
      <c r="I13" s="9" t="inlineStr">
        <is>
          <t>POSTTRIP</t>
        </is>
      </c>
      <c r="J13" s="16" t="n">
        <v>200.09</v>
      </c>
      <c r="K13" s="9" t="inlineStr">
        <is>
          <t>N</t>
        </is>
      </c>
      <c r="L13" s="9" t="inlineStr">
        <is>
          <t>Asansol</t>
        </is>
      </c>
      <c r="M13" s="17" t="inlineStr">
        <is>
          <t>1 km/h</t>
        </is>
      </c>
      <c r="N13" s="17" t="inlineStr">
        <is>
          <t>0</t>
        </is>
      </c>
      <c r="O13" s="9" t="inlineStr">
        <is>
          <t>-</t>
        </is>
      </c>
      <c r="P13" s="18" t="inlineStr">
        <is>
          <t>EB at 0-1 km/h</t>
        </is>
      </c>
    </row>
    <row r="14">
      <c r="A14" s="9" t="inlineStr">
        <is>
          <t>8 Jun</t>
        </is>
      </c>
      <c r="B14" s="9" t="inlineStr">
        <is>
          <t>30457</t>
        </is>
      </c>
      <c r="C14" s="9" t="inlineStr">
        <is>
          <t>Non-Valid</t>
        </is>
      </c>
      <c r="D14" s="9" t="inlineStr">
        <is>
          <t>15:41:32</t>
        </is>
      </c>
      <c r="E14" s="9" t="inlineStr">
        <is>
          <t>15:41:34</t>
        </is>
      </c>
      <c r="F14" s="9" t="n">
        <v>2</v>
      </c>
      <c r="G14" s="9" t="n">
        <v>2</v>
      </c>
      <c r="H14" s="9" t="n">
        <v>1</v>
      </c>
      <c r="I14" s="9" t="inlineStr">
        <is>
          <t>POSTTRIP</t>
        </is>
      </c>
      <c r="J14" s="16" t="n">
        <v>200.09</v>
      </c>
      <c r="K14" s="9" t="inlineStr">
        <is>
          <t>N</t>
        </is>
      </c>
      <c r="L14" s="9" t="inlineStr">
        <is>
          <t>Asansol</t>
        </is>
      </c>
      <c r="M14" s="17" t="inlineStr">
        <is>
          <t>1 km/h</t>
        </is>
      </c>
      <c r="N14" s="17" t="inlineStr">
        <is>
          <t>0</t>
        </is>
      </c>
      <c r="O14" s="9" t="inlineStr">
        <is>
          <t>-</t>
        </is>
      </c>
      <c r="P14" s="18" t="inlineStr">
        <is>
          <t>EB at 0-1 km/h</t>
        </is>
      </c>
    </row>
    <row r="15">
      <c r="A15" s="9" t="inlineStr">
        <is>
          <t>8 Jun</t>
        </is>
      </c>
      <c r="B15" s="9" t="inlineStr">
        <is>
          <t>45002</t>
        </is>
      </c>
      <c r="C15" s="9" t="inlineStr">
        <is>
          <t>Non-Valid</t>
        </is>
      </c>
      <c r="D15" s="9" t="inlineStr">
        <is>
          <t>20:42:12</t>
        </is>
      </c>
      <c r="E15" s="9" t="inlineStr">
        <is>
          <t>20:42:14</t>
        </is>
      </c>
      <c r="F15" s="9" t="n">
        <v>2</v>
      </c>
      <c r="G15" s="9" t="n">
        <v>2</v>
      </c>
      <c r="H15" s="9" t="n">
        <v>4</v>
      </c>
      <c r="I15" s="9" t="inlineStr">
        <is>
          <t>FS</t>
        </is>
      </c>
      <c r="J15" s="16" t="n">
        <v>0.45</v>
      </c>
      <c r="K15" s="9" t="inlineStr">
        <is>
          <t>R</t>
        </is>
      </c>
      <c r="L15" s="9" t="inlineStr">
        <is>
          <t>Howrah</t>
        </is>
      </c>
      <c r="M15" s="17" t="inlineStr">
        <is>
          <t>4 km/h</t>
        </is>
      </c>
      <c r="N15" s="17" t="inlineStr">
        <is>
          <t>n/a</t>
        </is>
      </c>
      <c r="O15" s="9" t="inlineStr">
        <is>
          <t>-</t>
        </is>
      </c>
      <c r="P15" s="17" t="inlineStr">
        <is>
          <t>-</t>
        </is>
      </c>
    </row>
    <row r="16">
      <c r="A16" s="9" t="inlineStr">
        <is>
          <t>8 Jun</t>
        </is>
      </c>
      <c r="B16" s="9" t="inlineStr">
        <is>
          <t>45002</t>
        </is>
      </c>
      <c r="C16" s="9" t="inlineStr">
        <is>
          <t>Non-Valid</t>
        </is>
      </c>
      <c r="D16" s="9" t="inlineStr">
        <is>
          <t>20:42:40</t>
        </is>
      </c>
      <c r="E16" s="9" t="inlineStr">
        <is>
          <t>20:42:40</t>
        </is>
      </c>
      <c r="F16" s="9" t="n">
        <v>0</v>
      </c>
      <c r="G16" s="9" t="n">
        <v>1</v>
      </c>
      <c r="H16" s="9" t="n">
        <v>4</v>
      </c>
      <c r="I16" s="9" t="inlineStr">
        <is>
          <t>FS</t>
        </is>
      </c>
      <c r="J16" s="16" t="n">
        <v>0.44</v>
      </c>
      <c r="K16" s="9" t="inlineStr">
        <is>
          <t>R</t>
        </is>
      </c>
      <c r="L16" s="9" t="inlineStr">
        <is>
          <t>Howrah</t>
        </is>
      </c>
      <c r="M16" s="17" t="inlineStr">
        <is>
          <t>4 km/h</t>
        </is>
      </c>
      <c r="N16" s="17" t="inlineStr">
        <is>
          <t>n/a</t>
        </is>
      </c>
      <c r="O16" s="9" t="inlineStr">
        <is>
          <t>-</t>
        </is>
      </c>
      <c r="P16" s="17" t="inlineStr">
        <is>
          <t>-</t>
        </is>
      </c>
    </row>
    <row r="17">
      <c r="A17" s="9" t="inlineStr">
        <is>
          <t>8 Jun</t>
        </is>
      </c>
      <c r="B17" s="9" t="inlineStr">
        <is>
          <t>45002</t>
        </is>
      </c>
      <c r="C17" s="9" t="inlineStr">
        <is>
          <t>Non-Valid</t>
        </is>
      </c>
      <c r="D17" s="9" t="inlineStr">
        <is>
          <t>20:42:46</t>
        </is>
      </c>
      <c r="E17" s="9" t="inlineStr">
        <is>
          <t>20:43:42</t>
        </is>
      </c>
      <c r="F17" s="9" t="n">
        <v>56</v>
      </c>
      <c r="G17" s="9" t="n">
        <v>29</v>
      </c>
      <c r="H17" s="9" t="n">
        <v>0</v>
      </c>
      <c r="I17" s="9" t="inlineStr">
        <is>
          <t>FS</t>
        </is>
      </c>
      <c r="J17" s="16" t="n">
        <v>0.44</v>
      </c>
      <c r="K17" s="9" t="inlineStr">
        <is>
          <t>R</t>
        </is>
      </c>
      <c r="L17" s="9" t="inlineStr">
        <is>
          <t>Howrah</t>
        </is>
      </c>
      <c r="M17" s="17" t="inlineStr">
        <is>
          <t>0 km/h</t>
        </is>
      </c>
      <c r="N17" s="17" t="inlineStr">
        <is>
          <t>n/a</t>
        </is>
      </c>
      <c r="O17" s="9" t="inlineStr">
        <is>
          <t>-</t>
        </is>
      </c>
      <c r="P17" s="18" t="inlineStr">
        <is>
          <t>EB at 0-1 km/h</t>
        </is>
      </c>
    </row>
    <row r="18">
      <c r="A18" s="9" t="inlineStr">
        <is>
          <t>8 Jun</t>
        </is>
      </c>
      <c r="B18" s="9" t="inlineStr">
        <is>
          <t>39135</t>
        </is>
      </c>
      <c r="C18" s="9" t="inlineStr">
        <is>
          <t>Non-Valid</t>
        </is>
      </c>
      <c r="D18" s="9" t="inlineStr">
        <is>
          <t>23:48:34</t>
        </is>
      </c>
      <c r="E18" s="9" t="inlineStr">
        <is>
          <t>23:49:10</t>
        </is>
      </c>
      <c r="F18" s="9" t="n">
        <v>36</v>
      </c>
      <c r="G18" s="9" t="n">
        <v>17</v>
      </c>
      <c r="H18" s="9" t="n">
        <v>92</v>
      </c>
      <c r="I18" s="9" t="inlineStr">
        <is>
          <t>FS</t>
        </is>
      </c>
      <c r="J18" s="16" t="n">
        <v>11.32</v>
      </c>
      <c r="K18" s="9" t="inlineStr">
        <is>
          <t>N</t>
        </is>
      </c>
      <c r="L18" s="9" t="inlineStr">
        <is>
          <t>Belanagar</t>
        </is>
      </c>
      <c r="M18" s="17" t="inlineStr">
        <is>
          <t>92 km/h</t>
        </is>
      </c>
      <c r="N18" s="17" t="inlineStr">
        <is>
          <t>1419</t>
        </is>
      </c>
      <c r="O18" s="9" t="inlineStr">
        <is>
          <t>-</t>
        </is>
      </c>
      <c r="P18" s="17" t="inlineStr">
        <is>
          <t>-</t>
        </is>
      </c>
    </row>
    <row r="19">
      <c r="A19" s="9" t="inlineStr">
        <is>
          <t>9 Jun</t>
        </is>
      </c>
      <c r="B19" s="9" t="inlineStr">
        <is>
          <t>37898</t>
        </is>
      </c>
      <c r="C19" s="9" t="inlineStr">
        <is>
          <t>Non-Valid</t>
        </is>
      </c>
      <c r="D19" s="9" t="inlineStr">
        <is>
          <t>02:57:28</t>
        </is>
      </c>
      <c r="E19" s="9" t="inlineStr">
        <is>
          <t>02:57:32</t>
        </is>
      </c>
      <c r="F19" s="9" t="n">
        <v>4</v>
      </c>
      <c r="G19" s="9" t="n">
        <v>3</v>
      </c>
      <c r="H19" s="9" t="n">
        <v>5</v>
      </c>
      <c r="I19" s="9" t="inlineStr">
        <is>
          <t>FS</t>
        </is>
      </c>
      <c r="J19" s="16" t="n">
        <v>0.06</v>
      </c>
      <c r="K19" s="9" t="inlineStr">
        <is>
          <t>R</t>
        </is>
      </c>
      <c r="L19" s="9" t="inlineStr">
        <is>
          <t>Howrah</t>
        </is>
      </c>
      <c r="M19" s="17" t="inlineStr">
        <is>
          <t>5 km/h</t>
        </is>
      </c>
      <c r="N19" s="17" t="inlineStr">
        <is>
          <t>384</t>
        </is>
      </c>
      <c r="O19" s="9" t="inlineStr">
        <is>
          <t>-</t>
        </is>
      </c>
      <c r="P19" s="17" t="inlineStr">
        <is>
          <t>-</t>
        </is>
      </c>
    </row>
    <row r="20">
      <c r="A20" s="9" t="inlineStr">
        <is>
          <t>9 Jun</t>
        </is>
      </c>
      <c r="B20" s="9" t="inlineStr">
        <is>
          <t>30084</t>
        </is>
      </c>
      <c r="C20" s="9" t="inlineStr">
        <is>
          <t>Non-Valid</t>
        </is>
      </c>
      <c r="D20" s="9" t="inlineStr">
        <is>
          <t>10:14:02</t>
        </is>
      </c>
      <c r="E20" s="9" t="inlineStr">
        <is>
          <t>10:15:38</t>
        </is>
      </c>
      <c r="F20" s="9" t="n">
        <v>96</v>
      </c>
      <c r="G20" s="9" t="n">
        <v>44</v>
      </c>
      <c r="H20" s="9" t="n">
        <v>71</v>
      </c>
      <c r="I20" s="9" t="inlineStr">
        <is>
          <t>FS</t>
        </is>
      </c>
      <c r="J20" s="16" t="n">
        <v>111.11</v>
      </c>
      <c r="K20" s="9" t="inlineStr">
        <is>
          <t>R</t>
        </is>
      </c>
      <c r="L20" s="9" t="inlineStr">
        <is>
          <t>Khana Link</t>
        </is>
      </c>
      <c r="M20" s="17" t="inlineStr">
        <is>
          <t>71 km/h</t>
        </is>
      </c>
      <c r="N20" s="17" t="inlineStr">
        <is>
          <t>n/a</t>
        </is>
      </c>
      <c r="O20" s="9" t="inlineStr">
        <is>
          <t>-</t>
        </is>
      </c>
      <c r="P20" s="17" t="inlineStr">
        <is>
          <t>-</t>
        </is>
      </c>
    </row>
    <row r="21">
      <c r="A21" s="9" t="inlineStr">
        <is>
          <t>9 Jun</t>
        </is>
      </c>
      <c r="B21" s="9" t="inlineStr">
        <is>
          <t>30084</t>
        </is>
      </c>
      <c r="C21" s="9" t="inlineStr">
        <is>
          <t>Non-Valid</t>
        </is>
      </c>
      <c r="D21" s="9" t="inlineStr">
        <is>
          <t>10:16:32</t>
        </is>
      </c>
      <c r="E21" s="9" t="inlineStr">
        <is>
          <t>10:17:00</t>
        </is>
      </c>
      <c r="F21" s="9" t="n">
        <v>28</v>
      </c>
      <c r="G21" s="9" t="n">
        <v>15</v>
      </c>
      <c r="H21" s="9" t="n">
        <v>33</v>
      </c>
      <c r="I21" s="9" t="inlineStr">
        <is>
          <t>POSTTRIP</t>
        </is>
      </c>
      <c r="J21" s="16" t="n">
        <v>109.53</v>
      </c>
      <c r="K21" s="9" t="inlineStr">
        <is>
          <t>R</t>
        </is>
      </c>
      <c r="L21" s="9" t="inlineStr">
        <is>
          <t>Khana Link</t>
        </is>
      </c>
      <c r="M21" s="17" t="inlineStr">
        <is>
          <t>1 km/h</t>
        </is>
      </c>
      <c r="N21" s="17" t="inlineStr">
        <is>
          <t>n/a</t>
        </is>
      </c>
      <c r="O21" s="9" t="inlineStr">
        <is>
          <t>-</t>
        </is>
      </c>
      <c r="P21" s="18" t="inlineStr">
        <is>
          <t>EB at 0-1 km/h</t>
        </is>
      </c>
    </row>
    <row r="22">
      <c r="A22" s="9" t="inlineStr">
        <is>
          <t>9 Jun</t>
        </is>
      </c>
      <c r="B22" s="9" t="inlineStr">
        <is>
          <t>30084</t>
        </is>
      </c>
      <c r="C22" s="9" t="inlineStr">
        <is>
          <t>Non-Valid</t>
        </is>
      </c>
      <c r="D22" s="9" t="inlineStr">
        <is>
          <t>10:20:26</t>
        </is>
      </c>
      <c r="E22" s="9" t="inlineStr">
        <is>
          <t>10:20:58</t>
        </is>
      </c>
      <c r="F22" s="9" t="n">
        <v>32</v>
      </c>
      <c r="G22" s="9" t="n">
        <v>17</v>
      </c>
      <c r="H22" s="9" t="n">
        <v>158</v>
      </c>
      <c r="I22" s="9" t="inlineStr">
        <is>
          <t>OS</t>
        </is>
      </c>
      <c r="J22" s="16" t="n">
        <v>114.24</v>
      </c>
      <c r="K22" s="9" t="inlineStr">
        <is>
          <t>R</t>
        </is>
      </c>
      <c r="L22" s="9" t="inlineStr">
        <is>
          <t>Khana Link</t>
        </is>
      </c>
      <c r="M22" s="17" t="inlineStr">
        <is>
          <t>121 km/h</t>
        </is>
      </c>
      <c r="N22" s="17" t="inlineStr">
        <is>
          <t>n/a</t>
        </is>
      </c>
      <c r="O22" s="9" t="inlineStr">
        <is>
          <t>-</t>
        </is>
      </c>
      <c r="P22" s="17" t="inlineStr">
        <is>
          <t>-</t>
        </is>
      </c>
    </row>
    <row r="23">
      <c r="A23" s="9" t="inlineStr">
        <is>
          <t>9 Jun</t>
        </is>
      </c>
      <c r="B23" s="9" t="inlineStr">
        <is>
          <t>30084</t>
        </is>
      </c>
      <c r="C23" s="9" t="inlineStr">
        <is>
          <t>Non-Valid</t>
        </is>
      </c>
      <c r="D23" s="9" t="inlineStr">
        <is>
          <t>10:22:42</t>
        </is>
      </c>
      <c r="E23" s="9" t="inlineStr">
        <is>
          <t>10:23:06</t>
        </is>
      </c>
      <c r="F23" s="9" t="n">
        <v>24</v>
      </c>
      <c r="G23" s="9" t="n">
        <v>13</v>
      </c>
      <c r="H23" s="9" t="n">
        <v>27</v>
      </c>
      <c r="I23" s="9" t="inlineStr">
        <is>
          <t>FS</t>
        </is>
      </c>
      <c r="J23" s="16" t="n">
        <v>111.59</v>
      </c>
      <c r="K23" s="9" t="inlineStr">
        <is>
          <t>R</t>
        </is>
      </c>
      <c r="L23" s="9" t="inlineStr">
        <is>
          <t>Khana Link</t>
        </is>
      </c>
      <c r="M23" s="17" t="inlineStr">
        <is>
          <t>27 km/h</t>
        </is>
      </c>
      <c r="N23" s="17" t="inlineStr">
        <is>
          <t>n/a</t>
        </is>
      </c>
      <c r="O23" s="9" t="inlineStr">
        <is>
          <t>SOS</t>
        </is>
      </c>
      <c r="P23" s="18" t="inlineStr">
        <is>
          <t>Emergency: SOS</t>
        </is>
      </c>
    </row>
    <row r="24">
      <c r="A24" s="9" t="inlineStr">
        <is>
          <t>9 Jun</t>
        </is>
      </c>
      <c r="B24" s="9" t="inlineStr">
        <is>
          <t>30084</t>
        </is>
      </c>
      <c r="C24" s="9" t="inlineStr">
        <is>
          <t>Non-Valid</t>
        </is>
      </c>
      <c r="D24" s="9" t="inlineStr">
        <is>
          <t>10:24:06</t>
        </is>
      </c>
      <c r="E24" s="9" t="inlineStr">
        <is>
          <t>10:26:58</t>
        </is>
      </c>
      <c r="F24" s="9" t="n">
        <v>172</v>
      </c>
      <c r="G24" s="9" t="n">
        <v>79</v>
      </c>
      <c r="H24" s="9" t="n">
        <v>27</v>
      </c>
      <c r="I24" s="9" t="inlineStr">
        <is>
          <t>FS</t>
        </is>
      </c>
      <c r="J24" s="16" t="n">
        <v>110.96</v>
      </c>
      <c r="K24" s="9" t="inlineStr">
        <is>
          <t>R</t>
        </is>
      </c>
      <c r="L24" s="9" t="inlineStr">
        <is>
          <t>Khana Link</t>
        </is>
      </c>
      <c r="M24" s="17" t="inlineStr">
        <is>
          <t>26 km/h</t>
        </is>
      </c>
      <c r="N24" s="17" t="inlineStr">
        <is>
          <t>n/a</t>
        </is>
      </c>
      <c r="O24" s="9" t="inlineStr">
        <is>
          <t>-</t>
        </is>
      </c>
      <c r="P24" s="17" t="inlineStr">
        <is>
          <t>-</t>
        </is>
      </c>
    </row>
    <row r="25">
      <c r="A25" s="9" t="inlineStr">
        <is>
          <t>9 Jun</t>
        </is>
      </c>
      <c r="B25" s="9" t="inlineStr">
        <is>
          <t>30084</t>
        </is>
      </c>
      <c r="C25" s="9" t="inlineStr">
        <is>
          <t>Non-Valid</t>
        </is>
      </c>
      <c r="D25" s="9" t="inlineStr">
        <is>
          <t>10:32:52</t>
        </is>
      </c>
      <c r="E25" s="9" t="inlineStr">
        <is>
          <t>10:33:08</t>
        </is>
      </c>
      <c r="F25" s="9" t="n">
        <v>16</v>
      </c>
      <c r="G25" s="9" t="n">
        <v>9</v>
      </c>
      <c r="H25" s="9" t="n">
        <v>86</v>
      </c>
      <c r="I25" s="9" t="inlineStr">
        <is>
          <t>FS</t>
        </is>
      </c>
      <c r="J25" s="16" t="n">
        <v>113.71</v>
      </c>
      <c r="K25" s="9" t="inlineStr">
        <is>
          <t>R</t>
        </is>
      </c>
      <c r="L25" s="9" t="inlineStr">
        <is>
          <t>Khana Link</t>
        </is>
      </c>
      <c r="M25" s="17" t="inlineStr">
        <is>
          <t>86 km/h</t>
        </is>
      </c>
      <c r="N25" s="17" t="inlineStr">
        <is>
          <t>n/a</t>
        </is>
      </c>
      <c r="O25" s="9" t="inlineStr">
        <is>
          <t>-</t>
        </is>
      </c>
      <c r="P25" s="17" t="inlineStr">
        <is>
          <t>-</t>
        </is>
      </c>
    </row>
    <row r="26">
      <c r="A26" s="9" t="inlineStr">
        <is>
          <t>9 Jun</t>
        </is>
      </c>
      <c r="B26" s="9" t="inlineStr">
        <is>
          <t>30084</t>
        </is>
      </c>
      <c r="C26" s="9" t="inlineStr">
        <is>
          <t>Non-Valid</t>
        </is>
      </c>
      <c r="D26" s="9" t="inlineStr">
        <is>
          <t>11:48:38</t>
        </is>
      </c>
      <c r="E26" s="9" t="inlineStr">
        <is>
          <t>11:49:12</t>
        </is>
      </c>
      <c r="F26" s="9" t="n">
        <v>34</v>
      </c>
      <c r="G26" s="9" t="n">
        <v>18</v>
      </c>
      <c r="H26" s="9" t="n">
        <v>80</v>
      </c>
      <c r="I26" s="9" t="inlineStr">
        <is>
          <t>OS</t>
        </is>
      </c>
      <c r="J26" s="16" t="n">
        <v>114.21</v>
      </c>
      <c r="K26" s="9" t="inlineStr">
        <is>
          <t>R</t>
        </is>
      </c>
      <c r="L26" s="9" t="inlineStr">
        <is>
          <t>Khana Link</t>
        </is>
      </c>
      <c r="M26" s="17" t="inlineStr">
        <is>
          <t>80 km/h</t>
        </is>
      </c>
      <c r="N26" s="17" t="inlineStr">
        <is>
          <t>n/a</t>
        </is>
      </c>
      <c r="O26" s="9" t="inlineStr">
        <is>
          <t>-</t>
        </is>
      </c>
      <c r="P26" s="17" t="inlineStr">
        <is>
          <t>-</t>
        </is>
      </c>
    </row>
    <row r="27">
      <c r="A27" s="9" t="inlineStr">
        <is>
          <t>9 Jun</t>
        </is>
      </c>
      <c r="B27" s="9" t="inlineStr">
        <is>
          <t>30084</t>
        </is>
      </c>
      <c r="C27" s="9" t="inlineStr">
        <is>
          <t>Non-Valid</t>
        </is>
      </c>
      <c r="D27" s="9" t="inlineStr">
        <is>
          <t>11:51:22</t>
        </is>
      </c>
      <c r="E27" s="9" t="inlineStr">
        <is>
          <t>11:53:32</t>
        </is>
      </c>
      <c r="F27" s="9" t="n">
        <v>130</v>
      </c>
      <c r="G27" s="9" t="n">
        <v>58</v>
      </c>
      <c r="H27" s="9" t="n">
        <v>200</v>
      </c>
      <c r="I27" s="9" t="inlineStr">
        <is>
          <t>OS</t>
        </is>
      </c>
      <c r="J27" s="16" t="n">
        <v>112.83</v>
      </c>
      <c r="K27" s="9" t="inlineStr">
        <is>
          <t>R</t>
        </is>
      </c>
      <c r="L27" s="9" t="inlineStr">
        <is>
          <t>Khana Link</t>
        </is>
      </c>
      <c r="M27" s="17" t="inlineStr">
        <is>
          <t>124 km/h</t>
        </is>
      </c>
      <c r="N27" s="17" t="inlineStr">
        <is>
          <t>n/a</t>
        </is>
      </c>
      <c r="O27" s="9" t="inlineStr">
        <is>
          <t>-</t>
        </is>
      </c>
      <c r="P27" s="17" t="inlineStr">
        <is>
          <t>-</t>
        </is>
      </c>
    </row>
    <row r="28">
      <c r="A28" s="9" t="inlineStr">
        <is>
          <t>9 Jun</t>
        </is>
      </c>
      <c r="B28" s="9" t="inlineStr">
        <is>
          <t>30084</t>
        </is>
      </c>
      <c r="C28" s="9" t="inlineStr">
        <is>
          <t>Non-Valid</t>
        </is>
      </c>
      <c r="D28" s="9" t="inlineStr">
        <is>
          <t>11:58:50</t>
        </is>
      </c>
      <c r="E28" s="9" t="inlineStr">
        <is>
          <t>11:58:58</t>
        </is>
      </c>
      <c r="F28" s="9" t="n">
        <v>8</v>
      </c>
      <c r="G28" s="9" t="n">
        <v>5</v>
      </c>
      <c r="H28" s="9" t="n">
        <v>21</v>
      </c>
      <c r="I28" s="9" t="inlineStr">
        <is>
          <t>OS</t>
        </is>
      </c>
      <c r="J28" s="16" t="n">
        <v>114</v>
      </c>
      <c r="K28" s="9" t="inlineStr">
        <is>
          <t>R</t>
        </is>
      </c>
      <c r="L28" s="9" t="inlineStr">
        <is>
          <t>Khana Link</t>
        </is>
      </c>
      <c r="M28" s="17" t="inlineStr">
        <is>
          <t>21 km/h</t>
        </is>
      </c>
      <c r="N28" s="17" t="inlineStr">
        <is>
          <t>n/a</t>
        </is>
      </c>
      <c r="O28" s="9" t="inlineStr">
        <is>
          <t>-</t>
        </is>
      </c>
      <c r="P28" s="17" t="inlineStr">
        <is>
          <t>-</t>
        </is>
      </c>
    </row>
    <row r="29">
      <c r="A29" s="9" t="inlineStr">
        <is>
          <t>9 Jun</t>
        </is>
      </c>
      <c r="B29" s="9" t="inlineStr">
        <is>
          <t>30084</t>
        </is>
      </c>
      <c r="C29" s="9" t="inlineStr">
        <is>
          <t>Non-Valid</t>
        </is>
      </c>
      <c r="D29" s="9" t="inlineStr">
        <is>
          <t>12:14:04</t>
        </is>
      </c>
      <c r="E29" s="9" t="inlineStr">
        <is>
          <t>12:14:04</t>
        </is>
      </c>
      <c r="F29" s="9" t="n">
        <v>0</v>
      </c>
      <c r="G29" s="9" t="n">
        <v>1</v>
      </c>
      <c r="H29" s="9" t="n">
        <v>44</v>
      </c>
      <c r="I29" s="9" t="inlineStr">
        <is>
          <t>OS</t>
        </is>
      </c>
      <c r="J29" s="16" t="n">
        <v>114.11</v>
      </c>
      <c r="K29" s="9" t="inlineStr">
        <is>
          <t>R</t>
        </is>
      </c>
      <c r="L29" s="9" t="inlineStr">
        <is>
          <t>Khana Link</t>
        </is>
      </c>
      <c r="M29" s="17" t="inlineStr">
        <is>
          <t>44 km/h</t>
        </is>
      </c>
      <c r="N29" s="17" t="inlineStr">
        <is>
          <t>n/a</t>
        </is>
      </c>
      <c r="O29" s="9" t="inlineStr">
        <is>
          <t>-</t>
        </is>
      </c>
      <c r="P29" s="17" t="inlineStr">
        <is>
          <t>-</t>
        </is>
      </c>
    </row>
    <row r="30">
      <c r="A30" s="9" t="inlineStr">
        <is>
          <t>9 Jun</t>
        </is>
      </c>
      <c r="B30" s="9" t="inlineStr">
        <is>
          <t>30084</t>
        </is>
      </c>
      <c r="C30" s="9" t="inlineStr">
        <is>
          <t>Non-Valid</t>
        </is>
      </c>
      <c r="D30" s="9" t="inlineStr">
        <is>
          <t>12:14:20</t>
        </is>
      </c>
      <c r="E30" s="9" t="inlineStr">
        <is>
          <t>12:14:22</t>
        </is>
      </c>
      <c r="F30" s="9" t="n">
        <v>2</v>
      </c>
      <c r="G30" s="9" t="n">
        <v>2</v>
      </c>
      <c r="H30" s="9" t="n">
        <v>8</v>
      </c>
      <c r="I30" s="9" t="inlineStr">
        <is>
          <t>OS</t>
        </is>
      </c>
      <c r="J30" s="16" t="n">
        <v>113.99</v>
      </c>
      <c r="K30" s="9" t="inlineStr">
        <is>
          <t>R</t>
        </is>
      </c>
      <c r="L30" s="9" t="inlineStr">
        <is>
          <t>Khana Link</t>
        </is>
      </c>
      <c r="M30" s="17" t="inlineStr">
        <is>
          <t>8 km/h</t>
        </is>
      </c>
      <c r="N30" s="17" t="inlineStr">
        <is>
          <t>n/a</t>
        </is>
      </c>
      <c r="O30" s="9" t="inlineStr">
        <is>
          <t>-</t>
        </is>
      </c>
      <c r="P30" s="17" t="inlineStr">
        <is>
          <t>-</t>
        </is>
      </c>
    </row>
    <row r="31">
      <c r="A31" s="9" t="inlineStr">
        <is>
          <t>9 Jun</t>
        </is>
      </c>
      <c r="B31" s="9" t="inlineStr">
        <is>
          <t>30084</t>
        </is>
      </c>
      <c r="C31" s="9" t="inlineStr">
        <is>
          <t>Non-Valid</t>
        </is>
      </c>
      <c r="D31" s="9" t="inlineStr">
        <is>
          <t>12:21:34</t>
        </is>
      </c>
      <c r="E31" s="9" t="inlineStr">
        <is>
          <t>12:22:24</t>
        </is>
      </c>
      <c r="F31" s="9" t="n">
        <v>50</v>
      </c>
      <c r="G31" s="9" t="n">
        <v>25</v>
      </c>
      <c r="H31" s="9" t="n">
        <v>37</v>
      </c>
      <c r="I31" s="9" t="inlineStr">
        <is>
          <t>TRIP</t>
        </is>
      </c>
      <c r="J31" s="16" t="n">
        <v>115.07</v>
      </c>
      <c r="K31" s="9" t="inlineStr">
        <is>
          <t>R</t>
        </is>
      </c>
      <c r="L31" s="9" t="inlineStr">
        <is>
          <t>Khana Link</t>
        </is>
      </c>
      <c r="M31" s="17" t="inlineStr">
        <is>
          <t>37 km/h</t>
        </is>
      </c>
      <c r="N31" s="17" t="inlineStr">
        <is>
          <t>n/a</t>
        </is>
      </c>
      <c r="O31" s="9" t="inlineStr">
        <is>
          <t>-</t>
        </is>
      </c>
      <c r="P31" s="18" t="inlineStr">
        <is>
          <t>Trip mode</t>
        </is>
      </c>
    </row>
    <row r="32">
      <c r="A32" s="9" t="inlineStr">
        <is>
          <t>9 Jun</t>
        </is>
      </c>
      <c r="B32" s="9" t="inlineStr">
        <is>
          <t>30084</t>
        </is>
      </c>
      <c r="C32" s="9" t="inlineStr">
        <is>
          <t>Non-Valid</t>
        </is>
      </c>
      <c r="D32" s="9" t="inlineStr">
        <is>
          <t>12:32:32</t>
        </is>
      </c>
      <c r="E32" s="9" t="inlineStr">
        <is>
          <t>12:32:58</t>
        </is>
      </c>
      <c r="F32" s="9" t="n">
        <v>26</v>
      </c>
      <c r="G32" s="9" t="n">
        <v>14</v>
      </c>
      <c r="H32" s="9" t="n">
        <v>23</v>
      </c>
      <c r="I32" s="9" t="inlineStr">
        <is>
          <t>OS</t>
        </is>
      </c>
      <c r="J32" s="16" t="n">
        <v>113.61</v>
      </c>
      <c r="K32" s="9" t="inlineStr">
        <is>
          <t>R</t>
        </is>
      </c>
      <c r="L32" s="9" t="inlineStr">
        <is>
          <t>Khana Link</t>
        </is>
      </c>
      <c r="M32" s="17" t="inlineStr">
        <is>
          <t>23 km/h</t>
        </is>
      </c>
      <c r="N32" s="17" t="inlineStr">
        <is>
          <t>n/a</t>
        </is>
      </c>
      <c r="O32" s="9" t="inlineStr">
        <is>
          <t>SOS</t>
        </is>
      </c>
      <c r="P32" s="18" t="inlineStr">
        <is>
          <t>Emergency: SOS</t>
        </is>
      </c>
    </row>
    <row r="33">
      <c r="A33" s="9" t="inlineStr">
        <is>
          <t>9 Jun</t>
        </is>
      </c>
      <c r="B33" s="9" t="inlineStr">
        <is>
          <t>30084</t>
        </is>
      </c>
      <c r="C33" s="9" t="inlineStr">
        <is>
          <t>Non-Valid</t>
        </is>
      </c>
      <c r="D33" s="9" t="inlineStr">
        <is>
          <t>12:35:12</t>
        </is>
      </c>
      <c r="E33" s="9" t="inlineStr">
        <is>
          <t>12:35:36</t>
        </is>
      </c>
      <c r="F33" s="9" t="n">
        <v>24</v>
      </c>
      <c r="G33" s="9" t="n">
        <v>13</v>
      </c>
      <c r="H33" s="9" t="n">
        <v>23</v>
      </c>
      <c r="I33" s="9" t="inlineStr">
        <is>
          <t>OS</t>
        </is>
      </c>
      <c r="J33" s="16" t="n">
        <v>112.63</v>
      </c>
      <c r="K33" s="9" t="inlineStr">
        <is>
          <t>R</t>
        </is>
      </c>
      <c r="L33" s="9" t="inlineStr">
        <is>
          <t>Khana Link</t>
        </is>
      </c>
      <c r="M33" s="17" t="inlineStr">
        <is>
          <t>22 km/h</t>
        </is>
      </c>
      <c r="N33" s="17" t="inlineStr">
        <is>
          <t>n/a</t>
        </is>
      </c>
      <c r="O33" s="9" t="inlineStr">
        <is>
          <t>-</t>
        </is>
      </c>
      <c r="P33" s="17" t="inlineStr">
        <is>
          <t>-</t>
        </is>
      </c>
    </row>
    <row r="34">
      <c r="A34" s="9" t="inlineStr">
        <is>
          <t>9 Jun</t>
        </is>
      </c>
      <c r="B34" s="9" t="inlineStr">
        <is>
          <t>30084</t>
        </is>
      </c>
      <c r="C34" s="9" t="inlineStr">
        <is>
          <t>Non-Valid</t>
        </is>
      </c>
      <c r="D34" s="9" t="inlineStr">
        <is>
          <t>12:43:54</t>
        </is>
      </c>
      <c r="E34" s="9" t="inlineStr">
        <is>
          <t>12:43:54</t>
        </is>
      </c>
      <c r="F34" s="9" t="n">
        <v>0</v>
      </c>
      <c r="G34" s="9" t="n">
        <v>1</v>
      </c>
      <c r="H34" s="9" t="n">
        <v>4</v>
      </c>
      <c r="I34" s="9" t="inlineStr">
        <is>
          <t>TRIP</t>
        </is>
      </c>
      <c r="J34" s="16" t="n">
        <v>110.39</v>
      </c>
      <c r="K34" s="9" t="inlineStr">
        <is>
          <t>R</t>
        </is>
      </c>
      <c r="L34" s="9" t="inlineStr">
        <is>
          <t>Khana Link</t>
        </is>
      </c>
      <c r="M34" s="17" t="inlineStr">
        <is>
          <t>4 km/h</t>
        </is>
      </c>
      <c r="N34" s="17" t="inlineStr">
        <is>
          <t>n/a</t>
        </is>
      </c>
      <c r="O34" s="9" t="inlineStr">
        <is>
          <t>-</t>
        </is>
      </c>
      <c r="P34" s="18" t="inlineStr">
        <is>
          <t>Trip mode</t>
        </is>
      </c>
    </row>
    <row r="35" ht="49" customHeight="1">
      <c r="A35" s="9" t="inlineStr">
        <is>
          <t>9 Jun</t>
        </is>
      </c>
      <c r="B35" s="9" t="inlineStr">
        <is>
          <t>37025</t>
        </is>
      </c>
      <c r="C35" s="9" t="inlineStr">
        <is>
          <t>Non-Valid</t>
        </is>
      </c>
      <c r="D35" s="9" t="inlineStr">
        <is>
          <t>14:33:56</t>
        </is>
      </c>
      <c r="E35" s="9" t="inlineStr">
        <is>
          <t>14:33:58</t>
        </is>
      </c>
      <c r="F35" s="9" t="n">
        <v>2</v>
      </c>
      <c r="G35" s="9" t="n">
        <v>2</v>
      </c>
      <c r="H35" s="9" t="n">
        <v>128</v>
      </c>
      <c r="I35" s="9" t="inlineStr">
        <is>
          <t>FS</t>
        </is>
      </c>
      <c r="J35" s="16" t="n">
        <v>59.97</v>
      </c>
      <c r="K35" s="9" t="inlineStr">
        <is>
          <t>R</t>
        </is>
      </c>
      <c r="L35" s="9" t="inlineStr">
        <is>
          <t>LC-48</t>
        </is>
      </c>
      <c r="M35" s="17" t="inlineStr">
        <is>
          <t>128 km/h</t>
        </is>
      </c>
      <c r="N35" s="17" t="inlineStr">
        <is>
          <t>1130
MA dropped from 6179 to 1130.</t>
        </is>
      </c>
      <c r="O35" s="9" t="inlineStr">
        <is>
          <t>-</t>
        </is>
      </c>
      <c r="P35" s="18" t="inlineStr">
        <is>
          <t>Sudden MA drop</t>
        </is>
      </c>
    </row>
    <row r="36">
      <c r="A36" s="9" t="inlineStr">
        <is>
          <t>9 Jun</t>
        </is>
      </c>
      <c r="B36" s="9" t="inlineStr">
        <is>
          <t>30084</t>
        </is>
      </c>
      <c r="C36" s="9" t="inlineStr">
        <is>
          <t>Non-Valid</t>
        </is>
      </c>
      <c r="D36" s="9" t="inlineStr">
        <is>
          <t>15:30:18</t>
        </is>
      </c>
      <c r="E36" s="9" t="inlineStr">
        <is>
          <t>15:30:24</t>
        </is>
      </c>
      <c r="F36" s="9" t="n">
        <v>6</v>
      </c>
      <c r="G36" s="9" t="n">
        <v>4</v>
      </c>
      <c r="H36" s="9" t="n">
        <v>23</v>
      </c>
      <c r="I36" s="9" t="inlineStr">
        <is>
          <t>FS</t>
        </is>
      </c>
      <c r="J36" s="16" t="n">
        <v>110.56</v>
      </c>
      <c r="K36" s="9" t="inlineStr">
        <is>
          <t>N</t>
        </is>
      </c>
      <c r="L36" s="9" t="inlineStr">
        <is>
          <t>Khana Link</t>
        </is>
      </c>
      <c r="M36" s="17" t="inlineStr">
        <is>
          <t>23 km/h</t>
        </is>
      </c>
      <c r="N36" s="17" t="inlineStr">
        <is>
          <t>n/a</t>
        </is>
      </c>
      <c r="O36" s="9" t="inlineStr">
        <is>
          <t>-</t>
        </is>
      </c>
      <c r="P36" s="17" t="inlineStr">
        <is>
          <t>-</t>
        </is>
      </c>
    </row>
    <row r="37">
      <c r="A37" s="9" t="inlineStr">
        <is>
          <t>9 Jun</t>
        </is>
      </c>
      <c r="B37" s="9" t="inlineStr">
        <is>
          <t>30084</t>
        </is>
      </c>
      <c r="C37" s="9" t="inlineStr">
        <is>
          <t>Non-Valid</t>
        </is>
      </c>
      <c r="D37" s="9" t="inlineStr">
        <is>
          <t>15:38:20</t>
        </is>
      </c>
      <c r="E37" s="9" t="inlineStr">
        <is>
          <t>15:38:24</t>
        </is>
      </c>
      <c r="F37" s="9" t="n">
        <v>4</v>
      </c>
      <c r="G37" s="9" t="n">
        <v>2</v>
      </c>
      <c r="H37" s="9" t="n">
        <v>4</v>
      </c>
      <c r="I37" s="9" t="inlineStr">
        <is>
          <t>POSTTRIP</t>
        </is>
      </c>
      <c r="J37" s="16" t="n">
        <v>111.52</v>
      </c>
      <c r="K37" s="9" t="inlineStr">
        <is>
          <t>N</t>
        </is>
      </c>
      <c r="L37" s="9" t="inlineStr">
        <is>
          <t>Khana Link</t>
        </is>
      </c>
      <c r="M37" s="17" t="inlineStr">
        <is>
          <t>4 km/h</t>
        </is>
      </c>
      <c r="N37" s="17" t="inlineStr">
        <is>
          <t>n/a</t>
        </is>
      </c>
      <c r="O37" s="9" t="inlineStr">
        <is>
          <t>-</t>
        </is>
      </c>
      <c r="P37" s="17" t="inlineStr">
        <is>
          <t>-</t>
        </is>
      </c>
    </row>
    <row r="38">
      <c r="A38" s="9" t="inlineStr">
        <is>
          <t>9 Jun</t>
        </is>
      </c>
      <c r="B38" s="9" t="inlineStr">
        <is>
          <t>30084</t>
        </is>
      </c>
      <c r="C38" s="9" t="inlineStr">
        <is>
          <t>Non-Valid</t>
        </is>
      </c>
      <c r="D38" s="9" t="inlineStr">
        <is>
          <t>16:00:08</t>
        </is>
      </c>
      <c r="E38" s="9" t="inlineStr">
        <is>
          <t>16:00:18</t>
        </is>
      </c>
      <c r="F38" s="9" t="n">
        <v>10</v>
      </c>
      <c r="G38" s="9" t="n">
        <v>6</v>
      </c>
      <c r="H38" s="9" t="n">
        <v>29</v>
      </c>
      <c r="I38" s="9" t="inlineStr">
        <is>
          <t>FS</t>
        </is>
      </c>
      <c r="J38" s="16" t="n">
        <v>111.73</v>
      </c>
      <c r="K38" s="9" t="inlineStr">
        <is>
          <t>R</t>
        </is>
      </c>
      <c r="L38" s="9" t="inlineStr">
        <is>
          <t>Khana Link</t>
        </is>
      </c>
      <c r="M38" s="17" t="inlineStr">
        <is>
          <t>29 km/h</t>
        </is>
      </c>
      <c r="N38" s="17" t="inlineStr">
        <is>
          <t>n/a</t>
        </is>
      </c>
      <c r="O38" s="9" t="inlineStr">
        <is>
          <t>SOS</t>
        </is>
      </c>
      <c r="P38" s="18" t="inlineStr">
        <is>
          <t>Emergency: SOS</t>
        </is>
      </c>
    </row>
    <row r="39">
      <c r="A39" s="9" t="inlineStr">
        <is>
          <t>9 Jun</t>
        </is>
      </c>
      <c r="B39" s="9" t="inlineStr">
        <is>
          <t>30084</t>
        </is>
      </c>
      <c r="C39" s="9" t="inlineStr">
        <is>
          <t>Non-Valid</t>
        </is>
      </c>
      <c r="D39" s="9" t="inlineStr">
        <is>
          <t>16:49:24</t>
        </is>
      </c>
      <c r="E39" s="9" t="inlineStr">
        <is>
          <t>16:49:34</t>
        </is>
      </c>
      <c r="F39" s="9" t="n">
        <v>10</v>
      </c>
      <c r="G39" s="9" t="n">
        <v>5</v>
      </c>
      <c r="H39" s="9" t="n">
        <v>29</v>
      </c>
      <c r="I39" s="9" t="inlineStr">
        <is>
          <t>FS</t>
        </is>
      </c>
      <c r="J39" s="16" t="n">
        <v>113.73</v>
      </c>
      <c r="K39" s="9" t="inlineStr">
        <is>
          <t>R</t>
        </is>
      </c>
      <c r="L39" s="9" t="inlineStr">
        <is>
          <t>Khana Link</t>
        </is>
      </c>
      <c r="M39" s="17" t="inlineStr">
        <is>
          <t>28 km/h</t>
        </is>
      </c>
      <c r="N39" s="17" t="inlineStr">
        <is>
          <t>n/a</t>
        </is>
      </c>
      <c r="O39" s="9" t="inlineStr">
        <is>
          <t>-</t>
        </is>
      </c>
      <c r="P39" s="17" t="inlineStr">
        <is>
          <t>-</t>
        </is>
      </c>
    </row>
    <row r="40" ht="49" customHeight="1">
      <c r="A40" s="9" t="inlineStr">
        <is>
          <t>9 Jun</t>
        </is>
      </c>
      <c r="B40" s="9" t="inlineStr">
        <is>
          <t>30084</t>
        </is>
      </c>
      <c r="C40" s="9" t="inlineStr">
        <is>
          <t>Non-Valid</t>
        </is>
      </c>
      <c r="D40" s="9" t="inlineStr">
        <is>
          <t>16:50:22</t>
        </is>
      </c>
      <c r="E40" s="9" t="inlineStr">
        <is>
          <t>16:50:22</t>
        </is>
      </c>
      <c r="F40" s="9" t="n">
        <v>0</v>
      </c>
      <c r="G40" s="9" t="n">
        <v>1</v>
      </c>
      <c r="H40" s="9" t="n">
        <v>40</v>
      </c>
      <c r="I40" s="9" t="inlineStr">
        <is>
          <t>FS</t>
        </is>
      </c>
      <c r="J40" s="16" t="n">
        <v>113.57</v>
      </c>
      <c r="K40" s="9" t="inlineStr">
        <is>
          <t>R</t>
        </is>
      </c>
      <c r="L40" s="9" t="inlineStr">
        <is>
          <t>Khana Link</t>
        </is>
      </c>
      <c r="M40" s="17" t="inlineStr">
        <is>
          <t>40 km/h
There was an abnormal speed fluctuation of 6 kmph (from 34 to 40 km/h). Possible suspect: PG issue.</t>
        </is>
      </c>
      <c r="N40" s="17" t="inlineStr">
        <is>
          <t>n/a</t>
        </is>
      </c>
      <c r="O40" s="9" t="inlineStr">
        <is>
          <t>-</t>
        </is>
      </c>
      <c r="P40" s="18" t="inlineStr">
        <is>
          <t>PG issue (speed fluctuation)</t>
        </is>
      </c>
    </row>
    <row r="41">
      <c r="A41" s="9" t="inlineStr">
        <is>
          <t>9 Jun</t>
        </is>
      </c>
      <c r="B41" s="9" t="inlineStr">
        <is>
          <t>30084</t>
        </is>
      </c>
      <c r="C41" s="9" t="inlineStr">
        <is>
          <t>Non-Valid</t>
        </is>
      </c>
      <c r="D41" s="9" t="inlineStr">
        <is>
          <t>16:56:34</t>
        </is>
      </c>
      <c r="E41" s="9" t="inlineStr">
        <is>
          <t>16:56:46</t>
        </is>
      </c>
      <c r="F41" s="9" t="n">
        <v>12</v>
      </c>
      <c r="G41" s="9" t="n">
        <v>4</v>
      </c>
      <c r="H41" s="9" t="n">
        <v>31</v>
      </c>
      <c r="I41" s="9" t="inlineStr">
        <is>
          <t>FS</t>
        </is>
      </c>
      <c r="J41" s="16" t="n">
        <v>112.64</v>
      </c>
      <c r="K41" s="9" t="inlineStr">
        <is>
          <t>R</t>
        </is>
      </c>
      <c r="L41" s="9" t="inlineStr">
        <is>
          <t>Khana Link</t>
        </is>
      </c>
      <c r="M41" s="17" t="inlineStr">
        <is>
          <t>31 km/h</t>
        </is>
      </c>
      <c r="N41" s="17" t="inlineStr">
        <is>
          <t>n/a</t>
        </is>
      </c>
      <c r="O41" s="9" t="inlineStr">
        <is>
          <t>SOS</t>
        </is>
      </c>
      <c r="P41" s="18" t="inlineStr">
        <is>
          <t>Emergency: SOS</t>
        </is>
      </c>
    </row>
    <row r="42">
      <c r="A42" s="9" t="inlineStr">
        <is>
          <t>9 Jun</t>
        </is>
      </c>
      <c r="B42" s="9" t="inlineStr">
        <is>
          <t>30084</t>
        </is>
      </c>
      <c r="C42" s="9" t="inlineStr">
        <is>
          <t>Non-Valid</t>
        </is>
      </c>
      <c r="D42" s="9" t="inlineStr">
        <is>
          <t>17:04:26</t>
        </is>
      </c>
      <c r="E42" s="9" t="inlineStr">
        <is>
          <t>17:04:38</t>
        </is>
      </c>
      <c r="F42" s="9" t="n">
        <v>12</v>
      </c>
      <c r="G42" s="9" t="n">
        <v>6</v>
      </c>
      <c r="H42" s="9" t="n">
        <v>53</v>
      </c>
      <c r="I42" s="9" t="inlineStr">
        <is>
          <t>TRIP</t>
        </is>
      </c>
      <c r="J42" s="16" t="n">
        <v>110.59</v>
      </c>
      <c r="K42" s="9" t="inlineStr">
        <is>
          <t>R</t>
        </is>
      </c>
      <c r="L42" s="9" t="inlineStr">
        <is>
          <t>Khana Link</t>
        </is>
      </c>
      <c r="M42" s="17" t="inlineStr">
        <is>
          <t>53 km/h</t>
        </is>
      </c>
      <c r="N42" s="17" t="inlineStr">
        <is>
          <t>n/a</t>
        </is>
      </c>
      <c r="O42" s="9" t="inlineStr">
        <is>
          <t>-</t>
        </is>
      </c>
      <c r="P42" s="18" t="inlineStr">
        <is>
          <t>Trip mode</t>
        </is>
      </c>
    </row>
    <row r="43" ht="25" customHeight="1">
      <c r="A43" s="9" t="inlineStr">
        <is>
          <t>9 Jun</t>
        </is>
      </c>
      <c r="B43" s="9" t="inlineStr">
        <is>
          <t>37400</t>
        </is>
      </c>
      <c r="C43" s="9" t="inlineStr">
        <is>
          <t>Non-Valid</t>
        </is>
      </c>
      <c r="D43" s="9" t="inlineStr">
        <is>
          <t>19:35:54</t>
        </is>
      </c>
      <c r="E43" s="9" t="inlineStr">
        <is>
          <t>19:35:58</t>
        </is>
      </c>
      <c r="F43" s="9" t="n">
        <v>4</v>
      </c>
      <c r="G43" s="9" t="n">
        <v>2</v>
      </c>
      <c r="H43" s="9" t="n">
        <v>4</v>
      </c>
      <c r="I43" s="9" t="inlineStr">
        <is>
          <t>FS</t>
        </is>
      </c>
      <c r="J43" s="16" t="n">
        <v>94.66</v>
      </c>
      <c r="K43" s="9" t="inlineStr">
        <is>
          <t>N</t>
        </is>
      </c>
      <c r="L43" s="9" t="inlineStr">
        <is>
          <t>Barddhaman Jn</t>
        </is>
      </c>
      <c r="M43" s="17" t="inlineStr">
        <is>
          <t>4 km/h</t>
        </is>
      </c>
      <c r="N43" s="17" t="inlineStr">
        <is>
          <t>215</t>
        </is>
      </c>
      <c r="O43" s="9" t="inlineStr">
        <is>
          <t>-</t>
        </is>
      </c>
      <c r="P43" s="17" t="inlineStr">
        <is>
          <t>-</t>
        </is>
      </c>
    </row>
    <row r="44" ht="25" customHeight="1">
      <c r="A44" s="9" t="inlineStr">
        <is>
          <t>9 Jun</t>
        </is>
      </c>
      <c r="B44" s="9" t="inlineStr">
        <is>
          <t>37400</t>
        </is>
      </c>
      <c r="C44" s="9" t="inlineStr">
        <is>
          <t>Non-Valid</t>
        </is>
      </c>
      <c r="D44" s="9" t="inlineStr">
        <is>
          <t>19:39:34</t>
        </is>
      </c>
      <c r="E44" s="9" t="inlineStr">
        <is>
          <t>19:39:34</t>
        </is>
      </c>
      <c r="F44" s="9" t="n">
        <v>0</v>
      </c>
      <c r="G44" s="9" t="n">
        <v>1</v>
      </c>
      <c r="H44" s="9" t="n">
        <v>1</v>
      </c>
      <c r="I44" s="9" t="inlineStr">
        <is>
          <t>POSTTRIP</t>
        </is>
      </c>
      <c r="J44" s="16" t="n">
        <v>94.78</v>
      </c>
      <c r="K44" s="9" t="inlineStr">
        <is>
          <t>N</t>
        </is>
      </c>
      <c r="L44" s="9" t="inlineStr">
        <is>
          <t>Barddhaman Jn</t>
        </is>
      </c>
      <c r="M44" s="17" t="inlineStr">
        <is>
          <t>1 km/h</t>
        </is>
      </c>
      <c r="N44" s="17" t="inlineStr">
        <is>
          <t>110</t>
        </is>
      </c>
      <c r="O44" s="9" t="inlineStr">
        <is>
          <t>-</t>
        </is>
      </c>
      <c r="P44" s="18" t="inlineStr">
        <is>
          <t>EB at 0-1 km/h</t>
        </is>
      </c>
    </row>
    <row r="45" ht="25" customHeight="1">
      <c r="A45" s="9" t="inlineStr">
        <is>
          <t>9 Jun</t>
        </is>
      </c>
      <c r="B45" s="9" t="inlineStr">
        <is>
          <t>37400</t>
        </is>
      </c>
      <c r="C45" s="9" t="inlineStr">
        <is>
          <t>Non-Valid</t>
        </is>
      </c>
      <c r="D45" s="9" t="inlineStr">
        <is>
          <t>19:40:36</t>
        </is>
      </c>
      <c r="E45" s="9" t="inlineStr">
        <is>
          <t>19:40:38</t>
        </is>
      </c>
      <c r="F45" s="9" t="n">
        <v>2</v>
      </c>
      <c r="G45" s="9" t="n">
        <v>2</v>
      </c>
      <c r="H45" s="9" t="n">
        <v>1</v>
      </c>
      <c r="I45" s="9" t="inlineStr">
        <is>
          <t>POSTTRIP</t>
        </is>
      </c>
      <c r="J45" s="16" t="n">
        <v>94.78</v>
      </c>
      <c r="K45" s="9" t="inlineStr">
        <is>
          <t>N</t>
        </is>
      </c>
      <c r="L45" s="9" t="inlineStr">
        <is>
          <t>Barddhaman Jn</t>
        </is>
      </c>
      <c r="M45" s="17" t="inlineStr">
        <is>
          <t>1 km/h</t>
        </is>
      </c>
      <c r="N45" s="17" t="inlineStr">
        <is>
          <t>110</t>
        </is>
      </c>
      <c r="O45" s="9" t="inlineStr">
        <is>
          <t>-</t>
        </is>
      </c>
      <c r="P45" s="18" t="inlineStr">
        <is>
          <t>EB at 0-1 km/h</t>
        </is>
      </c>
    </row>
    <row r="46">
      <c r="A46" s="9" t="inlineStr">
        <is>
          <t>9 Jun</t>
        </is>
      </c>
      <c r="B46" s="9" t="inlineStr">
        <is>
          <t>37533</t>
        </is>
      </c>
      <c r="C46" s="9" t="inlineStr">
        <is>
          <t>Non-Valid</t>
        </is>
      </c>
      <c r="D46" s="9" t="inlineStr">
        <is>
          <t>23:50:34</t>
        </is>
      </c>
      <c r="E46" s="9" t="inlineStr">
        <is>
          <t>23:50:54</t>
        </is>
      </c>
      <c r="F46" s="9" t="n">
        <v>20</v>
      </c>
      <c r="G46" s="9" t="n">
        <v>11</v>
      </c>
      <c r="H46" s="9" t="n">
        <v>44</v>
      </c>
      <c r="I46" s="9" t="inlineStr">
        <is>
          <t>OS</t>
        </is>
      </c>
      <c r="J46" s="16" t="n">
        <v>2.14</v>
      </c>
      <c r="K46" s="9" t="inlineStr">
        <is>
          <t>N</t>
        </is>
      </c>
      <c r="L46" s="9" t="inlineStr">
        <is>
          <t>Howrah</t>
        </is>
      </c>
      <c r="M46" s="17" t="inlineStr">
        <is>
          <t>44 km/h</t>
        </is>
      </c>
      <c r="N46" s="17" t="inlineStr">
        <is>
          <t>150</t>
        </is>
      </c>
      <c r="O46" s="9" t="inlineStr">
        <is>
          <t>-</t>
        </is>
      </c>
      <c r="P46" s="17" t="inlineStr">
        <is>
          <t>-</t>
        </is>
      </c>
    </row>
    <row r="47">
      <c r="A47" s="9" t="inlineStr">
        <is>
          <t>10 Jun</t>
        </is>
      </c>
      <c r="B47" s="9" t="inlineStr">
        <is>
          <t>37452</t>
        </is>
      </c>
      <c r="C47" s="9" t="inlineStr">
        <is>
          <t>Non-Valid</t>
        </is>
      </c>
      <c r="D47" s="9" t="inlineStr">
        <is>
          <t>03:09:52</t>
        </is>
      </c>
      <c r="E47" s="9" t="inlineStr">
        <is>
          <t>03:09:52</t>
        </is>
      </c>
      <c r="F47" s="9" t="n">
        <v>0</v>
      </c>
      <c r="G47" s="9" t="n">
        <v>1</v>
      </c>
      <c r="H47" s="9" t="n">
        <v>127</v>
      </c>
      <c r="I47" s="9" t="inlineStr">
        <is>
          <t>FS</t>
        </is>
      </c>
      <c r="J47" s="16" t="n">
        <v>154.76</v>
      </c>
      <c r="K47" s="9" t="inlineStr">
        <is>
          <t>R</t>
        </is>
      </c>
      <c r="L47" s="9" t="inlineStr">
        <is>
          <t>LC-111</t>
        </is>
      </c>
      <c r="M47" s="17" t="inlineStr">
        <is>
          <t>127 km/h</t>
        </is>
      </c>
      <c r="N47" s="17" t="inlineStr">
        <is>
          <t>5191</t>
        </is>
      </c>
      <c r="O47" s="9" t="inlineStr">
        <is>
          <t>-</t>
        </is>
      </c>
      <c r="P47" s="17" t="inlineStr">
        <is>
          <t>-</t>
        </is>
      </c>
    </row>
    <row r="48">
      <c r="A48" s="9" t="inlineStr">
        <is>
          <t>10 Jun</t>
        </is>
      </c>
      <c r="B48" s="9" t="inlineStr">
        <is>
          <t>30084</t>
        </is>
      </c>
      <c r="C48" s="9" t="inlineStr">
        <is>
          <t>Non-Valid</t>
        </is>
      </c>
      <c r="D48" s="9" t="inlineStr">
        <is>
          <t>10:56:12</t>
        </is>
      </c>
      <c r="E48" s="9" t="inlineStr">
        <is>
          <t>10:57:08</t>
        </is>
      </c>
      <c r="F48" s="9" t="n">
        <v>56</v>
      </c>
      <c r="G48" s="9" t="n">
        <v>28</v>
      </c>
      <c r="H48" s="9" t="n">
        <v>28</v>
      </c>
      <c r="I48" s="9" t="inlineStr">
        <is>
          <t>OS</t>
        </is>
      </c>
      <c r="J48" s="16" t="n">
        <v>110.48</v>
      </c>
      <c r="K48" s="9" t="inlineStr">
        <is>
          <t>N</t>
        </is>
      </c>
      <c r="L48" s="9" t="inlineStr">
        <is>
          <t>Khana Link</t>
        </is>
      </c>
      <c r="M48" s="17" t="inlineStr">
        <is>
          <t>28 km/h</t>
        </is>
      </c>
      <c r="N48" s="17" t="inlineStr">
        <is>
          <t>n/a</t>
        </is>
      </c>
      <c r="O48" s="9" t="inlineStr">
        <is>
          <t>-</t>
        </is>
      </c>
      <c r="P48" s="17" t="inlineStr">
        <is>
          <t>-</t>
        </is>
      </c>
    </row>
    <row r="49">
      <c r="A49" s="9" t="inlineStr">
        <is>
          <t>10 Jun</t>
        </is>
      </c>
      <c r="B49" s="9" t="inlineStr">
        <is>
          <t>30084</t>
        </is>
      </c>
      <c r="C49" s="9" t="inlineStr">
        <is>
          <t>Non-Valid</t>
        </is>
      </c>
      <c r="D49" s="9" t="inlineStr">
        <is>
          <t>10:57:24</t>
        </is>
      </c>
      <c r="E49" s="9" t="inlineStr">
        <is>
          <t>10:57:38</t>
        </is>
      </c>
      <c r="F49" s="9" t="n">
        <v>14</v>
      </c>
      <c r="G49" s="9" t="n">
        <v>8</v>
      </c>
      <c r="H49" s="9" t="n">
        <v>4</v>
      </c>
      <c r="I49" s="9" t="inlineStr">
        <is>
          <t>TRIP</t>
        </is>
      </c>
      <c r="J49" s="16" t="n">
        <v>110.89</v>
      </c>
      <c r="K49" s="9" t="inlineStr">
        <is>
          <t>N</t>
        </is>
      </c>
      <c r="L49" s="9" t="inlineStr">
        <is>
          <t>Khana Link</t>
        </is>
      </c>
      <c r="M49" s="17" t="inlineStr">
        <is>
          <t>4 km/h</t>
        </is>
      </c>
      <c r="N49" s="17" t="inlineStr">
        <is>
          <t>n/a</t>
        </is>
      </c>
      <c r="O49" s="9" t="inlineStr">
        <is>
          <t>-</t>
        </is>
      </c>
      <c r="P49" s="18" t="inlineStr">
        <is>
          <t>Trip mode</t>
        </is>
      </c>
    </row>
    <row r="50">
      <c r="A50" s="9" t="inlineStr">
        <is>
          <t>10 Jun</t>
        </is>
      </c>
      <c r="B50" s="9" t="inlineStr">
        <is>
          <t>30084</t>
        </is>
      </c>
      <c r="C50" s="9" t="inlineStr">
        <is>
          <t>Non-Valid</t>
        </is>
      </c>
      <c r="D50" s="9" t="inlineStr">
        <is>
          <t>10:58:00</t>
        </is>
      </c>
      <c r="E50" s="9" t="inlineStr">
        <is>
          <t>10:58:06</t>
        </is>
      </c>
      <c r="F50" s="9" t="n">
        <v>6</v>
      </c>
      <c r="G50" s="9" t="n">
        <v>4</v>
      </c>
      <c r="H50" s="9" t="n">
        <v>9</v>
      </c>
      <c r="I50" s="9" t="inlineStr">
        <is>
          <t>POSTTRIP</t>
        </is>
      </c>
      <c r="J50" s="16" t="n">
        <v>110.91</v>
      </c>
      <c r="K50" s="9" t="inlineStr">
        <is>
          <t>N</t>
        </is>
      </c>
      <c r="L50" s="9" t="inlineStr">
        <is>
          <t>Khana Link</t>
        </is>
      </c>
      <c r="M50" s="17" t="inlineStr">
        <is>
          <t>1 km/h</t>
        </is>
      </c>
      <c r="N50" s="17" t="inlineStr">
        <is>
          <t>n/a</t>
        </is>
      </c>
      <c r="O50" s="9" t="inlineStr">
        <is>
          <t>-</t>
        </is>
      </c>
      <c r="P50" s="18" t="inlineStr">
        <is>
          <t>EB at 0-1 km/h</t>
        </is>
      </c>
    </row>
    <row r="51">
      <c r="A51" s="9" t="inlineStr">
        <is>
          <t>10 Jun</t>
        </is>
      </c>
      <c r="B51" s="9" t="inlineStr">
        <is>
          <t>30084</t>
        </is>
      </c>
      <c r="C51" s="9" t="inlineStr">
        <is>
          <t>Non-Valid</t>
        </is>
      </c>
      <c r="D51" s="9" t="inlineStr">
        <is>
          <t>11:03:06</t>
        </is>
      </c>
      <c r="E51" s="9" t="inlineStr">
        <is>
          <t>11:03:10</t>
        </is>
      </c>
      <c r="F51" s="9" t="n">
        <v>4</v>
      </c>
      <c r="G51" s="9" t="n">
        <v>3</v>
      </c>
      <c r="H51" s="9" t="n">
        <v>11</v>
      </c>
      <c r="I51" s="9" t="inlineStr">
        <is>
          <t>TRIP</t>
        </is>
      </c>
      <c r="J51" s="16" t="n">
        <v>111.53</v>
      </c>
      <c r="K51" s="9" t="inlineStr">
        <is>
          <t>N</t>
        </is>
      </c>
      <c r="L51" s="9" t="inlineStr">
        <is>
          <t>Khana Link</t>
        </is>
      </c>
      <c r="M51" s="17" t="inlineStr">
        <is>
          <t>11 km/h</t>
        </is>
      </c>
      <c r="N51" s="17" t="inlineStr">
        <is>
          <t>n/a</t>
        </is>
      </c>
      <c r="O51" s="9" t="inlineStr">
        <is>
          <t>-</t>
        </is>
      </c>
      <c r="P51" s="18" t="inlineStr">
        <is>
          <t>Trip mode</t>
        </is>
      </c>
    </row>
    <row r="52">
      <c r="A52" s="9" t="inlineStr">
        <is>
          <t>10 Jun</t>
        </is>
      </c>
      <c r="B52" s="9" t="inlineStr">
        <is>
          <t>30084</t>
        </is>
      </c>
      <c r="C52" s="9" t="inlineStr">
        <is>
          <t>Non-Valid</t>
        </is>
      </c>
      <c r="D52" s="9" t="inlineStr">
        <is>
          <t>11:04:26</t>
        </is>
      </c>
      <c r="E52" s="9" t="inlineStr">
        <is>
          <t>11:05:58</t>
        </is>
      </c>
      <c r="F52" s="9" t="n">
        <v>92</v>
      </c>
      <c r="G52" s="9" t="n">
        <v>42</v>
      </c>
      <c r="H52" s="9" t="n">
        <v>169</v>
      </c>
      <c r="I52" s="9" t="inlineStr">
        <is>
          <t>OS</t>
        </is>
      </c>
      <c r="J52" s="16" t="n">
        <v>112.38</v>
      </c>
      <c r="K52" s="9" t="inlineStr">
        <is>
          <t>N</t>
        </is>
      </c>
      <c r="L52" s="9" t="inlineStr">
        <is>
          <t>Khana Link</t>
        </is>
      </c>
      <c r="M52" s="17" t="inlineStr">
        <is>
          <t>120 km/h</t>
        </is>
      </c>
      <c r="N52" s="17" t="inlineStr">
        <is>
          <t>n/a</t>
        </is>
      </c>
      <c r="O52" s="9" t="inlineStr">
        <is>
          <t>-</t>
        </is>
      </c>
      <c r="P52" s="17" t="inlineStr">
        <is>
          <t>-</t>
        </is>
      </c>
    </row>
    <row r="53">
      <c r="A53" s="9" t="inlineStr">
        <is>
          <t>10 Jun</t>
        </is>
      </c>
      <c r="B53" s="9" t="inlineStr">
        <is>
          <t>30084</t>
        </is>
      </c>
      <c r="C53" s="9" t="inlineStr">
        <is>
          <t>Non-Valid</t>
        </is>
      </c>
      <c r="D53" s="9" t="inlineStr">
        <is>
          <t>12:14:48</t>
        </is>
      </c>
      <c r="E53" s="9" t="inlineStr">
        <is>
          <t>12:15:18</t>
        </is>
      </c>
      <c r="F53" s="9" t="n">
        <v>30</v>
      </c>
      <c r="G53" s="9" t="n">
        <v>16</v>
      </c>
      <c r="H53" s="9" t="n">
        <v>48</v>
      </c>
      <c r="I53" s="9" t="inlineStr">
        <is>
          <t>OS</t>
        </is>
      </c>
      <c r="J53" s="16" t="n">
        <v>110.43</v>
      </c>
      <c r="K53" s="9" t="inlineStr">
        <is>
          <t>N</t>
        </is>
      </c>
      <c r="L53" s="9" t="inlineStr">
        <is>
          <t>Khana Link</t>
        </is>
      </c>
      <c r="M53" s="17" t="inlineStr">
        <is>
          <t>48 km/h</t>
        </is>
      </c>
      <c r="N53" s="17" t="inlineStr">
        <is>
          <t>n/a</t>
        </is>
      </c>
      <c r="O53" s="9" t="inlineStr">
        <is>
          <t>-</t>
        </is>
      </c>
      <c r="P53" s="17" t="inlineStr">
        <is>
          <t>-</t>
        </is>
      </c>
    </row>
    <row r="54">
      <c r="A54" s="9" t="inlineStr">
        <is>
          <t>10 Jun</t>
        </is>
      </c>
      <c r="B54" s="9" t="inlineStr">
        <is>
          <t>30084</t>
        </is>
      </c>
      <c r="C54" s="9" t="inlineStr">
        <is>
          <t>Non-Valid</t>
        </is>
      </c>
      <c r="D54" s="9" t="inlineStr">
        <is>
          <t>12:16:26</t>
        </is>
      </c>
      <c r="E54" s="9" t="inlineStr">
        <is>
          <t>12:16:30</t>
        </is>
      </c>
      <c r="F54" s="9" t="n">
        <v>4</v>
      </c>
      <c r="G54" s="9" t="n">
        <v>3</v>
      </c>
      <c r="H54" s="9" t="n">
        <v>9</v>
      </c>
      <c r="I54" s="9" t="inlineStr">
        <is>
          <t>TRIP</t>
        </is>
      </c>
      <c r="J54" s="16" t="n">
        <v>110.72</v>
      </c>
      <c r="K54" s="9" t="inlineStr">
        <is>
          <t>N</t>
        </is>
      </c>
      <c r="L54" s="9" t="inlineStr">
        <is>
          <t>Khana Link</t>
        </is>
      </c>
      <c r="M54" s="17" t="inlineStr">
        <is>
          <t>3 km/h</t>
        </is>
      </c>
      <c r="N54" s="17" t="inlineStr">
        <is>
          <t>n/a</t>
        </is>
      </c>
      <c r="O54" s="9" t="inlineStr">
        <is>
          <t>-</t>
        </is>
      </c>
      <c r="P54" s="18" t="inlineStr">
        <is>
          <t>Trip mode</t>
        </is>
      </c>
    </row>
    <row r="55">
      <c r="A55" s="9" t="inlineStr">
        <is>
          <t>10 Jun</t>
        </is>
      </c>
      <c r="B55" s="9" t="inlineStr">
        <is>
          <t>30084</t>
        </is>
      </c>
      <c r="C55" s="9" t="inlineStr">
        <is>
          <t>Non-Valid</t>
        </is>
      </c>
      <c r="D55" s="9" t="inlineStr">
        <is>
          <t>12:16:44</t>
        </is>
      </c>
      <c r="E55" s="9" t="inlineStr">
        <is>
          <t>12:16:50</t>
        </is>
      </c>
      <c r="F55" s="9" t="n">
        <v>6</v>
      </c>
      <c r="G55" s="9" t="n">
        <v>4</v>
      </c>
      <c r="H55" s="9" t="n">
        <v>5</v>
      </c>
      <c r="I55" s="9" t="inlineStr">
        <is>
          <t>POSTTRIP</t>
        </is>
      </c>
      <c r="J55" s="16" t="n">
        <v>110.73</v>
      </c>
      <c r="K55" s="9" t="inlineStr">
        <is>
          <t>N</t>
        </is>
      </c>
      <c r="L55" s="9" t="inlineStr">
        <is>
          <t>Khana Link</t>
        </is>
      </c>
      <c r="M55" s="17" t="inlineStr">
        <is>
          <t>4 km/h</t>
        </is>
      </c>
      <c r="N55" s="17" t="inlineStr">
        <is>
          <t>n/a</t>
        </is>
      </c>
      <c r="O55" s="9" t="inlineStr">
        <is>
          <t>-</t>
        </is>
      </c>
      <c r="P55" s="17" t="inlineStr">
        <is>
          <t>-</t>
        </is>
      </c>
    </row>
    <row r="56">
      <c r="A56" s="9" t="inlineStr">
        <is>
          <t>10 Jun</t>
        </is>
      </c>
      <c r="B56" s="9" t="inlineStr">
        <is>
          <t>30084</t>
        </is>
      </c>
      <c r="C56" s="9" t="inlineStr">
        <is>
          <t>Non-Valid</t>
        </is>
      </c>
      <c r="D56" s="9" t="inlineStr">
        <is>
          <t>12:24:18</t>
        </is>
      </c>
      <c r="E56" s="9" t="inlineStr">
        <is>
          <t>12:24:38</t>
        </is>
      </c>
      <c r="F56" s="9" t="n">
        <v>20</v>
      </c>
      <c r="G56" s="9" t="n">
        <v>11</v>
      </c>
      <c r="H56" s="9" t="n">
        <v>31</v>
      </c>
      <c r="I56" s="9" t="inlineStr">
        <is>
          <t>TRIP</t>
        </is>
      </c>
      <c r="J56" s="16" t="n">
        <v>111.53</v>
      </c>
      <c r="K56" s="9" t="inlineStr">
        <is>
          <t>N</t>
        </is>
      </c>
      <c r="L56" s="9" t="inlineStr">
        <is>
          <t>Khana Link</t>
        </is>
      </c>
      <c r="M56" s="17" t="inlineStr">
        <is>
          <t>17 km/h</t>
        </is>
      </c>
      <c r="N56" s="17" t="inlineStr">
        <is>
          <t>n/a</t>
        </is>
      </c>
      <c r="O56" s="9" t="inlineStr">
        <is>
          <t>-</t>
        </is>
      </c>
      <c r="P56" s="18" t="inlineStr">
        <is>
          <t>Trip mode</t>
        </is>
      </c>
    </row>
    <row r="57">
      <c r="A57" s="9" t="inlineStr">
        <is>
          <t>10 Jun</t>
        </is>
      </c>
      <c r="B57" s="9" t="inlineStr">
        <is>
          <t>30084</t>
        </is>
      </c>
      <c r="C57" s="9" t="inlineStr">
        <is>
          <t>Non-Valid</t>
        </is>
      </c>
      <c r="D57" s="9" t="inlineStr">
        <is>
          <t>12:30:00</t>
        </is>
      </c>
      <c r="E57" s="9" t="inlineStr">
        <is>
          <t>12:30:28</t>
        </is>
      </c>
      <c r="F57" s="9" t="n">
        <v>28</v>
      </c>
      <c r="G57" s="9" t="n">
        <v>15</v>
      </c>
      <c r="H57" s="9" t="n">
        <v>17</v>
      </c>
      <c r="I57" s="9" t="inlineStr">
        <is>
          <t>OS</t>
        </is>
      </c>
      <c r="J57" s="16" t="n">
        <v>112.01</v>
      </c>
      <c r="K57" s="9" t="inlineStr">
        <is>
          <t>N</t>
        </is>
      </c>
      <c r="L57" s="9" t="inlineStr">
        <is>
          <t>Khana Link</t>
        </is>
      </c>
      <c r="M57" s="17" t="inlineStr">
        <is>
          <t>17 km/h</t>
        </is>
      </c>
      <c r="N57" s="17" t="inlineStr">
        <is>
          <t>n/a</t>
        </is>
      </c>
      <c r="O57" s="9" t="inlineStr">
        <is>
          <t>SOS</t>
        </is>
      </c>
      <c r="P57" s="18" t="inlineStr">
        <is>
          <t>Emergency: SOS</t>
        </is>
      </c>
    </row>
    <row r="58">
      <c r="A58" s="9" t="inlineStr">
        <is>
          <t>10 Jun</t>
        </is>
      </c>
      <c r="B58" s="9" t="inlineStr">
        <is>
          <t>30084</t>
        </is>
      </c>
      <c r="C58" s="9" t="inlineStr">
        <is>
          <t>Non-Valid</t>
        </is>
      </c>
      <c r="D58" s="9" t="inlineStr">
        <is>
          <t>12:30:58</t>
        </is>
      </c>
      <c r="E58" s="9" t="inlineStr">
        <is>
          <t>12:31:16</t>
        </is>
      </c>
      <c r="F58" s="9" t="n">
        <v>18</v>
      </c>
      <c r="G58" s="9" t="n">
        <v>10</v>
      </c>
      <c r="H58" s="9" t="n">
        <v>17</v>
      </c>
      <c r="I58" s="9" t="inlineStr">
        <is>
          <t>OS</t>
        </is>
      </c>
      <c r="J58" s="16" t="n">
        <v>112.28</v>
      </c>
      <c r="K58" s="9" t="inlineStr">
        <is>
          <t>N</t>
        </is>
      </c>
      <c r="L58" s="9" t="inlineStr">
        <is>
          <t>Khana Link</t>
        </is>
      </c>
      <c r="M58" s="17" t="inlineStr">
        <is>
          <t>17 km/h</t>
        </is>
      </c>
      <c r="N58" s="17" t="inlineStr">
        <is>
          <t>n/a</t>
        </is>
      </c>
      <c r="O58" s="9" t="inlineStr">
        <is>
          <t>-</t>
        </is>
      </c>
      <c r="P58" s="17" t="inlineStr">
        <is>
          <t>-</t>
        </is>
      </c>
    </row>
    <row r="59">
      <c r="A59" s="9" t="inlineStr">
        <is>
          <t>10 Jun</t>
        </is>
      </c>
      <c r="B59" s="9" t="inlineStr">
        <is>
          <t>30084</t>
        </is>
      </c>
      <c r="C59" s="9" t="inlineStr">
        <is>
          <t>Non-Valid</t>
        </is>
      </c>
      <c r="D59" s="9" t="inlineStr">
        <is>
          <t>12:39:50</t>
        </is>
      </c>
      <c r="E59" s="9" t="inlineStr">
        <is>
          <t>12:40:16</t>
        </is>
      </c>
      <c r="F59" s="9" t="n">
        <v>26</v>
      </c>
      <c r="G59" s="9" t="n">
        <v>14</v>
      </c>
      <c r="H59" s="9" t="n">
        <v>52</v>
      </c>
      <c r="I59" s="9" t="inlineStr">
        <is>
          <t>TRIP</t>
        </is>
      </c>
      <c r="J59" s="16" t="n">
        <v>113.57</v>
      </c>
      <c r="K59" s="9" t="inlineStr">
        <is>
          <t>N</t>
        </is>
      </c>
      <c r="L59" s="9" t="inlineStr">
        <is>
          <t>Khana Link</t>
        </is>
      </c>
      <c r="M59" s="17" t="inlineStr">
        <is>
          <t>39 km/h</t>
        </is>
      </c>
      <c r="N59" s="17" t="inlineStr">
        <is>
          <t>n/a</t>
        </is>
      </c>
      <c r="O59" s="9" t="inlineStr">
        <is>
          <t>-</t>
        </is>
      </c>
      <c r="P59" s="18" t="inlineStr">
        <is>
          <t>Trip mode</t>
        </is>
      </c>
    </row>
    <row r="60" ht="49" customHeight="1">
      <c r="A60" s="9" t="inlineStr">
        <is>
          <t>10 Jun</t>
        </is>
      </c>
      <c r="B60" s="9" t="inlineStr">
        <is>
          <t>37025</t>
        </is>
      </c>
      <c r="C60" s="9" t="inlineStr">
        <is>
          <t>Non-Valid</t>
        </is>
      </c>
      <c r="D60" s="9" t="inlineStr">
        <is>
          <t>12:46:52</t>
        </is>
      </c>
      <c r="E60" s="9" t="inlineStr">
        <is>
          <t>12:46:52</t>
        </is>
      </c>
      <c r="F60" s="9" t="n">
        <v>0</v>
      </c>
      <c r="G60" s="9" t="n">
        <v>1</v>
      </c>
      <c r="H60" s="9" t="n">
        <v>129</v>
      </c>
      <c r="I60" s="9" t="inlineStr">
        <is>
          <t>FS</t>
        </is>
      </c>
      <c r="J60" s="16" t="n">
        <v>107.05</v>
      </c>
      <c r="K60" s="9" t="inlineStr">
        <is>
          <t>N</t>
        </is>
      </c>
      <c r="L60" s="9" t="inlineStr">
        <is>
          <t>Khana Jn</t>
        </is>
      </c>
      <c r="M60" s="17" t="inlineStr">
        <is>
          <t>129 km/h</t>
        </is>
      </c>
      <c r="N60" s="17" t="inlineStr">
        <is>
          <t>1357
MA dropped from 3789 to 1357.</t>
        </is>
      </c>
      <c r="O60" s="9" t="inlineStr">
        <is>
          <t>-</t>
        </is>
      </c>
      <c r="P60" s="18" t="inlineStr">
        <is>
          <t>Sudden MA drop</t>
        </is>
      </c>
    </row>
    <row r="61">
      <c r="A61" s="9" t="inlineStr">
        <is>
          <t>10 Jun</t>
        </is>
      </c>
      <c r="B61" s="9" t="inlineStr">
        <is>
          <t>38842</t>
        </is>
      </c>
      <c r="C61" s="9" t="inlineStr">
        <is>
          <t>Non-Valid</t>
        </is>
      </c>
      <c r="D61" s="9" t="inlineStr">
        <is>
          <t>13:12:58</t>
        </is>
      </c>
      <c r="E61" s="9" t="inlineStr">
        <is>
          <t>13:13:08</t>
        </is>
      </c>
      <c r="F61" s="9" t="n">
        <v>10</v>
      </c>
      <c r="G61" s="9" t="n">
        <v>6</v>
      </c>
      <c r="H61" s="9" t="n">
        <v>4</v>
      </c>
      <c r="I61" s="9" t="inlineStr">
        <is>
          <t>TRIP</t>
        </is>
      </c>
      <c r="J61" s="16" t="n">
        <v>0.15</v>
      </c>
      <c r="K61" s="9" t="inlineStr">
        <is>
          <t>R</t>
        </is>
      </c>
      <c r="L61" s="9" t="inlineStr">
        <is>
          <t>Howrah</t>
        </is>
      </c>
      <c r="M61" s="17" t="inlineStr">
        <is>
          <t>4 km/h</t>
        </is>
      </c>
      <c r="N61" s="17" t="inlineStr">
        <is>
          <t>n/a</t>
        </is>
      </c>
      <c r="O61" s="9" t="inlineStr">
        <is>
          <t>-</t>
        </is>
      </c>
      <c r="P61" s="18" t="inlineStr">
        <is>
          <t>Trip mode</t>
        </is>
      </c>
    </row>
    <row r="62">
      <c r="A62" s="9" t="inlineStr">
        <is>
          <t>10 Jun</t>
        </is>
      </c>
      <c r="B62" s="9" t="inlineStr">
        <is>
          <t>38842</t>
        </is>
      </c>
      <c r="C62" s="9" t="inlineStr">
        <is>
          <t>Non-Valid</t>
        </is>
      </c>
      <c r="D62" s="9" t="inlineStr">
        <is>
          <t>13:25:30</t>
        </is>
      </c>
      <c r="E62" s="9" t="inlineStr">
        <is>
          <t>13:25:30</t>
        </is>
      </c>
      <c r="F62" s="9" t="n">
        <v>0</v>
      </c>
      <c r="G62" s="9" t="n">
        <v>1</v>
      </c>
      <c r="H62" s="9" t="n">
        <v>3</v>
      </c>
      <c r="I62" s="9" t="inlineStr">
        <is>
          <t>FS</t>
        </is>
      </c>
      <c r="J62" s="16" t="n">
        <v>0.45</v>
      </c>
      <c r="K62" s="9" t="inlineStr">
        <is>
          <t>N</t>
        </is>
      </c>
      <c r="L62" s="9" t="inlineStr">
        <is>
          <t>Howrah</t>
        </is>
      </c>
      <c r="M62" s="17" t="inlineStr">
        <is>
          <t>3 km/h</t>
        </is>
      </c>
      <c r="N62" s="17" t="inlineStr">
        <is>
          <t>n/a</t>
        </is>
      </c>
      <c r="O62" s="9" t="inlineStr">
        <is>
          <t>-</t>
        </is>
      </c>
      <c r="P62" s="17" t="inlineStr">
        <is>
          <t>-</t>
        </is>
      </c>
    </row>
    <row r="63">
      <c r="A63" s="9" t="inlineStr">
        <is>
          <t>10 Jun</t>
        </is>
      </c>
      <c r="B63" s="9" t="inlineStr">
        <is>
          <t>38842</t>
        </is>
      </c>
      <c r="C63" s="9" t="inlineStr">
        <is>
          <t>Non-Valid</t>
        </is>
      </c>
      <c r="D63" s="9" t="inlineStr">
        <is>
          <t>13:25:34</t>
        </is>
      </c>
      <c r="E63" s="9" t="inlineStr">
        <is>
          <t>13:25:34</t>
        </is>
      </c>
      <c r="F63" s="9" t="n">
        <v>0</v>
      </c>
      <c r="G63" s="9" t="n">
        <v>1</v>
      </c>
      <c r="H63" s="9" t="n">
        <v>3</v>
      </c>
      <c r="I63" s="9" t="inlineStr">
        <is>
          <t>FS</t>
        </is>
      </c>
      <c r="J63" s="16" t="n">
        <v>0.46</v>
      </c>
      <c r="K63" s="9" t="inlineStr">
        <is>
          <t>N</t>
        </is>
      </c>
      <c r="L63" s="9" t="inlineStr">
        <is>
          <t>Howrah</t>
        </is>
      </c>
      <c r="M63" s="17" t="inlineStr">
        <is>
          <t>3 km/h</t>
        </is>
      </c>
      <c r="N63" s="17" t="inlineStr">
        <is>
          <t>n/a</t>
        </is>
      </c>
      <c r="O63" s="9" t="inlineStr">
        <is>
          <t>-</t>
        </is>
      </c>
      <c r="P63" s="17" t="inlineStr">
        <is>
          <t>-</t>
        </is>
      </c>
    </row>
    <row r="64">
      <c r="A64" s="9" t="inlineStr">
        <is>
          <t>10 Jun</t>
        </is>
      </c>
      <c r="B64" s="9" t="inlineStr">
        <is>
          <t>38842</t>
        </is>
      </c>
      <c r="C64" s="9" t="inlineStr">
        <is>
          <t>Non-Valid</t>
        </is>
      </c>
      <c r="D64" s="9" t="inlineStr">
        <is>
          <t>13:26:10</t>
        </is>
      </c>
      <c r="E64" s="9" t="inlineStr">
        <is>
          <t>13:26:34</t>
        </is>
      </c>
      <c r="F64" s="9" t="n">
        <v>24</v>
      </c>
      <c r="G64" s="9" t="n">
        <v>13</v>
      </c>
      <c r="H64" s="9" t="n">
        <v>4</v>
      </c>
      <c r="I64" s="9" t="inlineStr">
        <is>
          <t>TRIP</t>
        </is>
      </c>
      <c r="J64" s="16" t="n">
        <v>0.47</v>
      </c>
      <c r="K64" s="9" t="inlineStr">
        <is>
          <t>N</t>
        </is>
      </c>
      <c r="L64" s="9" t="inlineStr">
        <is>
          <t>Howrah</t>
        </is>
      </c>
      <c r="M64" s="17" t="inlineStr">
        <is>
          <t>4 km/h</t>
        </is>
      </c>
      <c r="N64" s="17" t="inlineStr">
        <is>
          <t>n/a</t>
        </is>
      </c>
      <c r="O64" s="9" t="inlineStr">
        <is>
          <t>-</t>
        </is>
      </c>
      <c r="P64" s="18" t="inlineStr">
        <is>
          <t>Trip mode</t>
        </is>
      </c>
    </row>
    <row r="65" ht="34" customHeight="1">
      <c r="A65" s="9" t="inlineStr">
        <is>
          <t>10 Jun</t>
        </is>
      </c>
      <c r="B65" s="9" t="inlineStr">
        <is>
          <t>37585</t>
        </is>
      </c>
      <c r="C65" s="9" t="inlineStr">
        <is>
          <t>Non-Valid</t>
        </is>
      </c>
      <c r="D65" s="9" t="inlineStr">
        <is>
          <t>15:06:40</t>
        </is>
      </c>
      <c r="E65" s="9" t="inlineStr">
        <is>
          <t>15:07:08</t>
        </is>
      </c>
      <c r="F65" s="9" t="n">
        <v>28</v>
      </c>
      <c r="G65" s="9" t="n">
        <v>14</v>
      </c>
      <c r="H65" s="9" t="n">
        <v>79</v>
      </c>
      <c r="I65" s="9" t="inlineStr">
        <is>
          <t>TRIP</t>
        </is>
      </c>
      <c r="J65" s="16" t="n">
        <v>56.89</v>
      </c>
      <c r="K65" s="9" t="inlineStr">
        <is>
          <t>R</t>
        </is>
      </c>
      <c r="L65" s="9" t="inlineStr">
        <is>
          <t>Gurap</t>
        </is>
      </c>
      <c r="M65" s="17" t="inlineStr">
        <is>
          <t>79 km/h</t>
        </is>
      </c>
      <c r="N65" s="17" t="inlineStr">
        <is>
          <t>0
MA dropped from 1537 to 0.</t>
        </is>
      </c>
      <c r="O65" s="9" t="inlineStr">
        <is>
          <t>-</t>
        </is>
      </c>
      <c r="P65" s="18" t="inlineStr">
        <is>
          <t>Sudden MA drop; Trip mode</t>
        </is>
      </c>
    </row>
    <row r="66">
      <c r="A66" s="9" t="inlineStr">
        <is>
          <t>10 Jun</t>
        </is>
      </c>
      <c r="B66" s="9" t="inlineStr">
        <is>
          <t>30503</t>
        </is>
      </c>
      <c r="C66" s="9" t="inlineStr">
        <is>
          <t>Non-Valid</t>
        </is>
      </c>
      <c r="D66" s="9" t="inlineStr">
        <is>
          <t>17:31:04</t>
        </is>
      </c>
      <c r="E66" s="9" t="inlineStr">
        <is>
          <t>17:31:04</t>
        </is>
      </c>
      <c r="F66" s="9" t="n">
        <v>0</v>
      </c>
      <c r="G66" s="9" t="n">
        <v>1</v>
      </c>
      <c r="H66" s="9" t="n">
        <v>3</v>
      </c>
      <c r="I66" s="9" t="inlineStr">
        <is>
          <t>FS</t>
        </is>
      </c>
      <c r="J66" s="16" t="n">
        <v>0.73</v>
      </c>
      <c r="K66" s="9" t="inlineStr">
        <is>
          <t>N</t>
        </is>
      </c>
      <c r="L66" s="9" t="inlineStr">
        <is>
          <t>Howrah</t>
        </is>
      </c>
      <c r="M66" s="17" t="inlineStr">
        <is>
          <t>3 km/h</t>
        </is>
      </c>
      <c r="N66" s="17" t="inlineStr">
        <is>
          <t>n/a</t>
        </is>
      </c>
      <c r="O66" s="9" t="inlineStr">
        <is>
          <t>-</t>
        </is>
      </c>
      <c r="P66" s="17" t="inlineStr">
        <is>
          <t>-</t>
        </is>
      </c>
    </row>
    <row r="67">
      <c r="A67" s="9" t="inlineStr">
        <is>
          <t>10 Jun</t>
        </is>
      </c>
      <c r="B67" s="9" t="inlineStr">
        <is>
          <t>30503</t>
        </is>
      </c>
      <c r="C67" s="9" t="inlineStr">
        <is>
          <t>Non-Valid</t>
        </is>
      </c>
      <c r="D67" s="9" t="inlineStr">
        <is>
          <t>17:31:44</t>
        </is>
      </c>
      <c r="E67" s="9" t="inlineStr">
        <is>
          <t>17:31:46</t>
        </is>
      </c>
      <c r="F67" s="9" t="n">
        <v>2</v>
      </c>
      <c r="G67" s="9" t="n">
        <v>2</v>
      </c>
      <c r="H67" s="9" t="n">
        <v>3</v>
      </c>
      <c r="I67" s="9" t="inlineStr">
        <is>
          <t>FS</t>
        </is>
      </c>
      <c r="J67" s="16" t="n">
        <v>0.74</v>
      </c>
      <c r="K67" s="9" t="inlineStr">
        <is>
          <t>N</t>
        </is>
      </c>
      <c r="L67" s="9" t="inlineStr">
        <is>
          <t>Howrah</t>
        </is>
      </c>
      <c r="M67" s="17" t="inlineStr">
        <is>
          <t>3 km/h</t>
        </is>
      </c>
      <c r="N67" s="17" t="inlineStr">
        <is>
          <t>n/a</t>
        </is>
      </c>
      <c r="O67" s="9" t="inlineStr">
        <is>
          <t>-</t>
        </is>
      </c>
      <c r="P67" s="17" t="inlineStr">
        <is>
          <t>-</t>
        </is>
      </c>
    </row>
    <row r="68">
      <c r="A68" s="9" t="inlineStr">
        <is>
          <t>10 Jun</t>
        </is>
      </c>
      <c r="B68" s="9" t="inlineStr">
        <is>
          <t>30503</t>
        </is>
      </c>
      <c r="C68" s="9" t="inlineStr">
        <is>
          <t>Non-Valid</t>
        </is>
      </c>
      <c r="D68" s="9" t="inlineStr">
        <is>
          <t>17:32:20</t>
        </is>
      </c>
      <c r="E68" s="9" t="inlineStr">
        <is>
          <t>17:32:22</t>
        </is>
      </c>
      <c r="F68" s="9" t="n">
        <v>2</v>
      </c>
      <c r="G68" s="9" t="n">
        <v>2</v>
      </c>
      <c r="H68" s="9" t="n">
        <v>3</v>
      </c>
      <c r="I68" s="9" t="inlineStr">
        <is>
          <t>TRIP</t>
        </is>
      </c>
      <c r="J68" s="16" t="n">
        <v>0.75</v>
      </c>
      <c r="K68" s="9" t="inlineStr">
        <is>
          <t>N</t>
        </is>
      </c>
      <c r="L68" s="9" t="inlineStr">
        <is>
          <t>Howrah</t>
        </is>
      </c>
      <c r="M68" s="17" t="inlineStr">
        <is>
          <t>3 km/h</t>
        </is>
      </c>
      <c r="N68" s="17" t="inlineStr">
        <is>
          <t>n/a</t>
        </is>
      </c>
      <c r="O68" s="9" t="inlineStr">
        <is>
          <t>-</t>
        </is>
      </c>
      <c r="P68" s="18" t="inlineStr">
        <is>
          <t>Trip mode</t>
        </is>
      </c>
    </row>
    <row r="69">
      <c r="A69" s="9" t="inlineStr">
        <is>
          <t>11 Jun</t>
        </is>
      </c>
      <c r="B69" s="9" t="inlineStr">
        <is>
          <t>30200</t>
        </is>
      </c>
      <c r="C69" s="9" t="inlineStr">
        <is>
          <t>Non-Valid</t>
        </is>
      </c>
      <c r="D69" s="9" t="inlineStr">
        <is>
          <t>07:03:06</t>
        </is>
      </c>
      <c r="E69" s="9" t="inlineStr">
        <is>
          <t>07:03:06</t>
        </is>
      </c>
      <c r="F69" s="9" t="n">
        <v>0</v>
      </c>
      <c r="G69" s="9" t="n">
        <v>1</v>
      </c>
      <c r="H69" s="9" t="n">
        <v>94</v>
      </c>
      <c r="I69" s="9" t="inlineStr">
        <is>
          <t>FS</t>
        </is>
      </c>
      <c r="J69" s="16" t="n">
        <v>77.68000000000001</v>
      </c>
      <c r="K69" s="9" t="inlineStr">
        <is>
          <t>R</t>
        </is>
      </c>
      <c r="L69" s="9" t="inlineStr">
        <is>
          <t>Palla Road</t>
        </is>
      </c>
      <c r="M69" s="17" t="inlineStr">
        <is>
          <t>94 km/h</t>
        </is>
      </c>
      <c r="N69" s="17" t="inlineStr">
        <is>
          <t>2593</t>
        </is>
      </c>
      <c r="O69" s="9" t="inlineStr">
        <is>
          <t>-</t>
        </is>
      </c>
      <c r="P69" s="17" t="inlineStr">
        <is>
          <t>-</t>
        </is>
      </c>
    </row>
    <row r="70" ht="25" customHeight="1">
      <c r="A70" s="9" t="inlineStr">
        <is>
          <t>11 Jun</t>
        </is>
      </c>
      <c r="B70" s="9" t="inlineStr">
        <is>
          <t>30639</t>
        </is>
      </c>
      <c r="C70" s="9" t="inlineStr">
        <is>
          <t>Non-Valid</t>
        </is>
      </c>
      <c r="D70" s="9" t="inlineStr">
        <is>
          <t>11:20:18</t>
        </is>
      </c>
      <c r="E70" s="9" t="inlineStr">
        <is>
          <t>11:20:22</t>
        </is>
      </c>
      <c r="F70" s="9" t="n">
        <v>4</v>
      </c>
      <c r="G70" s="9" t="n">
        <v>3</v>
      </c>
      <c r="H70" s="9" t="n">
        <v>4</v>
      </c>
      <c r="I70" s="9" t="inlineStr">
        <is>
          <t>FS</t>
        </is>
      </c>
      <c r="J70" s="16" t="n">
        <v>93.88</v>
      </c>
      <c r="K70" s="9" t="inlineStr">
        <is>
          <t>N</t>
        </is>
      </c>
      <c r="L70" s="9" t="inlineStr">
        <is>
          <t>Barddhaman Jn</t>
        </is>
      </c>
      <c r="M70" s="17" t="inlineStr">
        <is>
          <t>4 km/h</t>
        </is>
      </c>
      <c r="N70" s="17" t="inlineStr">
        <is>
          <t>76</t>
        </is>
      </c>
      <c r="O70" s="9" t="inlineStr">
        <is>
          <t>-</t>
        </is>
      </c>
      <c r="P70" s="17" t="inlineStr">
        <is>
          <t>-</t>
        </is>
      </c>
    </row>
    <row r="71">
      <c r="A71" s="9" t="inlineStr">
        <is>
          <t>11 Jun</t>
        </is>
      </c>
      <c r="B71" s="9" t="inlineStr">
        <is>
          <t>39132</t>
        </is>
      </c>
      <c r="C71" s="9" t="inlineStr">
        <is>
          <t>Non-Valid</t>
        </is>
      </c>
      <c r="D71" s="9" t="inlineStr">
        <is>
          <t>13:42:50</t>
        </is>
      </c>
      <c r="E71" s="9" t="inlineStr">
        <is>
          <t>13:42:58</t>
        </is>
      </c>
      <c r="F71" s="9" t="n">
        <v>8</v>
      </c>
      <c r="G71" s="9" t="n">
        <v>5</v>
      </c>
      <c r="H71" s="9" t="n">
        <v>72</v>
      </c>
      <c r="I71" s="9" t="inlineStr">
        <is>
          <t>FS</t>
        </is>
      </c>
      <c r="J71" s="16" t="n">
        <v>46.71</v>
      </c>
      <c r="K71" s="9" t="inlineStr">
        <is>
          <t>N</t>
        </is>
      </c>
      <c r="L71" s="9" t="inlineStr">
        <is>
          <t>Belmuri</t>
        </is>
      </c>
      <c r="M71" s="17" t="inlineStr">
        <is>
          <t>72 km/h</t>
        </is>
      </c>
      <c r="N71" s="17" t="inlineStr">
        <is>
          <t>462</t>
        </is>
      </c>
      <c r="O71" s="9" t="inlineStr">
        <is>
          <t>-</t>
        </is>
      </c>
      <c r="P71" s="17" t="inlineStr">
        <is>
          <t>-</t>
        </is>
      </c>
    </row>
    <row r="72">
      <c r="A72" s="9" t="inlineStr">
        <is>
          <t>11 Jun</t>
        </is>
      </c>
      <c r="B72" s="9" t="inlineStr">
        <is>
          <t>39132</t>
        </is>
      </c>
      <c r="C72" s="9" t="inlineStr">
        <is>
          <t>Non-Valid</t>
        </is>
      </c>
      <c r="D72" s="9" t="inlineStr">
        <is>
          <t>13:43:10</t>
        </is>
      </c>
      <c r="E72" s="9" t="inlineStr">
        <is>
          <t>13:43:16</t>
        </is>
      </c>
      <c r="F72" s="9" t="n">
        <v>6</v>
      </c>
      <c r="G72" s="9" t="n">
        <v>4</v>
      </c>
      <c r="H72" s="9" t="n">
        <v>22</v>
      </c>
      <c r="I72" s="9" t="inlineStr">
        <is>
          <t>FS</t>
        </is>
      </c>
      <c r="J72" s="16" t="n">
        <v>46.98</v>
      </c>
      <c r="K72" s="9" t="inlineStr">
        <is>
          <t>N</t>
        </is>
      </c>
      <c r="L72" s="9" t="inlineStr">
        <is>
          <t>Belmuri</t>
        </is>
      </c>
      <c r="M72" s="17" t="inlineStr">
        <is>
          <t>22 km/h</t>
        </is>
      </c>
      <c r="N72" s="17" t="inlineStr">
        <is>
          <t>96</t>
        </is>
      </c>
      <c r="O72" s="9" t="inlineStr">
        <is>
          <t>-</t>
        </is>
      </c>
      <c r="P72" s="17" t="inlineStr">
        <is>
          <t>-</t>
        </is>
      </c>
    </row>
    <row r="73">
      <c r="A73" s="9" t="inlineStr">
        <is>
          <t>11 Jun</t>
        </is>
      </c>
      <c r="B73" s="9" t="inlineStr">
        <is>
          <t>39132</t>
        </is>
      </c>
      <c r="C73" s="9" t="inlineStr">
        <is>
          <t>Non-Valid</t>
        </is>
      </c>
      <c r="D73" s="9" t="inlineStr">
        <is>
          <t>13:44:54</t>
        </is>
      </c>
      <c r="E73" s="9" t="inlineStr">
        <is>
          <t>13:44:56</t>
        </is>
      </c>
      <c r="F73" s="9" t="n">
        <v>2</v>
      </c>
      <c r="G73" s="9" t="n">
        <v>2</v>
      </c>
      <c r="H73" s="9" t="n">
        <v>1</v>
      </c>
      <c r="I73" s="9" t="inlineStr">
        <is>
          <t>TRIP</t>
        </is>
      </c>
      <c r="J73" s="16" t="n">
        <v>47</v>
      </c>
      <c r="K73" s="9" t="inlineStr">
        <is>
          <t>N</t>
        </is>
      </c>
      <c r="L73" s="9" t="inlineStr">
        <is>
          <t>Belmuri</t>
        </is>
      </c>
      <c r="M73" s="17" t="inlineStr">
        <is>
          <t>1 km/h</t>
        </is>
      </c>
      <c r="N73" s="17" t="inlineStr">
        <is>
          <t>0</t>
        </is>
      </c>
      <c r="O73" s="9" t="inlineStr">
        <is>
          <t>-</t>
        </is>
      </c>
      <c r="P73" s="18" t="inlineStr">
        <is>
          <t>EB at 0-1 km/h; Trip mode</t>
        </is>
      </c>
    </row>
    <row r="74">
      <c r="A74" s="9" t="inlineStr">
        <is>
          <t>11 Jun</t>
        </is>
      </c>
      <c r="B74" s="9" t="inlineStr">
        <is>
          <t>37185</t>
        </is>
      </c>
      <c r="C74" s="9" t="inlineStr">
        <is>
          <t>Non-Valid</t>
        </is>
      </c>
      <c r="D74" s="9" t="inlineStr">
        <is>
          <t>14:25:54</t>
        </is>
      </c>
      <c r="E74" s="9" t="inlineStr">
        <is>
          <t>14:25:58</t>
        </is>
      </c>
      <c r="F74" s="9" t="n">
        <v>4</v>
      </c>
      <c r="G74" s="9" t="n">
        <v>3</v>
      </c>
      <c r="H74" s="9" t="n">
        <v>7</v>
      </c>
      <c r="I74" s="9" t="inlineStr">
        <is>
          <t>OS</t>
        </is>
      </c>
      <c r="J74" s="16" t="n">
        <v>0.46</v>
      </c>
      <c r="K74" s="9" t="inlineStr">
        <is>
          <t>N</t>
        </is>
      </c>
      <c r="L74" s="9" t="inlineStr">
        <is>
          <t>Howrah</t>
        </is>
      </c>
      <c r="M74" s="17" t="inlineStr">
        <is>
          <t>6 km/h</t>
        </is>
      </c>
      <c r="N74" s="17" t="inlineStr">
        <is>
          <t>444</t>
        </is>
      </c>
      <c r="O74" s="9" t="inlineStr">
        <is>
          <t>-</t>
        </is>
      </c>
      <c r="P74" s="17" t="inlineStr">
        <is>
          <t>-</t>
        </is>
      </c>
    </row>
    <row r="75">
      <c r="A75" s="9" t="inlineStr">
        <is>
          <t>11 Jun</t>
        </is>
      </c>
      <c r="B75" s="9" t="inlineStr">
        <is>
          <t>37185</t>
        </is>
      </c>
      <c r="C75" s="9" t="inlineStr">
        <is>
          <t>Non-Valid</t>
        </is>
      </c>
      <c r="D75" s="9" t="inlineStr">
        <is>
          <t>14:26:42</t>
        </is>
      </c>
      <c r="E75" s="9" t="inlineStr">
        <is>
          <t>14:26:42</t>
        </is>
      </c>
      <c r="F75" s="9" t="n">
        <v>0</v>
      </c>
      <c r="G75" s="9" t="n">
        <v>1</v>
      </c>
      <c r="H75" s="9" t="n">
        <v>1</v>
      </c>
      <c r="I75" s="9" t="inlineStr">
        <is>
          <t>POSTTRIP</t>
        </is>
      </c>
      <c r="J75" s="16" t="n">
        <v>0.47</v>
      </c>
      <c r="K75" s="9" t="inlineStr">
        <is>
          <t>N</t>
        </is>
      </c>
      <c r="L75" s="9" t="inlineStr">
        <is>
          <t>Howrah</t>
        </is>
      </c>
      <c r="M75" s="17" t="inlineStr">
        <is>
          <t>1 km/h</t>
        </is>
      </c>
      <c r="N75" s="17" t="inlineStr">
        <is>
          <t>0</t>
        </is>
      </c>
      <c r="O75" s="9" t="inlineStr">
        <is>
          <t>-</t>
        </is>
      </c>
      <c r="P75" s="18" t="inlineStr">
        <is>
          <t>EB at 0-1 km/h</t>
        </is>
      </c>
    </row>
    <row r="76" ht="49" customHeight="1">
      <c r="A76" s="9" t="inlineStr">
        <is>
          <t>11 Jun</t>
        </is>
      </c>
      <c r="B76" s="9" t="inlineStr">
        <is>
          <t>39133</t>
        </is>
      </c>
      <c r="C76" s="9" t="inlineStr">
        <is>
          <t>Non-Valid</t>
        </is>
      </c>
      <c r="D76" s="9" t="inlineStr">
        <is>
          <t>20:47:16</t>
        </is>
      </c>
      <c r="E76" s="9" t="inlineStr">
        <is>
          <t>20:47:18</t>
        </is>
      </c>
      <c r="F76" s="9" t="n">
        <v>2</v>
      </c>
      <c r="G76" s="9" t="n">
        <v>2</v>
      </c>
      <c r="H76" s="9" t="n">
        <v>128</v>
      </c>
      <c r="I76" s="9" t="inlineStr">
        <is>
          <t>FS</t>
        </is>
      </c>
      <c r="J76" s="16" t="n">
        <v>107.25</v>
      </c>
      <c r="K76" s="9" t="inlineStr">
        <is>
          <t>N</t>
        </is>
      </c>
      <c r="L76" s="9" t="inlineStr">
        <is>
          <t>Khana Jn</t>
        </is>
      </c>
      <c r="M76" s="17" t="inlineStr">
        <is>
          <t>128 km/h</t>
        </is>
      </c>
      <c r="N76" s="17" t="inlineStr">
        <is>
          <t>1357
MA dropped from 3512 to 1357.</t>
        </is>
      </c>
      <c r="O76" s="9" t="inlineStr">
        <is>
          <t>-</t>
        </is>
      </c>
      <c r="P76" s="18" t="inlineStr">
        <is>
          <t>Sudden MA drop</t>
        </is>
      </c>
    </row>
    <row r="77">
      <c r="A77" s="7" t="inlineStr">
        <is>
          <t>12 Jun</t>
        </is>
      </c>
      <c r="B77" s="7" t="inlineStr">
        <is>
          <t>37040</t>
        </is>
      </c>
      <c r="C77" s="7" t="inlineStr">
        <is>
          <t>Valid</t>
        </is>
      </c>
      <c r="D77" s="7" t="inlineStr">
        <is>
          <t>00:44:36</t>
        </is>
      </c>
      <c r="E77" s="7" t="inlineStr">
        <is>
          <t>00:44:38</t>
        </is>
      </c>
      <c r="F77" s="7" t="n">
        <v>2</v>
      </c>
      <c r="G77" s="7" t="n">
        <v>2</v>
      </c>
      <c r="H77" s="7" t="n">
        <v>3</v>
      </c>
      <c r="I77" s="7" t="inlineStr">
        <is>
          <t>FS</t>
        </is>
      </c>
      <c r="J77" s="19" t="n">
        <v>0.45</v>
      </c>
      <c r="K77" s="7" t="inlineStr">
        <is>
          <t>R</t>
        </is>
      </c>
      <c r="L77" s="7" t="inlineStr">
        <is>
          <t>Howrah</t>
        </is>
      </c>
      <c r="M77" s="20" t="inlineStr">
        <is>
          <t>3 km/h</t>
        </is>
      </c>
      <c r="N77" s="20" t="inlineStr">
        <is>
          <t>n/a</t>
        </is>
      </c>
      <c r="O77" s="7" t="inlineStr">
        <is>
          <t>-</t>
        </is>
      </c>
      <c r="P77" s="20" t="inlineStr">
        <is>
          <t>-</t>
        </is>
      </c>
    </row>
    <row r="78">
      <c r="A78" s="7" t="inlineStr">
        <is>
          <t>12 Jun</t>
        </is>
      </c>
      <c r="B78" s="7" t="inlineStr">
        <is>
          <t>37040</t>
        </is>
      </c>
      <c r="C78" s="7" t="inlineStr">
        <is>
          <t>Valid</t>
        </is>
      </c>
      <c r="D78" s="7" t="inlineStr">
        <is>
          <t>00:44:54</t>
        </is>
      </c>
      <c r="E78" s="7" t="inlineStr">
        <is>
          <t>00:44:54</t>
        </is>
      </c>
      <c r="F78" s="7" t="n">
        <v>0</v>
      </c>
      <c r="G78" s="7" t="n">
        <v>1</v>
      </c>
      <c r="H78" s="7" t="n">
        <v>1</v>
      </c>
      <c r="I78" s="7" t="inlineStr">
        <is>
          <t>FS</t>
        </is>
      </c>
      <c r="J78" s="19" t="n">
        <v>0.44</v>
      </c>
      <c r="K78" s="7" t="inlineStr">
        <is>
          <t>R</t>
        </is>
      </c>
      <c r="L78" s="7" t="inlineStr">
        <is>
          <t>Howrah</t>
        </is>
      </c>
      <c r="M78" s="20" t="inlineStr">
        <is>
          <t>1 km/h</t>
        </is>
      </c>
      <c r="N78" s="20" t="inlineStr">
        <is>
          <t>n/a</t>
        </is>
      </c>
      <c r="O78" s="7" t="inlineStr">
        <is>
          <t>-</t>
        </is>
      </c>
      <c r="P78" s="18" t="inlineStr">
        <is>
          <t>EB at 0-1 km/h</t>
        </is>
      </c>
    </row>
    <row r="79">
      <c r="A79" s="7" t="inlineStr">
        <is>
          <t>12 Jun</t>
        </is>
      </c>
      <c r="B79" s="7" t="inlineStr">
        <is>
          <t>37040</t>
        </is>
      </c>
      <c r="C79" s="7" t="inlineStr">
        <is>
          <t>Valid</t>
        </is>
      </c>
      <c r="D79" s="7" t="inlineStr">
        <is>
          <t>00:45:10</t>
        </is>
      </c>
      <c r="E79" s="7" t="inlineStr">
        <is>
          <t>00:45:10</t>
        </is>
      </c>
      <c r="F79" s="7" t="n">
        <v>0</v>
      </c>
      <c r="G79" s="7" t="n">
        <v>1</v>
      </c>
      <c r="H79" s="7" t="n">
        <v>1</v>
      </c>
      <c r="I79" s="7" t="inlineStr">
        <is>
          <t>TRIP</t>
        </is>
      </c>
      <c r="J79" s="19" t="n">
        <v>0.44</v>
      </c>
      <c r="K79" s="7" t="inlineStr">
        <is>
          <t>R</t>
        </is>
      </c>
      <c r="L79" s="7" t="inlineStr">
        <is>
          <t>Howrah</t>
        </is>
      </c>
      <c r="M79" s="20" t="inlineStr">
        <is>
          <t>1 km/h</t>
        </is>
      </c>
      <c r="N79" s="20" t="inlineStr">
        <is>
          <t>n/a</t>
        </is>
      </c>
      <c r="O79" s="7" t="inlineStr">
        <is>
          <t>-</t>
        </is>
      </c>
      <c r="P79" s="18" t="inlineStr">
        <is>
          <t>EB at 0-1 km/h; Trip mode</t>
        </is>
      </c>
    </row>
    <row r="80">
      <c r="A80" s="7" t="inlineStr">
        <is>
          <t>12 Jun</t>
        </is>
      </c>
      <c r="B80" s="7" t="inlineStr">
        <is>
          <t>37403</t>
        </is>
      </c>
      <c r="C80" s="7" t="inlineStr">
        <is>
          <t>Valid</t>
        </is>
      </c>
      <c r="D80" s="7" t="inlineStr">
        <is>
          <t>08:44:48</t>
        </is>
      </c>
      <c r="E80" s="7" t="inlineStr">
        <is>
          <t>08:44:48</t>
        </is>
      </c>
      <c r="F80" s="7" t="n">
        <v>0</v>
      </c>
      <c r="G80" s="7" t="n">
        <v>1</v>
      </c>
      <c r="H80" s="7" t="n">
        <v>99</v>
      </c>
      <c r="I80" s="7" t="inlineStr">
        <is>
          <t>FS</t>
        </is>
      </c>
      <c r="J80" s="19" t="n">
        <v>215.48</v>
      </c>
      <c r="K80" s="7" t="inlineStr">
        <is>
          <t>N</t>
        </is>
      </c>
      <c r="L80" s="7" t="inlineStr">
        <is>
          <t>Kulti</t>
        </is>
      </c>
      <c r="M80" s="20" t="inlineStr">
        <is>
          <t>99 km/h</t>
        </is>
      </c>
      <c r="N80" s="20" t="inlineStr">
        <is>
          <t>941</t>
        </is>
      </c>
      <c r="O80" s="7" t="inlineStr">
        <is>
          <t>-</t>
        </is>
      </c>
      <c r="P80" s="20" t="inlineStr">
        <is>
          <t>-</t>
        </is>
      </c>
    </row>
    <row r="81">
      <c r="A81" s="9" t="inlineStr">
        <is>
          <t>12 Jun</t>
        </is>
      </c>
      <c r="B81" s="9" t="inlineStr">
        <is>
          <t>37185</t>
        </is>
      </c>
      <c r="C81" s="9" t="inlineStr">
        <is>
          <t>Non-Valid</t>
        </is>
      </c>
      <c r="D81" s="9" t="inlineStr">
        <is>
          <t>13:46:24</t>
        </is>
      </c>
      <c r="E81" s="9" t="inlineStr">
        <is>
          <t>13:46:34</t>
        </is>
      </c>
      <c r="F81" s="9" t="n">
        <v>10</v>
      </c>
      <c r="G81" s="9" t="n">
        <v>6</v>
      </c>
      <c r="H81" s="9" t="n">
        <v>45</v>
      </c>
      <c r="I81" s="9" t="inlineStr">
        <is>
          <t>OS</t>
        </is>
      </c>
      <c r="J81" s="16" t="n">
        <v>1.97</v>
      </c>
      <c r="K81" s="9" t="inlineStr">
        <is>
          <t>R</t>
        </is>
      </c>
      <c r="L81" s="9" t="inlineStr">
        <is>
          <t>Howrah</t>
        </is>
      </c>
      <c r="M81" s="17" t="inlineStr">
        <is>
          <t>45 km/h</t>
        </is>
      </c>
      <c r="N81" s="17" t="inlineStr">
        <is>
          <t>1591</t>
        </is>
      </c>
      <c r="O81" s="9" t="inlineStr">
        <is>
          <t>-</t>
        </is>
      </c>
      <c r="P81" s="17" t="inlineStr">
        <is>
          <t>-</t>
        </is>
      </c>
    </row>
    <row r="82">
      <c r="A82" s="9" t="inlineStr">
        <is>
          <t>12 Jun</t>
        </is>
      </c>
      <c r="B82" s="9" t="inlineStr">
        <is>
          <t>30457</t>
        </is>
      </c>
      <c r="C82" s="9" t="inlineStr">
        <is>
          <t>Non-Valid</t>
        </is>
      </c>
      <c r="D82" s="9" t="inlineStr">
        <is>
          <t>13:48:22</t>
        </is>
      </c>
      <c r="E82" s="9" t="inlineStr">
        <is>
          <t>13:48:22</t>
        </is>
      </c>
      <c r="F82" s="9" t="n">
        <v>0</v>
      </c>
      <c r="G82" s="9" t="n">
        <v>1</v>
      </c>
      <c r="H82" s="9" t="n">
        <v>92</v>
      </c>
      <c r="I82" s="9" t="inlineStr">
        <is>
          <t>FS</t>
        </is>
      </c>
      <c r="J82" s="16" t="n">
        <v>114.13</v>
      </c>
      <c r="K82" s="9" t="inlineStr">
        <is>
          <t>R</t>
        </is>
      </c>
      <c r="L82" s="9" t="inlineStr">
        <is>
          <t>Khana Link</t>
        </is>
      </c>
      <c r="M82" s="17" t="inlineStr">
        <is>
          <t>92 km/h</t>
        </is>
      </c>
      <c r="N82" s="17" t="inlineStr">
        <is>
          <t>n/a</t>
        </is>
      </c>
      <c r="O82" s="9" t="inlineStr">
        <is>
          <t>-</t>
        </is>
      </c>
      <c r="P82" s="17" t="inlineStr">
        <is>
          <t>-</t>
        </is>
      </c>
    </row>
    <row r="83">
      <c r="A83" s="9" t="inlineStr">
        <is>
          <t>13 Jun</t>
        </is>
      </c>
      <c r="B83" s="9" t="inlineStr">
        <is>
          <t>37360</t>
        </is>
      </c>
      <c r="C83" s="9" t="inlineStr">
        <is>
          <t>Non-Valid</t>
        </is>
      </c>
      <c r="D83" s="9" t="inlineStr">
        <is>
          <t>03:42:10</t>
        </is>
      </c>
      <c r="E83" s="9" t="inlineStr">
        <is>
          <t>03:42:14</t>
        </is>
      </c>
      <c r="F83" s="9" t="n">
        <v>4</v>
      </c>
      <c r="G83" s="9" t="n">
        <v>3</v>
      </c>
      <c r="H83" s="9" t="n">
        <v>5</v>
      </c>
      <c r="I83" s="9" t="inlineStr">
        <is>
          <t>TRIP</t>
        </is>
      </c>
      <c r="J83" s="16" t="n">
        <v>101.14</v>
      </c>
      <c r="K83" s="9" t="inlineStr">
        <is>
          <t>R</t>
        </is>
      </c>
      <c r="L83" s="9" t="inlineStr">
        <is>
          <t>Talit</t>
        </is>
      </c>
      <c r="M83" s="17" t="inlineStr">
        <is>
          <t>5 km/h</t>
        </is>
      </c>
      <c r="N83" s="17" t="inlineStr">
        <is>
          <t>0</t>
        </is>
      </c>
      <c r="O83" s="9" t="inlineStr">
        <is>
          <t>-</t>
        </is>
      </c>
      <c r="P83" s="18" t="inlineStr">
        <is>
          <t>Trip mode</t>
        </is>
      </c>
    </row>
    <row r="84">
      <c r="A84" s="7" t="inlineStr">
        <is>
          <t>13 Jun</t>
        </is>
      </c>
      <c r="B84" s="7" t="inlineStr">
        <is>
          <t>39409</t>
        </is>
      </c>
      <c r="C84" s="7" t="inlineStr">
        <is>
          <t>Valid</t>
        </is>
      </c>
      <c r="D84" s="7" t="inlineStr">
        <is>
          <t>06:02:08</t>
        </is>
      </c>
      <c r="E84" s="7" t="inlineStr">
        <is>
          <t>06:02:12</t>
        </is>
      </c>
      <c r="F84" s="7" t="n">
        <v>4</v>
      </c>
      <c r="G84" s="7" t="n">
        <v>3</v>
      </c>
      <c r="H84" s="7" t="n">
        <v>7</v>
      </c>
      <c r="I84" s="7" t="inlineStr">
        <is>
          <t>FS</t>
        </is>
      </c>
      <c r="J84" s="19" t="n">
        <v>0.06</v>
      </c>
      <c r="K84" s="7" t="inlineStr">
        <is>
          <t>R</t>
        </is>
      </c>
      <c r="L84" s="7" t="inlineStr">
        <is>
          <t>Howrah</t>
        </is>
      </c>
      <c r="M84" s="20" t="inlineStr">
        <is>
          <t>7 km/h</t>
        </is>
      </c>
      <c r="N84" s="20" t="inlineStr">
        <is>
          <t>384</t>
        </is>
      </c>
      <c r="O84" s="7" t="inlineStr">
        <is>
          <t>-</t>
        </is>
      </c>
      <c r="P84" s="20" t="inlineStr">
        <is>
          <t>-</t>
        </is>
      </c>
    </row>
    <row r="85">
      <c r="A85" s="9" t="inlineStr">
        <is>
          <t>13 Jun</t>
        </is>
      </c>
      <c r="B85" s="9" t="inlineStr">
        <is>
          <t>30203</t>
        </is>
      </c>
      <c r="C85" s="9" t="inlineStr">
        <is>
          <t>Non-Valid</t>
        </is>
      </c>
      <c r="D85" s="9" t="inlineStr">
        <is>
          <t>08:15:40</t>
        </is>
      </c>
      <c r="E85" s="9" t="inlineStr">
        <is>
          <t>08:15:46</t>
        </is>
      </c>
      <c r="F85" s="9" t="n">
        <v>6</v>
      </c>
      <c r="G85" s="9" t="n">
        <v>4</v>
      </c>
      <c r="H85" s="9" t="n">
        <v>7</v>
      </c>
      <c r="I85" s="9" t="inlineStr">
        <is>
          <t>FS</t>
        </is>
      </c>
      <c r="J85" s="16" t="n">
        <v>69.34</v>
      </c>
      <c r="K85" s="9" t="inlineStr">
        <is>
          <t>N</t>
        </is>
      </c>
      <c r="L85" s="9" t="inlineStr">
        <is>
          <t>LC-57</t>
        </is>
      </c>
      <c r="M85" s="17" t="inlineStr">
        <is>
          <t>7 km/h</t>
        </is>
      </c>
      <c r="N85" s="17" t="inlineStr">
        <is>
          <t>223</t>
        </is>
      </c>
      <c r="O85" s="9" t="inlineStr">
        <is>
          <t>-</t>
        </is>
      </c>
      <c r="P85" s="17" t="inlineStr">
        <is>
          <t>-</t>
        </is>
      </c>
    </row>
    <row r="86" ht="25" customHeight="1">
      <c r="A86" s="9" t="inlineStr">
        <is>
          <t>13 Jun</t>
        </is>
      </c>
      <c r="B86" s="9" t="inlineStr">
        <is>
          <t>37720</t>
        </is>
      </c>
      <c r="C86" s="9" t="inlineStr">
        <is>
          <t>Non-Valid</t>
        </is>
      </c>
      <c r="D86" s="9" t="inlineStr">
        <is>
          <t>08:28:30</t>
        </is>
      </c>
      <c r="E86" s="9" t="inlineStr">
        <is>
          <t>08:28:32</t>
        </is>
      </c>
      <c r="F86" s="9" t="n">
        <v>2</v>
      </c>
      <c r="G86" s="9" t="n">
        <v>2</v>
      </c>
      <c r="H86" s="9" t="n">
        <v>121</v>
      </c>
      <c r="I86" s="9" t="inlineStr">
        <is>
          <t>OS</t>
        </is>
      </c>
      <c r="J86" s="16" t="n">
        <v>96.81999999999999</v>
      </c>
      <c r="K86" s="9" t="inlineStr">
        <is>
          <t>R</t>
        </is>
      </c>
      <c r="L86" s="9" t="inlineStr">
        <is>
          <t>Barddhaman Jn</t>
        </is>
      </c>
      <c r="M86" s="17" t="inlineStr">
        <is>
          <t>121 km/h</t>
        </is>
      </c>
      <c r="N86" s="17" t="inlineStr">
        <is>
          <t>3270</t>
        </is>
      </c>
      <c r="O86" s="9" t="inlineStr">
        <is>
          <t>-</t>
        </is>
      </c>
      <c r="P86" s="17" t="inlineStr">
        <is>
          <t>-</t>
        </is>
      </c>
    </row>
    <row r="87" ht="25" customHeight="1">
      <c r="A87" s="9" t="inlineStr">
        <is>
          <t>13 Jun</t>
        </is>
      </c>
      <c r="B87" s="9" t="inlineStr">
        <is>
          <t>37024</t>
        </is>
      </c>
      <c r="C87" s="9" t="inlineStr">
        <is>
          <t>Non-Valid</t>
        </is>
      </c>
      <c r="D87" s="9" t="inlineStr">
        <is>
          <t>11:38:56</t>
        </is>
      </c>
      <c r="E87" s="9" t="inlineStr">
        <is>
          <t>11:38:58</t>
        </is>
      </c>
      <c r="F87" s="9" t="n">
        <v>2</v>
      </c>
      <c r="G87" s="9" t="n">
        <v>2</v>
      </c>
      <c r="H87" s="9" t="n">
        <v>8</v>
      </c>
      <c r="I87" s="9" t="inlineStr">
        <is>
          <t>FS</t>
        </is>
      </c>
      <c r="J87" s="16" t="n">
        <v>93.87</v>
      </c>
      <c r="K87" s="9" t="inlineStr">
        <is>
          <t>N</t>
        </is>
      </c>
      <c r="L87" s="9" t="inlineStr">
        <is>
          <t>Barddhaman Jn</t>
        </is>
      </c>
      <c r="M87" s="17" t="inlineStr">
        <is>
          <t>8 km/h</t>
        </is>
      </c>
      <c r="N87" s="17" t="inlineStr">
        <is>
          <t>76</t>
        </is>
      </c>
      <c r="O87" s="9" t="inlineStr">
        <is>
          <t>-</t>
        </is>
      </c>
      <c r="P87" s="17" t="inlineStr">
        <is>
          <t>-</t>
        </is>
      </c>
    </row>
    <row r="88">
      <c r="A88" s="9" t="inlineStr">
        <is>
          <t>13 Jun</t>
        </is>
      </c>
      <c r="B88" s="9" t="inlineStr">
        <is>
          <t>39195</t>
        </is>
      </c>
      <c r="C88" s="9" t="inlineStr">
        <is>
          <t>Non-Valid</t>
        </is>
      </c>
      <c r="D88" s="9" t="inlineStr">
        <is>
          <t>13:57:22</t>
        </is>
      </c>
      <c r="E88" s="9" t="inlineStr">
        <is>
          <t>13:57:28</t>
        </is>
      </c>
      <c r="F88" s="9" t="n">
        <v>6</v>
      </c>
      <c r="G88" s="9" t="n">
        <v>4</v>
      </c>
      <c r="H88" s="9" t="n">
        <v>9</v>
      </c>
      <c r="I88" s="9" t="inlineStr">
        <is>
          <t>FS</t>
        </is>
      </c>
      <c r="J88" s="16" t="n">
        <v>12.28</v>
      </c>
      <c r="K88" s="9" t="inlineStr">
        <is>
          <t>N</t>
        </is>
      </c>
      <c r="L88" s="9" t="inlineStr">
        <is>
          <t>Belanagar</t>
        </is>
      </c>
      <c r="M88" s="17" t="inlineStr">
        <is>
          <t>9 km/h</t>
        </is>
      </c>
      <c r="N88" s="17" t="inlineStr">
        <is>
          <t>250</t>
        </is>
      </c>
      <c r="O88" s="9" t="inlineStr">
        <is>
          <t>-</t>
        </is>
      </c>
      <c r="P88" s="17" t="inlineStr">
        <is>
          <t>-</t>
        </is>
      </c>
    </row>
    <row r="89">
      <c r="A89" s="9" t="inlineStr">
        <is>
          <t>13 Jun</t>
        </is>
      </c>
      <c r="B89" s="9" t="inlineStr">
        <is>
          <t>39195</t>
        </is>
      </c>
      <c r="C89" s="9" t="inlineStr">
        <is>
          <t>Non-Valid</t>
        </is>
      </c>
      <c r="D89" s="9" t="inlineStr">
        <is>
          <t>13:59:28</t>
        </is>
      </c>
      <c r="E89" s="9" t="inlineStr">
        <is>
          <t>13:59:30</t>
        </is>
      </c>
      <c r="F89" s="9" t="n">
        <v>2</v>
      </c>
      <c r="G89" s="9" t="n">
        <v>2</v>
      </c>
      <c r="H89" s="9" t="n">
        <v>1</v>
      </c>
      <c r="I89" s="9" t="inlineStr">
        <is>
          <t>POSTTRIP</t>
        </is>
      </c>
      <c r="J89" s="16" t="n">
        <v>12.29</v>
      </c>
      <c r="K89" s="9" t="inlineStr">
        <is>
          <t>N</t>
        </is>
      </c>
      <c r="L89" s="9" t="inlineStr">
        <is>
          <t>Belanagar</t>
        </is>
      </c>
      <c r="M89" s="17" t="inlineStr">
        <is>
          <t>1 km/h</t>
        </is>
      </c>
      <c r="N89" s="17" t="inlineStr">
        <is>
          <t>0</t>
        </is>
      </c>
      <c r="O89" s="9" t="inlineStr">
        <is>
          <t>-</t>
        </is>
      </c>
      <c r="P89" s="18" t="inlineStr">
        <is>
          <t>EB at 0-1 km/h</t>
        </is>
      </c>
    </row>
    <row r="90">
      <c r="A90" s="9" t="inlineStr">
        <is>
          <t>13 Jun</t>
        </is>
      </c>
      <c r="B90" s="9" t="inlineStr">
        <is>
          <t>39195</t>
        </is>
      </c>
      <c r="C90" s="9" t="inlineStr">
        <is>
          <t>Non-Valid</t>
        </is>
      </c>
      <c r="D90" s="9" t="inlineStr">
        <is>
          <t>14:01:02</t>
        </is>
      </c>
      <c r="E90" s="9" t="inlineStr">
        <is>
          <t>14:01:04</t>
        </is>
      </c>
      <c r="F90" s="9" t="n">
        <v>2</v>
      </c>
      <c r="G90" s="9" t="n">
        <v>2</v>
      </c>
      <c r="H90" s="9" t="n">
        <v>1</v>
      </c>
      <c r="I90" s="9" t="inlineStr">
        <is>
          <t>POSTTRIP</t>
        </is>
      </c>
      <c r="J90" s="16" t="n">
        <v>12.29</v>
      </c>
      <c r="K90" s="9" t="inlineStr">
        <is>
          <t>N</t>
        </is>
      </c>
      <c r="L90" s="9" t="inlineStr">
        <is>
          <t>Belanagar</t>
        </is>
      </c>
      <c r="M90" s="17" t="inlineStr">
        <is>
          <t>1 km/h</t>
        </is>
      </c>
      <c r="N90" s="17" t="inlineStr">
        <is>
          <t>0</t>
        </is>
      </c>
      <c r="O90" s="9" t="inlineStr">
        <is>
          <t>-</t>
        </is>
      </c>
      <c r="P90" s="18" t="inlineStr">
        <is>
          <t>EB at 0-1 km/h</t>
        </is>
      </c>
    </row>
    <row r="91">
      <c r="A91" s="9" t="inlineStr">
        <is>
          <t>13 Jun</t>
        </is>
      </c>
      <c r="B91" s="9" t="inlineStr">
        <is>
          <t>39060</t>
        </is>
      </c>
      <c r="C91" s="9" t="inlineStr">
        <is>
          <t>Non-Valid</t>
        </is>
      </c>
      <c r="D91" s="9" t="inlineStr">
        <is>
          <t>16:22:00</t>
        </is>
      </c>
      <c r="E91" s="9" t="inlineStr">
        <is>
          <t>16:22:04</t>
        </is>
      </c>
      <c r="F91" s="9" t="n">
        <v>4</v>
      </c>
      <c r="G91" s="9" t="n">
        <v>3</v>
      </c>
      <c r="H91" s="9" t="n">
        <v>10</v>
      </c>
      <c r="I91" s="9" t="inlineStr">
        <is>
          <t>FS</t>
        </is>
      </c>
      <c r="J91" s="16" t="n">
        <v>0.72</v>
      </c>
      <c r="K91" s="9" t="inlineStr">
        <is>
          <t>N</t>
        </is>
      </c>
      <c r="L91" s="9" t="inlineStr">
        <is>
          <t>Howrah</t>
        </is>
      </c>
      <c r="M91" s="17" t="inlineStr">
        <is>
          <t>7 km/h</t>
        </is>
      </c>
      <c r="N91" s="17" t="inlineStr">
        <is>
          <t>n/a</t>
        </is>
      </c>
      <c r="O91" s="9" t="inlineStr">
        <is>
          <t>-</t>
        </is>
      </c>
      <c r="P91" s="17" t="inlineStr">
        <is>
          <t>-</t>
        </is>
      </c>
    </row>
    <row r="92">
      <c r="A92" s="9" t="inlineStr">
        <is>
          <t>13 Jun</t>
        </is>
      </c>
      <c r="B92" s="9" t="inlineStr">
        <is>
          <t>39060</t>
        </is>
      </c>
      <c r="C92" s="9" t="inlineStr">
        <is>
          <t>Non-Valid</t>
        </is>
      </c>
      <c r="D92" s="9" t="inlineStr">
        <is>
          <t>16:22:46</t>
        </is>
      </c>
      <c r="E92" s="9" t="inlineStr">
        <is>
          <t>16:22:50</t>
        </is>
      </c>
      <c r="F92" s="9" t="n">
        <v>4</v>
      </c>
      <c r="G92" s="9" t="n">
        <v>3</v>
      </c>
      <c r="H92" s="9" t="n">
        <v>5</v>
      </c>
      <c r="I92" s="9" t="inlineStr">
        <is>
          <t>FS</t>
        </is>
      </c>
      <c r="J92" s="16" t="n">
        <v>0.73</v>
      </c>
      <c r="K92" s="9" t="inlineStr">
        <is>
          <t>N</t>
        </is>
      </c>
      <c r="L92" s="9" t="inlineStr">
        <is>
          <t>Howrah</t>
        </is>
      </c>
      <c r="M92" s="17" t="inlineStr">
        <is>
          <t>3 km/h</t>
        </is>
      </c>
      <c r="N92" s="17" t="inlineStr">
        <is>
          <t>n/a</t>
        </is>
      </c>
      <c r="O92" s="9" t="inlineStr">
        <is>
          <t>-</t>
        </is>
      </c>
      <c r="P92" s="17" t="inlineStr">
        <is>
          <t>-</t>
        </is>
      </c>
    </row>
    <row r="93">
      <c r="A93" s="9" t="inlineStr">
        <is>
          <t>13 Jun</t>
        </is>
      </c>
      <c r="B93" s="9" t="inlineStr">
        <is>
          <t>30200</t>
        </is>
      </c>
      <c r="C93" s="9" t="inlineStr">
        <is>
          <t>Non-Valid</t>
        </is>
      </c>
      <c r="D93" s="9" t="inlineStr">
        <is>
          <t>20:36:08</t>
        </is>
      </c>
      <c r="E93" s="9" t="inlineStr">
        <is>
          <t>20:36:10</t>
        </is>
      </c>
      <c r="F93" s="9" t="n">
        <v>2</v>
      </c>
      <c r="G93" s="9" t="n">
        <v>2</v>
      </c>
      <c r="H93" s="9" t="n">
        <v>2</v>
      </c>
      <c r="I93" s="9" t="inlineStr">
        <is>
          <t>FS</t>
        </is>
      </c>
      <c r="J93" s="16" t="n">
        <v>0.03</v>
      </c>
      <c r="K93" s="9" t="inlineStr">
        <is>
          <t>R</t>
        </is>
      </c>
      <c r="L93" s="9" t="inlineStr">
        <is>
          <t>Howrah</t>
        </is>
      </c>
      <c r="M93" s="17" t="inlineStr">
        <is>
          <t>2 km/h</t>
        </is>
      </c>
      <c r="N93" s="17" t="inlineStr">
        <is>
          <t>351</t>
        </is>
      </c>
      <c r="O93" s="9" t="inlineStr">
        <is>
          <t>-</t>
        </is>
      </c>
      <c r="P93" s="17" t="inlineStr">
        <is>
          <t>-</t>
        </is>
      </c>
    </row>
    <row r="94">
      <c r="A94" s="9" t="inlineStr">
        <is>
          <t>13 Jun</t>
        </is>
      </c>
      <c r="B94" s="9" t="inlineStr">
        <is>
          <t>39113</t>
        </is>
      </c>
      <c r="C94" s="9" t="inlineStr">
        <is>
          <t>Non-Valid</t>
        </is>
      </c>
      <c r="D94" s="9" t="inlineStr">
        <is>
          <t>23:45:10</t>
        </is>
      </c>
      <c r="E94" s="9" t="inlineStr">
        <is>
          <t>23:45:12</t>
        </is>
      </c>
      <c r="F94" s="9" t="n">
        <v>2</v>
      </c>
      <c r="G94" s="9" t="n">
        <v>2</v>
      </c>
      <c r="H94" s="9" t="n">
        <v>3</v>
      </c>
      <c r="I94" s="9" t="inlineStr">
        <is>
          <t>FS</t>
        </is>
      </c>
      <c r="J94" s="16" t="n">
        <v>0.73</v>
      </c>
      <c r="K94" s="9" t="inlineStr">
        <is>
          <t>N</t>
        </is>
      </c>
      <c r="L94" s="9" t="inlineStr">
        <is>
          <t>Howrah</t>
        </is>
      </c>
      <c r="M94" s="17" t="inlineStr">
        <is>
          <t>3 km/h</t>
        </is>
      </c>
      <c r="N94" s="17" t="inlineStr">
        <is>
          <t>n/a</t>
        </is>
      </c>
      <c r="O94" s="9" t="inlineStr">
        <is>
          <t>-</t>
        </is>
      </c>
      <c r="P94" s="17" t="inlineStr">
        <is>
          <t>-</t>
        </is>
      </c>
    </row>
    <row r="95">
      <c r="A95" s="9" t="inlineStr">
        <is>
          <t>13 Jun</t>
        </is>
      </c>
      <c r="B95" s="9" t="inlineStr">
        <is>
          <t>39113</t>
        </is>
      </c>
      <c r="C95" s="9" t="inlineStr">
        <is>
          <t>Non-Valid</t>
        </is>
      </c>
      <c r="D95" s="9" t="inlineStr">
        <is>
          <t>23:45:50</t>
        </is>
      </c>
      <c r="E95" s="9" t="inlineStr">
        <is>
          <t>23:45:52</t>
        </is>
      </c>
      <c r="F95" s="9" t="n">
        <v>2</v>
      </c>
      <c r="G95" s="9" t="n">
        <v>2</v>
      </c>
      <c r="H95" s="9" t="n">
        <v>2</v>
      </c>
      <c r="I95" s="9" t="inlineStr">
        <is>
          <t>FS</t>
        </is>
      </c>
      <c r="J95" s="16" t="n">
        <v>0.74</v>
      </c>
      <c r="K95" s="9" t="inlineStr">
        <is>
          <t>N</t>
        </is>
      </c>
      <c r="L95" s="9" t="inlineStr">
        <is>
          <t>Howrah</t>
        </is>
      </c>
      <c r="M95" s="17" t="inlineStr">
        <is>
          <t>2 km/h</t>
        </is>
      </c>
      <c r="N95" s="17" t="inlineStr">
        <is>
          <t>n/a</t>
        </is>
      </c>
      <c r="O95" s="9" t="inlineStr">
        <is>
          <t>-</t>
        </is>
      </c>
      <c r="P95" s="17" t="inlineStr">
        <is>
          <t>-</t>
        </is>
      </c>
    </row>
    <row r="96">
      <c r="A96" s="9" t="inlineStr">
        <is>
          <t>14 Jun</t>
        </is>
      </c>
      <c r="B96" s="9" t="inlineStr">
        <is>
          <t>30692</t>
        </is>
      </c>
      <c r="C96" s="9" t="inlineStr">
        <is>
          <t>Non-Valid</t>
        </is>
      </c>
      <c r="D96" s="9" t="inlineStr">
        <is>
          <t>00:48:46</t>
        </is>
      </c>
      <c r="E96" s="9" t="inlineStr">
        <is>
          <t>00:49:18</t>
        </is>
      </c>
      <c r="F96" s="9" t="n">
        <v>32</v>
      </c>
      <c r="G96" s="9" t="n">
        <v>17</v>
      </c>
      <c r="H96" s="9" t="n">
        <v>80</v>
      </c>
      <c r="I96" s="9" t="inlineStr">
        <is>
          <t>TRIP</t>
        </is>
      </c>
      <c r="J96" s="16" t="n">
        <v>97.37</v>
      </c>
      <c r="K96" s="9" t="inlineStr">
        <is>
          <t>N</t>
        </is>
      </c>
      <c r="L96" s="9" t="inlineStr">
        <is>
          <t>Talit</t>
        </is>
      </c>
      <c r="M96" s="17" t="inlineStr">
        <is>
          <t>80 km/h</t>
        </is>
      </c>
      <c r="N96" s="17" t="inlineStr">
        <is>
          <t>4529</t>
        </is>
      </c>
      <c r="O96" s="9" t="inlineStr">
        <is>
          <t>-</t>
        </is>
      </c>
      <c r="P96" s="18" t="inlineStr">
        <is>
          <t>Trip mode</t>
        </is>
      </c>
    </row>
    <row r="97">
      <c r="A97" s="9" t="inlineStr">
        <is>
          <t>14 Jun</t>
        </is>
      </c>
      <c r="B97" s="9" t="inlineStr">
        <is>
          <t>30692</t>
        </is>
      </c>
      <c r="C97" s="9" t="inlineStr">
        <is>
          <t>Non-Valid</t>
        </is>
      </c>
      <c r="D97" s="9" t="inlineStr">
        <is>
          <t>00:51:06</t>
        </is>
      </c>
      <c r="E97" s="9" t="inlineStr">
        <is>
          <t>00:51:06</t>
        </is>
      </c>
      <c r="F97" s="9" t="n">
        <v>0</v>
      </c>
      <c r="G97" s="9" t="n">
        <v>1</v>
      </c>
      <c r="H97" s="9" t="n">
        <v>1</v>
      </c>
      <c r="I97" s="9" t="inlineStr">
        <is>
          <t>POSTTRIP</t>
        </is>
      </c>
      <c r="J97" s="16" t="n">
        <v>97.81999999999999</v>
      </c>
      <c r="K97" s="9" t="inlineStr">
        <is>
          <t>N</t>
        </is>
      </c>
      <c r="L97" s="9" t="inlineStr">
        <is>
          <t>Talit</t>
        </is>
      </c>
      <c r="M97" s="17" t="inlineStr">
        <is>
          <t>1 km/h</t>
        </is>
      </c>
      <c r="N97" s="17" t="inlineStr">
        <is>
          <t>0</t>
        </is>
      </c>
      <c r="O97" s="9" t="inlineStr">
        <is>
          <t>-</t>
        </is>
      </c>
      <c r="P97" s="18" t="inlineStr">
        <is>
          <t>EB at 0-1 km/h</t>
        </is>
      </c>
    </row>
    <row r="98">
      <c r="A98" s="9" t="inlineStr">
        <is>
          <t>14 Jun</t>
        </is>
      </c>
      <c r="B98" s="9" t="inlineStr">
        <is>
          <t>30692</t>
        </is>
      </c>
      <c r="C98" s="9" t="inlineStr">
        <is>
          <t>Non-Valid</t>
        </is>
      </c>
      <c r="D98" s="9" t="inlineStr">
        <is>
          <t>00:52:04</t>
        </is>
      </c>
      <c r="E98" s="9" t="inlineStr">
        <is>
          <t>00:52:04</t>
        </is>
      </c>
      <c r="F98" s="9" t="n">
        <v>0</v>
      </c>
      <c r="G98" s="9" t="n">
        <v>1</v>
      </c>
      <c r="H98" s="9" t="n">
        <v>1</v>
      </c>
      <c r="I98" s="9" t="inlineStr">
        <is>
          <t>POSTTRIP</t>
        </is>
      </c>
      <c r="J98" s="16" t="n">
        <v>97.83</v>
      </c>
      <c r="K98" s="9" t="inlineStr">
        <is>
          <t>N</t>
        </is>
      </c>
      <c r="L98" s="9" t="inlineStr">
        <is>
          <t>Talit</t>
        </is>
      </c>
      <c r="M98" s="17" t="inlineStr">
        <is>
          <t>1 km/h</t>
        </is>
      </c>
      <c r="N98" s="17" t="inlineStr">
        <is>
          <t>n/a</t>
        </is>
      </c>
      <c r="O98" s="9" t="inlineStr">
        <is>
          <t>-</t>
        </is>
      </c>
      <c r="P98" s="18" t="inlineStr">
        <is>
          <t>EB at 0-1 km/h</t>
        </is>
      </c>
    </row>
    <row r="99">
      <c r="A99" s="9" t="inlineStr">
        <is>
          <t>14 Jun</t>
        </is>
      </c>
      <c r="B99" s="9" t="inlineStr">
        <is>
          <t>37244</t>
        </is>
      </c>
      <c r="C99" s="9" t="inlineStr">
        <is>
          <t>Non-Valid</t>
        </is>
      </c>
      <c r="D99" s="9" t="inlineStr">
        <is>
          <t>01:05:02</t>
        </is>
      </c>
      <c r="E99" s="9" t="inlineStr">
        <is>
          <t>01:05:32</t>
        </is>
      </c>
      <c r="F99" s="9" t="n">
        <v>30</v>
      </c>
      <c r="G99" s="9" t="n">
        <v>14</v>
      </c>
      <c r="H99" s="9" t="n">
        <v>77</v>
      </c>
      <c r="I99" s="9" t="inlineStr">
        <is>
          <t>TRIP</t>
        </is>
      </c>
      <c r="J99" s="16" t="n">
        <v>97.45999999999999</v>
      </c>
      <c r="K99" s="9" t="inlineStr">
        <is>
          <t>N</t>
        </is>
      </c>
      <c r="L99" s="9" t="inlineStr">
        <is>
          <t>Talit</t>
        </is>
      </c>
      <c r="M99" s="17" t="inlineStr">
        <is>
          <t>77 km/h</t>
        </is>
      </c>
      <c r="N99" s="17" t="inlineStr">
        <is>
          <t>4529</t>
        </is>
      </c>
      <c r="O99" s="9" t="inlineStr">
        <is>
          <t>-</t>
        </is>
      </c>
      <c r="P99" s="18" t="inlineStr">
        <is>
          <t>Trip mode</t>
        </is>
      </c>
    </row>
    <row r="100">
      <c r="A100" s="9" t="inlineStr">
        <is>
          <t>14 Jun</t>
        </is>
      </c>
      <c r="B100" s="9" t="inlineStr">
        <is>
          <t>37244</t>
        </is>
      </c>
      <c r="C100" s="9" t="inlineStr">
        <is>
          <t>Non-Valid</t>
        </is>
      </c>
      <c r="D100" s="9" t="inlineStr">
        <is>
          <t>01:07:06</t>
        </is>
      </c>
      <c r="E100" s="9" t="inlineStr">
        <is>
          <t>01:07:06</t>
        </is>
      </c>
      <c r="F100" s="9" t="n">
        <v>0</v>
      </c>
      <c r="G100" s="9" t="n">
        <v>1</v>
      </c>
      <c r="H100" s="9" t="n">
        <v>1</v>
      </c>
      <c r="I100" s="9" t="inlineStr">
        <is>
          <t>POSTTRIP</t>
        </is>
      </c>
      <c r="J100" s="16" t="n">
        <v>97.87</v>
      </c>
      <c r="K100" s="9" t="inlineStr">
        <is>
          <t>N</t>
        </is>
      </c>
      <c r="L100" s="9" t="inlineStr">
        <is>
          <t>Talit</t>
        </is>
      </c>
      <c r="M100" s="17" t="inlineStr">
        <is>
          <t>1 km/h</t>
        </is>
      </c>
      <c r="N100" s="17" t="inlineStr">
        <is>
          <t>0</t>
        </is>
      </c>
      <c r="O100" s="9" t="inlineStr">
        <is>
          <t>-</t>
        </is>
      </c>
      <c r="P100" s="18" t="inlineStr">
        <is>
          <t>EB at 0-1 km/h</t>
        </is>
      </c>
    </row>
    <row r="101">
      <c r="A101" s="9" t="inlineStr">
        <is>
          <t>14 Jun</t>
        </is>
      </c>
      <c r="B101" s="9" t="inlineStr">
        <is>
          <t>37244</t>
        </is>
      </c>
      <c r="C101" s="9" t="inlineStr">
        <is>
          <t>Non-Valid</t>
        </is>
      </c>
      <c r="D101" s="9" t="inlineStr">
        <is>
          <t>01:08:00</t>
        </is>
      </c>
      <c r="E101" s="9" t="inlineStr">
        <is>
          <t>01:08:00</t>
        </is>
      </c>
      <c r="F101" s="9" t="n">
        <v>0</v>
      </c>
      <c r="G101" s="9" t="n">
        <v>1</v>
      </c>
      <c r="H101" s="9" t="n">
        <v>1</v>
      </c>
      <c r="I101" s="9" t="inlineStr">
        <is>
          <t>POSTTRIP</t>
        </is>
      </c>
      <c r="J101" s="16" t="n">
        <v>97.88</v>
      </c>
      <c r="K101" s="9" t="inlineStr">
        <is>
          <t>N</t>
        </is>
      </c>
      <c r="L101" s="9" t="inlineStr">
        <is>
          <t>Talit</t>
        </is>
      </c>
      <c r="M101" s="17" t="inlineStr">
        <is>
          <t>1 km/h</t>
        </is>
      </c>
      <c r="N101" s="17" t="inlineStr">
        <is>
          <t>6744</t>
        </is>
      </c>
      <c r="O101" s="9" t="inlineStr">
        <is>
          <t>-</t>
        </is>
      </c>
      <c r="P101" s="18" t="inlineStr">
        <is>
          <t>EB at 0-1 km/h</t>
        </is>
      </c>
    </row>
    <row r="102">
      <c r="A102" s="9" t="inlineStr">
        <is>
          <t>14 Jun</t>
        </is>
      </c>
      <c r="B102" s="9" t="inlineStr">
        <is>
          <t>37609</t>
        </is>
      </c>
      <c r="C102" s="9" t="inlineStr">
        <is>
          <t>Non-Valid</t>
        </is>
      </c>
      <c r="D102" s="9" t="inlineStr">
        <is>
          <t>22:49:12</t>
        </is>
      </c>
      <c r="E102" s="9" t="inlineStr">
        <is>
          <t>22:49:12</t>
        </is>
      </c>
      <c r="F102" s="9" t="n">
        <v>0</v>
      </c>
      <c r="G102" s="9" t="n">
        <v>1</v>
      </c>
      <c r="H102" s="9" t="n">
        <v>25</v>
      </c>
      <c r="I102" s="9" t="inlineStr">
        <is>
          <t>FS</t>
        </is>
      </c>
      <c r="J102" s="16" t="n">
        <v>15.17</v>
      </c>
      <c r="K102" s="9" t="inlineStr">
        <is>
          <t>N</t>
        </is>
      </c>
      <c r="L102" s="9" t="inlineStr">
        <is>
          <t>Dankuni</t>
        </is>
      </c>
      <c r="M102" s="17" t="inlineStr">
        <is>
          <t>25 km/h</t>
        </is>
      </c>
      <c r="N102" s="17" t="inlineStr">
        <is>
          <t>1448</t>
        </is>
      </c>
      <c r="O102" s="9" t="inlineStr">
        <is>
          <t>-</t>
        </is>
      </c>
      <c r="P102" s="17" t="inlineStr">
        <is>
          <t>-</t>
        </is>
      </c>
    </row>
    <row r="103" ht="25" customHeight="1">
      <c r="A103" s="7" t="inlineStr">
        <is>
          <t>14 Jun</t>
        </is>
      </c>
      <c r="B103" s="7" t="inlineStr">
        <is>
          <t>37401</t>
        </is>
      </c>
      <c r="C103" s="7" t="inlineStr">
        <is>
          <t>Valid</t>
        </is>
      </c>
      <c r="D103" s="7" t="inlineStr">
        <is>
          <t>22:53:32</t>
        </is>
      </c>
      <c r="E103" s="7" t="inlineStr">
        <is>
          <t>22:53:40</t>
        </is>
      </c>
      <c r="F103" s="7" t="n">
        <v>8</v>
      </c>
      <c r="G103" s="7" t="n">
        <v>5</v>
      </c>
      <c r="H103" s="7" t="n">
        <v>6</v>
      </c>
      <c r="I103" s="7" t="inlineStr">
        <is>
          <t>StandBy</t>
        </is>
      </c>
      <c r="J103" s="19" t="n">
        <v>94.81</v>
      </c>
      <c r="K103" s="7" t="inlineStr">
        <is>
          <t>N</t>
        </is>
      </c>
      <c r="L103" s="7" t="inlineStr">
        <is>
          <t>Barddhaman Jn</t>
        </is>
      </c>
      <c r="M103" s="20" t="inlineStr">
        <is>
          <t>6 km/h</t>
        </is>
      </c>
      <c r="N103" s="20" t="inlineStr">
        <is>
          <t>4994</t>
        </is>
      </c>
      <c r="O103" s="7" t="inlineStr">
        <is>
          <t>-</t>
        </is>
      </c>
      <c r="P103" s="20" t="inlineStr">
        <is>
          <t>StandBy Mode</t>
        </is>
      </c>
    </row>
  </sheetData>
  <mergeCells count="2"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showGridLines="0" workbookViewId="0">
      <pane ySplit="4" topLeftCell="A5" activePane="bottomLeft" state="frozen"/>
      <selection activeCell="A1" sqref="A1"/>
      <selection pane="bottomLeft" activeCell="A1" sqref="A1:M1"/>
    </sheetView>
  </sheetViews>
  <sheetFormatPr baseColWidth="8" defaultColWidth="9" defaultRowHeight="14.5"/>
  <cols>
    <col width="8" customWidth="1" min="1" max="1"/>
    <col width="9" customWidth="1" min="2" max="2"/>
    <col width="10" customWidth="1" min="3" max="3"/>
    <col width="13" customWidth="1" min="4" max="5"/>
    <col width="12" customWidth="1" min="6" max="7"/>
    <col width="13" customWidth="1" min="8" max="9"/>
    <col width="19" customWidth="1" min="10" max="10"/>
    <col width="10" customWidth="1" min="11" max="11"/>
    <col width="15" customWidth="1" min="12" max="12"/>
    <col width="60" customWidth="1" min="13" max="13"/>
  </cols>
  <sheetData>
    <row r="1" ht="16.5" customHeight="1">
      <c r="A1" s="4" t="inlineStr">
        <is>
          <t>KM Verification  -  KM = (In-section Max Abs  -  In-section Min Abs) / 1000</t>
        </is>
      </c>
    </row>
    <row r="2">
      <c r="A2" s="5" t="inlineStr">
        <is>
          <t>Section window: abs 342 - 244376  (12000_HWH to 12062_CAM).  Only positions inside this window count; 8388607 'unknown' is excluded.  'In Report'=No means no in-section travel (dropped).</t>
        </is>
      </c>
    </row>
    <row r="4" ht="34" customHeight="1">
      <c r="A4" s="6" t="inlineStr">
        <is>
          <t>Date</t>
        </is>
      </c>
      <c r="B4" s="6" t="inlineStr">
        <is>
          <t>Loco ID</t>
        </is>
      </c>
      <c r="C4" s="6" t="inlineStr">
        <is>
          <t>Total pkts</t>
        </is>
      </c>
      <c r="D4" s="6" t="inlineStr">
        <is>
          <t>Valid-abs pkts</t>
        </is>
      </c>
      <c r="E4" s="6" t="inlineStr">
        <is>
          <t>In-section pkts</t>
        </is>
      </c>
      <c r="F4" s="6" t="inlineStr">
        <is>
          <t>Raw Min Abs</t>
        </is>
      </c>
      <c r="G4" s="6" t="inlineStr">
        <is>
          <t>Raw Max Abs</t>
        </is>
      </c>
      <c r="H4" s="6" t="inlineStr">
        <is>
          <t>In-sec Min Abs</t>
        </is>
      </c>
      <c r="I4" s="6" t="inlineStr">
        <is>
          <t>In-sec Max Abs</t>
        </is>
      </c>
      <c r="J4" s="6" t="inlineStr">
        <is>
          <t>KM = (Max-Min)/1000</t>
        </is>
      </c>
      <c r="K4" s="6" t="inlineStr">
        <is>
          <t>In Report?</t>
        </is>
      </c>
      <c r="L4" s="6" t="inlineStr">
        <is>
          <t>Stations Passed (of 60)</t>
        </is>
      </c>
      <c r="M4" s="6" t="inlineStr">
        <is>
          <t>Stations Not Passed (if &lt; full trip)</t>
        </is>
      </c>
    </row>
    <row r="5">
      <c r="A5" s="7" t="inlineStr">
        <is>
          <t>8 Jun</t>
        </is>
      </c>
      <c r="B5" s="7" t="inlineStr">
        <is>
          <t>37719</t>
        </is>
      </c>
      <c r="C5" s="7" t="n">
        <v>8695</v>
      </c>
      <c r="D5" s="7" t="n">
        <v>8685</v>
      </c>
      <c r="E5" s="7" t="n">
        <v>8685</v>
      </c>
      <c r="F5" s="8" t="n">
        <v>444</v>
      </c>
      <c r="G5" s="8" t="n">
        <v>244305</v>
      </c>
      <c r="H5" s="8" t="n">
        <v>444</v>
      </c>
      <c r="I5" s="8" t="n">
        <v>244305</v>
      </c>
      <c r="J5" s="11">
        <f>(I5-H5)/1000</f>
        <v/>
      </c>
      <c r="K5" s="7" t="inlineStr">
        <is>
          <t>Yes</t>
        </is>
      </c>
      <c r="L5" s="7" t="n">
        <v>60</v>
      </c>
      <c r="M5" s="12" t="inlineStr">
        <is>
          <t>- (full trip)</t>
        </is>
      </c>
    </row>
    <row r="6">
      <c r="A6" s="7" t="inlineStr">
        <is>
          <t>8 Jun</t>
        </is>
      </c>
      <c r="B6" s="7" t="inlineStr">
        <is>
          <t>30112</t>
        </is>
      </c>
      <c r="C6" s="7" t="n">
        <v>17733</v>
      </c>
      <c r="D6" s="7" t="n">
        <v>17712</v>
      </c>
      <c r="E6" s="7" t="n">
        <v>17680</v>
      </c>
      <c r="F6" s="8" t="n">
        <v>619</v>
      </c>
      <c r="G6" s="8" t="n">
        <v>246018</v>
      </c>
      <c r="H6" s="8" t="n">
        <v>619</v>
      </c>
      <c r="I6" s="8" t="n">
        <v>244352</v>
      </c>
      <c r="J6" s="11">
        <f>(I6-H6)/1000</f>
        <v/>
      </c>
      <c r="K6" s="7" t="inlineStr">
        <is>
          <t>Yes</t>
        </is>
      </c>
      <c r="L6" s="7" t="n">
        <v>60</v>
      </c>
      <c r="M6" s="12" t="inlineStr">
        <is>
          <t>- (full trip)</t>
        </is>
      </c>
    </row>
    <row r="7">
      <c r="A7" s="7" t="inlineStr">
        <is>
          <t>8 Jun</t>
        </is>
      </c>
      <c r="B7" s="7" t="inlineStr">
        <is>
          <t>30455</t>
        </is>
      </c>
      <c r="C7" s="7" t="n">
        <v>11117</v>
      </c>
      <c r="D7" s="7" t="n">
        <v>11099</v>
      </c>
      <c r="E7" s="7" t="n">
        <v>11091</v>
      </c>
      <c r="F7" s="8" t="n">
        <v>12116</v>
      </c>
      <c r="G7" s="8" t="n">
        <v>244584</v>
      </c>
      <c r="H7" s="8" t="n">
        <v>12116</v>
      </c>
      <c r="I7" s="8" t="n">
        <v>244354</v>
      </c>
      <c r="J7" s="11">
        <f>(I7-H7)/1000</f>
        <v/>
      </c>
      <c r="K7" s="7" t="inlineStr">
        <is>
          <t>Yes</t>
        </is>
      </c>
      <c r="L7" s="7" t="n">
        <v>55</v>
      </c>
      <c r="M7" s="12" t="inlineStr">
        <is>
          <t>Howrah, Howrah Sorting Yard, Liluah, Belur, Bally</t>
        </is>
      </c>
    </row>
    <row r="8">
      <c r="A8" s="7" t="inlineStr">
        <is>
          <t>8 Jun</t>
        </is>
      </c>
      <c r="B8" s="7" t="inlineStr">
        <is>
          <t>30371</t>
        </is>
      </c>
      <c r="C8" s="7" t="n">
        <v>10175</v>
      </c>
      <c r="D8" s="7" t="n">
        <v>10169</v>
      </c>
      <c r="E8" s="7" t="n">
        <v>10113</v>
      </c>
      <c r="F8" s="8" t="n">
        <v>12702</v>
      </c>
      <c r="G8" s="8" t="n">
        <v>246089</v>
      </c>
      <c r="H8" s="8" t="n">
        <v>12702</v>
      </c>
      <c r="I8" s="8" t="n">
        <v>244375</v>
      </c>
      <c r="J8" s="11">
        <f>(I8-H8)/1000</f>
        <v/>
      </c>
      <c r="K8" s="7" t="inlineStr">
        <is>
          <t>Yes</t>
        </is>
      </c>
      <c r="L8" s="7" t="n">
        <v>55</v>
      </c>
      <c r="M8" s="12" t="inlineStr">
        <is>
          <t>Howrah, Howrah Sorting Yard, Liluah, Belur, Bally</t>
        </is>
      </c>
    </row>
    <row r="9" ht="34" customHeight="1">
      <c r="A9" s="7" t="inlineStr">
        <is>
          <t>8 Jun</t>
        </is>
      </c>
      <c r="B9" s="7" t="inlineStr">
        <is>
          <t>30805</t>
        </is>
      </c>
      <c r="C9" s="7" t="n">
        <v>11042</v>
      </c>
      <c r="D9" s="7" t="n">
        <v>10830</v>
      </c>
      <c r="E9" s="7" t="n">
        <v>10712</v>
      </c>
      <c r="F9" s="8" t="n">
        <v>29</v>
      </c>
      <c r="G9" s="8" t="n">
        <v>200081</v>
      </c>
      <c r="H9" s="8" t="n">
        <v>346</v>
      </c>
      <c r="I9" s="8" t="n">
        <v>200081</v>
      </c>
      <c r="J9" s="11">
        <f>(I9-H9)/1000</f>
        <v/>
      </c>
      <c r="K9" s="7" t="inlineStr">
        <is>
          <t>Yes</t>
        </is>
      </c>
      <c r="L9" s="7" t="n">
        <v>50</v>
      </c>
      <c r="M9" s="12" t="inlineStr">
        <is>
          <t>Barachak Jn, Sitarampur Central, Kulti, Barakar, Kumardubi, Mugma, Thaparnagar, Kalubathan, Chhota Ambana</t>
        </is>
      </c>
    </row>
    <row r="10" ht="34" customHeight="1">
      <c r="A10" s="7" t="inlineStr">
        <is>
          <t>8 Jun</t>
        </is>
      </c>
      <c r="B10" s="7" t="inlineStr">
        <is>
          <t>39132</t>
        </is>
      </c>
      <c r="C10" s="7" t="n">
        <v>12491</v>
      </c>
      <c r="D10" s="7" t="n">
        <v>12416</v>
      </c>
      <c r="E10" s="7" t="n">
        <v>12281</v>
      </c>
      <c r="F10" s="8" t="n">
        <v>32</v>
      </c>
      <c r="G10" s="8" t="n">
        <v>200080</v>
      </c>
      <c r="H10" s="8" t="n">
        <v>343</v>
      </c>
      <c r="I10" s="8" t="n">
        <v>200080</v>
      </c>
      <c r="J10" s="11">
        <f>(I10-H10)/1000</f>
        <v/>
      </c>
      <c r="K10" s="7" t="inlineStr">
        <is>
          <t>Yes</t>
        </is>
      </c>
      <c r="L10" s="7" t="n">
        <v>50</v>
      </c>
      <c r="M10" s="12" t="inlineStr">
        <is>
          <t>Barachak Jn, Sitarampur Central, Kulti, Barakar, Kumardubi, Mugma, Thaparnagar, Kalubathan, Chhota Ambana</t>
        </is>
      </c>
    </row>
    <row r="11" ht="34" customHeight="1">
      <c r="A11" s="7" t="inlineStr">
        <is>
          <t>8 Jun</t>
        </is>
      </c>
      <c r="B11" s="7" t="inlineStr">
        <is>
          <t>39179</t>
        </is>
      </c>
      <c r="C11" s="7" t="n">
        <v>7404</v>
      </c>
      <c r="D11" s="7" t="n">
        <v>7382</v>
      </c>
      <c r="E11" s="7" t="n">
        <v>7382</v>
      </c>
      <c r="F11" s="8" t="n">
        <v>350</v>
      </c>
      <c r="G11" s="8" t="n">
        <v>200090</v>
      </c>
      <c r="H11" s="8" t="n">
        <v>350</v>
      </c>
      <c r="I11" s="8" t="n">
        <v>200090</v>
      </c>
      <c r="J11" s="11">
        <f>(I11-H11)/1000</f>
        <v/>
      </c>
      <c r="K11" s="7" t="inlineStr">
        <is>
          <t>Yes</t>
        </is>
      </c>
      <c r="L11" s="7" t="n">
        <v>50</v>
      </c>
      <c r="M11" s="12" t="inlineStr">
        <is>
          <t>Barachak Jn, Sitarampur Central, Kulti, Barakar, Kumardubi, Mugma, Thaparnagar, Kalubathan, Chhota Ambana</t>
        </is>
      </c>
    </row>
    <row r="12" ht="34" customHeight="1">
      <c r="A12" s="7" t="inlineStr">
        <is>
          <t>8 Jun</t>
        </is>
      </c>
      <c r="B12" s="7" t="inlineStr">
        <is>
          <t>39178</t>
        </is>
      </c>
      <c r="C12" s="7" t="n">
        <v>7258</v>
      </c>
      <c r="D12" s="7" t="n">
        <v>7236</v>
      </c>
      <c r="E12" s="7" t="n">
        <v>7236</v>
      </c>
      <c r="F12" s="8" t="n">
        <v>547</v>
      </c>
      <c r="G12" s="8" t="n">
        <v>200081</v>
      </c>
      <c r="H12" s="8" t="n">
        <v>547</v>
      </c>
      <c r="I12" s="8" t="n">
        <v>200081</v>
      </c>
      <c r="J12" s="11">
        <f>(I12-H12)/1000</f>
        <v/>
      </c>
      <c r="K12" s="7" t="inlineStr">
        <is>
          <t>Yes</t>
        </is>
      </c>
      <c r="L12" s="7" t="n">
        <v>50</v>
      </c>
      <c r="M12" s="12" t="inlineStr">
        <is>
          <t>Barachak Jn, Sitarampur Central, Kulti, Barakar, Kumardubi, Mugma, Thaparnagar, Kalubathan, Chhota Ambana</t>
        </is>
      </c>
    </row>
    <row r="13" ht="34" customHeight="1">
      <c r="A13" s="7" t="inlineStr">
        <is>
          <t>8 Jun</t>
        </is>
      </c>
      <c r="B13" s="7" t="inlineStr">
        <is>
          <t>37894</t>
        </is>
      </c>
      <c r="C13" s="7" t="n">
        <v>6637</v>
      </c>
      <c r="D13" s="7" t="n">
        <v>6607</v>
      </c>
      <c r="E13" s="7" t="n">
        <v>6607</v>
      </c>
      <c r="F13" s="8" t="n">
        <v>688</v>
      </c>
      <c r="G13" s="8" t="n">
        <v>200086</v>
      </c>
      <c r="H13" s="8" t="n">
        <v>688</v>
      </c>
      <c r="I13" s="8" t="n">
        <v>200086</v>
      </c>
      <c r="J13" s="11">
        <f>(I13-H13)/1000</f>
        <v/>
      </c>
      <c r="K13" s="7" t="inlineStr">
        <is>
          <t>Yes</t>
        </is>
      </c>
      <c r="L13" s="7" t="n">
        <v>50</v>
      </c>
      <c r="M13" s="12" t="inlineStr">
        <is>
          <t>Barachak Jn, Sitarampur Central, Kulti, Barakar, Kumardubi, Mugma, Thaparnagar, Kalubathan, Chhota Ambana</t>
        </is>
      </c>
    </row>
    <row r="14" ht="34" customHeight="1">
      <c r="A14" s="7" t="inlineStr">
        <is>
          <t>8 Jun</t>
        </is>
      </c>
      <c r="B14" s="7" t="inlineStr">
        <is>
          <t>30692</t>
        </is>
      </c>
      <c r="C14" s="7" t="n">
        <v>12585</v>
      </c>
      <c r="D14" s="7" t="n">
        <v>12242</v>
      </c>
      <c r="E14" s="7" t="n">
        <v>12080</v>
      </c>
      <c r="F14" s="8" t="n">
        <v>41</v>
      </c>
      <c r="G14" s="8" t="n">
        <v>199534</v>
      </c>
      <c r="H14" s="8" t="n">
        <v>342</v>
      </c>
      <c r="I14" s="8" t="n">
        <v>199534</v>
      </c>
      <c r="J14" s="11">
        <f>(I14-H14)/1000</f>
        <v/>
      </c>
      <c r="K14" s="7" t="inlineStr">
        <is>
          <t>Yes</t>
        </is>
      </c>
      <c r="L14" s="7" t="n">
        <v>50</v>
      </c>
      <c r="M14" s="12" t="inlineStr">
        <is>
          <t>Barachak Jn, Sitarampur Central, Kulti, Barakar, Kumardubi, Mugma, Thaparnagar, Kalubathan, Chhota Ambana</t>
        </is>
      </c>
    </row>
    <row r="15" ht="34" customHeight="1">
      <c r="A15" s="7" t="inlineStr">
        <is>
          <t>8 Jun</t>
        </is>
      </c>
      <c r="B15" s="7" t="inlineStr">
        <is>
          <t>37879</t>
        </is>
      </c>
      <c r="C15" s="7" t="n">
        <v>8258</v>
      </c>
      <c r="D15" s="7" t="n">
        <v>8213</v>
      </c>
      <c r="E15" s="7" t="n">
        <v>8213</v>
      </c>
      <c r="F15" s="8" t="n">
        <v>350</v>
      </c>
      <c r="G15" s="8" t="n">
        <v>199393</v>
      </c>
      <c r="H15" s="8" t="n">
        <v>350</v>
      </c>
      <c r="I15" s="8" t="n">
        <v>199393</v>
      </c>
      <c r="J15" s="11">
        <f>(I15-H15)/1000</f>
        <v/>
      </c>
      <c r="K15" s="7" t="inlineStr">
        <is>
          <t>Yes</t>
        </is>
      </c>
      <c r="L15" s="7" t="n">
        <v>50</v>
      </c>
      <c r="M15" s="12" t="inlineStr">
        <is>
          <t>Barachak Jn, Sitarampur Central, Kulti, Barakar, Kumardubi, Mugma, Thaparnagar, Kalubathan, Chhota Ambana</t>
        </is>
      </c>
    </row>
    <row r="16" ht="34" customHeight="1">
      <c r="A16" s="7" t="inlineStr">
        <is>
          <t>8 Jun</t>
        </is>
      </c>
      <c r="B16" s="7" t="inlineStr">
        <is>
          <t>37481</t>
        </is>
      </c>
      <c r="C16" s="7" t="n">
        <v>5171</v>
      </c>
      <c r="D16" s="7" t="n">
        <v>5138</v>
      </c>
      <c r="E16" s="7" t="n">
        <v>5138</v>
      </c>
      <c r="F16" s="8" t="n">
        <v>1145</v>
      </c>
      <c r="G16" s="8" t="n">
        <v>199387</v>
      </c>
      <c r="H16" s="8" t="n">
        <v>1145</v>
      </c>
      <c r="I16" s="8" t="n">
        <v>199387</v>
      </c>
      <c r="J16" s="11">
        <f>(I16-H16)/1000</f>
        <v/>
      </c>
      <c r="K16" s="7" t="inlineStr">
        <is>
          <t>Yes</t>
        </is>
      </c>
      <c r="L16" s="7" t="n">
        <v>50</v>
      </c>
      <c r="M16" s="12" t="inlineStr">
        <is>
          <t>Barachak Jn, Sitarampur Central, Kulti, Barakar, Kumardubi, Mugma, Thaparnagar, Kalubathan, Chhota Ambana</t>
        </is>
      </c>
    </row>
    <row r="17" ht="49" customHeight="1">
      <c r="A17" s="7" t="inlineStr">
        <is>
          <t>8 Jun</t>
        </is>
      </c>
      <c r="B17" s="7" t="inlineStr">
        <is>
          <t>30457</t>
        </is>
      </c>
      <c r="C17" s="7" t="n">
        <v>8789</v>
      </c>
      <c r="D17" s="7" t="n">
        <v>8785</v>
      </c>
      <c r="E17" s="7" t="n">
        <v>8785</v>
      </c>
      <c r="F17" s="8" t="n">
        <v>12121</v>
      </c>
      <c r="G17" s="8" t="n">
        <v>200096</v>
      </c>
      <c r="H17" s="8" t="n">
        <v>12121</v>
      </c>
      <c r="I17" s="8" t="n">
        <v>200096</v>
      </c>
      <c r="J17" s="11">
        <f>(I17-H17)/1000</f>
        <v/>
      </c>
      <c r="K17" s="7" t="inlineStr">
        <is>
          <t>Yes</t>
        </is>
      </c>
      <c r="L17" s="7" t="n">
        <v>45</v>
      </c>
      <c r="M17" s="12" t="inlineStr">
        <is>
          <t>Howrah, Howrah Sorting Yard, Liluah, Belur, Bally, Barachak Jn, Sitarampur Central, Kulti, Barakar, Kumardubi, Mugma, Thaparnagar, Kalubathan, Chhota Ambana</t>
        </is>
      </c>
    </row>
    <row r="18" ht="49" customHeight="1">
      <c r="A18" s="7" t="inlineStr">
        <is>
          <t>8 Jun</t>
        </is>
      </c>
      <c r="B18" s="7" t="inlineStr">
        <is>
          <t>37034</t>
        </is>
      </c>
      <c r="C18" s="7" t="n">
        <v>6188</v>
      </c>
      <c r="D18" s="7" t="n">
        <v>6165</v>
      </c>
      <c r="E18" s="7" t="n">
        <v>6165</v>
      </c>
      <c r="F18" s="8" t="n">
        <v>30919</v>
      </c>
      <c r="G18" s="8" t="n">
        <v>217703</v>
      </c>
      <c r="H18" s="8" t="n">
        <v>30919</v>
      </c>
      <c r="I18" s="8" t="n">
        <v>217703</v>
      </c>
      <c r="J18" s="11">
        <f>(I18-H18)/1000</f>
        <v/>
      </c>
      <c r="K18" s="7" t="inlineStr">
        <is>
          <t>Yes</t>
        </is>
      </c>
      <c r="L18" s="7" t="n">
        <v>44</v>
      </c>
      <c r="M18" s="12" t="inlineStr">
        <is>
          <t>Howrah, Howrah Sorting Yard, Liluah, Belur, Bally, Belanagar, Dankuni, LC-12, Janai Road, Baruipara, Kumardubi, Mugma, Thaparnagar, Kalubathan, LC-12, Chhota Ambana</t>
        </is>
      </c>
    </row>
    <row r="19" ht="49" customHeight="1">
      <c r="A19" s="7" t="inlineStr">
        <is>
          <t>8 Jun</t>
        </is>
      </c>
      <c r="B19" s="7" t="inlineStr">
        <is>
          <t>30327</t>
        </is>
      </c>
      <c r="C19" s="7" t="n">
        <v>7190</v>
      </c>
      <c r="D19" s="7" t="n">
        <v>7179</v>
      </c>
      <c r="E19" s="7" t="n">
        <v>7169</v>
      </c>
      <c r="F19" s="8" t="n">
        <v>66453</v>
      </c>
      <c r="G19" s="8" t="n">
        <v>244657</v>
      </c>
      <c r="H19" s="8" t="n">
        <v>66453</v>
      </c>
      <c r="I19" s="8" t="n">
        <v>244359</v>
      </c>
      <c r="J19" s="11">
        <f>(I19-H19)/1000</f>
        <v/>
      </c>
      <c r="K19" s="7" t="inlineStr">
        <is>
          <t>Yes</t>
        </is>
      </c>
      <c r="L19" s="7" t="n">
        <v>41</v>
      </c>
      <c r="M19" s="12" t="inlineStr">
        <is>
          <t>Howrah, Howrah Sorting Yard, Liluah, Belur, Bally, Belanagar, Dankuni, Janai Road, Baruipara, Kamarkundu, LC-31, Chandanpur, LC-38, Belmuri, Cheragram, LC-41, Gurap, LC-48</t>
        </is>
      </c>
    </row>
    <row r="20" ht="94" customHeight="1">
      <c r="A20" s="7" t="inlineStr">
        <is>
          <t>8 Jun</t>
        </is>
      </c>
      <c r="B20" s="7" t="inlineStr">
        <is>
          <t>37585</t>
        </is>
      </c>
      <c r="C20" s="7" t="n">
        <v>7830</v>
      </c>
      <c r="D20" s="7" t="n">
        <v>7778</v>
      </c>
      <c r="E20" s="7" t="n">
        <v>7778</v>
      </c>
      <c r="F20" s="8" t="n">
        <v>350</v>
      </c>
      <c r="G20" s="8" t="n">
        <v>94743</v>
      </c>
      <c r="H20" s="8" t="n">
        <v>350</v>
      </c>
      <c r="I20" s="8" t="n">
        <v>94743</v>
      </c>
      <c r="J20" s="11">
        <f>(I20-H20)/1000</f>
        <v/>
      </c>
      <c r="K20" s="7" t="inlineStr">
        <is>
          <t>Yes</t>
        </is>
      </c>
      <c r="L20" s="7" t="n">
        <v>26</v>
      </c>
      <c r="M20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" ht="94" customHeight="1">
      <c r="A21" s="7" t="inlineStr">
        <is>
          <t>8 Jun</t>
        </is>
      </c>
      <c r="B21" s="7" t="inlineStr">
        <is>
          <t>39133</t>
        </is>
      </c>
      <c r="C21" s="7" t="n">
        <v>12788</v>
      </c>
      <c r="D21" s="7" t="n">
        <v>12737</v>
      </c>
      <c r="E21" s="7" t="n">
        <v>12737</v>
      </c>
      <c r="F21" s="8" t="n">
        <v>350</v>
      </c>
      <c r="G21" s="8" t="n">
        <v>94615</v>
      </c>
      <c r="H21" s="8" t="n">
        <v>350</v>
      </c>
      <c r="I21" s="8" t="n">
        <v>94615</v>
      </c>
      <c r="J21" s="11">
        <f>(I21-H21)/1000</f>
        <v/>
      </c>
      <c r="K21" s="7" t="inlineStr">
        <is>
          <t>Yes</t>
        </is>
      </c>
      <c r="L21" s="7" t="n">
        <v>26</v>
      </c>
      <c r="M21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" ht="94" customHeight="1">
      <c r="A22" s="7" t="inlineStr">
        <is>
          <t>8 Jun</t>
        </is>
      </c>
      <c r="B22" s="7" t="inlineStr">
        <is>
          <t>39135</t>
        </is>
      </c>
      <c r="C22" s="7" t="n">
        <v>9510</v>
      </c>
      <c r="D22" s="7" t="n">
        <v>9435</v>
      </c>
      <c r="E22" s="7" t="n">
        <v>9225</v>
      </c>
      <c r="F22" s="8" t="n">
        <v>42</v>
      </c>
      <c r="G22" s="8" t="n">
        <v>94605</v>
      </c>
      <c r="H22" s="8" t="n">
        <v>342</v>
      </c>
      <c r="I22" s="8" t="n">
        <v>94605</v>
      </c>
      <c r="J22" s="11">
        <f>(I22-H22)/1000</f>
        <v/>
      </c>
      <c r="K22" s="7" t="inlineStr">
        <is>
          <t>Yes</t>
        </is>
      </c>
      <c r="L22" s="7" t="n">
        <v>26</v>
      </c>
      <c r="M22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" ht="94" customHeight="1">
      <c r="A23" s="7" t="inlineStr">
        <is>
          <t>8 Jun</t>
        </is>
      </c>
      <c r="B23" s="7" t="inlineStr">
        <is>
          <t>37908</t>
        </is>
      </c>
      <c r="C23" s="7" t="n">
        <v>3929</v>
      </c>
      <c r="D23" s="7" t="n">
        <v>3891</v>
      </c>
      <c r="E23" s="7" t="n">
        <v>3891</v>
      </c>
      <c r="F23" s="8" t="n">
        <v>350</v>
      </c>
      <c r="G23" s="8" t="n">
        <v>94604</v>
      </c>
      <c r="H23" s="8" t="n">
        <v>350</v>
      </c>
      <c r="I23" s="8" t="n">
        <v>94604</v>
      </c>
      <c r="J23" s="11">
        <f>(I23-H23)/1000</f>
        <v/>
      </c>
      <c r="K23" s="7" t="inlineStr">
        <is>
          <t>Yes</t>
        </is>
      </c>
      <c r="L23" s="7" t="n">
        <v>26</v>
      </c>
      <c r="M23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" ht="94" customHeight="1">
      <c r="A24" s="7" t="inlineStr">
        <is>
          <t>8 Jun</t>
        </is>
      </c>
      <c r="B24" s="7" t="inlineStr">
        <is>
          <t>37025</t>
        </is>
      </c>
      <c r="C24" s="7" t="n">
        <v>4763</v>
      </c>
      <c r="D24" s="7" t="n">
        <v>4727</v>
      </c>
      <c r="E24" s="7" t="n">
        <v>4668</v>
      </c>
      <c r="F24" s="8" t="n">
        <v>67</v>
      </c>
      <c r="G24" s="8" t="n">
        <v>94112</v>
      </c>
      <c r="H24" s="8" t="n">
        <v>346</v>
      </c>
      <c r="I24" s="8" t="n">
        <v>94112</v>
      </c>
      <c r="J24" s="11">
        <f>(I24-H24)/1000</f>
        <v/>
      </c>
      <c r="K24" s="7" t="inlineStr">
        <is>
          <t>Yes</t>
        </is>
      </c>
      <c r="L24" s="7" t="n">
        <v>26</v>
      </c>
      <c r="M24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5" ht="94" customHeight="1">
      <c r="A25" s="7" t="inlineStr">
        <is>
          <t>8 Jun</t>
        </is>
      </c>
      <c r="B25" s="7" t="inlineStr">
        <is>
          <t>30686</t>
        </is>
      </c>
      <c r="C25" s="7" t="n">
        <v>4273</v>
      </c>
      <c r="D25" s="7" t="n">
        <v>4251</v>
      </c>
      <c r="E25" s="7" t="n">
        <v>4251</v>
      </c>
      <c r="F25" s="8" t="n">
        <v>2495</v>
      </c>
      <c r="G25" s="8" t="n">
        <v>94115</v>
      </c>
      <c r="H25" s="8" t="n">
        <v>2495</v>
      </c>
      <c r="I25" s="8" t="n">
        <v>94115</v>
      </c>
      <c r="J25" s="11">
        <f>(I25-H25)/1000</f>
        <v/>
      </c>
      <c r="K25" s="7" t="inlineStr">
        <is>
          <t>Yes</t>
        </is>
      </c>
      <c r="L25" s="7" t="n">
        <v>26</v>
      </c>
      <c r="M25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" ht="109" customHeight="1">
      <c r="A26" s="7" t="inlineStr">
        <is>
          <t>8 Jun</t>
        </is>
      </c>
      <c r="B26" s="7" t="inlineStr">
        <is>
          <t>30322</t>
        </is>
      </c>
      <c r="C26" s="7" t="n">
        <v>3291</v>
      </c>
      <c r="D26" s="7" t="n">
        <v>3286</v>
      </c>
      <c r="E26" s="7" t="n">
        <v>3286</v>
      </c>
      <c r="F26" s="8" t="n">
        <v>12118</v>
      </c>
      <c r="G26" s="8" t="n">
        <v>94638</v>
      </c>
      <c r="H26" s="8" t="n">
        <v>12118</v>
      </c>
      <c r="I26" s="8" t="n">
        <v>94638</v>
      </c>
      <c r="J26" s="11">
        <f>(I26-H26)/1000</f>
        <v/>
      </c>
      <c r="K26" s="7" t="inlineStr">
        <is>
          <t>Yes</t>
        </is>
      </c>
      <c r="L26" s="7" t="n">
        <v>21</v>
      </c>
      <c r="M26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" ht="109" customHeight="1">
      <c r="A27" s="7" t="inlineStr">
        <is>
          <t>8 Jun</t>
        </is>
      </c>
      <c r="B27" s="7" t="inlineStr">
        <is>
          <t>30742</t>
        </is>
      </c>
      <c r="C27" s="7" t="n">
        <v>3317</v>
      </c>
      <c r="D27" s="7" t="n">
        <v>3301</v>
      </c>
      <c r="E27" s="7" t="n">
        <v>3301</v>
      </c>
      <c r="F27" s="8" t="n">
        <v>12119</v>
      </c>
      <c r="G27" s="8" t="n">
        <v>94113</v>
      </c>
      <c r="H27" s="8" t="n">
        <v>12119</v>
      </c>
      <c r="I27" s="8" t="n">
        <v>94113</v>
      </c>
      <c r="J27" s="11">
        <f>(I27-H27)/1000</f>
        <v/>
      </c>
      <c r="K27" s="7" t="inlineStr">
        <is>
          <t>Yes</t>
        </is>
      </c>
      <c r="L27" s="7" t="n">
        <v>21</v>
      </c>
      <c r="M27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8" ht="109" customHeight="1">
      <c r="A28" s="7" t="inlineStr">
        <is>
          <t>8 Jun</t>
        </is>
      </c>
      <c r="B28" s="7" t="inlineStr">
        <is>
          <t>37609</t>
        </is>
      </c>
      <c r="C28" s="7" t="n">
        <v>5223</v>
      </c>
      <c r="D28" s="7" t="n">
        <v>5203</v>
      </c>
      <c r="E28" s="7" t="n">
        <v>5203</v>
      </c>
      <c r="F28" s="8" t="n">
        <v>12119</v>
      </c>
      <c r="G28" s="8" t="n">
        <v>94109</v>
      </c>
      <c r="H28" s="8" t="n">
        <v>12119</v>
      </c>
      <c r="I28" s="8" t="n">
        <v>94109</v>
      </c>
      <c r="J28" s="11">
        <f>(I28-H28)/1000</f>
        <v/>
      </c>
      <c r="K28" s="7" t="inlineStr">
        <is>
          <t>Yes</t>
        </is>
      </c>
      <c r="L28" s="7" t="n">
        <v>21</v>
      </c>
      <c r="M28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9" ht="109" customHeight="1">
      <c r="A29" s="7" t="inlineStr">
        <is>
          <t>8 Jun</t>
        </is>
      </c>
      <c r="B29" s="7" t="inlineStr">
        <is>
          <t>37720</t>
        </is>
      </c>
      <c r="C29" s="7" t="n">
        <v>2996</v>
      </c>
      <c r="D29" s="7" t="n">
        <v>2991</v>
      </c>
      <c r="E29" s="7" t="n">
        <v>2991</v>
      </c>
      <c r="F29" s="8" t="n">
        <v>13049</v>
      </c>
      <c r="G29" s="8" t="n">
        <v>94727</v>
      </c>
      <c r="H29" s="8" t="n">
        <v>13049</v>
      </c>
      <c r="I29" s="8" t="n">
        <v>94727</v>
      </c>
      <c r="J29" s="11">
        <f>(I29-H29)/1000</f>
        <v/>
      </c>
      <c r="K29" s="7" t="inlineStr">
        <is>
          <t>Yes</t>
        </is>
      </c>
      <c r="L29" s="7" t="n">
        <v>20</v>
      </c>
      <c r="M29" s="12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" ht="109" customHeight="1">
      <c r="A30" s="7" t="inlineStr">
        <is>
          <t>8 Jun</t>
        </is>
      </c>
      <c r="B30" s="7" t="inlineStr">
        <is>
          <t>37042</t>
        </is>
      </c>
      <c r="C30" s="7" t="n">
        <v>3352</v>
      </c>
      <c r="D30" s="7" t="n">
        <v>3347</v>
      </c>
      <c r="E30" s="7" t="n">
        <v>3337</v>
      </c>
      <c r="F30" s="8" t="n">
        <v>164913</v>
      </c>
      <c r="G30" s="8" t="n">
        <v>244631</v>
      </c>
      <c r="H30" s="8" t="n">
        <v>164913</v>
      </c>
      <c r="I30" s="8" t="n">
        <v>244341</v>
      </c>
      <c r="J30" s="11">
        <f>(I30-H30)/1000</f>
        <v/>
      </c>
      <c r="K30" s="7" t="inlineStr">
        <is>
          <t>Yes</t>
        </is>
      </c>
      <c r="L30" s="7" t="n">
        <v>20</v>
      </c>
      <c r="M30" s="12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</t>
        </is>
      </c>
    </row>
    <row r="31" ht="109" customHeight="1">
      <c r="A31" s="7" t="inlineStr">
        <is>
          <t>8 Jun</t>
        </is>
      </c>
      <c r="B31" s="7" t="inlineStr">
        <is>
          <t>37086</t>
        </is>
      </c>
      <c r="C31" s="7" t="n">
        <v>3056</v>
      </c>
      <c r="D31" s="7" t="n">
        <v>3056</v>
      </c>
      <c r="E31" s="7" t="n">
        <v>3056</v>
      </c>
      <c r="F31" s="8" t="n">
        <v>741</v>
      </c>
      <c r="G31" s="8" t="n">
        <v>72533</v>
      </c>
      <c r="H31" s="8" t="n">
        <v>741</v>
      </c>
      <c r="I31" s="8" t="n">
        <v>72533</v>
      </c>
      <c r="J31" s="11">
        <f>(I31-H31)/1000</f>
        <v/>
      </c>
      <c r="K31" s="7" t="inlineStr">
        <is>
          <t>Yes</t>
        </is>
      </c>
      <c r="L31" s="7" t="n">
        <v>22</v>
      </c>
      <c r="M31" s="12" t="inlineStr">
        <is>
          <t>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" ht="124" customHeight="1">
      <c r="A32" s="7" t="inlineStr">
        <is>
          <t>8 Jun</t>
        </is>
      </c>
      <c r="B32" s="7" t="inlineStr">
        <is>
          <t>30305</t>
        </is>
      </c>
      <c r="C32" s="7" t="n">
        <v>1890</v>
      </c>
      <c r="D32" s="7" t="n">
        <v>1879</v>
      </c>
      <c r="E32" s="7" t="n">
        <v>1879</v>
      </c>
      <c r="F32" s="8" t="n">
        <v>39778</v>
      </c>
      <c r="G32" s="8" t="n">
        <v>94115</v>
      </c>
      <c r="H32" s="8" t="n">
        <v>39778</v>
      </c>
      <c r="I32" s="8" t="n">
        <v>94115</v>
      </c>
      <c r="J32" s="11">
        <f>(I32-H32)/1000</f>
        <v/>
      </c>
      <c r="K32" s="7" t="inlineStr">
        <is>
          <t>Yes</t>
        </is>
      </c>
      <c r="L32" s="7" t="n">
        <v>14</v>
      </c>
      <c r="M32" s="12" t="inlineStr">
        <is>
          <t>Howrah, Howrah Sorting Yard, Liluah, Belur, Bally, Belanagar, Dankuni, LC-12, Janai Road, Baruipara, Kamarkundu, LC-31,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3" ht="139" customHeight="1">
      <c r="A33" s="7" t="inlineStr">
        <is>
          <t>8 Jun</t>
        </is>
      </c>
      <c r="B33" s="7" t="inlineStr">
        <is>
          <t>37272</t>
        </is>
      </c>
      <c r="C33" s="7" t="n">
        <v>1038</v>
      </c>
      <c r="D33" s="7" t="n">
        <v>1005</v>
      </c>
      <c r="E33" s="7" t="n">
        <v>1005</v>
      </c>
      <c r="F33" s="8" t="n">
        <v>350</v>
      </c>
      <c r="G33" s="8" t="n">
        <v>11485</v>
      </c>
      <c r="H33" s="8" t="n">
        <v>350</v>
      </c>
      <c r="I33" s="8" t="n">
        <v>11485</v>
      </c>
      <c r="J33" s="11">
        <f>(I33-H33)/1000</f>
        <v/>
      </c>
      <c r="K33" s="7" t="inlineStr">
        <is>
          <t>Yes</t>
        </is>
      </c>
      <c r="L33" s="7" t="n">
        <v>6</v>
      </c>
      <c r="M33" s="12" t="inlineStr">
        <is>
          <t>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  ...(+4 more)</t>
        </is>
      </c>
    </row>
    <row r="34" ht="139" customHeight="1">
      <c r="A34" s="7" t="inlineStr">
        <is>
          <t>8 Jun</t>
        </is>
      </c>
      <c r="B34" s="7" t="inlineStr">
        <is>
          <t>45002</t>
        </is>
      </c>
      <c r="C34" s="7" t="n">
        <v>470</v>
      </c>
      <c r="D34" s="7" t="n">
        <v>394</v>
      </c>
      <c r="E34" s="7" t="n">
        <v>394</v>
      </c>
      <c r="F34" s="8" t="n">
        <v>347</v>
      </c>
      <c r="G34" s="8" t="n">
        <v>801</v>
      </c>
      <c r="H34" s="8" t="n">
        <v>347</v>
      </c>
      <c r="I34" s="8" t="n">
        <v>801</v>
      </c>
      <c r="J34" s="11">
        <f>(I34-H34)/1000</f>
        <v/>
      </c>
      <c r="K34" s="7" t="inlineStr">
        <is>
          <t>Yes</t>
        </is>
      </c>
      <c r="L34" s="7" t="n">
        <v>1</v>
      </c>
      <c r="M34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35" ht="139" customHeight="1">
      <c r="A35" s="9" t="inlineStr">
        <is>
          <t>8 Jun</t>
        </is>
      </c>
      <c r="B35" s="9" t="inlineStr">
        <is>
          <t>30191</t>
        </is>
      </c>
      <c r="C35" s="9" t="n">
        <v>5</v>
      </c>
      <c r="D35" s="9" t="n">
        <v>0</v>
      </c>
      <c r="E35" s="9" t="n">
        <v>0</v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3" t="n">
        <v>0</v>
      </c>
      <c r="K35" s="9" t="inlineStr">
        <is>
          <t>No</t>
        </is>
      </c>
      <c r="L35" s="9" t="n">
        <v>0</v>
      </c>
      <c r="M3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6" ht="139" customHeight="1">
      <c r="A36" s="9" t="inlineStr">
        <is>
          <t>8 Jun</t>
        </is>
      </c>
      <c r="B36" s="9" t="inlineStr">
        <is>
          <t>30323</t>
        </is>
      </c>
      <c r="C36" s="9" t="n">
        <v>4</v>
      </c>
      <c r="D36" s="9" t="n">
        <v>0</v>
      </c>
      <c r="E36" s="9" t="n">
        <v>0</v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3" t="n">
        <v>0</v>
      </c>
      <c r="K36" s="9" t="inlineStr">
        <is>
          <t>No</t>
        </is>
      </c>
      <c r="L36" s="9" t="n">
        <v>0</v>
      </c>
      <c r="M3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7" ht="139" customHeight="1">
      <c r="A37" s="9" t="inlineStr">
        <is>
          <t>8 Jun</t>
        </is>
      </c>
      <c r="B37" s="9" t="inlineStr">
        <is>
          <t>30370</t>
        </is>
      </c>
      <c r="C37" s="9" t="n">
        <v>10</v>
      </c>
      <c r="D37" s="9" t="n">
        <v>0</v>
      </c>
      <c r="E37" s="9" t="n">
        <v>0</v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3" t="n">
        <v>0</v>
      </c>
      <c r="K37" s="9" t="inlineStr">
        <is>
          <t>No</t>
        </is>
      </c>
      <c r="L37" s="9" t="n">
        <v>0</v>
      </c>
      <c r="M3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8" ht="139" customHeight="1">
      <c r="A38" s="9" t="inlineStr">
        <is>
          <t>8 Jun</t>
        </is>
      </c>
      <c r="B38" s="9" t="inlineStr">
        <is>
          <t>32175</t>
        </is>
      </c>
      <c r="C38" s="9" t="n">
        <v>5</v>
      </c>
      <c r="D38" s="9" t="n">
        <v>0</v>
      </c>
      <c r="E38" s="9" t="n">
        <v>0</v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3" t="n">
        <v>0</v>
      </c>
      <c r="K38" s="9" t="inlineStr">
        <is>
          <t>No</t>
        </is>
      </c>
      <c r="L38" s="9" t="n">
        <v>0</v>
      </c>
      <c r="M3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9" ht="139" customHeight="1">
      <c r="A39" s="9" t="inlineStr">
        <is>
          <t>8 Jun</t>
        </is>
      </c>
      <c r="B39" s="9" t="inlineStr">
        <is>
          <t>32908</t>
        </is>
      </c>
      <c r="C39" s="9" t="n">
        <v>2</v>
      </c>
      <c r="D39" s="9" t="n">
        <v>0</v>
      </c>
      <c r="E39" s="9" t="n">
        <v>0</v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3" t="n">
        <v>0</v>
      </c>
      <c r="K39" s="9" t="inlineStr">
        <is>
          <t>No</t>
        </is>
      </c>
      <c r="L39" s="9" t="n">
        <v>0</v>
      </c>
      <c r="M39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0" ht="139" customHeight="1">
      <c r="A40" s="9" t="inlineStr">
        <is>
          <t>8 Jun</t>
        </is>
      </c>
      <c r="B40" s="9" t="inlineStr">
        <is>
          <t>35003</t>
        </is>
      </c>
      <c r="C40" s="9" t="n">
        <v>99</v>
      </c>
      <c r="D40" s="9" t="n">
        <v>94</v>
      </c>
      <c r="E40" s="9" t="n">
        <v>94</v>
      </c>
      <c r="F40" s="10" t="n">
        <v>350</v>
      </c>
      <c r="G40" s="10" t="n">
        <v>350</v>
      </c>
      <c r="H40" s="10" t="n">
        <v>350</v>
      </c>
      <c r="I40" s="10" t="n">
        <v>350</v>
      </c>
      <c r="J40" s="13">
        <f>(I40-H40)/1000</f>
        <v/>
      </c>
      <c r="K40" s="9" t="inlineStr">
        <is>
          <t>No</t>
        </is>
      </c>
      <c r="L40" s="9" t="n">
        <v>1</v>
      </c>
      <c r="M40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41" ht="139" customHeight="1">
      <c r="A41" s="9" t="inlineStr">
        <is>
          <t>8 Jun</t>
        </is>
      </c>
      <c r="B41" s="9" t="inlineStr">
        <is>
          <t>38639</t>
        </is>
      </c>
      <c r="C41" s="9" t="n">
        <v>15</v>
      </c>
      <c r="D41" s="9" t="n">
        <v>0</v>
      </c>
      <c r="E41" s="9" t="n">
        <v>0</v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3" t="n">
        <v>0</v>
      </c>
      <c r="K41" s="9" t="inlineStr">
        <is>
          <t>No</t>
        </is>
      </c>
      <c r="L41" s="9" t="n">
        <v>0</v>
      </c>
      <c r="M41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2" ht="139" customHeight="1">
      <c r="A42" s="9" t="inlineStr">
        <is>
          <t>8 Jun</t>
        </is>
      </c>
      <c r="B42" s="9" t="inlineStr">
        <is>
          <t>39482</t>
        </is>
      </c>
      <c r="C42" s="9" t="n">
        <v>10</v>
      </c>
      <c r="D42" s="9" t="n">
        <v>0</v>
      </c>
      <c r="E42" s="9" t="n">
        <v>0</v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3" t="n">
        <v>0</v>
      </c>
      <c r="K42" s="9" t="inlineStr">
        <is>
          <t>No</t>
        </is>
      </c>
      <c r="L42" s="9" t="n">
        <v>0</v>
      </c>
      <c r="M42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3" ht="139" customHeight="1">
      <c r="A43" s="9" t="inlineStr">
        <is>
          <t>8 Jun</t>
        </is>
      </c>
      <c r="B43" s="9" t="inlineStr">
        <is>
          <t>39598</t>
        </is>
      </c>
      <c r="C43" s="9" t="n">
        <v>2</v>
      </c>
      <c r="D43" s="9" t="n">
        <v>0</v>
      </c>
      <c r="E43" s="9" t="n">
        <v>0</v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3" t="n">
        <v>0</v>
      </c>
      <c r="K43" s="9" t="inlineStr">
        <is>
          <t>No</t>
        </is>
      </c>
      <c r="L43" s="9" t="n">
        <v>0</v>
      </c>
      <c r="M43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4" ht="139" customHeight="1">
      <c r="A44" s="9" t="inlineStr">
        <is>
          <t>8 Jun</t>
        </is>
      </c>
      <c r="B44" s="9" t="inlineStr">
        <is>
          <t>42487</t>
        </is>
      </c>
      <c r="C44" s="9" t="n">
        <v>1</v>
      </c>
      <c r="D44" s="9" t="n">
        <v>0</v>
      </c>
      <c r="E44" s="9" t="n">
        <v>0</v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3" t="n">
        <v>0</v>
      </c>
      <c r="K44" s="9" t="inlineStr">
        <is>
          <t>No</t>
        </is>
      </c>
      <c r="L44" s="9" t="n">
        <v>0</v>
      </c>
      <c r="M44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5" ht="139" customHeight="1">
      <c r="A45" s="9" t="inlineStr">
        <is>
          <t>8 Jun</t>
        </is>
      </c>
      <c r="B45" s="9" t="inlineStr">
        <is>
          <t>43731</t>
        </is>
      </c>
      <c r="C45" s="9" t="n">
        <v>6</v>
      </c>
      <c r="D45" s="9" t="n">
        <v>0</v>
      </c>
      <c r="E45" s="9" t="n">
        <v>0</v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3" t="n">
        <v>0</v>
      </c>
      <c r="K45" s="9" t="inlineStr">
        <is>
          <t>No</t>
        </is>
      </c>
      <c r="L45" s="9" t="n">
        <v>0</v>
      </c>
      <c r="M4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6">
      <c r="A46" s="7" t="inlineStr">
        <is>
          <t>9 Jun</t>
        </is>
      </c>
      <c r="B46" s="7" t="inlineStr">
        <is>
          <t>30112</t>
        </is>
      </c>
      <c r="C46" s="7" t="n">
        <v>12160</v>
      </c>
      <c r="D46" s="7" t="n">
        <v>12148</v>
      </c>
      <c r="E46" s="7" t="n">
        <v>11930</v>
      </c>
      <c r="F46" s="8" t="n">
        <v>44</v>
      </c>
      <c r="G46" s="8" t="n">
        <v>246089</v>
      </c>
      <c r="H46" s="8" t="n">
        <v>343</v>
      </c>
      <c r="I46" s="8" t="n">
        <v>244370</v>
      </c>
      <c r="J46" s="11">
        <f>(I46-H46)/1000</f>
        <v/>
      </c>
      <c r="K46" s="7" t="inlineStr">
        <is>
          <t>Yes</t>
        </is>
      </c>
      <c r="L46" s="7" t="n">
        <v>60</v>
      </c>
      <c r="M46" s="12" t="inlineStr">
        <is>
          <t>- (full trip)</t>
        </is>
      </c>
    </row>
    <row r="47">
      <c r="A47" s="7" t="inlineStr">
        <is>
          <t>9 Jun</t>
        </is>
      </c>
      <c r="B47" s="7" t="inlineStr">
        <is>
          <t>30493</t>
        </is>
      </c>
      <c r="C47" s="7" t="n">
        <v>10804</v>
      </c>
      <c r="D47" s="7" t="n">
        <v>10796</v>
      </c>
      <c r="E47" s="7" t="n">
        <v>10741</v>
      </c>
      <c r="F47" s="8" t="n">
        <v>12719</v>
      </c>
      <c r="G47" s="8" t="n">
        <v>246063</v>
      </c>
      <c r="H47" s="8" t="n">
        <v>12719</v>
      </c>
      <c r="I47" s="8" t="n">
        <v>244358</v>
      </c>
      <c r="J47" s="11">
        <f>(I47-H47)/1000</f>
        <v/>
      </c>
      <c r="K47" s="7" t="inlineStr">
        <is>
          <t>Yes</t>
        </is>
      </c>
      <c r="L47" s="7" t="n">
        <v>55</v>
      </c>
      <c r="M47" s="12" t="inlineStr">
        <is>
          <t>Howrah, Howrah Sorting Yard, Liluah, Belur, Bally</t>
        </is>
      </c>
    </row>
    <row r="48">
      <c r="A48" s="7" t="inlineStr">
        <is>
          <t>9 Jun</t>
        </is>
      </c>
      <c r="B48" s="7" t="inlineStr">
        <is>
          <t>39263</t>
        </is>
      </c>
      <c r="C48" s="7" t="n">
        <v>10068</v>
      </c>
      <c r="D48" s="7" t="n">
        <v>10060</v>
      </c>
      <c r="E48" s="7" t="n">
        <v>10002</v>
      </c>
      <c r="F48" s="8" t="n">
        <v>12713</v>
      </c>
      <c r="G48" s="8" t="n">
        <v>246082</v>
      </c>
      <c r="H48" s="8" t="n">
        <v>12713</v>
      </c>
      <c r="I48" s="8" t="n">
        <v>244343</v>
      </c>
      <c r="J48" s="11">
        <f>(I48-H48)/1000</f>
        <v/>
      </c>
      <c r="K48" s="7" t="inlineStr">
        <is>
          <t>Yes</t>
        </is>
      </c>
      <c r="L48" s="7" t="n">
        <v>55</v>
      </c>
      <c r="M48" s="12" t="inlineStr">
        <is>
          <t>Howrah, Howrah Sorting Yard, Liluah, Belur, Bally</t>
        </is>
      </c>
    </row>
    <row r="49">
      <c r="A49" s="7" t="inlineStr">
        <is>
          <t>9 Jun</t>
        </is>
      </c>
      <c r="B49" s="7" t="inlineStr">
        <is>
          <t>39135</t>
        </is>
      </c>
      <c r="C49" s="7" t="n">
        <v>9108</v>
      </c>
      <c r="D49" s="7" t="n">
        <v>9103</v>
      </c>
      <c r="E49" s="7" t="n">
        <v>9093</v>
      </c>
      <c r="F49" s="8" t="n">
        <v>14520</v>
      </c>
      <c r="G49" s="8" t="n">
        <v>244641</v>
      </c>
      <c r="H49" s="8" t="n">
        <v>14520</v>
      </c>
      <c r="I49" s="8" t="n">
        <v>244342</v>
      </c>
      <c r="J49" s="11">
        <f>(I49-H49)/1000</f>
        <v/>
      </c>
      <c r="K49" s="7" t="inlineStr">
        <is>
          <t>Yes</t>
        </is>
      </c>
      <c r="L49" s="7" t="n">
        <v>54</v>
      </c>
      <c r="M49" s="12" t="inlineStr">
        <is>
          <t>Howrah, Howrah Sorting Yard, Liluah, Belur, Bally, Belanagar</t>
        </is>
      </c>
    </row>
    <row r="50" ht="34" customHeight="1">
      <c r="A50" s="7" t="inlineStr">
        <is>
          <t>9 Jun</t>
        </is>
      </c>
      <c r="B50" s="7" t="inlineStr">
        <is>
          <t>30200</t>
        </is>
      </c>
      <c r="C50" s="7" t="n">
        <v>8700</v>
      </c>
      <c r="D50" s="7" t="n">
        <v>8671</v>
      </c>
      <c r="E50" s="7" t="n">
        <v>8671</v>
      </c>
      <c r="F50" s="8" t="n">
        <v>612</v>
      </c>
      <c r="G50" s="8" t="n">
        <v>209017</v>
      </c>
      <c r="H50" s="8" t="n">
        <v>612</v>
      </c>
      <c r="I50" s="8" t="n">
        <v>209017</v>
      </c>
      <c r="J50" s="11">
        <f>(I50-H50)/1000</f>
        <v/>
      </c>
      <c r="K50" s="7" t="inlineStr">
        <is>
          <t>Yes</t>
        </is>
      </c>
      <c r="L50" s="7" t="n">
        <v>52</v>
      </c>
      <c r="M50" s="12" t="inlineStr">
        <is>
          <t>Kulti, Barakar, Kumardubi, Mugma, Thaparnagar, Kalubathan, Chhota Ambana</t>
        </is>
      </c>
    </row>
    <row r="51" ht="34" customHeight="1">
      <c r="A51" s="7" t="inlineStr">
        <is>
          <t>9 Jun</t>
        </is>
      </c>
      <c r="B51" s="7" t="inlineStr">
        <is>
          <t>37860</t>
        </is>
      </c>
      <c r="C51" s="7" t="n">
        <v>17723</v>
      </c>
      <c r="D51" s="7" t="n">
        <v>17683</v>
      </c>
      <c r="E51" s="7" t="n">
        <v>17653</v>
      </c>
      <c r="F51" s="8" t="n">
        <v>216</v>
      </c>
      <c r="G51" s="8" t="n">
        <v>203589</v>
      </c>
      <c r="H51" s="8" t="n">
        <v>345</v>
      </c>
      <c r="I51" s="8" t="n">
        <v>203589</v>
      </c>
      <c r="J51" s="11">
        <f>(I51-H51)/1000</f>
        <v/>
      </c>
      <c r="K51" s="7" t="inlineStr">
        <is>
          <t>Yes</t>
        </is>
      </c>
      <c r="L51" s="7" t="n">
        <v>51</v>
      </c>
      <c r="M51" s="12" t="inlineStr">
        <is>
          <t>Sitarampur Central, Kulti, Barakar, Kumardubi, Mugma, Thaparnagar, Kalubathan, Chhota Ambana</t>
        </is>
      </c>
    </row>
    <row r="52" ht="34" customHeight="1">
      <c r="A52" s="7" t="inlineStr">
        <is>
          <t>9 Jun</t>
        </is>
      </c>
      <c r="B52" s="7" t="inlineStr">
        <is>
          <t>37562</t>
        </is>
      </c>
      <c r="C52" s="7" t="n">
        <v>9244</v>
      </c>
      <c r="D52" s="7" t="n">
        <v>9226</v>
      </c>
      <c r="E52" s="7" t="n">
        <v>9226</v>
      </c>
      <c r="F52" s="8" t="n">
        <v>692</v>
      </c>
      <c r="G52" s="8" t="n">
        <v>203697</v>
      </c>
      <c r="H52" s="8" t="n">
        <v>692</v>
      </c>
      <c r="I52" s="8" t="n">
        <v>203697</v>
      </c>
      <c r="J52" s="11">
        <f>(I52-H52)/1000</f>
        <v/>
      </c>
      <c r="K52" s="7" t="inlineStr">
        <is>
          <t>Yes</t>
        </is>
      </c>
      <c r="L52" s="7" t="n">
        <v>51</v>
      </c>
      <c r="M52" s="12" t="inlineStr">
        <is>
          <t>Sitarampur Central, Kulti, Barakar, Kumardubi, Mugma, Thaparnagar, Kalubathan, Chhota Ambana</t>
        </is>
      </c>
    </row>
    <row r="53" ht="34" customHeight="1">
      <c r="A53" s="7" t="inlineStr">
        <is>
          <t>9 Jun</t>
        </is>
      </c>
      <c r="B53" s="7" t="inlineStr">
        <is>
          <t>37779</t>
        </is>
      </c>
      <c r="C53" s="7" t="n">
        <v>8407</v>
      </c>
      <c r="D53" s="7" t="n">
        <v>8372</v>
      </c>
      <c r="E53" s="7" t="n">
        <v>8372</v>
      </c>
      <c r="F53" s="8" t="n">
        <v>350</v>
      </c>
      <c r="G53" s="8" t="n">
        <v>200094</v>
      </c>
      <c r="H53" s="8" t="n">
        <v>350</v>
      </c>
      <c r="I53" s="8" t="n">
        <v>200094</v>
      </c>
      <c r="J53" s="11">
        <f>(I53-H53)/1000</f>
        <v/>
      </c>
      <c r="K53" s="7" t="inlineStr">
        <is>
          <t>Yes</t>
        </is>
      </c>
      <c r="L53" s="7" t="n">
        <v>50</v>
      </c>
      <c r="M53" s="12" t="inlineStr">
        <is>
          <t>Barachak Jn, Sitarampur Central, Kulti, Barakar, Kumardubi, Mugma, Thaparnagar, Kalubathan, Chhota Ambana</t>
        </is>
      </c>
    </row>
    <row r="54" ht="34" customHeight="1">
      <c r="A54" s="7" t="inlineStr">
        <is>
          <t>9 Jun</t>
        </is>
      </c>
      <c r="B54" s="7" t="inlineStr">
        <is>
          <t>39410</t>
        </is>
      </c>
      <c r="C54" s="7" t="n">
        <v>10600</v>
      </c>
      <c r="D54" s="7" t="n">
        <v>10540</v>
      </c>
      <c r="E54" s="7" t="n">
        <v>10540</v>
      </c>
      <c r="F54" s="8" t="n">
        <v>350</v>
      </c>
      <c r="G54" s="8" t="n">
        <v>200086</v>
      </c>
      <c r="H54" s="8" t="n">
        <v>350</v>
      </c>
      <c r="I54" s="8" t="n">
        <v>200086</v>
      </c>
      <c r="J54" s="11">
        <f>(I54-H54)/1000</f>
        <v/>
      </c>
      <c r="K54" s="7" t="inlineStr">
        <is>
          <t>Yes</t>
        </is>
      </c>
      <c r="L54" s="7" t="n">
        <v>50</v>
      </c>
      <c r="M54" s="12" t="inlineStr">
        <is>
          <t>Barachak Jn, Sitarampur Central, Kulti, Barakar, Kumardubi, Mugma, Thaparnagar, Kalubathan, Chhota Ambana</t>
        </is>
      </c>
    </row>
    <row r="55" ht="34" customHeight="1">
      <c r="A55" s="7" t="inlineStr">
        <is>
          <t>9 Jun</t>
        </is>
      </c>
      <c r="B55" s="7" t="inlineStr">
        <is>
          <t>37719</t>
        </is>
      </c>
      <c r="C55" s="7" t="n">
        <v>6805</v>
      </c>
      <c r="D55" s="7" t="n">
        <v>6797</v>
      </c>
      <c r="E55" s="7" t="n">
        <v>6797</v>
      </c>
      <c r="F55" s="8" t="n">
        <v>445</v>
      </c>
      <c r="G55" s="8" t="n">
        <v>200054</v>
      </c>
      <c r="H55" s="8" t="n">
        <v>445</v>
      </c>
      <c r="I55" s="8" t="n">
        <v>200054</v>
      </c>
      <c r="J55" s="11">
        <f>(I55-H55)/1000</f>
        <v/>
      </c>
      <c r="K55" s="7" t="inlineStr">
        <is>
          <t>Yes</t>
        </is>
      </c>
      <c r="L55" s="7" t="n">
        <v>50</v>
      </c>
      <c r="M55" s="12" t="inlineStr">
        <is>
          <t>Barachak Jn, Sitarampur Central, Kulti, Barakar, Kumardubi, Mugma, Thaparnagar, Kalubathan, Chhota Ambana</t>
        </is>
      </c>
    </row>
    <row r="56" ht="34" customHeight="1">
      <c r="A56" s="7" t="inlineStr">
        <is>
          <t>9 Jun</t>
        </is>
      </c>
      <c r="B56" s="7" t="inlineStr">
        <is>
          <t>37898</t>
        </is>
      </c>
      <c r="C56" s="7" t="n">
        <v>11766</v>
      </c>
      <c r="D56" s="7" t="n">
        <v>11724</v>
      </c>
      <c r="E56" s="7" t="n">
        <v>11562</v>
      </c>
      <c r="F56" s="8" t="n">
        <v>51</v>
      </c>
      <c r="G56" s="8" t="n">
        <v>199388</v>
      </c>
      <c r="H56" s="8" t="n">
        <v>345</v>
      </c>
      <c r="I56" s="8" t="n">
        <v>199388</v>
      </c>
      <c r="J56" s="11">
        <f>(I56-H56)/1000</f>
        <v/>
      </c>
      <c r="K56" s="7" t="inlineStr">
        <is>
          <t>Yes</t>
        </is>
      </c>
      <c r="L56" s="7" t="n">
        <v>50</v>
      </c>
      <c r="M56" s="12" t="inlineStr">
        <is>
          <t>Barachak Jn, Sitarampur Central, Kulti, Barakar, Kumardubi, Mugma, Thaparnagar, Kalubathan, Chhota Ambana</t>
        </is>
      </c>
    </row>
    <row r="57" ht="49" customHeight="1">
      <c r="A57" s="7" t="inlineStr">
        <is>
          <t>9 Jun</t>
        </is>
      </c>
      <c r="B57" s="7" t="inlineStr">
        <is>
          <t>30487</t>
        </is>
      </c>
      <c r="C57" s="7" t="n">
        <v>9700</v>
      </c>
      <c r="D57" s="7" t="n">
        <v>9676</v>
      </c>
      <c r="E57" s="7" t="n">
        <v>9676</v>
      </c>
      <c r="F57" s="8" t="n">
        <v>12113</v>
      </c>
      <c r="G57" s="8" t="n">
        <v>203619</v>
      </c>
      <c r="H57" s="8" t="n">
        <v>12113</v>
      </c>
      <c r="I57" s="8" t="n">
        <v>203619</v>
      </c>
      <c r="J57" s="11">
        <f>(I57-H57)/1000</f>
        <v/>
      </c>
      <c r="K57" s="7" t="inlineStr">
        <is>
          <t>Yes</t>
        </is>
      </c>
      <c r="L57" s="7" t="n">
        <v>46</v>
      </c>
      <c r="M57" s="12" t="inlineStr">
        <is>
          <t>Howrah, Howrah Sorting Yard, Liluah, Belur, Bally, Sitarampur Central, Kulti, Barakar, Kumardubi, Mugma, Thaparnagar, Kalubathan, Chhota Ambana</t>
        </is>
      </c>
    </row>
    <row r="58" ht="49" customHeight="1">
      <c r="A58" s="7" t="inlineStr">
        <is>
          <t>9 Jun</t>
        </is>
      </c>
      <c r="B58" s="7" t="inlineStr">
        <is>
          <t>37609</t>
        </is>
      </c>
      <c r="C58" s="7" t="n">
        <v>8179</v>
      </c>
      <c r="D58" s="7" t="n">
        <v>8170</v>
      </c>
      <c r="E58" s="7" t="n">
        <v>8160</v>
      </c>
      <c r="F58" s="8" t="n">
        <v>56035</v>
      </c>
      <c r="G58" s="8" t="n">
        <v>244617</v>
      </c>
      <c r="H58" s="8" t="n">
        <v>56035</v>
      </c>
      <c r="I58" s="8" t="n">
        <v>244341</v>
      </c>
      <c r="J58" s="11">
        <f>(I58-H58)/1000</f>
        <v/>
      </c>
      <c r="K58" s="7" t="inlineStr">
        <is>
          <t>Yes</t>
        </is>
      </c>
      <c r="L58" s="7" t="n">
        <v>44</v>
      </c>
      <c r="M58" s="12" t="inlineStr">
        <is>
          <t>Howrah, Howrah Sorting Yard, Liluah, Belur, Bally, Belanagar, Dankuni, Janai Road, Baruipara, Kamarkundu, LC-31, Chandanpur, LC-38, Belmuri, Cheragram</t>
        </is>
      </c>
    </row>
    <row r="59" ht="79" customHeight="1">
      <c r="A59" s="7" t="inlineStr">
        <is>
          <t>9 Jun</t>
        </is>
      </c>
      <c r="B59" s="7" t="inlineStr">
        <is>
          <t>37502</t>
        </is>
      </c>
      <c r="C59" s="7" t="n">
        <v>5377</v>
      </c>
      <c r="D59" s="7" t="n">
        <v>5354</v>
      </c>
      <c r="E59" s="7" t="n">
        <v>5354</v>
      </c>
      <c r="F59" s="8" t="n">
        <v>689</v>
      </c>
      <c r="G59" s="8" t="n">
        <v>139357</v>
      </c>
      <c r="H59" s="8" t="n">
        <v>689</v>
      </c>
      <c r="I59" s="8" t="n">
        <v>139357</v>
      </c>
      <c r="J59" s="11">
        <f>(I59-H59)/1000</f>
        <v/>
      </c>
      <c r="K59" s="7" t="inlineStr">
        <is>
          <t>Yes</t>
        </is>
      </c>
      <c r="L59" s="7" t="n">
        <v>36</v>
      </c>
      <c r="M59" s="12" t="inlineStr">
        <is>
          <t>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0" ht="94" customHeight="1">
      <c r="A60" s="7" t="inlineStr">
        <is>
          <t>9 Jun</t>
        </is>
      </c>
      <c r="B60" s="7" t="inlineStr">
        <is>
          <t>37086</t>
        </is>
      </c>
      <c r="C60" s="7" t="n">
        <v>4513</v>
      </c>
      <c r="D60" s="7" t="n">
        <v>4502</v>
      </c>
      <c r="E60" s="7" t="n">
        <v>4502</v>
      </c>
      <c r="F60" s="8" t="n">
        <v>72525</v>
      </c>
      <c r="G60" s="8" t="n">
        <v>200095</v>
      </c>
      <c r="H60" s="8" t="n">
        <v>72525</v>
      </c>
      <c r="I60" s="8" t="n">
        <v>200095</v>
      </c>
      <c r="J60" s="11">
        <f>(I60-H60)/1000</f>
        <v/>
      </c>
      <c r="K60" s="7" t="inlineStr">
        <is>
          <t>Yes</t>
        </is>
      </c>
      <c r="L60" s="7" t="n">
        <v>29</v>
      </c>
      <c r="M60" s="12" t="inlineStr">
        <is>
          <t>Howrah, Howrah Sorting Yard, Liluah, Belur, Bally, Belanagar, Dankuni, LC-12, Janai Road, Baruipara, Kamarkundu, LC-31, Chandanpur, LC-38, Belmuri, Cheragram, LC-41, Gurap, LC-48, Jaugram, LC-57, Barachak Jn, Sitarampur Central, Kulti, Barakar, Kumardubi, Mugma, Thaparnagar, Kalubathan, LC-12, Chhota Ambana</t>
        </is>
      </c>
    </row>
    <row r="61" ht="109" customHeight="1">
      <c r="A61" s="7" t="inlineStr">
        <is>
          <t>9 Jun</t>
        </is>
      </c>
      <c r="B61" s="7" t="inlineStr">
        <is>
          <t>39060</t>
        </is>
      </c>
      <c r="C61" s="7" t="n">
        <v>7387</v>
      </c>
      <c r="D61" s="7" t="n">
        <v>7368</v>
      </c>
      <c r="E61" s="7" t="n">
        <v>7368</v>
      </c>
      <c r="F61" s="8" t="n">
        <v>100293</v>
      </c>
      <c r="G61" s="8" t="n">
        <v>199546</v>
      </c>
      <c r="H61" s="8" t="n">
        <v>100293</v>
      </c>
      <c r="I61" s="8" t="n">
        <v>199546</v>
      </c>
      <c r="J61" s="11">
        <f>(I61-H61)/1000</f>
        <v/>
      </c>
      <c r="K61" s="7" t="inlineStr">
        <is>
          <t>Yes</t>
        </is>
      </c>
      <c r="L61" s="7" t="n">
        <v>24</v>
      </c>
      <c r="M61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Barachak Jn, Sitarampur Central, Kulti, Barakar, Kumardubi, Mugma, Thaparnagar, Kalubathan, LC-12, Chhota Ambana</t>
        </is>
      </c>
    </row>
    <row r="62" ht="94" customHeight="1">
      <c r="A62" s="7" t="inlineStr">
        <is>
          <t>9 Jun</t>
        </is>
      </c>
      <c r="B62" s="7" t="inlineStr">
        <is>
          <t>37400</t>
        </is>
      </c>
      <c r="C62" s="7" t="n">
        <v>4066</v>
      </c>
      <c r="D62" s="7" t="n">
        <v>4045</v>
      </c>
      <c r="E62" s="7" t="n">
        <v>4045</v>
      </c>
      <c r="F62" s="8" t="n">
        <v>350</v>
      </c>
      <c r="G62" s="8" t="n">
        <v>94780</v>
      </c>
      <c r="H62" s="8" t="n">
        <v>350</v>
      </c>
      <c r="I62" s="8" t="n">
        <v>94780</v>
      </c>
      <c r="J62" s="11">
        <f>(I62-H62)/1000</f>
        <v/>
      </c>
      <c r="K62" s="7" t="inlineStr">
        <is>
          <t>Yes</t>
        </is>
      </c>
      <c r="L62" s="7" t="n">
        <v>26</v>
      </c>
      <c r="M62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3" ht="94" customHeight="1">
      <c r="A63" s="7" t="inlineStr">
        <is>
          <t>9 Jun</t>
        </is>
      </c>
      <c r="B63" s="7" t="inlineStr">
        <is>
          <t>37025</t>
        </is>
      </c>
      <c r="C63" s="7" t="n">
        <v>7467</v>
      </c>
      <c r="D63" s="7" t="n">
        <v>7429</v>
      </c>
      <c r="E63" s="7" t="n">
        <v>7429</v>
      </c>
      <c r="F63" s="8" t="n">
        <v>350</v>
      </c>
      <c r="G63" s="8" t="n">
        <v>94736</v>
      </c>
      <c r="H63" s="8" t="n">
        <v>350</v>
      </c>
      <c r="I63" s="8" t="n">
        <v>94736</v>
      </c>
      <c r="J63" s="11">
        <f>(I63-H63)/1000</f>
        <v/>
      </c>
      <c r="K63" s="7" t="inlineStr">
        <is>
          <t>Yes</t>
        </is>
      </c>
      <c r="L63" s="7" t="n">
        <v>26</v>
      </c>
      <c r="M63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4" ht="94" customHeight="1">
      <c r="A64" s="7" t="inlineStr">
        <is>
          <t>9 Jun</t>
        </is>
      </c>
      <c r="B64" s="7" t="inlineStr">
        <is>
          <t>30191</t>
        </is>
      </c>
      <c r="C64" s="7" t="n">
        <v>9417</v>
      </c>
      <c r="D64" s="7" t="n">
        <v>9357</v>
      </c>
      <c r="E64" s="7" t="n">
        <v>9169</v>
      </c>
      <c r="F64" s="8" t="n">
        <v>113</v>
      </c>
      <c r="G64" s="8" t="n">
        <v>94605</v>
      </c>
      <c r="H64" s="8" t="n">
        <v>342</v>
      </c>
      <c r="I64" s="8" t="n">
        <v>94605</v>
      </c>
      <c r="J64" s="11">
        <f>(I64-H64)/1000</f>
        <v/>
      </c>
      <c r="K64" s="7" t="inlineStr">
        <is>
          <t>Yes</t>
        </is>
      </c>
      <c r="L64" s="7" t="n">
        <v>26</v>
      </c>
      <c r="M64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5" ht="94" customHeight="1">
      <c r="A65" s="7" t="inlineStr">
        <is>
          <t>9 Jun</t>
        </is>
      </c>
      <c r="B65" s="7" t="inlineStr">
        <is>
          <t>37168</t>
        </is>
      </c>
      <c r="C65" s="7" t="n">
        <v>3963</v>
      </c>
      <c r="D65" s="7" t="n">
        <v>3541</v>
      </c>
      <c r="E65" s="7" t="n">
        <v>3541</v>
      </c>
      <c r="F65" s="8" t="n">
        <v>609</v>
      </c>
      <c r="G65" s="8" t="n">
        <v>94761</v>
      </c>
      <c r="H65" s="8" t="n">
        <v>609</v>
      </c>
      <c r="I65" s="8" t="n">
        <v>94761</v>
      </c>
      <c r="J65" s="11">
        <f>(I65-H65)/1000</f>
        <v/>
      </c>
      <c r="K65" s="7" t="inlineStr">
        <is>
          <t>Yes</t>
        </is>
      </c>
      <c r="L65" s="7" t="n">
        <v>26</v>
      </c>
      <c r="M65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6" ht="94" customHeight="1">
      <c r="A66" s="7" t="inlineStr">
        <is>
          <t>9 Jun</t>
        </is>
      </c>
      <c r="B66" s="7" t="inlineStr">
        <is>
          <t>37014</t>
        </is>
      </c>
      <c r="C66" s="7" t="n">
        <v>3895</v>
      </c>
      <c r="D66" s="7" t="n">
        <v>3870</v>
      </c>
      <c r="E66" s="7" t="n">
        <v>3870</v>
      </c>
      <c r="F66" s="8" t="n">
        <v>736</v>
      </c>
      <c r="G66" s="8" t="n">
        <v>94735</v>
      </c>
      <c r="H66" s="8" t="n">
        <v>736</v>
      </c>
      <c r="I66" s="8" t="n">
        <v>94735</v>
      </c>
      <c r="J66" s="11">
        <f>(I66-H66)/1000</f>
        <v/>
      </c>
      <c r="K66" s="7" t="inlineStr">
        <is>
          <t>Yes</t>
        </is>
      </c>
      <c r="L66" s="7" t="n">
        <v>26</v>
      </c>
      <c r="M66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7" ht="94" customHeight="1">
      <c r="A67" s="7" t="inlineStr">
        <is>
          <t>9 Jun</t>
        </is>
      </c>
      <c r="B67" s="7" t="inlineStr">
        <is>
          <t>30692</t>
        </is>
      </c>
      <c r="C67" s="7" t="n">
        <v>5129</v>
      </c>
      <c r="D67" s="7" t="n">
        <v>5076</v>
      </c>
      <c r="E67" s="7" t="n">
        <v>4985</v>
      </c>
      <c r="F67" s="8" t="n">
        <v>35</v>
      </c>
      <c r="G67" s="8" t="n">
        <v>94112</v>
      </c>
      <c r="H67" s="8" t="n">
        <v>345</v>
      </c>
      <c r="I67" s="8" t="n">
        <v>94112</v>
      </c>
      <c r="J67" s="11">
        <f>(I67-H67)/1000</f>
        <v/>
      </c>
      <c r="K67" s="7" t="inlineStr">
        <is>
          <t>Yes</t>
        </is>
      </c>
      <c r="L67" s="7" t="n">
        <v>26</v>
      </c>
      <c r="M67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8" ht="94" customHeight="1">
      <c r="A68" s="7" t="inlineStr">
        <is>
          <t>9 Jun</t>
        </is>
      </c>
      <c r="B68" s="7" t="inlineStr">
        <is>
          <t>37016</t>
        </is>
      </c>
      <c r="C68" s="7" t="n">
        <v>3919</v>
      </c>
      <c r="D68" s="7" t="n">
        <v>3896</v>
      </c>
      <c r="E68" s="7" t="n">
        <v>3750</v>
      </c>
      <c r="F68" s="8" t="n">
        <v>23</v>
      </c>
      <c r="G68" s="8" t="n">
        <v>94115</v>
      </c>
      <c r="H68" s="8" t="n">
        <v>342</v>
      </c>
      <c r="I68" s="8" t="n">
        <v>94115</v>
      </c>
      <c r="J68" s="11">
        <f>(I68-H68)/1000</f>
        <v/>
      </c>
      <c r="K68" s="7" t="inlineStr">
        <is>
          <t>Yes</t>
        </is>
      </c>
      <c r="L68" s="7" t="n">
        <v>26</v>
      </c>
      <c r="M68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69" ht="109" customHeight="1">
      <c r="A69" s="7" t="inlineStr">
        <is>
          <t>9 Jun</t>
        </is>
      </c>
      <c r="B69" s="7" t="inlineStr">
        <is>
          <t>37720</t>
        </is>
      </c>
      <c r="C69" s="7" t="n">
        <v>6104</v>
      </c>
      <c r="D69" s="7" t="n">
        <v>6078</v>
      </c>
      <c r="E69" s="7" t="n">
        <v>6078</v>
      </c>
      <c r="F69" s="8" t="n">
        <v>12121</v>
      </c>
      <c r="G69" s="8" t="n">
        <v>94646</v>
      </c>
      <c r="H69" s="8" t="n">
        <v>12121</v>
      </c>
      <c r="I69" s="8" t="n">
        <v>94646</v>
      </c>
      <c r="J69" s="11">
        <f>(I69-H69)/1000</f>
        <v/>
      </c>
      <c r="K69" s="7" t="inlineStr">
        <is>
          <t>Yes</t>
        </is>
      </c>
      <c r="L69" s="7" t="n">
        <v>21</v>
      </c>
      <c r="M69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0" ht="109" customHeight="1">
      <c r="A70" s="7" t="inlineStr">
        <is>
          <t>9 Jun</t>
        </is>
      </c>
      <c r="B70" s="7" t="inlineStr">
        <is>
          <t>30742</t>
        </is>
      </c>
      <c r="C70" s="7" t="n">
        <v>3943</v>
      </c>
      <c r="D70" s="7" t="n">
        <v>3938</v>
      </c>
      <c r="E70" s="7" t="n">
        <v>3938</v>
      </c>
      <c r="F70" s="8" t="n">
        <v>13104</v>
      </c>
      <c r="G70" s="8" t="n">
        <v>94768</v>
      </c>
      <c r="H70" s="8" t="n">
        <v>13104</v>
      </c>
      <c r="I70" s="8" t="n">
        <v>94768</v>
      </c>
      <c r="J70" s="11">
        <f>(I70-H70)/1000</f>
        <v/>
      </c>
      <c r="K70" s="7" t="inlineStr">
        <is>
          <t>Yes</t>
        </is>
      </c>
      <c r="L70" s="7" t="n">
        <v>20</v>
      </c>
      <c r="M70" s="12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1" ht="109" customHeight="1">
      <c r="A71" s="7" t="inlineStr">
        <is>
          <t>9 Jun</t>
        </is>
      </c>
      <c r="B71" s="7" t="inlineStr">
        <is>
          <t>39560</t>
        </is>
      </c>
      <c r="C71" s="7" t="n">
        <v>3254</v>
      </c>
      <c r="D71" s="7" t="n">
        <v>3238</v>
      </c>
      <c r="E71" s="7" t="n">
        <v>3238</v>
      </c>
      <c r="F71" s="8" t="n">
        <v>12823</v>
      </c>
      <c r="G71" s="8" t="n">
        <v>94115</v>
      </c>
      <c r="H71" s="8" t="n">
        <v>12823</v>
      </c>
      <c r="I71" s="8" t="n">
        <v>94115</v>
      </c>
      <c r="J71" s="11">
        <f>(I71-H71)/1000</f>
        <v/>
      </c>
      <c r="K71" s="7" t="inlineStr">
        <is>
          <t>Yes</t>
        </is>
      </c>
      <c r="L71" s="7" t="n">
        <v>21</v>
      </c>
      <c r="M71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2" ht="124" customHeight="1">
      <c r="A72" s="7" t="inlineStr">
        <is>
          <t>9 Jun</t>
        </is>
      </c>
      <c r="B72" s="7" t="inlineStr">
        <is>
          <t>30371</t>
        </is>
      </c>
      <c r="C72" s="7" t="n">
        <v>1934</v>
      </c>
      <c r="D72" s="7" t="n">
        <v>1933</v>
      </c>
      <c r="E72" s="7" t="n">
        <v>1933</v>
      </c>
      <c r="F72" s="8" t="n">
        <v>12127</v>
      </c>
      <c r="G72" s="8" t="n">
        <v>58118</v>
      </c>
      <c r="H72" s="8" t="n">
        <v>12127</v>
      </c>
      <c r="I72" s="8" t="n">
        <v>58118</v>
      </c>
      <c r="J72" s="11">
        <f>(I72-H72)/1000</f>
        <v/>
      </c>
      <c r="K72" s="7" t="inlineStr">
        <is>
          <t>Yes</t>
        </is>
      </c>
      <c r="L72" s="7" t="n">
        <v>13</v>
      </c>
      <c r="M72" s="12" t="inlineStr">
        <is>
          <t>Howrah, Howrah Sorting Yard, Liluah, Belur, Bally,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3" ht="139" customHeight="1">
      <c r="A73" s="7" t="inlineStr">
        <is>
          <t>9 Jun</t>
        </is>
      </c>
      <c r="B73" s="7" t="inlineStr">
        <is>
          <t>30084</t>
        </is>
      </c>
      <c r="C73" s="7" t="n">
        <v>6021</v>
      </c>
      <c r="D73" s="7" t="n">
        <v>5651</v>
      </c>
      <c r="E73" s="7" t="n">
        <v>5651</v>
      </c>
      <c r="F73" s="8" t="n">
        <v>108256</v>
      </c>
      <c r="G73" s="8" t="n">
        <v>116643</v>
      </c>
      <c r="H73" s="8" t="n">
        <v>108256</v>
      </c>
      <c r="I73" s="8" t="n">
        <v>116643</v>
      </c>
      <c r="J73" s="11">
        <f>(I73-H73)/1000</f>
        <v/>
      </c>
      <c r="K73" s="7" t="inlineStr">
        <is>
          <t>Yes</t>
        </is>
      </c>
      <c r="L73" s="7" t="n">
        <v>3</v>
      </c>
      <c r="M73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LC-83, Paraj, Mankar, LC-96, Panagarh, LC-105, Rajbandh, LC-111, Durgapur, DCOP, Waria, Andal East Outer, Andal, Baktarnagar B H, Raniganj, Nimcha B H, Ratibati, Kaliphari, Asansol, Barachak Jn, Sitarampur Central, Kulti  ...(+7 more)</t>
        </is>
      </c>
    </row>
    <row r="74" ht="139" customHeight="1">
      <c r="A74" s="7" t="inlineStr">
        <is>
          <t>9 Jun</t>
        </is>
      </c>
      <c r="B74" s="7" t="inlineStr">
        <is>
          <t>37533</t>
        </is>
      </c>
      <c r="C74" s="7" t="n">
        <v>343</v>
      </c>
      <c r="D74" s="7" t="n">
        <v>200</v>
      </c>
      <c r="E74" s="7" t="n">
        <v>200</v>
      </c>
      <c r="F74" s="8" t="n">
        <v>849</v>
      </c>
      <c r="G74" s="8" t="n">
        <v>2141</v>
      </c>
      <c r="H74" s="8" t="n">
        <v>849</v>
      </c>
      <c r="I74" s="8" t="n">
        <v>2141</v>
      </c>
      <c r="J74" s="11">
        <f>(I74-H74)/1000</f>
        <v/>
      </c>
      <c r="K74" s="7" t="inlineStr">
        <is>
          <t>Yes</t>
        </is>
      </c>
      <c r="L74" s="7" t="n">
        <v>2</v>
      </c>
      <c r="M74" s="12" t="inlineStr">
        <is>
          <t>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75" ht="139" customHeight="1">
      <c r="A75" s="7" t="inlineStr">
        <is>
          <t>9 Jun</t>
        </is>
      </c>
      <c r="B75" s="7" t="inlineStr">
        <is>
          <t>37244</t>
        </is>
      </c>
      <c r="C75" s="7" t="n">
        <v>220</v>
      </c>
      <c r="D75" s="7" t="n">
        <v>215</v>
      </c>
      <c r="E75" s="7" t="n">
        <v>215</v>
      </c>
      <c r="F75" s="8" t="n">
        <v>653</v>
      </c>
      <c r="G75" s="8" t="n">
        <v>1304</v>
      </c>
      <c r="H75" s="8" t="n">
        <v>653</v>
      </c>
      <c r="I75" s="8" t="n">
        <v>1304</v>
      </c>
      <c r="J75" s="11">
        <f>(I75-H75)/1000</f>
        <v/>
      </c>
      <c r="K75" s="7" t="inlineStr">
        <is>
          <t>Yes</t>
        </is>
      </c>
      <c r="L75" s="7" t="n">
        <v>1</v>
      </c>
      <c r="M75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76" ht="139" customHeight="1">
      <c r="A76" s="9" t="inlineStr">
        <is>
          <t>9 Jun</t>
        </is>
      </c>
      <c r="B76" s="9" t="inlineStr">
        <is>
          <t>30205</t>
        </is>
      </c>
      <c r="C76" s="9" t="n">
        <v>5</v>
      </c>
      <c r="D76" s="9" t="n">
        <v>0</v>
      </c>
      <c r="E76" s="9" t="n">
        <v>0</v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3" t="n">
        <v>0</v>
      </c>
      <c r="K76" s="9" t="inlineStr">
        <is>
          <t>No</t>
        </is>
      </c>
      <c r="L76" s="9" t="n">
        <v>0</v>
      </c>
      <c r="M7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77" ht="139" customHeight="1">
      <c r="A77" s="9" t="inlineStr">
        <is>
          <t>9 Jun</t>
        </is>
      </c>
      <c r="B77" s="9" t="inlineStr">
        <is>
          <t>30370</t>
        </is>
      </c>
      <c r="C77" s="9" t="n">
        <v>5</v>
      </c>
      <c r="D77" s="9" t="n">
        <v>0</v>
      </c>
      <c r="E77" s="9" t="n">
        <v>0</v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3" t="n">
        <v>0</v>
      </c>
      <c r="K77" s="9" t="inlineStr">
        <is>
          <t>No</t>
        </is>
      </c>
      <c r="L77" s="9" t="n">
        <v>0</v>
      </c>
      <c r="M7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78" ht="139" customHeight="1">
      <c r="A78" s="9" t="inlineStr">
        <is>
          <t>9 Jun</t>
        </is>
      </c>
      <c r="B78" s="9" t="inlineStr">
        <is>
          <t>34013</t>
        </is>
      </c>
      <c r="C78" s="9" t="n">
        <v>22</v>
      </c>
      <c r="D78" s="9" t="n">
        <v>0</v>
      </c>
      <c r="E78" s="9" t="n">
        <v>0</v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3" t="n">
        <v>0</v>
      </c>
      <c r="K78" s="9" t="inlineStr">
        <is>
          <t>No</t>
        </is>
      </c>
      <c r="L78" s="9" t="n">
        <v>0</v>
      </c>
      <c r="M7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79" ht="139" customHeight="1">
      <c r="A79" s="9" t="inlineStr">
        <is>
          <t>9 Jun</t>
        </is>
      </c>
      <c r="B79" s="9" t="inlineStr">
        <is>
          <t>35049</t>
        </is>
      </c>
      <c r="C79" s="9" t="n">
        <v>2</v>
      </c>
      <c r="D79" s="9" t="n">
        <v>0</v>
      </c>
      <c r="E79" s="9" t="n">
        <v>0</v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3" t="n">
        <v>0</v>
      </c>
      <c r="K79" s="9" t="inlineStr">
        <is>
          <t>No</t>
        </is>
      </c>
      <c r="L79" s="9" t="n">
        <v>0</v>
      </c>
      <c r="M79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80" ht="139" customHeight="1">
      <c r="A80" s="9" t="inlineStr">
        <is>
          <t>9 Jun</t>
        </is>
      </c>
      <c r="B80" s="9" t="inlineStr">
        <is>
          <t>37044</t>
        </is>
      </c>
      <c r="C80" s="9" t="n">
        <v>10</v>
      </c>
      <c r="D80" s="9" t="n">
        <v>0</v>
      </c>
      <c r="E80" s="9" t="n">
        <v>0</v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3" t="n">
        <v>0</v>
      </c>
      <c r="K80" s="9" t="inlineStr">
        <is>
          <t>No</t>
        </is>
      </c>
      <c r="L80" s="9" t="n">
        <v>0</v>
      </c>
      <c r="M80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81" ht="139" customHeight="1">
      <c r="A81" s="9" t="inlineStr">
        <is>
          <t>9 Jun</t>
        </is>
      </c>
      <c r="B81" s="9" t="inlineStr">
        <is>
          <t>39105</t>
        </is>
      </c>
      <c r="C81" s="9" t="n">
        <v>10</v>
      </c>
      <c r="D81" s="9" t="n">
        <v>0</v>
      </c>
      <c r="E81" s="9" t="n">
        <v>0</v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3" t="n">
        <v>0</v>
      </c>
      <c r="K81" s="9" t="inlineStr">
        <is>
          <t>No</t>
        </is>
      </c>
      <c r="L81" s="9" t="n">
        <v>0</v>
      </c>
      <c r="M81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82">
      <c r="A82" s="7" t="inlineStr">
        <is>
          <t>10 Jun</t>
        </is>
      </c>
      <c r="B82" s="7" t="inlineStr">
        <is>
          <t>37215</t>
        </is>
      </c>
      <c r="C82" s="7" t="n">
        <v>11823</v>
      </c>
      <c r="D82" s="7" t="n">
        <v>11807</v>
      </c>
      <c r="E82" s="7" t="n">
        <v>11795</v>
      </c>
      <c r="F82" s="8" t="n">
        <v>736</v>
      </c>
      <c r="G82" s="8" t="n">
        <v>244612</v>
      </c>
      <c r="H82" s="8" t="n">
        <v>736</v>
      </c>
      <c r="I82" s="8" t="n">
        <v>244372</v>
      </c>
      <c r="J82" s="11">
        <f>(I82-H82)/1000</f>
        <v/>
      </c>
      <c r="K82" s="7" t="inlineStr">
        <is>
          <t>Yes</t>
        </is>
      </c>
      <c r="L82" s="7" t="n">
        <v>60</v>
      </c>
      <c r="M82" s="12" t="inlineStr">
        <is>
          <t>- (full trip)</t>
        </is>
      </c>
    </row>
    <row r="83">
      <c r="A83" s="7" t="inlineStr">
        <is>
          <t>10 Jun</t>
        </is>
      </c>
      <c r="B83" s="7" t="inlineStr">
        <is>
          <t>37860</t>
        </is>
      </c>
      <c r="C83" s="7" t="n">
        <v>11809</v>
      </c>
      <c r="D83" s="7" t="n">
        <v>11801</v>
      </c>
      <c r="E83" s="7" t="n">
        <v>11741</v>
      </c>
      <c r="F83" s="8" t="n">
        <v>3221</v>
      </c>
      <c r="G83" s="8" t="n">
        <v>246089</v>
      </c>
      <c r="H83" s="8" t="n">
        <v>3221</v>
      </c>
      <c r="I83" s="8" t="n">
        <v>244357</v>
      </c>
      <c r="J83" s="11">
        <f>(I83-H83)/1000</f>
        <v/>
      </c>
      <c r="K83" s="7" t="inlineStr">
        <is>
          <t>Yes</t>
        </is>
      </c>
      <c r="L83" s="7" t="n">
        <v>60</v>
      </c>
      <c r="M83" s="12" t="inlineStr">
        <is>
          <t>- (full trip)</t>
        </is>
      </c>
    </row>
    <row r="84">
      <c r="A84" s="7" t="inlineStr">
        <is>
          <t>10 Jun</t>
        </is>
      </c>
      <c r="B84" s="7" t="inlineStr">
        <is>
          <t>39263</t>
        </is>
      </c>
      <c r="C84" s="7" t="n">
        <v>8465</v>
      </c>
      <c r="D84" s="7" t="n">
        <v>8460</v>
      </c>
      <c r="E84" s="7" t="n">
        <v>8452</v>
      </c>
      <c r="F84" s="8" t="n">
        <v>12113</v>
      </c>
      <c r="G84" s="8" t="n">
        <v>244577</v>
      </c>
      <c r="H84" s="8" t="n">
        <v>12113</v>
      </c>
      <c r="I84" s="8" t="n">
        <v>244365</v>
      </c>
      <c r="J84" s="11">
        <f>(I84-H84)/1000</f>
        <v/>
      </c>
      <c r="K84" s="7" t="inlineStr">
        <is>
          <t>Yes</t>
        </is>
      </c>
      <c r="L84" s="7" t="n">
        <v>55</v>
      </c>
      <c r="M84" s="12" t="inlineStr">
        <is>
          <t>Howrah, Howrah Sorting Yard, Liluah, Belur, Bally</t>
        </is>
      </c>
    </row>
    <row r="85" ht="34" customHeight="1">
      <c r="A85" s="7" t="inlineStr">
        <is>
          <t>10 Jun</t>
        </is>
      </c>
      <c r="B85" s="7" t="inlineStr">
        <is>
          <t>30692</t>
        </is>
      </c>
      <c r="C85" s="7" t="n">
        <v>8163</v>
      </c>
      <c r="D85" s="7" t="n">
        <v>8157</v>
      </c>
      <c r="E85" s="7" t="n">
        <v>8146</v>
      </c>
      <c r="F85" s="8" t="n">
        <v>23926</v>
      </c>
      <c r="G85" s="8" t="n">
        <v>244647</v>
      </c>
      <c r="H85" s="8" t="n">
        <v>23926</v>
      </c>
      <c r="I85" s="8" t="n">
        <v>244352</v>
      </c>
      <c r="J85" s="11">
        <f>(I85-H85)/1000</f>
        <v/>
      </c>
      <c r="K85" s="7" t="inlineStr">
        <is>
          <t>Yes</t>
        </is>
      </c>
      <c r="L85" s="7" t="n">
        <v>51</v>
      </c>
      <c r="M85" s="12" t="inlineStr">
        <is>
          <t>Howrah, Howrah Sorting Yard, Liluah, Belur, Bally, Belanagar, Dankuni, Janai Road</t>
        </is>
      </c>
    </row>
    <row r="86" ht="34" customHeight="1">
      <c r="A86" s="7" t="inlineStr">
        <is>
          <t>10 Jun</t>
        </is>
      </c>
      <c r="B86" s="7" t="inlineStr">
        <is>
          <t>37185</t>
        </is>
      </c>
      <c r="C86" s="7" t="n">
        <v>9439</v>
      </c>
      <c r="D86" s="7" t="n">
        <v>9409</v>
      </c>
      <c r="E86" s="7" t="n">
        <v>9409</v>
      </c>
      <c r="F86" s="8" t="n">
        <v>350</v>
      </c>
      <c r="G86" s="8" t="n">
        <v>200114</v>
      </c>
      <c r="H86" s="8" t="n">
        <v>350</v>
      </c>
      <c r="I86" s="8" t="n">
        <v>200114</v>
      </c>
      <c r="J86" s="11">
        <f>(I86-H86)/1000</f>
        <v/>
      </c>
      <c r="K86" s="7" t="inlineStr">
        <is>
          <t>Yes</t>
        </is>
      </c>
      <c r="L86" s="7" t="n">
        <v>50</v>
      </c>
      <c r="M86" s="12" t="inlineStr">
        <is>
          <t>Barachak Jn, Sitarampur Central, Kulti, Barakar, Kumardubi, Mugma, Thaparnagar, Kalubathan, Chhota Ambana</t>
        </is>
      </c>
    </row>
    <row r="87" ht="34" customHeight="1">
      <c r="A87" s="7" t="inlineStr">
        <is>
          <t>10 Jun</t>
        </is>
      </c>
      <c r="B87" s="7" t="inlineStr">
        <is>
          <t>37898</t>
        </is>
      </c>
      <c r="C87" s="7" t="n">
        <v>12319</v>
      </c>
      <c r="D87" s="7" t="n">
        <v>12281</v>
      </c>
      <c r="E87" s="7" t="n">
        <v>12154</v>
      </c>
      <c r="F87" s="8" t="n">
        <v>31</v>
      </c>
      <c r="G87" s="8" t="n">
        <v>200086</v>
      </c>
      <c r="H87" s="8" t="n">
        <v>342</v>
      </c>
      <c r="I87" s="8" t="n">
        <v>200086</v>
      </c>
      <c r="J87" s="11">
        <f>(I87-H87)/1000</f>
        <v/>
      </c>
      <c r="K87" s="7" t="inlineStr">
        <is>
          <t>Yes</t>
        </is>
      </c>
      <c r="L87" s="7" t="n">
        <v>50</v>
      </c>
      <c r="M87" s="12" t="inlineStr">
        <is>
          <t>Barachak Jn, Sitarampur Central, Kulti, Barakar, Kumardubi, Mugma, Thaparnagar, Kalubathan, Chhota Ambana</t>
        </is>
      </c>
    </row>
    <row r="88" ht="34" customHeight="1">
      <c r="A88" s="7" t="inlineStr">
        <is>
          <t>10 Jun</t>
        </is>
      </c>
      <c r="B88" s="7" t="inlineStr">
        <is>
          <t>37025</t>
        </is>
      </c>
      <c r="C88" s="7" t="n">
        <v>9203</v>
      </c>
      <c r="D88" s="7" t="n">
        <v>9182</v>
      </c>
      <c r="E88" s="7" t="n">
        <v>9182</v>
      </c>
      <c r="F88" s="8" t="n">
        <v>350</v>
      </c>
      <c r="G88" s="8" t="n">
        <v>200080</v>
      </c>
      <c r="H88" s="8" t="n">
        <v>350</v>
      </c>
      <c r="I88" s="8" t="n">
        <v>200080</v>
      </c>
      <c r="J88" s="11">
        <f>(I88-H88)/1000</f>
        <v/>
      </c>
      <c r="K88" s="7" t="inlineStr">
        <is>
          <t>Yes</t>
        </is>
      </c>
      <c r="L88" s="7" t="n">
        <v>50</v>
      </c>
      <c r="M88" s="12" t="inlineStr">
        <is>
          <t>Barachak Jn, Sitarampur Central, Kulti, Barakar, Kumardubi, Mugma, Thaparnagar, Kalubathan, Chhota Ambana</t>
        </is>
      </c>
    </row>
    <row r="89" ht="34" customHeight="1">
      <c r="A89" s="7" t="inlineStr">
        <is>
          <t>10 Jun</t>
        </is>
      </c>
      <c r="B89" s="7" t="inlineStr">
        <is>
          <t>39105</t>
        </is>
      </c>
      <c r="C89" s="7" t="n">
        <v>7151</v>
      </c>
      <c r="D89" s="7" t="n">
        <v>7119</v>
      </c>
      <c r="E89" s="7" t="n">
        <v>7119</v>
      </c>
      <c r="F89" s="8" t="n">
        <v>444</v>
      </c>
      <c r="G89" s="8" t="n">
        <v>200065</v>
      </c>
      <c r="H89" s="8" t="n">
        <v>444</v>
      </c>
      <c r="I89" s="8" t="n">
        <v>200065</v>
      </c>
      <c r="J89" s="11">
        <f>(I89-H89)/1000</f>
        <v/>
      </c>
      <c r="K89" s="7" t="inlineStr">
        <is>
          <t>Yes</t>
        </is>
      </c>
      <c r="L89" s="7" t="n">
        <v>50</v>
      </c>
      <c r="M89" s="12" t="inlineStr">
        <is>
          <t>Barachak Jn, Sitarampur Central, Kulti, Barakar, Kumardubi, Mugma, Thaparnagar, Kalubathan, Chhota Ambana</t>
        </is>
      </c>
    </row>
    <row r="90" ht="34" customHeight="1">
      <c r="A90" s="7" t="inlineStr">
        <is>
          <t>10 Jun</t>
        </is>
      </c>
      <c r="B90" s="7" t="inlineStr">
        <is>
          <t>39482</t>
        </is>
      </c>
      <c r="C90" s="7" t="n">
        <v>7819</v>
      </c>
      <c r="D90" s="7" t="n">
        <v>7797</v>
      </c>
      <c r="E90" s="7" t="n">
        <v>7797</v>
      </c>
      <c r="F90" s="8" t="n">
        <v>547</v>
      </c>
      <c r="G90" s="8" t="n">
        <v>200091</v>
      </c>
      <c r="H90" s="8" t="n">
        <v>547</v>
      </c>
      <c r="I90" s="8" t="n">
        <v>200091</v>
      </c>
      <c r="J90" s="11">
        <f>(I90-H90)/1000</f>
        <v/>
      </c>
      <c r="K90" s="7" t="inlineStr">
        <is>
          <t>Yes</t>
        </is>
      </c>
      <c r="L90" s="7" t="n">
        <v>50</v>
      </c>
      <c r="M90" s="12" t="inlineStr">
        <is>
          <t>Barachak Jn, Sitarampur Central, Kulti, Barakar, Kumardubi, Mugma, Thaparnagar, Kalubathan, Chhota Ambana</t>
        </is>
      </c>
    </row>
    <row r="91" ht="34" customHeight="1">
      <c r="A91" s="7" t="inlineStr">
        <is>
          <t>10 Jun</t>
        </is>
      </c>
      <c r="B91" s="7" t="inlineStr">
        <is>
          <t>30370</t>
        </is>
      </c>
      <c r="C91" s="7" t="n">
        <v>7128</v>
      </c>
      <c r="D91" s="7" t="n">
        <v>7110</v>
      </c>
      <c r="E91" s="7" t="n">
        <v>7110</v>
      </c>
      <c r="F91" s="8" t="n">
        <v>688</v>
      </c>
      <c r="G91" s="8" t="n">
        <v>200088</v>
      </c>
      <c r="H91" s="8" t="n">
        <v>688</v>
      </c>
      <c r="I91" s="8" t="n">
        <v>200088</v>
      </c>
      <c r="J91" s="11">
        <f>(I91-H91)/1000</f>
        <v/>
      </c>
      <c r="K91" s="7" t="inlineStr">
        <is>
          <t>Yes</t>
        </is>
      </c>
      <c r="L91" s="7" t="n">
        <v>50</v>
      </c>
      <c r="M91" s="12" t="inlineStr">
        <is>
          <t>Barachak Jn, Sitarampur Central, Kulti, Barakar, Kumardubi, Mugma, Thaparnagar, Kalubathan, Chhota Ambana</t>
        </is>
      </c>
    </row>
    <row r="92" ht="34" customHeight="1">
      <c r="A92" s="7" t="inlineStr">
        <is>
          <t>10 Jun</t>
        </is>
      </c>
      <c r="B92" s="7" t="inlineStr">
        <is>
          <t>37401</t>
        </is>
      </c>
      <c r="C92" s="7" t="n">
        <v>7656</v>
      </c>
      <c r="D92" s="7" t="n">
        <v>7615</v>
      </c>
      <c r="E92" s="7" t="n">
        <v>7579</v>
      </c>
      <c r="F92" s="8" t="n">
        <v>33</v>
      </c>
      <c r="G92" s="8" t="n">
        <v>199544</v>
      </c>
      <c r="H92" s="8" t="n">
        <v>346</v>
      </c>
      <c r="I92" s="8" t="n">
        <v>199544</v>
      </c>
      <c r="J92" s="11">
        <f>(I92-H92)/1000</f>
        <v/>
      </c>
      <c r="K92" s="7" t="inlineStr">
        <is>
          <t>Yes</t>
        </is>
      </c>
      <c r="L92" s="7" t="n">
        <v>50</v>
      </c>
      <c r="M92" s="12" t="inlineStr">
        <is>
          <t>Barachak Jn, Sitarampur Central, Kulti, Barakar, Kumardubi, Mugma, Thaparnagar, Kalubathan, Chhota Ambana</t>
        </is>
      </c>
    </row>
    <row r="93" ht="34" customHeight="1">
      <c r="A93" s="7" t="inlineStr">
        <is>
          <t>10 Jun</t>
        </is>
      </c>
      <c r="B93" s="7" t="inlineStr">
        <is>
          <t>37452</t>
        </is>
      </c>
      <c r="C93" s="7" t="n">
        <v>8843</v>
      </c>
      <c r="D93" s="7" t="n">
        <v>8805</v>
      </c>
      <c r="E93" s="7" t="n">
        <v>8609</v>
      </c>
      <c r="F93" s="8" t="n">
        <v>49</v>
      </c>
      <c r="G93" s="8" t="n">
        <v>199392</v>
      </c>
      <c r="H93" s="8" t="n">
        <v>342</v>
      </c>
      <c r="I93" s="8" t="n">
        <v>199392</v>
      </c>
      <c r="J93" s="11">
        <f>(I93-H93)/1000</f>
        <v/>
      </c>
      <c r="K93" s="7" t="inlineStr">
        <is>
          <t>Yes</t>
        </is>
      </c>
      <c r="L93" s="7" t="n">
        <v>50</v>
      </c>
      <c r="M93" s="12" t="inlineStr">
        <is>
          <t>Barachak Jn, Sitarampur Central, Kulti, Barakar, Kumardubi, Mugma, Thaparnagar, Kalubathan, Chhota Ambana</t>
        </is>
      </c>
    </row>
    <row r="94" ht="34" customHeight="1">
      <c r="A94" s="7" t="inlineStr">
        <is>
          <t>10 Jun</t>
        </is>
      </c>
      <c r="B94" s="7" t="inlineStr">
        <is>
          <t>39178</t>
        </is>
      </c>
      <c r="C94" s="7" t="n">
        <v>11860</v>
      </c>
      <c r="D94" s="7" t="n">
        <v>11828</v>
      </c>
      <c r="E94" s="7" t="n">
        <v>11664</v>
      </c>
      <c r="F94" s="8" t="n">
        <v>23</v>
      </c>
      <c r="G94" s="8" t="n">
        <v>199391</v>
      </c>
      <c r="H94" s="8" t="n">
        <v>342</v>
      </c>
      <c r="I94" s="8" t="n">
        <v>199391</v>
      </c>
      <c r="J94" s="11">
        <f>(I94-H94)/1000</f>
        <v/>
      </c>
      <c r="K94" s="7" t="inlineStr">
        <is>
          <t>Yes</t>
        </is>
      </c>
      <c r="L94" s="7" t="n">
        <v>50</v>
      </c>
      <c r="M94" s="12" t="inlineStr">
        <is>
          <t>Barachak Jn, Sitarampur Central, Kulti, Barakar, Kumardubi, Mugma, Thaparnagar, Kalubathan, Chhota Ambana</t>
        </is>
      </c>
    </row>
    <row r="95" ht="34" customHeight="1">
      <c r="A95" s="7" t="inlineStr">
        <is>
          <t>10 Jun</t>
        </is>
      </c>
      <c r="B95" s="7" t="inlineStr">
        <is>
          <t>39409</t>
        </is>
      </c>
      <c r="C95" s="7" t="n">
        <v>8948</v>
      </c>
      <c r="D95" s="7" t="n">
        <v>8912</v>
      </c>
      <c r="E95" s="7" t="n">
        <v>8699</v>
      </c>
      <c r="F95" s="8" t="n">
        <v>33</v>
      </c>
      <c r="G95" s="8" t="n">
        <v>199390</v>
      </c>
      <c r="H95" s="8" t="n">
        <v>344</v>
      </c>
      <c r="I95" s="8" t="n">
        <v>199390</v>
      </c>
      <c r="J95" s="11">
        <f>(I95-H95)/1000</f>
        <v/>
      </c>
      <c r="K95" s="7" t="inlineStr">
        <is>
          <t>Yes</t>
        </is>
      </c>
      <c r="L95" s="7" t="n">
        <v>50</v>
      </c>
      <c r="M95" s="12" t="inlineStr">
        <is>
          <t>Barachak Jn, Sitarampur Central, Kulti, Barakar, Kumardubi, Mugma, Thaparnagar, Kalubathan, Chhota Ambana</t>
        </is>
      </c>
    </row>
    <row r="96" ht="34" customHeight="1">
      <c r="A96" s="7" t="inlineStr">
        <is>
          <t>10 Jun</t>
        </is>
      </c>
      <c r="B96" s="7" t="inlineStr">
        <is>
          <t>37244</t>
        </is>
      </c>
      <c r="C96" s="7" t="n">
        <v>7983</v>
      </c>
      <c r="D96" s="7" t="n">
        <v>7983</v>
      </c>
      <c r="E96" s="7" t="n">
        <v>7983</v>
      </c>
      <c r="F96" s="8" t="n">
        <v>1304</v>
      </c>
      <c r="G96" s="8" t="n">
        <v>199131</v>
      </c>
      <c r="H96" s="8" t="n">
        <v>1304</v>
      </c>
      <c r="I96" s="8" t="n">
        <v>199131</v>
      </c>
      <c r="J96" s="11">
        <f>(I96-H96)/1000</f>
        <v/>
      </c>
      <c r="K96" s="7" t="inlineStr">
        <is>
          <t>Yes</t>
        </is>
      </c>
      <c r="L96" s="7" t="n">
        <v>50</v>
      </c>
      <c r="M96" s="12" t="inlineStr">
        <is>
          <t>Barachak Jn, Sitarampur Central, Kulti, Barakar, Kumardubi, Mugma, Thaparnagar, Kalubathan, Chhota Ambana</t>
        </is>
      </c>
    </row>
    <row r="97" ht="49" customHeight="1">
      <c r="A97" s="7" t="inlineStr">
        <is>
          <t>10 Jun</t>
        </is>
      </c>
      <c r="B97" s="7" t="inlineStr">
        <is>
          <t>30300</t>
        </is>
      </c>
      <c r="C97" s="7" t="n">
        <v>8896</v>
      </c>
      <c r="D97" s="7" t="n">
        <v>8890</v>
      </c>
      <c r="E97" s="7" t="n">
        <v>8890</v>
      </c>
      <c r="F97" s="8" t="n">
        <v>12121</v>
      </c>
      <c r="G97" s="8" t="n">
        <v>201615</v>
      </c>
      <c r="H97" s="8" t="n">
        <v>12121</v>
      </c>
      <c r="I97" s="8" t="n">
        <v>201615</v>
      </c>
      <c r="J97" s="11">
        <f>(I97-H97)/1000</f>
        <v/>
      </c>
      <c r="K97" s="7" t="inlineStr">
        <is>
          <t>Yes</t>
        </is>
      </c>
      <c r="L97" s="7" t="n">
        <v>45</v>
      </c>
      <c r="M97" s="12" t="inlineStr">
        <is>
          <t>Howrah, Howrah Sorting Yard, Liluah, Belur, Bally, Barachak Jn, Sitarampur Central, Kulti, Barakar, Kumardubi, Mugma, Thaparnagar, Kalubathan, Chhota Ambana</t>
        </is>
      </c>
    </row>
    <row r="98" ht="49" customHeight="1">
      <c r="A98" s="7" t="inlineStr">
        <is>
          <t>10 Jun</t>
        </is>
      </c>
      <c r="B98" s="7" t="inlineStr">
        <is>
          <t>30371</t>
        </is>
      </c>
      <c r="C98" s="7" t="n">
        <v>7361</v>
      </c>
      <c r="D98" s="7" t="n">
        <v>7356</v>
      </c>
      <c r="E98" s="7" t="n">
        <v>7347</v>
      </c>
      <c r="F98" s="8" t="n">
        <v>58045</v>
      </c>
      <c r="G98" s="8" t="n">
        <v>244603</v>
      </c>
      <c r="H98" s="8" t="n">
        <v>58045</v>
      </c>
      <c r="I98" s="8" t="n">
        <v>244364</v>
      </c>
      <c r="J98" s="11">
        <f>(I98-H98)/1000</f>
        <v/>
      </c>
      <c r="K98" s="7" t="inlineStr">
        <is>
          <t>Yes</t>
        </is>
      </c>
      <c r="L98" s="7" t="n">
        <v>43</v>
      </c>
      <c r="M98" s="12" t="inlineStr">
        <is>
          <t>Howrah, Howrah Sorting Yard, Liluah, Belur, Bally, Belanagar, Dankuni, Janai Road, Baruipara, Kamarkundu, LC-31, Chandanpur, LC-38, Belmuri, Cheragram, LC-41</t>
        </is>
      </c>
    </row>
    <row r="99" ht="79" customHeight="1">
      <c r="A99" s="7" t="inlineStr">
        <is>
          <t>10 Jun</t>
        </is>
      </c>
      <c r="B99" s="7" t="inlineStr">
        <is>
          <t>37403</t>
        </is>
      </c>
      <c r="C99" s="7" t="n">
        <v>6640</v>
      </c>
      <c r="D99" s="7" t="n">
        <v>6608</v>
      </c>
      <c r="E99" s="7" t="n">
        <v>6608</v>
      </c>
      <c r="F99" s="8" t="n">
        <v>64164</v>
      </c>
      <c r="G99" s="8" t="n">
        <v>199390</v>
      </c>
      <c r="H99" s="8" t="n">
        <v>64164</v>
      </c>
      <c r="I99" s="8" t="n">
        <v>199390</v>
      </c>
      <c r="J99" s="11">
        <f>(I99-H99)/1000</f>
        <v/>
      </c>
      <c r="K99" s="7" t="inlineStr">
        <is>
          <t>Yes</t>
        </is>
      </c>
      <c r="L99" s="7" t="n">
        <v>31</v>
      </c>
      <c r="M99" s="12" t="inlineStr">
        <is>
          <t>Howrah, Howrah Sorting Yard, Liluah, Belur, Bally, Belanagar, Dankuni, LC-12, Janai Road, Baruipara, Kamarkundu, LC-31, Chandanpur, LC-38, Belmuri, Cheragram, LC-41, Gurap, LC-48, Barachak Jn, Sitarampur Central, Kulti, Barakar, Kumardubi, Mugma, Thaparnagar, Kalubathan, LC-12, Chhota Ambana</t>
        </is>
      </c>
    </row>
    <row r="100" ht="94" customHeight="1">
      <c r="A100" s="7" t="inlineStr">
        <is>
          <t>10 Jun</t>
        </is>
      </c>
      <c r="B100" s="7" t="inlineStr">
        <is>
          <t>37585</t>
        </is>
      </c>
      <c r="C100" s="7" t="n">
        <v>15238</v>
      </c>
      <c r="D100" s="7" t="n">
        <v>15163</v>
      </c>
      <c r="E100" s="7" t="n">
        <v>15033</v>
      </c>
      <c r="F100" s="8" t="n">
        <v>32</v>
      </c>
      <c r="G100" s="8" t="n">
        <v>100034</v>
      </c>
      <c r="H100" s="8" t="n">
        <v>345</v>
      </c>
      <c r="I100" s="8" t="n">
        <v>100034</v>
      </c>
      <c r="J100" s="11">
        <f>(I100-H100)/1000</f>
        <v/>
      </c>
      <c r="K100" s="7" t="inlineStr">
        <is>
          <t>Yes</t>
        </is>
      </c>
      <c r="L100" s="7" t="n">
        <v>27</v>
      </c>
      <c r="M100" s="12" t="inlineStr">
        <is>
          <t>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1" ht="94" customHeight="1">
      <c r="A101" s="7" t="inlineStr">
        <is>
          <t>10 Jun</t>
        </is>
      </c>
      <c r="B101" s="7" t="inlineStr">
        <is>
          <t>30503</t>
        </is>
      </c>
      <c r="C101" s="7" t="n">
        <v>5976</v>
      </c>
      <c r="D101" s="7" t="n">
        <v>5928</v>
      </c>
      <c r="E101" s="7" t="n">
        <v>5918</v>
      </c>
      <c r="F101" s="8" t="n">
        <v>321</v>
      </c>
      <c r="G101" s="8" t="n">
        <v>94709</v>
      </c>
      <c r="H101" s="8" t="n">
        <v>342</v>
      </c>
      <c r="I101" s="8" t="n">
        <v>94709</v>
      </c>
      <c r="J101" s="11">
        <f>(I101-H101)/1000</f>
        <v/>
      </c>
      <c r="K101" s="7" t="inlineStr">
        <is>
          <t>Yes</t>
        </is>
      </c>
      <c r="L101" s="7" t="n">
        <v>26</v>
      </c>
      <c r="M101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2" ht="94" customHeight="1">
      <c r="A102" s="7" t="inlineStr">
        <is>
          <t>10 Jun</t>
        </is>
      </c>
      <c r="B102" s="7" t="inlineStr">
        <is>
          <t>37908</t>
        </is>
      </c>
      <c r="C102" s="7" t="n">
        <v>12993</v>
      </c>
      <c r="D102" s="7" t="n">
        <v>12930</v>
      </c>
      <c r="E102" s="7" t="n">
        <v>12930</v>
      </c>
      <c r="F102" s="8" t="n">
        <v>350</v>
      </c>
      <c r="G102" s="8" t="n">
        <v>94647</v>
      </c>
      <c r="H102" s="8" t="n">
        <v>350</v>
      </c>
      <c r="I102" s="8" t="n">
        <v>94647</v>
      </c>
      <c r="J102" s="11">
        <f>(I102-H102)/1000</f>
        <v/>
      </c>
      <c r="K102" s="7" t="inlineStr">
        <is>
          <t>Yes</t>
        </is>
      </c>
      <c r="L102" s="7" t="n">
        <v>26</v>
      </c>
      <c r="M102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3" ht="94" customHeight="1">
      <c r="A103" s="7" t="inlineStr">
        <is>
          <t>10 Jun</t>
        </is>
      </c>
      <c r="B103" s="7" t="inlineStr">
        <is>
          <t>39133</t>
        </is>
      </c>
      <c r="C103" s="7" t="n">
        <v>3875</v>
      </c>
      <c r="D103" s="7" t="n">
        <v>3861</v>
      </c>
      <c r="E103" s="7" t="n">
        <v>3861</v>
      </c>
      <c r="F103" s="8" t="n">
        <v>350</v>
      </c>
      <c r="G103" s="8" t="n">
        <v>94638</v>
      </c>
      <c r="H103" s="8" t="n">
        <v>350</v>
      </c>
      <c r="I103" s="8" t="n">
        <v>94638</v>
      </c>
      <c r="J103" s="11">
        <f>(I103-H103)/1000</f>
        <v/>
      </c>
      <c r="K103" s="7" t="inlineStr">
        <is>
          <t>Yes</t>
        </is>
      </c>
      <c r="L103" s="7" t="n">
        <v>26</v>
      </c>
      <c r="M103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4" ht="94" customHeight="1">
      <c r="A104" s="7" t="inlineStr">
        <is>
          <t>10 Jun</t>
        </is>
      </c>
      <c r="B104" s="7" t="inlineStr">
        <is>
          <t>39170</t>
        </is>
      </c>
      <c r="C104" s="7" t="n">
        <v>3984</v>
      </c>
      <c r="D104" s="7" t="n">
        <v>3925</v>
      </c>
      <c r="E104" s="7" t="n">
        <v>3925</v>
      </c>
      <c r="F104" s="8" t="n">
        <v>849</v>
      </c>
      <c r="G104" s="8" t="n">
        <v>94756</v>
      </c>
      <c r="H104" s="8" t="n">
        <v>849</v>
      </c>
      <c r="I104" s="8" t="n">
        <v>94756</v>
      </c>
      <c r="J104" s="11">
        <f>(I104-H104)/1000</f>
        <v/>
      </c>
      <c r="K104" s="7" t="inlineStr">
        <is>
          <t>Yes</t>
        </is>
      </c>
      <c r="L104" s="7" t="n">
        <v>26</v>
      </c>
      <c r="M104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5" ht="94" customHeight="1">
      <c r="A105" s="7" t="inlineStr">
        <is>
          <t>10 Jun</t>
        </is>
      </c>
      <c r="B105" s="7" t="inlineStr">
        <is>
          <t>30639</t>
        </is>
      </c>
      <c r="C105" s="7" t="n">
        <v>3812</v>
      </c>
      <c r="D105" s="7" t="n">
        <v>3778</v>
      </c>
      <c r="E105" s="7" t="n">
        <v>3778</v>
      </c>
      <c r="F105" s="8" t="n">
        <v>350</v>
      </c>
      <c r="G105" s="8" t="n">
        <v>94115</v>
      </c>
      <c r="H105" s="8" t="n">
        <v>350</v>
      </c>
      <c r="I105" s="8" t="n">
        <v>94115</v>
      </c>
      <c r="J105" s="11">
        <f>(I105-H105)/1000</f>
        <v/>
      </c>
      <c r="K105" s="7" t="inlineStr">
        <is>
          <t>Yes</t>
        </is>
      </c>
      <c r="L105" s="7" t="n">
        <v>26</v>
      </c>
      <c r="M105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6" ht="94" customHeight="1">
      <c r="A106" s="7" t="inlineStr">
        <is>
          <t>10 Jun</t>
        </is>
      </c>
      <c r="B106" s="7" t="inlineStr">
        <is>
          <t>37024</t>
        </is>
      </c>
      <c r="C106" s="7" t="n">
        <v>5574</v>
      </c>
      <c r="D106" s="7" t="n">
        <v>5545</v>
      </c>
      <c r="E106" s="7" t="n">
        <v>5345</v>
      </c>
      <c r="F106" s="8" t="n">
        <v>20</v>
      </c>
      <c r="G106" s="8" t="n">
        <v>94115</v>
      </c>
      <c r="H106" s="8" t="n">
        <v>345</v>
      </c>
      <c r="I106" s="8" t="n">
        <v>94115</v>
      </c>
      <c r="J106" s="11">
        <f>(I106-H106)/1000</f>
        <v/>
      </c>
      <c r="K106" s="7" t="inlineStr">
        <is>
          <t>Yes</t>
        </is>
      </c>
      <c r="L106" s="7" t="n">
        <v>26</v>
      </c>
      <c r="M106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7" ht="109" customHeight="1">
      <c r="A107" s="7" t="inlineStr">
        <is>
          <t>10 Jun</t>
        </is>
      </c>
      <c r="B107" s="7" t="inlineStr">
        <is>
          <t>30372</t>
        </is>
      </c>
      <c r="C107" s="7" t="n">
        <v>2980</v>
      </c>
      <c r="D107" s="7" t="n">
        <v>2974</v>
      </c>
      <c r="E107" s="7" t="n">
        <v>2974</v>
      </c>
      <c r="F107" s="8" t="n">
        <v>12116</v>
      </c>
      <c r="G107" s="8" t="n">
        <v>94652</v>
      </c>
      <c r="H107" s="8" t="n">
        <v>12116</v>
      </c>
      <c r="I107" s="8" t="n">
        <v>94652</v>
      </c>
      <c r="J107" s="11">
        <f>(I107-H107)/1000</f>
        <v/>
      </c>
      <c r="K107" s="7" t="inlineStr">
        <is>
          <t>Yes</t>
        </is>
      </c>
      <c r="L107" s="7" t="n">
        <v>21</v>
      </c>
      <c r="M107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8" ht="109" customHeight="1">
      <c r="A108" s="7" t="inlineStr">
        <is>
          <t>10 Jun</t>
        </is>
      </c>
      <c r="B108" s="7" t="inlineStr">
        <is>
          <t>30203</t>
        </is>
      </c>
      <c r="C108" s="7" t="n">
        <v>3324</v>
      </c>
      <c r="D108" s="7" t="n">
        <v>3318</v>
      </c>
      <c r="E108" s="7" t="n">
        <v>3318</v>
      </c>
      <c r="F108" s="8" t="n">
        <v>12119</v>
      </c>
      <c r="G108" s="8" t="n">
        <v>94619</v>
      </c>
      <c r="H108" s="8" t="n">
        <v>12119</v>
      </c>
      <c r="I108" s="8" t="n">
        <v>94619</v>
      </c>
      <c r="J108" s="11">
        <f>(I108-H108)/1000</f>
        <v/>
      </c>
      <c r="K108" s="7" t="inlineStr">
        <is>
          <t>Yes</t>
        </is>
      </c>
      <c r="L108" s="7" t="n">
        <v>21</v>
      </c>
      <c r="M108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09" ht="109" customHeight="1">
      <c r="A109" s="7" t="inlineStr">
        <is>
          <t>10 Jun</t>
        </is>
      </c>
      <c r="B109" s="7" t="inlineStr">
        <is>
          <t>30329</t>
        </is>
      </c>
      <c r="C109" s="7" t="n">
        <v>3444</v>
      </c>
      <c r="D109" s="7" t="n">
        <v>3439</v>
      </c>
      <c r="E109" s="7" t="n">
        <v>3439</v>
      </c>
      <c r="F109" s="8" t="n">
        <v>12123</v>
      </c>
      <c r="G109" s="8" t="n">
        <v>94604</v>
      </c>
      <c r="H109" s="8" t="n">
        <v>12123</v>
      </c>
      <c r="I109" s="8" t="n">
        <v>94604</v>
      </c>
      <c r="J109" s="11">
        <f>(I109-H109)/1000</f>
        <v/>
      </c>
      <c r="K109" s="7" t="inlineStr">
        <is>
          <t>Yes</t>
        </is>
      </c>
      <c r="L109" s="7" t="n">
        <v>21</v>
      </c>
      <c r="M109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10" ht="109" customHeight="1">
      <c r="A110" s="7" t="inlineStr">
        <is>
          <t>10 Jun</t>
        </is>
      </c>
      <c r="B110" s="7" t="inlineStr">
        <is>
          <t>30742</t>
        </is>
      </c>
      <c r="C110" s="7" t="n">
        <v>3455</v>
      </c>
      <c r="D110" s="7" t="n">
        <v>3441</v>
      </c>
      <c r="E110" s="7" t="n">
        <v>3441</v>
      </c>
      <c r="F110" s="8" t="n">
        <v>12715</v>
      </c>
      <c r="G110" s="8" t="n">
        <v>94115</v>
      </c>
      <c r="H110" s="8" t="n">
        <v>12715</v>
      </c>
      <c r="I110" s="8" t="n">
        <v>94115</v>
      </c>
      <c r="J110" s="11">
        <f>(I110-H110)/1000</f>
        <v/>
      </c>
      <c r="K110" s="7" t="inlineStr">
        <is>
          <t>Yes</t>
        </is>
      </c>
      <c r="L110" s="7" t="n">
        <v>21</v>
      </c>
      <c r="M110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11" ht="124" customHeight="1">
      <c r="A111" s="7" t="inlineStr">
        <is>
          <t>10 Jun</t>
        </is>
      </c>
      <c r="B111" s="7" t="inlineStr">
        <is>
          <t>37502</t>
        </is>
      </c>
      <c r="C111" s="7" t="n">
        <v>1653</v>
      </c>
      <c r="D111" s="7" t="n">
        <v>1648</v>
      </c>
      <c r="E111" s="7" t="n">
        <v>1648</v>
      </c>
      <c r="F111" s="8" t="n">
        <v>158125</v>
      </c>
      <c r="G111" s="8" t="n">
        <v>200081</v>
      </c>
      <c r="H111" s="8" t="n">
        <v>158125</v>
      </c>
      <c r="I111" s="8" t="n">
        <v>200081</v>
      </c>
      <c r="J111" s="11">
        <f>(I111-H111)/1000</f>
        <v/>
      </c>
      <c r="K111" s="7" t="inlineStr">
        <is>
          <t>Yes</t>
        </is>
      </c>
      <c r="L111" s="7" t="n">
        <v>11</v>
      </c>
      <c r="M111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Barachak Jn, Sitarampur Central, Kulti, Barakar, Kumardubi, Mugma, Thaparnagar, Kalubathan, LC-12, Chhota Ambana</t>
        </is>
      </c>
    </row>
    <row r="112" ht="139" customHeight="1">
      <c r="A112" s="7" t="inlineStr">
        <is>
          <t>10 Jun</t>
        </is>
      </c>
      <c r="B112" s="7" t="inlineStr">
        <is>
          <t>37719</t>
        </is>
      </c>
      <c r="C112" s="7" t="n">
        <v>886</v>
      </c>
      <c r="D112" s="7" t="n">
        <v>769</v>
      </c>
      <c r="E112" s="7" t="n">
        <v>769</v>
      </c>
      <c r="F112" s="8" t="n">
        <v>350</v>
      </c>
      <c r="G112" s="8" t="n">
        <v>5812</v>
      </c>
      <c r="H112" s="8" t="n">
        <v>350</v>
      </c>
      <c r="I112" s="8" t="n">
        <v>5812</v>
      </c>
      <c r="J112" s="11">
        <f>(I112-H112)/1000</f>
        <v/>
      </c>
      <c r="K112" s="7" t="inlineStr">
        <is>
          <t>Yes</t>
        </is>
      </c>
      <c r="L112" s="7" t="n">
        <v>4</v>
      </c>
      <c r="M112" s="12" t="inlineStr">
        <is>
          <t>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  ...(+6 more)</t>
        </is>
      </c>
    </row>
    <row r="113" ht="139" customHeight="1">
      <c r="A113" s="7" t="inlineStr">
        <is>
          <t>10 Jun</t>
        </is>
      </c>
      <c r="B113" s="7" t="inlineStr">
        <is>
          <t>30084</t>
        </is>
      </c>
      <c r="C113" s="7" t="n">
        <v>3600</v>
      </c>
      <c r="D113" s="7" t="n">
        <v>3588</v>
      </c>
      <c r="E113" s="7" t="n">
        <v>3588</v>
      </c>
      <c r="F113" s="8" t="n">
        <v>110090</v>
      </c>
      <c r="G113" s="8" t="n">
        <v>114932</v>
      </c>
      <c r="H113" s="8" t="n">
        <v>110090</v>
      </c>
      <c r="I113" s="8" t="n">
        <v>114932</v>
      </c>
      <c r="J113" s="11">
        <f>(I113-H113)/1000</f>
        <v/>
      </c>
      <c r="K113" s="7" t="inlineStr">
        <is>
          <t>Yes</t>
        </is>
      </c>
      <c r="L113" s="7" t="n">
        <v>2</v>
      </c>
      <c r="M113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114" ht="139" customHeight="1">
      <c r="A114" s="7" t="inlineStr">
        <is>
          <t>10 Jun</t>
        </is>
      </c>
      <c r="B114" s="7" t="inlineStr">
        <is>
          <t>38842</t>
        </is>
      </c>
      <c r="C114" s="7" t="n">
        <v>1481</v>
      </c>
      <c r="D114" s="7" t="n">
        <v>492</v>
      </c>
      <c r="E114" s="7" t="n">
        <v>243</v>
      </c>
      <c r="F114" s="8" t="n">
        <v>52</v>
      </c>
      <c r="G114" s="8" t="n">
        <v>577</v>
      </c>
      <c r="H114" s="8" t="n">
        <v>342</v>
      </c>
      <c r="I114" s="8" t="n">
        <v>577</v>
      </c>
      <c r="J114" s="11">
        <f>(I114-H114)/1000</f>
        <v/>
      </c>
      <c r="K114" s="7" t="inlineStr">
        <is>
          <t>Yes</t>
        </is>
      </c>
      <c r="L114" s="7" t="n">
        <v>1</v>
      </c>
      <c r="M114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15" ht="139" customHeight="1">
      <c r="A115" s="7" t="inlineStr">
        <is>
          <t>10 Jun</t>
        </is>
      </c>
      <c r="B115" s="7" t="inlineStr">
        <is>
          <t>30468</t>
        </is>
      </c>
      <c r="C115" s="7" t="n">
        <v>103</v>
      </c>
      <c r="D115" s="7" t="n">
        <v>79</v>
      </c>
      <c r="E115" s="7" t="n">
        <v>8</v>
      </c>
      <c r="F115" s="8" t="n">
        <v>26</v>
      </c>
      <c r="G115" s="8" t="n">
        <v>403</v>
      </c>
      <c r="H115" s="8" t="n">
        <v>345</v>
      </c>
      <c r="I115" s="8" t="n">
        <v>403</v>
      </c>
      <c r="J115" s="11">
        <f>(I115-H115)/1000</f>
        <v/>
      </c>
      <c r="K115" s="7" t="inlineStr">
        <is>
          <t>Yes</t>
        </is>
      </c>
      <c r="L115" s="7" t="n">
        <v>1</v>
      </c>
      <c r="M115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16" ht="139" customHeight="1">
      <c r="A116" s="9" t="inlineStr">
        <is>
          <t>10 Jun</t>
        </is>
      </c>
      <c r="B116" s="9" t="inlineStr">
        <is>
          <t>11623</t>
        </is>
      </c>
      <c r="C116" s="9" t="n">
        <v>4</v>
      </c>
      <c r="D116" s="9" t="n">
        <v>4</v>
      </c>
      <c r="E116" s="9" t="n">
        <v>2</v>
      </c>
      <c r="F116" s="10" t="n">
        <v>145</v>
      </c>
      <c r="G116" s="10" t="n">
        <v>440</v>
      </c>
      <c r="H116" s="10" t="n">
        <v>437</v>
      </c>
      <c r="I116" s="10" t="n">
        <v>440</v>
      </c>
      <c r="J116" s="13">
        <f>(I116-H116)/1000</f>
        <v/>
      </c>
      <c r="K116" s="9" t="inlineStr">
        <is>
          <t>No</t>
        </is>
      </c>
      <c r="L116" s="9" t="n">
        <v>1</v>
      </c>
      <c r="M116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17" ht="139" customHeight="1">
      <c r="A117" s="9" t="inlineStr">
        <is>
          <t>10 Jun</t>
        </is>
      </c>
      <c r="B117" s="9" t="inlineStr">
        <is>
          <t>30191</t>
        </is>
      </c>
      <c r="C117" s="9" t="n">
        <v>44</v>
      </c>
      <c r="D117" s="9" t="n">
        <v>39</v>
      </c>
      <c r="E117" s="9" t="n">
        <v>39</v>
      </c>
      <c r="F117" s="10" t="n">
        <v>350</v>
      </c>
      <c r="G117" s="10" t="n">
        <v>350</v>
      </c>
      <c r="H117" s="10" t="n">
        <v>350</v>
      </c>
      <c r="I117" s="10" t="n">
        <v>350</v>
      </c>
      <c r="J117" s="13">
        <f>(I117-H117)/1000</f>
        <v/>
      </c>
      <c r="K117" s="9" t="inlineStr">
        <is>
          <t>No</t>
        </is>
      </c>
      <c r="L117" s="9" t="n">
        <v>1</v>
      </c>
      <c r="M117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18" ht="139" customHeight="1">
      <c r="A118" s="9" t="inlineStr">
        <is>
          <t>10 Jun</t>
        </is>
      </c>
      <c r="B118" s="9" t="inlineStr">
        <is>
          <t>35003</t>
        </is>
      </c>
      <c r="C118" s="9" t="n">
        <v>5</v>
      </c>
      <c r="D118" s="9" t="n">
        <v>0</v>
      </c>
      <c r="E118" s="9" t="n">
        <v>0</v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3" t="n">
        <v>0</v>
      </c>
      <c r="K118" s="9" t="inlineStr">
        <is>
          <t>No</t>
        </is>
      </c>
      <c r="L118" s="9" t="n">
        <v>0</v>
      </c>
      <c r="M11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19" ht="139" customHeight="1">
      <c r="A119" s="9" t="inlineStr">
        <is>
          <t>10 Jun</t>
        </is>
      </c>
      <c r="B119" s="9" t="inlineStr">
        <is>
          <t>37040</t>
        </is>
      </c>
      <c r="C119" s="9" t="n">
        <v>5</v>
      </c>
      <c r="D119" s="9" t="n">
        <v>0</v>
      </c>
      <c r="E119" s="9" t="n">
        <v>0</v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3" t="n">
        <v>0</v>
      </c>
      <c r="K119" s="9" t="inlineStr">
        <is>
          <t>No</t>
        </is>
      </c>
      <c r="L119" s="9" t="n">
        <v>0</v>
      </c>
      <c r="M119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20" ht="139" customHeight="1">
      <c r="A120" s="9" t="inlineStr">
        <is>
          <t>10 Jun</t>
        </is>
      </c>
      <c r="B120" s="9" t="inlineStr">
        <is>
          <t>37246</t>
        </is>
      </c>
      <c r="C120" s="9" t="n">
        <v>6</v>
      </c>
      <c r="D120" s="9" t="n">
        <v>0</v>
      </c>
      <c r="E120" s="9" t="n">
        <v>0</v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3" t="n">
        <v>0</v>
      </c>
      <c r="K120" s="9" t="inlineStr">
        <is>
          <t>No</t>
        </is>
      </c>
      <c r="L120" s="9" t="n">
        <v>0</v>
      </c>
      <c r="M120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21" ht="139" customHeight="1">
      <c r="A121" s="9" t="inlineStr">
        <is>
          <t>10 Jun</t>
        </is>
      </c>
      <c r="B121" s="9" t="inlineStr">
        <is>
          <t>37894</t>
        </is>
      </c>
      <c r="C121" s="9" t="n">
        <v>187</v>
      </c>
      <c r="D121" s="9" t="n">
        <v>185</v>
      </c>
      <c r="E121" s="9" t="n">
        <v>185</v>
      </c>
      <c r="F121" s="10" t="n">
        <v>350</v>
      </c>
      <c r="G121" s="10" t="n">
        <v>350</v>
      </c>
      <c r="H121" s="10" t="n">
        <v>350</v>
      </c>
      <c r="I121" s="10" t="n">
        <v>350</v>
      </c>
      <c r="J121" s="13">
        <f>(I121-H121)/1000</f>
        <v/>
      </c>
      <c r="K121" s="9" t="inlineStr">
        <is>
          <t>No</t>
        </is>
      </c>
      <c r="L121" s="9" t="n">
        <v>1</v>
      </c>
      <c r="M121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22" ht="139" customHeight="1">
      <c r="A122" s="9" t="inlineStr">
        <is>
          <t>10 Jun</t>
        </is>
      </c>
      <c r="B122" s="9" t="inlineStr">
        <is>
          <t>37974</t>
        </is>
      </c>
      <c r="C122" s="9" t="n">
        <v>1</v>
      </c>
      <c r="D122" s="9" t="n">
        <v>0</v>
      </c>
      <c r="E122" s="9" t="n">
        <v>0</v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3" t="n">
        <v>0</v>
      </c>
      <c r="K122" s="9" t="inlineStr">
        <is>
          <t>No</t>
        </is>
      </c>
      <c r="L122" s="9" t="n">
        <v>0</v>
      </c>
      <c r="M122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23" ht="139" customHeight="1">
      <c r="A123" s="9" t="inlineStr">
        <is>
          <t>10 Jun</t>
        </is>
      </c>
      <c r="B123" s="9" t="inlineStr">
        <is>
          <t>44017</t>
        </is>
      </c>
      <c r="C123" s="9" t="n">
        <v>10</v>
      </c>
      <c r="D123" s="9" t="n">
        <v>0</v>
      </c>
      <c r="E123" s="9" t="n">
        <v>0</v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3" t="n">
        <v>0</v>
      </c>
      <c r="K123" s="9" t="inlineStr">
        <is>
          <t>No</t>
        </is>
      </c>
      <c r="L123" s="9" t="n">
        <v>0</v>
      </c>
      <c r="M123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24">
      <c r="A124" s="7" t="inlineStr">
        <is>
          <t>11 Jun</t>
        </is>
      </c>
      <c r="B124" s="7" t="inlineStr">
        <is>
          <t>37034</t>
        </is>
      </c>
      <c r="C124" s="7" t="n">
        <v>12623</v>
      </c>
      <c r="D124" s="7" t="n">
        <v>12576</v>
      </c>
      <c r="E124" s="7" t="n">
        <v>12517</v>
      </c>
      <c r="F124" s="8" t="n">
        <v>350</v>
      </c>
      <c r="G124" s="8" t="n">
        <v>246064</v>
      </c>
      <c r="H124" s="8" t="n">
        <v>350</v>
      </c>
      <c r="I124" s="8" t="n">
        <v>244362</v>
      </c>
      <c r="J124" s="11">
        <f>(I124-H124)/1000</f>
        <v/>
      </c>
      <c r="K124" s="7" t="inlineStr">
        <is>
          <t>Yes</t>
        </is>
      </c>
      <c r="L124" s="7" t="n">
        <v>60</v>
      </c>
      <c r="M124" s="12" t="inlineStr">
        <is>
          <t>- (full trip)</t>
        </is>
      </c>
    </row>
    <row r="125">
      <c r="A125" s="7" t="inlineStr">
        <is>
          <t>11 Jun</t>
        </is>
      </c>
      <c r="B125" s="7" t="inlineStr">
        <is>
          <t>39105</t>
        </is>
      </c>
      <c r="C125" s="7" t="n">
        <v>9076</v>
      </c>
      <c r="D125" s="7" t="n">
        <v>9062</v>
      </c>
      <c r="E125" s="7" t="n">
        <v>9062</v>
      </c>
      <c r="F125" s="8" t="n">
        <v>350</v>
      </c>
      <c r="G125" s="8" t="n">
        <v>244350</v>
      </c>
      <c r="H125" s="8" t="n">
        <v>350</v>
      </c>
      <c r="I125" s="8" t="n">
        <v>244350</v>
      </c>
      <c r="J125" s="11">
        <f>(I125-H125)/1000</f>
        <v/>
      </c>
      <c r="K125" s="7" t="inlineStr">
        <is>
          <t>Yes</t>
        </is>
      </c>
      <c r="L125" s="7" t="n">
        <v>60</v>
      </c>
      <c r="M125" s="12" t="inlineStr">
        <is>
          <t>- (full trip)</t>
        </is>
      </c>
    </row>
    <row r="126">
      <c r="A126" s="7" t="inlineStr">
        <is>
          <t>11 Jun</t>
        </is>
      </c>
      <c r="B126" s="7" t="inlineStr">
        <is>
          <t>39410</t>
        </is>
      </c>
      <c r="C126" s="7" t="n">
        <v>8669</v>
      </c>
      <c r="D126" s="7" t="n">
        <v>8638</v>
      </c>
      <c r="E126" s="7" t="n">
        <v>8628</v>
      </c>
      <c r="F126" s="8" t="n">
        <v>690</v>
      </c>
      <c r="G126" s="8" t="n">
        <v>244653</v>
      </c>
      <c r="H126" s="8" t="n">
        <v>690</v>
      </c>
      <c r="I126" s="8" t="n">
        <v>244373</v>
      </c>
      <c r="J126" s="11">
        <f>(I126-H126)/1000</f>
        <v/>
      </c>
      <c r="K126" s="7" t="inlineStr">
        <is>
          <t>Yes</t>
        </is>
      </c>
      <c r="L126" s="7" t="n">
        <v>60</v>
      </c>
      <c r="M126" s="12" t="inlineStr">
        <is>
          <t>- (full trip)</t>
        </is>
      </c>
    </row>
    <row r="127">
      <c r="A127" s="7" t="inlineStr">
        <is>
          <t>11 Jun</t>
        </is>
      </c>
      <c r="B127" s="7" t="inlineStr">
        <is>
          <t>37720</t>
        </is>
      </c>
      <c r="C127" s="7" t="n">
        <v>11834</v>
      </c>
      <c r="D127" s="7" t="n">
        <v>11793</v>
      </c>
      <c r="E127" s="7" t="n">
        <v>11785</v>
      </c>
      <c r="F127" s="8" t="n">
        <v>12127</v>
      </c>
      <c r="G127" s="8" t="n">
        <v>244599</v>
      </c>
      <c r="H127" s="8" t="n">
        <v>12127</v>
      </c>
      <c r="I127" s="8" t="n">
        <v>244346</v>
      </c>
      <c r="J127" s="11">
        <f>(I127-H127)/1000</f>
        <v/>
      </c>
      <c r="K127" s="7" t="inlineStr">
        <is>
          <t>Yes</t>
        </is>
      </c>
      <c r="L127" s="7" t="n">
        <v>55</v>
      </c>
      <c r="M127" s="12" t="inlineStr">
        <is>
          <t>Howrah, Howrah Sorting Yard, Liluah, Belur, Bally</t>
        </is>
      </c>
    </row>
    <row r="128" ht="34" customHeight="1">
      <c r="A128" s="7" t="inlineStr">
        <is>
          <t>11 Jun</t>
        </is>
      </c>
      <c r="B128" s="7" t="inlineStr">
        <is>
          <t>37778</t>
        </is>
      </c>
      <c r="C128" s="7" t="n">
        <v>18946</v>
      </c>
      <c r="D128" s="7" t="n">
        <v>18880</v>
      </c>
      <c r="E128" s="7" t="n">
        <v>18773</v>
      </c>
      <c r="F128" s="8" t="n">
        <v>33</v>
      </c>
      <c r="G128" s="8" t="n">
        <v>200120</v>
      </c>
      <c r="H128" s="8" t="n">
        <v>345</v>
      </c>
      <c r="I128" s="8" t="n">
        <v>200120</v>
      </c>
      <c r="J128" s="11">
        <f>(I128-H128)/1000</f>
        <v/>
      </c>
      <c r="K128" s="7" t="inlineStr">
        <is>
          <t>Yes</t>
        </is>
      </c>
      <c r="L128" s="7" t="n">
        <v>50</v>
      </c>
      <c r="M128" s="12" t="inlineStr">
        <is>
          <t>Barachak Jn, Sitarampur Central, Kulti, Barakar, Kumardubi, Mugma, Thaparnagar, Kalubathan, Chhota Ambana</t>
        </is>
      </c>
    </row>
    <row r="129" ht="34" customHeight="1">
      <c r="A129" s="7" t="inlineStr">
        <is>
          <t>11 Jun</t>
        </is>
      </c>
      <c r="B129" s="7" t="inlineStr">
        <is>
          <t>39133</t>
        </is>
      </c>
      <c r="C129" s="7" t="n">
        <v>12169</v>
      </c>
      <c r="D129" s="7" t="n">
        <v>12114</v>
      </c>
      <c r="E129" s="7" t="n">
        <v>11970</v>
      </c>
      <c r="F129" s="8" t="n">
        <v>29</v>
      </c>
      <c r="G129" s="8" t="n">
        <v>200090</v>
      </c>
      <c r="H129" s="8" t="n">
        <v>343</v>
      </c>
      <c r="I129" s="8" t="n">
        <v>200090</v>
      </c>
      <c r="J129" s="11">
        <f>(I129-H129)/1000</f>
        <v/>
      </c>
      <c r="K129" s="7" t="inlineStr">
        <is>
          <t>Yes</t>
        </is>
      </c>
      <c r="L129" s="7" t="n">
        <v>50</v>
      </c>
      <c r="M129" s="12" t="inlineStr">
        <is>
          <t>Barachak Jn, Sitarampur Central, Kulti, Barakar, Kumardubi, Mugma, Thaparnagar, Kalubathan, Chhota Ambana</t>
        </is>
      </c>
    </row>
    <row r="130" ht="34" customHeight="1">
      <c r="A130" s="7" t="inlineStr">
        <is>
          <t>11 Jun</t>
        </is>
      </c>
      <c r="B130" s="7" t="inlineStr">
        <is>
          <t>37908</t>
        </is>
      </c>
      <c r="C130" s="7" t="n">
        <v>7514</v>
      </c>
      <c r="D130" s="7" t="n">
        <v>7483</v>
      </c>
      <c r="E130" s="7" t="n">
        <v>7483</v>
      </c>
      <c r="F130" s="8" t="n">
        <v>688</v>
      </c>
      <c r="G130" s="8" t="n">
        <v>200094</v>
      </c>
      <c r="H130" s="8" t="n">
        <v>688</v>
      </c>
      <c r="I130" s="8" t="n">
        <v>200094</v>
      </c>
      <c r="J130" s="11">
        <f>(I130-H130)/1000</f>
        <v/>
      </c>
      <c r="K130" s="7" t="inlineStr">
        <is>
          <t>Yes</t>
        </is>
      </c>
      <c r="L130" s="7" t="n">
        <v>50</v>
      </c>
      <c r="M130" s="12" t="inlineStr">
        <is>
          <t>Barachak Jn, Sitarampur Central, Kulti, Barakar, Kumardubi, Mugma, Thaparnagar, Kalubathan, Chhota Ambana</t>
        </is>
      </c>
    </row>
    <row r="131" ht="34" customHeight="1">
      <c r="A131" s="7" t="inlineStr">
        <is>
          <t>11 Jun</t>
        </is>
      </c>
      <c r="B131" s="7" t="inlineStr">
        <is>
          <t>37859</t>
        </is>
      </c>
      <c r="C131" s="7" t="n">
        <v>7651</v>
      </c>
      <c r="D131" s="7" t="n">
        <v>7625</v>
      </c>
      <c r="E131" s="7" t="n">
        <v>7625</v>
      </c>
      <c r="F131" s="8" t="n">
        <v>688</v>
      </c>
      <c r="G131" s="8" t="n">
        <v>200089</v>
      </c>
      <c r="H131" s="8" t="n">
        <v>688</v>
      </c>
      <c r="I131" s="8" t="n">
        <v>200089</v>
      </c>
      <c r="J131" s="11">
        <f>(I131-H131)/1000</f>
        <v/>
      </c>
      <c r="K131" s="7" t="inlineStr">
        <is>
          <t>Yes</t>
        </is>
      </c>
      <c r="L131" s="7" t="n">
        <v>50</v>
      </c>
      <c r="M131" s="12" t="inlineStr">
        <is>
          <t>Barachak Jn, Sitarampur Central, Kulti, Barakar, Kumardubi, Mugma, Thaparnagar, Kalubathan, Chhota Ambana</t>
        </is>
      </c>
    </row>
    <row r="132" ht="34" customHeight="1">
      <c r="A132" s="7" t="inlineStr">
        <is>
          <t>11 Jun</t>
        </is>
      </c>
      <c r="B132" s="7" t="inlineStr">
        <is>
          <t>37185</t>
        </is>
      </c>
      <c r="C132" s="7" t="n">
        <v>10107</v>
      </c>
      <c r="D132" s="7" t="n">
        <v>9691</v>
      </c>
      <c r="E132" s="7" t="n">
        <v>9530</v>
      </c>
      <c r="F132" s="8" t="n">
        <v>40</v>
      </c>
      <c r="G132" s="8" t="n">
        <v>199538</v>
      </c>
      <c r="H132" s="8" t="n">
        <v>343</v>
      </c>
      <c r="I132" s="8" t="n">
        <v>199538</v>
      </c>
      <c r="J132" s="11">
        <f>(I132-H132)/1000</f>
        <v/>
      </c>
      <c r="K132" s="7" t="inlineStr">
        <is>
          <t>Yes</t>
        </is>
      </c>
      <c r="L132" s="7" t="n">
        <v>50</v>
      </c>
      <c r="M132" s="12" t="inlineStr">
        <is>
          <t>Barachak Jn, Sitarampur Central, Kulti, Barakar, Kumardubi, Mugma, Thaparnagar, Kalubathan, Chhota Ambana</t>
        </is>
      </c>
    </row>
    <row r="133" ht="34" customHeight="1">
      <c r="A133" s="7" t="inlineStr">
        <is>
          <t>11 Jun</t>
        </is>
      </c>
      <c r="B133" s="7" t="inlineStr">
        <is>
          <t>37860</t>
        </is>
      </c>
      <c r="C133" s="7" t="n">
        <v>9897</v>
      </c>
      <c r="D133" s="7" t="n">
        <v>9830</v>
      </c>
      <c r="E133" s="7" t="n">
        <v>9667</v>
      </c>
      <c r="F133" s="8" t="n">
        <v>44</v>
      </c>
      <c r="G133" s="8" t="n">
        <v>199382</v>
      </c>
      <c r="H133" s="8" t="n">
        <v>342</v>
      </c>
      <c r="I133" s="8" t="n">
        <v>199382</v>
      </c>
      <c r="J133" s="11">
        <f>(I133-H133)/1000</f>
        <v/>
      </c>
      <c r="K133" s="7" t="inlineStr">
        <is>
          <t>Yes</t>
        </is>
      </c>
      <c r="L133" s="7" t="n">
        <v>50</v>
      </c>
      <c r="M133" s="12" t="inlineStr">
        <is>
          <t>Barachak Jn, Sitarampur Central, Kulti, Barakar, Kumardubi, Mugma, Thaparnagar, Kalubathan, Chhota Ambana</t>
        </is>
      </c>
    </row>
    <row r="134" ht="64" customHeight="1">
      <c r="A134" s="7" t="inlineStr">
        <is>
          <t>11 Jun</t>
        </is>
      </c>
      <c r="B134" s="7" t="inlineStr">
        <is>
          <t>37401</t>
        </is>
      </c>
      <c r="C134" s="7" t="n">
        <v>6509</v>
      </c>
      <c r="D134" s="7" t="n">
        <v>6505</v>
      </c>
      <c r="E134" s="7" t="n">
        <v>6505</v>
      </c>
      <c r="F134" s="8" t="n">
        <v>23352</v>
      </c>
      <c r="G134" s="8" t="n">
        <v>200081</v>
      </c>
      <c r="H134" s="8" t="n">
        <v>23352</v>
      </c>
      <c r="I134" s="8" t="n">
        <v>200081</v>
      </c>
      <c r="J134" s="11">
        <f>(I134-H134)/1000</f>
        <v/>
      </c>
      <c r="K134" s="7" t="inlineStr">
        <is>
          <t>Yes</t>
        </is>
      </c>
      <c r="L134" s="7" t="n">
        <v>41</v>
      </c>
      <c r="M134" s="12" t="inlineStr">
        <is>
          <t>Howrah, Howrah Sorting Yard, Liluah, Belur, Bally, Belanagar, Dankuni, LC-12, Janai Road, Barachak Jn, Sitarampur Central, Kulti, Barakar, Kumardubi, Mugma, Thaparnagar, Kalubathan, LC-12, Chhota Ambana</t>
        </is>
      </c>
    </row>
    <row r="135" ht="109" customHeight="1">
      <c r="A135" s="7" t="inlineStr">
        <is>
          <t>11 Jun</t>
        </is>
      </c>
      <c r="B135" s="7" t="inlineStr">
        <is>
          <t>37585</t>
        </is>
      </c>
      <c r="C135" s="7" t="n">
        <v>4061</v>
      </c>
      <c r="D135" s="7" t="n">
        <v>4057</v>
      </c>
      <c r="E135" s="7" t="n">
        <v>4057</v>
      </c>
      <c r="F135" s="8" t="n">
        <v>100003</v>
      </c>
      <c r="G135" s="8" t="n">
        <v>200095</v>
      </c>
      <c r="H135" s="8" t="n">
        <v>100003</v>
      </c>
      <c r="I135" s="8" t="n">
        <v>200095</v>
      </c>
      <c r="J135" s="11">
        <f>(I135-H135)/1000</f>
        <v/>
      </c>
      <c r="K135" s="7" t="inlineStr">
        <is>
          <t>Yes</t>
        </is>
      </c>
      <c r="L135" s="7" t="n">
        <v>24</v>
      </c>
      <c r="M135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Barachak Jn, Sitarampur Central, Kulti, Barakar, Kumardubi, Mugma, Thaparnagar, Kalubathan, LC-12, Chhota Ambana</t>
        </is>
      </c>
    </row>
    <row r="136" ht="94" customHeight="1">
      <c r="A136" s="7" t="inlineStr">
        <is>
          <t>11 Jun</t>
        </is>
      </c>
      <c r="B136" s="7" t="inlineStr">
        <is>
          <t>39178</t>
        </is>
      </c>
      <c r="C136" s="7" t="n">
        <v>4334</v>
      </c>
      <c r="D136" s="7" t="n">
        <v>3701</v>
      </c>
      <c r="E136" s="7" t="n">
        <v>3701</v>
      </c>
      <c r="F136" s="8" t="n">
        <v>350</v>
      </c>
      <c r="G136" s="8" t="n">
        <v>94757</v>
      </c>
      <c r="H136" s="8" t="n">
        <v>350</v>
      </c>
      <c r="I136" s="8" t="n">
        <v>94757</v>
      </c>
      <c r="J136" s="11">
        <f>(I136-H136)/1000</f>
        <v/>
      </c>
      <c r="K136" s="7" t="inlineStr">
        <is>
          <t>Yes</t>
        </is>
      </c>
      <c r="L136" s="7" t="n">
        <v>26</v>
      </c>
      <c r="M136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7" ht="94" customHeight="1">
      <c r="A137" s="7" t="inlineStr">
        <is>
          <t>11 Jun</t>
        </is>
      </c>
      <c r="B137" s="7" t="inlineStr">
        <is>
          <t>30639</t>
        </is>
      </c>
      <c r="C137" s="7" t="n">
        <v>8905</v>
      </c>
      <c r="D137" s="7" t="n">
        <v>8839</v>
      </c>
      <c r="E137" s="7" t="n">
        <v>8677</v>
      </c>
      <c r="F137" s="8" t="n">
        <v>46</v>
      </c>
      <c r="G137" s="8" t="n">
        <v>94114</v>
      </c>
      <c r="H137" s="8" t="n">
        <v>344</v>
      </c>
      <c r="I137" s="8" t="n">
        <v>94114</v>
      </c>
      <c r="J137" s="11">
        <f>(I137-H137)/1000</f>
        <v/>
      </c>
      <c r="K137" s="7" t="inlineStr">
        <is>
          <t>Yes</t>
        </is>
      </c>
      <c r="L137" s="7" t="n">
        <v>26</v>
      </c>
      <c r="M137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8" ht="94" customHeight="1">
      <c r="A138" s="7" t="inlineStr">
        <is>
          <t>11 Jun</t>
        </is>
      </c>
      <c r="B138" s="7" t="inlineStr">
        <is>
          <t>37014</t>
        </is>
      </c>
      <c r="C138" s="7" t="n">
        <v>5340</v>
      </c>
      <c r="D138" s="7" t="n">
        <v>5318</v>
      </c>
      <c r="E138" s="7" t="n">
        <v>5183</v>
      </c>
      <c r="F138" s="8" t="n">
        <v>85</v>
      </c>
      <c r="G138" s="8" t="n">
        <v>94113</v>
      </c>
      <c r="H138" s="8" t="n">
        <v>342</v>
      </c>
      <c r="I138" s="8" t="n">
        <v>94113</v>
      </c>
      <c r="J138" s="11">
        <f>(I138-H138)/1000</f>
        <v/>
      </c>
      <c r="K138" s="7" t="inlineStr">
        <is>
          <t>Yes</t>
        </is>
      </c>
      <c r="L138" s="7" t="n">
        <v>26</v>
      </c>
      <c r="M138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9" ht="94" customHeight="1">
      <c r="A139" s="7" t="inlineStr">
        <is>
          <t>11 Jun</t>
        </is>
      </c>
      <c r="B139" s="7" t="inlineStr">
        <is>
          <t>37168</t>
        </is>
      </c>
      <c r="C139" s="7" t="n">
        <v>4732</v>
      </c>
      <c r="D139" s="7" t="n">
        <v>4705</v>
      </c>
      <c r="E139" s="7" t="n">
        <v>4561</v>
      </c>
      <c r="F139" s="8" t="n">
        <v>33</v>
      </c>
      <c r="G139" s="8" t="n">
        <v>94115</v>
      </c>
      <c r="H139" s="8" t="n">
        <v>344</v>
      </c>
      <c r="I139" s="8" t="n">
        <v>94115</v>
      </c>
      <c r="J139" s="11">
        <f>(I139-H139)/1000</f>
        <v/>
      </c>
      <c r="K139" s="7" t="inlineStr">
        <is>
          <t>Yes</t>
        </is>
      </c>
      <c r="L139" s="7" t="n">
        <v>26</v>
      </c>
      <c r="M139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40" ht="94" customHeight="1">
      <c r="A140" s="7" t="inlineStr">
        <is>
          <t>11 Jun</t>
        </is>
      </c>
      <c r="B140" s="7" t="inlineStr">
        <is>
          <t>30200</t>
        </is>
      </c>
      <c r="C140" s="7" t="n">
        <v>4049</v>
      </c>
      <c r="D140" s="7" t="n">
        <v>4032</v>
      </c>
      <c r="E140" s="7" t="n">
        <v>4032</v>
      </c>
      <c r="F140" s="8" t="n">
        <v>1450</v>
      </c>
      <c r="G140" s="8" t="n">
        <v>94109</v>
      </c>
      <c r="H140" s="8" t="n">
        <v>1450</v>
      </c>
      <c r="I140" s="8" t="n">
        <v>94109</v>
      </c>
      <c r="J140" s="11">
        <f>(I140-H140)/1000</f>
        <v/>
      </c>
      <c r="K140" s="7" t="inlineStr">
        <is>
          <t>Yes</t>
        </is>
      </c>
      <c r="L140" s="7" t="n">
        <v>26</v>
      </c>
      <c r="M140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41" ht="109" customHeight="1">
      <c r="A141" s="7" t="inlineStr">
        <is>
          <t>11 Jun</t>
        </is>
      </c>
      <c r="B141" s="7" t="inlineStr">
        <is>
          <t>30328</t>
        </is>
      </c>
      <c r="C141" s="7" t="n">
        <v>3072</v>
      </c>
      <c r="D141" s="7" t="n">
        <v>3067</v>
      </c>
      <c r="E141" s="7" t="n">
        <v>3067</v>
      </c>
      <c r="F141" s="8" t="n">
        <v>12113</v>
      </c>
      <c r="G141" s="8" t="n">
        <v>94752</v>
      </c>
      <c r="H141" s="8" t="n">
        <v>12113</v>
      </c>
      <c r="I141" s="8" t="n">
        <v>94752</v>
      </c>
      <c r="J141" s="11">
        <f>(I141-H141)/1000</f>
        <v/>
      </c>
      <c r="K141" s="7" t="inlineStr">
        <is>
          <t>Yes</t>
        </is>
      </c>
      <c r="L141" s="7" t="n">
        <v>21</v>
      </c>
      <c r="M141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42" ht="109" customHeight="1">
      <c r="A142" s="7" t="inlineStr">
        <is>
          <t>11 Jun</t>
        </is>
      </c>
      <c r="B142" s="7" t="inlineStr">
        <is>
          <t>30742</t>
        </is>
      </c>
      <c r="C142" s="7" t="n">
        <v>3182</v>
      </c>
      <c r="D142" s="7" t="n">
        <v>3176</v>
      </c>
      <c r="E142" s="7" t="n">
        <v>3176</v>
      </c>
      <c r="F142" s="8" t="n">
        <v>12118</v>
      </c>
      <c r="G142" s="8" t="n">
        <v>94665</v>
      </c>
      <c r="H142" s="8" t="n">
        <v>12118</v>
      </c>
      <c r="I142" s="8" t="n">
        <v>94665</v>
      </c>
      <c r="J142" s="11">
        <f>(I142-H142)/1000</f>
        <v/>
      </c>
      <c r="K142" s="7" t="inlineStr">
        <is>
          <t>Yes</t>
        </is>
      </c>
      <c r="L142" s="7" t="n">
        <v>21</v>
      </c>
      <c r="M142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43" ht="109" customHeight="1">
      <c r="A143" s="7" t="inlineStr">
        <is>
          <t>11 Jun</t>
        </is>
      </c>
      <c r="B143" s="7" t="inlineStr">
        <is>
          <t>30322</t>
        </is>
      </c>
      <c r="C143" s="7" t="n">
        <v>3028</v>
      </c>
      <c r="D143" s="7" t="n">
        <v>3023</v>
      </c>
      <c r="E143" s="7" t="n">
        <v>3023</v>
      </c>
      <c r="F143" s="8" t="n">
        <v>12159</v>
      </c>
      <c r="G143" s="8" t="n">
        <v>94637</v>
      </c>
      <c r="H143" s="8" t="n">
        <v>12159</v>
      </c>
      <c r="I143" s="8" t="n">
        <v>94637</v>
      </c>
      <c r="J143" s="11">
        <f>(I143-H143)/1000</f>
        <v/>
      </c>
      <c r="K143" s="7" t="inlineStr">
        <is>
          <t>Yes</t>
        </is>
      </c>
      <c r="L143" s="7" t="n">
        <v>21</v>
      </c>
      <c r="M143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44" ht="109" customHeight="1">
      <c r="A144" s="7" t="inlineStr">
        <is>
          <t>11 Jun</t>
        </is>
      </c>
      <c r="B144" s="7" t="inlineStr">
        <is>
          <t>30487</t>
        </is>
      </c>
      <c r="C144" s="7" t="n">
        <v>3170</v>
      </c>
      <c r="D144" s="7" t="n">
        <v>3164</v>
      </c>
      <c r="E144" s="7" t="n">
        <v>3164</v>
      </c>
      <c r="F144" s="8" t="n">
        <v>12133</v>
      </c>
      <c r="G144" s="8" t="n">
        <v>94600</v>
      </c>
      <c r="H144" s="8" t="n">
        <v>12133</v>
      </c>
      <c r="I144" s="8" t="n">
        <v>94600</v>
      </c>
      <c r="J144" s="11">
        <f>(I144-H144)/1000</f>
        <v/>
      </c>
      <c r="K144" s="7" t="inlineStr">
        <is>
          <t>Yes</t>
        </is>
      </c>
      <c r="L144" s="7" t="n">
        <v>21</v>
      </c>
      <c r="M144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45" ht="109" customHeight="1">
      <c r="A145" s="7" t="inlineStr">
        <is>
          <t>11 Jun</t>
        </is>
      </c>
      <c r="B145" s="7" t="inlineStr">
        <is>
          <t>37081</t>
        </is>
      </c>
      <c r="C145" s="7" t="n">
        <v>3632</v>
      </c>
      <c r="D145" s="7" t="n">
        <v>3606</v>
      </c>
      <c r="E145" s="7" t="n">
        <v>3606</v>
      </c>
      <c r="F145" s="8" t="n">
        <v>350</v>
      </c>
      <c r="G145" s="8" t="n">
        <v>56652</v>
      </c>
      <c r="H145" s="8" t="n">
        <v>350</v>
      </c>
      <c r="I145" s="8" t="n">
        <v>56652</v>
      </c>
      <c r="J145" s="11">
        <f>(I145-H145)/1000</f>
        <v/>
      </c>
      <c r="K145" s="7" t="inlineStr">
        <is>
          <t>Yes</t>
        </is>
      </c>
      <c r="L145" s="7" t="n">
        <v>18</v>
      </c>
      <c r="M145" s="12" t="inlineStr">
        <is>
          <t>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46" ht="124" customHeight="1">
      <c r="A146" s="7" t="inlineStr">
        <is>
          <t>11 Jun</t>
        </is>
      </c>
      <c r="B146" s="7" t="inlineStr">
        <is>
          <t>30327</t>
        </is>
      </c>
      <c r="C146" s="7" t="n">
        <v>1744</v>
      </c>
      <c r="D146" s="7" t="n">
        <v>1743</v>
      </c>
      <c r="E146" s="7" t="n">
        <v>1743</v>
      </c>
      <c r="F146" s="8" t="n">
        <v>12125</v>
      </c>
      <c r="G146" s="8" t="n">
        <v>60267</v>
      </c>
      <c r="H146" s="8" t="n">
        <v>12125</v>
      </c>
      <c r="I146" s="8" t="n">
        <v>60267</v>
      </c>
      <c r="J146" s="11">
        <f>(I146-H146)/1000</f>
        <v/>
      </c>
      <c r="K146" s="7" t="inlineStr">
        <is>
          <t>Yes</t>
        </is>
      </c>
      <c r="L146" s="7" t="n">
        <v>14</v>
      </c>
      <c r="M146" s="12" t="inlineStr">
        <is>
          <t>Howrah, Howrah Sorting Yard, Liluah, Belur, Bally,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47" ht="124" customHeight="1">
      <c r="A147" s="7" t="inlineStr">
        <is>
          <t>11 Jun</t>
        </is>
      </c>
      <c r="B147" s="7" t="inlineStr">
        <is>
          <t>39132</t>
        </is>
      </c>
      <c r="C147" s="7" t="n">
        <v>2458</v>
      </c>
      <c r="D147" s="7" t="n">
        <v>2274</v>
      </c>
      <c r="E147" s="7" t="n">
        <v>2274</v>
      </c>
      <c r="F147" s="8" t="n">
        <v>464</v>
      </c>
      <c r="G147" s="8" t="n">
        <v>47004</v>
      </c>
      <c r="H147" s="8" t="n">
        <v>464</v>
      </c>
      <c r="I147" s="8" t="n">
        <v>47004</v>
      </c>
      <c r="J147" s="11">
        <f>(I147-H147)/1000</f>
        <v/>
      </c>
      <c r="K147" s="7" t="inlineStr">
        <is>
          <t>Yes</t>
        </is>
      </c>
      <c r="L147" s="7" t="n">
        <v>15</v>
      </c>
      <c r="M147" s="12" t="inlineStr">
        <is>
          <t>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48" ht="139" customHeight="1">
      <c r="A148" s="7" t="inlineStr">
        <is>
          <t>11 Jun</t>
        </is>
      </c>
      <c r="B148" s="7" t="inlineStr">
        <is>
          <t>30686</t>
        </is>
      </c>
      <c r="C148" s="7" t="n">
        <v>1067</v>
      </c>
      <c r="D148" s="7" t="n">
        <v>1012</v>
      </c>
      <c r="E148" s="7" t="n">
        <v>1012</v>
      </c>
      <c r="F148" s="8" t="n">
        <v>350</v>
      </c>
      <c r="G148" s="8" t="n">
        <v>13368</v>
      </c>
      <c r="H148" s="8" t="n">
        <v>350</v>
      </c>
      <c r="I148" s="8" t="n">
        <v>13368</v>
      </c>
      <c r="J148" s="11">
        <f>(I148-H148)/1000</f>
        <v/>
      </c>
      <c r="K148" s="7" t="inlineStr">
        <is>
          <t>Yes</t>
        </is>
      </c>
      <c r="L148" s="7" t="n">
        <v>7</v>
      </c>
      <c r="M148" s="12" t="inlineStr">
        <is>
          <t>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  ...(+3 more)</t>
        </is>
      </c>
    </row>
    <row r="149" ht="139" customHeight="1">
      <c r="A149" s="7" t="inlineStr">
        <is>
          <t>11 Jun</t>
        </is>
      </c>
      <c r="B149" s="7" t="inlineStr">
        <is>
          <t>30676</t>
        </is>
      </c>
      <c r="C149" s="7" t="n">
        <v>44</v>
      </c>
      <c r="D149" s="7" t="n">
        <v>43</v>
      </c>
      <c r="E149" s="7" t="n">
        <v>43</v>
      </c>
      <c r="F149" s="8" t="n">
        <v>12113</v>
      </c>
      <c r="G149" s="8" t="n">
        <v>12748</v>
      </c>
      <c r="H149" s="8" t="n">
        <v>12113</v>
      </c>
      <c r="I149" s="8" t="n">
        <v>12748</v>
      </c>
      <c r="J149" s="11">
        <f>(I149-H149)/1000</f>
        <v/>
      </c>
      <c r="K149" s="7" t="inlineStr">
        <is>
          <t>Yes</t>
        </is>
      </c>
      <c r="L149" s="7" t="n">
        <v>2</v>
      </c>
      <c r="M149" s="12" t="inlineStr">
        <is>
          <t>Howrah, Howrah Sorting Yard, Liluah, Belur, Bally,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150" ht="139" customHeight="1">
      <c r="A150" s="9" t="inlineStr">
        <is>
          <t>11 Jun</t>
        </is>
      </c>
      <c r="B150" s="9" t="inlineStr">
        <is>
          <t>35049</t>
        </is>
      </c>
      <c r="C150" s="9" t="n">
        <v>6</v>
      </c>
      <c r="D150" s="9" t="n">
        <v>0</v>
      </c>
      <c r="E150" s="9" t="n">
        <v>0</v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3" t="n">
        <v>0</v>
      </c>
      <c r="K150" s="9" t="inlineStr">
        <is>
          <t>No</t>
        </is>
      </c>
      <c r="L150" s="9" t="n">
        <v>0</v>
      </c>
      <c r="M150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51" ht="139" customHeight="1">
      <c r="A151" s="9" t="inlineStr">
        <is>
          <t>11 Jun</t>
        </is>
      </c>
      <c r="B151" s="9" t="inlineStr">
        <is>
          <t>37024</t>
        </is>
      </c>
      <c r="C151" s="9" t="n">
        <v>36</v>
      </c>
      <c r="D151" s="9" t="n">
        <v>31</v>
      </c>
      <c r="E151" s="9" t="n">
        <v>31</v>
      </c>
      <c r="F151" s="10" t="n">
        <v>350</v>
      </c>
      <c r="G151" s="10" t="n">
        <v>350</v>
      </c>
      <c r="H151" s="10" t="n">
        <v>350</v>
      </c>
      <c r="I151" s="10" t="n">
        <v>350</v>
      </c>
      <c r="J151" s="13">
        <f>(I151-H151)/1000</f>
        <v/>
      </c>
      <c r="K151" s="9" t="inlineStr">
        <is>
          <t>No</t>
        </is>
      </c>
      <c r="L151" s="9" t="n">
        <v>1</v>
      </c>
      <c r="M151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52" ht="139" customHeight="1">
      <c r="A152" s="9" t="inlineStr">
        <is>
          <t>11 Jun</t>
        </is>
      </c>
      <c r="B152" s="9" t="inlineStr">
        <is>
          <t>37246</t>
        </is>
      </c>
      <c r="C152" s="9" t="n">
        <v>25</v>
      </c>
      <c r="D152" s="9" t="n">
        <v>20</v>
      </c>
      <c r="E152" s="9" t="n">
        <v>20</v>
      </c>
      <c r="F152" s="10" t="n">
        <v>350</v>
      </c>
      <c r="G152" s="10" t="n">
        <v>350</v>
      </c>
      <c r="H152" s="10" t="n">
        <v>350</v>
      </c>
      <c r="I152" s="10" t="n">
        <v>350</v>
      </c>
      <c r="J152" s="13">
        <f>(I152-H152)/1000</f>
        <v/>
      </c>
      <c r="K152" s="9" t="inlineStr">
        <is>
          <t>No</t>
        </is>
      </c>
      <c r="L152" s="9" t="n">
        <v>1</v>
      </c>
      <c r="M152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53" ht="139" customHeight="1">
      <c r="A153" s="9" t="inlineStr">
        <is>
          <t>11 Jun</t>
        </is>
      </c>
      <c r="B153" s="9" t="inlineStr">
        <is>
          <t>37269</t>
        </is>
      </c>
      <c r="C153" s="9" t="n">
        <v>1</v>
      </c>
      <c r="D153" s="9" t="n">
        <v>0</v>
      </c>
      <c r="E153" s="9" t="n">
        <v>0</v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3" t="n">
        <v>0</v>
      </c>
      <c r="K153" s="9" t="inlineStr">
        <is>
          <t>No</t>
        </is>
      </c>
      <c r="L153" s="9" t="n">
        <v>0</v>
      </c>
      <c r="M153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54" ht="139" customHeight="1">
      <c r="A154" s="9" t="inlineStr">
        <is>
          <t>11 Jun</t>
        </is>
      </c>
      <c r="B154" s="9" t="inlineStr">
        <is>
          <t>37403</t>
        </is>
      </c>
      <c r="C154" s="9" t="n">
        <v>5</v>
      </c>
      <c r="D154" s="9" t="n">
        <v>0</v>
      </c>
      <c r="E154" s="9" t="n">
        <v>0</v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3" t="n">
        <v>0</v>
      </c>
      <c r="K154" s="9" t="inlineStr">
        <is>
          <t>No</t>
        </is>
      </c>
      <c r="L154" s="9" t="n">
        <v>0</v>
      </c>
      <c r="M154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55" ht="139" customHeight="1">
      <c r="A155" s="9" t="inlineStr">
        <is>
          <t>11 Jun</t>
        </is>
      </c>
      <c r="B155" s="9" t="inlineStr">
        <is>
          <t>37545</t>
        </is>
      </c>
      <c r="C155" s="9" t="n">
        <v>10</v>
      </c>
      <c r="D155" s="9" t="n">
        <v>0</v>
      </c>
      <c r="E155" s="9" t="n">
        <v>0</v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3" t="n">
        <v>0</v>
      </c>
      <c r="K155" s="9" t="inlineStr">
        <is>
          <t>No</t>
        </is>
      </c>
      <c r="L155" s="9" t="n">
        <v>0</v>
      </c>
      <c r="M15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56" ht="139" customHeight="1">
      <c r="A156" s="9" t="inlineStr">
        <is>
          <t>11 Jun</t>
        </is>
      </c>
      <c r="B156" s="9" t="inlineStr">
        <is>
          <t>38195</t>
        </is>
      </c>
      <c r="C156" s="9" t="n">
        <v>32</v>
      </c>
      <c r="D156" s="9" t="n">
        <v>0</v>
      </c>
      <c r="E156" s="9" t="n">
        <v>0</v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3" t="n">
        <v>0</v>
      </c>
      <c r="K156" s="9" t="inlineStr">
        <is>
          <t>No</t>
        </is>
      </c>
      <c r="L156" s="9" t="n">
        <v>0</v>
      </c>
      <c r="M15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57" ht="139" customHeight="1">
      <c r="A157" s="9" t="inlineStr">
        <is>
          <t>11 Jun</t>
        </is>
      </c>
      <c r="B157" s="9" t="inlineStr">
        <is>
          <t>38842</t>
        </is>
      </c>
      <c r="C157" s="9" t="n">
        <v>2</v>
      </c>
      <c r="D157" s="9" t="n">
        <v>0</v>
      </c>
      <c r="E157" s="9" t="n">
        <v>0</v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3" t="n">
        <v>0</v>
      </c>
      <c r="K157" s="9" t="inlineStr">
        <is>
          <t>No</t>
        </is>
      </c>
      <c r="L157" s="9" t="n">
        <v>0</v>
      </c>
      <c r="M15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58" ht="139" customHeight="1">
      <c r="A158" s="9" t="inlineStr">
        <is>
          <t>11 Jun</t>
        </is>
      </c>
      <c r="B158" s="9" t="inlineStr">
        <is>
          <t>39095</t>
        </is>
      </c>
      <c r="C158" s="9" t="n">
        <v>5</v>
      </c>
      <c r="D158" s="9" t="n">
        <v>0</v>
      </c>
      <c r="E158" s="9" t="n">
        <v>0</v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3" t="n">
        <v>0</v>
      </c>
      <c r="K158" s="9" t="inlineStr">
        <is>
          <t>No</t>
        </is>
      </c>
      <c r="L158" s="9" t="n">
        <v>0</v>
      </c>
      <c r="M15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59">
      <c r="A159" s="7" t="inlineStr">
        <is>
          <t>12 Jun</t>
        </is>
      </c>
      <c r="B159" s="7" t="inlineStr">
        <is>
          <t>37042</t>
        </is>
      </c>
      <c r="C159" s="7" t="n">
        <v>15481</v>
      </c>
      <c r="D159" s="7" t="n">
        <v>15077</v>
      </c>
      <c r="E159" s="7" t="n">
        <v>14841</v>
      </c>
      <c r="F159" s="8" t="n">
        <v>23</v>
      </c>
      <c r="G159" s="8" t="n">
        <v>244620</v>
      </c>
      <c r="H159" s="8" t="n">
        <v>342</v>
      </c>
      <c r="I159" s="8" t="n">
        <v>244375</v>
      </c>
      <c r="J159" s="11">
        <f>(I159-H159)/1000</f>
        <v/>
      </c>
      <c r="K159" s="7" t="inlineStr">
        <is>
          <t>Yes</t>
        </is>
      </c>
      <c r="L159" s="7" t="n">
        <v>60</v>
      </c>
      <c r="M159" s="12" t="inlineStr">
        <is>
          <t>- (full trip)</t>
        </is>
      </c>
    </row>
    <row r="160">
      <c r="A160" s="7" t="inlineStr">
        <is>
          <t>12 Jun</t>
        </is>
      </c>
      <c r="B160" s="7" t="inlineStr">
        <is>
          <t>37081</t>
        </is>
      </c>
      <c r="C160" s="7" t="n">
        <v>23354</v>
      </c>
      <c r="D160" s="7" t="n">
        <v>23320</v>
      </c>
      <c r="E160" s="7" t="n">
        <v>23103</v>
      </c>
      <c r="F160" s="8" t="n">
        <v>44</v>
      </c>
      <c r="G160" s="8" t="n">
        <v>246089</v>
      </c>
      <c r="H160" s="8" t="n">
        <v>343</v>
      </c>
      <c r="I160" s="8" t="n">
        <v>244374</v>
      </c>
      <c r="J160" s="11">
        <f>(I160-H160)/1000</f>
        <v/>
      </c>
      <c r="K160" s="7" t="inlineStr">
        <is>
          <t>Yes</t>
        </is>
      </c>
      <c r="L160" s="7" t="n">
        <v>60</v>
      </c>
      <c r="M160" s="12" t="inlineStr">
        <is>
          <t>- (full trip)</t>
        </is>
      </c>
    </row>
    <row r="161">
      <c r="A161" s="7" t="inlineStr">
        <is>
          <t>12 Jun</t>
        </is>
      </c>
      <c r="B161" s="7" t="inlineStr">
        <is>
          <t>37778</t>
        </is>
      </c>
      <c r="C161" s="7" t="n">
        <v>17975</v>
      </c>
      <c r="D161" s="7" t="n">
        <v>17908</v>
      </c>
      <c r="E161" s="7" t="n">
        <v>17753</v>
      </c>
      <c r="F161" s="8" t="n">
        <v>40</v>
      </c>
      <c r="G161" s="8" t="n">
        <v>244644</v>
      </c>
      <c r="H161" s="8" t="n">
        <v>342</v>
      </c>
      <c r="I161" s="8" t="n">
        <v>244375</v>
      </c>
      <c r="J161" s="11">
        <f>(I161-H161)/1000</f>
        <v/>
      </c>
      <c r="K161" s="7" t="inlineStr">
        <is>
          <t>Yes</t>
        </is>
      </c>
      <c r="L161" s="7" t="n">
        <v>60</v>
      </c>
      <c r="M161" s="12" t="inlineStr">
        <is>
          <t>- (full trip)</t>
        </is>
      </c>
    </row>
    <row r="162">
      <c r="A162" s="7" t="inlineStr">
        <is>
          <t>12 Jun</t>
        </is>
      </c>
      <c r="B162" s="7" t="inlineStr">
        <is>
          <t>37040</t>
        </is>
      </c>
      <c r="C162" s="7" t="n">
        <v>9739</v>
      </c>
      <c r="D162" s="7" t="n">
        <v>9714</v>
      </c>
      <c r="E162" s="7" t="n">
        <v>9677</v>
      </c>
      <c r="F162" s="8" t="n">
        <v>331</v>
      </c>
      <c r="G162" s="8" t="n">
        <v>244559</v>
      </c>
      <c r="H162" s="8" t="n">
        <v>342</v>
      </c>
      <c r="I162" s="8" t="n">
        <v>244364</v>
      </c>
      <c r="J162" s="11">
        <f>(I162-H162)/1000</f>
        <v/>
      </c>
      <c r="K162" s="7" t="inlineStr">
        <is>
          <t>Yes</t>
        </is>
      </c>
      <c r="L162" s="7" t="n">
        <v>60</v>
      </c>
      <c r="M162" s="12" t="inlineStr">
        <is>
          <t>- (full trip)</t>
        </is>
      </c>
    </row>
    <row r="163">
      <c r="A163" s="7" t="inlineStr">
        <is>
          <t>12 Jun</t>
        </is>
      </c>
      <c r="B163" s="7" t="inlineStr">
        <is>
          <t>39135</t>
        </is>
      </c>
      <c r="C163" s="7" t="n">
        <v>11331</v>
      </c>
      <c r="D163" s="7" t="n">
        <v>11322</v>
      </c>
      <c r="E163" s="7" t="n">
        <v>11111</v>
      </c>
      <c r="F163" s="8" t="n">
        <v>22</v>
      </c>
      <c r="G163" s="8" t="n">
        <v>246079</v>
      </c>
      <c r="H163" s="8" t="n">
        <v>343</v>
      </c>
      <c r="I163" s="8" t="n">
        <v>244347</v>
      </c>
      <c r="J163" s="11">
        <f>(I163-H163)/1000</f>
        <v/>
      </c>
      <c r="K163" s="7" t="inlineStr">
        <is>
          <t>Yes</t>
        </is>
      </c>
      <c r="L163" s="7" t="n">
        <v>60</v>
      </c>
      <c r="M163" s="12" t="inlineStr">
        <is>
          <t>- (full trip)</t>
        </is>
      </c>
    </row>
    <row r="164">
      <c r="A164" s="7" t="inlineStr">
        <is>
          <t>12 Jun</t>
        </is>
      </c>
      <c r="B164" s="7" t="inlineStr">
        <is>
          <t>37403</t>
        </is>
      </c>
      <c r="C164" s="7" t="n">
        <v>8553</v>
      </c>
      <c r="D164" s="7" t="n">
        <v>8538</v>
      </c>
      <c r="E164" s="7" t="n">
        <v>8538</v>
      </c>
      <c r="F164" s="8" t="n">
        <v>445</v>
      </c>
      <c r="G164" s="8" t="n">
        <v>244318</v>
      </c>
      <c r="H164" s="8" t="n">
        <v>445</v>
      </c>
      <c r="I164" s="8" t="n">
        <v>244318</v>
      </c>
      <c r="J164" s="11">
        <f>(I164-H164)/1000</f>
        <v/>
      </c>
      <c r="K164" s="7" t="inlineStr">
        <is>
          <t>Yes</t>
        </is>
      </c>
      <c r="L164" s="7" t="n">
        <v>60</v>
      </c>
      <c r="M164" s="12" t="inlineStr">
        <is>
          <t>- (full trip)</t>
        </is>
      </c>
    </row>
    <row r="165">
      <c r="A165" s="7" t="inlineStr">
        <is>
          <t>12 Jun</t>
        </is>
      </c>
      <c r="B165" s="7" t="inlineStr">
        <is>
          <t>37609</t>
        </is>
      </c>
      <c r="C165" s="7" t="n">
        <v>8379</v>
      </c>
      <c r="D165" s="7" t="n">
        <v>8374</v>
      </c>
      <c r="E165" s="7" t="n">
        <v>8363</v>
      </c>
      <c r="F165" s="8" t="n">
        <v>12113</v>
      </c>
      <c r="G165" s="8" t="n">
        <v>244621</v>
      </c>
      <c r="H165" s="8" t="n">
        <v>12113</v>
      </c>
      <c r="I165" s="8" t="n">
        <v>244370</v>
      </c>
      <c r="J165" s="11">
        <f>(I165-H165)/1000</f>
        <v/>
      </c>
      <c r="K165" s="7" t="inlineStr">
        <is>
          <t>Yes</t>
        </is>
      </c>
      <c r="L165" s="7" t="n">
        <v>55</v>
      </c>
      <c r="M165" s="12" t="inlineStr">
        <is>
          <t>Howrah, Howrah Sorting Yard, Liluah, Belur, Bally</t>
        </is>
      </c>
    </row>
    <row r="166">
      <c r="A166" s="7" t="inlineStr">
        <is>
          <t>12 Jun</t>
        </is>
      </c>
      <c r="B166" s="7" t="inlineStr">
        <is>
          <t>30204</t>
        </is>
      </c>
      <c r="C166" s="7" t="n">
        <v>10118</v>
      </c>
      <c r="D166" s="7" t="n">
        <v>10112</v>
      </c>
      <c r="E166" s="7" t="n">
        <v>10104</v>
      </c>
      <c r="F166" s="8" t="n">
        <v>12159</v>
      </c>
      <c r="G166" s="8" t="n">
        <v>244611</v>
      </c>
      <c r="H166" s="8" t="n">
        <v>12159</v>
      </c>
      <c r="I166" s="8" t="n">
        <v>244367</v>
      </c>
      <c r="J166" s="11">
        <f>(I166-H166)/1000</f>
        <v/>
      </c>
      <c r="K166" s="7" t="inlineStr">
        <is>
          <t>Yes</t>
        </is>
      </c>
      <c r="L166" s="7" t="n">
        <v>55</v>
      </c>
      <c r="M166" s="12" t="inlineStr">
        <is>
          <t>Howrah, Howrah Sorting Yard, Liluah, Belur, Bally</t>
        </is>
      </c>
    </row>
    <row r="167">
      <c r="A167" s="7" t="inlineStr">
        <is>
          <t>12 Jun</t>
        </is>
      </c>
      <c r="B167" s="7" t="inlineStr">
        <is>
          <t>30305</t>
        </is>
      </c>
      <c r="C167" s="7" t="n">
        <v>9278</v>
      </c>
      <c r="D167" s="7" t="n">
        <v>9272</v>
      </c>
      <c r="E167" s="7" t="n">
        <v>9257</v>
      </c>
      <c r="F167" s="8" t="n">
        <v>12159</v>
      </c>
      <c r="G167" s="8" t="n">
        <v>244629</v>
      </c>
      <c r="H167" s="8" t="n">
        <v>12159</v>
      </c>
      <c r="I167" s="8" t="n">
        <v>244367</v>
      </c>
      <c r="J167" s="11">
        <f>(I167-H167)/1000</f>
        <v/>
      </c>
      <c r="K167" s="7" t="inlineStr">
        <is>
          <t>Yes</t>
        </is>
      </c>
      <c r="L167" s="7" t="n">
        <v>55</v>
      </c>
      <c r="M167" s="12" t="inlineStr">
        <is>
          <t>Howrah, Howrah Sorting Yard, Liluah, Belur, Bally</t>
        </is>
      </c>
    </row>
    <row r="168">
      <c r="A168" s="7" t="inlineStr">
        <is>
          <t>12 Jun</t>
        </is>
      </c>
      <c r="B168" s="7" t="inlineStr">
        <is>
          <t>30457</t>
        </is>
      </c>
      <c r="C168" s="7" t="n">
        <v>10120</v>
      </c>
      <c r="D168" s="7" t="n">
        <v>10112</v>
      </c>
      <c r="E168" s="7" t="n">
        <v>10055</v>
      </c>
      <c r="F168" s="8" t="n">
        <v>12714</v>
      </c>
      <c r="G168" s="8" t="n">
        <v>246056</v>
      </c>
      <c r="H168" s="8" t="n">
        <v>12714</v>
      </c>
      <c r="I168" s="8" t="n">
        <v>244357</v>
      </c>
      <c r="J168" s="11">
        <f>(I168-H168)/1000</f>
        <v/>
      </c>
      <c r="K168" s="7" t="inlineStr">
        <is>
          <t>Yes</t>
        </is>
      </c>
      <c r="L168" s="7" t="n">
        <v>55</v>
      </c>
      <c r="M168" s="12" t="inlineStr">
        <is>
          <t>Howrah, Howrah Sorting Yard, Liluah, Belur, Bally</t>
        </is>
      </c>
    </row>
    <row r="169">
      <c r="A169" s="7" t="inlineStr">
        <is>
          <t>12 Jun</t>
        </is>
      </c>
      <c r="B169" s="7" t="inlineStr">
        <is>
          <t>30686</t>
        </is>
      </c>
      <c r="C169" s="7" t="n">
        <v>9159</v>
      </c>
      <c r="D169" s="7" t="n">
        <v>9149</v>
      </c>
      <c r="E169" s="7" t="n">
        <v>9137</v>
      </c>
      <c r="F169" s="8" t="n">
        <v>13337</v>
      </c>
      <c r="G169" s="8" t="n">
        <v>244617</v>
      </c>
      <c r="H169" s="8" t="n">
        <v>13337</v>
      </c>
      <c r="I169" s="8" t="n">
        <v>244354</v>
      </c>
      <c r="J169" s="11">
        <f>(I169-H169)/1000</f>
        <v/>
      </c>
      <c r="K169" s="7" t="inlineStr">
        <is>
          <t>Yes</t>
        </is>
      </c>
      <c r="L169" s="7" t="n">
        <v>54</v>
      </c>
      <c r="M169" s="12" t="inlineStr">
        <is>
          <t>Howrah, Howrah Sorting Yard, Liluah, Belur, Bally, Belanagar</t>
        </is>
      </c>
    </row>
    <row r="170" ht="34" customHeight="1">
      <c r="A170" s="7" t="inlineStr">
        <is>
          <t>12 Jun</t>
        </is>
      </c>
      <c r="B170" s="7" t="inlineStr">
        <is>
          <t>37034</t>
        </is>
      </c>
      <c r="C170" s="7" t="n">
        <v>8191</v>
      </c>
      <c r="D170" s="7" t="n">
        <v>8186</v>
      </c>
      <c r="E170" s="7" t="n">
        <v>8176</v>
      </c>
      <c r="F170" s="8" t="n">
        <v>23251</v>
      </c>
      <c r="G170" s="8" t="n">
        <v>244641</v>
      </c>
      <c r="H170" s="8" t="n">
        <v>23251</v>
      </c>
      <c r="I170" s="8" t="n">
        <v>244334</v>
      </c>
      <c r="J170" s="11">
        <f>(I170-H170)/1000</f>
        <v/>
      </c>
      <c r="K170" s="7" t="inlineStr">
        <is>
          <t>Yes</t>
        </is>
      </c>
      <c r="L170" s="7" t="n">
        <v>51</v>
      </c>
      <c r="M170" s="12" t="inlineStr">
        <is>
          <t>Howrah, Howrah Sorting Yard, Liluah, Belur, Bally, Belanagar, Dankuni, Janai Road</t>
        </is>
      </c>
    </row>
    <row r="171" ht="34" customHeight="1">
      <c r="A171" s="7" t="inlineStr">
        <is>
          <t>12 Jun</t>
        </is>
      </c>
      <c r="B171" s="7" t="inlineStr">
        <is>
          <t>39170</t>
        </is>
      </c>
      <c r="C171" s="7" t="n">
        <v>12493</v>
      </c>
      <c r="D171" s="7" t="n">
        <v>12436</v>
      </c>
      <c r="E171" s="7" t="n">
        <v>12263</v>
      </c>
      <c r="F171" s="8" t="n">
        <v>31</v>
      </c>
      <c r="G171" s="8" t="n">
        <v>200088</v>
      </c>
      <c r="H171" s="8" t="n">
        <v>343</v>
      </c>
      <c r="I171" s="8" t="n">
        <v>200088</v>
      </c>
      <c r="J171" s="11">
        <f>(I171-H171)/1000</f>
        <v/>
      </c>
      <c r="K171" s="7" t="inlineStr">
        <is>
          <t>Yes</t>
        </is>
      </c>
      <c r="L171" s="7" t="n">
        <v>50</v>
      </c>
      <c r="M171" s="12" t="inlineStr">
        <is>
          <t>Barachak Jn, Sitarampur Central, Kulti, Barakar, Kumardubi, Mugma, Thaparnagar, Kalubathan, Chhota Ambana</t>
        </is>
      </c>
    </row>
    <row r="172" ht="34" customHeight="1">
      <c r="A172" s="7" t="inlineStr">
        <is>
          <t>12 Jun</t>
        </is>
      </c>
      <c r="B172" s="7" t="inlineStr">
        <is>
          <t>37452</t>
        </is>
      </c>
      <c r="C172" s="7" t="n">
        <v>7268</v>
      </c>
      <c r="D172" s="7" t="n">
        <v>7220</v>
      </c>
      <c r="E172" s="7" t="n">
        <v>7220</v>
      </c>
      <c r="F172" s="8" t="n">
        <v>629</v>
      </c>
      <c r="G172" s="8" t="n">
        <v>200089</v>
      </c>
      <c r="H172" s="8" t="n">
        <v>629</v>
      </c>
      <c r="I172" s="8" t="n">
        <v>200089</v>
      </c>
      <c r="J172" s="11">
        <f>(I172-H172)/1000</f>
        <v/>
      </c>
      <c r="K172" s="7" t="inlineStr">
        <is>
          <t>Yes</t>
        </is>
      </c>
      <c r="L172" s="7" t="n">
        <v>50</v>
      </c>
      <c r="M172" s="12" t="inlineStr">
        <is>
          <t>Barachak Jn, Sitarampur Central, Kulti, Barakar, Kumardubi, Mugma, Thaparnagar, Kalubathan, Chhota Ambana</t>
        </is>
      </c>
    </row>
    <row r="173" ht="34" customHeight="1">
      <c r="A173" s="7" t="inlineStr">
        <is>
          <t>12 Jun</t>
        </is>
      </c>
      <c r="B173" s="7" t="inlineStr">
        <is>
          <t>39105</t>
        </is>
      </c>
      <c r="C173" s="7" t="n">
        <v>7343</v>
      </c>
      <c r="D173" s="7" t="n">
        <v>7308</v>
      </c>
      <c r="E173" s="7" t="n">
        <v>7308</v>
      </c>
      <c r="F173" s="8" t="n">
        <v>690</v>
      </c>
      <c r="G173" s="8" t="n">
        <v>200091</v>
      </c>
      <c r="H173" s="8" t="n">
        <v>690</v>
      </c>
      <c r="I173" s="8" t="n">
        <v>200091</v>
      </c>
      <c r="J173" s="11">
        <f>(I173-H173)/1000</f>
        <v/>
      </c>
      <c r="K173" s="7" t="inlineStr">
        <is>
          <t>Yes</t>
        </is>
      </c>
      <c r="L173" s="7" t="n">
        <v>50</v>
      </c>
      <c r="M173" s="12" t="inlineStr">
        <is>
          <t>Barachak Jn, Sitarampur Central, Kulti, Barakar, Kumardubi, Mugma, Thaparnagar, Kalubathan, Chhota Ambana</t>
        </is>
      </c>
    </row>
    <row r="174" ht="34" customHeight="1">
      <c r="A174" s="7" t="inlineStr">
        <is>
          <t>12 Jun</t>
        </is>
      </c>
      <c r="B174" s="7" t="inlineStr">
        <is>
          <t>37719</t>
        </is>
      </c>
      <c r="C174" s="7" t="n">
        <v>8178</v>
      </c>
      <c r="D174" s="7" t="n">
        <v>8151</v>
      </c>
      <c r="E174" s="7" t="n">
        <v>8151</v>
      </c>
      <c r="F174" s="8" t="n">
        <v>350</v>
      </c>
      <c r="G174" s="8" t="n">
        <v>199143</v>
      </c>
      <c r="H174" s="8" t="n">
        <v>350</v>
      </c>
      <c r="I174" s="8" t="n">
        <v>199143</v>
      </c>
      <c r="J174" s="11">
        <f>(I174-H174)/1000</f>
        <v/>
      </c>
      <c r="K174" s="7" t="inlineStr">
        <is>
          <t>Yes</t>
        </is>
      </c>
      <c r="L174" s="7" t="n">
        <v>50</v>
      </c>
      <c r="M174" s="12" t="inlineStr">
        <is>
          <t>Barachak Jn, Sitarampur Central, Kulti, Barakar, Kumardubi, Mugma, Thaparnagar, Kalubathan, Chhota Ambana</t>
        </is>
      </c>
    </row>
    <row r="175" ht="49" customHeight="1">
      <c r="A175" s="7" t="inlineStr">
        <is>
          <t>12 Jun</t>
        </is>
      </c>
      <c r="B175" s="7" t="inlineStr">
        <is>
          <t>30371</t>
        </is>
      </c>
      <c r="C175" s="7" t="n">
        <v>7847</v>
      </c>
      <c r="D175" s="7" t="n">
        <v>7836</v>
      </c>
      <c r="E175" s="7" t="n">
        <v>7836</v>
      </c>
      <c r="F175" s="8" t="n">
        <v>12712</v>
      </c>
      <c r="G175" s="8" t="n">
        <v>199538</v>
      </c>
      <c r="H175" s="8" t="n">
        <v>12712</v>
      </c>
      <c r="I175" s="8" t="n">
        <v>199538</v>
      </c>
      <c r="J175" s="11">
        <f>(I175-H175)/1000</f>
        <v/>
      </c>
      <c r="K175" s="7" t="inlineStr">
        <is>
          <t>Yes</t>
        </is>
      </c>
      <c r="L175" s="7" t="n">
        <v>45</v>
      </c>
      <c r="M175" s="12" t="inlineStr">
        <is>
          <t>Howrah, Howrah Sorting Yard, Liluah, Belur, Bally, Barachak Jn, Sitarampur Central, Kulti, Barakar, Kumardubi, Mugma, Thaparnagar, Kalubathan, Chhota Ambana</t>
        </is>
      </c>
    </row>
    <row r="176" ht="49" customHeight="1">
      <c r="A176" s="7" t="inlineStr">
        <is>
          <t>12 Jun</t>
        </is>
      </c>
      <c r="B176" s="7" t="inlineStr">
        <is>
          <t>30327</t>
        </is>
      </c>
      <c r="C176" s="7" t="n">
        <v>7390</v>
      </c>
      <c r="D176" s="7" t="n">
        <v>7385</v>
      </c>
      <c r="E176" s="7" t="n">
        <v>7375</v>
      </c>
      <c r="F176" s="8" t="n">
        <v>60176</v>
      </c>
      <c r="G176" s="8" t="n">
        <v>244623</v>
      </c>
      <c r="H176" s="8" t="n">
        <v>60176</v>
      </c>
      <c r="I176" s="8" t="n">
        <v>244360</v>
      </c>
      <c r="J176" s="11">
        <f>(I176-H176)/1000</f>
        <v/>
      </c>
      <c r="K176" s="7" t="inlineStr">
        <is>
          <t>Yes</t>
        </is>
      </c>
      <c r="L176" s="7" t="n">
        <v>42</v>
      </c>
      <c r="M176" s="12" t="inlineStr">
        <is>
          <t>Howrah, Howrah Sorting Yard, Liluah, Belur, Bally, Belanagar, Dankuni, Janai Road, Baruipara, Kamarkundu, LC-31, Chandanpur, LC-38, Belmuri, Cheragram, LC-41, Gurap</t>
        </is>
      </c>
    </row>
    <row r="177" ht="64" customHeight="1">
      <c r="A177" s="7" t="inlineStr">
        <is>
          <t>12 Jun</t>
        </is>
      </c>
      <c r="B177" s="7" t="inlineStr">
        <is>
          <t>37954</t>
        </is>
      </c>
      <c r="C177" s="7" t="n">
        <v>13868</v>
      </c>
      <c r="D177" s="7" t="n">
        <v>13651</v>
      </c>
      <c r="E177" s="7" t="n">
        <v>13581</v>
      </c>
      <c r="F177" s="8" t="n">
        <v>94218</v>
      </c>
      <c r="G177" s="8" t="n">
        <v>246011</v>
      </c>
      <c r="H177" s="8" t="n">
        <v>94218</v>
      </c>
      <c r="I177" s="8" t="n">
        <v>244356</v>
      </c>
      <c r="J177" s="11">
        <f>(I177-H177)/1000</f>
        <v/>
      </c>
      <c r="K177" s="7" t="inlineStr">
        <is>
          <t>Yes</t>
        </is>
      </c>
      <c r="L177" s="7" t="n">
        <v>35</v>
      </c>
      <c r="M177" s="12" t="inlineStr">
        <is>
          <t>Howrah, Howrah Sorting Yard, Liluah, Belur, Bally, Belanagar, Dankuni, Janai Road, Baruipara, Kamarkundu, LC-31, Chandanpur, LC-38, Belmuri, Cheragram, LC-41, Gurap, LC-48, Jaugram, LC-57, Masagram, Palla Road, Saktigarh, Gangpur</t>
        </is>
      </c>
    </row>
    <row r="178" ht="94" customHeight="1">
      <c r="A178" s="7" t="inlineStr">
        <is>
          <t>12 Jun</t>
        </is>
      </c>
      <c r="B178" s="7" t="inlineStr">
        <is>
          <t>37481</t>
        </is>
      </c>
      <c r="C178" s="7" t="n">
        <v>2489</v>
      </c>
      <c r="D178" s="7" t="n">
        <v>2469</v>
      </c>
      <c r="E178" s="7" t="n">
        <v>2469</v>
      </c>
      <c r="F178" s="8" t="n">
        <v>350</v>
      </c>
      <c r="G178" s="8" t="n">
        <v>94767</v>
      </c>
      <c r="H178" s="8" t="n">
        <v>350</v>
      </c>
      <c r="I178" s="8" t="n">
        <v>94767</v>
      </c>
      <c r="J178" s="11">
        <f>(I178-H178)/1000</f>
        <v/>
      </c>
      <c r="K178" s="7" t="inlineStr">
        <is>
          <t>Yes</t>
        </is>
      </c>
      <c r="L178" s="7" t="n">
        <v>26</v>
      </c>
      <c r="M178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9" ht="94" customHeight="1">
      <c r="A179" s="7" t="inlineStr">
        <is>
          <t>12 Jun</t>
        </is>
      </c>
      <c r="B179" s="7" t="inlineStr">
        <is>
          <t>37907</t>
        </is>
      </c>
      <c r="C179" s="7" t="n">
        <v>8500</v>
      </c>
      <c r="D179" s="7" t="n">
        <v>8452</v>
      </c>
      <c r="E179" s="7" t="n">
        <v>8264</v>
      </c>
      <c r="F179" s="8" t="n">
        <v>21</v>
      </c>
      <c r="G179" s="8" t="n">
        <v>94731</v>
      </c>
      <c r="H179" s="8" t="n">
        <v>344</v>
      </c>
      <c r="I179" s="8" t="n">
        <v>94731</v>
      </c>
      <c r="J179" s="11">
        <f>(I179-H179)/1000</f>
        <v/>
      </c>
      <c r="K179" s="7" t="inlineStr">
        <is>
          <t>Yes</t>
        </is>
      </c>
      <c r="L179" s="7" t="n">
        <v>26</v>
      </c>
      <c r="M179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0" ht="94" customHeight="1">
      <c r="A180" s="7" t="inlineStr">
        <is>
          <t>12 Jun</t>
        </is>
      </c>
      <c r="B180" s="7" t="inlineStr">
        <is>
          <t>37024</t>
        </is>
      </c>
      <c r="C180" s="7" t="n">
        <v>8787</v>
      </c>
      <c r="D180" s="7" t="n">
        <v>8762</v>
      </c>
      <c r="E180" s="7" t="n">
        <v>8593</v>
      </c>
      <c r="F180" s="8" t="n">
        <v>35</v>
      </c>
      <c r="G180" s="8" t="n">
        <v>94631</v>
      </c>
      <c r="H180" s="8" t="n">
        <v>342</v>
      </c>
      <c r="I180" s="8" t="n">
        <v>94631</v>
      </c>
      <c r="J180" s="11">
        <f>(I180-H180)/1000</f>
        <v/>
      </c>
      <c r="K180" s="7" t="inlineStr">
        <is>
          <t>Yes</t>
        </is>
      </c>
      <c r="L180" s="7" t="n">
        <v>26</v>
      </c>
      <c r="M180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1" ht="94" customHeight="1">
      <c r="A181" s="7" t="inlineStr">
        <is>
          <t>12 Jun</t>
        </is>
      </c>
      <c r="B181" s="7" t="inlineStr">
        <is>
          <t>30639</t>
        </is>
      </c>
      <c r="C181" s="7" t="n">
        <v>9138</v>
      </c>
      <c r="D181" s="7" t="n">
        <v>9085</v>
      </c>
      <c r="E181" s="7" t="n">
        <v>8926</v>
      </c>
      <c r="F181" s="8" t="n">
        <v>43</v>
      </c>
      <c r="G181" s="8" t="n">
        <v>94605</v>
      </c>
      <c r="H181" s="8" t="n">
        <v>344</v>
      </c>
      <c r="I181" s="8" t="n">
        <v>94605</v>
      </c>
      <c r="J181" s="11">
        <f>(I181-H181)/1000</f>
        <v/>
      </c>
      <c r="K181" s="7" t="inlineStr">
        <is>
          <t>Yes</t>
        </is>
      </c>
      <c r="L181" s="7" t="n">
        <v>26</v>
      </c>
      <c r="M181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2" ht="94" customHeight="1">
      <c r="A182" s="7" t="inlineStr">
        <is>
          <t>12 Jun</t>
        </is>
      </c>
      <c r="B182" s="7" t="inlineStr">
        <is>
          <t>39111</t>
        </is>
      </c>
      <c r="C182" s="7" t="n">
        <v>4571</v>
      </c>
      <c r="D182" s="7" t="n">
        <v>3991</v>
      </c>
      <c r="E182" s="7" t="n">
        <v>3991</v>
      </c>
      <c r="F182" s="8" t="n">
        <v>611</v>
      </c>
      <c r="G182" s="8" t="n">
        <v>94743</v>
      </c>
      <c r="H182" s="8" t="n">
        <v>611</v>
      </c>
      <c r="I182" s="8" t="n">
        <v>94743</v>
      </c>
      <c r="J182" s="11">
        <f>(I182-H182)/1000</f>
        <v/>
      </c>
      <c r="K182" s="7" t="inlineStr">
        <is>
          <t>Yes</t>
        </is>
      </c>
      <c r="L182" s="7" t="n">
        <v>26</v>
      </c>
      <c r="M182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3" ht="94" customHeight="1">
      <c r="A183" s="7" t="inlineStr">
        <is>
          <t>12 Jun</t>
        </is>
      </c>
      <c r="B183" s="7" t="inlineStr">
        <is>
          <t>30503</t>
        </is>
      </c>
      <c r="C183" s="7" t="n">
        <v>4316</v>
      </c>
      <c r="D183" s="7" t="n">
        <v>4288</v>
      </c>
      <c r="E183" s="7" t="n">
        <v>4288</v>
      </c>
      <c r="F183" s="8" t="n">
        <v>1440</v>
      </c>
      <c r="G183" s="8" t="n">
        <v>94070</v>
      </c>
      <c r="H183" s="8" t="n">
        <v>1440</v>
      </c>
      <c r="I183" s="8" t="n">
        <v>94070</v>
      </c>
      <c r="J183" s="11">
        <f>(I183-H183)/1000</f>
        <v/>
      </c>
      <c r="K183" s="7" t="inlineStr">
        <is>
          <t>Yes</t>
        </is>
      </c>
      <c r="L183" s="7" t="n">
        <v>26</v>
      </c>
      <c r="M183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4" ht="94" customHeight="1">
      <c r="A184" s="7" t="inlineStr">
        <is>
          <t>12 Jun</t>
        </is>
      </c>
      <c r="B184" s="7" t="inlineStr">
        <is>
          <t>37185</t>
        </is>
      </c>
      <c r="C184" s="7" t="n">
        <v>3387</v>
      </c>
      <c r="D184" s="7" t="n">
        <v>3373</v>
      </c>
      <c r="E184" s="7" t="n">
        <v>3373</v>
      </c>
      <c r="F184" s="8" t="n">
        <v>1847</v>
      </c>
      <c r="G184" s="8" t="n">
        <v>94115</v>
      </c>
      <c r="H184" s="8" t="n">
        <v>1847</v>
      </c>
      <c r="I184" s="8" t="n">
        <v>94115</v>
      </c>
      <c r="J184" s="11">
        <f>(I184-H184)/1000</f>
        <v/>
      </c>
      <c r="K184" s="7" t="inlineStr">
        <is>
          <t>Yes</t>
        </is>
      </c>
      <c r="L184" s="7" t="n">
        <v>26</v>
      </c>
      <c r="M184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5" ht="109" customHeight="1">
      <c r="A185" s="7" t="inlineStr">
        <is>
          <t>12 Jun</t>
        </is>
      </c>
      <c r="B185" s="7" t="inlineStr">
        <is>
          <t>30329</t>
        </is>
      </c>
      <c r="C185" s="7" t="n">
        <v>7569</v>
      </c>
      <c r="D185" s="7" t="n">
        <v>7549</v>
      </c>
      <c r="E185" s="7" t="n">
        <v>7549</v>
      </c>
      <c r="F185" s="8" t="n">
        <v>12118</v>
      </c>
      <c r="G185" s="8" t="n">
        <v>94756</v>
      </c>
      <c r="H185" s="8" t="n">
        <v>12118</v>
      </c>
      <c r="I185" s="8" t="n">
        <v>94756</v>
      </c>
      <c r="J185" s="11">
        <f>(I185-H185)/1000</f>
        <v/>
      </c>
      <c r="K185" s="7" t="inlineStr">
        <is>
          <t>Yes</t>
        </is>
      </c>
      <c r="L185" s="7" t="n">
        <v>21</v>
      </c>
      <c r="M185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6" ht="109" customHeight="1">
      <c r="A186" s="7" t="inlineStr">
        <is>
          <t>12 Jun</t>
        </is>
      </c>
      <c r="B186" s="7" t="inlineStr">
        <is>
          <t>30203</t>
        </is>
      </c>
      <c r="C186" s="7" t="n">
        <v>3101</v>
      </c>
      <c r="D186" s="7" t="n">
        <v>3074</v>
      </c>
      <c r="E186" s="7" t="n">
        <v>3074</v>
      </c>
      <c r="F186" s="8" t="n">
        <v>12717</v>
      </c>
      <c r="G186" s="8" t="n">
        <v>94113</v>
      </c>
      <c r="H186" s="8" t="n">
        <v>12717</v>
      </c>
      <c r="I186" s="8" t="n">
        <v>94113</v>
      </c>
      <c r="J186" s="11">
        <f>(I186-H186)/1000</f>
        <v/>
      </c>
      <c r="K186" s="7" t="inlineStr">
        <is>
          <t>Yes</t>
        </is>
      </c>
      <c r="L186" s="7" t="n">
        <v>21</v>
      </c>
      <c r="M186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7" ht="109" customHeight="1">
      <c r="A187" s="7" t="inlineStr">
        <is>
          <t>12 Jun</t>
        </is>
      </c>
      <c r="B187" s="7" t="inlineStr">
        <is>
          <t>30328</t>
        </is>
      </c>
      <c r="C187" s="7" t="n">
        <v>3238</v>
      </c>
      <c r="D187" s="7" t="n">
        <v>3221</v>
      </c>
      <c r="E187" s="7" t="n">
        <v>3221</v>
      </c>
      <c r="F187" s="8" t="n">
        <v>12726</v>
      </c>
      <c r="G187" s="8" t="n">
        <v>94115</v>
      </c>
      <c r="H187" s="8" t="n">
        <v>12726</v>
      </c>
      <c r="I187" s="8" t="n">
        <v>94115</v>
      </c>
      <c r="J187" s="11">
        <f>(I187-H187)/1000</f>
        <v/>
      </c>
      <c r="K187" s="7" t="inlineStr">
        <is>
          <t>Yes</t>
        </is>
      </c>
      <c r="L187" s="7" t="n">
        <v>21</v>
      </c>
      <c r="M187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8" ht="109" customHeight="1">
      <c r="A188" s="7" t="inlineStr">
        <is>
          <t>12 Jun</t>
        </is>
      </c>
      <c r="B188" s="7" t="inlineStr">
        <is>
          <t>30372</t>
        </is>
      </c>
      <c r="C188" s="7" t="n">
        <v>3717</v>
      </c>
      <c r="D188" s="7" t="n">
        <v>3695</v>
      </c>
      <c r="E188" s="7" t="n">
        <v>3695</v>
      </c>
      <c r="F188" s="8" t="n">
        <v>12826</v>
      </c>
      <c r="G188" s="8" t="n">
        <v>94113</v>
      </c>
      <c r="H188" s="8" t="n">
        <v>12826</v>
      </c>
      <c r="I188" s="8" t="n">
        <v>94113</v>
      </c>
      <c r="J188" s="11">
        <f>(I188-H188)/1000</f>
        <v/>
      </c>
      <c r="K188" s="7" t="inlineStr">
        <is>
          <t>Yes</t>
        </is>
      </c>
      <c r="L188" s="7" t="n">
        <v>21</v>
      </c>
      <c r="M188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89" ht="124" customHeight="1">
      <c r="A189" s="7" t="inlineStr">
        <is>
          <t>12 Jun</t>
        </is>
      </c>
      <c r="B189" s="7" t="inlineStr">
        <is>
          <t>30469</t>
        </is>
      </c>
      <c r="C189" s="7" t="n">
        <v>2002</v>
      </c>
      <c r="D189" s="7" t="n">
        <v>2002</v>
      </c>
      <c r="E189" s="7" t="n">
        <v>2002</v>
      </c>
      <c r="F189" s="8" t="n">
        <v>12113</v>
      </c>
      <c r="G189" s="8" t="n">
        <v>66543</v>
      </c>
      <c r="H189" s="8" t="n">
        <v>12113</v>
      </c>
      <c r="I189" s="8" t="n">
        <v>66543</v>
      </c>
      <c r="J189" s="11">
        <f>(I189-H189)/1000</f>
        <v/>
      </c>
      <c r="K189" s="7" t="inlineStr">
        <is>
          <t>Yes</t>
        </is>
      </c>
      <c r="L189" s="7" t="n">
        <v>15</v>
      </c>
      <c r="M189" s="12" t="inlineStr">
        <is>
          <t>Howrah, Howrah Sorting Yard, Liluah, Belur, Bally,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90" ht="139" customHeight="1">
      <c r="A190" s="7" t="inlineStr">
        <is>
          <t>12 Jun</t>
        </is>
      </c>
      <c r="B190" s="7" t="inlineStr">
        <is>
          <t>30568</t>
        </is>
      </c>
      <c r="C190" s="7" t="n">
        <v>1615</v>
      </c>
      <c r="D190" s="7" t="n">
        <v>1594</v>
      </c>
      <c r="E190" s="7" t="n">
        <v>1594</v>
      </c>
      <c r="F190" s="8" t="n">
        <v>350</v>
      </c>
      <c r="G190" s="8" t="n">
        <v>23996</v>
      </c>
      <c r="H190" s="8" t="n">
        <v>350</v>
      </c>
      <c r="I190" s="8" t="n">
        <v>23996</v>
      </c>
      <c r="J190" s="11">
        <f>(I190-H190)/1000</f>
        <v/>
      </c>
      <c r="K190" s="7" t="inlineStr">
        <is>
          <t>Yes</t>
        </is>
      </c>
      <c r="L190" s="7" t="n">
        <v>10</v>
      </c>
      <c r="M190" s="12" t="inlineStr">
        <is>
          <t>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91" ht="139" customHeight="1">
      <c r="A191" s="7" t="inlineStr">
        <is>
          <t>12 Jun</t>
        </is>
      </c>
      <c r="B191" s="7" t="inlineStr">
        <is>
          <t>30676</t>
        </is>
      </c>
      <c r="C191" s="7" t="n">
        <v>427</v>
      </c>
      <c r="D191" s="7" t="n">
        <v>422</v>
      </c>
      <c r="E191" s="7" t="n">
        <v>422</v>
      </c>
      <c r="F191" s="8" t="n">
        <v>12756</v>
      </c>
      <c r="G191" s="8" t="n">
        <v>16724</v>
      </c>
      <c r="H191" s="8" t="n">
        <v>12756</v>
      </c>
      <c r="I191" s="8" t="n">
        <v>16724</v>
      </c>
      <c r="J191" s="11">
        <f>(I191-H191)/1000</f>
        <v/>
      </c>
      <c r="K191" s="7" t="inlineStr">
        <is>
          <t>Yes</t>
        </is>
      </c>
      <c r="L191" s="7" t="n">
        <v>3</v>
      </c>
      <c r="M191" s="12" t="inlineStr">
        <is>
          <t>Howrah, Howrah Sorting Yard, Liluah, Belur, Bally,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  ...(+6 more)</t>
        </is>
      </c>
    </row>
    <row r="192" ht="139" customHeight="1">
      <c r="A192" s="7" t="inlineStr">
        <is>
          <t>12 Jun</t>
        </is>
      </c>
      <c r="B192" s="7" t="inlineStr">
        <is>
          <t>39059</t>
        </is>
      </c>
      <c r="C192" s="7" t="n">
        <v>209</v>
      </c>
      <c r="D192" s="7" t="n">
        <v>187</v>
      </c>
      <c r="E192" s="7" t="n">
        <v>187</v>
      </c>
      <c r="F192" s="8" t="n">
        <v>609</v>
      </c>
      <c r="G192" s="8" t="n">
        <v>1244</v>
      </c>
      <c r="H192" s="8" t="n">
        <v>609</v>
      </c>
      <c r="I192" s="8" t="n">
        <v>1244</v>
      </c>
      <c r="J192" s="11">
        <f>(I192-H192)/1000</f>
        <v/>
      </c>
      <c r="K192" s="7" t="inlineStr">
        <is>
          <t>Yes</t>
        </is>
      </c>
      <c r="L192" s="7" t="n">
        <v>1</v>
      </c>
      <c r="M192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93" ht="139" customHeight="1">
      <c r="A193" s="7" t="inlineStr">
        <is>
          <t>12 Jun</t>
        </is>
      </c>
      <c r="B193" s="7" t="inlineStr">
        <is>
          <t>37527</t>
        </is>
      </c>
      <c r="C193" s="7" t="n">
        <v>74</v>
      </c>
      <c r="D193" s="7" t="n">
        <v>22</v>
      </c>
      <c r="E193" s="7" t="n">
        <v>22</v>
      </c>
      <c r="F193" s="8" t="n">
        <v>199317</v>
      </c>
      <c r="G193" s="8" t="n">
        <v>199393</v>
      </c>
      <c r="H193" s="8" t="n">
        <v>199317</v>
      </c>
      <c r="I193" s="8" t="n">
        <v>199393</v>
      </c>
      <c r="J193" s="11">
        <f>(I193-H193)/1000</f>
        <v/>
      </c>
      <c r="K193" s="7" t="inlineStr">
        <is>
          <t>Yes</t>
        </is>
      </c>
      <c r="L193" s="7" t="n">
        <v>1</v>
      </c>
      <c r="M193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Barachak Jn  ...(+9 more)</t>
        </is>
      </c>
    </row>
    <row r="194" ht="139" customHeight="1">
      <c r="A194" s="9" t="inlineStr">
        <is>
          <t>12 Jun</t>
        </is>
      </c>
      <c r="B194" s="9" t="inlineStr">
        <is>
          <t>30205</t>
        </is>
      </c>
      <c r="C194" s="9" t="n">
        <v>291</v>
      </c>
      <c r="D194" s="9" t="n">
        <v>268</v>
      </c>
      <c r="E194" s="9" t="n">
        <v>7</v>
      </c>
      <c r="F194" s="10" t="n">
        <v>25</v>
      </c>
      <c r="G194" s="10" t="n">
        <v>353</v>
      </c>
      <c r="H194" s="10" t="n">
        <v>352</v>
      </c>
      <c r="I194" s="10" t="n">
        <v>353</v>
      </c>
      <c r="J194" s="13">
        <f>(I194-H194)/1000</f>
        <v/>
      </c>
      <c r="K194" s="9" t="inlineStr">
        <is>
          <t>No</t>
        </is>
      </c>
      <c r="L194" s="9" t="n">
        <v>1</v>
      </c>
      <c r="M194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95" ht="139" customHeight="1">
      <c r="A195" s="9" t="inlineStr">
        <is>
          <t>12 Jun</t>
        </is>
      </c>
      <c r="B195" s="9" t="inlineStr">
        <is>
          <t>35001</t>
        </is>
      </c>
      <c r="C195" s="9" t="n">
        <v>5</v>
      </c>
      <c r="D195" s="9" t="n">
        <v>0</v>
      </c>
      <c r="E195" s="9" t="n">
        <v>0</v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3" t="n">
        <v>0</v>
      </c>
      <c r="K195" s="9" t="inlineStr">
        <is>
          <t>No</t>
        </is>
      </c>
      <c r="L195" s="9" t="n">
        <v>0</v>
      </c>
      <c r="M19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6" ht="139" customHeight="1">
      <c r="A196" s="9" t="inlineStr">
        <is>
          <t>12 Jun</t>
        </is>
      </c>
      <c r="B196" s="9" t="inlineStr">
        <is>
          <t>35048</t>
        </is>
      </c>
      <c r="C196" s="9" t="n">
        <v>5</v>
      </c>
      <c r="D196" s="9" t="n">
        <v>0</v>
      </c>
      <c r="E196" s="9" t="n">
        <v>0</v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3" t="n">
        <v>0</v>
      </c>
      <c r="K196" s="9" t="inlineStr">
        <is>
          <t>No</t>
        </is>
      </c>
      <c r="L196" s="9" t="n">
        <v>0</v>
      </c>
      <c r="M19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7" ht="139" customHeight="1">
      <c r="A197" s="9" t="inlineStr">
        <is>
          <t>12 Jun</t>
        </is>
      </c>
      <c r="B197" s="9" t="inlineStr">
        <is>
          <t>35049</t>
        </is>
      </c>
      <c r="C197" s="9" t="n">
        <v>4</v>
      </c>
      <c r="D197" s="9" t="n">
        <v>0</v>
      </c>
      <c r="E197" s="9" t="n">
        <v>0</v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3" t="n">
        <v>0</v>
      </c>
      <c r="K197" s="9" t="inlineStr">
        <is>
          <t>No</t>
        </is>
      </c>
      <c r="L197" s="9" t="n">
        <v>0</v>
      </c>
      <c r="M19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8" ht="139" customHeight="1">
      <c r="A198" s="9" t="inlineStr">
        <is>
          <t>12 Jun</t>
        </is>
      </c>
      <c r="B198" s="9" t="inlineStr">
        <is>
          <t>37014</t>
        </is>
      </c>
      <c r="C198" s="9" t="n">
        <v>5</v>
      </c>
      <c r="D198" s="9" t="n">
        <v>0</v>
      </c>
      <c r="E198" s="9" t="n">
        <v>0</v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3" t="n">
        <v>0</v>
      </c>
      <c r="K198" s="9" t="inlineStr">
        <is>
          <t>No</t>
        </is>
      </c>
      <c r="L198" s="9" t="n">
        <v>0</v>
      </c>
      <c r="M19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99" ht="139" customHeight="1">
      <c r="A199" s="9" t="inlineStr">
        <is>
          <t>12 Jun</t>
        </is>
      </c>
      <c r="B199" s="9" t="inlineStr">
        <is>
          <t>37100</t>
        </is>
      </c>
      <c r="C199" s="9" t="n">
        <v>1</v>
      </c>
      <c r="D199" s="9" t="n">
        <v>0</v>
      </c>
      <c r="E199" s="9" t="n">
        <v>0</v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3" t="n">
        <v>0</v>
      </c>
      <c r="K199" s="9" t="inlineStr">
        <is>
          <t>No</t>
        </is>
      </c>
      <c r="L199" s="9" t="n">
        <v>0</v>
      </c>
      <c r="M199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00" ht="139" customHeight="1">
      <c r="A200" s="9" t="inlineStr">
        <is>
          <t>12 Jun</t>
        </is>
      </c>
      <c r="B200" s="9" t="inlineStr">
        <is>
          <t>37501</t>
        </is>
      </c>
      <c r="C200" s="9" t="n">
        <v>10</v>
      </c>
      <c r="D200" s="9" t="n">
        <v>0</v>
      </c>
      <c r="E200" s="9" t="n">
        <v>0</v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3" t="n">
        <v>0</v>
      </c>
      <c r="K200" s="9" t="inlineStr">
        <is>
          <t>No</t>
        </is>
      </c>
      <c r="L200" s="9" t="n">
        <v>0</v>
      </c>
      <c r="M200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01" ht="139" customHeight="1">
      <c r="A201" s="9" t="inlineStr">
        <is>
          <t>12 Jun</t>
        </is>
      </c>
      <c r="B201" s="9" t="inlineStr">
        <is>
          <t>37879</t>
        </is>
      </c>
      <c r="C201" s="9" t="n">
        <v>46</v>
      </c>
      <c r="D201" s="9" t="n">
        <v>34</v>
      </c>
      <c r="E201" s="9" t="n">
        <v>34</v>
      </c>
      <c r="F201" s="10" t="n">
        <v>350</v>
      </c>
      <c r="G201" s="10" t="n">
        <v>350</v>
      </c>
      <c r="H201" s="10" t="n">
        <v>350</v>
      </c>
      <c r="I201" s="10" t="n">
        <v>350</v>
      </c>
      <c r="J201" s="13">
        <f>(I201-H201)/1000</f>
        <v/>
      </c>
      <c r="K201" s="9" t="inlineStr">
        <is>
          <t>No</t>
        </is>
      </c>
      <c r="L201" s="9" t="n">
        <v>1</v>
      </c>
      <c r="M201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02" ht="139" customHeight="1">
      <c r="A202" s="9" t="inlineStr">
        <is>
          <t>12 Jun</t>
        </is>
      </c>
      <c r="B202" s="9" t="inlineStr">
        <is>
          <t>39113</t>
        </is>
      </c>
      <c r="C202" s="9" t="n">
        <v>11</v>
      </c>
      <c r="D202" s="9" t="n">
        <v>0</v>
      </c>
      <c r="E202" s="9" t="n">
        <v>0</v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3" t="n">
        <v>0</v>
      </c>
      <c r="K202" s="9" t="inlineStr">
        <is>
          <t>No</t>
        </is>
      </c>
      <c r="L202" s="9" t="n">
        <v>0</v>
      </c>
      <c r="M202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03" ht="139" customHeight="1">
      <c r="A203" s="9" t="inlineStr">
        <is>
          <t>12 Jun</t>
        </is>
      </c>
      <c r="B203" s="9" t="inlineStr">
        <is>
          <t>39482</t>
        </is>
      </c>
      <c r="C203" s="9" t="n">
        <v>45</v>
      </c>
      <c r="D203" s="9" t="n">
        <v>30</v>
      </c>
      <c r="E203" s="9" t="n">
        <v>30</v>
      </c>
      <c r="F203" s="10" t="n">
        <v>350</v>
      </c>
      <c r="G203" s="10" t="n">
        <v>350</v>
      </c>
      <c r="H203" s="10" t="n">
        <v>350</v>
      </c>
      <c r="I203" s="10" t="n">
        <v>350</v>
      </c>
      <c r="J203" s="13">
        <f>(I203-H203)/1000</f>
        <v/>
      </c>
      <c r="K203" s="9" t="inlineStr">
        <is>
          <t>No</t>
        </is>
      </c>
      <c r="L203" s="9" t="n">
        <v>1</v>
      </c>
      <c r="M203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04" ht="139" customHeight="1">
      <c r="A204" s="9" t="inlineStr">
        <is>
          <t>12 Jun</t>
        </is>
      </c>
      <c r="B204" s="9" t="inlineStr">
        <is>
          <t>42996</t>
        </is>
      </c>
      <c r="C204" s="9" t="n">
        <v>290</v>
      </c>
      <c r="D204" s="9" t="n">
        <v>218</v>
      </c>
      <c r="E204" s="9" t="n">
        <v>0</v>
      </c>
      <c r="F204" s="10" t="n">
        <v>2499997</v>
      </c>
      <c r="G204" s="10" t="n">
        <v>2500623</v>
      </c>
      <c r="H204" s="10" t="inlineStr">
        <is>
          <t>-</t>
        </is>
      </c>
      <c r="I204" s="10" t="inlineStr">
        <is>
          <t>-</t>
        </is>
      </c>
      <c r="J204" s="13" t="n">
        <v>0</v>
      </c>
      <c r="K204" s="9" t="inlineStr">
        <is>
          <t>No</t>
        </is>
      </c>
      <c r="L204" s="9" t="n">
        <v>0</v>
      </c>
      <c r="M204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05" ht="139" customHeight="1">
      <c r="A205" s="9" t="inlineStr">
        <is>
          <t>12 Jun</t>
        </is>
      </c>
      <c r="B205" s="9" t="inlineStr">
        <is>
          <t>45006</t>
        </is>
      </c>
      <c r="C205" s="9" t="n">
        <v>6</v>
      </c>
      <c r="D205" s="9" t="n">
        <v>0</v>
      </c>
      <c r="E205" s="9" t="n">
        <v>0</v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3" t="n">
        <v>0</v>
      </c>
      <c r="K205" s="9" t="inlineStr">
        <is>
          <t>No</t>
        </is>
      </c>
      <c r="L205" s="9" t="n">
        <v>0</v>
      </c>
      <c r="M20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06">
      <c r="A206" s="7" t="inlineStr">
        <is>
          <t>13 Jun</t>
        </is>
      </c>
      <c r="B206" s="7" t="inlineStr">
        <is>
          <t>39409</t>
        </is>
      </c>
      <c r="C206" s="7" t="n">
        <v>16234</v>
      </c>
      <c r="D206" s="7" t="n">
        <v>16177</v>
      </c>
      <c r="E206" s="7" t="n">
        <v>16011</v>
      </c>
      <c r="F206" s="8" t="n">
        <v>48</v>
      </c>
      <c r="G206" s="8" t="n">
        <v>244647</v>
      </c>
      <c r="H206" s="8" t="n">
        <v>342</v>
      </c>
      <c r="I206" s="8" t="n">
        <v>244359</v>
      </c>
      <c r="J206" s="11">
        <f>(I206-H206)/1000</f>
        <v/>
      </c>
      <c r="K206" s="7" t="inlineStr">
        <is>
          <t>Yes</t>
        </is>
      </c>
      <c r="L206" s="7" t="n">
        <v>60</v>
      </c>
      <c r="M206" s="12" t="inlineStr">
        <is>
          <t>- (full trip)</t>
        </is>
      </c>
    </row>
    <row r="207">
      <c r="A207" s="7" t="inlineStr">
        <is>
          <t>13 Jun</t>
        </is>
      </c>
      <c r="B207" s="7" t="inlineStr">
        <is>
          <t>37081</t>
        </is>
      </c>
      <c r="C207" s="7" t="n">
        <v>13675</v>
      </c>
      <c r="D207" s="7" t="n">
        <v>13651</v>
      </c>
      <c r="E207" s="7" t="n">
        <v>13553</v>
      </c>
      <c r="F207" s="8" t="n">
        <v>51</v>
      </c>
      <c r="G207" s="8" t="n">
        <v>246002</v>
      </c>
      <c r="H207" s="8" t="n">
        <v>349</v>
      </c>
      <c r="I207" s="8" t="n">
        <v>244344</v>
      </c>
      <c r="J207" s="11">
        <f>(I207-H207)/1000</f>
        <v/>
      </c>
      <c r="K207" s="7" t="inlineStr">
        <is>
          <t>Yes</t>
        </is>
      </c>
      <c r="L207" s="7" t="n">
        <v>60</v>
      </c>
      <c r="M207" s="12" t="inlineStr">
        <is>
          <t>- (full trip)</t>
        </is>
      </c>
    </row>
    <row r="208">
      <c r="A208" s="7" t="inlineStr">
        <is>
          <t>13 Jun</t>
        </is>
      </c>
      <c r="B208" s="7" t="inlineStr">
        <is>
          <t>37014</t>
        </is>
      </c>
      <c r="C208" s="7" t="n">
        <v>8733</v>
      </c>
      <c r="D208" s="7" t="n">
        <v>8725</v>
      </c>
      <c r="E208" s="7" t="n">
        <v>8725</v>
      </c>
      <c r="F208" s="8" t="n">
        <v>445</v>
      </c>
      <c r="G208" s="8" t="n">
        <v>244305</v>
      </c>
      <c r="H208" s="8" t="n">
        <v>445</v>
      </c>
      <c r="I208" s="8" t="n">
        <v>244305</v>
      </c>
      <c r="J208" s="11">
        <f>(I208-H208)/1000</f>
        <v/>
      </c>
      <c r="K208" s="7" t="inlineStr">
        <is>
          <t>Yes</t>
        </is>
      </c>
      <c r="L208" s="7" t="n">
        <v>60</v>
      </c>
      <c r="M208" s="12" t="inlineStr">
        <is>
          <t>- (full trip)</t>
        </is>
      </c>
    </row>
    <row r="209">
      <c r="A209" s="7" t="inlineStr">
        <is>
          <t>13 Jun</t>
        </is>
      </c>
      <c r="B209" s="7" t="inlineStr">
        <is>
          <t>35001</t>
        </is>
      </c>
      <c r="C209" s="7" t="n">
        <v>10421</v>
      </c>
      <c r="D209" s="7" t="n">
        <v>10395</v>
      </c>
      <c r="E209" s="7" t="n">
        <v>10395</v>
      </c>
      <c r="F209" s="8" t="n">
        <v>619</v>
      </c>
      <c r="G209" s="8" t="n">
        <v>243303</v>
      </c>
      <c r="H209" s="8" t="n">
        <v>619</v>
      </c>
      <c r="I209" s="8" t="n">
        <v>243303</v>
      </c>
      <c r="J209" s="11">
        <f>(I209-H209)/1000</f>
        <v/>
      </c>
      <c r="K209" s="7" t="inlineStr">
        <is>
          <t>Yes</t>
        </is>
      </c>
      <c r="L209" s="7" t="n">
        <v>60</v>
      </c>
      <c r="M209" s="12" t="inlineStr">
        <is>
          <t>- (full trip)</t>
        </is>
      </c>
    </row>
    <row r="210">
      <c r="A210" s="7" t="inlineStr">
        <is>
          <t>13 Jun</t>
        </is>
      </c>
      <c r="B210" s="7" t="inlineStr">
        <is>
          <t>30457</t>
        </is>
      </c>
      <c r="C210" s="7" t="n">
        <v>11596</v>
      </c>
      <c r="D210" s="7" t="n">
        <v>11592</v>
      </c>
      <c r="E210" s="7" t="n">
        <v>11584</v>
      </c>
      <c r="F210" s="8" t="n">
        <v>12113</v>
      </c>
      <c r="G210" s="8" t="n">
        <v>244606</v>
      </c>
      <c r="H210" s="8" t="n">
        <v>12113</v>
      </c>
      <c r="I210" s="8" t="n">
        <v>244358</v>
      </c>
      <c r="J210" s="11">
        <f>(I210-H210)/1000</f>
        <v/>
      </c>
      <c r="K210" s="7" t="inlineStr">
        <is>
          <t>Yes</t>
        </is>
      </c>
      <c r="L210" s="7" t="n">
        <v>55</v>
      </c>
      <c r="M210" s="12" t="inlineStr">
        <is>
          <t>Howrah, Howrah Sorting Yard, Liluah, Belur, Bally</t>
        </is>
      </c>
    </row>
    <row r="211">
      <c r="A211" s="7" t="inlineStr">
        <is>
          <t>13 Jun</t>
        </is>
      </c>
      <c r="B211" s="7" t="inlineStr">
        <is>
          <t>37720</t>
        </is>
      </c>
      <c r="C211" s="7" t="n">
        <v>10614</v>
      </c>
      <c r="D211" s="7" t="n">
        <v>10602</v>
      </c>
      <c r="E211" s="7" t="n">
        <v>10545</v>
      </c>
      <c r="F211" s="8" t="n">
        <v>12127</v>
      </c>
      <c r="G211" s="8" t="n">
        <v>246064</v>
      </c>
      <c r="H211" s="8" t="n">
        <v>12127</v>
      </c>
      <c r="I211" s="8" t="n">
        <v>244358</v>
      </c>
      <c r="J211" s="11">
        <f>(I211-H211)/1000</f>
        <v/>
      </c>
      <c r="K211" s="7" t="inlineStr">
        <is>
          <t>Yes</t>
        </is>
      </c>
      <c r="L211" s="7" t="n">
        <v>55</v>
      </c>
      <c r="M211" s="12" t="inlineStr">
        <is>
          <t>Howrah, Howrah Sorting Yard, Liluah, Belur, Bally</t>
        </is>
      </c>
    </row>
    <row r="212">
      <c r="A212" s="7" t="inlineStr">
        <is>
          <t>13 Jun</t>
        </is>
      </c>
      <c r="B212" s="7" t="inlineStr">
        <is>
          <t>37610</t>
        </is>
      </c>
      <c r="C212" s="7" t="n">
        <v>9621</v>
      </c>
      <c r="D212" s="7" t="n">
        <v>9612</v>
      </c>
      <c r="E212" s="7" t="n">
        <v>9522</v>
      </c>
      <c r="F212" s="8" t="n">
        <v>12703</v>
      </c>
      <c r="G212" s="8" t="n">
        <v>246089</v>
      </c>
      <c r="H212" s="8" t="n">
        <v>12703</v>
      </c>
      <c r="I212" s="8" t="n">
        <v>244365</v>
      </c>
      <c r="J212" s="11">
        <f>(I212-H212)/1000</f>
        <v/>
      </c>
      <c r="K212" s="7" t="inlineStr">
        <is>
          <t>Yes</t>
        </is>
      </c>
      <c r="L212" s="7" t="n">
        <v>55</v>
      </c>
      <c r="M212" s="12" t="inlineStr">
        <is>
          <t>Howrah, Howrah Sorting Yard, Liluah, Belur, Bally</t>
        </is>
      </c>
    </row>
    <row r="213">
      <c r="A213" s="7" t="inlineStr">
        <is>
          <t>13 Jun</t>
        </is>
      </c>
      <c r="B213" s="7" t="inlineStr">
        <is>
          <t>39263</t>
        </is>
      </c>
      <c r="C213" s="7" t="n">
        <v>8108</v>
      </c>
      <c r="D213" s="7" t="n">
        <v>8098</v>
      </c>
      <c r="E213" s="7" t="n">
        <v>8033</v>
      </c>
      <c r="F213" s="8" t="n">
        <v>12750</v>
      </c>
      <c r="G213" s="8" t="n">
        <v>246052</v>
      </c>
      <c r="H213" s="8" t="n">
        <v>12750</v>
      </c>
      <c r="I213" s="8" t="n">
        <v>244360</v>
      </c>
      <c r="J213" s="11">
        <f>(I213-H213)/1000</f>
        <v/>
      </c>
      <c r="K213" s="7" t="inlineStr">
        <is>
          <t>Yes</t>
        </is>
      </c>
      <c r="L213" s="7" t="n">
        <v>55</v>
      </c>
      <c r="M213" s="12" t="inlineStr">
        <is>
          <t>Howrah, Howrah Sorting Yard, Liluah, Belur, Bally</t>
        </is>
      </c>
    </row>
    <row r="214" ht="34" customHeight="1">
      <c r="A214" s="7" t="inlineStr">
        <is>
          <t>13 Jun</t>
        </is>
      </c>
      <c r="B214" s="7" t="inlineStr">
        <is>
          <t>30568</t>
        </is>
      </c>
      <c r="C214" s="7" t="n">
        <v>9064</v>
      </c>
      <c r="D214" s="7" t="n">
        <v>9059</v>
      </c>
      <c r="E214" s="7" t="n">
        <v>9050</v>
      </c>
      <c r="F214" s="8" t="n">
        <v>23996</v>
      </c>
      <c r="G214" s="8" t="n">
        <v>244632</v>
      </c>
      <c r="H214" s="8" t="n">
        <v>23996</v>
      </c>
      <c r="I214" s="8" t="n">
        <v>244368</v>
      </c>
      <c r="J214" s="11">
        <f>(I214-H214)/1000</f>
        <v/>
      </c>
      <c r="K214" s="7" t="inlineStr">
        <is>
          <t>Yes</t>
        </is>
      </c>
      <c r="L214" s="7" t="n">
        <v>51</v>
      </c>
      <c r="M214" s="12" t="inlineStr">
        <is>
          <t>Howrah, Howrah Sorting Yard, Liluah, Belur, Bally, Belanagar, Dankuni, Janai Road</t>
        </is>
      </c>
    </row>
    <row r="215">
      <c r="A215" s="7" t="inlineStr">
        <is>
          <t>13 Jun</t>
        </is>
      </c>
      <c r="B215" s="7" t="inlineStr">
        <is>
          <t>39059</t>
        </is>
      </c>
      <c r="C215" s="7" t="n">
        <v>8432</v>
      </c>
      <c r="D215" s="7" t="n">
        <v>8427</v>
      </c>
      <c r="E215" s="7" t="n">
        <v>8427</v>
      </c>
      <c r="F215" s="8" t="n">
        <v>1237</v>
      </c>
      <c r="G215" s="8" t="n">
        <v>217274</v>
      </c>
      <c r="H215" s="8" t="n">
        <v>1237</v>
      </c>
      <c r="I215" s="8" t="n">
        <v>217274</v>
      </c>
      <c r="J215" s="11">
        <f>(I215-H215)/1000</f>
        <v/>
      </c>
      <c r="K215" s="7" t="inlineStr">
        <is>
          <t>Yes</t>
        </is>
      </c>
      <c r="L215" s="7" t="n">
        <v>54</v>
      </c>
      <c r="M215" s="12" t="inlineStr">
        <is>
          <t>Kumardubi, Mugma, Thaparnagar, Kalubathan, Chhota Ambana</t>
        </is>
      </c>
    </row>
    <row r="216" ht="34" customHeight="1">
      <c r="A216" s="7" t="inlineStr">
        <is>
          <t>13 Jun</t>
        </is>
      </c>
      <c r="B216" s="7" t="inlineStr">
        <is>
          <t>37894</t>
        </is>
      </c>
      <c r="C216" s="7" t="n">
        <v>14680</v>
      </c>
      <c r="D216" s="7" t="n">
        <v>14626</v>
      </c>
      <c r="E216" s="7" t="n">
        <v>14626</v>
      </c>
      <c r="F216" s="8" t="n">
        <v>739</v>
      </c>
      <c r="G216" s="8" t="n">
        <v>206010</v>
      </c>
      <c r="H216" s="8" t="n">
        <v>739</v>
      </c>
      <c r="I216" s="8" t="n">
        <v>206010</v>
      </c>
      <c r="J216" s="11">
        <f>(I216-H216)/1000</f>
        <v/>
      </c>
      <c r="K216" s="7" t="inlineStr">
        <is>
          <t>Yes</t>
        </is>
      </c>
      <c r="L216" s="7" t="n">
        <v>52</v>
      </c>
      <c r="M216" s="12" t="inlineStr">
        <is>
          <t>Kulti, Barakar, Kumardubi, Mugma, Thaparnagar, Kalubathan, Chhota Ambana</t>
        </is>
      </c>
    </row>
    <row r="217" ht="34" customHeight="1">
      <c r="A217" s="7" t="inlineStr">
        <is>
          <t>13 Jun</t>
        </is>
      </c>
      <c r="B217" s="7" t="inlineStr">
        <is>
          <t>39060</t>
        </is>
      </c>
      <c r="C217" s="7" t="n">
        <v>7634</v>
      </c>
      <c r="D217" s="7" t="n">
        <v>7582</v>
      </c>
      <c r="E217" s="7" t="n">
        <v>7576</v>
      </c>
      <c r="F217" s="8" t="n">
        <v>324</v>
      </c>
      <c r="G217" s="8" t="n">
        <v>200091</v>
      </c>
      <c r="H217" s="8" t="n">
        <v>344</v>
      </c>
      <c r="I217" s="8" t="n">
        <v>200091</v>
      </c>
      <c r="J217" s="11">
        <f>(I217-H217)/1000</f>
        <v/>
      </c>
      <c r="K217" s="7" t="inlineStr">
        <is>
          <t>Yes</t>
        </is>
      </c>
      <c r="L217" s="7" t="n">
        <v>50</v>
      </c>
      <c r="M217" s="12" t="inlineStr">
        <is>
          <t>Barachak Jn, Sitarampur Central, Kulti, Barakar, Kumardubi, Mugma, Thaparnagar, Kalubathan, Chhota Ambana</t>
        </is>
      </c>
    </row>
    <row r="218" ht="34" customHeight="1">
      <c r="A218" s="7" t="inlineStr">
        <is>
          <t>13 Jun</t>
        </is>
      </c>
      <c r="B218" s="7" t="inlineStr">
        <is>
          <t>37879</t>
        </is>
      </c>
      <c r="C218" s="7" t="n">
        <v>8177</v>
      </c>
      <c r="D218" s="7" t="n">
        <v>8157</v>
      </c>
      <c r="E218" s="7" t="n">
        <v>8157</v>
      </c>
      <c r="F218" s="8" t="n">
        <v>653</v>
      </c>
      <c r="G218" s="8" t="n">
        <v>200085</v>
      </c>
      <c r="H218" s="8" t="n">
        <v>653</v>
      </c>
      <c r="I218" s="8" t="n">
        <v>200085</v>
      </c>
      <c r="J218" s="11">
        <f>(I218-H218)/1000</f>
        <v/>
      </c>
      <c r="K218" s="7" t="inlineStr">
        <is>
          <t>Yes</t>
        </is>
      </c>
      <c r="L218" s="7" t="n">
        <v>50</v>
      </c>
      <c r="M218" s="12" t="inlineStr">
        <is>
          <t>Barachak Jn, Sitarampur Central, Kulti, Barakar, Kumardubi, Mugma, Thaparnagar, Kalubathan, Chhota Ambana</t>
        </is>
      </c>
    </row>
    <row r="219" ht="34" customHeight="1">
      <c r="A219" s="7" t="inlineStr">
        <is>
          <t>13 Jun</t>
        </is>
      </c>
      <c r="B219" s="7" t="inlineStr">
        <is>
          <t>39482</t>
        </is>
      </c>
      <c r="C219" s="7" t="n">
        <v>4918</v>
      </c>
      <c r="D219" s="7" t="n">
        <v>4885</v>
      </c>
      <c r="E219" s="7" t="n">
        <v>4719</v>
      </c>
      <c r="F219" s="8" t="n">
        <v>41</v>
      </c>
      <c r="G219" s="8" t="n">
        <v>199545</v>
      </c>
      <c r="H219" s="8" t="n">
        <v>342</v>
      </c>
      <c r="I219" s="8" t="n">
        <v>199545</v>
      </c>
      <c r="J219" s="11">
        <f>(I219-H219)/1000</f>
        <v/>
      </c>
      <c r="K219" s="7" t="inlineStr">
        <is>
          <t>Yes</t>
        </is>
      </c>
      <c r="L219" s="7" t="n">
        <v>50</v>
      </c>
      <c r="M219" s="12" t="inlineStr">
        <is>
          <t>Barachak Jn, Sitarampur Central, Kulti, Barakar, Kumardubi, Mugma, Thaparnagar, Kalubathan, Chhota Ambana</t>
        </is>
      </c>
    </row>
    <row r="220" ht="34" customHeight="1">
      <c r="A220" s="7" t="inlineStr">
        <is>
          <t>13 Jun</t>
        </is>
      </c>
      <c r="B220" s="7" t="inlineStr">
        <is>
          <t>30692</t>
        </is>
      </c>
      <c r="C220" s="7" t="n">
        <v>9404</v>
      </c>
      <c r="D220" s="7" t="n">
        <v>9071</v>
      </c>
      <c r="E220" s="7" t="n">
        <v>9015</v>
      </c>
      <c r="F220" s="8" t="n">
        <v>68</v>
      </c>
      <c r="G220" s="8" t="n">
        <v>199393</v>
      </c>
      <c r="H220" s="8" t="n">
        <v>344</v>
      </c>
      <c r="I220" s="8" t="n">
        <v>199393</v>
      </c>
      <c r="J220" s="11">
        <f>(I220-H220)/1000</f>
        <v/>
      </c>
      <c r="K220" s="7" t="inlineStr">
        <is>
          <t>Yes</t>
        </is>
      </c>
      <c r="L220" s="7" t="n">
        <v>50</v>
      </c>
      <c r="M220" s="12" t="inlineStr">
        <is>
          <t>Barachak Jn, Sitarampur Central, Kulti, Barakar, Kumardubi, Mugma, Thaparnagar, Kalubathan, Chhota Ambana</t>
        </is>
      </c>
    </row>
    <row r="221" ht="34" customHeight="1">
      <c r="A221" s="7" t="inlineStr">
        <is>
          <t>13 Jun</t>
        </is>
      </c>
      <c r="B221" s="7" t="inlineStr">
        <is>
          <t>30805</t>
        </is>
      </c>
      <c r="C221" s="7" t="n">
        <v>8756</v>
      </c>
      <c r="D221" s="7" t="n">
        <v>8717</v>
      </c>
      <c r="E221" s="7" t="n">
        <v>8598</v>
      </c>
      <c r="F221" s="8" t="n">
        <v>84</v>
      </c>
      <c r="G221" s="8" t="n">
        <v>199392</v>
      </c>
      <c r="H221" s="8" t="n">
        <v>343</v>
      </c>
      <c r="I221" s="8" t="n">
        <v>199392</v>
      </c>
      <c r="J221" s="11">
        <f>(I221-H221)/1000</f>
        <v/>
      </c>
      <c r="K221" s="7" t="inlineStr">
        <is>
          <t>Yes</t>
        </is>
      </c>
      <c r="L221" s="7" t="n">
        <v>50</v>
      </c>
      <c r="M221" s="12" t="inlineStr">
        <is>
          <t>Barachak Jn, Sitarampur Central, Kulti, Barakar, Kumardubi, Mugma, Thaparnagar, Kalubathan, Chhota Ambana</t>
        </is>
      </c>
    </row>
    <row r="222" ht="34" customHeight="1">
      <c r="A222" s="7" t="inlineStr">
        <is>
          <t>13 Jun</t>
        </is>
      </c>
      <c r="B222" s="7" t="inlineStr">
        <is>
          <t>37244</t>
        </is>
      </c>
      <c r="C222" s="7" t="n">
        <v>8402</v>
      </c>
      <c r="D222" s="7" t="n">
        <v>8307</v>
      </c>
      <c r="E222" s="7" t="n">
        <v>8171</v>
      </c>
      <c r="F222" s="8" t="n">
        <v>31</v>
      </c>
      <c r="G222" s="8" t="n">
        <v>199393</v>
      </c>
      <c r="H222" s="8" t="n">
        <v>342</v>
      </c>
      <c r="I222" s="8" t="n">
        <v>199393</v>
      </c>
      <c r="J222" s="11">
        <f>(I222-H222)/1000</f>
        <v/>
      </c>
      <c r="K222" s="7" t="inlineStr">
        <is>
          <t>Yes</t>
        </is>
      </c>
      <c r="L222" s="7" t="n">
        <v>50</v>
      </c>
      <c r="M222" s="12" t="inlineStr">
        <is>
          <t>Barachak Jn, Sitarampur Central, Kulti, Barakar, Kumardubi, Mugma, Thaparnagar, Kalubathan, Chhota Ambana</t>
        </is>
      </c>
    </row>
    <row r="223" ht="34" customHeight="1">
      <c r="A223" s="7" t="inlineStr">
        <is>
          <t>13 Jun</t>
        </is>
      </c>
      <c r="B223" s="7" t="inlineStr">
        <is>
          <t>39411</t>
        </is>
      </c>
      <c r="C223" s="7" t="n">
        <v>8477</v>
      </c>
      <c r="D223" s="7" t="n">
        <v>8451</v>
      </c>
      <c r="E223" s="7" t="n">
        <v>8210</v>
      </c>
      <c r="F223" s="8" t="n">
        <v>24</v>
      </c>
      <c r="G223" s="8" t="n">
        <v>199393</v>
      </c>
      <c r="H223" s="8" t="n">
        <v>343</v>
      </c>
      <c r="I223" s="8" t="n">
        <v>199393</v>
      </c>
      <c r="J223" s="11">
        <f>(I223-H223)/1000</f>
        <v/>
      </c>
      <c r="K223" s="7" t="inlineStr">
        <is>
          <t>Yes</t>
        </is>
      </c>
      <c r="L223" s="7" t="n">
        <v>50</v>
      </c>
      <c r="M223" s="12" t="inlineStr">
        <is>
          <t>Barachak Jn, Sitarampur Central, Kulti, Barakar, Kumardubi, Mugma, Thaparnagar, Kalubathan, Chhota Ambana</t>
        </is>
      </c>
    </row>
    <row r="224" ht="49" customHeight="1">
      <c r="A224" s="7" t="inlineStr">
        <is>
          <t>13 Jun</t>
        </is>
      </c>
      <c r="B224" s="7" t="inlineStr">
        <is>
          <t>30552</t>
        </is>
      </c>
      <c r="C224" s="7" t="n">
        <v>5258</v>
      </c>
      <c r="D224" s="7" t="n">
        <v>5235</v>
      </c>
      <c r="E224" s="7" t="n">
        <v>5235</v>
      </c>
      <c r="F224" s="8" t="n">
        <v>13210</v>
      </c>
      <c r="G224" s="8" t="n">
        <v>199393</v>
      </c>
      <c r="H224" s="8" t="n">
        <v>13210</v>
      </c>
      <c r="I224" s="8" t="n">
        <v>199393</v>
      </c>
      <c r="J224" s="11">
        <f>(I224-H224)/1000</f>
        <v/>
      </c>
      <c r="K224" s="7" t="inlineStr">
        <is>
          <t>Yes</t>
        </is>
      </c>
      <c r="L224" s="7" t="n">
        <v>44</v>
      </c>
      <c r="M224" s="12" t="inlineStr">
        <is>
          <t>Howrah, Howrah Sorting Yard, Liluah, Belur, Bally, Belanagar, Barachak Jn, Sitarampur Central, Kulti, Barakar, Kumardubi, Mugma, Thaparnagar, Kalubathan, Chhota Ambana</t>
        </is>
      </c>
    </row>
    <row r="225" ht="49" customHeight="1">
      <c r="A225" s="7" t="inlineStr">
        <is>
          <t>13 Jun</t>
        </is>
      </c>
      <c r="B225" s="7" t="inlineStr">
        <is>
          <t>30469</t>
        </is>
      </c>
      <c r="C225" s="7" t="n">
        <v>7956</v>
      </c>
      <c r="D225" s="7" t="n">
        <v>7951</v>
      </c>
      <c r="E225" s="7" t="n">
        <v>7942</v>
      </c>
      <c r="F225" s="8" t="n">
        <v>66486</v>
      </c>
      <c r="G225" s="8" t="n">
        <v>244598</v>
      </c>
      <c r="H225" s="8" t="n">
        <v>66486</v>
      </c>
      <c r="I225" s="8" t="n">
        <v>244369</v>
      </c>
      <c r="J225" s="11">
        <f>(I225-H225)/1000</f>
        <v/>
      </c>
      <c r="K225" s="7" t="inlineStr">
        <is>
          <t>Yes</t>
        </is>
      </c>
      <c r="L225" s="7" t="n">
        <v>41</v>
      </c>
      <c r="M225" s="12" t="inlineStr">
        <is>
          <t>Howrah, Howrah Sorting Yard, Liluah, Belur, Bally, Belanagar, Dankuni, Janai Road, Baruipara, Kamarkundu, LC-31, Chandanpur, LC-38, Belmuri, Cheragram, LC-41, Gurap, LC-48</t>
        </is>
      </c>
    </row>
    <row r="226" ht="79" customHeight="1">
      <c r="A226" s="7" t="inlineStr">
        <is>
          <t>13 Jun</t>
        </is>
      </c>
      <c r="B226" s="7" t="inlineStr">
        <is>
          <t>30487</t>
        </is>
      </c>
      <c r="C226" s="7" t="n">
        <v>7490</v>
      </c>
      <c r="D226" s="7" t="n">
        <v>7469</v>
      </c>
      <c r="E226" s="7" t="n">
        <v>7469</v>
      </c>
      <c r="F226" s="8" t="n">
        <v>12159</v>
      </c>
      <c r="G226" s="8" t="n">
        <v>164986</v>
      </c>
      <c r="H226" s="8" t="n">
        <v>12159</v>
      </c>
      <c r="I226" s="8" t="n">
        <v>164986</v>
      </c>
      <c r="J226" s="11">
        <f>(I226-H226)/1000</f>
        <v/>
      </c>
      <c r="K226" s="7" t="inlineStr">
        <is>
          <t>Yes</t>
        </is>
      </c>
      <c r="L226" s="7" t="n">
        <v>37</v>
      </c>
      <c r="M226" s="12" t="inlineStr">
        <is>
          <t>Howrah, Howrah Sorting Yard, Liluah, Belur, Bally, Andal East Outer, Andal, Baktarnagar B H, Raniganj, Nimcha B H, Ratibati, Kaliphari, Asansol, Barachak Jn, Sitarampur Central, Kulti, Barakar, Kumardubi, Mugma, Thaparnagar, Kalubathan, Chhota Ambana</t>
        </is>
      </c>
    </row>
    <row r="227" ht="109" customHeight="1">
      <c r="A227" s="7" t="inlineStr">
        <is>
          <t>13 Jun</t>
        </is>
      </c>
      <c r="B227" s="7" t="inlineStr">
        <is>
          <t>37360</t>
        </is>
      </c>
      <c r="C227" s="7" t="n">
        <v>3598</v>
      </c>
      <c r="D227" s="7" t="n">
        <v>3573</v>
      </c>
      <c r="E227" s="7" t="n">
        <v>3573</v>
      </c>
      <c r="F227" s="8" t="n">
        <v>101131</v>
      </c>
      <c r="G227" s="8" t="n">
        <v>199393</v>
      </c>
      <c r="H227" s="8" t="n">
        <v>101131</v>
      </c>
      <c r="I227" s="8" t="n">
        <v>199393</v>
      </c>
      <c r="J227" s="11">
        <f>(I227-H227)/1000</f>
        <v/>
      </c>
      <c r="K227" s="7" t="inlineStr">
        <is>
          <t>Yes</t>
        </is>
      </c>
      <c r="L227" s="7" t="n">
        <v>24</v>
      </c>
      <c r="M227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Barachak Jn, Sitarampur Central, Kulti, Barakar, Kumardubi, Mugma, Thaparnagar, Kalubathan, LC-12, Chhota Ambana</t>
        </is>
      </c>
    </row>
    <row r="228" ht="94" customHeight="1">
      <c r="A228" s="7" t="inlineStr">
        <is>
          <t>13 Jun</t>
        </is>
      </c>
      <c r="B228" s="7" t="inlineStr">
        <is>
          <t>30200</t>
        </is>
      </c>
      <c r="C228" s="7" t="n">
        <v>8809</v>
      </c>
      <c r="D228" s="7" t="n">
        <v>8661</v>
      </c>
      <c r="E228" s="7" t="n">
        <v>8477</v>
      </c>
      <c r="F228" s="8" t="n">
        <v>27</v>
      </c>
      <c r="G228" s="8" t="n">
        <v>94624</v>
      </c>
      <c r="H228" s="8" t="n">
        <v>342</v>
      </c>
      <c r="I228" s="8" t="n">
        <v>94624</v>
      </c>
      <c r="J228" s="11">
        <f>(I228-H228)/1000</f>
        <v/>
      </c>
      <c r="K228" s="7" t="inlineStr">
        <is>
          <t>Yes</t>
        </is>
      </c>
      <c r="L228" s="7" t="n">
        <v>26</v>
      </c>
      <c r="M228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9" ht="94" customHeight="1">
      <c r="A229" s="7" t="inlineStr">
        <is>
          <t>13 Jun</t>
        </is>
      </c>
      <c r="B229" s="7" t="inlineStr">
        <is>
          <t>37024</t>
        </is>
      </c>
      <c r="C229" s="7" t="n">
        <v>8640</v>
      </c>
      <c r="D229" s="7" t="n">
        <v>8596</v>
      </c>
      <c r="E229" s="7" t="n">
        <v>8596</v>
      </c>
      <c r="F229" s="8" t="n">
        <v>350</v>
      </c>
      <c r="G229" s="8" t="n">
        <v>94618</v>
      </c>
      <c r="H229" s="8" t="n">
        <v>350</v>
      </c>
      <c r="I229" s="8" t="n">
        <v>94618</v>
      </c>
      <c r="J229" s="11">
        <f>(I229-H229)/1000</f>
        <v/>
      </c>
      <c r="K229" s="7" t="inlineStr">
        <is>
          <t>Yes</t>
        </is>
      </c>
      <c r="L229" s="7" t="n">
        <v>26</v>
      </c>
      <c r="M229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0" ht="94" customHeight="1">
      <c r="A230" s="7" t="inlineStr">
        <is>
          <t>13 Jun</t>
        </is>
      </c>
      <c r="B230" s="7" t="inlineStr">
        <is>
          <t>37005</t>
        </is>
      </c>
      <c r="C230" s="7" t="n">
        <v>8643</v>
      </c>
      <c r="D230" s="7" t="n">
        <v>8584</v>
      </c>
      <c r="E230" s="7" t="n">
        <v>8321</v>
      </c>
      <c r="F230" s="8" t="n">
        <v>23</v>
      </c>
      <c r="G230" s="8" t="n">
        <v>94601</v>
      </c>
      <c r="H230" s="8" t="n">
        <v>342</v>
      </c>
      <c r="I230" s="8" t="n">
        <v>94601</v>
      </c>
      <c r="J230" s="11">
        <f>(I230-H230)/1000</f>
        <v/>
      </c>
      <c r="K230" s="7" t="inlineStr">
        <is>
          <t>Yes</t>
        </is>
      </c>
      <c r="L230" s="7" t="n">
        <v>26</v>
      </c>
      <c r="M230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1" ht="94" customHeight="1">
      <c r="A231" s="7" t="inlineStr">
        <is>
          <t>13 Jun</t>
        </is>
      </c>
      <c r="B231" s="7" t="inlineStr">
        <is>
          <t>37403</t>
        </is>
      </c>
      <c r="C231" s="7" t="n">
        <v>3361</v>
      </c>
      <c r="D231" s="7" t="n">
        <v>3346</v>
      </c>
      <c r="E231" s="7" t="n">
        <v>3346</v>
      </c>
      <c r="F231" s="8" t="n">
        <v>447</v>
      </c>
      <c r="G231" s="8" t="n">
        <v>94621</v>
      </c>
      <c r="H231" s="8" t="n">
        <v>447</v>
      </c>
      <c r="I231" s="8" t="n">
        <v>94621</v>
      </c>
      <c r="J231" s="11">
        <f>(I231-H231)/1000</f>
        <v/>
      </c>
      <c r="K231" s="7" t="inlineStr">
        <is>
          <t>Yes</t>
        </is>
      </c>
      <c r="L231" s="7" t="n">
        <v>26</v>
      </c>
      <c r="M231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2" ht="94" customHeight="1">
      <c r="A232" s="7" t="inlineStr">
        <is>
          <t>13 Jun</t>
        </is>
      </c>
      <c r="B232" s="7" t="inlineStr">
        <is>
          <t>39177</t>
        </is>
      </c>
      <c r="C232" s="7" t="n">
        <v>4105</v>
      </c>
      <c r="D232" s="7" t="n">
        <v>4065</v>
      </c>
      <c r="E232" s="7" t="n">
        <v>4065</v>
      </c>
      <c r="F232" s="8" t="n">
        <v>688</v>
      </c>
      <c r="G232" s="8" t="n">
        <v>94768</v>
      </c>
      <c r="H232" s="8" t="n">
        <v>688</v>
      </c>
      <c r="I232" s="8" t="n">
        <v>94768</v>
      </c>
      <c r="J232" s="11">
        <f>(I232-H232)/1000</f>
        <v/>
      </c>
      <c r="K232" s="7" t="inlineStr">
        <is>
          <t>Yes</t>
        </is>
      </c>
      <c r="L232" s="7" t="n">
        <v>26</v>
      </c>
      <c r="M232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3" ht="94" customHeight="1">
      <c r="A233" s="7" t="inlineStr">
        <is>
          <t>13 Jun</t>
        </is>
      </c>
      <c r="B233" s="7" t="inlineStr">
        <is>
          <t>37168</t>
        </is>
      </c>
      <c r="C233" s="7" t="n">
        <v>3445</v>
      </c>
      <c r="D233" s="7" t="n">
        <v>3389</v>
      </c>
      <c r="E233" s="7" t="n">
        <v>3389</v>
      </c>
      <c r="F233" s="8" t="n">
        <v>849</v>
      </c>
      <c r="G233" s="8" t="n">
        <v>94765</v>
      </c>
      <c r="H233" s="8" t="n">
        <v>849</v>
      </c>
      <c r="I233" s="8" t="n">
        <v>94765</v>
      </c>
      <c r="J233" s="11">
        <f>(I233-H233)/1000</f>
        <v/>
      </c>
      <c r="K233" s="7" t="inlineStr">
        <is>
          <t>Yes</t>
        </is>
      </c>
      <c r="L233" s="7" t="n">
        <v>26</v>
      </c>
      <c r="M233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4" ht="94" customHeight="1">
      <c r="A234" s="7" t="inlineStr">
        <is>
          <t>13 Jun</t>
        </is>
      </c>
      <c r="B234" s="7" t="inlineStr">
        <is>
          <t>30112</t>
        </is>
      </c>
      <c r="C234" s="7" t="n">
        <v>4097</v>
      </c>
      <c r="D234" s="7" t="n">
        <v>4075</v>
      </c>
      <c r="E234" s="7" t="n">
        <v>3917</v>
      </c>
      <c r="F234" s="8" t="n">
        <v>36</v>
      </c>
      <c r="G234" s="8" t="n">
        <v>94113</v>
      </c>
      <c r="H234" s="8" t="n">
        <v>342</v>
      </c>
      <c r="I234" s="8" t="n">
        <v>94113</v>
      </c>
      <c r="J234" s="11">
        <f>(I234-H234)/1000</f>
        <v/>
      </c>
      <c r="K234" s="7" t="inlineStr">
        <is>
          <t>Yes</t>
        </is>
      </c>
      <c r="L234" s="7" t="n">
        <v>26</v>
      </c>
      <c r="M234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5" ht="94" customHeight="1">
      <c r="A235" s="7" t="inlineStr">
        <is>
          <t>13 Jun</t>
        </is>
      </c>
      <c r="B235" s="7" t="inlineStr">
        <is>
          <t>39178</t>
        </is>
      </c>
      <c r="C235" s="7" t="n">
        <v>4511</v>
      </c>
      <c r="D235" s="7" t="n">
        <v>4475</v>
      </c>
      <c r="E235" s="7" t="n">
        <v>4423</v>
      </c>
      <c r="F235" s="8" t="n">
        <v>91</v>
      </c>
      <c r="G235" s="8" t="n">
        <v>94115</v>
      </c>
      <c r="H235" s="8" t="n">
        <v>347</v>
      </c>
      <c r="I235" s="8" t="n">
        <v>94115</v>
      </c>
      <c r="J235" s="11">
        <f>(I235-H235)/1000</f>
        <v/>
      </c>
      <c r="K235" s="7" t="inlineStr">
        <is>
          <t>Yes</t>
        </is>
      </c>
      <c r="L235" s="7" t="n">
        <v>26</v>
      </c>
      <c r="M235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6" ht="109" customHeight="1">
      <c r="A236" s="7" t="inlineStr">
        <is>
          <t>13 Jun</t>
        </is>
      </c>
      <c r="B236" s="7" t="inlineStr">
        <is>
          <t>30371</t>
        </is>
      </c>
      <c r="C236" s="7" t="n">
        <v>2755</v>
      </c>
      <c r="D236" s="7" t="n">
        <v>2750</v>
      </c>
      <c r="E236" s="7" t="n">
        <v>2750</v>
      </c>
      <c r="F236" s="8" t="n">
        <v>12128</v>
      </c>
      <c r="G236" s="8" t="n">
        <v>94651</v>
      </c>
      <c r="H236" s="8" t="n">
        <v>12128</v>
      </c>
      <c r="I236" s="8" t="n">
        <v>94651</v>
      </c>
      <c r="J236" s="11">
        <f>(I236-H236)/1000</f>
        <v/>
      </c>
      <c r="K236" s="7" t="inlineStr">
        <is>
          <t>Yes</t>
        </is>
      </c>
      <c r="L236" s="7" t="n">
        <v>21</v>
      </c>
      <c r="M236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7" ht="109" customHeight="1">
      <c r="A237" s="7" t="inlineStr">
        <is>
          <t>13 Jun</t>
        </is>
      </c>
      <c r="B237" s="7" t="inlineStr">
        <is>
          <t>30676</t>
        </is>
      </c>
      <c r="C237" s="7" t="n">
        <v>3008</v>
      </c>
      <c r="D237" s="7" t="n">
        <v>2995</v>
      </c>
      <c r="E237" s="7" t="n">
        <v>2995</v>
      </c>
      <c r="F237" s="8" t="n">
        <v>12728</v>
      </c>
      <c r="G237" s="8" t="n">
        <v>94110</v>
      </c>
      <c r="H237" s="8" t="n">
        <v>12728</v>
      </c>
      <c r="I237" s="8" t="n">
        <v>94110</v>
      </c>
      <c r="J237" s="11">
        <f>(I237-H237)/1000</f>
        <v/>
      </c>
      <c r="K237" s="7" t="inlineStr">
        <is>
          <t>Yes</t>
        </is>
      </c>
      <c r="L237" s="7" t="n">
        <v>21</v>
      </c>
      <c r="M237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8" ht="124" customHeight="1">
      <c r="A238" s="7" t="inlineStr">
        <is>
          <t>13 Jun</t>
        </is>
      </c>
      <c r="B238" s="7" t="inlineStr">
        <is>
          <t>30203</t>
        </is>
      </c>
      <c r="C238" s="7" t="n">
        <v>2420</v>
      </c>
      <c r="D238" s="7" t="n">
        <v>2418</v>
      </c>
      <c r="E238" s="7" t="n">
        <v>2418</v>
      </c>
      <c r="F238" s="8" t="n">
        <v>12123</v>
      </c>
      <c r="G238" s="8" t="n">
        <v>69353</v>
      </c>
      <c r="H238" s="8" t="n">
        <v>12123</v>
      </c>
      <c r="I238" s="8" t="n">
        <v>69353</v>
      </c>
      <c r="J238" s="11">
        <f>(I238-H238)/1000</f>
        <v/>
      </c>
      <c r="K238" s="7" t="inlineStr">
        <is>
          <t>Yes</t>
        </is>
      </c>
      <c r="L238" s="7" t="n">
        <v>16</v>
      </c>
      <c r="M238" s="12" t="inlineStr">
        <is>
          <t>Howrah, Howrah Sorting Yard, Liluah, Belur, Bally,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39" ht="124" customHeight="1">
      <c r="A239" s="7" t="inlineStr">
        <is>
          <t>13 Jun</t>
        </is>
      </c>
      <c r="B239" s="7" t="inlineStr">
        <is>
          <t>30328</t>
        </is>
      </c>
      <c r="C239" s="7" t="n">
        <v>1748</v>
      </c>
      <c r="D239" s="7" t="n">
        <v>1748</v>
      </c>
      <c r="E239" s="7" t="n">
        <v>1748</v>
      </c>
      <c r="F239" s="8" t="n">
        <v>12113</v>
      </c>
      <c r="G239" s="8" t="n">
        <v>68128</v>
      </c>
      <c r="H239" s="8" t="n">
        <v>12113</v>
      </c>
      <c r="I239" s="8" t="n">
        <v>68128</v>
      </c>
      <c r="J239" s="11">
        <f>(I239-H239)/1000</f>
        <v/>
      </c>
      <c r="K239" s="7" t="inlineStr">
        <is>
          <t>Yes</t>
        </is>
      </c>
      <c r="L239" s="7" t="n">
        <v>16</v>
      </c>
      <c r="M239" s="12" t="inlineStr">
        <is>
          <t>Howrah, Howrah Sorting Yard, Liluah, Belur, Bally,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40" ht="139" customHeight="1">
      <c r="A240" s="7" t="inlineStr">
        <is>
          <t>13 Jun</t>
        </is>
      </c>
      <c r="B240" s="7" t="inlineStr">
        <is>
          <t>39195</t>
        </is>
      </c>
      <c r="C240" s="7" t="n">
        <v>1384</v>
      </c>
      <c r="D240" s="7" t="n">
        <v>1342</v>
      </c>
      <c r="E240" s="7" t="n">
        <v>1342</v>
      </c>
      <c r="F240" s="8" t="n">
        <v>606</v>
      </c>
      <c r="G240" s="8" t="n">
        <v>12291</v>
      </c>
      <c r="H240" s="8" t="n">
        <v>606</v>
      </c>
      <c r="I240" s="8" t="n">
        <v>12291</v>
      </c>
      <c r="J240" s="11">
        <f>(I240-H240)/1000</f>
        <v/>
      </c>
      <c r="K240" s="7" t="inlineStr">
        <is>
          <t>Yes</t>
        </is>
      </c>
      <c r="L240" s="7" t="n">
        <v>7</v>
      </c>
      <c r="M240" s="12" t="inlineStr">
        <is>
          <t>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  ...(+3 more)</t>
        </is>
      </c>
    </row>
    <row r="241" ht="139" customHeight="1">
      <c r="A241" s="7" t="inlineStr">
        <is>
          <t>13 Jun</t>
        </is>
      </c>
      <c r="B241" s="7" t="inlineStr">
        <is>
          <t>39113</t>
        </is>
      </c>
      <c r="C241" s="7" t="n">
        <v>547</v>
      </c>
      <c r="D241" s="7" t="n">
        <v>518</v>
      </c>
      <c r="E241" s="7" t="n">
        <v>508</v>
      </c>
      <c r="F241" s="8" t="n">
        <v>327</v>
      </c>
      <c r="G241" s="8" t="n">
        <v>856</v>
      </c>
      <c r="H241" s="8" t="n">
        <v>342</v>
      </c>
      <c r="I241" s="8" t="n">
        <v>856</v>
      </c>
      <c r="J241" s="11">
        <f>(I241-H241)/1000</f>
        <v/>
      </c>
      <c r="K241" s="7" t="inlineStr">
        <is>
          <t>Yes</t>
        </is>
      </c>
      <c r="L241" s="7" t="n">
        <v>1</v>
      </c>
      <c r="M241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42" ht="139" customHeight="1">
      <c r="A242" s="7" t="inlineStr">
        <is>
          <t>13 Jun</t>
        </is>
      </c>
      <c r="B242" s="7" t="inlineStr">
        <is>
          <t>37586</t>
        </is>
      </c>
      <c r="C242" s="7" t="n">
        <v>144</v>
      </c>
      <c r="D242" s="7" t="n">
        <v>127</v>
      </c>
      <c r="E242" s="7" t="n">
        <v>127</v>
      </c>
      <c r="F242" s="8" t="n">
        <v>654</v>
      </c>
      <c r="G242" s="8" t="n">
        <v>866</v>
      </c>
      <c r="H242" s="8" t="n">
        <v>654</v>
      </c>
      <c r="I242" s="8" t="n">
        <v>866</v>
      </c>
      <c r="J242" s="11">
        <f>(I242-H242)/1000</f>
        <v/>
      </c>
      <c r="K242" s="7" t="inlineStr">
        <is>
          <t>Yes</t>
        </is>
      </c>
      <c r="L242" s="7" t="n">
        <v>1</v>
      </c>
      <c r="M242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43" ht="139" customHeight="1">
      <c r="A243" s="7" t="inlineStr">
        <is>
          <t>13 Jun</t>
        </is>
      </c>
      <c r="B243" s="7" t="inlineStr">
        <is>
          <t>39616</t>
        </is>
      </c>
      <c r="C243" s="7" t="n">
        <v>368</v>
      </c>
      <c r="D243" s="7" t="n">
        <v>277</v>
      </c>
      <c r="E243" s="7" t="n">
        <v>24</v>
      </c>
      <c r="F243" s="8" t="n">
        <v>22</v>
      </c>
      <c r="G243" s="8" t="n">
        <v>395</v>
      </c>
      <c r="H243" s="8" t="n">
        <v>344</v>
      </c>
      <c r="I243" s="8" t="n">
        <v>395</v>
      </c>
      <c r="J243" s="11">
        <f>(I243-H243)/1000</f>
        <v/>
      </c>
      <c r="K243" s="7" t="inlineStr">
        <is>
          <t>Yes</t>
        </is>
      </c>
      <c r="L243" s="7" t="n">
        <v>1</v>
      </c>
      <c r="M243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44" ht="139" customHeight="1">
      <c r="A244" s="9" t="inlineStr">
        <is>
          <t>13 Jun</t>
        </is>
      </c>
      <c r="B244" s="9" t="inlineStr">
        <is>
          <t>30191</t>
        </is>
      </c>
      <c r="C244" s="9" t="n">
        <v>5</v>
      </c>
      <c r="D244" s="9" t="n">
        <v>0</v>
      </c>
      <c r="E244" s="9" t="n">
        <v>0</v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3" t="n">
        <v>0</v>
      </c>
      <c r="K244" s="9" t="inlineStr">
        <is>
          <t>No</t>
        </is>
      </c>
      <c r="L244" s="9" t="n">
        <v>0</v>
      </c>
      <c r="M244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45" ht="139" customHeight="1">
      <c r="A245" s="9" t="inlineStr">
        <is>
          <t>13 Jun</t>
        </is>
      </c>
      <c r="B245" s="9" t="inlineStr">
        <is>
          <t>30503</t>
        </is>
      </c>
      <c r="C245" s="9" t="n">
        <v>5</v>
      </c>
      <c r="D245" s="9" t="n">
        <v>0</v>
      </c>
      <c r="E245" s="9" t="n">
        <v>0</v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3" t="n">
        <v>0</v>
      </c>
      <c r="K245" s="9" t="inlineStr">
        <is>
          <t>No</t>
        </is>
      </c>
      <c r="L245" s="9" t="n">
        <v>0</v>
      </c>
      <c r="M24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46" ht="139" customHeight="1">
      <c r="A246" s="9" t="inlineStr">
        <is>
          <t>13 Jun</t>
        </is>
      </c>
      <c r="B246" s="9" t="inlineStr">
        <is>
          <t>37246</t>
        </is>
      </c>
      <c r="C246" s="9" t="n">
        <v>5</v>
      </c>
      <c r="D246" s="9" t="n">
        <v>0</v>
      </c>
      <c r="E246" s="9" t="n">
        <v>0</v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3" t="n">
        <v>0</v>
      </c>
      <c r="K246" s="9" t="inlineStr">
        <is>
          <t>No</t>
        </is>
      </c>
      <c r="L246" s="9" t="n">
        <v>0</v>
      </c>
      <c r="M24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47" ht="139" customHeight="1">
      <c r="A247" s="9" t="inlineStr">
        <is>
          <t>13 Jun</t>
        </is>
      </c>
      <c r="B247" s="9" t="inlineStr">
        <is>
          <t>37268</t>
        </is>
      </c>
      <c r="C247" s="9" t="n">
        <v>5</v>
      </c>
      <c r="D247" s="9" t="n">
        <v>0</v>
      </c>
      <c r="E247" s="9" t="n">
        <v>0</v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3" t="n">
        <v>0</v>
      </c>
      <c r="K247" s="9" t="inlineStr">
        <is>
          <t>No</t>
        </is>
      </c>
      <c r="L247" s="9" t="n">
        <v>0</v>
      </c>
      <c r="M24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48" ht="139" customHeight="1">
      <c r="A248" s="9" t="inlineStr">
        <is>
          <t>13 Jun</t>
        </is>
      </c>
      <c r="B248" s="9" t="inlineStr">
        <is>
          <t>39053</t>
        </is>
      </c>
      <c r="C248" s="9" t="n">
        <v>5</v>
      </c>
      <c r="D248" s="9" t="n">
        <v>0</v>
      </c>
      <c r="E248" s="9" t="n">
        <v>0</v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3" t="n">
        <v>0</v>
      </c>
      <c r="K248" s="9" t="inlineStr">
        <is>
          <t>No</t>
        </is>
      </c>
      <c r="L248" s="9" t="n">
        <v>0</v>
      </c>
      <c r="M24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49" ht="139" customHeight="1">
      <c r="A249" s="9" t="inlineStr">
        <is>
          <t>13 Jun</t>
        </is>
      </c>
      <c r="B249" s="9" t="inlineStr">
        <is>
          <t>39410</t>
        </is>
      </c>
      <c r="C249" s="9" t="n">
        <v>49</v>
      </c>
      <c r="D249" s="9" t="n">
        <v>29</v>
      </c>
      <c r="E249" s="9" t="n">
        <v>29</v>
      </c>
      <c r="F249" s="10" t="n">
        <v>350</v>
      </c>
      <c r="G249" s="10" t="n">
        <v>350</v>
      </c>
      <c r="H249" s="10" t="n">
        <v>350</v>
      </c>
      <c r="I249" s="10" t="n">
        <v>350</v>
      </c>
      <c r="J249" s="13">
        <f>(I249-H249)/1000</f>
        <v/>
      </c>
      <c r="K249" s="9" t="inlineStr">
        <is>
          <t>No</t>
        </is>
      </c>
      <c r="L249" s="9" t="n">
        <v>1</v>
      </c>
      <c r="M249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50">
      <c r="A250" s="7" t="inlineStr">
        <is>
          <t>14 Jun</t>
        </is>
      </c>
      <c r="B250" s="7" t="inlineStr">
        <is>
          <t>35001</t>
        </is>
      </c>
      <c r="C250" s="7" t="n">
        <v>23784</v>
      </c>
      <c r="D250" s="7" t="n">
        <v>23755</v>
      </c>
      <c r="E250" s="7" t="n">
        <v>23599</v>
      </c>
      <c r="F250" s="8" t="n">
        <v>39</v>
      </c>
      <c r="G250" s="8" t="n">
        <v>246089</v>
      </c>
      <c r="H250" s="8" t="n">
        <v>344</v>
      </c>
      <c r="I250" s="8" t="n">
        <v>244350</v>
      </c>
      <c r="J250" s="11">
        <f>(I250-H250)/1000</f>
        <v/>
      </c>
      <c r="K250" s="7" t="inlineStr">
        <is>
          <t>Yes</t>
        </is>
      </c>
      <c r="L250" s="7" t="n">
        <v>60</v>
      </c>
      <c r="M250" s="12" t="inlineStr">
        <is>
          <t>- (full trip)</t>
        </is>
      </c>
    </row>
    <row r="251">
      <c r="A251" s="7" t="inlineStr">
        <is>
          <t>14 Jun</t>
        </is>
      </c>
      <c r="B251" s="7" t="inlineStr">
        <is>
          <t>37401</t>
        </is>
      </c>
      <c r="C251" s="7" t="n">
        <v>14956</v>
      </c>
      <c r="D251" s="7" t="n">
        <v>14932</v>
      </c>
      <c r="E251" s="7" t="n">
        <v>14819</v>
      </c>
      <c r="F251" s="8" t="n">
        <v>68</v>
      </c>
      <c r="G251" s="8" t="n">
        <v>246052</v>
      </c>
      <c r="H251" s="8" t="n">
        <v>346</v>
      </c>
      <c r="I251" s="8" t="n">
        <v>244358</v>
      </c>
      <c r="J251" s="11">
        <f>(I251-H251)/1000</f>
        <v/>
      </c>
      <c r="K251" s="7" t="inlineStr">
        <is>
          <t>Yes</t>
        </is>
      </c>
      <c r="L251" s="7" t="n">
        <v>60</v>
      </c>
      <c r="M251" s="12" t="inlineStr">
        <is>
          <t>- (full trip)</t>
        </is>
      </c>
    </row>
    <row r="252">
      <c r="A252" s="7" t="inlineStr">
        <is>
          <t>14 Jun</t>
        </is>
      </c>
      <c r="B252" s="7" t="inlineStr">
        <is>
          <t>39263</t>
        </is>
      </c>
      <c r="C252" s="7" t="n">
        <v>7849</v>
      </c>
      <c r="D252" s="7" t="n">
        <v>7845</v>
      </c>
      <c r="E252" s="7" t="n">
        <v>7836</v>
      </c>
      <c r="F252" s="8" t="n">
        <v>12128</v>
      </c>
      <c r="G252" s="8" t="n">
        <v>244578</v>
      </c>
      <c r="H252" s="8" t="n">
        <v>12128</v>
      </c>
      <c r="I252" s="8" t="n">
        <v>244365</v>
      </c>
      <c r="J252" s="11">
        <f>(I252-H252)/1000</f>
        <v/>
      </c>
      <c r="K252" s="7" t="inlineStr">
        <is>
          <t>Yes</t>
        </is>
      </c>
      <c r="L252" s="7" t="n">
        <v>55</v>
      </c>
      <c r="M252" s="12" t="inlineStr">
        <is>
          <t>Howrah, Howrah Sorting Yard, Liluah, Belur, Bally</t>
        </is>
      </c>
    </row>
    <row r="253">
      <c r="A253" s="7" t="inlineStr">
        <is>
          <t>14 Jun</t>
        </is>
      </c>
      <c r="B253" s="7" t="inlineStr">
        <is>
          <t>37609</t>
        </is>
      </c>
      <c r="C253" s="7" t="n">
        <v>11343</v>
      </c>
      <c r="D253" s="7" t="n">
        <v>11333</v>
      </c>
      <c r="E253" s="7" t="n">
        <v>11276</v>
      </c>
      <c r="F253" s="8" t="n">
        <v>12129</v>
      </c>
      <c r="G253" s="8" t="n">
        <v>246056</v>
      </c>
      <c r="H253" s="8" t="n">
        <v>12129</v>
      </c>
      <c r="I253" s="8" t="n">
        <v>244358</v>
      </c>
      <c r="J253" s="11">
        <f>(I253-H253)/1000</f>
        <v/>
      </c>
      <c r="K253" s="7" t="inlineStr">
        <is>
          <t>Yes</t>
        </is>
      </c>
      <c r="L253" s="7" t="n">
        <v>55</v>
      </c>
      <c r="M253" s="12" t="inlineStr">
        <is>
          <t>Howrah, Howrah Sorting Yard, Liluah, Belur, Bally</t>
        </is>
      </c>
    </row>
    <row r="254" ht="34" customHeight="1">
      <c r="A254" s="7" t="inlineStr">
        <is>
          <t>14 Jun</t>
        </is>
      </c>
      <c r="B254" s="7" t="inlineStr">
        <is>
          <t>37272</t>
        </is>
      </c>
      <c r="C254" s="7" t="n">
        <v>13039</v>
      </c>
      <c r="D254" s="7" t="n">
        <v>13001</v>
      </c>
      <c r="E254" s="7" t="n">
        <v>12826</v>
      </c>
      <c r="F254" s="8" t="n">
        <v>17</v>
      </c>
      <c r="G254" s="8" t="n">
        <v>200092</v>
      </c>
      <c r="H254" s="8" t="n">
        <v>342</v>
      </c>
      <c r="I254" s="8" t="n">
        <v>200092</v>
      </c>
      <c r="J254" s="11">
        <f>(I254-H254)/1000</f>
        <v/>
      </c>
      <c r="K254" s="7" t="inlineStr">
        <is>
          <t>Yes</t>
        </is>
      </c>
      <c r="L254" s="7" t="n">
        <v>50</v>
      </c>
      <c r="M254" s="12" t="inlineStr">
        <is>
          <t>Barachak Jn, Sitarampur Central, Kulti, Barakar, Kumardubi, Mugma, Thaparnagar, Kalubathan, Chhota Ambana</t>
        </is>
      </c>
    </row>
    <row r="255" ht="34" customHeight="1">
      <c r="A255" s="7" t="inlineStr">
        <is>
          <t>14 Jun</t>
        </is>
      </c>
      <c r="B255" s="7" t="inlineStr">
        <is>
          <t>30503</t>
        </is>
      </c>
      <c r="C255" s="7" t="n">
        <v>7389</v>
      </c>
      <c r="D255" s="7" t="n">
        <v>7358</v>
      </c>
      <c r="E255" s="7" t="n">
        <v>7358</v>
      </c>
      <c r="F255" s="8" t="n">
        <v>350</v>
      </c>
      <c r="G255" s="8" t="n">
        <v>200093</v>
      </c>
      <c r="H255" s="8" t="n">
        <v>350</v>
      </c>
      <c r="I255" s="8" t="n">
        <v>200093</v>
      </c>
      <c r="J255" s="11">
        <f>(I255-H255)/1000</f>
        <v/>
      </c>
      <c r="K255" s="7" t="inlineStr">
        <is>
          <t>Yes</t>
        </is>
      </c>
      <c r="L255" s="7" t="n">
        <v>50</v>
      </c>
      <c r="M255" s="12" t="inlineStr">
        <is>
          <t>Barachak Jn, Sitarampur Central, Kulti, Barakar, Kumardubi, Mugma, Thaparnagar, Kalubathan, Chhota Ambana</t>
        </is>
      </c>
    </row>
    <row r="256" ht="34" customHeight="1">
      <c r="A256" s="7" t="inlineStr">
        <is>
          <t>14 Jun</t>
        </is>
      </c>
      <c r="B256" s="7" t="inlineStr">
        <is>
          <t>39411</t>
        </is>
      </c>
      <c r="C256" s="7" t="n">
        <v>7257</v>
      </c>
      <c r="D256" s="7" t="n">
        <v>7224</v>
      </c>
      <c r="E256" s="7" t="n">
        <v>7224</v>
      </c>
      <c r="F256" s="8" t="n">
        <v>350</v>
      </c>
      <c r="G256" s="8" t="n">
        <v>200093</v>
      </c>
      <c r="H256" s="8" t="n">
        <v>350</v>
      </c>
      <c r="I256" s="8" t="n">
        <v>200093</v>
      </c>
      <c r="J256" s="11">
        <f>(I256-H256)/1000</f>
        <v/>
      </c>
      <c r="K256" s="7" t="inlineStr">
        <is>
          <t>Yes</t>
        </is>
      </c>
      <c r="L256" s="7" t="n">
        <v>50</v>
      </c>
      <c r="M256" s="12" t="inlineStr">
        <is>
          <t>Barachak Jn, Sitarampur Central, Kulti, Barakar, Kumardubi, Mugma, Thaparnagar, Kalubathan, Chhota Ambana</t>
        </is>
      </c>
    </row>
    <row r="257" ht="34" customHeight="1">
      <c r="A257" s="7" t="inlineStr">
        <is>
          <t>14 Jun</t>
        </is>
      </c>
      <c r="B257" s="7" t="inlineStr">
        <is>
          <t>39111</t>
        </is>
      </c>
      <c r="C257" s="7" t="n">
        <v>13169</v>
      </c>
      <c r="D257" s="7" t="n">
        <v>13103</v>
      </c>
      <c r="E257" s="7" t="n">
        <v>12952</v>
      </c>
      <c r="F257" s="8" t="n">
        <v>31</v>
      </c>
      <c r="G257" s="8" t="n">
        <v>200075</v>
      </c>
      <c r="H257" s="8" t="n">
        <v>342</v>
      </c>
      <c r="I257" s="8" t="n">
        <v>200075</v>
      </c>
      <c r="J257" s="11">
        <f>(I257-H257)/1000</f>
        <v/>
      </c>
      <c r="K257" s="7" t="inlineStr">
        <is>
          <t>Yes</t>
        </is>
      </c>
      <c r="L257" s="7" t="n">
        <v>50</v>
      </c>
      <c r="M257" s="12" t="inlineStr">
        <is>
          <t>Barachak Jn, Sitarampur Central, Kulti, Barakar, Kumardubi, Mugma, Thaparnagar, Kalubathan, Chhota Ambana</t>
        </is>
      </c>
    </row>
    <row r="258" ht="34" customHeight="1">
      <c r="A258" s="7" t="inlineStr">
        <is>
          <t>14 Jun</t>
        </is>
      </c>
      <c r="B258" s="7" t="inlineStr">
        <is>
          <t>37586</t>
        </is>
      </c>
      <c r="C258" s="7" t="n">
        <v>7600</v>
      </c>
      <c r="D258" s="7" t="n">
        <v>7596</v>
      </c>
      <c r="E258" s="7" t="n">
        <v>7596</v>
      </c>
      <c r="F258" s="8" t="n">
        <v>866</v>
      </c>
      <c r="G258" s="8" t="n">
        <v>200091</v>
      </c>
      <c r="H258" s="8" t="n">
        <v>866</v>
      </c>
      <c r="I258" s="8" t="n">
        <v>200091</v>
      </c>
      <c r="J258" s="11">
        <f>(I258-H258)/1000</f>
        <v/>
      </c>
      <c r="K258" s="7" t="inlineStr">
        <is>
          <t>Yes</t>
        </is>
      </c>
      <c r="L258" s="7" t="n">
        <v>50</v>
      </c>
      <c r="M258" s="12" t="inlineStr">
        <is>
          <t>Barachak Jn, Sitarampur Central, Kulti, Barakar, Kumardubi, Mugma, Thaparnagar, Kalubathan, Chhota Ambana</t>
        </is>
      </c>
    </row>
    <row r="259" ht="34" customHeight="1">
      <c r="A259" s="7" t="inlineStr">
        <is>
          <t>14 Jun</t>
        </is>
      </c>
      <c r="B259" s="7" t="inlineStr">
        <is>
          <t>30508</t>
        </is>
      </c>
      <c r="C259" s="7" t="n">
        <v>9443</v>
      </c>
      <c r="D259" s="7" t="n">
        <v>9411</v>
      </c>
      <c r="E259" s="7" t="n">
        <v>9055</v>
      </c>
      <c r="F259" s="8" t="n">
        <v>24</v>
      </c>
      <c r="G259" s="8" t="n">
        <v>199389</v>
      </c>
      <c r="H259" s="8" t="n">
        <v>343</v>
      </c>
      <c r="I259" s="8" t="n">
        <v>199389</v>
      </c>
      <c r="J259" s="11">
        <f>(I259-H259)/1000</f>
        <v/>
      </c>
      <c r="K259" s="7" t="inlineStr">
        <is>
          <t>Yes</t>
        </is>
      </c>
      <c r="L259" s="7" t="n">
        <v>50</v>
      </c>
      <c r="M259" s="12" t="inlineStr">
        <is>
          <t>Barachak Jn, Sitarampur Central, Kulti, Barakar, Kumardubi, Mugma, Thaparnagar, Kalubathan, Chhota Ambana</t>
        </is>
      </c>
    </row>
    <row r="260" ht="34" customHeight="1">
      <c r="A260" s="7" t="inlineStr">
        <is>
          <t>14 Jun</t>
        </is>
      </c>
      <c r="B260" s="7" t="inlineStr">
        <is>
          <t>37040</t>
        </is>
      </c>
      <c r="C260" s="7" t="n">
        <v>9572</v>
      </c>
      <c r="D260" s="7" t="n">
        <v>9542</v>
      </c>
      <c r="E260" s="7" t="n">
        <v>9382</v>
      </c>
      <c r="F260" s="8" t="n">
        <v>30</v>
      </c>
      <c r="G260" s="8" t="n">
        <v>199392</v>
      </c>
      <c r="H260" s="8" t="n">
        <v>343</v>
      </c>
      <c r="I260" s="8" t="n">
        <v>199392</v>
      </c>
      <c r="J260" s="11">
        <f>(I260-H260)/1000</f>
        <v/>
      </c>
      <c r="K260" s="7" t="inlineStr">
        <is>
          <t>Yes</t>
        </is>
      </c>
      <c r="L260" s="7" t="n">
        <v>50</v>
      </c>
      <c r="M260" s="12" t="inlineStr">
        <is>
          <t>Barachak Jn, Sitarampur Central, Kulti, Barakar, Kumardubi, Mugma, Thaparnagar, Kalubathan, Chhota Ambana</t>
        </is>
      </c>
    </row>
    <row r="261" ht="34" customHeight="1">
      <c r="A261" s="7" t="inlineStr">
        <is>
          <t>14 Jun</t>
        </is>
      </c>
      <c r="B261" s="7" t="inlineStr">
        <is>
          <t>39178</t>
        </is>
      </c>
      <c r="C261" s="7" t="n">
        <v>7665</v>
      </c>
      <c r="D261" s="7" t="n">
        <v>7642</v>
      </c>
      <c r="E261" s="7" t="n">
        <v>7642</v>
      </c>
      <c r="F261" s="8" t="n">
        <v>547</v>
      </c>
      <c r="G261" s="8" t="n">
        <v>199289</v>
      </c>
      <c r="H261" s="8" t="n">
        <v>547</v>
      </c>
      <c r="I261" s="8" t="n">
        <v>199289</v>
      </c>
      <c r="J261" s="11">
        <f>(I261-H261)/1000</f>
        <v/>
      </c>
      <c r="K261" s="7" t="inlineStr">
        <is>
          <t>Yes</t>
        </is>
      </c>
      <c r="L261" s="7" t="n">
        <v>50</v>
      </c>
      <c r="M261" s="12" t="inlineStr">
        <is>
          <t>Barachak Jn, Sitarampur Central, Kulti, Barakar, Kumardubi, Mugma, Thaparnagar, Kalubathan, Chhota Ambana</t>
        </is>
      </c>
    </row>
    <row r="262" ht="34" customHeight="1">
      <c r="A262" s="7" t="inlineStr">
        <is>
          <t>14 Jun</t>
        </is>
      </c>
      <c r="B262" s="7" t="inlineStr">
        <is>
          <t>37527</t>
        </is>
      </c>
      <c r="C262" s="7" t="n">
        <v>253</v>
      </c>
      <c r="D262" s="7" t="n">
        <v>117</v>
      </c>
      <c r="E262" s="7" t="n">
        <v>117</v>
      </c>
      <c r="F262" s="8" t="n">
        <v>688</v>
      </c>
      <c r="G262" s="8" t="n">
        <v>199393</v>
      </c>
      <c r="H262" s="8" t="n">
        <v>688</v>
      </c>
      <c r="I262" s="8" t="n">
        <v>199393</v>
      </c>
      <c r="J262" s="11">
        <f>(I262-H262)/1000</f>
        <v/>
      </c>
      <c r="K262" s="7" t="inlineStr">
        <is>
          <t>Yes</t>
        </is>
      </c>
      <c r="L262" s="7" t="n">
        <v>50</v>
      </c>
      <c r="M262" s="12" t="inlineStr">
        <is>
          <t>Barachak Jn, Sitarampur Central, Kulti, Barakar, Kumardubi, Mugma, Thaparnagar, Kalubathan, Chhota Ambana</t>
        </is>
      </c>
    </row>
    <row r="263" ht="34" customHeight="1">
      <c r="A263" s="7" t="inlineStr">
        <is>
          <t>14 Jun</t>
        </is>
      </c>
      <c r="B263" s="7" t="inlineStr">
        <is>
          <t>37779</t>
        </is>
      </c>
      <c r="C263" s="7" t="n">
        <v>13497</v>
      </c>
      <c r="D263" s="7" t="n">
        <v>13438</v>
      </c>
      <c r="E263" s="7" t="n">
        <v>13438</v>
      </c>
      <c r="F263" s="8" t="n">
        <v>691</v>
      </c>
      <c r="G263" s="8" t="n">
        <v>199393</v>
      </c>
      <c r="H263" s="8" t="n">
        <v>691</v>
      </c>
      <c r="I263" s="8" t="n">
        <v>199393</v>
      </c>
      <c r="J263" s="11">
        <f>(I263-H263)/1000</f>
        <v/>
      </c>
      <c r="K263" s="7" t="inlineStr">
        <is>
          <t>Yes</t>
        </is>
      </c>
      <c r="L263" s="7" t="n">
        <v>50</v>
      </c>
      <c r="M263" s="12" t="inlineStr">
        <is>
          <t>Barachak Jn, Sitarampur Central, Kulti, Barakar, Kumardubi, Mugma, Thaparnagar, Kalubathan, Chhota Ambana</t>
        </is>
      </c>
    </row>
    <row r="264" ht="49" customHeight="1">
      <c r="A264" s="7" t="inlineStr">
        <is>
          <t>14 Jun</t>
        </is>
      </c>
      <c r="B264" s="7" t="inlineStr">
        <is>
          <t>30328</t>
        </is>
      </c>
      <c r="C264" s="7" t="n">
        <v>6644</v>
      </c>
      <c r="D264" s="7" t="n">
        <v>6637</v>
      </c>
      <c r="E264" s="7" t="n">
        <v>6627</v>
      </c>
      <c r="F264" s="8" t="n">
        <v>68088</v>
      </c>
      <c r="G264" s="8" t="n">
        <v>244626</v>
      </c>
      <c r="H264" s="8" t="n">
        <v>68088</v>
      </c>
      <c r="I264" s="8" t="n">
        <v>244376</v>
      </c>
      <c r="J264" s="11">
        <f>(I264-H264)/1000</f>
        <v/>
      </c>
      <c r="K264" s="7" t="inlineStr">
        <is>
          <t>Yes</t>
        </is>
      </c>
      <c r="L264" s="7" t="n">
        <v>41</v>
      </c>
      <c r="M264" s="12" t="inlineStr">
        <is>
          <t>Howrah, Howrah Sorting Yard, Liluah, Belur, Bally, Belanagar, Dankuni, Janai Road, Baruipara, Kamarkundu, LC-31, Chandanpur, LC-38, Belmuri, Cheragram, LC-41, Gurap, LC-48</t>
        </is>
      </c>
    </row>
    <row r="265" ht="94" customHeight="1">
      <c r="A265" s="7" t="inlineStr">
        <is>
          <t>14 Jun</t>
        </is>
      </c>
      <c r="B265" s="7" t="inlineStr">
        <is>
          <t>37268</t>
        </is>
      </c>
      <c r="C265" s="7" t="n">
        <v>7995</v>
      </c>
      <c r="D265" s="7" t="n">
        <v>7968</v>
      </c>
      <c r="E265" s="7" t="n">
        <v>7783</v>
      </c>
      <c r="F265" s="8" t="n">
        <v>34</v>
      </c>
      <c r="G265" s="8" t="n">
        <v>94620</v>
      </c>
      <c r="H265" s="8" t="n">
        <v>342</v>
      </c>
      <c r="I265" s="8" t="n">
        <v>94620</v>
      </c>
      <c r="J265" s="11">
        <f>(I265-H265)/1000</f>
        <v/>
      </c>
      <c r="K265" s="7" t="inlineStr">
        <is>
          <t>Yes</t>
        </is>
      </c>
      <c r="L265" s="7" t="n">
        <v>26</v>
      </c>
      <c r="M265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6" ht="94" customHeight="1">
      <c r="A266" s="7" t="inlineStr">
        <is>
          <t>14 Jun</t>
        </is>
      </c>
      <c r="B266" s="7" t="inlineStr">
        <is>
          <t>37024</t>
        </is>
      </c>
      <c r="C266" s="7" t="n">
        <v>8661</v>
      </c>
      <c r="D266" s="7" t="n">
        <v>8615</v>
      </c>
      <c r="E266" s="7" t="n">
        <v>8457</v>
      </c>
      <c r="F266" s="8" t="n">
        <v>39</v>
      </c>
      <c r="G266" s="8" t="n">
        <v>94604</v>
      </c>
      <c r="H266" s="8" t="n">
        <v>344</v>
      </c>
      <c r="I266" s="8" t="n">
        <v>94604</v>
      </c>
      <c r="J266" s="11">
        <f>(I266-H266)/1000</f>
        <v/>
      </c>
      <c r="K266" s="7" t="inlineStr">
        <is>
          <t>Yes</t>
        </is>
      </c>
      <c r="L266" s="7" t="n">
        <v>26</v>
      </c>
      <c r="M266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7" ht="94" customHeight="1">
      <c r="A267" s="7" t="inlineStr">
        <is>
          <t>14 Jun</t>
        </is>
      </c>
      <c r="B267" s="7" t="inlineStr">
        <is>
          <t>37719</t>
        </is>
      </c>
      <c r="C267" s="7" t="n">
        <v>3703</v>
      </c>
      <c r="D267" s="7" t="n">
        <v>3679</v>
      </c>
      <c r="E267" s="7" t="n">
        <v>3679</v>
      </c>
      <c r="F267" s="8" t="n">
        <v>609</v>
      </c>
      <c r="G267" s="8" t="n">
        <v>94737</v>
      </c>
      <c r="H267" s="8" t="n">
        <v>609</v>
      </c>
      <c r="I267" s="8" t="n">
        <v>94737</v>
      </c>
      <c r="J267" s="11">
        <f>(I267-H267)/1000</f>
        <v/>
      </c>
      <c r="K267" s="7" t="inlineStr">
        <is>
          <t>Yes</t>
        </is>
      </c>
      <c r="L267" s="7" t="n">
        <v>26</v>
      </c>
      <c r="M267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8" ht="94" customHeight="1">
      <c r="A268" s="7" t="inlineStr">
        <is>
          <t>14 Jun</t>
        </is>
      </c>
      <c r="B268" s="7" t="inlineStr">
        <is>
          <t>37907</t>
        </is>
      </c>
      <c r="C268" s="7" t="n">
        <v>4629</v>
      </c>
      <c r="D268" s="7" t="n">
        <v>4607</v>
      </c>
      <c r="E268" s="7" t="n">
        <v>4452</v>
      </c>
      <c r="F268" s="8" t="n">
        <v>86</v>
      </c>
      <c r="G268" s="8" t="n">
        <v>94112</v>
      </c>
      <c r="H268" s="8" t="n">
        <v>342</v>
      </c>
      <c r="I268" s="8" t="n">
        <v>94112</v>
      </c>
      <c r="J268" s="11">
        <f>(I268-H268)/1000</f>
        <v/>
      </c>
      <c r="K268" s="7" t="inlineStr">
        <is>
          <t>Yes</t>
        </is>
      </c>
      <c r="L268" s="7" t="n">
        <v>26</v>
      </c>
      <c r="M268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9" ht="94" customHeight="1">
      <c r="A269" s="7" t="inlineStr">
        <is>
          <t>14 Jun</t>
        </is>
      </c>
      <c r="B269" s="7" t="inlineStr">
        <is>
          <t>37244</t>
        </is>
      </c>
      <c r="C269" s="7" t="n">
        <v>2694</v>
      </c>
      <c r="D269" s="7" t="n">
        <v>2692</v>
      </c>
      <c r="E269" s="7" t="n">
        <v>2692</v>
      </c>
      <c r="F269" s="8" t="n">
        <v>6451</v>
      </c>
      <c r="G269" s="8" t="n">
        <v>97876</v>
      </c>
      <c r="H269" s="8" t="n">
        <v>6451</v>
      </c>
      <c r="I269" s="8" t="n">
        <v>97876</v>
      </c>
      <c r="J269" s="11">
        <f>(I269-H269)/1000</f>
        <v/>
      </c>
      <c r="K269" s="7" t="inlineStr">
        <is>
          <t>Yes</t>
        </is>
      </c>
      <c r="L269" s="7" t="n">
        <v>24</v>
      </c>
      <c r="M269" s="12" t="inlineStr">
        <is>
          <t>Howrah, Howrah Sorting Yard, Liluah,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0" ht="109" customHeight="1">
      <c r="A270" s="7" t="inlineStr">
        <is>
          <t>14 Jun</t>
        </is>
      </c>
      <c r="B270" s="7" t="inlineStr">
        <is>
          <t>30329</t>
        </is>
      </c>
      <c r="C270" s="7" t="n">
        <v>5726</v>
      </c>
      <c r="D270" s="7" t="n">
        <v>5707</v>
      </c>
      <c r="E270" s="7" t="n">
        <v>5707</v>
      </c>
      <c r="F270" s="8" t="n">
        <v>12128</v>
      </c>
      <c r="G270" s="8" t="n">
        <v>94648</v>
      </c>
      <c r="H270" s="8" t="n">
        <v>12128</v>
      </c>
      <c r="I270" s="8" t="n">
        <v>94648</v>
      </c>
      <c r="J270" s="11">
        <f>(I270-H270)/1000</f>
        <v/>
      </c>
      <c r="K270" s="7" t="inlineStr">
        <is>
          <t>Yes</t>
        </is>
      </c>
      <c r="L270" s="7" t="n">
        <v>21</v>
      </c>
      <c r="M270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1" ht="109" customHeight="1">
      <c r="A271" s="7" t="inlineStr">
        <is>
          <t>14 Jun</t>
        </is>
      </c>
      <c r="B271" s="7" t="inlineStr">
        <is>
          <t>30692</t>
        </is>
      </c>
      <c r="C271" s="7" t="n">
        <v>2087</v>
      </c>
      <c r="D271" s="7" t="n">
        <v>2083</v>
      </c>
      <c r="E271" s="7" t="n">
        <v>2083</v>
      </c>
      <c r="F271" s="8" t="n">
        <v>27868</v>
      </c>
      <c r="G271" s="8" t="n">
        <v>97825</v>
      </c>
      <c r="H271" s="8" t="n">
        <v>27868</v>
      </c>
      <c r="I271" s="8" t="n">
        <v>97825</v>
      </c>
      <c r="J271" s="11">
        <f>(I271-H271)/1000</f>
        <v/>
      </c>
      <c r="K271" s="7" t="inlineStr">
        <is>
          <t>Yes</t>
        </is>
      </c>
      <c r="L271" s="7" t="n">
        <v>18</v>
      </c>
      <c r="M271" s="12" t="inlineStr">
        <is>
          <t>Howrah, Howrah Sorting Yard, Liluah, Belur, Bally, Belanagar, Dankuni, LC-12, Janai Road,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272" ht="124" customHeight="1">
      <c r="A272" s="7" t="inlineStr">
        <is>
          <t>14 Jun</t>
        </is>
      </c>
      <c r="B272" s="7" t="inlineStr">
        <is>
          <t>30468</t>
        </is>
      </c>
      <c r="C272" s="7" t="n">
        <v>850</v>
      </c>
      <c r="D272" s="7" t="n">
        <v>850</v>
      </c>
      <c r="E272" s="7" t="n">
        <v>850</v>
      </c>
      <c r="F272" s="8" t="n">
        <v>12124</v>
      </c>
      <c r="G272" s="8" t="n">
        <v>68499</v>
      </c>
      <c r="H272" s="8" t="n">
        <v>12124</v>
      </c>
      <c r="I272" s="8" t="n">
        <v>68499</v>
      </c>
      <c r="J272" s="11">
        <f>(I272-H272)/1000</f>
        <v/>
      </c>
      <c r="K272" s="7" t="inlineStr">
        <is>
          <t>Yes</t>
        </is>
      </c>
      <c r="L272" s="7" t="n">
        <v>16</v>
      </c>
      <c r="M272" s="12" t="inlineStr">
        <is>
          <t>Howrah, Howrah Sorting Yard, Liluah, Belur, Bally,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3" ht="124" customHeight="1">
      <c r="A273" s="7" t="inlineStr">
        <is>
          <t>14 Jun</t>
        </is>
      </c>
      <c r="B273" s="7" t="inlineStr">
        <is>
          <t>37610</t>
        </is>
      </c>
      <c r="C273" s="7" t="n">
        <v>2225</v>
      </c>
      <c r="D273" s="7" t="n">
        <v>2213</v>
      </c>
      <c r="E273" s="7" t="n">
        <v>2213</v>
      </c>
      <c r="F273" s="8" t="n">
        <v>159645</v>
      </c>
      <c r="G273" s="8" t="n">
        <v>199537</v>
      </c>
      <c r="H273" s="8" t="n">
        <v>159645</v>
      </c>
      <c r="I273" s="8" t="n">
        <v>199537</v>
      </c>
      <c r="J273" s="11">
        <f>(I273-H273)/1000</f>
        <v/>
      </c>
      <c r="K273" s="7" t="inlineStr">
        <is>
          <t>Yes</t>
        </is>
      </c>
      <c r="L273" s="7" t="n">
        <v>11</v>
      </c>
      <c r="M273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Barachak Jn, Sitarampur Central, Kulti, Barakar, Kumardubi, Mugma, Thaparnagar, Kalubathan, LC-12, Chhota Ambana</t>
        </is>
      </c>
    </row>
    <row r="274" ht="124" customHeight="1">
      <c r="A274" s="7" t="inlineStr">
        <is>
          <t>14 Jun</t>
        </is>
      </c>
      <c r="B274" s="7" t="inlineStr">
        <is>
          <t>39135</t>
        </is>
      </c>
      <c r="C274" s="7" t="n">
        <v>1978</v>
      </c>
      <c r="D274" s="7" t="n">
        <v>1525</v>
      </c>
      <c r="E274" s="7" t="n">
        <v>1525</v>
      </c>
      <c r="F274" s="8" t="n">
        <v>690</v>
      </c>
      <c r="G274" s="8" t="n">
        <v>29996</v>
      </c>
      <c r="H274" s="8" t="n">
        <v>690</v>
      </c>
      <c r="I274" s="8" t="n">
        <v>29996</v>
      </c>
      <c r="J274" s="11">
        <f>(I274-H274)/1000</f>
        <v/>
      </c>
      <c r="K274" s="7" t="inlineStr">
        <is>
          <t>Yes</t>
        </is>
      </c>
      <c r="L274" s="7" t="n">
        <v>11</v>
      </c>
      <c r="M274" s="12" t="inlineStr">
        <is>
          <t>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5" ht="139" customHeight="1">
      <c r="A275" s="7" t="inlineStr">
        <is>
          <t>14 Jun</t>
        </is>
      </c>
      <c r="B275" s="7" t="inlineStr">
        <is>
          <t>37456</t>
        </is>
      </c>
      <c r="C275" s="7" t="n">
        <v>1028</v>
      </c>
      <c r="D275" s="7" t="n">
        <v>961</v>
      </c>
      <c r="E275" s="7" t="n">
        <v>961</v>
      </c>
      <c r="F275" s="8" t="n">
        <v>849</v>
      </c>
      <c r="G275" s="8" t="n">
        <v>12256</v>
      </c>
      <c r="H275" s="8" t="n">
        <v>849</v>
      </c>
      <c r="I275" s="8" t="n">
        <v>12256</v>
      </c>
      <c r="J275" s="11">
        <f>(I275-H275)/1000</f>
        <v/>
      </c>
      <c r="K275" s="7" t="inlineStr">
        <is>
          <t>Yes</t>
        </is>
      </c>
      <c r="L275" s="7" t="n">
        <v>7</v>
      </c>
      <c r="M275" s="12" t="inlineStr">
        <is>
          <t>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  ...(+3 more)</t>
        </is>
      </c>
    </row>
    <row r="276" ht="139" customHeight="1">
      <c r="A276" s="7" t="inlineStr">
        <is>
          <t>14 Jun</t>
        </is>
      </c>
      <c r="B276" s="7" t="inlineStr">
        <is>
          <t>30552</t>
        </is>
      </c>
      <c r="C276" s="7" t="n">
        <v>37</v>
      </c>
      <c r="D276" s="7" t="n">
        <v>32</v>
      </c>
      <c r="E276" s="7" t="n">
        <v>32</v>
      </c>
      <c r="F276" s="8" t="n">
        <v>12707</v>
      </c>
      <c r="G276" s="8" t="n">
        <v>13219</v>
      </c>
      <c r="H276" s="8" t="n">
        <v>12707</v>
      </c>
      <c r="I276" s="8" t="n">
        <v>13219</v>
      </c>
      <c r="J276" s="11">
        <f>(I276-H276)/1000</f>
        <v/>
      </c>
      <c r="K276" s="7" t="inlineStr">
        <is>
          <t>Yes</t>
        </is>
      </c>
      <c r="L276" s="7" t="n">
        <v>2</v>
      </c>
      <c r="M276" s="12" t="inlineStr">
        <is>
          <t>Howrah, Howrah Sorting Yard, Liluah, Belur, Bally,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277" ht="139" customHeight="1">
      <c r="A277" s="9" t="inlineStr">
        <is>
          <t>14 Jun</t>
        </is>
      </c>
      <c r="B277" s="9" t="inlineStr">
        <is>
          <t>30200</t>
        </is>
      </c>
      <c r="C277" s="9" t="n">
        <v>32</v>
      </c>
      <c r="D277" s="9" t="n">
        <v>23</v>
      </c>
      <c r="E277" s="9" t="n">
        <v>23</v>
      </c>
      <c r="F277" s="10" t="n">
        <v>350</v>
      </c>
      <c r="G277" s="10" t="n">
        <v>350</v>
      </c>
      <c r="H277" s="10" t="n">
        <v>350</v>
      </c>
      <c r="I277" s="10" t="n">
        <v>350</v>
      </c>
      <c r="J277" s="13">
        <f>(I277-H277)/1000</f>
        <v/>
      </c>
      <c r="K277" s="9" t="inlineStr">
        <is>
          <t>No</t>
        </is>
      </c>
      <c r="L277" s="9" t="n">
        <v>1</v>
      </c>
      <c r="M277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78" ht="139" customHeight="1">
      <c r="A278" s="9" t="inlineStr">
        <is>
          <t>14 Jun</t>
        </is>
      </c>
      <c r="B278" s="9" t="inlineStr">
        <is>
          <t>30490</t>
        </is>
      </c>
      <c r="C278" s="9" t="n">
        <v>5</v>
      </c>
      <c r="D278" s="9" t="n">
        <v>0</v>
      </c>
      <c r="E278" s="9" t="n">
        <v>0</v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3" t="n">
        <v>0</v>
      </c>
      <c r="K278" s="9" t="inlineStr">
        <is>
          <t>No</t>
        </is>
      </c>
      <c r="L278" s="9" t="n">
        <v>0</v>
      </c>
      <c r="M27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79" ht="139" customHeight="1">
      <c r="A279" s="9" t="inlineStr">
        <is>
          <t>14 Jun</t>
        </is>
      </c>
      <c r="B279" s="9" t="inlineStr">
        <is>
          <t>35048</t>
        </is>
      </c>
      <c r="C279" s="9" t="n">
        <v>5</v>
      </c>
      <c r="D279" s="9" t="n">
        <v>0</v>
      </c>
      <c r="E279" s="9" t="n">
        <v>0</v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3" t="n">
        <v>0</v>
      </c>
      <c r="K279" s="9" t="inlineStr">
        <is>
          <t>No</t>
        </is>
      </c>
      <c r="L279" s="9" t="n">
        <v>0</v>
      </c>
      <c r="M279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0" ht="139" customHeight="1">
      <c r="A280" s="9" t="inlineStr">
        <is>
          <t>14 Jun</t>
        </is>
      </c>
      <c r="B280" s="9" t="inlineStr">
        <is>
          <t>35049</t>
        </is>
      </c>
      <c r="C280" s="9" t="n">
        <v>10</v>
      </c>
      <c r="D280" s="9" t="n">
        <v>0</v>
      </c>
      <c r="E280" s="9" t="n">
        <v>0</v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3" t="n">
        <v>0</v>
      </c>
      <c r="K280" s="9" t="inlineStr">
        <is>
          <t>No</t>
        </is>
      </c>
      <c r="L280" s="9" t="n">
        <v>0</v>
      </c>
      <c r="M280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1" ht="139" customHeight="1">
      <c r="A281" s="9" t="inlineStr">
        <is>
          <t>14 Jun</t>
        </is>
      </c>
      <c r="B281" s="9" t="inlineStr">
        <is>
          <t>37014</t>
        </is>
      </c>
      <c r="C281" s="9" t="n">
        <v>5</v>
      </c>
      <c r="D281" s="9" t="n">
        <v>0</v>
      </c>
      <c r="E281" s="9" t="n">
        <v>0</v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3" t="n">
        <v>0</v>
      </c>
      <c r="K281" s="9" t="inlineStr">
        <is>
          <t>No</t>
        </is>
      </c>
      <c r="L281" s="9" t="n">
        <v>0</v>
      </c>
      <c r="M281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2" ht="139" customHeight="1">
      <c r="A282" s="9" t="inlineStr">
        <is>
          <t>14 Jun</t>
        </is>
      </c>
      <c r="B282" s="9" t="inlineStr">
        <is>
          <t>37182</t>
        </is>
      </c>
      <c r="C282" s="9" t="n">
        <v>5</v>
      </c>
      <c r="D282" s="9" t="n">
        <v>0</v>
      </c>
      <c r="E282" s="9" t="n">
        <v>0</v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3" t="n">
        <v>0</v>
      </c>
      <c r="K282" s="9" t="inlineStr">
        <is>
          <t>No</t>
        </is>
      </c>
      <c r="L282" s="9" t="n">
        <v>0</v>
      </c>
      <c r="M282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3" ht="139" customHeight="1">
      <c r="A283" s="9" t="inlineStr">
        <is>
          <t>14 Jun</t>
        </is>
      </c>
      <c r="B283" s="9" t="inlineStr">
        <is>
          <t>37215</t>
        </is>
      </c>
      <c r="C283" s="9" t="n">
        <v>4</v>
      </c>
      <c r="D283" s="9" t="n">
        <v>0</v>
      </c>
      <c r="E283" s="9" t="n">
        <v>0</v>
      </c>
      <c r="F283" s="10" t="inlineStr">
        <is>
          <t>-</t>
        </is>
      </c>
      <c r="G283" s="10" t="inlineStr">
        <is>
          <t>-</t>
        </is>
      </c>
      <c r="H283" s="10" t="inlineStr">
        <is>
          <t>-</t>
        </is>
      </c>
      <c r="I283" s="10" t="inlineStr">
        <is>
          <t>-</t>
        </is>
      </c>
      <c r="J283" s="13" t="n">
        <v>0</v>
      </c>
      <c r="K283" s="9" t="inlineStr">
        <is>
          <t>No</t>
        </is>
      </c>
      <c r="L283" s="9" t="n">
        <v>0</v>
      </c>
      <c r="M283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4" ht="139" customHeight="1">
      <c r="A284" s="9" t="inlineStr">
        <is>
          <t>14 Jun</t>
        </is>
      </c>
      <c r="B284" s="9" t="inlineStr">
        <is>
          <t>37258</t>
        </is>
      </c>
      <c r="C284" s="9" t="n">
        <v>56</v>
      </c>
      <c r="D284" s="9" t="n">
        <v>49</v>
      </c>
      <c r="E284" s="9" t="n">
        <v>49</v>
      </c>
      <c r="F284" s="10" t="n">
        <v>350</v>
      </c>
      <c r="G284" s="10" t="n">
        <v>350</v>
      </c>
      <c r="H284" s="10" t="n">
        <v>350</v>
      </c>
      <c r="I284" s="10" t="n">
        <v>350</v>
      </c>
      <c r="J284" s="13">
        <f>(I284-H284)/1000</f>
        <v/>
      </c>
      <c r="K284" s="9" t="inlineStr">
        <is>
          <t>No</t>
        </is>
      </c>
      <c r="L284" s="9" t="n">
        <v>1</v>
      </c>
      <c r="M284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85" ht="139" customHeight="1">
      <c r="A285" s="9" t="inlineStr">
        <is>
          <t>14 Jun</t>
        </is>
      </c>
      <c r="B285" s="9" t="inlineStr">
        <is>
          <t>37358</t>
        </is>
      </c>
      <c r="C285" s="9" t="n">
        <v>5</v>
      </c>
      <c r="D285" s="9" t="n">
        <v>0</v>
      </c>
      <c r="E285" s="9" t="n">
        <v>0</v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3" t="n">
        <v>0</v>
      </c>
      <c r="K285" s="9" t="inlineStr">
        <is>
          <t>No</t>
        </is>
      </c>
      <c r="L285" s="9" t="n">
        <v>0</v>
      </c>
      <c r="M28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6" ht="139" customHeight="1">
      <c r="A286" s="9" t="inlineStr">
        <is>
          <t>14 Jun</t>
        </is>
      </c>
      <c r="B286" s="9" t="inlineStr">
        <is>
          <t>37657</t>
        </is>
      </c>
      <c r="C286" s="9" t="n">
        <v>6</v>
      </c>
      <c r="D286" s="9" t="n">
        <v>0</v>
      </c>
      <c r="E286" s="9" t="n">
        <v>0</v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3" t="n">
        <v>0</v>
      </c>
      <c r="K286" s="9" t="inlineStr">
        <is>
          <t>No</t>
        </is>
      </c>
      <c r="L286" s="9" t="n">
        <v>0</v>
      </c>
      <c r="M28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7" ht="139" customHeight="1">
      <c r="A287" s="9" t="inlineStr">
        <is>
          <t>14 Jun</t>
        </is>
      </c>
      <c r="B287" s="9" t="inlineStr">
        <is>
          <t>39113</t>
        </is>
      </c>
      <c r="C287" s="9" t="n">
        <v>4</v>
      </c>
      <c r="D287" s="9" t="n">
        <v>0</v>
      </c>
      <c r="E287" s="9" t="n">
        <v>0</v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3" t="n">
        <v>0</v>
      </c>
      <c r="K287" s="9" t="inlineStr">
        <is>
          <t>No</t>
        </is>
      </c>
      <c r="L287" s="9" t="n">
        <v>0</v>
      </c>
      <c r="M28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8" ht="139" customHeight="1">
      <c r="A288" s="9" t="inlineStr">
        <is>
          <t>14 Jun</t>
        </is>
      </c>
      <c r="B288" s="9" t="inlineStr">
        <is>
          <t>39177</t>
        </is>
      </c>
      <c r="C288" s="9" t="n">
        <v>8</v>
      </c>
      <c r="D288" s="9" t="n">
        <v>0</v>
      </c>
      <c r="E288" s="9" t="n">
        <v>0</v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3" t="n">
        <v>0</v>
      </c>
      <c r="K288" s="9" t="inlineStr">
        <is>
          <t>No</t>
        </is>
      </c>
      <c r="L288" s="9" t="n">
        <v>0</v>
      </c>
      <c r="M28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89" ht="139" customHeight="1">
      <c r="A289" s="9" t="inlineStr">
        <is>
          <t>14 Jun</t>
        </is>
      </c>
      <c r="B289" s="9" t="inlineStr">
        <is>
          <t>39410</t>
        </is>
      </c>
      <c r="C289" s="9" t="n">
        <v>117</v>
      </c>
      <c r="D289" s="9" t="n">
        <v>101</v>
      </c>
      <c r="E289" s="9" t="n">
        <v>101</v>
      </c>
      <c r="F289" s="10" t="n">
        <v>350</v>
      </c>
      <c r="G289" s="10" t="n">
        <v>350</v>
      </c>
      <c r="H289" s="10" t="n">
        <v>350</v>
      </c>
      <c r="I289" s="10" t="n">
        <v>350</v>
      </c>
      <c r="J289" s="13">
        <f>(I289-H289)/1000</f>
        <v/>
      </c>
      <c r="K289" s="9" t="inlineStr">
        <is>
          <t>No</t>
        </is>
      </c>
      <c r="L289" s="9" t="n">
        <v>1</v>
      </c>
      <c r="M289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ColWidth="9" defaultRowHeight="14.5"/>
  <cols>
    <col width="3" customWidth="1" min="1" max="1"/>
    <col width="22" customWidth="1" min="2" max="2"/>
    <col width="96" customWidth="1" min="3" max="3"/>
  </cols>
  <sheetData>
    <row r="1" ht="20" customHeight="1">
      <c r="B1" s="1" t="inlineStr">
        <is>
          <t>Methodology</t>
        </is>
      </c>
    </row>
    <row r="3" ht="34" customHeight="1">
      <c r="B3" s="2" t="inlineStr">
        <is>
          <t>Excluded</t>
        </is>
      </c>
      <c r="C3" s="3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2" t="inlineStr">
        <is>
          <t>No of Trips</t>
        </is>
      </c>
      <c r="C4" s="3" t="inlineStr">
        <is>
          <t>A direction-run covering within 5 km of its line length (DN 244.03 / UP 244.03 km) = one FULL trip; out-and-back = 2. A loco with &gt;=1 full trip is 'valid' (its EBs count as Valid). KM Verification lists each loco-day's stations passed / not passed.</t>
        </is>
      </c>
    </row>
    <row r="5" ht="49" customHeight="1">
      <c r="B5" s="2" t="inlineStr">
        <is>
          <t>Total KMs Run on Kavach</t>
        </is>
      </c>
      <c r="C5" s="3" t="inlineStr">
        <is>
          <t>Section coverage per loco = how far it travelled across the section = (max - min) of its abs within the section limits (342-244376). Capped at the section length; 0 if the loco never reported inside the section.</t>
        </is>
      </c>
    </row>
    <row r="6">
      <c r="B6" s="2" t="inlineStr">
        <is>
          <t>Availability (FS+OS)</t>
        </is>
      </c>
      <c r="C6" s="3" t="inlineStr">
        <is>
          <t>Packets in FS or OnSight ÷ all packets (all modes) × 100.</t>
        </is>
      </c>
    </row>
    <row r="7" ht="34" customHeight="1">
      <c r="B7" s="2" t="inlineStr">
        <is>
          <t>Total EB</t>
        </is>
      </c>
      <c r="C7" s="3" t="inlineStr">
        <is>
          <t>EB events in LReg brake status; one continuous hold = 1 (lost-packet gaps bridged, new event only at a real release). Split into Valid (trip locos) / Non-Valid.</t>
        </is>
      </c>
    </row>
    <row r="8" ht="34" customHeight="1">
      <c r="B8" s="2" t="inlineStr">
        <is>
          <t>Mode Degradation</t>
        </is>
      </c>
      <c r="C8" s="3" t="inlineStr">
        <is>
          <t>FS→Trip/LS/SR/Standby &amp; OS→SR/Standby (every transition). Excluded: start-of-mission/re-init SR, NonLeading→SR, FS→SR at 0 km/h, boundary-station re-init (917-reverse).</t>
        </is>
      </c>
    </row>
    <row r="9" ht="49" customHeight="1">
      <c r="B9" s="2" t="inlineStr">
        <is>
          <t>EB diagnostics</t>
        </is>
      </c>
      <c r="C9" s="3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2" t="inlineStr">
        <is>
          <t>Ratios</t>
        </is>
      </c>
      <c r="C10" s="3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2026-06-26T06:55:00Z</dcterms:created>
  <dcterms:modified xmlns:dcterms="http://purl.org/dc/terms/" xmlns:xsi="http://www.w3.org/2001/XMLSchema-instance" xsi:type="dcterms:W3CDTF">2026-07-01T05:57:07Z</dcterms:modified>
  <cp:lastModifiedBy>Vishwanath 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1D6FBEA6041B43C190010F07E204E528</vt:lpwstr>
  </property>
  <property name="KSOProductBuildVer" fmtid="{D5CDD505-2E9C-101B-9397-08002B2CF9AE}" pid="3">
    <vt:lpwstr xmlns:vt="http://schemas.openxmlformats.org/officeDocument/2006/docPropsVTypes">1033-11.2.0.11042</vt:lpwstr>
  </property>
</Properties>
</file>
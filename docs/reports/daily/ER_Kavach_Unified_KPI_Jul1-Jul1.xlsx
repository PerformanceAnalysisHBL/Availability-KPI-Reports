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0000"/>
    <numFmt numFmtId="167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808080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3" fontId="9" fillId="5" borderId="1" applyAlignment="1" pivotButton="0" quotePrefix="0" xfId="0">
      <alignment horizontal="center" vertical="center" wrapText="1"/>
    </xf>
    <xf numFmtId="4" fontId="9" fillId="5" borderId="1" applyAlignment="1" pivotButton="0" quotePrefix="0" xfId="0">
      <alignment horizontal="center" vertical="center" wrapText="1"/>
    </xf>
    <xf numFmtId="2" fontId="9" fillId="5" borderId="1" applyAlignment="1" pivotButton="0" quotePrefix="0" xfId="0">
      <alignment horizontal="center" vertical="center" wrapText="1"/>
    </xf>
    <xf numFmtId="3" fontId="9" fillId="7" borderId="1" applyAlignment="1" pivotButton="0" quotePrefix="0" xfId="0">
      <alignment horizontal="center" vertical="center" wrapText="1"/>
    </xf>
    <xf numFmtId="165" fontId="9" fillId="5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167" fontId="9" fillId="5" borderId="1" applyAlignment="1" pivotButton="0" quotePrefix="0" xfId="0">
      <alignment horizontal="center" vertical="center" wrapText="1"/>
    </xf>
    <xf numFmtId="2" fontId="11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2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/>
    </xf>
    <xf numFmtId="3" fontId="6" fillId="4" borderId="1" applyAlignment="1" pivotButton="0" quotePrefix="0" xfId="0">
      <alignment horizontal="right" vertical="center"/>
    </xf>
    <xf numFmtId="2" fontId="6" fillId="4" borderId="1" applyAlignment="1" pivotButton="0" quotePrefix="0" xfId="0">
      <alignment horizontal="center" vertical="center" wrapText="1"/>
    </xf>
    <xf numFmtId="0" fontId="12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4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top" wrapText="1"/>
    </xf>
    <xf numFmtId="0" fontId="12" fillId="7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2" fontId="4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01 Jul 2026  ·  all locomotives  ·  one combined row</t>
        </is>
      </c>
    </row>
    <row r="3"/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01 Jul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Breakdown'!C53</f>
        <v/>
      </c>
      <c r="E5" s="6">
        <f>'Daily Breakdown'!D53</f>
        <v/>
      </c>
      <c r="F5" s="7">
        <f>'Daily Breakdown'!G53</f>
        <v/>
      </c>
      <c r="G5" s="5">
        <f>'Daily Breakdown'!H53</f>
        <v/>
      </c>
      <c r="H5" s="8">
        <f>'Daily Breakdown'!I53</f>
        <v/>
      </c>
      <c r="I5" s="8">
        <f>'Daily Breakdown'!J53</f>
        <v/>
      </c>
      <c r="J5" s="9">
        <f>IFERROR(G5/D5,0)</f>
        <v/>
      </c>
      <c r="K5" s="10">
        <f>IFERROR(G5/E5,0)</f>
        <v/>
      </c>
      <c r="L5" s="11">
        <f>IFERROR(G5/E5*100,0)</f>
        <v/>
      </c>
      <c r="M5" s="10">
        <f>IFERROR(G5/(D5*E5/1000),0)</f>
        <v/>
      </c>
      <c r="N5" s="5">
        <f>'Daily Breakdown'!K53</f>
        <v/>
      </c>
      <c r="O5" s="9">
        <f>IFERROR(N5/D5,0)</f>
        <v/>
      </c>
      <c r="P5" s="10">
        <f>IFERROR(N5/E5,0)</f>
        <v/>
      </c>
      <c r="Q5" s="10">
        <f>IFERROR(N5/(D5*E5/100),0)</f>
        <v/>
      </c>
      <c r="R5" s="11">
        <f>IFERROR(N5/E5*100,0)</f>
        <v/>
      </c>
      <c r="S5" s="8" t="n">
        <v>9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4" customWidth="1" min="3" max="3"/>
    <col width="14" customWidth="1" min="4" max="4"/>
    <col width="14" customWidth="1" min="5" max="5"/>
    <col width="28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14" t="inlineStr">
        <is>
          <t>Availability base excludes locos with FS+OS pkts = 0 (they are still listed; only the Total-pkts availability base drops them).</t>
        </is>
      </c>
    </row>
    <row r="3" ht="34" customHeight="1">
      <c r="A3" s="15" t="inlineStr">
        <is>
          <t>Date</t>
        </is>
      </c>
      <c r="B3" s="15" t="inlineStr">
        <is>
          <t>Loco ID</t>
        </is>
      </c>
      <c r="C3" s="15" t="inlineStr">
        <is>
          <t>No of Trips</t>
        </is>
      </c>
      <c r="D3" s="15" t="inlineStr">
        <is>
          <t>Total KMs</t>
        </is>
      </c>
      <c r="E3" s="15" t="inlineStr">
        <is>
          <t>FS+OS pkts</t>
        </is>
      </c>
      <c r="F3" s="15" t="inlineStr">
        <is>
          <t>Total pkts</t>
        </is>
      </c>
      <c r="G3" s="15" t="inlineStr">
        <is>
          <t>Availability (FS+OS)</t>
        </is>
      </c>
      <c r="H3" s="15" t="inlineStr">
        <is>
          <t>Total EB</t>
        </is>
      </c>
      <c r="I3" s="15" t="inlineStr">
        <is>
          <t>EB (Valid)</t>
        </is>
      </c>
      <c r="J3" s="15" t="inlineStr">
        <is>
          <t>EB (Non-Valid)</t>
        </is>
      </c>
      <c r="K3" s="15" t="inlineStr">
        <is>
          <t>Mode Degradation</t>
        </is>
      </c>
    </row>
    <row r="4">
      <c r="A4" s="16" t="inlineStr">
        <is>
          <t>1 Jul</t>
        </is>
      </c>
      <c r="B4" s="16" t="inlineStr">
        <is>
          <t>35003</t>
        </is>
      </c>
      <c r="C4" s="17" t="n">
        <v>2</v>
      </c>
      <c r="D4" s="18" t="n">
        <v>244.03</v>
      </c>
      <c r="E4" s="19" t="n">
        <v>25253</v>
      </c>
      <c r="F4" s="19" t="n">
        <v>25560</v>
      </c>
      <c r="G4" s="20">
        <f>IF(F4=0,0,E4/F4*100)</f>
        <v/>
      </c>
      <c r="H4" s="17" t="n">
        <v>0</v>
      </c>
      <c r="I4" s="17" t="n">
        <v>0</v>
      </c>
      <c r="J4" s="17" t="n">
        <v>0</v>
      </c>
      <c r="K4" s="17" t="n">
        <v>6</v>
      </c>
    </row>
    <row r="5">
      <c r="A5" s="16" t="inlineStr">
        <is>
          <t>1 Jul</t>
        </is>
      </c>
      <c r="B5" s="16" t="inlineStr">
        <is>
          <t>37777</t>
        </is>
      </c>
      <c r="C5" s="17" t="n">
        <v>1</v>
      </c>
      <c r="D5" s="18" t="n">
        <v>244.03</v>
      </c>
      <c r="E5" s="19" t="n">
        <v>16006</v>
      </c>
      <c r="F5" s="19" t="n">
        <v>16281</v>
      </c>
      <c r="G5" s="20">
        <f>IF(F5=0,0,E5/F5*100)</f>
        <v/>
      </c>
      <c r="H5" s="17" t="n">
        <v>0</v>
      </c>
      <c r="I5" s="17" t="n">
        <v>0</v>
      </c>
      <c r="J5" s="17" t="n">
        <v>0</v>
      </c>
      <c r="K5" s="17" t="n">
        <v>3</v>
      </c>
    </row>
    <row r="6">
      <c r="A6" s="16" t="inlineStr">
        <is>
          <t>1 Jul</t>
        </is>
      </c>
      <c r="B6" s="16" t="inlineStr">
        <is>
          <t>37721</t>
        </is>
      </c>
      <c r="C6" s="17" t="n">
        <v>1</v>
      </c>
      <c r="D6" s="18" t="n">
        <v>243.62</v>
      </c>
      <c r="E6" s="19" t="n">
        <v>12038</v>
      </c>
      <c r="F6" s="19" t="n">
        <v>12166</v>
      </c>
      <c r="G6" s="20">
        <f>IF(F6=0,0,E6/F6*100)</f>
        <v/>
      </c>
      <c r="H6" s="17" t="n">
        <v>0</v>
      </c>
      <c r="I6" s="17" t="n">
        <v>0</v>
      </c>
      <c r="J6" s="17" t="n">
        <v>0</v>
      </c>
      <c r="K6" s="17" t="n">
        <v>7</v>
      </c>
    </row>
    <row r="7">
      <c r="A7" s="16" t="inlineStr">
        <is>
          <t>1 Jul</t>
        </is>
      </c>
      <c r="B7" s="16" t="inlineStr">
        <is>
          <t>37358</t>
        </is>
      </c>
      <c r="C7" s="17" t="n">
        <v>1</v>
      </c>
      <c r="D7" s="18" t="n">
        <v>243.67</v>
      </c>
      <c r="E7" s="19" t="n">
        <v>10190</v>
      </c>
      <c r="F7" s="19" t="n">
        <v>10270</v>
      </c>
      <c r="G7" s="20">
        <f>IF(F7=0,0,E7/F7*100)</f>
        <v/>
      </c>
      <c r="H7" s="17" t="n">
        <v>0</v>
      </c>
      <c r="I7" s="17" t="n">
        <v>0</v>
      </c>
      <c r="J7" s="17" t="n">
        <v>0</v>
      </c>
      <c r="K7" s="17" t="n">
        <v>1</v>
      </c>
    </row>
    <row r="8">
      <c r="A8" s="16" t="inlineStr">
        <is>
          <t>1 Jul</t>
        </is>
      </c>
      <c r="B8" s="16" t="inlineStr">
        <is>
          <t>37401</t>
        </is>
      </c>
      <c r="C8" s="17" t="n">
        <v>1</v>
      </c>
      <c r="D8" s="18" t="n">
        <v>243.92</v>
      </c>
      <c r="E8" s="19" t="n">
        <v>8827</v>
      </c>
      <c r="F8" s="19" t="n">
        <v>8863</v>
      </c>
      <c r="G8" s="20">
        <f>IF(F8=0,0,E8/F8*100)</f>
        <v/>
      </c>
      <c r="H8" s="17" t="n">
        <v>0</v>
      </c>
      <c r="I8" s="17" t="n">
        <v>0</v>
      </c>
      <c r="J8" s="17" t="n">
        <v>0</v>
      </c>
      <c r="K8" s="17" t="n">
        <v>2</v>
      </c>
    </row>
    <row r="9">
      <c r="A9" s="16" t="inlineStr">
        <is>
          <t>1 Jul</t>
        </is>
      </c>
      <c r="B9" s="16" t="inlineStr">
        <is>
          <t>39195</t>
        </is>
      </c>
      <c r="C9" s="17" t="n">
        <v>0</v>
      </c>
      <c r="D9" s="18" t="n">
        <v>207.95</v>
      </c>
      <c r="E9" s="19" t="n">
        <v>15287</v>
      </c>
      <c r="F9" s="19" t="n">
        <v>15363</v>
      </c>
      <c r="G9" s="20">
        <f>IF(F9=0,0,E9/F9*100)</f>
        <v/>
      </c>
      <c r="H9" s="17" t="n">
        <v>0</v>
      </c>
      <c r="I9" s="17" t="n">
        <v>0</v>
      </c>
      <c r="J9" s="17" t="n">
        <v>0</v>
      </c>
      <c r="K9" s="17" t="n">
        <v>0</v>
      </c>
    </row>
    <row r="10">
      <c r="A10" s="16" t="inlineStr">
        <is>
          <t>1 Jul</t>
        </is>
      </c>
      <c r="B10" s="16" t="inlineStr">
        <is>
          <t>30503</t>
        </is>
      </c>
      <c r="C10" s="17" t="n">
        <v>0</v>
      </c>
      <c r="D10" s="18" t="n">
        <v>232.25</v>
      </c>
      <c r="E10" s="19" t="n">
        <v>13560</v>
      </c>
      <c r="F10" s="19" t="n">
        <v>13888</v>
      </c>
      <c r="G10" s="20">
        <f>IF(F10=0,0,E10/F10*100)</f>
        <v/>
      </c>
      <c r="H10" s="17" t="n">
        <v>1</v>
      </c>
      <c r="I10" s="17" t="n">
        <v>0</v>
      </c>
      <c r="J10" s="17" t="n">
        <v>1</v>
      </c>
      <c r="K10" s="17" t="n">
        <v>5</v>
      </c>
    </row>
    <row r="11">
      <c r="A11" s="16" t="inlineStr">
        <is>
          <t>1 Jul</t>
        </is>
      </c>
      <c r="B11" s="16" t="inlineStr">
        <is>
          <t>37610</t>
        </is>
      </c>
      <c r="C11" s="17" t="n">
        <v>0</v>
      </c>
      <c r="D11" s="18" t="n">
        <v>232.25</v>
      </c>
      <c r="E11" s="19" t="n">
        <v>11148</v>
      </c>
      <c r="F11" s="19" t="n">
        <v>11250</v>
      </c>
      <c r="G11" s="20">
        <f>IF(F11=0,0,E11/F11*100)</f>
        <v/>
      </c>
      <c r="H11" s="17" t="n">
        <v>0</v>
      </c>
      <c r="I11" s="17" t="n">
        <v>0</v>
      </c>
      <c r="J11" s="17" t="n">
        <v>0</v>
      </c>
      <c r="K11" s="17" t="n">
        <v>3</v>
      </c>
    </row>
    <row r="12">
      <c r="A12" s="16" t="inlineStr">
        <is>
          <t>1 Jul</t>
        </is>
      </c>
      <c r="B12" s="16" t="inlineStr">
        <is>
          <t>30322</t>
        </is>
      </c>
      <c r="C12" s="17" t="n">
        <v>0</v>
      </c>
      <c r="D12" s="18" t="n">
        <v>231.65</v>
      </c>
      <c r="E12" s="19" t="n">
        <v>11146</v>
      </c>
      <c r="F12" s="19" t="n">
        <v>11234</v>
      </c>
      <c r="G12" s="20">
        <f>IF(F12=0,0,E12/F12*100)</f>
        <v/>
      </c>
      <c r="H12" s="17" t="n">
        <v>0</v>
      </c>
      <c r="I12" s="17" t="n">
        <v>0</v>
      </c>
      <c r="J12" s="17" t="n">
        <v>0</v>
      </c>
      <c r="K12" s="17" t="n">
        <v>2</v>
      </c>
    </row>
    <row r="13">
      <c r="A13" s="16" t="inlineStr">
        <is>
          <t>1 Jul</t>
        </is>
      </c>
      <c r="B13" s="16" t="inlineStr">
        <is>
          <t>37403</t>
        </is>
      </c>
      <c r="C13" s="17" t="n">
        <v>0</v>
      </c>
      <c r="D13" s="18" t="n">
        <v>199.05</v>
      </c>
      <c r="E13" s="19" t="n">
        <v>10998</v>
      </c>
      <c r="F13" s="19" t="n">
        <v>11068</v>
      </c>
      <c r="G13" s="20">
        <f>IF(F13=0,0,E13/F13*100)</f>
        <v/>
      </c>
      <c r="H13" s="17" t="n">
        <v>0</v>
      </c>
      <c r="I13" s="17" t="n">
        <v>0</v>
      </c>
      <c r="J13" s="17" t="n">
        <v>0</v>
      </c>
      <c r="K13" s="17" t="n">
        <v>2</v>
      </c>
    </row>
    <row r="14">
      <c r="A14" s="16" t="inlineStr">
        <is>
          <t>1 Jul</t>
        </is>
      </c>
      <c r="B14" s="16" t="inlineStr">
        <is>
          <t>30455</t>
        </is>
      </c>
      <c r="C14" s="17" t="n">
        <v>0</v>
      </c>
      <c r="D14" s="18" t="n">
        <v>231.2</v>
      </c>
      <c r="E14" s="19" t="n">
        <v>9898</v>
      </c>
      <c r="F14" s="19" t="n">
        <v>9907</v>
      </c>
      <c r="G14" s="20">
        <f>IF(F14=0,0,E14/F14*100)</f>
        <v/>
      </c>
      <c r="H14" s="17" t="n">
        <v>0</v>
      </c>
      <c r="I14" s="17" t="n">
        <v>0</v>
      </c>
      <c r="J14" s="17" t="n">
        <v>0</v>
      </c>
      <c r="K14" s="17" t="n">
        <v>1</v>
      </c>
    </row>
    <row r="15">
      <c r="A15" s="16" t="inlineStr">
        <is>
          <t>1 Jul</t>
        </is>
      </c>
      <c r="B15" s="16" t="inlineStr">
        <is>
          <t>37044</t>
        </is>
      </c>
      <c r="C15" s="17" t="n">
        <v>0</v>
      </c>
      <c r="D15" s="18" t="n">
        <v>216.58</v>
      </c>
      <c r="E15" s="19" t="n">
        <v>9032</v>
      </c>
      <c r="F15" s="19" t="n">
        <v>9097</v>
      </c>
      <c r="G15" s="20">
        <f>IF(F15=0,0,E15/F15*100)</f>
        <v/>
      </c>
      <c r="H15" s="17" t="n">
        <v>0</v>
      </c>
      <c r="I15" s="17" t="n">
        <v>0</v>
      </c>
      <c r="J15" s="17" t="n">
        <v>0</v>
      </c>
      <c r="K15" s="17" t="n">
        <v>3</v>
      </c>
    </row>
    <row r="16">
      <c r="A16" s="16" t="inlineStr">
        <is>
          <t>1 Jul</t>
        </is>
      </c>
      <c r="B16" s="16" t="inlineStr">
        <is>
          <t>37168</t>
        </is>
      </c>
      <c r="C16" s="17" t="n">
        <v>0</v>
      </c>
      <c r="D16" s="18" t="n">
        <v>199.34</v>
      </c>
      <c r="E16" s="19" t="n">
        <v>9003</v>
      </c>
      <c r="F16" s="19" t="n">
        <v>9043</v>
      </c>
      <c r="G16" s="20">
        <f>IF(F16=0,0,E16/F16*100)</f>
        <v/>
      </c>
      <c r="H16" s="17" t="n">
        <v>0</v>
      </c>
      <c r="I16" s="17" t="n">
        <v>0</v>
      </c>
      <c r="J16" s="17" t="n">
        <v>0</v>
      </c>
      <c r="K16" s="17" t="n">
        <v>0</v>
      </c>
    </row>
    <row r="17">
      <c r="A17" s="16" t="inlineStr">
        <is>
          <t>1 Jul</t>
        </is>
      </c>
      <c r="B17" s="16" t="inlineStr">
        <is>
          <t>37360</t>
        </is>
      </c>
      <c r="C17" s="17" t="n">
        <v>0</v>
      </c>
      <c r="D17" s="18" t="n">
        <v>232.2</v>
      </c>
      <c r="E17" s="19" t="n">
        <v>8859</v>
      </c>
      <c r="F17" s="19" t="n">
        <v>8955</v>
      </c>
      <c r="G17" s="20">
        <f>IF(F17=0,0,E17/F17*100)</f>
        <v/>
      </c>
      <c r="H17" s="17" t="n">
        <v>0</v>
      </c>
      <c r="I17" s="17" t="n">
        <v>0</v>
      </c>
      <c r="J17" s="17" t="n">
        <v>0</v>
      </c>
      <c r="K17" s="17" t="n">
        <v>8</v>
      </c>
    </row>
    <row r="18">
      <c r="A18" s="16" t="inlineStr">
        <is>
          <t>1 Jul</t>
        </is>
      </c>
      <c r="B18" s="16" t="inlineStr">
        <is>
          <t>30639</t>
        </is>
      </c>
      <c r="C18" s="17" t="n">
        <v>0</v>
      </c>
      <c r="D18" s="18" t="n">
        <v>94.27</v>
      </c>
      <c r="E18" s="19" t="n">
        <v>8545</v>
      </c>
      <c r="F18" s="19" t="n">
        <v>8668</v>
      </c>
      <c r="G18" s="20">
        <f>IF(F18=0,0,E18/F18*100)</f>
        <v/>
      </c>
      <c r="H18" s="17" t="n">
        <v>0</v>
      </c>
      <c r="I18" s="17" t="n">
        <v>0</v>
      </c>
      <c r="J18" s="17" t="n">
        <v>0</v>
      </c>
      <c r="K18" s="17" t="n">
        <v>2</v>
      </c>
    </row>
    <row r="19">
      <c r="A19" s="16" t="inlineStr">
        <is>
          <t>1 Jul</t>
        </is>
      </c>
      <c r="B19" s="16" t="inlineStr">
        <is>
          <t>30795</t>
        </is>
      </c>
      <c r="C19" s="17" t="n">
        <v>0</v>
      </c>
      <c r="D19" s="18" t="n">
        <v>199.05</v>
      </c>
      <c r="E19" s="19" t="n">
        <v>8591</v>
      </c>
      <c r="F19" s="19" t="n">
        <v>8641</v>
      </c>
      <c r="G19" s="20">
        <f>IF(F19=0,0,E19/F19*100)</f>
        <v/>
      </c>
      <c r="H19" s="17" t="n">
        <v>0</v>
      </c>
      <c r="I19" s="17" t="n">
        <v>0</v>
      </c>
      <c r="J19" s="17" t="n">
        <v>0</v>
      </c>
      <c r="K19" s="17" t="n">
        <v>2</v>
      </c>
    </row>
    <row r="20">
      <c r="A20" s="16" t="inlineStr">
        <is>
          <t>1 Jul</t>
        </is>
      </c>
      <c r="B20" s="16" t="inlineStr">
        <is>
          <t>30487</t>
        </is>
      </c>
      <c r="C20" s="17" t="n">
        <v>0</v>
      </c>
      <c r="D20" s="18" t="n">
        <v>199.04</v>
      </c>
      <c r="E20" s="19" t="n">
        <v>8482</v>
      </c>
      <c r="F20" s="19" t="n">
        <v>8573</v>
      </c>
      <c r="G20" s="20">
        <f>IF(F20=0,0,E20/F20*100)</f>
        <v/>
      </c>
      <c r="H20" s="17" t="n">
        <v>0</v>
      </c>
      <c r="I20" s="17" t="n">
        <v>0</v>
      </c>
      <c r="J20" s="17" t="n">
        <v>0</v>
      </c>
      <c r="K20" s="17" t="n">
        <v>1</v>
      </c>
    </row>
    <row r="21">
      <c r="A21" s="16" t="inlineStr">
        <is>
          <t>1 Jul</t>
        </is>
      </c>
      <c r="B21" s="16" t="inlineStr">
        <is>
          <t>39481</t>
        </is>
      </c>
      <c r="C21" s="17" t="n">
        <v>0</v>
      </c>
      <c r="D21" s="18" t="n">
        <v>94.27</v>
      </c>
      <c r="E21" s="19" t="n">
        <v>8384</v>
      </c>
      <c r="F21" s="19" t="n">
        <v>8453</v>
      </c>
      <c r="G21" s="20">
        <f>IF(F21=0,0,E21/F21*100)</f>
        <v/>
      </c>
      <c r="H21" s="17" t="n">
        <v>0</v>
      </c>
      <c r="I21" s="17" t="n">
        <v>0</v>
      </c>
      <c r="J21" s="17" t="n">
        <v>0</v>
      </c>
      <c r="K21" s="17" t="n">
        <v>1</v>
      </c>
    </row>
    <row r="22">
      <c r="A22" s="16" t="inlineStr">
        <is>
          <t>1 Jul</t>
        </is>
      </c>
      <c r="B22" s="16" t="inlineStr">
        <is>
          <t>35002</t>
        </is>
      </c>
      <c r="C22" s="17" t="n">
        <v>0</v>
      </c>
      <c r="D22" s="18" t="n">
        <v>199.49</v>
      </c>
      <c r="E22" s="19" t="n">
        <v>8275</v>
      </c>
      <c r="F22" s="19" t="n">
        <v>8343</v>
      </c>
      <c r="G22" s="20">
        <f>IF(F22=0,0,E22/F22*100)</f>
        <v/>
      </c>
      <c r="H22" s="17" t="n">
        <v>0</v>
      </c>
      <c r="I22" s="17" t="n">
        <v>0</v>
      </c>
      <c r="J22" s="17" t="n">
        <v>0</v>
      </c>
      <c r="K22" s="17" t="n">
        <v>0</v>
      </c>
    </row>
    <row r="23">
      <c r="A23" s="16" t="inlineStr">
        <is>
          <t>1 Jul</t>
        </is>
      </c>
      <c r="B23" s="16" t="inlineStr">
        <is>
          <t>37025</t>
        </is>
      </c>
      <c r="C23" s="17" t="n">
        <v>0</v>
      </c>
      <c r="D23" s="18" t="n">
        <v>217.19</v>
      </c>
      <c r="E23" s="19" t="n">
        <v>8037</v>
      </c>
      <c r="F23" s="19" t="n">
        <v>8137</v>
      </c>
      <c r="G23" s="20">
        <f>IF(F23=0,0,E23/F23*100)</f>
        <v/>
      </c>
      <c r="H23" s="17" t="n">
        <v>0</v>
      </c>
      <c r="I23" s="17" t="n">
        <v>0</v>
      </c>
      <c r="J23" s="17" t="n">
        <v>0</v>
      </c>
      <c r="K23" s="17" t="n">
        <v>5</v>
      </c>
    </row>
    <row r="24">
      <c r="A24" s="16" t="inlineStr">
        <is>
          <t>1 Jul</t>
        </is>
      </c>
      <c r="B24" s="16" t="inlineStr">
        <is>
          <t>39133</t>
        </is>
      </c>
      <c r="C24" s="17" t="n">
        <v>0</v>
      </c>
      <c r="D24" s="18" t="n">
        <v>198.82</v>
      </c>
      <c r="E24" s="19" t="n">
        <v>8038</v>
      </c>
      <c r="F24" s="19" t="n">
        <v>8087</v>
      </c>
      <c r="G24" s="20">
        <f>IF(F24=0,0,E24/F24*100)</f>
        <v/>
      </c>
      <c r="H24" s="17" t="n">
        <v>0</v>
      </c>
      <c r="I24" s="17" t="n">
        <v>0</v>
      </c>
      <c r="J24" s="17" t="n">
        <v>0</v>
      </c>
      <c r="K24" s="17" t="n">
        <v>5</v>
      </c>
    </row>
    <row r="25">
      <c r="A25" s="16" t="inlineStr">
        <is>
          <t>1 Jul</t>
        </is>
      </c>
      <c r="B25" s="16" t="inlineStr">
        <is>
          <t>37405</t>
        </is>
      </c>
      <c r="C25" s="17" t="n">
        <v>0</v>
      </c>
      <c r="D25" s="18" t="n">
        <v>199.53</v>
      </c>
      <c r="E25" s="19" t="n">
        <v>7771</v>
      </c>
      <c r="F25" s="19" t="n">
        <v>7875</v>
      </c>
      <c r="G25" s="20">
        <f>IF(F25=0,0,E25/F25*100)</f>
        <v/>
      </c>
      <c r="H25" s="17" t="n">
        <v>1</v>
      </c>
      <c r="I25" s="17" t="n">
        <v>0</v>
      </c>
      <c r="J25" s="17" t="n">
        <v>1</v>
      </c>
      <c r="K25" s="17" t="n">
        <v>2</v>
      </c>
    </row>
    <row r="26">
      <c r="A26" s="16" t="inlineStr">
        <is>
          <t>1 Jul</t>
        </is>
      </c>
      <c r="B26" s="16" t="inlineStr">
        <is>
          <t>39411</t>
        </is>
      </c>
      <c r="C26" s="17" t="n">
        <v>0</v>
      </c>
      <c r="D26" s="18" t="n">
        <v>199.73</v>
      </c>
      <c r="E26" s="19" t="n">
        <v>7558</v>
      </c>
      <c r="F26" s="19" t="n">
        <v>7645</v>
      </c>
      <c r="G26" s="20">
        <f>IF(F26=0,0,E26/F26*100)</f>
        <v/>
      </c>
      <c r="H26" s="17" t="n">
        <v>0</v>
      </c>
      <c r="I26" s="17" t="n">
        <v>0</v>
      </c>
      <c r="J26" s="17" t="n">
        <v>0</v>
      </c>
      <c r="K26" s="17" t="n">
        <v>1</v>
      </c>
    </row>
    <row r="27">
      <c r="A27" s="16" t="inlineStr">
        <is>
          <t>1 Jul</t>
        </is>
      </c>
      <c r="B27" s="16" t="inlineStr">
        <is>
          <t>37859</t>
        </is>
      </c>
      <c r="C27" s="17" t="n">
        <v>0</v>
      </c>
      <c r="D27" s="18" t="n">
        <v>199.47</v>
      </c>
      <c r="E27" s="19" t="n">
        <v>7392</v>
      </c>
      <c r="F27" s="19" t="n">
        <v>7491</v>
      </c>
      <c r="G27" s="20">
        <f>IF(F27=0,0,E27/F27*100)</f>
        <v/>
      </c>
      <c r="H27" s="17" t="n">
        <v>0</v>
      </c>
      <c r="I27" s="17" t="n">
        <v>0</v>
      </c>
      <c r="J27" s="17" t="n">
        <v>0</v>
      </c>
      <c r="K27" s="17" t="n">
        <v>0</v>
      </c>
    </row>
    <row r="28">
      <c r="A28" s="16" t="inlineStr">
        <is>
          <t>1 Jul</t>
        </is>
      </c>
      <c r="B28" s="16" t="inlineStr">
        <is>
          <t>30328</t>
        </is>
      </c>
      <c r="C28" s="17" t="n">
        <v>0</v>
      </c>
      <c r="D28" s="18" t="n">
        <v>171.87</v>
      </c>
      <c r="E28" s="19" t="n">
        <v>7259</v>
      </c>
      <c r="F28" s="19" t="n">
        <v>7329</v>
      </c>
      <c r="G28" s="20">
        <f>IF(F28=0,0,E28/F28*100)</f>
        <v/>
      </c>
      <c r="H28" s="17" t="n">
        <v>0</v>
      </c>
      <c r="I28" s="17" t="n">
        <v>0</v>
      </c>
      <c r="J28" s="17" t="n">
        <v>0</v>
      </c>
      <c r="K28" s="17" t="n">
        <v>4</v>
      </c>
    </row>
    <row r="29">
      <c r="A29" s="16" t="inlineStr">
        <is>
          <t>1 Jul</t>
        </is>
      </c>
      <c r="B29" s="16" t="inlineStr">
        <is>
          <t>30522</t>
        </is>
      </c>
      <c r="C29" s="17" t="n">
        <v>0</v>
      </c>
      <c r="D29" s="18" t="n">
        <v>150.15</v>
      </c>
      <c r="E29" s="19" t="n">
        <v>7180</v>
      </c>
      <c r="F29" s="19" t="n">
        <v>7194</v>
      </c>
      <c r="G29" s="20">
        <f>IF(F29=0,0,E29/F29*100)</f>
        <v/>
      </c>
      <c r="H29" s="17" t="n">
        <v>0</v>
      </c>
      <c r="I29" s="17" t="n">
        <v>0</v>
      </c>
      <c r="J29" s="17" t="n">
        <v>0</v>
      </c>
      <c r="K29" s="17" t="n">
        <v>1</v>
      </c>
    </row>
    <row r="30">
      <c r="A30" s="16" t="inlineStr">
        <is>
          <t>1 Jul</t>
        </is>
      </c>
      <c r="B30" s="16" t="inlineStr">
        <is>
          <t>37959</t>
        </is>
      </c>
      <c r="C30" s="17" t="n">
        <v>0</v>
      </c>
      <c r="D30" s="18" t="n">
        <v>187.94</v>
      </c>
      <c r="E30" s="19" t="n">
        <v>6939</v>
      </c>
      <c r="F30" s="19" t="n">
        <v>6983</v>
      </c>
      <c r="G30" s="20">
        <f>IF(F30=0,0,E30/F30*100)</f>
        <v/>
      </c>
      <c r="H30" s="17" t="n">
        <v>0</v>
      </c>
      <c r="I30" s="17" t="n">
        <v>0</v>
      </c>
      <c r="J30" s="17" t="n">
        <v>0</v>
      </c>
      <c r="K30" s="17" t="n">
        <v>2</v>
      </c>
    </row>
    <row r="31">
      <c r="A31" s="16" t="inlineStr">
        <is>
          <t>1 Jul</t>
        </is>
      </c>
      <c r="B31" s="16" t="inlineStr">
        <is>
          <t>30457</t>
        </is>
      </c>
      <c r="C31" s="17" t="n">
        <v>0</v>
      </c>
      <c r="D31" s="18" t="n">
        <v>82.63</v>
      </c>
      <c r="E31" s="19" t="n">
        <v>6817</v>
      </c>
      <c r="F31" s="19" t="n">
        <v>6934</v>
      </c>
      <c r="G31" s="20">
        <f>IF(F31=0,0,E31/F31*100)</f>
        <v/>
      </c>
      <c r="H31" s="17" t="n">
        <v>0</v>
      </c>
      <c r="I31" s="17" t="n">
        <v>0</v>
      </c>
      <c r="J31" s="17" t="n">
        <v>0</v>
      </c>
      <c r="K31" s="17" t="n">
        <v>1</v>
      </c>
    </row>
    <row r="32">
      <c r="A32" s="16" t="inlineStr">
        <is>
          <t>1 Jul</t>
        </is>
      </c>
      <c r="B32" s="16" t="inlineStr">
        <is>
          <t>30567</t>
        </is>
      </c>
      <c r="C32" s="17" t="n">
        <v>0</v>
      </c>
      <c r="D32" s="18" t="n">
        <v>186.69</v>
      </c>
      <c r="E32" s="19" t="n">
        <v>6765</v>
      </c>
      <c r="F32" s="19" t="n">
        <v>6875</v>
      </c>
      <c r="G32" s="20">
        <f>IF(F32=0,0,E32/F32*100)</f>
        <v/>
      </c>
      <c r="H32" s="17" t="n">
        <v>0</v>
      </c>
      <c r="I32" s="17" t="n">
        <v>0</v>
      </c>
      <c r="J32" s="17" t="n">
        <v>0</v>
      </c>
      <c r="K32" s="17" t="n">
        <v>1</v>
      </c>
    </row>
    <row r="33">
      <c r="A33" s="16" t="inlineStr">
        <is>
          <t>1 Jul</t>
        </is>
      </c>
      <c r="B33" s="16" t="inlineStr">
        <is>
          <t>30199</t>
        </is>
      </c>
      <c r="C33" s="17" t="n">
        <v>0</v>
      </c>
      <c r="D33" s="18" t="n">
        <v>81.28</v>
      </c>
      <c r="E33" s="19" t="n">
        <v>4524</v>
      </c>
      <c r="F33" s="19" t="n">
        <v>4608</v>
      </c>
      <c r="G33" s="20">
        <f>IF(F33=0,0,E33/F33*100)</f>
        <v/>
      </c>
      <c r="H33" s="17" t="n">
        <v>0</v>
      </c>
      <c r="I33" s="17" t="n">
        <v>0</v>
      </c>
      <c r="J33" s="17" t="n">
        <v>0</v>
      </c>
      <c r="K33" s="17" t="n">
        <v>1</v>
      </c>
    </row>
    <row r="34">
      <c r="A34" s="16" t="inlineStr">
        <is>
          <t>1 Jul</t>
        </is>
      </c>
      <c r="B34" s="16" t="inlineStr">
        <is>
          <t>37016</t>
        </is>
      </c>
      <c r="C34" s="17" t="n">
        <v>0</v>
      </c>
      <c r="D34" s="18" t="n">
        <v>94.14</v>
      </c>
      <c r="E34" s="19" t="n">
        <v>3530</v>
      </c>
      <c r="F34" s="19" t="n">
        <v>3885</v>
      </c>
      <c r="G34" s="20">
        <f>IF(F34=0,0,E34/F34*100)</f>
        <v/>
      </c>
      <c r="H34" s="17" t="n">
        <v>0</v>
      </c>
      <c r="I34" s="17" t="n">
        <v>0</v>
      </c>
      <c r="J34" s="17" t="n">
        <v>0</v>
      </c>
      <c r="K34" s="17" t="n">
        <v>0</v>
      </c>
    </row>
    <row r="35">
      <c r="A35" s="16" t="inlineStr">
        <is>
          <t>1 Jul</t>
        </is>
      </c>
      <c r="B35" s="16" t="inlineStr">
        <is>
          <t>30205</t>
        </is>
      </c>
      <c r="C35" s="17" t="n">
        <v>0</v>
      </c>
      <c r="D35" s="18" t="n">
        <v>81.44</v>
      </c>
      <c r="E35" s="19" t="n">
        <v>3680</v>
      </c>
      <c r="F35" s="19" t="n">
        <v>3785</v>
      </c>
      <c r="G35" s="20">
        <f>IF(F35=0,0,E35/F35*100)</f>
        <v/>
      </c>
      <c r="H35" s="17" t="n">
        <v>0</v>
      </c>
      <c r="I35" s="17" t="n">
        <v>0</v>
      </c>
      <c r="J35" s="17" t="n">
        <v>0</v>
      </c>
      <c r="K35" s="17" t="n">
        <v>2</v>
      </c>
    </row>
    <row r="36">
      <c r="A36" s="16" t="inlineStr">
        <is>
          <t>1 Jul</t>
        </is>
      </c>
      <c r="B36" s="16" t="inlineStr">
        <is>
          <t>37034</t>
        </is>
      </c>
      <c r="C36" s="17" t="n">
        <v>0</v>
      </c>
      <c r="D36" s="18" t="n">
        <v>93.87</v>
      </c>
      <c r="E36" s="19" t="n">
        <v>3736</v>
      </c>
      <c r="F36" s="19" t="n">
        <v>3782</v>
      </c>
      <c r="G36" s="20">
        <f>IF(F36=0,0,E36/F36*100)</f>
        <v/>
      </c>
      <c r="H36" s="17" t="n">
        <v>0</v>
      </c>
      <c r="I36" s="17" t="n">
        <v>0</v>
      </c>
      <c r="J36" s="17" t="n">
        <v>0</v>
      </c>
      <c r="K36" s="17" t="n">
        <v>0</v>
      </c>
    </row>
    <row r="37">
      <c r="A37" s="16" t="inlineStr">
        <is>
          <t>1 Jul</t>
        </is>
      </c>
      <c r="B37" s="16" t="inlineStr">
        <is>
          <t>37024</t>
        </is>
      </c>
      <c r="C37" s="17" t="n">
        <v>0</v>
      </c>
      <c r="D37" s="18" t="n">
        <v>94.14</v>
      </c>
      <c r="E37" s="19" t="n">
        <v>3532</v>
      </c>
      <c r="F37" s="19" t="n">
        <v>3639</v>
      </c>
      <c r="G37" s="20">
        <f>IF(F37=0,0,E37/F37*100)</f>
        <v/>
      </c>
      <c r="H37" s="17" t="n">
        <v>0</v>
      </c>
      <c r="I37" s="17" t="n">
        <v>0</v>
      </c>
      <c r="J37" s="17" t="n">
        <v>0</v>
      </c>
      <c r="K37" s="17" t="n">
        <v>1</v>
      </c>
    </row>
    <row r="38">
      <c r="A38" s="16" t="inlineStr">
        <is>
          <t>1 Jul</t>
        </is>
      </c>
      <c r="B38" s="16" t="inlineStr">
        <is>
          <t>37455</t>
        </is>
      </c>
      <c r="C38" s="17" t="n">
        <v>0</v>
      </c>
      <c r="D38" s="18" t="n">
        <v>93.2</v>
      </c>
      <c r="E38" s="19" t="n">
        <v>3542</v>
      </c>
      <c r="F38" s="19" t="n">
        <v>3571</v>
      </c>
      <c r="G38" s="20">
        <f>IF(F38=0,0,E38/F38*100)</f>
        <v/>
      </c>
      <c r="H38" s="17" t="n">
        <v>0</v>
      </c>
      <c r="I38" s="17" t="n">
        <v>0</v>
      </c>
      <c r="J38" s="17" t="n">
        <v>0</v>
      </c>
      <c r="K38" s="17" t="n">
        <v>0</v>
      </c>
    </row>
    <row r="39">
      <c r="A39" s="16" t="inlineStr">
        <is>
          <t>1 Jul</t>
        </is>
      </c>
      <c r="B39" s="16" t="inlineStr">
        <is>
          <t>30552</t>
        </is>
      </c>
      <c r="C39" s="17" t="n">
        <v>0</v>
      </c>
      <c r="D39" s="18" t="n">
        <v>81.37</v>
      </c>
      <c r="E39" s="19" t="n">
        <v>3015</v>
      </c>
      <c r="F39" s="19" t="n">
        <v>3455</v>
      </c>
      <c r="G39" s="20">
        <f>IF(F39=0,0,E39/F39*100)</f>
        <v/>
      </c>
      <c r="H39" s="17" t="n">
        <v>1</v>
      </c>
      <c r="I39" s="17" t="n">
        <v>0</v>
      </c>
      <c r="J39" s="17" t="n">
        <v>1</v>
      </c>
      <c r="K39" s="17" t="n">
        <v>4</v>
      </c>
    </row>
    <row r="40">
      <c r="A40" s="16" t="inlineStr">
        <is>
          <t>1 Jul</t>
        </is>
      </c>
      <c r="B40" s="16" t="inlineStr">
        <is>
          <t>30321</t>
        </is>
      </c>
      <c r="C40" s="17" t="n">
        <v>0</v>
      </c>
      <c r="D40" s="18" t="n">
        <v>82.52</v>
      </c>
      <c r="E40" s="19" t="n">
        <v>3270</v>
      </c>
      <c r="F40" s="19" t="n">
        <v>3287</v>
      </c>
      <c r="G40" s="20">
        <f>IF(F40=0,0,E40/F40*100)</f>
        <v/>
      </c>
      <c r="H40" s="17" t="n">
        <v>0</v>
      </c>
      <c r="I40" s="17" t="n">
        <v>0</v>
      </c>
      <c r="J40" s="17" t="n">
        <v>0</v>
      </c>
      <c r="K40" s="17" t="n">
        <v>3</v>
      </c>
    </row>
    <row r="41">
      <c r="A41" s="16" t="inlineStr">
        <is>
          <t>1 Jul</t>
        </is>
      </c>
      <c r="B41" s="16" t="inlineStr">
        <is>
          <t>30323</t>
        </is>
      </c>
      <c r="C41" s="17" t="n">
        <v>0</v>
      </c>
      <c r="D41" s="18" t="n">
        <v>82.48999999999999</v>
      </c>
      <c r="E41" s="19" t="n">
        <v>3197</v>
      </c>
      <c r="F41" s="19" t="n">
        <v>3205</v>
      </c>
      <c r="G41" s="20">
        <f>IF(F41=0,0,E41/F41*100)</f>
        <v/>
      </c>
      <c r="H41" s="17" t="n">
        <v>0</v>
      </c>
      <c r="I41" s="17" t="n">
        <v>0</v>
      </c>
      <c r="J41" s="17" t="n">
        <v>0</v>
      </c>
      <c r="K41" s="17" t="n">
        <v>0</v>
      </c>
    </row>
    <row r="42">
      <c r="A42" s="16" t="inlineStr">
        <is>
          <t>1 Jul</t>
        </is>
      </c>
      <c r="B42" s="16" t="inlineStr">
        <is>
          <t>37400</t>
        </is>
      </c>
      <c r="C42" s="17" t="n">
        <v>0</v>
      </c>
      <c r="D42" s="18" t="n">
        <v>83.98</v>
      </c>
      <c r="E42" s="19" t="n">
        <v>2658</v>
      </c>
      <c r="F42" s="19" t="n">
        <v>2855</v>
      </c>
      <c r="G42" s="20">
        <f>IF(F42=0,0,E42/F42*100)</f>
        <v/>
      </c>
      <c r="H42" s="17" t="n">
        <v>4</v>
      </c>
      <c r="I42" s="17" t="n">
        <v>0</v>
      </c>
      <c r="J42" s="17" t="n">
        <v>4</v>
      </c>
      <c r="K42" s="17" t="n">
        <v>0</v>
      </c>
    </row>
    <row r="43">
      <c r="A43" s="16" t="inlineStr">
        <is>
          <t>1 Jul</t>
        </is>
      </c>
      <c r="B43" s="16" t="inlineStr">
        <is>
          <t>37260</t>
        </is>
      </c>
      <c r="C43" s="17" t="n">
        <v>0</v>
      </c>
      <c r="D43" s="18" t="n">
        <v>80.66</v>
      </c>
      <c r="E43" s="19" t="n">
        <v>2708</v>
      </c>
      <c r="F43" s="19" t="n">
        <v>2719</v>
      </c>
      <c r="G43" s="20">
        <f>IF(F43=0,0,E43/F43*100)</f>
        <v/>
      </c>
      <c r="H43" s="17" t="n">
        <v>0</v>
      </c>
      <c r="I43" s="17" t="n">
        <v>0</v>
      </c>
      <c r="J43" s="17" t="n">
        <v>0</v>
      </c>
      <c r="K43" s="17" t="n">
        <v>1</v>
      </c>
    </row>
    <row r="44">
      <c r="A44" s="16" t="inlineStr">
        <is>
          <t>1 Jul</t>
        </is>
      </c>
      <c r="B44" s="16" t="inlineStr">
        <is>
          <t>39132</t>
        </is>
      </c>
      <c r="C44" s="17" t="n">
        <v>0</v>
      </c>
      <c r="D44" s="18" t="n">
        <v>32.9</v>
      </c>
      <c r="E44" s="19" t="n">
        <v>2250</v>
      </c>
      <c r="F44" s="19" t="n">
        <v>2259</v>
      </c>
      <c r="G44" s="20">
        <f>IF(F44=0,0,E44/F44*100)</f>
        <v/>
      </c>
      <c r="H44" s="17" t="n">
        <v>0</v>
      </c>
      <c r="I44" s="17" t="n">
        <v>0</v>
      </c>
      <c r="J44" s="17" t="n">
        <v>0</v>
      </c>
      <c r="K44" s="17" t="n">
        <v>0</v>
      </c>
    </row>
    <row r="45">
      <c r="A45" s="16" t="inlineStr">
        <is>
          <t>1 Jul</t>
        </is>
      </c>
      <c r="B45" s="16" t="inlineStr">
        <is>
          <t>37591</t>
        </is>
      </c>
      <c r="C45" s="17" t="n">
        <v>0</v>
      </c>
      <c r="D45" s="18" t="n">
        <v>0.85</v>
      </c>
      <c r="E45" s="19" t="n">
        <v>0</v>
      </c>
      <c r="F45" s="19" t="n">
        <v>987</v>
      </c>
      <c r="G45" s="20">
        <f>IF(F45=0,0,E45/F45*100)</f>
        <v/>
      </c>
      <c r="H45" s="17" t="n">
        <v>0</v>
      </c>
      <c r="I45" s="17" t="n">
        <v>0</v>
      </c>
      <c r="J45" s="17" t="n">
        <v>0</v>
      </c>
      <c r="K45" s="17" t="n">
        <v>0</v>
      </c>
    </row>
    <row r="46">
      <c r="A46" s="16" t="inlineStr">
        <is>
          <t>1 Jul</t>
        </is>
      </c>
      <c r="B46" s="16" t="inlineStr">
        <is>
          <t>37973</t>
        </is>
      </c>
      <c r="C46" s="17" t="n">
        <v>0</v>
      </c>
      <c r="D46" s="18" t="n">
        <v>0.49</v>
      </c>
      <c r="E46" s="19" t="n">
        <v>671</v>
      </c>
      <c r="F46" s="19" t="n">
        <v>701</v>
      </c>
      <c r="G46" s="20">
        <f>IF(F46=0,0,E46/F46*100)</f>
        <v/>
      </c>
      <c r="H46" s="17" t="n">
        <v>7</v>
      </c>
      <c r="I46" s="17" t="n">
        <v>0</v>
      </c>
      <c r="J46" s="17" t="n">
        <v>7</v>
      </c>
      <c r="K46" s="17" t="n">
        <v>3</v>
      </c>
    </row>
    <row r="47">
      <c r="A47" s="16" t="inlineStr">
        <is>
          <t>1 Jul</t>
        </is>
      </c>
      <c r="B47" s="16" t="inlineStr">
        <is>
          <t>30200</t>
        </is>
      </c>
      <c r="C47" s="17" t="n">
        <v>0</v>
      </c>
      <c r="D47" s="18" t="n">
        <v>0.53</v>
      </c>
      <c r="E47" s="19" t="n">
        <v>415</v>
      </c>
      <c r="F47" s="19" t="n">
        <v>504</v>
      </c>
      <c r="G47" s="20">
        <f>IF(F47=0,0,E47/F47*100)</f>
        <v/>
      </c>
      <c r="H47" s="17" t="n">
        <v>3</v>
      </c>
      <c r="I47" s="17" t="n">
        <v>0</v>
      </c>
      <c r="J47" s="17" t="n">
        <v>3</v>
      </c>
      <c r="K47" s="17" t="n">
        <v>4</v>
      </c>
    </row>
    <row r="48">
      <c r="A48" s="16" t="inlineStr">
        <is>
          <t>1 Jul</t>
        </is>
      </c>
      <c r="B48" s="16" t="inlineStr">
        <is>
          <t>30506</t>
        </is>
      </c>
      <c r="C48" s="17" t="n">
        <v>0</v>
      </c>
      <c r="D48" s="18" t="n">
        <v>0.53</v>
      </c>
      <c r="E48" s="19" t="n">
        <v>415</v>
      </c>
      <c r="F48" s="19" t="n">
        <v>498</v>
      </c>
      <c r="G48" s="20">
        <f>IF(F48=0,0,E48/F48*100)</f>
        <v/>
      </c>
      <c r="H48" s="17" t="n">
        <v>3</v>
      </c>
      <c r="I48" s="17" t="n">
        <v>0</v>
      </c>
      <c r="J48" s="17" t="n">
        <v>3</v>
      </c>
      <c r="K48" s="17" t="n">
        <v>6</v>
      </c>
    </row>
    <row r="49">
      <c r="A49" s="16" t="inlineStr">
        <is>
          <t>1 Jul</t>
        </is>
      </c>
      <c r="B49" s="16" t="inlineStr">
        <is>
          <t>30369</t>
        </is>
      </c>
      <c r="C49" s="17" t="n">
        <v>0</v>
      </c>
      <c r="D49" s="18" t="n">
        <v>0.96</v>
      </c>
      <c r="E49" s="19" t="n">
        <v>262</v>
      </c>
      <c r="F49" s="19" t="n">
        <v>266</v>
      </c>
      <c r="G49" s="20">
        <f>IF(F49=0,0,E49/F49*100)</f>
        <v/>
      </c>
      <c r="H49" s="17" t="n">
        <v>0</v>
      </c>
      <c r="I49" s="17" t="n">
        <v>0</v>
      </c>
      <c r="J49" s="17" t="n">
        <v>0</v>
      </c>
      <c r="K49" s="17" t="n">
        <v>0</v>
      </c>
    </row>
    <row r="50">
      <c r="A50" s="16" t="inlineStr">
        <is>
          <t>1 Jul</t>
        </is>
      </c>
      <c r="B50" s="16" t="inlineStr">
        <is>
          <t>45025</t>
        </is>
      </c>
      <c r="C50" s="17" t="n">
        <v>0</v>
      </c>
      <c r="D50" s="18" t="n">
        <v>40.55</v>
      </c>
      <c r="E50" s="19" t="n">
        <v>0</v>
      </c>
      <c r="F50" s="19" t="n">
        <v>85</v>
      </c>
      <c r="G50" s="20">
        <f>IF(F50=0,0,E50/F50*100)</f>
        <v/>
      </c>
      <c r="H50" s="17" t="n">
        <v>0</v>
      </c>
      <c r="I50" s="17" t="n">
        <v>0</v>
      </c>
      <c r="J50" s="17" t="n">
        <v>0</v>
      </c>
      <c r="K50" s="17" t="n">
        <v>0</v>
      </c>
    </row>
    <row r="51">
      <c r="A51" s="16" t="inlineStr">
        <is>
          <t>1 Jul</t>
        </is>
      </c>
      <c r="B51" s="16" t="inlineStr">
        <is>
          <t>555555</t>
        </is>
      </c>
      <c r="C51" s="17" t="n">
        <v>0</v>
      </c>
      <c r="D51" s="18" t="n">
        <v>10.43</v>
      </c>
      <c r="E51" s="19" t="n">
        <v>5</v>
      </c>
      <c r="F51" s="19" t="n">
        <v>8</v>
      </c>
      <c r="G51" s="20">
        <f>IF(F51=0,0,E51/F51*100)</f>
        <v/>
      </c>
      <c r="H51" s="17" t="n">
        <v>0</v>
      </c>
      <c r="I51" s="17" t="n">
        <v>0</v>
      </c>
      <c r="J51" s="17" t="n">
        <v>0</v>
      </c>
      <c r="K51" s="17" t="n">
        <v>0</v>
      </c>
    </row>
    <row r="52">
      <c r="A52" s="21" t="inlineStr">
        <is>
          <t>1 Jul</t>
        </is>
      </c>
      <c r="B52" s="21" t="inlineStr">
        <is>
          <t>Day Total</t>
        </is>
      </c>
      <c r="C52" s="22">
        <f>SUM(C4:C51)</f>
        <v/>
      </c>
      <c r="D52" s="23">
        <f>SUM(D4:D51)</f>
        <v/>
      </c>
      <c r="E52" s="24">
        <f>SUM(E4:E51)</f>
        <v/>
      </c>
      <c r="F52" s="24">
        <f>SUMIF(E4:E51,"&gt;0",F4:F51)</f>
        <v/>
      </c>
      <c r="G52" s="25">
        <f>IF(F52=0,0,E52/F52*100)</f>
        <v/>
      </c>
      <c r="H52" s="22">
        <f>SUM(H4:H51)</f>
        <v/>
      </c>
      <c r="I52" s="22">
        <f>SUM(I4:I51)</f>
        <v/>
      </c>
      <c r="J52" s="22">
        <f>SUM(J4:J51)</f>
        <v/>
      </c>
      <c r="K52" s="22">
        <f>SUM(K4:K51)</f>
        <v/>
      </c>
    </row>
    <row r="53">
      <c r="A53" s="26" t="inlineStr">
        <is>
          <t>GRAND TOTAL</t>
        </is>
      </c>
      <c r="B53" s="26" t="n"/>
      <c r="C53" s="27">
        <f>C52</f>
        <v/>
      </c>
      <c r="D53" s="28">
        <f>D52</f>
        <v/>
      </c>
      <c r="E53" s="29">
        <f>E52</f>
        <v/>
      </c>
      <c r="F53" s="29">
        <f>F52</f>
        <v/>
      </c>
      <c r="G53" s="30">
        <f>IF(F53=0,0,E53/F53*100)</f>
        <v/>
      </c>
      <c r="H53" s="27">
        <f>H52</f>
        <v/>
      </c>
      <c r="I53" s="27">
        <f>I52</f>
        <v/>
      </c>
      <c r="J53" s="27">
        <f>J52</f>
        <v/>
      </c>
      <c r="K53" s="27">
        <f>K52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2"/>
    <row r="3">
      <c r="A3" s="31" t="inlineStr">
        <is>
          <t>Total EB = 20   ·   Valid trips = 0   ·   Non-valid trips = 20   ·   Undesirable = 9</t>
        </is>
      </c>
    </row>
    <row r="4"/>
    <row r="5" ht="34" customHeight="1">
      <c r="A5" s="15" t="inlineStr">
        <is>
          <t>Date</t>
        </is>
      </c>
      <c r="B5" s="15" t="inlineStr">
        <is>
          <t>Loco ID</t>
        </is>
      </c>
      <c r="C5" s="15" t="inlineStr">
        <is>
          <t>Trip Type</t>
        </is>
      </c>
      <c r="D5" s="15" t="inlineStr">
        <is>
          <t>Onset</t>
        </is>
      </c>
      <c r="E5" s="15" t="inlineStr">
        <is>
          <t>End</t>
        </is>
      </c>
      <c r="F5" s="15" t="inlineStr">
        <is>
          <t>Duration (s)</t>
        </is>
      </c>
      <c r="G5" s="15" t="inlineStr">
        <is>
          <t>EB Packets</t>
        </is>
      </c>
      <c r="H5" s="15" t="inlineStr">
        <is>
          <t>Max Speed</t>
        </is>
      </c>
      <c r="I5" s="15" t="inlineStr">
        <is>
          <t>Mode @onset</t>
        </is>
      </c>
      <c r="J5" s="15" t="inlineStr">
        <is>
          <t>Location (km)</t>
        </is>
      </c>
      <c r="K5" s="15" t="inlineStr">
        <is>
          <t>Dir</t>
        </is>
      </c>
      <c r="L5" s="15" t="inlineStr">
        <is>
          <t>Station</t>
        </is>
      </c>
      <c r="M5" s="15" t="inlineStr">
        <is>
          <t>Speed at EB (PG check)</t>
        </is>
      </c>
      <c r="N5" s="15" t="inlineStr">
        <is>
          <t>MA wrt Sig</t>
        </is>
      </c>
      <c r="O5" s="15" t="inlineStr">
        <is>
          <t>Emergency (LReg)</t>
        </is>
      </c>
      <c r="P5" s="15" t="inlineStr">
        <is>
          <t>Suspected Reason (undesirable)</t>
        </is>
      </c>
      <c r="Q5" s="15" t="inlineStr">
        <is>
          <t>Loco Type</t>
        </is>
      </c>
    </row>
    <row r="6">
      <c r="A6" s="32" t="inlineStr">
        <is>
          <t>1 Jul</t>
        </is>
      </c>
      <c r="B6" s="32" t="inlineStr">
        <is>
          <t>37400</t>
        </is>
      </c>
      <c r="C6" s="32" t="inlineStr">
        <is>
          <t>Non-Valid</t>
        </is>
      </c>
      <c r="D6" s="32" t="inlineStr">
        <is>
          <t>00:51:52</t>
        </is>
      </c>
      <c r="E6" s="32" t="inlineStr">
        <is>
          <t>00:51:58</t>
        </is>
      </c>
      <c r="F6" s="32" t="n">
        <v>6</v>
      </c>
      <c r="G6" s="32" t="n">
        <v>4</v>
      </c>
      <c r="H6" s="32" t="n">
        <v>6</v>
      </c>
      <c r="I6" s="32" t="inlineStr">
        <is>
          <t>FS</t>
        </is>
      </c>
      <c r="J6" s="33" t="n">
        <v>94.77</v>
      </c>
      <c r="K6" s="32" t="inlineStr">
        <is>
          <t>N</t>
        </is>
      </c>
      <c r="L6" s="32" t="inlineStr">
        <is>
          <t>Barddhaman Jn</t>
        </is>
      </c>
      <c r="M6" s="34" t="inlineStr">
        <is>
          <t>6 km/h</t>
        </is>
      </c>
      <c r="N6" s="34" t="inlineStr">
        <is>
          <t>110</t>
        </is>
      </c>
      <c r="O6" s="32" t="inlineStr">
        <is>
          <t>-</t>
        </is>
      </c>
      <c r="P6" s="34" t="inlineStr">
        <is>
          <t>-</t>
        </is>
      </c>
      <c r="Q6" s="32" t="inlineStr">
        <is>
          <t>HBL</t>
        </is>
      </c>
    </row>
    <row r="7">
      <c r="A7" s="32" t="inlineStr">
        <is>
          <t>1 Jul</t>
        </is>
      </c>
      <c r="B7" s="32" t="inlineStr">
        <is>
          <t>37400</t>
        </is>
      </c>
      <c r="C7" s="32" t="inlineStr">
        <is>
          <t>Non-Valid</t>
        </is>
      </c>
      <c r="D7" s="32" t="inlineStr">
        <is>
          <t>00:55:02</t>
        </is>
      </c>
      <c r="E7" s="32" t="inlineStr">
        <is>
          <t>00:55:02</t>
        </is>
      </c>
      <c r="F7" s="32" t="n">
        <v>0</v>
      </c>
      <c r="G7" s="32" t="n">
        <v>1</v>
      </c>
      <c r="H7" s="32" t="n">
        <v>1</v>
      </c>
      <c r="I7" s="32" t="inlineStr">
        <is>
          <t>POSTTRIP</t>
        </is>
      </c>
      <c r="J7" s="33" t="n">
        <v>94.78</v>
      </c>
      <c r="K7" s="32" t="inlineStr">
        <is>
          <t>N</t>
        </is>
      </c>
      <c r="L7" s="32" t="inlineStr">
        <is>
          <t>Barddhaman Jn</t>
        </is>
      </c>
      <c r="M7" s="34" t="inlineStr">
        <is>
          <t>1 km/h</t>
        </is>
      </c>
      <c r="N7" s="34" t="inlineStr">
        <is>
          <t>110</t>
        </is>
      </c>
      <c r="O7" s="32" t="inlineStr">
        <is>
          <t>-</t>
        </is>
      </c>
      <c r="P7" s="35" t="inlineStr">
        <is>
          <t>EB at 0-1 km/h</t>
        </is>
      </c>
      <c r="Q7" s="32" t="inlineStr">
        <is>
          <t>HBL</t>
        </is>
      </c>
    </row>
    <row r="8">
      <c r="A8" s="32" t="inlineStr">
        <is>
          <t>1 Jul</t>
        </is>
      </c>
      <c r="B8" s="32" t="inlineStr">
        <is>
          <t>37400</t>
        </is>
      </c>
      <c r="C8" s="32" t="inlineStr">
        <is>
          <t>Non-Valid</t>
        </is>
      </c>
      <c r="D8" s="32" t="inlineStr">
        <is>
          <t>00:55:54</t>
        </is>
      </c>
      <c r="E8" s="32" t="inlineStr">
        <is>
          <t>00:55:54</t>
        </is>
      </c>
      <c r="F8" s="32" t="n">
        <v>0</v>
      </c>
      <c r="G8" s="32" t="n">
        <v>1</v>
      </c>
      <c r="H8" s="32" t="n">
        <v>1</v>
      </c>
      <c r="I8" s="32" t="inlineStr">
        <is>
          <t>POSTTRIP</t>
        </is>
      </c>
      <c r="J8" s="33" t="n">
        <v>94.78</v>
      </c>
      <c r="K8" s="32" t="inlineStr">
        <is>
          <t>N</t>
        </is>
      </c>
      <c r="L8" s="32" t="inlineStr">
        <is>
          <t>Barddhaman Jn</t>
        </is>
      </c>
      <c r="M8" s="34" t="inlineStr">
        <is>
          <t>1 km/h</t>
        </is>
      </c>
      <c r="N8" s="34" t="inlineStr">
        <is>
          <t>110</t>
        </is>
      </c>
      <c r="O8" s="32" t="inlineStr">
        <is>
          <t>-</t>
        </is>
      </c>
      <c r="P8" s="35" t="inlineStr">
        <is>
          <t>EB at 0-1 km/h</t>
        </is>
      </c>
      <c r="Q8" s="32" t="inlineStr">
        <is>
          <t>HBL</t>
        </is>
      </c>
    </row>
    <row r="9">
      <c r="A9" s="32" t="inlineStr">
        <is>
          <t>1 Jul</t>
        </is>
      </c>
      <c r="B9" s="32" t="inlineStr">
        <is>
          <t>37400</t>
        </is>
      </c>
      <c r="C9" s="32" t="inlineStr">
        <is>
          <t>Non-Valid</t>
        </is>
      </c>
      <c r="D9" s="32" t="inlineStr">
        <is>
          <t>00:56:48</t>
        </is>
      </c>
      <c r="E9" s="32" t="inlineStr">
        <is>
          <t>00:56:50</t>
        </is>
      </c>
      <c r="F9" s="32" t="n">
        <v>2</v>
      </c>
      <c r="G9" s="32" t="n">
        <v>2</v>
      </c>
      <c r="H9" s="32" t="n">
        <v>1</v>
      </c>
      <c r="I9" s="32" t="inlineStr">
        <is>
          <t>POSTTRIP</t>
        </is>
      </c>
      <c r="J9" s="33" t="n">
        <v>94.78</v>
      </c>
      <c r="K9" s="32" t="inlineStr">
        <is>
          <t>N</t>
        </is>
      </c>
      <c r="L9" s="32" t="inlineStr">
        <is>
          <t>Barddhaman Jn</t>
        </is>
      </c>
      <c r="M9" s="34" t="inlineStr">
        <is>
          <t>1 km/h</t>
        </is>
      </c>
      <c r="N9" s="34" t="inlineStr">
        <is>
          <t>110</t>
        </is>
      </c>
      <c r="O9" s="32" t="inlineStr">
        <is>
          <t>-</t>
        </is>
      </c>
      <c r="P9" s="35" t="inlineStr">
        <is>
          <t>EB at 0-1 km/h</t>
        </is>
      </c>
      <c r="Q9" s="32" t="inlineStr">
        <is>
          <t>HBL</t>
        </is>
      </c>
    </row>
    <row r="10">
      <c r="A10" s="32" t="inlineStr">
        <is>
          <t>1 Jul</t>
        </is>
      </c>
      <c r="B10" s="32" t="inlineStr">
        <is>
          <t>30506</t>
        </is>
      </c>
      <c r="C10" s="32" t="inlineStr">
        <is>
          <t>Non-Valid</t>
        </is>
      </c>
      <c r="D10" s="32" t="inlineStr">
        <is>
          <t>01:03:58</t>
        </is>
      </c>
      <c r="E10" s="32" t="inlineStr">
        <is>
          <t>01:04:00</t>
        </is>
      </c>
      <c r="F10" s="32" t="n">
        <v>2</v>
      </c>
      <c r="G10" s="32" t="n">
        <v>2</v>
      </c>
      <c r="H10" s="32" t="n">
        <v>4</v>
      </c>
      <c r="I10" s="32" t="inlineStr">
        <is>
          <t>FS</t>
        </is>
      </c>
      <c r="J10" s="33" t="n">
        <v>0.73</v>
      </c>
      <c r="K10" s="32" t="inlineStr">
        <is>
          <t>N</t>
        </is>
      </c>
      <c r="L10" s="32" t="inlineStr">
        <is>
          <t>Howrah</t>
        </is>
      </c>
      <c r="M10" s="34" t="inlineStr">
        <is>
          <t>4 km/h</t>
        </is>
      </c>
      <c r="N10" s="34" t="inlineStr">
        <is>
          <t>n/a</t>
        </is>
      </c>
      <c r="O10" s="32" t="inlineStr">
        <is>
          <t>-</t>
        </is>
      </c>
      <c r="P10" s="34" t="inlineStr">
        <is>
          <t>-</t>
        </is>
      </c>
      <c r="Q10" s="32" t="inlineStr">
        <is>
          <t>HBL</t>
        </is>
      </c>
    </row>
    <row r="11">
      <c r="A11" s="32" t="inlineStr">
        <is>
          <t>1 Jul</t>
        </is>
      </c>
      <c r="B11" s="32" t="inlineStr">
        <is>
          <t>30506</t>
        </is>
      </c>
      <c r="C11" s="32" t="inlineStr">
        <is>
          <t>Non-Valid</t>
        </is>
      </c>
      <c r="D11" s="32" t="inlineStr">
        <is>
          <t>01:04:26</t>
        </is>
      </c>
      <c r="E11" s="32" t="inlineStr">
        <is>
          <t>01:04:30</t>
        </is>
      </c>
      <c r="F11" s="32" t="n">
        <v>4</v>
      </c>
      <c r="G11" s="32" t="n">
        <v>3</v>
      </c>
      <c r="H11" s="32" t="n">
        <v>3</v>
      </c>
      <c r="I11" s="32" t="inlineStr">
        <is>
          <t>FS</t>
        </is>
      </c>
      <c r="J11" s="33" t="n">
        <v>0.74</v>
      </c>
      <c r="K11" s="32" t="inlineStr">
        <is>
          <t>N</t>
        </is>
      </c>
      <c r="L11" s="32" t="inlineStr">
        <is>
          <t>Howrah</t>
        </is>
      </c>
      <c r="M11" s="34" t="inlineStr">
        <is>
          <t>1 km/h</t>
        </is>
      </c>
      <c r="N11" s="34" t="inlineStr">
        <is>
          <t>n/a</t>
        </is>
      </c>
      <c r="O11" s="32" t="inlineStr">
        <is>
          <t>-</t>
        </is>
      </c>
      <c r="P11" s="35" t="inlineStr">
        <is>
          <t>EB at 0-1 km/h</t>
        </is>
      </c>
      <c r="Q11" s="32" t="inlineStr">
        <is>
          <t>HBL</t>
        </is>
      </c>
    </row>
    <row r="12">
      <c r="A12" s="32" t="inlineStr">
        <is>
          <t>1 Jul</t>
        </is>
      </c>
      <c r="B12" s="32" t="inlineStr">
        <is>
          <t>30506</t>
        </is>
      </c>
      <c r="C12" s="32" t="inlineStr">
        <is>
          <t>Non-Valid</t>
        </is>
      </c>
      <c r="D12" s="32" t="inlineStr">
        <is>
          <t>01:04:50</t>
        </is>
      </c>
      <c r="E12" s="32" t="inlineStr">
        <is>
          <t>01:04:52</t>
        </is>
      </c>
      <c r="F12" s="32" t="n">
        <v>2</v>
      </c>
      <c r="G12" s="32" t="n">
        <v>2</v>
      </c>
      <c r="H12" s="32" t="n">
        <v>2</v>
      </c>
      <c r="I12" s="32" t="inlineStr">
        <is>
          <t>FS</t>
        </is>
      </c>
      <c r="J12" s="33" t="n">
        <v>0.74</v>
      </c>
      <c r="K12" s="32" t="inlineStr">
        <is>
          <t>N</t>
        </is>
      </c>
      <c r="L12" s="32" t="inlineStr">
        <is>
          <t>Howrah</t>
        </is>
      </c>
      <c r="M12" s="34" t="inlineStr">
        <is>
          <t>2 km/h</t>
        </is>
      </c>
      <c r="N12" s="34" t="inlineStr">
        <is>
          <t>n/a</t>
        </is>
      </c>
      <c r="O12" s="32" t="inlineStr">
        <is>
          <t>-</t>
        </is>
      </c>
      <c r="P12" s="34" t="inlineStr">
        <is>
          <t>-</t>
        </is>
      </c>
      <c r="Q12" s="32" t="inlineStr">
        <is>
          <t>HBL</t>
        </is>
      </c>
    </row>
    <row r="13">
      <c r="A13" s="32" t="inlineStr">
        <is>
          <t>1 Jul</t>
        </is>
      </c>
      <c r="B13" s="32" t="inlineStr">
        <is>
          <t>30552</t>
        </is>
      </c>
      <c r="C13" s="32" t="inlineStr">
        <is>
          <t>Non-Valid</t>
        </is>
      </c>
      <c r="D13" s="32" t="inlineStr">
        <is>
          <t>10:49:30</t>
        </is>
      </c>
      <c r="E13" s="32" t="inlineStr">
        <is>
          <t>10:49:30</t>
        </is>
      </c>
      <c r="F13" s="32" t="n">
        <v>0</v>
      </c>
      <c r="G13" s="32" t="n">
        <v>1</v>
      </c>
      <c r="H13" s="32" t="n">
        <v>110</v>
      </c>
      <c r="I13" s="32" t="inlineStr">
        <is>
          <t>FS</t>
        </is>
      </c>
      <c r="J13" s="33" t="n">
        <v>75.28</v>
      </c>
      <c r="K13" s="32" t="inlineStr">
        <is>
          <t>R</t>
        </is>
      </c>
      <c r="L13" s="32" t="inlineStr">
        <is>
          <t>Palla Road</t>
        </is>
      </c>
      <c r="M13" s="34" t="inlineStr">
        <is>
          <t>110 km/h</t>
        </is>
      </c>
      <c r="N13" s="34" t="inlineStr">
        <is>
          <t>n/a</t>
        </is>
      </c>
      <c r="O13" s="32" t="inlineStr">
        <is>
          <t>-</t>
        </is>
      </c>
      <c r="P13" s="34" t="inlineStr">
        <is>
          <t>-</t>
        </is>
      </c>
      <c r="Q13" s="32" t="inlineStr">
        <is>
          <t>HBL</t>
        </is>
      </c>
    </row>
    <row r="14">
      <c r="A14" s="32" t="inlineStr">
        <is>
          <t>1 Jul</t>
        </is>
      </c>
      <c r="B14" s="32" t="inlineStr">
        <is>
          <t>37973</t>
        </is>
      </c>
      <c r="C14" s="32" t="inlineStr">
        <is>
          <t>Non-Valid</t>
        </is>
      </c>
      <c r="D14" s="32" t="inlineStr">
        <is>
          <t>17:34:08</t>
        </is>
      </c>
      <c r="E14" s="32" t="inlineStr">
        <is>
          <t>17:34:08</t>
        </is>
      </c>
      <c r="F14" s="32" t="n">
        <v>0</v>
      </c>
      <c r="G14" s="32" t="n">
        <v>1</v>
      </c>
      <c r="H14" s="32" t="n">
        <v>3</v>
      </c>
      <c r="I14" s="32" t="inlineStr">
        <is>
          <t>FS</t>
        </is>
      </c>
      <c r="J14" s="33" t="n">
        <v>0.45</v>
      </c>
      <c r="K14" s="32" t="inlineStr">
        <is>
          <t>R</t>
        </is>
      </c>
      <c r="L14" s="32" t="inlineStr">
        <is>
          <t>Howrah</t>
        </is>
      </c>
      <c r="M14" s="34" t="inlineStr">
        <is>
          <t>3 km/h</t>
        </is>
      </c>
      <c r="N14" s="34" t="inlineStr">
        <is>
          <t>n/a</t>
        </is>
      </c>
      <c r="O14" s="32" t="inlineStr">
        <is>
          <t>-</t>
        </is>
      </c>
      <c r="P14" s="34" t="inlineStr">
        <is>
          <t>-</t>
        </is>
      </c>
      <c r="Q14" s="32" t="inlineStr">
        <is>
          <t>HBL</t>
        </is>
      </c>
    </row>
    <row r="15">
      <c r="A15" s="32" t="inlineStr">
        <is>
          <t>1 Jul</t>
        </is>
      </c>
      <c r="B15" s="32" t="inlineStr">
        <is>
          <t>37973</t>
        </is>
      </c>
      <c r="C15" s="32" t="inlineStr">
        <is>
          <t>Non-Valid</t>
        </is>
      </c>
      <c r="D15" s="32" t="inlineStr">
        <is>
          <t>17:34:46</t>
        </is>
      </c>
      <c r="E15" s="32" t="inlineStr">
        <is>
          <t>17:34:50</t>
        </is>
      </c>
      <c r="F15" s="32" t="n">
        <v>4</v>
      </c>
      <c r="G15" s="32" t="n">
        <v>3</v>
      </c>
      <c r="H15" s="32" t="n">
        <v>3</v>
      </c>
      <c r="I15" s="32" t="inlineStr">
        <is>
          <t>FS</t>
        </is>
      </c>
      <c r="J15" s="33" t="n">
        <v>0.45</v>
      </c>
      <c r="K15" s="32" t="inlineStr">
        <is>
          <t>R</t>
        </is>
      </c>
      <c r="L15" s="32" t="inlineStr">
        <is>
          <t>Howrah</t>
        </is>
      </c>
      <c r="M15" s="34" t="inlineStr">
        <is>
          <t>3 km/h</t>
        </is>
      </c>
      <c r="N15" s="34" t="inlineStr">
        <is>
          <t>n/a</t>
        </is>
      </c>
      <c r="O15" s="32" t="inlineStr">
        <is>
          <t>-</t>
        </is>
      </c>
      <c r="P15" s="34" t="inlineStr">
        <is>
          <t>-</t>
        </is>
      </c>
      <c r="Q15" s="32" t="inlineStr">
        <is>
          <t>HBL</t>
        </is>
      </c>
    </row>
    <row r="16">
      <c r="A16" s="32" t="inlineStr">
        <is>
          <t>1 Jul</t>
        </is>
      </c>
      <c r="B16" s="32" t="inlineStr">
        <is>
          <t>37973</t>
        </is>
      </c>
      <c r="C16" s="32" t="inlineStr">
        <is>
          <t>Non-Valid</t>
        </is>
      </c>
      <c r="D16" s="32" t="inlineStr">
        <is>
          <t>17:35:24</t>
        </is>
      </c>
      <c r="E16" s="32" t="inlineStr">
        <is>
          <t>17:35:32</t>
        </is>
      </c>
      <c r="F16" s="32" t="n">
        <v>8</v>
      </c>
      <c r="G16" s="32" t="n">
        <v>3</v>
      </c>
      <c r="H16" s="32" t="n">
        <v>6</v>
      </c>
      <c r="I16" s="32" t="inlineStr">
        <is>
          <t>TRIP</t>
        </is>
      </c>
      <c r="J16" s="33" t="n">
        <v>0.43</v>
      </c>
      <c r="K16" s="32" t="inlineStr">
        <is>
          <t>R</t>
        </is>
      </c>
      <c r="L16" s="32" t="inlineStr">
        <is>
          <t>Howrah</t>
        </is>
      </c>
      <c r="M16" s="34" t="inlineStr">
        <is>
          <t>6 km/h</t>
        </is>
      </c>
      <c r="N16" s="34" t="inlineStr">
        <is>
          <t>n/a</t>
        </is>
      </c>
      <c r="O16" s="32" t="inlineStr">
        <is>
          <t>-</t>
        </is>
      </c>
      <c r="P16" s="35" t="inlineStr">
        <is>
          <t>Trip mode</t>
        </is>
      </c>
      <c r="Q16" s="32" t="inlineStr">
        <is>
          <t>HBL</t>
        </is>
      </c>
    </row>
    <row r="17">
      <c r="A17" s="32" t="inlineStr">
        <is>
          <t>1 Jul</t>
        </is>
      </c>
      <c r="B17" s="32" t="inlineStr">
        <is>
          <t>37973</t>
        </is>
      </c>
      <c r="C17" s="32" t="inlineStr">
        <is>
          <t>Non-Valid</t>
        </is>
      </c>
      <c r="D17" s="32" t="inlineStr">
        <is>
          <t>17:42:44</t>
        </is>
      </c>
      <c r="E17" s="32" t="inlineStr">
        <is>
          <t>17:42:46</t>
        </is>
      </c>
      <c r="F17" s="32" t="n">
        <v>2</v>
      </c>
      <c r="G17" s="32" t="n">
        <v>2</v>
      </c>
      <c r="H17" s="32" t="n">
        <v>6</v>
      </c>
      <c r="I17" s="32" t="inlineStr">
        <is>
          <t>FS</t>
        </is>
      </c>
      <c r="J17" s="33" t="n">
        <v>0.73</v>
      </c>
      <c r="K17" s="32" t="inlineStr">
        <is>
          <t>N</t>
        </is>
      </c>
      <c r="L17" s="32" t="inlineStr">
        <is>
          <t>Howrah</t>
        </is>
      </c>
      <c r="M17" s="34" t="inlineStr">
        <is>
          <t>6 km/h</t>
        </is>
      </c>
      <c r="N17" s="34" t="inlineStr">
        <is>
          <t>n/a</t>
        </is>
      </c>
      <c r="O17" s="32" t="inlineStr">
        <is>
          <t>-</t>
        </is>
      </c>
      <c r="P17" s="34" t="inlineStr">
        <is>
          <t>-</t>
        </is>
      </c>
      <c r="Q17" s="32" t="inlineStr">
        <is>
          <t>HBL</t>
        </is>
      </c>
    </row>
    <row r="18">
      <c r="A18" s="32" t="inlineStr">
        <is>
          <t>1 Jul</t>
        </is>
      </c>
      <c r="B18" s="32" t="inlineStr">
        <is>
          <t>37973</t>
        </is>
      </c>
      <c r="C18" s="32" t="inlineStr">
        <is>
          <t>Non-Valid</t>
        </is>
      </c>
      <c r="D18" s="32" t="inlineStr">
        <is>
          <t>17:43:30</t>
        </is>
      </c>
      <c r="E18" s="32" t="inlineStr">
        <is>
          <t>17:43:30</t>
        </is>
      </c>
      <c r="F18" s="32" t="n">
        <v>0</v>
      </c>
      <c r="G18" s="32" t="n">
        <v>1</v>
      </c>
      <c r="H18" s="32" t="n">
        <v>1</v>
      </c>
      <c r="I18" s="32" t="inlineStr">
        <is>
          <t>FS</t>
        </is>
      </c>
      <c r="J18" s="33" t="n">
        <v>0.73</v>
      </c>
      <c r="K18" s="32" t="inlineStr">
        <is>
          <t>N</t>
        </is>
      </c>
      <c r="L18" s="32" t="inlineStr">
        <is>
          <t>Howrah</t>
        </is>
      </c>
      <c r="M18" s="34" t="inlineStr">
        <is>
          <t>1 km/h</t>
        </is>
      </c>
      <c r="N18" s="34" t="inlineStr">
        <is>
          <t>n/a</t>
        </is>
      </c>
      <c r="O18" s="32" t="inlineStr">
        <is>
          <t>-</t>
        </is>
      </c>
      <c r="P18" s="35" t="inlineStr">
        <is>
          <t>EB at 0-1 km/h</t>
        </is>
      </c>
      <c r="Q18" s="32" t="inlineStr">
        <is>
          <t>HBL</t>
        </is>
      </c>
    </row>
    <row r="19">
      <c r="A19" s="32" t="inlineStr">
        <is>
          <t>1 Jul</t>
        </is>
      </c>
      <c r="B19" s="32" t="inlineStr">
        <is>
          <t>37973</t>
        </is>
      </c>
      <c r="C19" s="32" t="inlineStr">
        <is>
          <t>Non-Valid</t>
        </is>
      </c>
      <c r="D19" s="32" t="inlineStr">
        <is>
          <t>17:43:36</t>
        </is>
      </c>
      <c r="E19" s="32" t="inlineStr">
        <is>
          <t>17:43:36</t>
        </is>
      </c>
      <c r="F19" s="32" t="n">
        <v>0</v>
      </c>
      <c r="G19" s="32" t="n">
        <v>1</v>
      </c>
      <c r="H19" s="32" t="n">
        <v>1</v>
      </c>
      <c r="I19" s="32" t="inlineStr">
        <is>
          <t>FS</t>
        </is>
      </c>
      <c r="J19" s="33" t="n">
        <v>0.74</v>
      </c>
      <c r="K19" s="32" t="inlineStr">
        <is>
          <t>N</t>
        </is>
      </c>
      <c r="L19" s="32" t="inlineStr">
        <is>
          <t>Howrah</t>
        </is>
      </c>
      <c r="M19" s="34" t="inlineStr">
        <is>
          <t>1 km/h</t>
        </is>
      </c>
      <c r="N19" s="34" t="inlineStr">
        <is>
          <t>n/a</t>
        </is>
      </c>
      <c r="O19" s="32" t="inlineStr">
        <is>
          <t>-</t>
        </is>
      </c>
      <c r="P19" s="35" t="inlineStr">
        <is>
          <t>EB at 0-1 km/h</t>
        </is>
      </c>
      <c r="Q19" s="32" t="inlineStr">
        <is>
          <t>HBL</t>
        </is>
      </c>
    </row>
    <row r="20">
      <c r="A20" s="32" t="inlineStr">
        <is>
          <t>1 Jul</t>
        </is>
      </c>
      <c r="B20" s="32" t="inlineStr">
        <is>
          <t>37973</t>
        </is>
      </c>
      <c r="C20" s="32" t="inlineStr">
        <is>
          <t>Non-Valid</t>
        </is>
      </c>
      <c r="D20" s="32" t="inlineStr">
        <is>
          <t>17:44:32</t>
        </is>
      </c>
      <c r="E20" s="32" t="inlineStr">
        <is>
          <t>17:44:38</t>
        </is>
      </c>
      <c r="F20" s="32" t="n">
        <v>6</v>
      </c>
      <c r="G20" s="32" t="n">
        <v>4</v>
      </c>
      <c r="H20" s="32" t="n">
        <v>2</v>
      </c>
      <c r="I20" s="32" t="inlineStr">
        <is>
          <t>TRIP</t>
        </is>
      </c>
      <c r="J20" s="33" t="n">
        <v>0.75</v>
      </c>
      <c r="K20" s="32" t="inlineStr">
        <is>
          <t>N</t>
        </is>
      </c>
      <c r="L20" s="32" t="inlineStr">
        <is>
          <t>Howrah</t>
        </is>
      </c>
      <c r="M20" s="34" t="inlineStr">
        <is>
          <t>2 km/h</t>
        </is>
      </c>
      <c r="N20" s="34" t="inlineStr">
        <is>
          <t>n/a</t>
        </is>
      </c>
      <c r="O20" s="32" t="inlineStr">
        <is>
          <t>-</t>
        </is>
      </c>
      <c r="P20" s="35" t="inlineStr">
        <is>
          <t>Trip mode</t>
        </is>
      </c>
      <c r="Q20" s="32" t="inlineStr">
        <is>
          <t>HBL</t>
        </is>
      </c>
    </row>
    <row r="21" ht="49" customHeight="1">
      <c r="A21" s="32" t="inlineStr">
        <is>
          <t>1 Jul</t>
        </is>
      </c>
      <c r="B21" s="32" t="inlineStr">
        <is>
          <t>30503</t>
        </is>
      </c>
      <c r="C21" s="32" t="inlineStr">
        <is>
          <t>Non-Valid</t>
        </is>
      </c>
      <c r="D21" s="32" t="inlineStr">
        <is>
          <t>19:23:20</t>
        </is>
      </c>
      <c r="E21" s="32" t="inlineStr">
        <is>
          <t>19:23:28</t>
        </is>
      </c>
      <c r="F21" s="32" t="n">
        <v>8</v>
      </c>
      <c r="G21" s="32" t="n">
        <v>4</v>
      </c>
      <c r="H21" s="32" t="n">
        <v>14</v>
      </c>
      <c r="I21" s="32" t="inlineStr">
        <is>
          <t>FS</t>
        </is>
      </c>
      <c r="J21" s="33" t="n">
        <v>200.19</v>
      </c>
      <c r="K21" s="32" t="inlineStr">
        <is>
          <t>N</t>
        </is>
      </c>
      <c r="L21" s="32" t="inlineStr">
        <is>
          <t>Asansol</t>
        </is>
      </c>
      <c r="M21" s="34" t="inlineStr">
        <is>
          <t>14 km/h</t>
        </is>
      </c>
      <c r="N21" s="34" t="inlineStr">
        <is>
          <t>1019
MA dropped from 3664 to 1019.</t>
        </is>
      </c>
      <c r="O21" s="32" t="inlineStr">
        <is>
          <t>-</t>
        </is>
      </c>
      <c r="P21" s="35" t="inlineStr">
        <is>
          <t>Sudden MA drop</t>
        </is>
      </c>
      <c r="Q21" s="32" t="inlineStr">
        <is>
          <t>HBL</t>
        </is>
      </c>
    </row>
    <row r="22">
      <c r="A22" s="32" t="inlineStr">
        <is>
          <t>1 Jul</t>
        </is>
      </c>
      <c r="B22" s="32" t="inlineStr">
        <is>
          <t>37405</t>
        </is>
      </c>
      <c r="C22" s="32" t="inlineStr">
        <is>
          <t>Non-Valid</t>
        </is>
      </c>
      <c r="D22" s="32" t="inlineStr">
        <is>
          <t>21:06:58</t>
        </is>
      </c>
      <c r="E22" s="32" t="inlineStr">
        <is>
          <t>21:07:04</t>
        </is>
      </c>
      <c r="F22" s="32" t="n">
        <v>6</v>
      </c>
      <c r="G22" s="32" t="n">
        <v>4</v>
      </c>
      <c r="H22" s="32" t="n">
        <v>8</v>
      </c>
      <c r="I22" s="32" t="inlineStr">
        <is>
          <t>FS</t>
        </is>
      </c>
      <c r="J22" s="33" t="n">
        <v>94.66</v>
      </c>
      <c r="K22" s="32" t="inlineStr">
        <is>
          <t>N</t>
        </is>
      </c>
      <c r="L22" s="32" t="inlineStr">
        <is>
          <t>Barddhaman Jn</t>
        </is>
      </c>
      <c r="M22" s="34" t="inlineStr">
        <is>
          <t>8 km/h</t>
        </is>
      </c>
      <c r="N22" s="34" t="inlineStr">
        <is>
          <t>423</t>
        </is>
      </c>
      <c r="O22" s="32" t="inlineStr">
        <is>
          <t>-</t>
        </is>
      </c>
      <c r="P22" s="34" t="inlineStr">
        <is>
          <t>-</t>
        </is>
      </c>
      <c r="Q22" s="32" t="inlineStr">
        <is>
          <t>HBL</t>
        </is>
      </c>
    </row>
    <row r="23">
      <c r="A23" s="32" t="inlineStr">
        <is>
          <t>1 Jul</t>
        </is>
      </c>
      <c r="B23" s="32" t="inlineStr">
        <is>
          <t>30200</t>
        </is>
      </c>
      <c r="C23" s="32" t="inlineStr">
        <is>
          <t>Non-Valid</t>
        </is>
      </c>
      <c r="D23" s="32" t="inlineStr">
        <is>
          <t>23:02:42</t>
        </is>
      </c>
      <c r="E23" s="32" t="inlineStr">
        <is>
          <t>23:02:42</t>
        </is>
      </c>
      <c r="F23" s="32" t="n">
        <v>0</v>
      </c>
      <c r="G23" s="32" t="n">
        <v>1</v>
      </c>
      <c r="H23" s="32" t="n">
        <v>2</v>
      </c>
      <c r="I23" s="32" t="inlineStr">
        <is>
          <t>FS</t>
        </is>
      </c>
      <c r="J23" s="33" t="n">
        <v>0.73</v>
      </c>
      <c r="K23" s="32" t="inlineStr">
        <is>
          <t>N</t>
        </is>
      </c>
      <c r="L23" s="32" t="inlineStr">
        <is>
          <t>Howrah</t>
        </is>
      </c>
      <c r="M23" s="34" t="inlineStr">
        <is>
          <t>2 km/h</t>
        </is>
      </c>
      <c r="N23" s="34" t="inlineStr">
        <is>
          <t>n/a</t>
        </is>
      </c>
      <c r="O23" s="32" t="inlineStr">
        <is>
          <t>-</t>
        </is>
      </c>
      <c r="P23" s="34" t="inlineStr">
        <is>
          <t>-</t>
        </is>
      </c>
      <c r="Q23" s="32" t="inlineStr">
        <is>
          <t>HBL</t>
        </is>
      </c>
    </row>
    <row r="24">
      <c r="A24" s="32" t="inlineStr">
        <is>
          <t>1 Jul</t>
        </is>
      </c>
      <c r="B24" s="32" t="inlineStr">
        <is>
          <t>30200</t>
        </is>
      </c>
      <c r="C24" s="32" t="inlineStr">
        <is>
          <t>Non-Valid</t>
        </is>
      </c>
      <c r="D24" s="32" t="inlineStr">
        <is>
          <t>23:03:20</t>
        </is>
      </c>
      <c r="E24" s="32" t="inlineStr">
        <is>
          <t>23:03:22</t>
        </is>
      </c>
      <c r="F24" s="32" t="n">
        <v>2</v>
      </c>
      <c r="G24" s="32" t="n">
        <v>2</v>
      </c>
      <c r="H24" s="32" t="n">
        <v>3</v>
      </c>
      <c r="I24" s="32" t="inlineStr">
        <is>
          <t>FS</t>
        </is>
      </c>
      <c r="J24" s="33" t="n">
        <v>0.74</v>
      </c>
      <c r="K24" s="32" t="inlineStr">
        <is>
          <t>N</t>
        </is>
      </c>
      <c r="L24" s="32" t="inlineStr">
        <is>
          <t>Howrah</t>
        </is>
      </c>
      <c r="M24" s="34" t="inlineStr">
        <is>
          <t>3 km/h</t>
        </is>
      </c>
      <c r="N24" s="34" t="inlineStr">
        <is>
          <t>n/a</t>
        </is>
      </c>
      <c r="O24" s="32" t="inlineStr">
        <is>
          <t>-</t>
        </is>
      </c>
      <c r="P24" s="34" t="inlineStr">
        <is>
          <t>-</t>
        </is>
      </c>
      <c r="Q24" s="32" t="inlineStr">
        <is>
          <t>HBL</t>
        </is>
      </c>
    </row>
    <row r="25">
      <c r="A25" s="32" t="inlineStr">
        <is>
          <t>1 Jul</t>
        </is>
      </c>
      <c r="B25" s="32" t="inlineStr">
        <is>
          <t>30200</t>
        </is>
      </c>
      <c r="C25" s="32" t="inlineStr">
        <is>
          <t>Non-Valid</t>
        </is>
      </c>
      <c r="D25" s="32" t="inlineStr">
        <is>
          <t>23:03:44</t>
        </is>
      </c>
      <c r="E25" s="32" t="inlineStr">
        <is>
          <t>23:03:46</t>
        </is>
      </c>
      <c r="F25" s="32" t="n">
        <v>2</v>
      </c>
      <c r="G25" s="32" t="n">
        <v>2</v>
      </c>
      <c r="H25" s="32" t="n">
        <v>3</v>
      </c>
      <c r="I25" s="32" t="inlineStr">
        <is>
          <t>FS</t>
        </is>
      </c>
      <c r="J25" s="33" t="n">
        <v>0.74</v>
      </c>
      <c r="K25" s="32" t="inlineStr">
        <is>
          <t>N</t>
        </is>
      </c>
      <c r="L25" s="32" t="inlineStr">
        <is>
          <t>Howrah</t>
        </is>
      </c>
      <c r="M25" s="34" t="inlineStr">
        <is>
          <t>3 km/h</t>
        </is>
      </c>
      <c r="N25" s="34" t="inlineStr">
        <is>
          <t>n/a</t>
        </is>
      </c>
      <c r="O25" s="32" t="inlineStr">
        <is>
          <t>-</t>
        </is>
      </c>
      <c r="P25" s="34" t="inlineStr">
        <is>
          <t>-</t>
        </is>
      </c>
      <c r="Q25" s="32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1" t="inlineStr">
        <is>
          <t>Total Mode Degradation = 96   ·   one row = one transition into LS or SR</t>
        </is>
      </c>
    </row>
    <row r="5">
      <c r="A5" s="15" t="inlineStr">
        <is>
          <t>Date</t>
        </is>
      </c>
      <c r="B5" s="15" t="inlineStr">
        <is>
          <t>Loco ID</t>
        </is>
      </c>
      <c r="C5" s="15" t="inlineStr">
        <is>
          <t>From</t>
        </is>
      </c>
      <c r="D5" s="15" t="inlineStr">
        <is>
          <t>To (degraded)</t>
        </is>
      </c>
      <c r="E5" s="15" t="inlineStr">
        <is>
          <t>Onset</t>
        </is>
      </c>
      <c r="F5" s="15" t="inlineStr">
        <is>
          <t>End</t>
        </is>
      </c>
      <c r="G5" s="15" t="inlineStr">
        <is>
          <t>Duration (s)</t>
        </is>
      </c>
      <c r="H5" s="15" t="inlineStr">
        <is>
          <t>Packets</t>
        </is>
      </c>
      <c r="I5" s="15" t="inlineStr">
        <is>
          <t>Location (km)</t>
        </is>
      </c>
      <c r="J5" s="15" t="inlineStr">
        <is>
          <t>Station</t>
        </is>
      </c>
      <c r="K5" s="15" t="inlineStr">
        <is>
          <t>Dir</t>
        </is>
      </c>
      <c r="L5" s="15" t="inlineStr">
        <is>
          <t>Valid Trip?</t>
        </is>
      </c>
      <c r="M5" s="15" t="inlineStr">
        <is>
          <t>Loco Travel</t>
        </is>
      </c>
    </row>
    <row r="6">
      <c r="A6" s="32" t="inlineStr">
        <is>
          <t>1 Jul</t>
        </is>
      </c>
      <c r="B6" s="32" t="inlineStr">
        <is>
          <t>30328</t>
        </is>
      </c>
      <c r="C6" s="32" t="inlineStr">
        <is>
          <t>FS</t>
        </is>
      </c>
      <c r="D6" s="32" t="inlineStr">
        <is>
          <t>LS</t>
        </is>
      </c>
      <c r="E6" s="32" t="inlineStr">
        <is>
          <t>00:14:04</t>
        </is>
      </c>
      <c r="F6" s="32" t="inlineStr">
        <is>
          <t>00:14:12</t>
        </is>
      </c>
      <c r="G6" s="32" t="n">
        <v>8</v>
      </c>
      <c r="H6" s="32" t="n">
        <v>6</v>
      </c>
      <c r="I6" s="33" t="n">
        <v>91.09</v>
      </c>
      <c r="J6" s="32" t="inlineStr">
        <is>
          <t>Barddhaman Jn</t>
        </is>
      </c>
      <c r="K6" s="32" t="inlineStr">
        <is>
          <t>N</t>
        </is>
      </c>
      <c r="L6" s="32" t="inlineStr">
        <is>
          <t>Non-Valid</t>
        </is>
      </c>
      <c r="M6" s="17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">
      <c r="A7" s="32" t="inlineStr">
        <is>
          <t>1 Jul</t>
        </is>
      </c>
      <c r="B7" s="32" t="inlineStr">
        <is>
          <t>39133</t>
        </is>
      </c>
      <c r="C7" s="32" t="inlineStr">
        <is>
          <t>FS</t>
        </is>
      </c>
      <c r="D7" s="32" t="inlineStr">
        <is>
          <t>LS</t>
        </is>
      </c>
      <c r="E7" s="32" t="inlineStr">
        <is>
          <t>00:41:58</t>
        </is>
      </c>
      <c r="F7" s="32" t="inlineStr">
        <is>
          <t>00:41:58</t>
        </is>
      </c>
      <c r="G7" s="32" t="n">
        <v>0</v>
      </c>
      <c r="H7" s="32" t="n">
        <v>1</v>
      </c>
      <c r="I7" s="33" t="n">
        <v>65.45</v>
      </c>
      <c r="J7" s="32" t="inlineStr">
        <is>
          <t>Jaugram</t>
        </is>
      </c>
      <c r="K7" s="32" t="inlineStr">
        <is>
          <t>N</t>
        </is>
      </c>
      <c r="L7" s="32" t="inlineStr">
        <is>
          <t>Non-Valid</t>
        </is>
      </c>
      <c r="M7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">
      <c r="A8" s="32" t="inlineStr">
        <is>
          <t>1 Jul</t>
        </is>
      </c>
      <c r="B8" s="32" t="inlineStr">
        <is>
          <t>39133</t>
        </is>
      </c>
      <c r="C8" s="32" t="inlineStr">
        <is>
          <t>FS</t>
        </is>
      </c>
      <c r="D8" s="32" t="inlineStr">
        <is>
          <t>LS</t>
        </is>
      </c>
      <c r="E8" s="32" t="inlineStr">
        <is>
          <t>00:42:00</t>
        </is>
      </c>
      <c r="F8" s="32" t="inlineStr">
        <is>
          <t>00:42:42</t>
        </is>
      </c>
      <c r="G8" s="32" t="n">
        <v>42</v>
      </c>
      <c r="H8" s="32" t="n">
        <v>31</v>
      </c>
      <c r="I8" s="33" t="n">
        <v>65.53</v>
      </c>
      <c r="J8" s="32" t="inlineStr">
        <is>
          <t>Jaugram</t>
        </is>
      </c>
      <c r="K8" s="32" t="inlineStr">
        <is>
          <t>N</t>
        </is>
      </c>
      <c r="L8" s="32" t="inlineStr">
        <is>
          <t>Non-Valid</t>
        </is>
      </c>
      <c r="M8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">
      <c r="A9" s="32" t="inlineStr">
        <is>
          <t>1 Jul</t>
        </is>
      </c>
      <c r="B9" s="32" t="inlineStr">
        <is>
          <t>39133</t>
        </is>
      </c>
      <c r="C9" s="32" t="inlineStr">
        <is>
          <t>OS</t>
        </is>
      </c>
      <c r="D9" s="32" t="inlineStr">
        <is>
          <t>LS</t>
        </is>
      </c>
      <c r="E9" s="32" t="inlineStr">
        <is>
          <t>00:42:44</t>
        </is>
      </c>
      <c r="F9" s="32" t="inlineStr">
        <is>
          <t>00:42:44</t>
        </is>
      </c>
      <c r="G9" s="32" t="n">
        <v>0</v>
      </c>
      <c r="H9" s="32" t="n">
        <v>1</v>
      </c>
      <c r="I9" s="33" t="n">
        <v>67.01000000000001</v>
      </c>
      <c r="J9" s="32" t="inlineStr">
        <is>
          <t>Jaugram</t>
        </is>
      </c>
      <c r="K9" s="32" t="inlineStr">
        <is>
          <t>N</t>
        </is>
      </c>
      <c r="L9" s="32" t="inlineStr">
        <is>
          <t>Non-Valid</t>
        </is>
      </c>
      <c r="M9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0">
      <c r="A10" s="32" t="inlineStr">
        <is>
          <t>1 Jul</t>
        </is>
      </c>
      <c r="B10" s="32" t="inlineStr">
        <is>
          <t>30506</t>
        </is>
      </c>
      <c r="C10" s="32" t="inlineStr">
        <is>
          <t>OS</t>
        </is>
      </c>
      <c r="D10" s="32" t="inlineStr">
        <is>
          <t>SR</t>
        </is>
      </c>
      <c r="E10" s="32" t="inlineStr">
        <is>
          <t>00:58:02</t>
        </is>
      </c>
      <c r="F10" s="32" t="inlineStr">
        <is>
          <t>00:58:02</t>
        </is>
      </c>
      <c r="G10" s="32" t="n">
        <v>0</v>
      </c>
      <c r="H10" s="32" t="n">
        <v>1</v>
      </c>
      <c r="I10" s="33" t="n">
        <v>0.4</v>
      </c>
      <c r="J10" s="32" t="inlineStr">
        <is>
          <t>Howrah</t>
        </is>
      </c>
      <c r="K10" s="32" t="inlineStr">
        <is>
          <t>N</t>
        </is>
      </c>
      <c r="L10" s="32" t="inlineStr">
        <is>
          <t>Non-Valid</t>
        </is>
      </c>
      <c r="M10" s="17" t="inlineStr">
        <is>
          <t>Howrah</t>
        </is>
      </c>
    </row>
    <row r="11">
      <c r="A11" s="32" t="inlineStr">
        <is>
          <t>1 Jul</t>
        </is>
      </c>
      <c r="B11" s="32" t="inlineStr">
        <is>
          <t>37260</t>
        </is>
      </c>
      <c r="C11" s="32" t="inlineStr">
        <is>
          <t>FS</t>
        </is>
      </c>
      <c r="D11" s="32" t="inlineStr">
        <is>
          <t>SR</t>
        </is>
      </c>
      <c r="E11" s="32" t="inlineStr">
        <is>
          <t>01:00:52</t>
        </is>
      </c>
      <c r="F11" s="32" t="inlineStr">
        <is>
          <t>01:01:30</t>
        </is>
      </c>
      <c r="G11" s="32" t="n">
        <v>38</v>
      </c>
      <c r="H11" s="32" t="n">
        <v>8</v>
      </c>
      <c r="I11" s="33" t="n">
        <v>92.38</v>
      </c>
      <c r="J11" s="32" t="inlineStr">
        <is>
          <t>Barddhaman Jn</t>
        </is>
      </c>
      <c r="K11" s="32" t="inlineStr">
        <is>
          <t>N</t>
        </is>
      </c>
      <c r="L11" s="32" t="inlineStr">
        <is>
          <t>Non-Valid</t>
        </is>
      </c>
      <c r="M11" s="17" t="inlineStr">
        <is>
          <t>Dankuni, LC-12, Janai Road, Baruipara, Kamarkundu, LC-31, Chandanpur, LC-38, Belmuri, Cheragram, LC-41, Gurap, LC-48, Jaugram, LC-57, Masagram, Palla Road, Saktigarh, Gangpur, Barddhaman Jn</t>
        </is>
      </c>
    </row>
    <row r="12">
      <c r="A12" s="32" t="inlineStr">
        <is>
          <t>1 Jul</t>
        </is>
      </c>
      <c r="B12" s="32" t="inlineStr">
        <is>
          <t>30506</t>
        </is>
      </c>
      <c r="C12" s="32" t="inlineStr">
        <is>
          <t>OS</t>
        </is>
      </c>
      <c r="D12" s="32" t="inlineStr">
        <is>
          <t>SR</t>
        </is>
      </c>
      <c r="E12" s="32" t="inlineStr">
        <is>
          <t>01:06:34</t>
        </is>
      </c>
      <c r="F12" s="32" t="inlineStr">
        <is>
          <t>01:06:34</t>
        </is>
      </c>
      <c r="G12" s="32" t="n">
        <v>0</v>
      </c>
      <c r="H12" s="32" t="n">
        <v>1</v>
      </c>
      <c r="I12" s="33" t="n">
        <v>0.85</v>
      </c>
      <c r="J12" s="32" t="inlineStr">
        <is>
          <t>Howrah</t>
        </is>
      </c>
      <c r="K12" s="32" t="inlineStr">
        <is>
          <t>N</t>
        </is>
      </c>
      <c r="L12" s="32" t="inlineStr">
        <is>
          <t>Non-Valid</t>
        </is>
      </c>
      <c r="M12" s="17" t="inlineStr">
        <is>
          <t>Howrah</t>
        </is>
      </c>
    </row>
    <row r="13">
      <c r="A13" s="32" t="inlineStr">
        <is>
          <t>1 Jul</t>
        </is>
      </c>
      <c r="B13" s="32" t="inlineStr">
        <is>
          <t>30506</t>
        </is>
      </c>
      <c r="C13" s="32" t="inlineStr">
        <is>
          <t>OS</t>
        </is>
      </c>
      <c r="D13" s="32" t="inlineStr">
        <is>
          <t>SR</t>
        </is>
      </c>
      <c r="E13" s="32" t="inlineStr">
        <is>
          <t>01:06:36</t>
        </is>
      </c>
      <c r="F13" s="32" t="inlineStr">
        <is>
          <t>01:06:58</t>
        </is>
      </c>
      <c r="G13" s="32" t="n">
        <v>22</v>
      </c>
      <c r="H13" s="32" t="n">
        <v>17</v>
      </c>
      <c r="I13" s="33" t="n">
        <v>0.85</v>
      </c>
      <c r="J13" s="32" t="inlineStr">
        <is>
          <t>Howrah</t>
        </is>
      </c>
      <c r="K13" s="32" t="inlineStr">
        <is>
          <t>N</t>
        </is>
      </c>
      <c r="L13" s="32" t="inlineStr">
        <is>
          <t>Non-Valid</t>
        </is>
      </c>
      <c r="M13" s="17" t="inlineStr">
        <is>
          <t>Howrah</t>
        </is>
      </c>
    </row>
    <row r="14">
      <c r="A14" s="32" t="inlineStr">
        <is>
          <t>1 Jul</t>
        </is>
      </c>
      <c r="B14" s="32" t="inlineStr">
        <is>
          <t>39133</t>
        </is>
      </c>
      <c r="C14" s="32" t="inlineStr">
        <is>
          <t>FS</t>
        </is>
      </c>
      <c r="D14" s="32" t="inlineStr">
        <is>
          <t>LS</t>
        </is>
      </c>
      <c r="E14" s="32" t="inlineStr">
        <is>
          <t>01:07:54</t>
        </is>
      </c>
      <c r="F14" s="32" t="inlineStr">
        <is>
          <t>01:08:04</t>
        </is>
      </c>
      <c r="G14" s="32" t="n">
        <v>10</v>
      </c>
      <c r="H14" s="32" t="n">
        <v>7</v>
      </c>
      <c r="I14" s="33" t="n">
        <v>91.29000000000001</v>
      </c>
      <c r="J14" s="32" t="inlineStr">
        <is>
          <t>Barddhaman Jn</t>
        </is>
      </c>
      <c r="K14" s="32" t="inlineStr">
        <is>
          <t>N</t>
        </is>
      </c>
      <c r="L14" s="32" t="inlineStr">
        <is>
          <t>Non-Valid</t>
        </is>
      </c>
      <c r="M14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5">
      <c r="A15" s="32" t="inlineStr">
        <is>
          <t>1 Jul</t>
        </is>
      </c>
      <c r="B15" s="32" t="inlineStr">
        <is>
          <t>39133</t>
        </is>
      </c>
      <c r="C15" s="32" t="inlineStr">
        <is>
          <t>OS</t>
        </is>
      </c>
      <c r="D15" s="32" t="inlineStr">
        <is>
          <t>SR</t>
        </is>
      </c>
      <c r="E15" s="32" t="inlineStr">
        <is>
          <t>01:08:58</t>
        </is>
      </c>
      <c r="F15" s="32" t="inlineStr">
        <is>
          <t>01:09:02</t>
        </is>
      </c>
      <c r="G15" s="32" t="n">
        <v>4</v>
      </c>
      <c r="H15" s="32" t="n">
        <v>4</v>
      </c>
      <c r="I15" s="33" t="n">
        <v>91.64</v>
      </c>
      <c r="J15" s="32" t="inlineStr">
        <is>
          <t>Barddhaman Jn</t>
        </is>
      </c>
      <c r="K15" s="32" t="inlineStr">
        <is>
          <t>N</t>
        </is>
      </c>
      <c r="L15" s="32" t="inlineStr">
        <is>
          <t>Non-Valid</t>
        </is>
      </c>
      <c r="M15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16">
      <c r="A16" s="32" t="inlineStr">
        <is>
          <t>1 Jul</t>
        </is>
      </c>
      <c r="B16" s="32" t="inlineStr">
        <is>
          <t>30506</t>
        </is>
      </c>
      <c r="C16" s="32" t="inlineStr">
        <is>
          <t>OS</t>
        </is>
      </c>
      <c r="D16" s="32" t="inlineStr">
        <is>
          <t>SR</t>
        </is>
      </c>
      <c r="E16" s="32" t="inlineStr">
        <is>
          <t>01:12:08</t>
        </is>
      </c>
      <c r="F16" s="32" t="inlineStr">
        <is>
          <t>01:12:08</t>
        </is>
      </c>
      <c r="G16" s="32" t="n">
        <v>0</v>
      </c>
      <c r="H16" s="32" t="n">
        <v>1</v>
      </c>
      <c r="I16" s="33" t="n">
        <v>0.78</v>
      </c>
      <c r="J16" s="32" t="inlineStr">
        <is>
          <t>Howrah</t>
        </is>
      </c>
      <c r="K16" s="32" t="inlineStr">
        <is>
          <t>R</t>
        </is>
      </c>
      <c r="L16" s="32" t="inlineStr">
        <is>
          <t>Non-Valid</t>
        </is>
      </c>
      <c r="M16" s="17" t="inlineStr">
        <is>
          <t>Howrah</t>
        </is>
      </c>
    </row>
    <row r="17">
      <c r="A17" s="32" t="inlineStr">
        <is>
          <t>1 Jul</t>
        </is>
      </c>
      <c r="B17" s="32" t="inlineStr">
        <is>
          <t>30506</t>
        </is>
      </c>
      <c r="C17" s="32" t="inlineStr">
        <is>
          <t>OS</t>
        </is>
      </c>
      <c r="D17" s="32" t="inlineStr">
        <is>
          <t>SR</t>
        </is>
      </c>
      <c r="E17" s="32" t="inlineStr">
        <is>
          <t>01:16:26</t>
        </is>
      </c>
      <c r="F17" s="32" t="inlineStr">
        <is>
          <t>01:16:26</t>
        </is>
      </c>
      <c r="G17" s="32" t="n">
        <v>0</v>
      </c>
      <c r="H17" s="32" t="n">
        <v>1</v>
      </c>
      <c r="I17" s="33" t="n">
        <v>0.33</v>
      </c>
      <c r="J17" s="32" t="inlineStr">
        <is>
          <t>Howrah</t>
        </is>
      </c>
      <c r="K17" s="32" t="inlineStr">
        <is>
          <t>R</t>
        </is>
      </c>
      <c r="L17" s="32" t="inlineStr">
        <is>
          <t>Non-Valid</t>
        </is>
      </c>
      <c r="M17" s="17" t="inlineStr">
        <is>
          <t>Howrah</t>
        </is>
      </c>
    </row>
    <row r="18">
      <c r="A18" s="32" t="inlineStr">
        <is>
          <t>1 Jul</t>
        </is>
      </c>
      <c r="B18" s="32" t="inlineStr">
        <is>
          <t>30506</t>
        </is>
      </c>
      <c r="C18" s="32" t="inlineStr">
        <is>
          <t>OS</t>
        </is>
      </c>
      <c r="D18" s="32" t="inlineStr">
        <is>
          <t>SR</t>
        </is>
      </c>
      <c r="E18" s="32" t="inlineStr">
        <is>
          <t>01:16:28</t>
        </is>
      </c>
      <c r="F18" s="32" t="inlineStr">
        <is>
          <t>01:16:42</t>
        </is>
      </c>
      <c r="G18" s="32" t="n">
        <v>14</v>
      </c>
      <c r="H18" s="32" t="n">
        <v>14</v>
      </c>
      <c r="I18" s="33" t="n">
        <v>0.33</v>
      </c>
      <c r="J18" s="32" t="inlineStr">
        <is>
          <t>Howrah</t>
        </is>
      </c>
      <c r="K18" s="32" t="inlineStr">
        <is>
          <t>R</t>
        </is>
      </c>
      <c r="L18" s="32" t="inlineStr">
        <is>
          <t>Non-Valid</t>
        </is>
      </c>
      <c r="M18" s="17" t="inlineStr">
        <is>
          <t>Howrah</t>
        </is>
      </c>
    </row>
    <row r="19">
      <c r="A19" s="32" t="inlineStr">
        <is>
          <t>1 Jul</t>
        </is>
      </c>
      <c r="B19" s="32" t="inlineStr">
        <is>
          <t>37025</t>
        </is>
      </c>
      <c r="C19" s="32" t="inlineStr">
        <is>
          <t>FS</t>
        </is>
      </c>
      <c r="D19" s="32" t="inlineStr">
        <is>
          <t>LS</t>
        </is>
      </c>
      <c r="E19" s="32" t="inlineStr">
        <is>
          <t>02:10:36</t>
        </is>
      </c>
      <c r="F19" s="32" t="inlineStr">
        <is>
          <t>02:11:42</t>
        </is>
      </c>
      <c r="G19" s="32" t="n">
        <v>66</v>
      </c>
      <c r="H19" s="32" t="n">
        <v>48</v>
      </c>
      <c r="I19" s="33" t="n">
        <v>200.95</v>
      </c>
      <c r="J19" s="32" t="inlineStr">
        <is>
          <t>Asansol</t>
        </is>
      </c>
      <c r="K19" s="32" t="inlineStr">
        <is>
          <t>N</t>
        </is>
      </c>
      <c r="L19" s="32" t="inlineStr">
        <is>
          <t>Non-Valid</t>
        </is>
      </c>
      <c r="M19" s="17" t="inlineStr">
        <is>
          <t>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0">
      <c r="A20" s="32" t="inlineStr">
        <is>
          <t>1 Jul</t>
        </is>
      </c>
      <c r="B20" s="32" t="inlineStr">
        <is>
          <t>37025</t>
        </is>
      </c>
      <c r="C20" s="32" t="inlineStr">
        <is>
          <t>LS</t>
        </is>
      </c>
      <c r="D20" s="32" t="inlineStr">
        <is>
          <t>SR</t>
        </is>
      </c>
      <c r="E20" s="32" t="inlineStr">
        <is>
          <t>02:11:44</t>
        </is>
      </c>
      <c r="F20" s="32" t="inlineStr">
        <is>
          <t>02:11:44</t>
        </is>
      </c>
      <c r="G20" s="32" t="n">
        <v>0</v>
      </c>
      <c r="H20" s="32" t="n">
        <v>2</v>
      </c>
      <c r="I20" s="33" t="n">
        <v>201.53</v>
      </c>
      <c r="J20" s="32" t="inlineStr">
        <is>
          <t>Asansol</t>
        </is>
      </c>
      <c r="K20" s="32" t="inlineStr">
        <is>
          <t>N</t>
        </is>
      </c>
      <c r="L20" s="32" t="inlineStr">
        <is>
          <t>Non-Valid</t>
        </is>
      </c>
      <c r="M20" s="17" t="inlineStr">
        <is>
          <t>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1">
      <c r="A21" s="32" t="inlineStr">
        <is>
          <t>1 Jul</t>
        </is>
      </c>
      <c r="B21" s="32" t="inlineStr">
        <is>
          <t>30328</t>
        </is>
      </c>
      <c r="C21" s="32" t="inlineStr">
        <is>
          <t>FS</t>
        </is>
      </c>
      <c r="D21" s="32" t="inlineStr">
        <is>
          <t>LS</t>
        </is>
      </c>
      <c r="E21" s="32" t="inlineStr">
        <is>
          <t>02:13:50</t>
        </is>
      </c>
      <c r="F21" s="32" t="inlineStr">
        <is>
          <t>02:14:36</t>
        </is>
      </c>
      <c r="G21" s="32" t="n">
        <v>46</v>
      </c>
      <c r="H21" s="32" t="n">
        <v>25</v>
      </c>
      <c r="I21" s="33" t="n">
        <v>220.32</v>
      </c>
      <c r="J21" s="32" t="inlineStr">
        <is>
          <t>Kumardubi</t>
        </is>
      </c>
      <c r="K21" s="32" t="inlineStr">
        <is>
          <t>N</t>
        </is>
      </c>
      <c r="L21" s="32" t="inlineStr">
        <is>
          <t>Non-Valid</t>
        </is>
      </c>
      <c r="M21" s="17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2">
      <c r="A22" s="32" t="inlineStr">
        <is>
          <t>1 Jul</t>
        </is>
      </c>
      <c r="B22" s="32" t="inlineStr">
        <is>
          <t>30328</t>
        </is>
      </c>
      <c r="C22" s="32" t="inlineStr">
        <is>
          <t>FS</t>
        </is>
      </c>
      <c r="D22" s="32" t="inlineStr">
        <is>
          <t>SR</t>
        </is>
      </c>
      <c r="E22" s="32" t="inlineStr">
        <is>
          <t>02:15:44</t>
        </is>
      </c>
      <c r="F22" s="32" t="inlineStr">
        <is>
          <t>02:16:10</t>
        </is>
      </c>
      <c r="G22" s="32" t="n">
        <v>26</v>
      </c>
      <c r="H22" s="32" t="n">
        <v>14</v>
      </c>
      <c r="I22" s="33" t="n">
        <v>223.88</v>
      </c>
      <c r="J22" s="32" t="inlineStr">
        <is>
          <t>Mugma</t>
        </is>
      </c>
      <c r="K22" s="32" t="inlineStr">
        <is>
          <t>U</t>
        </is>
      </c>
      <c r="L22" s="32" t="inlineStr">
        <is>
          <t>Non-Valid</t>
        </is>
      </c>
      <c r="M22" s="17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3">
      <c r="A23" s="32" t="inlineStr">
        <is>
          <t>1 Jul</t>
        </is>
      </c>
      <c r="B23" s="32" t="inlineStr">
        <is>
          <t>37025</t>
        </is>
      </c>
      <c r="C23" s="32" t="inlineStr">
        <is>
          <t>FS</t>
        </is>
      </c>
      <c r="D23" s="32" t="inlineStr">
        <is>
          <t>LS</t>
        </is>
      </c>
      <c r="E23" s="32" t="inlineStr">
        <is>
          <t>02:28:36</t>
        </is>
      </c>
      <c r="F23" s="32" t="inlineStr">
        <is>
          <t>02:29:14</t>
        </is>
      </c>
      <c r="G23" s="32" t="n">
        <v>38</v>
      </c>
      <c r="H23" s="32" t="n">
        <v>23</v>
      </c>
      <c r="I23" s="33" t="n">
        <v>220.63</v>
      </c>
      <c r="J23" s="32" t="inlineStr">
        <is>
          <t>Kumardubi</t>
        </is>
      </c>
      <c r="K23" s="32" t="inlineStr">
        <is>
          <t>N</t>
        </is>
      </c>
      <c r="L23" s="32" t="inlineStr">
        <is>
          <t>Non-Valid</t>
        </is>
      </c>
      <c r="M23" s="17" t="inlineStr">
        <is>
          <t>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4">
      <c r="A24" s="32" t="inlineStr">
        <is>
          <t>1 Jul</t>
        </is>
      </c>
      <c r="B24" s="32" t="inlineStr">
        <is>
          <t>30328</t>
        </is>
      </c>
      <c r="C24" s="32" t="inlineStr">
        <is>
          <t>FS</t>
        </is>
      </c>
      <c r="D24" s="32" t="inlineStr">
        <is>
          <t>SR</t>
        </is>
      </c>
      <c r="E24" s="32" t="inlineStr">
        <is>
          <t>02:33:08</t>
        </is>
      </c>
      <c r="F24" s="32" t="inlineStr">
        <is>
          <t>02:33:36</t>
        </is>
      </c>
      <c r="G24" s="32" t="n">
        <v>28</v>
      </c>
      <c r="H24" s="32" t="n">
        <v>25</v>
      </c>
      <c r="I24" s="33" t="n">
        <v>244.11</v>
      </c>
      <c r="J24" s="32" t="inlineStr">
        <is>
          <t>Chhota Ambana</t>
        </is>
      </c>
      <c r="K24" s="32" t="inlineStr">
        <is>
          <t>N</t>
        </is>
      </c>
      <c r="L24" s="32" t="inlineStr">
        <is>
          <t>Non-Valid</t>
        </is>
      </c>
      <c r="M24" s="17" t="inlineStr">
        <is>
          <t>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5">
      <c r="A25" s="32" t="inlineStr">
        <is>
          <t>1 Jul</t>
        </is>
      </c>
      <c r="B25" s="32" t="inlineStr">
        <is>
          <t>37025</t>
        </is>
      </c>
      <c r="C25" s="32" t="inlineStr">
        <is>
          <t>FS</t>
        </is>
      </c>
      <c r="D25" s="32" t="inlineStr">
        <is>
          <t>SR</t>
        </is>
      </c>
      <c r="E25" s="32" t="inlineStr">
        <is>
          <t>02:46:46</t>
        </is>
      </c>
      <c r="F25" s="32" t="inlineStr">
        <is>
          <t>02:46:46</t>
        </is>
      </c>
      <c r="G25" s="32" t="n">
        <v>0</v>
      </c>
      <c r="H25" s="32" t="n">
        <v>1</v>
      </c>
      <c r="I25" s="33" t="n">
        <v>244.06</v>
      </c>
      <c r="J25" s="32" t="inlineStr">
        <is>
          <t>Chhota Ambana</t>
        </is>
      </c>
      <c r="K25" s="32" t="inlineStr">
        <is>
          <t>N</t>
        </is>
      </c>
      <c r="L25" s="32" t="inlineStr">
        <is>
          <t>Non-Valid</t>
        </is>
      </c>
      <c r="M25" s="17" t="inlineStr">
        <is>
          <t>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6">
      <c r="A26" s="32" t="inlineStr">
        <is>
          <t>1 Jul</t>
        </is>
      </c>
      <c r="B26" s="32" t="inlineStr">
        <is>
          <t>37025</t>
        </is>
      </c>
      <c r="C26" s="32" t="inlineStr">
        <is>
          <t>FS</t>
        </is>
      </c>
      <c r="D26" s="32" t="inlineStr">
        <is>
          <t>SR</t>
        </is>
      </c>
      <c r="E26" s="32" t="inlineStr">
        <is>
          <t>02:46:48</t>
        </is>
      </c>
      <c r="F26" s="32" t="inlineStr">
        <is>
          <t>02:47:16</t>
        </is>
      </c>
      <c r="G26" s="32" t="n">
        <v>28</v>
      </c>
      <c r="H26" s="32" t="n">
        <v>23</v>
      </c>
      <c r="I26" s="33" t="n">
        <v>244.11</v>
      </c>
      <c r="J26" s="32" t="inlineStr">
        <is>
          <t>Chhota Ambana</t>
        </is>
      </c>
      <c r="K26" s="32" t="inlineStr">
        <is>
          <t>N</t>
        </is>
      </c>
      <c r="L26" s="32" t="inlineStr">
        <is>
          <t>Non-Valid</t>
        </is>
      </c>
      <c r="M26" s="17" t="inlineStr">
        <is>
          <t>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7">
      <c r="A27" s="32" t="inlineStr">
        <is>
          <t>1 Jul</t>
        </is>
      </c>
      <c r="B27" s="32" t="inlineStr">
        <is>
          <t>30199</t>
        </is>
      </c>
      <c r="C27" s="32" t="inlineStr">
        <is>
          <t>FS</t>
        </is>
      </c>
      <c r="D27" s="32" t="inlineStr">
        <is>
          <t>SR</t>
        </is>
      </c>
      <c r="E27" s="32" t="inlineStr">
        <is>
          <t>03:53:30</t>
        </is>
      </c>
      <c r="F27" s="32" t="inlineStr">
        <is>
          <t>03:54:30</t>
        </is>
      </c>
      <c r="G27" s="32" t="n">
        <v>60</v>
      </c>
      <c r="H27" s="32" t="n">
        <v>56</v>
      </c>
      <c r="I27" s="33" t="n">
        <v>13.26</v>
      </c>
      <c r="J27" s="32" t="inlineStr">
        <is>
          <t>Dankuni</t>
        </is>
      </c>
      <c r="K27" s="32" t="inlineStr">
        <is>
          <t>R</t>
        </is>
      </c>
      <c r="L27" s="32" t="inlineStr">
        <is>
          <t>Non-Valid</t>
        </is>
      </c>
      <c r="M27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28">
      <c r="A28" s="32" t="inlineStr">
        <is>
          <t>1 Jul</t>
        </is>
      </c>
      <c r="B28" s="32" t="inlineStr">
        <is>
          <t>30503</t>
        </is>
      </c>
      <c r="C28" s="32" t="inlineStr">
        <is>
          <t>FS</t>
        </is>
      </c>
      <c r="D28" s="32" t="inlineStr">
        <is>
          <t>SR</t>
        </is>
      </c>
      <c r="E28" s="32" t="inlineStr">
        <is>
          <t>04:45:44</t>
        </is>
      </c>
      <c r="F28" s="32" t="inlineStr">
        <is>
          <t>04:45:44</t>
        </is>
      </c>
      <c r="G28" s="32" t="n">
        <v>0</v>
      </c>
      <c r="H28" s="32" t="n">
        <v>1</v>
      </c>
      <c r="I28" s="33" t="n">
        <v>13.27</v>
      </c>
      <c r="J28" s="32" t="inlineStr">
        <is>
          <t>Dankuni</t>
        </is>
      </c>
      <c r="K28" s="32" t="inlineStr">
        <is>
          <t>R</t>
        </is>
      </c>
      <c r="L28" s="32" t="inlineStr">
        <is>
          <t>Non-Valid</t>
        </is>
      </c>
      <c r="M28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29">
      <c r="A29" s="32" t="inlineStr">
        <is>
          <t>1 Jul</t>
        </is>
      </c>
      <c r="B29" s="32" t="inlineStr">
        <is>
          <t>30503</t>
        </is>
      </c>
      <c r="C29" s="32" t="inlineStr">
        <is>
          <t>FS</t>
        </is>
      </c>
      <c r="D29" s="32" t="inlineStr">
        <is>
          <t>SR</t>
        </is>
      </c>
      <c r="E29" s="32" t="inlineStr">
        <is>
          <t>04:45:46</t>
        </is>
      </c>
      <c r="F29" s="32" t="inlineStr">
        <is>
          <t>04:47:02</t>
        </is>
      </c>
      <c r="G29" s="32" t="n">
        <v>76</v>
      </c>
      <c r="H29" s="32" t="n">
        <v>72</v>
      </c>
      <c r="I29" s="33" t="n">
        <v>13.26</v>
      </c>
      <c r="J29" s="32" t="inlineStr">
        <is>
          <t>Dankuni</t>
        </is>
      </c>
      <c r="K29" s="32" t="inlineStr">
        <is>
          <t>R</t>
        </is>
      </c>
      <c r="L29" s="32" t="inlineStr">
        <is>
          <t>Non-Valid</t>
        </is>
      </c>
      <c r="M29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0">
      <c r="A30" s="32" t="inlineStr">
        <is>
          <t>1 Jul</t>
        </is>
      </c>
      <c r="B30" s="32" t="inlineStr">
        <is>
          <t>37403</t>
        </is>
      </c>
      <c r="C30" s="32" t="inlineStr">
        <is>
          <t>FS</t>
        </is>
      </c>
      <c r="D30" s="32" t="inlineStr">
        <is>
          <t>SR</t>
        </is>
      </c>
      <c r="E30" s="32" t="inlineStr">
        <is>
          <t>05:38:12</t>
        </is>
      </c>
      <c r="F30" s="32" t="inlineStr">
        <is>
          <t>05:39:04</t>
        </is>
      </c>
      <c r="G30" s="32" t="n">
        <v>52</v>
      </c>
      <c r="H30" s="32" t="n">
        <v>26</v>
      </c>
      <c r="I30" s="33" t="n">
        <v>199.39</v>
      </c>
      <c r="J30" s="32" t="inlineStr">
        <is>
          <t>Asansol</t>
        </is>
      </c>
      <c r="K30" s="32" t="inlineStr">
        <is>
          <t>U</t>
        </is>
      </c>
      <c r="L30" s="32" t="inlineStr">
        <is>
          <t>Non-Valid</t>
        </is>
      </c>
      <c r="M30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1">
      <c r="A31" s="17" t="inlineStr">
        <is>
          <t>1 Jul</t>
        </is>
      </c>
      <c r="B31" s="17" t="inlineStr">
        <is>
          <t>35003</t>
        </is>
      </c>
      <c r="C31" s="17" t="inlineStr">
        <is>
          <t>OS</t>
        </is>
      </c>
      <c r="D31" s="17" t="inlineStr">
        <is>
          <t>SR</t>
        </is>
      </c>
      <c r="E31" s="17" t="inlineStr">
        <is>
          <t>06:08:38</t>
        </is>
      </c>
      <c r="F31" s="17" t="inlineStr">
        <is>
          <t>06:08:38</t>
        </is>
      </c>
      <c r="G31" s="17" t="n">
        <v>0</v>
      </c>
      <c r="H31" s="17" t="n">
        <v>1</v>
      </c>
      <c r="I31" s="36" t="n">
        <v>245.92</v>
      </c>
      <c r="J31" s="17" t="inlineStr">
        <is>
          <t>Chhota Ambana</t>
        </is>
      </c>
      <c r="K31" s="17" t="inlineStr">
        <is>
          <t>R</t>
        </is>
      </c>
      <c r="L31" s="17" t="inlineStr">
        <is>
          <t>Valid</t>
        </is>
      </c>
      <c r="M31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2">
      <c r="A32" s="17" t="inlineStr">
        <is>
          <t>1 Jul</t>
        </is>
      </c>
      <c r="B32" s="17" t="inlineStr">
        <is>
          <t>35003</t>
        </is>
      </c>
      <c r="C32" s="17" t="inlineStr">
        <is>
          <t>FS</t>
        </is>
      </c>
      <c r="D32" s="17" t="inlineStr">
        <is>
          <t>LS</t>
        </is>
      </c>
      <c r="E32" s="17" t="inlineStr">
        <is>
          <t>06:29:10</t>
        </is>
      </c>
      <c r="F32" s="17" t="inlineStr">
        <is>
          <t>06:29:10</t>
        </is>
      </c>
      <c r="G32" s="17" t="n">
        <v>0</v>
      </c>
      <c r="H32" s="17" t="n">
        <v>1</v>
      </c>
      <c r="I32" s="36" t="n">
        <v>220.34</v>
      </c>
      <c r="J32" s="17" t="inlineStr">
        <is>
          <t>Kumardubi</t>
        </is>
      </c>
      <c r="K32" s="17" t="inlineStr">
        <is>
          <t>R</t>
        </is>
      </c>
      <c r="L32" s="17" t="inlineStr">
        <is>
          <t>Valid</t>
        </is>
      </c>
      <c r="M32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3">
      <c r="A33" s="17" t="inlineStr">
        <is>
          <t>1 Jul</t>
        </is>
      </c>
      <c r="B33" s="17" t="inlineStr">
        <is>
          <t>35003</t>
        </is>
      </c>
      <c r="C33" s="17" t="inlineStr">
        <is>
          <t>FS</t>
        </is>
      </c>
      <c r="D33" s="17" t="inlineStr">
        <is>
          <t>LS</t>
        </is>
      </c>
      <c r="E33" s="17" t="inlineStr">
        <is>
          <t>06:29:12</t>
        </is>
      </c>
      <c r="F33" s="17" t="inlineStr">
        <is>
          <t>06:35:24</t>
        </is>
      </c>
      <c r="G33" s="17" t="n">
        <v>372</v>
      </c>
      <c r="H33" s="17" t="n">
        <v>187</v>
      </c>
      <c r="I33" s="36" t="n">
        <v>220.33</v>
      </c>
      <c r="J33" s="17" t="inlineStr">
        <is>
          <t>Kumardubi</t>
        </is>
      </c>
      <c r="K33" s="17" t="inlineStr">
        <is>
          <t>R</t>
        </is>
      </c>
      <c r="L33" s="17" t="inlineStr">
        <is>
          <t>Valid</t>
        </is>
      </c>
      <c r="M33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4">
      <c r="A34" s="17" t="inlineStr">
        <is>
          <t>1 Jul</t>
        </is>
      </c>
      <c r="B34" s="17" t="inlineStr">
        <is>
          <t>35003</t>
        </is>
      </c>
      <c r="C34" s="17" t="inlineStr">
        <is>
          <t>LS</t>
        </is>
      </c>
      <c r="D34" s="17" t="inlineStr">
        <is>
          <t>SR</t>
        </is>
      </c>
      <c r="E34" s="17" t="inlineStr">
        <is>
          <t>06:35:26</t>
        </is>
      </c>
      <c r="F34" s="17" t="inlineStr">
        <is>
          <t>06:37:04</t>
        </is>
      </c>
      <c r="G34" s="17" t="n">
        <v>98</v>
      </c>
      <c r="H34" s="17" t="n">
        <v>51</v>
      </c>
      <c r="I34" s="36" t="n">
        <v>219.03</v>
      </c>
      <c r="J34" s="17" t="inlineStr">
        <is>
          <t>Kumardubi</t>
        </is>
      </c>
      <c r="K34" s="17" t="inlineStr">
        <is>
          <t>R</t>
        </is>
      </c>
      <c r="L34" s="17" t="inlineStr">
        <is>
          <t>Valid</t>
        </is>
      </c>
      <c r="M34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5">
      <c r="A35" s="32" t="inlineStr">
        <is>
          <t>1 Jul</t>
        </is>
      </c>
      <c r="B35" s="32" t="inlineStr">
        <is>
          <t>37610</t>
        </is>
      </c>
      <c r="C35" s="32" t="inlineStr">
        <is>
          <t>OS</t>
        </is>
      </c>
      <c r="D35" s="32" t="inlineStr">
        <is>
          <t>SR</t>
        </is>
      </c>
      <c r="E35" s="32" t="inlineStr">
        <is>
          <t>06:48:22</t>
        </is>
      </c>
      <c r="F35" s="32" t="inlineStr">
        <is>
          <t>06:48:22</t>
        </is>
      </c>
      <c r="G35" s="32" t="n">
        <v>0</v>
      </c>
      <c r="H35" s="32" t="n">
        <v>1</v>
      </c>
      <c r="I35" s="33" t="n">
        <v>245.96</v>
      </c>
      <c r="J35" s="32" t="inlineStr">
        <is>
          <t>Chhota Ambana</t>
        </is>
      </c>
      <c r="K35" s="32" t="inlineStr">
        <is>
          <t>R</t>
        </is>
      </c>
      <c r="L35" s="32" t="inlineStr">
        <is>
          <t>Non-Valid</t>
        </is>
      </c>
      <c r="M35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6">
      <c r="A36" s="32" t="inlineStr">
        <is>
          <t>1 Jul</t>
        </is>
      </c>
      <c r="B36" s="32" t="inlineStr">
        <is>
          <t>30457</t>
        </is>
      </c>
      <c r="C36" s="32" t="inlineStr">
        <is>
          <t>FS</t>
        </is>
      </c>
      <c r="D36" s="32" t="inlineStr">
        <is>
          <t>LS</t>
        </is>
      </c>
      <c r="E36" s="32" t="inlineStr">
        <is>
          <t>06:51:06</t>
        </is>
      </c>
      <c r="F36" s="32" t="inlineStr">
        <is>
          <t>06:51:16</t>
        </is>
      </c>
      <c r="G36" s="32" t="n">
        <v>10</v>
      </c>
      <c r="H36" s="32" t="n">
        <v>7</v>
      </c>
      <c r="I36" s="33" t="n">
        <v>23.2</v>
      </c>
      <c r="J36" s="32" t="inlineStr">
        <is>
          <t>Baruipara</t>
        </is>
      </c>
      <c r="K36" s="32" t="inlineStr">
        <is>
          <t>R</t>
        </is>
      </c>
      <c r="L36" s="32" t="inlineStr">
        <is>
          <t>Non-Valid</t>
        </is>
      </c>
      <c r="M36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37">
      <c r="A37" s="32" t="inlineStr">
        <is>
          <t>1 Jul</t>
        </is>
      </c>
      <c r="B37" s="32" t="inlineStr">
        <is>
          <t>37610</t>
        </is>
      </c>
      <c r="C37" s="32" t="inlineStr">
        <is>
          <t>FS</t>
        </is>
      </c>
      <c r="D37" s="32" t="inlineStr">
        <is>
          <t>LS</t>
        </is>
      </c>
      <c r="E37" s="32" t="inlineStr">
        <is>
          <t>07:38:50</t>
        </is>
      </c>
      <c r="F37" s="32" t="inlineStr">
        <is>
          <t>07:39:02</t>
        </is>
      </c>
      <c r="G37" s="32" t="n">
        <v>12</v>
      </c>
      <c r="H37" s="32" t="n">
        <v>4</v>
      </c>
      <c r="I37" s="33" t="n">
        <v>199.28</v>
      </c>
      <c r="J37" s="32" t="inlineStr">
        <is>
          <t>Asansol</t>
        </is>
      </c>
      <c r="K37" s="32" t="inlineStr">
        <is>
          <t>R</t>
        </is>
      </c>
      <c r="L37" s="32" t="inlineStr">
        <is>
          <t>Non-Valid</t>
        </is>
      </c>
      <c r="M37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38">
      <c r="A38" s="32" t="inlineStr">
        <is>
          <t>1 Jul</t>
        </is>
      </c>
      <c r="B38" s="32" t="inlineStr">
        <is>
          <t>37403</t>
        </is>
      </c>
      <c r="C38" s="32" t="inlineStr">
        <is>
          <t>FS</t>
        </is>
      </c>
      <c r="D38" s="32" t="inlineStr">
        <is>
          <t>LS</t>
        </is>
      </c>
      <c r="E38" s="32" t="inlineStr">
        <is>
          <t>08:03:46</t>
        </is>
      </c>
      <c r="F38" s="32" t="inlineStr">
        <is>
          <t>08:03:58</t>
        </is>
      </c>
      <c r="G38" s="32" t="n">
        <v>12</v>
      </c>
      <c r="H38" s="32" t="n">
        <v>8</v>
      </c>
      <c r="I38" s="33" t="n">
        <v>69.65000000000001</v>
      </c>
      <c r="J38" s="32" t="inlineStr">
        <is>
          <t>LC-57</t>
        </is>
      </c>
      <c r="K38" s="32" t="inlineStr">
        <is>
          <t>R</t>
        </is>
      </c>
      <c r="L38" s="32" t="inlineStr">
        <is>
          <t>Non-Valid</t>
        </is>
      </c>
      <c r="M38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39">
      <c r="A39" s="32" t="inlineStr">
        <is>
          <t>1 Jul</t>
        </is>
      </c>
      <c r="B39" s="32" t="inlineStr">
        <is>
          <t>30321</t>
        </is>
      </c>
      <c r="C39" s="32" t="inlineStr">
        <is>
          <t>FS</t>
        </is>
      </c>
      <c r="D39" s="32" t="inlineStr">
        <is>
          <t>LS</t>
        </is>
      </c>
      <c r="E39" s="32" t="inlineStr">
        <is>
          <t>08:14:46</t>
        </is>
      </c>
      <c r="F39" s="32" t="inlineStr">
        <is>
          <t>08:14:46</t>
        </is>
      </c>
      <c r="G39" s="32" t="n">
        <v>0</v>
      </c>
      <c r="H39" s="32" t="n">
        <v>1</v>
      </c>
      <c r="I39" s="33" t="n">
        <v>65.59</v>
      </c>
      <c r="J39" s="32" t="inlineStr">
        <is>
          <t>Jaugram</t>
        </is>
      </c>
      <c r="K39" s="32" t="inlineStr">
        <is>
          <t>N</t>
        </is>
      </c>
      <c r="L39" s="32" t="inlineStr">
        <is>
          <t>Non-Valid</t>
        </is>
      </c>
      <c r="M39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0">
      <c r="A40" s="32" t="inlineStr">
        <is>
          <t>1 Jul</t>
        </is>
      </c>
      <c r="B40" s="32" t="inlineStr">
        <is>
          <t>30321</t>
        </is>
      </c>
      <c r="C40" s="32" t="inlineStr">
        <is>
          <t>FS</t>
        </is>
      </c>
      <c r="D40" s="32" t="inlineStr">
        <is>
          <t>LS</t>
        </is>
      </c>
      <c r="E40" s="32" t="inlineStr">
        <is>
          <t>08:14:48</t>
        </is>
      </c>
      <c r="F40" s="32" t="inlineStr">
        <is>
          <t>08:15:00</t>
        </is>
      </c>
      <c r="G40" s="32" t="n">
        <v>12</v>
      </c>
      <c r="H40" s="32" t="n">
        <v>7</v>
      </c>
      <c r="I40" s="33" t="n">
        <v>65.67</v>
      </c>
      <c r="J40" s="32" t="inlineStr">
        <is>
          <t>Jaugram</t>
        </is>
      </c>
      <c r="K40" s="32" t="inlineStr">
        <is>
          <t>N</t>
        </is>
      </c>
      <c r="L40" s="32" t="inlineStr">
        <is>
          <t>Non-Valid</t>
        </is>
      </c>
      <c r="M40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1">
      <c r="A41" s="32" t="inlineStr">
        <is>
          <t>1 Jul</t>
        </is>
      </c>
      <c r="B41" s="32" t="inlineStr">
        <is>
          <t>30321</t>
        </is>
      </c>
      <c r="C41" s="32" t="inlineStr">
        <is>
          <t>OS</t>
        </is>
      </c>
      <c r="D41" s="32" t="inlineStr">
        <is>
          <t>SR</t>
        </is>
      </c>
      <c r="E41" s="32" t="inlineStr">
        <is>
          <t>08:15:02</t>
        </is>
      </c>
      <c r="F41" s="32" t="inlineStr">
        <is>
          <t>08:15:02</t>
        </is>
      </c>
      <c r="G41" s="32" t="n">
        <v>0</v>
      </c>
      <c r="H41" s="32" t="n">
        <v>1</v>
      </c>
      <c r="I41" s="33" t="n">
        <v>66.09</v>
      </c>
      <c r="J41" s="32" t="inlineStr">
        <is>
          <t>Jaugram</t>
        </is>
      </c>
      <c r="K41" s="32" t="inlineStr">
        <is>
          <t>N</t>
        </is>
      </c>
      <c r="L41" s="32" t="inlineStr">
        <is>
          <t>Non-Valid</t>
        </is>
      </c>
      <c r="M41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42">
      <c r="A42" s="17" t="inlineStr">
        <is>
          <t>1 Jul</t>
        </is>
      </c>
      <c r="B42" s="17" t="inlineStr">
        <is>
          <t>37401</t>
        </is>
      </c>
      <c r="C42" s="17" t="inlineStr">
        <is>
          <t>FS</t>
        </is>
      </c>
      <c r="D42" s="17" t="inlineStr">
        <is>
          <t>SR</t>
        </is>
      </c>
      <c r="E42" s="17" t="inlineStr">
        <is>
          <t>08:35:20</t>
        </is>
      </c>
      <c r="F42" s="17" t="inlineStr">
        <is>
          <t>08:35:22</t>
        </is>
      </c>
      <c r="G42" s="17" t="n">
        <v>2</v>
      </c>
      <c r="H42" s="17" t="n">
        <v>4</v>
      </c>
      <c r="I42" s="36" t="n">
        <v>205.41</v>
      </c>
      <c r="J42" s="17" t="inlineStr">
        <is>
          <t>Barachak Jn</t>
        </is>
      </c>
      <c r="K42" s="17" t="inlineStr">
        <is>
          <t>N</t>
        </is>
      </c>
      <c r="L42" s="17" t="inlineStr">
        <is>
          <t>Valid</t>
        </is>
      </c>
      <c r="M42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3">
      <c r="A43" s="17" t="inlineStr">
        <is>
          <t>1 Jul</t>
        </is>
      </c>
      <c r="B43" s="17" t="inlineStr">
        <is>
          <t>37401</t>
        </is>
      </c>
      <c r="C43" s="17" t="inlineStr">
        <is>
          <t>FS</t>
        </is>
      </c>
      <c r="D43" s="17" t="inlineStr">
        <is>
          <t>SR</t>
        </is>
      </c>
      <c r="E43" s="17" t="inlineStr">
        <is>
          <t>09:07:36</t>
        </is>
      </c>
      <c r="F43" s="17" t="inlineStr">
        <is>
          <t>09:07:56</t>
        </is>
      </c>
      <c r="G43" s="17" t="n">
        <v>20</v>
      </c>
      <c r="H43" s="17" t="n">
        <v>16</v>
      </c>
      <c r="I43" s="36" t="n">
        <v>244.09</v>
      </c>
      <c r="J43" s="17" t="inlineStr">
        <is>
          <t>Chhota Ambana</t>
        </is>
      </c>
      <c r="K43" s="17" t="inlineStr">
        <is>
          <t>N</t>
        </is>
      </c>
      <c r="L43" s="17" t="inlineStr">
        <is>
          <t>Valid</t>
        </is>
      </c>
      <c r="M43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4">
      <c r="A44" s="32" t="inlineStr">
        <is>
          <t>1 Jul</t>
        </is>
      </c>
      <c r="B44" s="32" t="inlineStr">
        <is>
          <t>37610</t>
        </is>
      </c>
      <c r="C44" s="32" t="inlineStr">
        <is>
          <t>FS</t>
        </is>
      </c>
      <c r="D44" s="32" t="inlineStr">
        <is>
          <t>SR</t>
        </is>
      </c>
      <c r="E44" s="32" t="inlineStr">
        <is>
          <t>09:50:04</t>
        </is>
      </c>
      <c r="F44" s="32" t="inlineStr">
        <is>
          <t>09:51:24</t>
        </is>
      </c>
      <c r="G44" s="32" t="n">
        <v>80</v>
      </c>
      <c r="H44" s="32" t="n">
        <v>76</v>
      </c>
      <c r="I44" s="33" t="n">
        <v>13.26</v>
      </c>
      <c r="J44" s="32" t="inlineStr">
        <is>
          <t>Dankuni</t>
        </is>
      </c>
      <c r="K44" s="32" t="inlineStr">
        <is>
          <t>R</t>
        </is>
      </c>
      <c r="L44" s="32" t="inlineStr">
        <is>
          <t>Non-Valid</t>
        </is>
      </c>
      <c r="M44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5">
      <c r="A45" s="32" t="inlineStr">
        <is>
          <t>1 Jul</t>
        </is>
      </c>
      <c r="B45" s="32" t="inlineStr">
        <is>
          <t>37959</t>
        </is>
      </c>
      <c r="C45" s="32" t="inlineStr">
        <is>
          <t>FS</t>
        </is>
      </c>
      <c r="D45" s="32" t="inlineStr">
        <is>
          <t>SR</t>
        </is>
      </c>
      <c r="E45" s="32" t="inlineStr">
        <is>
          <t>09:55:28</t>
        </is>
      </c>
      <c r="F45" s="32" t="inlineStr">
        <is>
          <t>09:55:50</t>
        </is>
      </c>
      <c r="G45" s="32" t="n">
        <v>22</v>
      </c>
      <c r="H45" s="32" t="n">
        <v>13</v>
      </c>
      <c r="I45" s="33" t="n">
        <v>170.88</v>
      </c>
      <c r="J45" s="32" t="inlineStr">
        <is>
          <t>Andal</t>
        </is>
      </c>
      <c r="K45" s="32" t="inlineStr">
        <is>
          <t>N</t>
        </is>
      </c>
      <c r="L45" s="32" t="inlineStr">
        <is>
          <t>Non-Valid</t>
        </is>
      </c>
      <c r="M45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6">
      <c r="A46" s="32" t="inlineStr">
        <is>
          <t>1 Jul</t>
        </is>
      </c>
      <c r="B46" s="32" t="inlineStr">
        <is>
          <t>30795</t>
        </is>
      </c>
      <c r="C46" s="32" t="inlineStr">
        <is>
          <t>FS</t>
        </is>
      </c>
      <c r="D46" s="32" t="inlineStr">
        <is>
          <t>LS</t>
        </is>
      </c>
      <c r="E46" s="32" t="inlineStr">
        <is>
          <t>10:06:58</t>
        </is>
      </c>
      <c r="F46" s="32" t="inlineStr">
        <is>
          <t>10:07:02</t>
        </is>
      </c>
      <c r="G46" s="32" t="n">
        <v>4</v>
      </c>
      <c r="H46" s="32" t="n">
        <v>3</v>
      </c>
      <c r="I46" s="33" t="n">
        <v>169.8</v>
      </c>
      <c r="J46" s="32" t="inlineStr">
        <is>
          <t>Andal East Outer</t>
        </is>
      </c>
      <c r="K46" s="32" t="inlineStr">
        <is>
          <t>R</t>
        </is>
      </c>
      <c r="L46" s="32" t="inlineStr">
        <is>
          <t>Non-Valid</t>
        </is>
      </c>
      <c r="M46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7">
      <c r="A47" s="32" t="inlineStr">
        <is>
          <t>1 Jul</t>
        </is>
      </c>
      <c r="B47" s="32" t="inlineStr">
        <is>
          <t>37959</t>
        </is>
      </c>
      <c r="C47" s="32" t="inlineStr">
        <is>
          <t>FS</t>
        </is>
      </c>
      <c r="D47" s="32" t="inlineStr">
        <is>
          <t>SR</t>
        </is>
      </c>
      <c r="E47" s="32" t="inlineStr">
        <is>
          <t>10:21:00</t>
        </is>
      </c>
      <c r="F47" s="32" t="inlineStr">
        <is>
          <t>10:21:46</t>
        </is>
      </c>
      <c r="G47" s="32" t="n">
        <v>46</v>
      </c>
      <c r="H47" s="32" t="n">
        <v>26</v>
      </c>
      <c r="I47" s="33" t="n">
        <v>197.99</v>
      </c>
      <c r="J47" s="32" t="inlineStr">
        <is>
          <t>Asansol</t>
        </is>
      </c>
      <c r="K47" s="32" t="inlineStr">
        <is>
          <t>U</t>
        </is>
      </c>
      <c r="L47" s="32" t="inlineStr">
        <is>
          <t>Non-Valid</t>
        </is>
      </c>
      <c r="M47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48">
      <c r="A48" s="32" t="inlineStr">
        <is>
          <t>1 Jul</t>
        </is>
      </c>
      <c r="B48" s="32" t="inlineStr">
        <is>
          <t>30322</t>
        </is>
      </c>
      <c r="C48" s="32" t="inlineStr">
        <is>
          <t>OS</t>
        </is>
      </c>
      <c r="D48" s="32" t="inlineStr">
        <is>
          <t>SR</t>
        </is>
      </c>
      <c r="E48" s="32" t="inlineStr">
        <is>
          <t>10:42:02</t>
        </is>
      </c>
      <c r="F48" s="32" t="inlineStr">
        <is>
          <t>10:42:02</t>
        </is>
      </c>
      <c r="G48" s="32" t="n">
        <v>0</v>
      </c>
      <c r="H48" s="32" t="n">
        <v>1</v>
      </c>
      <c r="I48" s="33" t="n">
        <v>245.93</v>
      </c>
      <c r="J48" s="32" t="inlineStr">
        <is>
          <t>Chhota Ambana</t>
        </is>
      </c>
      <c r="K48" s="32" t="inlineStr">
        <is>
          <t>R</t>
        </is>
      </c>
      <c r="L48" s="32" t="inlineStr">
        <is>
          <t>Non-Valid</t>
        </is>
      </c>
      <c r="M48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49">
      <c r="A49" s="32" t="inlineStr">
        <is>
          <t>1 Jul</t>
        </is>
      </c>
      <c r="B49" s="32" t="inlineStr">
        <is>
          <t>30639</t>
        </is>
      </c>
      <c r="C49" s="32" t="inlineStr">
        <is>
          <t>FS</t>
        </is>
      </c>
      <c r="D49" s="32" t="inlineStr">
        <is>
          <t>LS</t>
        </is>
      </c>
      <c r="E49" s="32" t="inlineStr">
        <is>
          <t>10:51:54</t>
        </is>
      </c>
      <c r="F49" s="32" t="inlineStr">
        <is>
          <t>10:52:34</t>
        </is>
      </c>
      <c r="G49" s="32" t="n">
        <v>40</v>
      </c>
      <c r="H49" s="32" t="n">
        <v>20</v>
      </c>
      <c r="I49" s="33" t="n">
        <v>73.38</v>
      </c>
      <c r="J49" s="32" t="inlineStr">
        <is>
          <t>Palla Road</t>
        </is>
      </c>
      <c r="K49" s="32" t="inlineStr">
        <is>
          <t>N</t>
        </is>
      </c>
      <c r="L49" s="32" t="inlineStr">
        <is>
          <t>Non-Valid</t>
        </is>
      </c>
      <c r="M49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0">
      <c r="A50" s="32" t="inlineStr">
        <is>
          <t>1 Jul</t>
        </is>
      </c>
      <c r="B50" s="32" t="inlineStr">
        <is>
          <t>30639</t>
        </is>
      </c>
      <c r="C50" s="32" t="inlineStr">
        <is>
          <t>LS</t>
        </is>
      </c>
      <c r="D50" s="32" t="inlineStr">
        <is>
          <t>SR</t>
        </is>
      </c>
      <c r="E50" s="32" t="inlineStr">
        <is>
          <t>10:52:36</t>
        </is>
      </c>
      <c r="F50" s="32" t="inlineStr">
        <is>
          <t>10:52:52</t>
        </is>
      </c>
      <c r="G50" s="32" t="n">
        <v>16</v>
      </c>
      <c r="H50" s="32" t="n">
        <v>18</v>
      </c>
      <c r="I50" s="33" t="n">
        <v>73.93000000000001</v>
      </c>
      <c r="J50" s="32" t="inlineStr">
        <is>
          <t>Palla Road</t>
        </is>
      </c>
      <c r="K50" s="32" t="inlineStr">
        <is>
          <t>N</t>
        </is>
      </c>
      <c r="L50" s="32" t="inlineStr">
        <is>
          <t>Non-Valid</t>
        </is>
      </c>
      <c r="M50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51">
      <c r="A51" s="32" t="inlineStr">
        <is>
          <t>1 Jul</t>
        </is>
      </c>
      <c r="B51" s="32" t="inlineStr">
        <is>
          <t>30552</t>
        </is>
      </c>
      <c r="C51" s="32" t="inlineStr">
        <is>
          <t>FS</t>
        </is>
      </c>
      <c r="D51" s="32" t="inlineStr">
        <is>
          <t>LS</t>
        </is>
      </c>
      <c r="E51" s="32" t="inlineStr">
        <is>
          <t>11:18:48</t>
        </is>
      </c>
      <c r="F51" s="32" t="inlineStr">
        <is>
          <t>11:18:48</t>
        </is>
      </c>
      <c r="G51" s="32" t="n">
        <v>0</v>
      </c>
      <c r="H51" s="32" t="n">
        <v>1</v>
      </c>
      <c r="I51" s="33" t="n">
        <v>28.53</v>
      </c>
      <c r="J51" s="32" t="inlineStr">
        <is>
          <t>Baruipara</t>
        </is>
      </c>
      <c r="K51" s="32" t="inlineStr">
        <is>
          <t>R</t>
        </is>
      </c>
      <c r="L51" s="32" t="inlineStr">
        <is>
          <t>Non-Valid</t>
        </is>
      </c>
      <c r="M51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2">
      <c r="A52" s="32" t="inlineStr">
        <is>
          <t>1 Jul</t>
        </is>
      </c>
      <c r="B52" s="32" t="inlineStr">
        <is>
          <t>30552</t>
        </is>
      </c>
      <c r="C52" s="32" t="inlineStr">
        <is>
          <t>FS</t>
        </is>
      </c>
      <c r="D52" s="32" t="inlineStr">
        <is>
          <t>LS</t>
        </is>
      </c>
      <c r="E52" s="32" t="inlineStr">
        <is>
          <t>11:18:50</t>
        </is>
      </c>
      <c r="F52" s="32" t="inlineStr">
        <is>
          <t>11:22:20</t>
        </is>
      </c>
      <c r="G52" s="32" t="n">
        <v>210</v>
      </c>
      <c r="H52" s="32" t="n">
        <v>106</v>
      </c>
      <c r="I52" s="33" t="n">
        <v>28.5</v>
      </c>
      <c r="J52" s="32" t="inlineStr">
        <is>
          <t>Baruipara</t>
        </is>
      </c>
      <c r="K52" s="32" t="inlineStr">
        <is>
          <t>R</t>
        </is>
      </c>
      <c r="L52" s="32" t="inlineStr">
        <is>
          <t>Non-Valid</t>
        </is>
      </c>
      <c r="M52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3">
      <c r="A53" s="32" t="inlineStr">
        <is>
          <t>1 Jul</t>
        </is>
      </c>
      <c r="B53" s="32" t="inlineStr">
        <is>
          <t>30552</t>
        </is>
      </c>
      <c r="C53" s="32" t="inlineStr">
        <is>
          <t>LS</t>
        </is>
      </c>
      <c r="D53" s="32" t="inlineStr">
        <is>
          <t>SR</t>
        </is>
      </c>
      <c r="E53" s="32" t="inlineStr">
        <is>
          <t>11:22:22</t>
        </is>
      </c>
      <c r="F53" s="32" t="inlineStr">
        <is>
          <t>11:29:02</t>
        </is>
      </c>
      <c r="G53" s="32" t="n">
        <v>400</v>
      </c>
      <c r="H53" s="32" t="n">
        <v>203</v>
      </c>
      <c r="I53" s="33" t="n">
        <v>27.1</v>
      </c>
      <c r="J53" s="32" t="inlineStr">
        <is>
          <t>Baruipara</t>
        </is>
      </c>
      <c r="K53" s="32" t="inlineStr">
        <is>
          <t>R</t>
        </is>
      </c>
      <c r="L53" s="32" t="inlineStr">
        <is>
          <t>Non-Valid</t>
        </is>
      </c>
      <c r="M53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4">
      <c r="A54" s="32" t="inlineStr">
        <is>
          <t>1 Jul</t>
        </is>
      </c>
      <c r="B54" s="32" t="inlineStr">
        <is>
          <t>30522</t>
        </is>
      </c>
      <c r="C54" s="32" t="inlineStr">
        <is>
          <t>OS</t>
        </is>
      </c>
      <c r="D54" s="32" t="inlineStr">
        <is>
          <t>SR</t>
        </is>
      </c>
      <c r="E54" s="32" t="inlineStr">
        <is>
          <t>11:37:18</t>
        </is>
      </c>
      <c r="F54" s="32" t="inlineStr">
        <is>
          <t>11:37:18</t>
        </is>
      </c>
      <c r="G54" s="32" t="n">
        <v>0</v>
      </c>
      <c r="H54" s="32" t="n">
        <v>1</v>
      </c>
      <c r="I54" s="33" t="n">
        <v>245.96</v>
      </c>
      <c r="J54" s="32" t="inlineStr">
        <is>
          <t>Chhota Ambana</t>
        </is>
      </c>
      <c r="K54" s="32" t="inlineStr">
        <is>
          <t>R</t>
        </is>
      </c>
      <c r="L54" s="32" t="inlineStr">
        <is>
          <t>Non-Valid</t>
        </is>
      </c>
      <c r="M54" s="17" t="inlineStr">
        <is>
          <t>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5">
      <c r="A55" s="32" t="inlineStr">
        <is>
          <t>1 Jul</t>
        </is>
      </c>
      <c r="B55" s="32" t="inlineStr">
        <is>
          <t>30795</t>
        </is>
      </c>
      <c r="C55" s="32" t="inlineStr">
        <is>
          <t>FS</t>
        </is>
      </c>
      <c r="D55" s="32" t="inlineStr">
        <is>
          <t>LS</t>
        </is>
      </c>
      <c r="E55" s="32" t="inlineStr">
        <is>
          <t>11:39:36</t>
        </is>
      </c>
      <c r="F55" s="32" t="inlineStr">
        <is>
          <t>11:40:10</t>
        </is>
      </c>
      <c r="G55" s="32" t="n">
        <v>34</v>
      </c>
      <c r="H55" s="32" t="n">
        <v>19</v>
      </c>
      <c r="I55" s="33" t="n">
        <v>28.54</v>
      </c>
      <c r="J55" s="32" t="inlineStr">
        <is>
          <t>Baruipara</t>
        </is>
      </c>
      <c r="K55" s="32" t="inlineStr">
        <is>
          <t>R</t>
        </is>
      </c>
      <c r="L55" s="32" t="inlineStr">
        <is>
          <t>Non-Valid</t>
        </is>
      </c>
      <c r="M55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6">
      <c r="A56" s="32" t="inlineStr">
        <is>
          <t>1 Jul</t>
        </is>
      </c>
      <c r="B56" s="32" t="inlineStr">
        <is>
          <t>30552</t>
        </is>
      </c>
      <c r="C56" s="32" t="inlineStr">
        <is>
          <t>FS</t>
        </is>
      </c>
      <c r="D56" s="32" t="inlineStr">
        <is>
          <t>SR</t>
        </is>
      </c>
      <c r="E56" s="32" t="inlineStr">
        <is>
          <t>11:39:40</t>
        </is>
      </c>
      <c r="F56" s="32" t="inlineStr">
        <is>
          <t>11:41:12</t>
        </is>
      </c>
      <c r="G56" s="32" t="n">
        <v>92</v>
      </c>
      <c r="H56" s="32" t="n">
        <v>82</v>
      </c>
      <c r="I56" s="33" t="n">
        <v>13.26</v>
      </c>
      <c r="J56" s="32" t="inlineStr">
        <is>
          <t>Dankuni</t>
        </is>
      </c>
      <c r="K56" s="32" t="inlineStr">
        <is>
          <t>R</t>
        </is>
      </c>
      <c r="L56" s="32" t="inlineStr">
        <is>
          <t>Non-Valid</t>
        </is>
      </c>
      <c r="M56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57">
      <c r="A57" s="17" t="inlineStr">
        <is>
          <t>1 Jul</t>
        </is>
      </c>
      <c r="B57" s="17" t="inlineStr">
        <is>
          <t>37358</t>
        </is>
      </c>
      <c r="C57" s="17" t="inlineStr">
        <is>
          <t>FS</t>
        </is>
      </c>
      <c r="D57" s="17" t="inlineStr">
        <is>
          <t>SR</t>
        </is>
      </c>
      <c r="E57" s="17" t="inlineStr">
        <is>
          <t>11:46:52</t>
        </is>
      </c>
      <c r="F57" s="17" t="inlineStr">
        <is>
          <t>11:47:20</t>
        </is>
      </c>
      <c r="G57" s="17" t="n">
        <v>28</v>
      </c>
      <c r="H57" s="17" t="n">
        <v>25</v>
      </c>
      <c r="I57" s="36" t="n">
        <v>244.1</v>
      </c>
      <c r="J57" s="17" t="inlineStr">
        <is>
          <t>Chhota Ambana</t>
        </is>
      </c>
      <c r="K57" s="17" t="inlineStr">
        <is>
          <t>N</t>
        </is>
      </c>
      <c r="L57" s="17" t="inlineStr">
        <is>
          <t>Valid</t>
        </is>
      </c>
      <c r="M57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58">
      <c r="A58" s="32" t="inlineStr">
        <is>
          <t>1 Jul</t>
        </is>
      </c>
      <c r="B58" s="32" t="inlineStr">
        <is>
          <t>30567</t>
        </is>
      </c>
      <c r="C58" s="32" t="inlineStr">
        <is>
          <t>FS</t>
        </is>
      </c>
      <c r="D58" s="32" t="inlineStr">
        <is>
          <t>SR</t>
        </is>
      </c>
      <c r="E58" s="32" t="inlineStr">
        <is>
          <t>13:52:58</t>
        </is>
      </c>
      <c r="F58" s="32" t="inlineStr">
        <is>
          <t>13:54:26</t>
        </is>
      </c>
      <c r="G58" s="32" t="n">
        <v>88</v>
      </c>
      <c r="H58" s="32" t="n">
        <v>78</v>
      </c>
      <c r="I58" s="33" t="n">
        <v>13.26</v>
      </c>
      <c r="J58" s="32" t="inlineStr">
        <is>
          <t>Dankuni</t>
        </is>
      </c>
      <c r="K58" s="32" t="inlineStr">
        <is>
          <t>R</t>
        </is>
      </c>
      <c r="L58" s="32" t="inlineStr">
        <is>
          <t>Non-Valid</t>
        </is>
      </c>
      <c r="M58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59">
      <c r="A59" s="32" t="inlineStr">
        <is>
          <t>1 Jul</t>
        </is>
      </c>
      <c r="B59" s="32" t="inlineStr">
        <is>
          <t>37044</t>
        </is>
      </c>
      <c r="C59" s="32" t="inlineStr">
        <is>
          <t>FS</t>
        </is>
      </c>
      <c r="D59" s="32" t="inlineStr">
        <is>
          <t>LS</t>
        </is>
      </c>
      <c r="E59" s="32" t="inlineStr">
        <is>
          <t>13:59:38</t>
        </is>
      </c>
      <c r="F59" s="32" t="inlineStr">
        <is>
          <t>13:59:38</t>
        </is>
      </c>
      <c r="G59" s="32" t="n">
        <v>0</v>
      </c>
      <c r="H59" s="32" t="n">
        <v>1</v>
      </c>
      <c r="I59" s="33" t="n">
        <v>69.13</v>
      </c>
      <c r="J59" s="32" t="inlineStr">
        <is>
          <t>LC-57</t>
        </is>
      </c>
      <c r="K59" s="32" t="inlineStr">
        <is>
          <t>N</t>
        </is>
      </c>
      <c r="L59" s="32" t="inlineStr">
        <is>
          <t>Non-Valid</t>
        </is>
      </c>
      <c r="M59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60">
      <c r="A60" s="32" t="inlineStr">
        <is>
          <t>1 Jul</t>
        </is>
      </c>
      <c r="B60" s="32" t="inlineStr">
        <is>
          <t>37044</t>
        </is>
      </c>
      <c r="C60" s="32" t="inlineStr">
        <is>
          <t>FS</t>
        </is>
      </c>
      <c r="D60" s="32" t="inlineStr">
        <is>
          <t>LS</t>
        </is>
      </c>
      <c r="E60" s="32" t="inlineStr">
        <is>
          <t>13:59:40</t>
        </is>
      </c>
      <c r="F60" s="32" t="inlineStr">
        <is>
          <t>13:59:44</t>
        </is>
      </c>
      <c r="G60" s="32" t="n">
        <v>4</v>
      </c>
      <c r="H60" s="32" t="n">
        <v>4</v>
      </c>
      <c r="I60" s="33" t="n">
        <v>69.2</v>
      </c>
      <c r="J60" s="32" t="inlineStr">
        <is>
          <t>LC-57</t>
        </is>
      </c>
      <c r="K60" s="32" t="inlineStr">
        <is>
          <t>N</t>
        </is>
      </c>
      <c r="L60" s="32" t="inlineStr">
        <is>
          <t>Non-Valid</t>
        </is>
      </c>
      <c r="M60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61">
      <c r="A61" s="32" t="inlineStr">
        <is>
          <t>1 Jul</t>
        </is>
      </c>
      <c r="B61" s="32" t="inlineStr">
        <is>
          <t>37044</t>
        </is>
      </c>
      <c r="C61" s="32" t="inlineStr">
        <is>
          <t>FS</t>
        </is>
      </c>
      <c r="D61" s="32" t="inlineStr">
        <is>
          <t>LS</t>
        </is>
      </c>
      <c r="E61" s="32" t="inlineStr">
        <is>
          <t>14:11:48</t>
        </is>
      </c>
      <c r="F61" s="32" t="inlineStr">
        <is>
          <t>14:12:00</t>
        </is>
      </c>
      <c r="G61" s="32" t="n">
        <v>12</v>
      </c>
      <c r="H61" s="32" t="n">
        <v>8</v>
      </c>
      <c r="I61" s="33" t="n">
        <v>81.25</v>
      </c>
      <c r="J61" s="32" t="inlineStr">
        <is>
          <t>Palla Road</t>
        </is>
      </c>
      <c r="K61" s="32" t="inlineStr">
        <is>
          <t>N</t>
        </is>
      </c>
      <c r="L61" s="32" t="inlineStr">
        <is>
          <t>Non-Valid</t>
        </is>
      </c>
      <c r="M61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</t>
        </is>
      </c>
    </row>
    <row r="62">
      <c r="A62" s="32" t="inlineStr">
        <is>
          <t>1 Jul</t>
        </is>
      </c>
      <c r="B62" s="32" t="inlineStr">
        <is>
          <t>37360</t>
        </is>
      </c>
      <c r="C62" s="32" t="inlineStr">
        <is>
          <t>FS</t>
        </is>
      </c>
      <c r="D62" s="32" t="inlineStr">
        <is>
          <t>LS</t>
        </is>
      </c>
      <c r="E62" s="32" t="inlineStr">
        <is>
          <t>14:16:16</t>
        </is>
      </c>
      <c r="F62" s="32" t="inlineStr">
        <is>
          <t>14:16:16</t>
        </is>
      </c>
      <c r="G62" s="32" t="n">
        <v>0</v>
      </c>
      <c r="H62" s="32" t="n">
        <v>1</v>
      </c>
      <c r="I62" s="33" t="n">
        <v>65.87</v>
      </c>
      <c r="J62" s="32" t="inlineStr">
        <is>
          <t>Jaugram</t>
        </is>
      </c>
      <c r="K62" s="32" t="inlineStr">
        <is>
          <t>N</t>
        </is>
      </c>
      <c r="L62" s="32" t="inlineStr">
        <is>
          <t>Non-Valid</t>
        </is>
      </c>
      <c r="M62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3">
      <c r="A63" s="32" t="inlineStr">
        <is>
          <t>1 Jul</t>
        </is>
      </c>
      <c r="B63" s="32" t="inlineStr">
        <is>
          <t>37360</t>
        </is>
      </c>
      <c r="C63" s="32" t="inlineStr">
        <is>
          <t>OS</t>
        </is>
      </c>
      <c r="D63" s="32" t="inlineStr">
        <is>
          <t>LS</t>
        </is>
      </c>
      <c r="E63" s="32" t="inlineStr">
        <is>
          <t>14:16:18</t>
        </is>
      </c>
      <c r="F63" s="32" t="inlineStr">
        <is>
          <t>14:16:18</t>
        </is>
      </c>
      <c r="G63" s="32" t="n">
        <v>0</v>
      </c>
      <c r="H63" s="32" t="n">
        <v>1</v>
      </c>
      <c r="I63" s="33" t="n">
        <v>65.88</v>
      </c>
      <c r="J63" s="32" t="inlineStr">
        <is>
          <t>Jaugram</t>
        </is>
      </c>
      <c r="K63" s="32" t="inlineStr">
        <is>
          <t>N</t>
        </is>
      </c>
      <c r="L63" s="32" t="inlineStr">
        <is>
          <t>Non-Valid</t>
        </is>
      </c>
      <c r="M63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4">
      <c r="A64" s="32" t="inlineStr">
        <is>
          <t>1 Jul</t>
        </is>
      </c>
      <c r="B64" s="32" t="inlineStr">
        <is>
          <t>30322</t>
        </is>
      </c>
      <c r="C64" s="32" t="inlineStr">
        <is>
          <t>FS</t>
        </is>
      </c>
      <c r="D64" s="32" t="inlineStr">
        <is>
          <t>SR</t>
        </is>
      </c>
      <c r="E64" s="32" t="inlineStr">
        <is>
          <t>14:44:26</t>
        </is>
      </c>
      <c r="F64" s="32" t="inlineStr">
        <is>
          <t>14:45:46</t>
        </is>
      </c>
      <c r="G64" s="32" t="n">
        <v>80</v>
      </c>
      <c r="H64" s="32" t="n">
        <v>74</v>
      </c>
      <c r="I64" s="33" t="n">
        <v>13.26</v>
      </c>
      <c r="J64" s="32" t="inlineStr">
        <is>
          <t>Dankuni</t>
        </is>
      </c>
      <c r="K64" s="32" t="inlineStr">
        <is>
          <t>R</t>
        </is>
      </c>
      <c r="L64" s="32" t="inlineStr">
        <is>
          <t>Non-Valid</t>
        </is>
      </c>
      <c r="M64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5">
      <c r="A65" s="32" t="inlineStr">
        <is>
          <t>1 Jul</t>
        </is>
      </c>
      <c r="B65" s="32" t="inlineStr">
        <is>
          <t>37024</t>
        </is>
      </c>
      <c r="C65" s="32" t="inlineStr">
        <is>
          <t>FS</t>
        </is>
      </c>
      <c r="D65" s="32" t="inlineStr">
        <is>
          <t>LS</t>
        </is>
      </c>
      <c r="E65" s="32" t="inlineStr">
        <is>
          <t>15:19:14</t>
        </is>
      </c>
      <c r="F65" s="32" t="inlineStr">
        <is>
          <t>15:19:54</t>
        </is>
      </c>
      <c r="G65" s="32" t="n">
        <v>40</v>
      </c>
      <c r="H65" s="32" t="n">
        <v>22</v>
      </c>
      <c r="I65" s="33" t="n">
        <v>74.78</v>
      </c>
      <c r="J65" s="32" t="inlineStr">
        <is>
          <t>Palla Road</t>
        </is>
      </c>
      <c r="K65" s="32" t="inlineStr">
        <is>
          <t>N</t>
        </is>
      </c>
      <c r="L65" s="32" t="inlineStr">
        <is>
          <t>Non-Valid</t>
        </is>
      </c>
      <c r="M65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66">
      <c r="A66" s="32" t="inlineStr">
        <is>
          <t>1 Jul</t>
        </is>
      </c>
      <c r="B66" s="32" t="inlineStr">
        <is>
          <t>30487</t>
        </is>
      </c>
      <c r="C66" s="32" t="inlineStr">
        <is>
          <t>FS</t>
        </is>
      </c>
      <c r="D66" s="32" t="inlineStr">
        <is>
          <t>LS</t>
        </is>
      </c>
      <c r="E66" s="32" t="inlineStr">
        <is>
          <t>16:12:56</t>
        </is>
      </c>
      <c r="F66" s="32" t="inlineStr">
        <is>
          <t>16:13:12</t>
        </is>
      </c>
      <c r="G66" s="32" t="n">
        <v>16</v>
      </c>
      <c r="H66" s="32" t="n">
        <v>13</v>
      </c>
      <c r="I66" s="33" t="n">
        <v>22.93</v>
      </c>
      <c r="J66" s="32" t="inlineStr">
        <is>
          <t>Baruipara</t>
        </is>
      </c>
      <c r="K66" s="32" t="inlineStr">
        <is>
          <t>R</t>
        </is>
      </c>
      <c r="L66" s="32" t="inlineStr">
        <is>
          <t>Non-Valid</t>
        </is>
      </c>
      <c r="M66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67">
      <c r="A67" s="32" t="inlineStr">
        <is>
          <t>1 Jul</t>
        </is>
      </c>
      <c r="B67" s="32" t="inlineStr">
        <is>
          <t>37360</t>
        </is>
      </c>
      <c r="C67" s="32" t="inlineStr">
        <is>
          <t>FS</t>
        </is>
      </c>
      <c r="D67" s="32" t="inlineStr">
        <is>
          <t>LS</t>
        </is>
      </c>
      <c r="E67" s="32" t="inlineStr">
        <is>
          <t>16:29:10</t>
        </is>
      </c>
      <c r="F67" s="32" t="inlineStr">
        <is>
          <t>16:29:10</t>
        </is>
      </c>
      <c r="G67" s="32" t="n">
        <v>0</v>
      </c>
      <c r="H67" s="32" t="n">
        <v>1</v>
      </c>
      <c r="I67" s="33" t="n">
        <v>214.95</v>
      </c>
      <c r="J67" s="32" t="inlineStr">
        <is>
          <t>Kulti</t>
        </is>
      </c>
      <c r="K67" s="32" t="inlineStr">
        <is>
          <t>N</t>
        </is>
      </c>
      <c r="L67" s="32" t="inlineStr">
        <is>
          <t>Non-Valid</t>
        </is>
      </c>
      <c r="M67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8">
      <c r="A68" s="32" t="inlineStr">
        <is>
          <t>1 Jul</t>
        </is>
      </c>
      <c r="B68" s="32" t="inlineStr">
        <is>
          <t>37360</t>
        </is>
      </c>
      <c r="C68" s="32" t="inlineStr">
        <is>
          <t>OS</t>
        </is>
      </c>
      <c r="D68" s="32" t="inlineStr">
        <is>
          <t>LS</t>
        </is>
      </c>
      <c r="E68" s="32" t="inlineStr">
        <is>
          <t>16:29:12</t>
        </is>
      </c>
      <c r="F68" s="32" t="inlineStr">
        <is>
          <t>16:29:12</t>
        </is>
      </c>
      <c r="G68" s="32" t="n">
        <v>0</v>
      </c>
      <c r="H68" s="32" t="n">
        <v>1</v>
      </c>
      <c r="I68" s="33" t="n">
        <v>214.97</v>
      </c>
      <c r="J68" s="32" t="inlineStr">
        <is>
          <t>Kulti</t>
        </is>
      </c>
      <c r="K68" s="32" t="inlineStr">
        <is>
          <t>N</t>
        </is>
      </c>
      <c r="L68" s="32" t="inlineStr">
        <is>
          <t>Non-Valid</t>
        </is>
      </c>
      <c r="M68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69">
      <c r="A69" s="32" t="inlineStr">
        <is>
          <t>1 Jul</t>
        </is>
      </c>
      <c r="B69" s="32" t="inlineStr">
        <is>
          <t>37360</t>
        </is>
      </c>
      <c r="C69" s="32" t="inlineStr">
        <is>
          <t>FS</t>
        </is>
      </c>
      <c r="D69" s="32" t="inlineStr">
        <is>
          <t>LS</t>
        </is>
      </c>
      <c r="E69" s="32" t="inlineStr">
        <is>
          <t>16:33:30</t>
        </is>
      </c>
      <c r="F69" s="32" t="inlineStr">
        <is>
          <t>16:33:30</t>
        </is>
      </c>
      <c r="G69" s="32" t="n">
        <v>0</v>
      </c>
      <c r="H69" s="32" t="n">
        <v>1</v>
      </c>
      <c r="I69" s="33" t="n">
        <v>219.99</v>
      </c>
      <c r="J69" s="32" t="inlineStr">
        <is>
          <t>Kumardubi</t>
        </is>
      </c>
      <c r="K69" s="32" t="inlineStr">
        <is>
          <t>N</t>
        </is>
      </c>
      <c r="L69" s="32" t="inlineStr">
        <is>
          <t>Non-Valid</t>
        </is>
      </c>
      <c r="M69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0">
      <c r="A70" s="32" t="inlineStr">
        <is>
          <t>1 Jul</t>
        </is>
      </c>
      <c r="B70" s="32" t="inlineStr">
        <is>
          <t>37360</t>
        </is>
      </c>
      <c r="C70" s="32" t="inlineStr">
        <is>
          <t>FS</t>
        </is>
      </c>
      <c r="D70" s="32" t="inlineStr">
        <is>
          <t>LS</t>
        </is>
      </c>
      <c r="E70" s="32" t="inlineStr">
        <is>
          <t>16:33:32</t>
        </is>
      </c>
      <c r="F70" s="32" t="inlineStr">
        <is>
          <t>16:35:34</t>
        </is>
      </c>
      <c r="G70" s="32" t="n">
        <v>122</v>
      </c>
      <c r="H70" s="32" t="n">
        <v>64</v>
      </c>
      <c r="I70" s="33" t="n">
        <v>220.01</v>
      </c>
      <c r="J70" s="32" t="inlineStr">
        <is>
          <t>Kumardubi</t>
        </is>
      </c>
      <c r="K70" s="32" t="inlineStr">
        <is>
          <t>N</t>
        </is>
      </c>
      <c r="L70" s="32" t="inlineStr">
        <is>
          <t>Non-Valid</t>
        </is>
      </c>
      <c r="M70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1">
      <c r="A71" s="32" t="inlineStr">
        <is>
          <t>1 Jul</t>
        </is>
      </c>
      <c r="B71" s="32" t="inlineStr">
        <is>
          <t>37360</t>
        </is>
      </c>
      <c r="C71" s="32" t="inlineStr">
        <is>
          <t>FS</t>
        </is>
      </c>
      <c r="D71" s="32" t="inlineStr">
        <is>
          <t>SR</t>
        </is>
      </c>
      <c r="E71" s="32" t="inlineStr">
        <is>
          <t>16:53:46</t>
        </is>
      </c>
      <c r="F71" s="32" t="inlineStr">
        <is>
          <t>16:53:46</t>
        </is>
      </c>
      <c r="G71" s="32" t="n">
        <v>0</v>
      </c>
      <c r="H71" s="32" t="n">
        <v>1</v>
      </c>
      <c r="I71" s="33" t="n">
        <v>244.06</v>
      </c>
      <c r="J71" s="32" t="inlineStr">
        <is>
          <t>Chhota Ambana</t>
        </is>
      </c>
      <c r="K71" s="32" t="inlineStr">
        <is>
          <t>N</t>
        </is>
      </c>
      <c r="L71" s="32" t="inlineStr">
        <is>
          <t>Non-Valid</t>
        </is>
      </c>
      <c r="M71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2">
      <c r="A72" s="32" t="inlineStr">
        <is>
          <t>1 Jul</t>
        </is>
      </c>
      <c r="B72" s="32" t="inlineStr">
        <is>
          <t>37360</t>
        </is>
      </c>
      <c r="C72" s="32" t="inlineStr">
        <is>
          <t>FS</t>
        </is>
      </c>
      <c r="D72" s="32" t="inlineStr">
        <is>
          <t>SR</t>
        </is>
      </c>
      <c r="E72" s="32" t="inlineStr">
        <is>
          <t>16:53:48</t>
        </is>
      </c>
      <c r="F72" s="32" t="inlineStr">
        <is>
          <t>16:54:16</t>
        </is>
      </c>
      <c r="G72" s="32" t="n">
        <v>28</v>
      </c>
      <c r="H72" s="32" t="n">
        <v>23</v>
      </c>
      <c r="I72" s="33" t="n">
        <v>244.12</v>
      </c>
      <c r="J72" s="32" t="inlineStr">
        <is>
          <t>Chhota Ambana</t>
        </is>
      </c>
      <c r="K72" s="32" t="inlineStr">
        <is>
          <t>N</t>
        </is>
      </c>
      <c r="L72" s="32" t="inlineStr">
        <is>
          <t>Non-Valid</t>
        </is>
      </c>
      <c r="M72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3">
      <c r="A73" s="32" t="inlineStr">
        <is>
          <t>1 Jul</t>
        </is>
      </c>
      <c r="B73" s="32" t="inlineStr">
        <is>
          <t>37973</t>
        </is>
      </c>
      <c r="C73" s="32" t="inlineStr">
        <is>
          <t>OS</t>
        </is>
      </c>
      <c r="D73" s="32" t="inlineStr">
        <is>
          <t>SR</t>
        </is>
      </c>
      <c r="E73" s="32" t="inlineStr">
        <is>
          <t>17:22:26</t>
        </is>
      </c>
      <c r="F73" s="32" t="inlineStr">
        <is>
          <t>17:22:26</t>
        </is>
      </c>
      <c r="G73" s="32" t="n">
        <v>0</v>
      </c>
      <c r="H73" s="32" t="n">
        <v>1</v>
      </c>
      <c r="I73" s="33" t="n">
        <v>0.82</v>
      </c>
      <c r="J73" s="32" t="inlineStr">
        <is>
          <t>Howrah</t>
        </is>
      </c>
      <c r="K73" s="32" t="inlineStr">
        <is>
          <t>R</t>
        </is>
      </c>
      <c r="L73" s="32" t="inlineStr">
        <is>
          <t>Non-Valid</t>
        </is>
      </c>
      <c r="M73" s="17" t="inlineStr">
        <is>
          <t>Howrah</t>
        </is>
      </c>
    </row>
    <row r="74">
      <c r="A74" s="32" t="inlineStr">
        <is>
          <t>1 Jul</t>
        </is>
      </c>
      <c r="B74" s="32" t="inlineStr">
        <is>
          <t>37973</t>
        </is>
      </c>
      <c r="C74" s="32" t="inlineStr">
        <is>
          <t>OS</t>
        </is>
      </c>
      <c r="D74" s="32" t="inlineStr">
        <is>
          <t>SR</t>
        </is>
      </c>
      <c r="E74" s="32" t="inlineStr">
        <is>
          <t>17:39:48</t>
        </is>
      </c>
      <c r="F74" s="32" t="inlineStr">
        <is>
          <t>17:39:56</t>
        </is>
      </c>
      <c r="G74" s="32" t="n">
        <v>8</v>
      </c>
      <c r="H74" s="32" t="n">
        <v>5</v>
      </c>
      <c r="I74" s="33" t="n">
        <v>0.35</v>
      </c>
      <c r="J74" s="32" t="inlineStr">
        <is>
          <t>Howrah</t>
        </is>
      </c>
      <c r="K74" s="32" t="inlineStr">
        <is>
          <t>N</t>
        </is>
      </c>
      <c r="L74" s="32" t="inlineStr">
        <is>
          <t>Non-Valid</t>
        </is>
      </c>
      <c r="M74" s="17" t="inlineStr">
        <is>
          <t>Howrah</t>
        </is>
      </c>
    </row>
    <row r="75">
      <c r="A75" s="32" t="inlineStr">
        <is>
          <t>1 Jul</t>
        </is>
      </c>
      <c r="B75" s="32" t="inlineStr">
        <is>
          <t>37973</t>
        </is>
      </c>
      <c r="C75" s="32" t="inlineStr">
        <is>
          <t>OS</t>
        </is>
      </c>
      <c r="D75" s="32" t="inlineStr">
        <is>
          <t>SR</t>
        </is>
      </c>
      <c r="E75" s="32" t="inlineStr">
        <is>
          <t>17:39:58</t>
        </is>
      </c>
      <c r="F75" s="32" t="inlineStr">
        <is>
          <t>17:39:58</t>
        </is>
      </c>
      <c r="G75" s="32" t="n">
        <v>0</v>
      </c>
      <c r="H75" s="32" t="n">
        <v>1</v>
      </c>
      <c r="I75" s="33" t="n">
        <v>0.37</v>
      </c>
      <c r="J75" s="32" t="inlineStr">
        <is>
          <t>Howrah</t>
        </is>
      </c>
      <c r="K75" s="32" t="inlineStr">
        <is>
          <t>N</t>
        </is>
      </c>
      <c r="L75" s="32" t="inlineStr">
        <is>
          <t>Non-Valid</t>
        </is>
      </c>
      <c r="M75" s="17" t="inlineStr">
        <is>
          <t>Howrah</t>
        </is>
      </c>
    </row>
    <row r="76">
      <c r="A76" s="32" t="inlineStr">
        <is>
          <t>1 Jul</t>
        </is>
      </c>
      <c r="B76" s="32" t="inlineStr">
        <is>
          <t>30205</t>
        </is>
      </c>
      <c r="C76" s="32" t="inlineStr">
        <is>
          <t>FS</t>
        </is>
      </c>
      <c r="D76" s="32" t="inlineStr">
        <is>
          <t>SR</t>
        </is>
      </c>
      <c r="E76" s="32" t="inlineStr">
        <is>
          <t>17:56:28</t>
        </is>
      </c>
      <c r="F76" s="32" t="inlineStr">
        <is>
          <t>17:56:28</t>
        </is>
      </c>
      <c r="G76" s="32" t="n">
        <v>0</v>
      </c>
      <c r="H76" s="32" t="n">
        <v>1</v>
      </c>
      <c r="I76" s="33" t="n">
        <v>13.25</v>
      </c>
      <c r="J76" s="32" t="inlineStr">
        <is>
          <t>Dankuni</t>
        </is>
      </c>
      <c r="K76" s="32" t="inlineStr">
        <is>
          <t>R</t>
        </is>
      </c>
      <c r="L76" s="32" t="inlineStr">
        <is>
          <t>Non-Valid</t>
        </is>
      </c>
      <c r="M76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7">
      <c r="A77" s="32" t="inlineStr">
        <is>
          <t>1 Jul</t>
        </is>
      </c>
      <c r="B77" s="32" t="inlineStr">
        <is>
          <t>30205</t>
        </is>
      </c>
      <c r="C77" s="32" t="inlineStr">
        <is>
          <t>FS</t>
        </is>
      </c>
      <c r="D77" s="32" t="inlineStr">
        <is>
          <t>SR</t>
        </is>
      </c>
      <c r="E77" s="32" t="inlineStr">
        <is>
          <t>17:56:30</t>
        </is>
      </c>
      <c r="F77" s="32" t="inlineStr">
        <is>
          <t>17:57:48</t>
        </is>
      </c>
      <c r="G77" s="32" t="n">
        <v>78</v>
      </c>
      <c r="H77" s="32" t="n">
        <v>73</v>
      </c>
      <c r="I77" s="33" t="n">
        <v>13.25</v>
      </c>
      <c r="J77" s="32" t="inlineStr">
        <is>
          <t>Dankuni</t>
        </is>
      </c>
      <c r="K77" s="32" t="inlineStr">
        <is>
          <t>R</t>
        </is>
      </c>
      <c r="L77" s="32" t="inlineStr">
        <is>
          <t>Non-Valid</t>
        </is>
      </c>
      <c r="M77" s="17" t="inlineStr">
        <is>
          <t>Belanagar, Dankuni, LC-12, Janai Road, Baruipara, Kamarkundu, LC-31, Chandanpur, LC-38, Belmuri, Cheragram, LC-41, Gurap, LC-48, Jaugram, LC-57, Masagram, Palla Road, Saktigarh, Gangpur, Barddhaman Jn</t>
        </is>
      </c>
    </row>
    <row r="78">
      <c r="A78" s="32" t="inlineStr">
        <is>
          <t>1 Jul</t>
        </is>
      </c>
      <c r="B78" s="32" t="inlineStr">
        <is>
          <t>30455</t>
        </is>
      </c>
      <c r="C78" s="32" t="inlineStr">
        <is>
          <t>FS</t>
        </is>
      </c>
      <c r="D78" s="32" t="inlineStr">
        <is>
          <t>LS</t>
        </is>
      </c>
      <c r="E78" s="32" t="inlineStr">
        <is>
          <t>17:57:16</t>
        </is>
      </c>
      <c r="F78" s="32" t="inlineStr">
        <is>
          <t>17:57:16</t>
        </is>
      </c>
      <c r="G78" s="32" t="n">
        <v>0</v>
      </c>
      <c r="H78" s="32" t="n">
        <v>2</v>
      </c>
      <c r="I78" s="33" t="n">
        <v>61.08</v>
      </c>
      <c r="J78" s="32" t="inlineStr">
        <is>
          <t>LC-48</t>
        </is>
      </c>
      <c r="K78" s="32" t="inlineStr">
        <is>
          <t>N</t>
        </is>
      </c>
      <c r="L78" s="32" t="inlineStr">
        <is>
          <t>Non-Valid</t>
        </is>
      </c>
      <c r="M78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79">
      <c r="A79" s="17" t="inlineStr">
        <is>
          <t>1 Jul</t>
        </is>
      </c>
      <c r="B79" s="17" t="inlineStr">
        <is>
          <t>37777</t>
        </is>
      </c>
      <c r="C79" s="17" t="inlineStr">
        <is>
          <t>FS</t>
        </is>
      </c>
      <c r="D79" s="17" t="inlineStr">
        <is>
          <t>LS</t>
        </is>
      </c>
      <c r="E79" s="17" t="inlineStr">
        <is>
          <t>19:29:04</t>
        </is>
      </c>
      <c r="F79" s="17" t="inlineStr">
        <is>
          <t>19:32:08</t>
        </is>
      </c>
      <c r="G79" s="17" t="n">
        <v>184</v>
      </c>
      <c r="H79" s="17" t="n">
        <v>95</v>
      </c>
      <c r="I79" s="36" t="n">
        <v>219.59</v>
      </c>
      <c r="J79" s="17" t="inlineStr">
        <is>
          <t>Kumardubi</t>
        </is>
      </c>
      <c r="K79" s="17" t="inlineStr">
        <is>
          <t>N</t>
        </is>
      </c>
      <c r="L79" s="17" t="inlineStr">
        <is>
          <t>Valid</t>
        </is>
      </c>
      <c r="M79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0">
      <c r="A80" s="32" t="inlineStr">
        <is>
          <t>1 Jul</t>
        </is>
      </c>
      <c r="B80" s="32" t="inlineStr">
        <is>
          <t>39481</t>
        </is>
      </c>
      <c r="C80" s="32" t="inlineStr">
        <is>
          <t>FS</t>
        </is>
      </c>
      <c r="D80" s="32" t="inlineStr">
        <is>
          <t>LS</t>
        </is>
      </c>
      <c r="E80" s="32" t="inlineStr">
        <is>
          <t>19:33:48</t>
        </is>
      </c>
      <c r="F80" s="32" t="inlineStr">
        <is>
          <t>19:33:48</t>
        </is>
      </c>
      <c r="G80" s="32" t="n">
        <v>0</v>
      </c>
      <c r="H80" s="32" t="n">
        <v>2</v>
      </c>
      <c r="I80" s="33" t="n">
        <v>22.87</v>
      </c>
      <c r="J80" s="32" t="inlineStr">
        <is>
          <t>Baruipara</t>
        </is>
      </c>
      <c r="K80" s="32" t="inlineStr">
        <is>
          <t>R</t>
        </is>
      </c>
      <c r="L80" s="32" t="inlineStr">
        <is>
          <t>Non-Valid</t>
        </is>
      </c>
      <c r="M80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</t>
        </is>
      </c>
    </row>
    <row r="81">
      <c r="A81" s="32" t="inlineStr">
        <is>
          <t>1 Jul</t>
        </is>
      </c>
      <c r="B81" s="32" t="inlineStr">
        <is>
          <t>30503</t>
        </is>
      </c>
      <c r="C81" s="32" t="inlineStr">
        <is>
          <t>FS</t>
        </is>
      </c>
      <c r="D81" s="32" t="inlineStr">
        <is>
          <t>LS</t>
        </is>
      </c>
      <c r="E81" s="32" t="inlineStr">
        <is>
          <t>19:47:32</t>
        </is>
      </c>
      <c r="F81" s="32" t="inlineStr">
        <is>
          <t>19:51:28</t>
        </is>
      </c>
      <c r="G81" s="32" t="n">
        <v>236</v>
      </c>
      <c r="H81" s="32" t="n">
        <v>114</v>
      </c>
      <c r="I81" s="33" t="n">
        <v>219.38</v>
      </c>
      <c r="J81" s="32" t="inlineStr">
        <is>
          <t>Kumardubi</t>
        </is>
      </c>
      <c r="K81" s="32" t="inlineStr">
        <is>
          <t>N</t>
        </is>
      </c>
      <c r="L81" s="32" t="inlineStr">
        <is>
          <t>Non-Valid</t>
        </is>
      </c>
      <c r="M81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2">
      <c r="A82" s="32" t="inlineStr">
        <is>
          <t>1 Jul</t>
        </is>
      </c>
      <c r="B82" s="32" t="inlineStr">
        <is>
          <t>37405</t>
        </is>
      </c>
      <c r="C82" s="32" t="inlineStr">
        <is>
          <t>OS</t>
        </is>
      </c>
      <c r="D82" s="32" t="inlineStr">
        <is>
          <t>SR</t>
        </is>
      </c>
      <c r="E82" s="32" t="inlineStr">
        <is>
          <t>19:59:28</t>
        </is>
      </c>
      <c r="F82" s="32" t="inlineStr">
        <is>
          <t>19:59:40</t>
        </is>
      </c>
      <c r="G82" s="32" t="n">
        <v>12</v>
      </c>
      <c r="H82" s="32" t="n">
        <v>7</v>
      </c>
      <c r="I82" s="33" t="n">
        <v>0.96</v>
      </c>
      <c r="J82" s="32" t="inlineStr">
        <is>
          <t>Howrah</t>
        </is>
      </c>
      <c r="K82" s="32" t="inlineStr">
        <is>
          <t>N</t>
        </is>
      </c>
      <c r="L82" s="32" t="inlineStr">
        <is>
          <t>Non-Valid</t>
        </is>
      </c>
      <c r="M82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3">
      <c r="A83" s="32" t="inlineStr">
        <is>
          <t>1 Jul</t>
        </is>
      </c>
      <c r="B83" s="32" t="inlineStr">
        <is>
          <t>39411</t>
        </is>
      </c>
      <c r="C83" s="32" t="inlineStr">
        <is>
          <t>FS</t>
        </is>
      </c>
      <c r="D83" s="32" t="inlineStr">
        <is>
          <t>LS</t>
        </is>
      </c>
      <c r="E83" s="32" t="inlineStr">
        <is>
          <t>20:17:52</t>
        </is>
      </c>
      <c r="F83" s="32" t="inlineStr">
        <is>
          <t>20:18:04</t>
        </is>
      </c>
      <c r="G83" s="32" t="n">
        <v>12</v>
      </c>
      <c r="H83" s="32" t="n">
        <v>9</v>
      </c>
      <c r="I83" s="33" t="n">
        <v>81.14</v>
      </c>
      <c r="J83" s="32" t="inlineStr">
        <is>
          <t>Palla Road</t>
        </is>
      </c>
      <c r="K83" s="32" t="inlineStr">
        <is>
          <t>N</t>
        </is>
      </c>
      <c r="L83" s="32" t="inlineStr">
        <is>
          <t>Non-Valid</t>
        </is>
      </c>
      <c r="M83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84">
      <c r="A84" s="17" t="inlineStr">
        <is>
          <t>1 Jul</t>
        </is>
      </c>
      <c r="B84" s="17" t="inlineStr">
        <is>
          <t>37721</t>
        </is>
      </c>
      <c r="C84" s="17" t="inlineStr">
        <is>
          <t>FS</t>
        </is>
      </c>
      <c r="D84" s="17" t="inlineStr">
        <is>
          <t>SR</t>
        </is>
      </c>
      <c r="E84" s="17" t="inlineStr">
        <is>
          <t>20:48:26</t>
        </is>
      </c>
      <c r="F84" s="17" t="inlineStr">
        <is>
          <t>20:49:02</t>
        </is>
      </c>
      <c r="G84" s="17" t="n">
        <v>36</v>
      </c>
      <c r="H84" s="17" t="n">
        <v>17</v>
      </c>
      <c r="I84" s="36" t="n">
        <v>197.99</v>
      </c>
      <c r="J84" s="17" t="inlineStr">
        <is>
          <t>Asansol</t>
        </is>
      </c>
      <c r="K84" s="17" t="inlineStr">
        <is>
          <t>U</t>
        </is>
      </c>
      <c r="L84" s="17" t="inlineStr">
        <is>
          <t>Valid</t>
        </is>
      </c>
      <c r="M84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5">
      <c r="A85" s="17" t="inlineStr">
        <is>
          <t>1 Jul</t>
        </is>
      </c>
      <c r="B85" s="17" t="inlineStr">
        <is>
          <t>37777</t>
        </is>
      </c>
      <c r="C85" s="17" t="inlineStr">
        <is>
          <t>FS</t>
        </is>
      </c>
      <c r="D85" s="17" t="inlineStr">
        <is>
          <t>SR</t>
        </is>
      </c>
      <c r="E85" s="17" t="inlineStr">
        <is>
          <t>20:49:16</t>
        </is>
      </c>
      <c r="F85" s="17" t="inlineStr">
        <is>
          <t>20:49:16</t>
        </is>
      </c>
      <c r="G85" s="17" t="n">
        <v>0</v>
      </c>
      <c r="H85" s="17" t="n">
        <v>1</v>
      </c>
      <c r="I85" s="36" t="n">
        <v>244.06</v>
      </c>
      <c r="J85" s="17" t="inlineStr">
        <is>
          <t>Chhota Ambana</t>
        </is>
      </c>
      <c r="K85" s="17" t="inlineStr">
        <is>
          <t>N</t>
        </is>
      </c>
      <c r="L85" s="17" t="inlineStr">
        <is>
          <t>Valid</t>
        </is>
      </c>
      <c r="M85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6">
      <c r="A86" s="17" t="inlineStr">
        <is>
          <t>1 Jul</t>
        </is>
      </c>
      <c r="B86" s="17" t="inlineStr">
        <is>
          <t>37777</t>
        </is>
      </c>
      <c r="C86" s="17" t="inlineStr">
        <is>
          <t>FS</t>
        </is>
      </c>
      <c r="D86" s="17" t="inlineStr">
        <is>
          <t>SR</t>
        </is>
      </c>
      <c r="E86" s="17" t="inlineStr">
        <is>
          <t>20:49:18</t>
        </is>
      </c>
      <c r="F86" s="17" t="inlineStr">
        <is>
          <t>20:49:56</t>
        </is>
      </c>
      <c r="G86" s="17" t="n">
        <v>38</v>
      </c>
      <c r="H86" s="17" t="n">
        <v>33</v>
      </c>
      <c r="I86" s="36" t="n">
        <v>244.09</v>
      </c>
      <c r="J86" s="17" t="inlineStr">
        <is>
          <t>Chhota Ambana</t>
        </is>
      </c>
      <c r="K86" s="17" t="inlineStr">
        <is>
          <t>N</t>
        </is>
      </c>
      <c r="L86" s="17" t="inlineStr">
        <is>
          <t>Valid</t>
        </is>
      </c>
      <c r="M86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7">
      <c r="A87" s="32" t="inlineStr">
        <is>
          <t>1 Jul</t>
        </is>
      </c>
      <c r="B87" s="32" t="inlineStr">
        <is>
          <t>30503</t>
        </is>
      </c>
      <c r="C87" s="32" t="inlineStr">
        <is>
          <t>FS</t>
        </is>
      </c>
      <c r="D87" s="32" t="inlineStr">
        <is>
          <t>SR</t>
        </is>
      </c>
      <c r="E87" s="32" t="inlineStr">
        <is>
          <t>20:59:14</t>
        </is>
      </c>
      <c r="F87" s="32" t="inlineStr">
        <is>
          <t>20:59:14</t>
        </is>
      </c>
      <c r="G87" s="32" t="n">
        <v>0</v>
      </c>
      <c r="H87" s="32" t="n">
        <v>1</v>
      </c>
      <c r="I87" s="33" t="n">
        <v>244.05</v>
      </c>
      <c r="J87" s="32" t="inlineStr">
        <is>
          <t>Chhota Ambana</t>
        </is>
      </c>
      <c r="K87" s="32" t="inlineStr">
        <is>
          <t>N</t>
        </is>
      </c>
      <c r="L87" s="32" t="inlineStr">
        <is>
          <t>Non-Valid</t>
        </is>
      </c>
      <c r="M87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8">
      <c r="A88" s="32" t="inlineStr">
        <is>
          <t>1 Jul</t>
        </is>
      </c>
      <c r="B88" s="32" t="inlineStr">
        <is>
          <t>30503</t>
        </is>
      </c>
      <c r="C88" s="32" t="inlineStr">
        <is>
          <t>FS</t>
        </is>
      </c>
      <c r="D88" s="32" t="inlineStr">
        <is>
          <t>SR</t>
        </is>
      </c>
      <c r="E88" s="32" t="inlineStr">
        <is>
          <t>20:59:16</t>
        </is>
      </c>
      <c r="F88" s="32" t="inlineStr">
        <is>
          <t>20:59:58</t>
        </is>
      </c>
      <c r="G88" s="32" t="n">
        <v>42</v>
      </c>
      <c r="H88" s="32" t="n">
        <v>36</v>
      </c>
      <c r="I88" s="33" t="n">
        <v>244.07</v>
      </c>
      <c r="J88" s="32" t="inlineStr">
        <is>
          <t>Chhota Ambana</t>
        </is>
      </c>
      <c r="K88" s="32" t="inlineStr">
        <is>
          <t>N</t>
        </is>
      </c>
      <c r="L88" s="32" t="inlineStr">
        <is>
          <t>Non-Valid</t>
        </is>
      </c>
      <c r="M88" s="17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89">
      <c r="A89" s="32" t="inlineStr">
        <is>
          <t>1 Jul</t>
        </is>
      </c>
      <c r="B89" s="32" t="inlineStr">
        <is>
          <t>37405</t>
        </is>
      </c>
      <c r="C89" s="32" t="inlineStr">
        <is>
          <t>FS</t>
        </is>
      </c>
      <c r="D89" s="32" t="inlineStr">
        <is>
          <t>SR</t>
        </is>
      </c>
      <c r="E89" s="32" t="inlineStr">
        <is>
          <t>21:11:20</t>
        </is>
      </c>
      <c r="F89" s="32" t="inlineStr">
        <is>
          <t>21:13:00</t>
        </is>
      </c>
      <c r="G89" s="32" t="n">
        <v>100</v>
      </c>
      <c r="H89" s="32" t="n">
        <v>50</v>
      </c>
      <c r="I89" s="33" t="n">
        <v>94.89</v>
      </c>
      <c r="J89" s="32" t="inlineStr">
        <is>
          <t>Barddhaman Jn</t>
        </is>
      </c>
      <c r="K89" s="32" t="inlineStr">
        <is>
          <t>U</t>
        </is>
      </c>
      <c r="L89" s="32" t="inlineStr">
        <is>
          <t>Non-Valid</t>
        </is>
      </c>
      <c r="M89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</t>
        </is>
      </c>
    </row>
    <row r="90">
      <c r="A90" s="17" t="inlineStr">
        <is>
          <t>1 Jul</t>
        </is>
      </c>
      <c r="B90" s="17" t="inlineStr">
        <is>
          <t>37721</t>
        </is>
      </c>
      <c r="C90" s="17" t="inlineStr">
        <is>
          <t>FS</t>
        </is>
      </c>
      <c r="D90" s="17" t="inlineStr">
        <is>
          <t>SR</t>
        </is>
      </c>
      <c r="E90" s="17" t="inlineStr">
        <is>
          <t>21:31:32</t>
        </is>
      </c>
      <c r="F90" s="17" t="inlineStr">
        <is>
          <t>21:31:32</t>
        </is>
      </c>
      <c r="G90" s="17" t="n">
        <v>0</v>
      </c>
      <c r="H90" s="17" t="n">
        <v>1</v>
      </c>
      <c r="I90" s="36" t="n">
        <v>218.4</v>
      </c>
      <c r="J90" s="17" t="inlineStr">
        <is>
          <t>Barakar</t>
        </is>
      </c>
      <c r="K90" s="17" t="inlineStr">
        <is>
          <t>U</t>
        </is>
      </c>
      <c r="L90" s="17" t="inlineStr">
        <is>
          <t>Valid</t>
        </is>
      </c>
      <c r="M90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1">
      <c r="A91" s="17" t="inlineStr">
        <is>
          <t>1 Jul</t>
        </is>
      </c>
      <c r="B91" s="17" t="inlineStr">
        <is>
          <t>37721</t>
        </is>
      </c>
      <c r="C91" s="17" t="inlineStr">
        <is>
          <t>FS</t>
        </is>
      </c>
      <c r="D91" s="17" t="inlineStr">
        <is>
          <t>SR</t>
        </is>
      </c>
      <c r="E91" s="17" t="inlineStr">
        <is>
          <t>21:31:34</t>
        </is>
      </c>
      <c r="F91" s="17" t="inlineStr">
        <is>
          <t>21:32:08</t>
        </is>
      </c>
      <c r="G91" s="17" t="n">
        <v>34</v>
      </c>
      <c r="H91" s="17" t="n">
        <v>20</v>
      </c>
      <c r="I91" s="36" t="n">
        <v>218.57</v>
      </c>
      <c r="J91" s="17" t="inlineStr">
        <is>
          <t>Barakar</t>
        </is>
      </c>
      <c r="K91" s="17" t="inlineStr">
        <is>
          <t>U</t>
        </is>
      </c>
      <c r="L91" s="17" t="inlineStr">
        <is>
          <t>Valid</t>
        </is>
      </c>
      <c r="M91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2">
      <c r="A92" s="17" t="inlineStr">
        <is>
          <t>1 Jul</t>
        </is>
      </c>
      <c r="B92" s="17" t="inlineStr">
        <is>
          <t>37721</t>
        </is>
      </c>
      <c r="C92" s="17" t="inlineStr">
        <is>
          <t>OS</t>
        </is>
      </c>
      <c r="D92" s="17" t="inlineStr">
        <is>
          <t>SR</t>
        </is>
      </c>
      <c r="E92" s="17" t="inlineStr">
        <is>
          <t>21:32:10</t>
        </is>
      </c>
      <c r="F92" s="17" t="inlineStr">
        <is>
          <t>21:32:10</t>
        </is>
      </c>
      <c r="G92" s="17" t="n">
        <v>0</v>
      </c>
      <c r="H92" s="17" t="n">
        <v>1</v>
      </c>
      <c r="I92" s="36" t="n">
        <v>218.86</v>
      </c>
      <c r="J92" s="17" t="inlineStr">
        <is>
          <t>Kumardubi</t>
        </is>
      </c>
      <c r="K92" s="17" t="inlineStr">
        <is>
          <t>N</t>
        </is>
      </c>
      <c r="L92" s="17" t="inlineStr">
        <is>
          <t>Valid</t>
        </is>
      </c>
      <c r="M92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3">
      <c r="A93" s="17" t="inlineStr">
        <is>
          <t>1 Jul</t>
        </is>
      </c>
      <c r="B93" s="17" t="inlineStr">
        <is>
          <t>37721</t>
        </is>
      </c>
      <c r="C93" s="17" t="inlineStr">
        <is>
          <t>FS</t>
        </is>
      </c>
      <c r="D93" s="17" t="inlineStr">
        <is>
          <t>SR</t>
        </is>
      </c>
      <c r="E93" s="17" t="inlineStr">
        <is>
          <t>21:35:58</t>
        </is>
      </c>
      <c r="F93" s="17" t="inlineStr">
        <is>
          <t>21:36:34</t>
        </is>
      </c>
      <c r="G93" s="17" t="n">
        <v>36</v>
      </c>
      <c r="H93" s="17" t="n">
        <v>19</v>
      </c>
      <c r="I93" s="36" t="n">
        <v>223.88</v>
      </c>
      <c r="J93" s="17" t="inlineStr">
        <is>
          <t>Mugma</t>
        </is>
      </c>
      <c r="K93" s="17" t="inlineStr">
        <is>
          <t>U</t>
        </is>
      </c>
      <c r="L93" s="17" t="inlineStr">
        <is>
          <t>Valid</t>
        </is>
      </c>
      <c r="M93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4">
      <c r="A94" s="17" t="inlineStr">
        <is>
          <t>1 Jul</t>
        </is>
      </c>
      <c r="B94" s="17" t="inlineStr">
        <is>
          <t>37721</t>
        </is>
      </c>
      <c r="C94" s="17" t="inlineStr">
        <is>
          <t>OS</t>
        </is>
      </c>
      <c r="D94" s="17" t="inlineStr">
        <is>
          <t>SR</t>
        </is>
      </c>
      <c r="E94" s="17" t="inlineStr">
        <is>
          <t>21:36:36</t>
        </is>
      </c>
      <c r="F94" s="17" t="inlineStr">
        <is>
          <t>21:36:36</t>
        </is>
      </c>
      <c r="G94" s="17" t="n">
        <v>0</v>
      </c>
      <c r="H94" s="17" t="n">
        <v>1</v>
      </c>
      <c r="I94" s="36" t="n">
        <v>224.55</v>
      </c>
      <c r="J94" s="17" t="inlineStr">
        <is>
          <t>Mugma</t>
        </is>
      </c>
      <c r="K94" s="17" t="inlineStr">
        <is>
          <t>N</t>
        </is>
      </c>
      <c r="L94" s="17" t="inlineStr">
        <is>
          <t>Valid</t>
        </is>
      </c>
      <c r="M94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5">
      <c r="A95" s="17" t="inlineStr">
        <is>
          <t>1 Jul</t>
        </is>
      </c>
      <c r="B95" s="17" t="inlineStr">
        <is>
          <t>35003</t>
        </is>
      </c>
      <c r="C95" s="17" t="inlineStr">
        <is>
          <t>FS</t>
        </is>
      </c>
      <c r="D95" s="17" t="inlineStr">
        <is>
          <t>SR</t>
        </is>
      </c>
      <c r="E95" s="17" t="inlineStr">
        <is>
          <t>21:51:12</t>
        </is>
      </c>
      <c r="F95" s="17" t="inlineStr">
        <is>
          <t>21:51:12</t>
        </is>
      </c>
      <c r="G95" s="17" t="n">
        <v>0</v>
      </c>
      <c r="H95" s="17" t="n">
        <v>1</v>
      </c>
      <c r="I95" s="36" t="n">
        <v>244.07</v>
      </c>
      <c r="J95" s="17" t="inlineStr">
        <is>
          <t>Chhota Ambana</t>
        </is>
      </c>
      <c r="K95" s="17" t="inlineStr">
        <is>
          <t>N</t>
        </is>
      </c>
      <c r="L95" s="17" t="inlineStr">
        <is>
          <t>Valid</t>
        </is>
      </c>
      <c r="M95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6">
      <c r="A96" s="17" t="inlineStr">
        <is>
          <t>1 Jul</t>
        </is>
      </c>
      <c r="B96" s="17" t="inlineStr">
        <is>
          <t>35003</t>
        </is>
      </c>
      <c r="C96" s="17" t="inlineStr">
        <is>
          <t>FS</t>
        </is>
      </c>
      <c r="D96" s="17" t="inlineStr">
        <is>
          <t>SR</t>
        </is>
      </c>
      <c r="E96" s="17" t="inlineStr">
        <is>
          <t>21:51:14</t>
        </is>
      </c>
      <c r="F96" s="17" t="inlineStr">
        <is>
          <t>21:51:38</t>
        </is>
      </c>
      <c r="G96" s="17" t="n">
        <v>24</v>
      </c>
      <c r="H96" s="17" t="n">
        <v>20</v>
      </c>
      <c r="I96" s="36" t="n">
        <v>244.14</v>
      </c>
      <c r="J96" s="17" t="inlineStr">
        <is>
          <t>Chhota Ambana</t>
        </is>
      </c>
      <c r="K96" s="17" t="inlineStr">
        <is>
          <t>N</t>
        </is>
      </c>
      <c r="L96" s="17" t="inlineStr">
        <is>
          <t>Valid</t>
        </is>
      </c>
      <c r="M96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7">
      <c r="A97" s="17" t="inlineStr">
        <is>
          <t>1 Jul</t>
        </is>
      </c>
      <c r="B97" s="17" t="inlineStr">
        <is>
          <t>37721</t>
        </is>
      </c>
      <c r="C97" s="17" t="inlineStr">
        <is>
          <t>FS</t>
        </is>
      </c>
      <c r="D97" s="17" t="inlineStr">
        <is>
          <t>SR</t>
        </is>
      </c>
      <c r="E97" s="17" t="inlineStr">
        <is>
          <t>21:58:16</t>
        </is>
      </c>
      <c r="F97" s="17" t="inlineStr">
        <is>
          <t>21:58:46</t>
        </is>
      </c>
      <c r="G97" s="17" t="n">
        <v>30</v>
      </c>
      <c r="H97" s="17" t="n">
        <v>32</v>
      </c>
      <c r="I97" s="36" t="n">
        <v>244.08</v>
      </c>
      <c r="J97" s="17" t="inlineStr">
        <is>
          <t>Chhota Ambana</t>
        </is>
      </c>
      <c r="K97" s="17" t="inlineStr">
        <is>
          <t>N</t>
        </is>
      </c>
      <c r="L97" s="17" t="inlineStr">
        <is>
          <t>Valid</t>
        </is>
      </c>
      <c r="M97" s="17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LC-12, Chhota Ambana</t>
        </is>
      </c>
    </row>
    <row r="98">
      <c r="A98" s="32" t="inlineStr">
        <is>
          <t>1 Jul</t>
        </is>
      </c>
      <c r="B98" s="32" t="inlineStr">
        <is>
          <t>30200</t>
        </is>
      </c>
      <c r="C98" s="32" t="inlineStr">
        <is>
          <t>OS</t>
        </is>
      </c>
      <c r="D98" s="32" t="inlineStr">
        <is>
          <t>SR</t>
        </is>
      </c>
      <c r="E98" s="32" t="inlineStr">
        <is>
          <t>22:56:26</t>
        </is>
      </c>
      <c r="F98" s="32" t="inlineStr">
        <is>
          <t>22:56:26</t>
        </is>
      </c>
      <c r="G98" s="32" t="n">
        <v>0</v>
      </c>
      <c r="H98" s="32" t="n">
        <v>1</v>
      </c>
      <c r="I98" s="33" t="n">
        <v>0.4</v>
      </c>
      <c r="J98" s="32" t="inlineStr">
        <is>
          <t>Howrah</t>
        </is>
      </c>
      <c r="K98" s="32" t="inlineStr">
        <is>
          <t>N</t>
        </is>
      </c>
      <c r="L98" s="32" t="inlineStr">
        <is>
          <t>Non-Valid</t>
        </is>
      </c>
      <c r="M98" s="17" t="inlineStr">
        <is>
          <t>Howrah</t>
        </is>
      </c>
    </row>
    <row r="99">
      <c r="A99" s="32" t="inlineStr">
        <is>
          <t>1 Jul</t>
        </is>
      </c>
      <c r="B99" s="32" t="inlineStr">
        <is>
          <t>30200</t>
        </is>
      </c>
      <c r="C99" s="32" t="inlineStr">
        <is>
          <t>OS</t>
        </is>
      </c>
      <c r="D99" s="32" t="inlineStr">
        <is>
          <t>SR</t>
        </is>
      </c>
      <c r="E99" s="32" t="inlineStr">
        <is>
          <t>23:05:14</t>
        </is>
      </c>
      <c r="F99" s="32" t="inlineStr">
        <is>
          <t>23:05:32</t>
        </is>
      </c>
      <c r="G99" s="32" t="n">
        <v>18</v>
      </c>
      <c r="H99" s="32" t="n">
        <v>11</v>
      </c>
      <c r="I99" s="33" t="n">
        <v>0.85</v>
      </c>
      <c r="J99" s="32" t="inlineStr">
        <is>
          <t>Howrah</t>
        </is>
      </c>
      <c r="K99" s="32" t="inlineStr">
        <is>
          <t>N</t>
        </is>
      </c>
      <c r="L99" s="32" t="inlineStr">
        <is>
          <t>Non-Valid</t>
        </is>
      </c>
      <c r="M99" s="17" t="inlineStr">
        <is>
          <t>Howrah</t>
        </is>
      </c>
    </row>
    <row r="100">
      <c r="A100" s="32" t="inlineStr">
        <is>
          <t>1 Jul</t>
        </is>
      </c>
      <c r="B100" s="32" t="inlineStr">
        <is>
          <t>30200</t>
        </is>
      </c>
      <c r="C100" s="32" t="inlineStr">
        <is>
          <t>OS</t>
        </is>
      </c>
      <c r="D100" s="32" t="inlineStr">
        <is>
          <t>SR</t>
        </is>
      </c>
      <c r="E100" s="32" t="inlineStr">
        <is>
          <t>23:14:30</t>
        </is>
      </c>
      <c r="F100" s="32" t="inlineStr">
        <is>
          <t>23:14:30</t>
        </is>
      </c>
      <c r="G100" s="32" t="n">
        <v>0</v>
      </c>
      <c r="H100" s="32" t="n">
        <v>1</v>
      </c>
      <c r="I100" s="33" t="n">
        <v>0.34</v>
      </c>
      <c r="J100" s="32" t="inlineStr">
        <is>
          <t>Howrah</t>
        </is>
      </c>
      <c r="K100" s="32" t="inlineStr">
        <is>
          <t>R</t>
        </is>
      </c>
      <c r="L100" s="32" t="inlineStr">
        <is>
          <t>Non-Valid</t>
        </is>
      </c>
      <c r="M100" s="17" t="inlineStr">
        <is>
          <t>Howrah</t>
        </is>
      </c>
    </row>
    <row r="101">
      <c r="A101" s="32" t="inlineStr">
        <is>
          <t>1 Jul</t>
        </is>
      </c>
      <c r="B101" s="32" t="inlineStr">
        <is>
          <t>30200</t>
        </is>
      </c>
      <c r="C101" s="32" t="inlineStr">
        <is>
          <t>OS</t>
        </is>
      </c>
      <c r="D101" s="32" t="inlineStr">
        <is>
          <t>SR</t>
        </is>
      </c>
      <c r="E101" s="32" t="inlineStr">
        <is>
          <t>23:14:32</t>
        </is>
      </c>
      <c r="F101" s="32" t="inlineStr">
        <is>
          <t>23:14:58</t>
        </is>
      </c>
      <c r="G101" s="32" t="n">
        <v>26</v>
      </c>
      <c r="H101" s="32" t="n">
        <v>21</v>
      </c>
      <c r="I101" s="33" t="n">
        <v>0.33</v>
      </c>
      <c r="J101" s="32" t="inlineStr">
        <is>
          <t>Howrah</t>
        </is>
      </c>
      <c r="K101" s="32" t="inlineStr">
        <is>
          <t>R</t>
        </is>
      </c>
      <c r="L101" s="32" t="inlineStr">
        <is>
          <t>Non-Valid</t>
        </is>
      </c>
      <c r="M101" s="17" t="inlineStr">
        <is>
          <t>Howrah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14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3"/>
    <row r="4" ht="34" customHeight="1">
      <c r="A4" s="15" t="inlineStr">
        <is>
          <t>Date</t>
        </is>
      </c>
      <c r="B4" s="15" t="inlineStr">
        <is>
          <t>Loco ID</t>
        </is>
      </c>
      <c r="C4" s="15" t="inlineStr">
        <is>
          <t>Total pkts</t>
        </is>
      </c>
      <c r="D4" s="15" t="inlineStr">
        <is>
          <t>Valid-abs pkts</t>
        </is>
      </c>
      <c r="E4" s="15" t="inlineStr">
        <is>
          <t>In-section pkts</t>
        </is>
      </c>
      <c r="F4" s="15" t="inlineStr">
        <is>
          <t>Raw Min Abs</t>
        </is>
      </c>
      <c r="G4" s="15" t="inlineStr">
        <is>
          <t>Raw Max Abs</t>
        </is>
      </c>
      <c r="H4" s="15" t="inlineStr">
        <is>
          <t>In-sec Min Abs</t>
        </is>
      </c>
      <c r="I4" s="15" t="inlineStr">
        <is>
          <t>In-sec Max Abs</t>
        </is>
      </c>
      <c r="J4" s="15" t="inlineStr">
        <is>
          <t>KM = (Max-Min)/1000</t>
        </is>
      </c>
      <c r="K4" s="15" t="inlineStr">
        <is>
          <t>In Report?</t>
        </is>
      </c>
      <c r="L4" s="15" t="inlineStr">
        <is>
          <t>Stations Passed (of 60)</t>
        </is>
      </c>
      <c r="M4" s="15" t="inlineStr">
        <is>
          <t>Stations Not Passed (if &lt; full trip)</t>
        </is>
      </c>
    </row>
    <row r="5">
      <c r="A5" s="17" t="inlineStr">
        <is>
          <t>1 Jul</t>
        </is>
      </c>
      <c r="B5" s="17" t="inlineStr">
        <is>
          <t>35003</t>
        </is>
      </c>
      <c r="C5" s="17" t="n">
        <v>25560</v>
      </c>
      <c r="D5" s="17" t="n">
        <v>25532</v>
      </c>
      <c r="E5" s="17" t="n">
        <v>25275</v>
      </c>
      <c r="F5" s="37" t="n">
        <v>36</v>
      </c>
      <c r="G5" s="37" t="n">
        <v>246089</v>
      </c>
      <c r="H5" s="37" t="n">
        <v>343</v>
      </c>
      <c r="I5" s="37" t="n">
        <v>244369</v>
      </c>
      <c r="J5" s="20">
        <f>(I5-H5)/1000</f>
        <v/>
      </c>
      <c r="K5" s="17" t="inlineStr">
        <is>
          <t>Yes</t>
        </is>
      </c>
      <c r="L5" s="17" t="n">
        <v>60</v>
      </c>
      <c r="M5" s="38" t="inlineStr">
        <is>
          <t>- (full trip)</t>
        </is>
      </c>
    </row>
    <row r="6">
      <c r="A6" s="17" t="inlineStr">
        <is>
          <t>1 Jul</t>
        </is>
      </c>
      <c r="B6" s="17" t="inlineStr">
        <is>
          <t>37777</t>
        </is>
      </c>
      <c r="C6" s="17" t="n">
        <v>16281</v>
      </c>
      <c r="D6" s="17" t="n">
        <v>16233</v>
      </c>
      <c r="E6" s="17" t="n">
        <v>16031</v>
      </c>
      <c r="F6" s="37" t="n">
        <v>31</v>
      </c>
      <c r="G6" s="37" t="n">
        <v>244631</v>
      </c>
      <c r="H6" s="37" t="n">
        <v>342</v>
      </c>
      <c r="I6" s="37" t="n">
        <v>244372</v>
      </c>
      <c r="J6" s="20">
        <f>(I6-H6)/1000</f>
        <v/>
      </c>
      <c r="K6" s="17" t="inlineStr">
        <is>
          <t>Yes</t>
        </is>
      </c>
      <c r="L6" s="17" t="n">
        <v>60</v>
      </c>
      <c r="M6" s="38" t="inlineStr">
        <is>
          <t>- (full trip)</t>
        </is>
      </c>
    </row>
    <row r="7">
      <c r="A7" s="17" t="inlineStr">
        <is>
          <t>1 Jul</t>
        </is>
      </c>
      <c r="B7" s="17" t="inlineStr">
        <is>
          <t>37401</t>
        </is>
      </c>
      <c r="C7" s="17" t="n">
        <v>8863</v>
      </c>
      <c r="D7" s="17" t="n">
        <v>8844</v>
      </c>
      <c r="E7" s="17" t="n">
        <v>8844</v>
      </c>
      <c r="F7" s="37" t="n">
        <v>444</v>
      </c>
      <c r="G7" s="37" t="n">
        <v>244360</v>
      </c>
      <c r="H7" s="37" t="n">
        <v>444</v>
      </c>
      <c r="I7" s="37" t="n">
        <v>244360</v>
      </c>
      <c r="J7" s="20">
        <f>(I7-H7)/1000</f>
        <v/>
      </c>
      <c r="K7" s="17" t="inlineStr">
        <is>
          <t>Yes</t>
        </is>
      </c>
      <c r="L7" s="17" t="n">
        <v>60</v>
      </c>
      <c r="M7" s="38" t="inlineStr">
        <is>
          <t>- (full trip)</t>
        </is>
      </c>
    </row>
    <row r="8">
      <c r="A8" s="17" t="inlineStr">
        <is>
          <t>1 Jul</t>
        </is>
      </c>
      <c r="B8" s="17" t="inlineStr">
        <is>
          <t>37358</t>
        </is>
      </c>
      <c r="C8" s="17" t="n">
        <v>10270</v>
      </c>
      <c r="D8" s="17" t="n">
        <v>10243</v>
      </c>
      <c r="E8" s="17" t="n">
        <v>10234</v>
      </c>
      <c r="F8" s="37" t="n">
        <v>688</v>
      </c>
      <c r="G8" s="37" t="n">
        <v>244615</v>
      </c>
      <c r="H8" s="37" t="n">
        <v>688</v>
      </c>
      <c r="I8" s="37" t="n">
        <v>244358</v>
      </c>
      <c r="J8" s="20">
        <f>(I8-H8)/1000</f>
        <v/>
      </c>
      <c r="K8" s="17" t="inlineStr">
        <is>
          <t>Yes</t>
        </is>
      </c>
      <c r="L8" s="17" t="n">
        <v>60</v>
      </c>
      <c r="M8" s="38" t="inlineStr">
        <is>
          <t>- (full trip)</t>
        </is>
      </c>
    </row>
    <row r="9">
      <c r="A9" s="17" t="inlineStr">
        <is>
          <t>1 Jul</t>
        </is>
      </c>
      <c r="B9" s="17" t="inlineStr">
        <is>
          <t>37721</t>
        </is>
      </c>
      <c r="C9" s="17" t="n">
        <v>12166</v>
      </c>
      <c r="D9" s="17" t="n">
        <v>12139</v>
      </c>
      <c r="E9" s="17" t="n">
        <v>12126</v>
      </c>
      <c r="F9" s="37" t="n">
        <v>742</v>
      </c>
      <c r="G9" s="37" t="n">
        <v>244630</v>
      </c>
      <c r="H9" s="37" t="n">
        <v>742</v>
      </c>
      <c r="I9" s="37" t="n">
        <v>244367</v>
      </c>
      <c r="J9" s="20">
        <f>(I9-H9)/1000</f>
        <v/>
      </c>
      <c r="K9" s="17" t="inlineStr">
        <is>
          <t>Yes</t>
        </is>
      </c>
      <c r="L9" s="17" t="n">
        <v>60</v>
      </c>
      <c r="M9" s="38" t="inlineStr">
        <is>
          <t>- (full trip)</t>
        </is>
      </c>
    </row>
    <row r="10">
      <c r="A10" s="17" t="inlineStr">
        <is>
          <t>1 Jul</t>
        </is>
      </c>
      <c r="B10" s="17" t="inlineStr">
        <is>
          <t>30503</t>
        </is>
      </c>
      <c r="C10" s="17" t="n">
        <v>13888</v>
      </c>
      <c r="D10" s="17" t="n">
        <v>13855</v>
      </c>
      <c r="E10" s="17" t="n">
        <v>13843</v>
      </c>
      <c r="F10" s="37" t="n">
        <v>12125</v>
      </c>
      <c r="G10" s="37" t="n">
        <v>244605</v>
      </c>
      <c r="H10" s="37" t="n">
        <v>12125</v>
      </c>
      <c r="I10" s="37" t="n">
        <v>244372</v>
      </c>
      <c r="J10" s="20">
        <f>(I10-H10)/1000</f>
        <v/>
      </c>
      <c r="K10" s="17" t="inlineStr">
        <is>
          <t>Yes</t>
        </is>
      </c>
      <c r="L10" s="17" t="n">
        <v>55</v>
      </c>
      <c r="M10" s="38" t="inlineStr">
        <is>
          <t>Howrah, Howrah Sorting Yard, Liluah, Belur, Bally</t>
        </is>
      </c>
    </row>
    <row r="11">
      <c r="A11" s="17" t="inlineStr">
        <is>
          <t>1 Jul</t>
        </is>
      </c>
      <c r="B11" s="17" t="inlineStr">
        <is>
          <t>37610</t>
        </is>
      </c>
      <c r="C11" s="17" t="n">
        <v>11250</v>
      </c>
      <c r="D11" s="17" t="n">
        <v>11236</v>
      </c>
      <c r="E11" s="17" t="n">
        <v>11175</v>
      </c>
      <c r="F11" s="37" t="n">
        <v>12120</v>
      </c>
      <c r="G11" s="37" t="n">
        <v>246089</v>
      </c>
      <c r="H11" s="37" t="n">
        <v>12120</v>
      </c>
      <c r="I11" s="37" t="n">
        <v>244369</v>
      </c>
      <c r="J11" s="20">
        <f>(I11-H11)/1000</f>
        <v/>
      </c>
      <c r="K11" s="17" t="inlineStr">
        <is>
          <t>Yes</t>
        </is>
      </c>
      <c r="L11" s="17" t="n">
        <v>55</v>
      </c>
      <c r="M11" s="38" t="inlineStr">
        <is>
          <t>Howrah, Howrah Sorting Yard, Liluah, Belur, Bally</t>
        </is>
      </c>
    </row>
    <row r="12">
      <c r="A12" s="17" t="inlineStr">
        <is>
          <t>1 Jul</t>
        </is>
      </c>
      <c r="B12" s="17" t="inlineStr">
        <is>
          <t>37360</t>
        </is>
      </c>
      <c r="C12" s="17" t="n">
        <v>8955</v>
      </c>
      <c r="D12" s="17" t="n">
        <v>8949</v>
      </c>
      <c r="E12" s="17" t="n">
        <v>8940</v>
      </c>
      <c r="F12" s="37" t="n">
        <v>12130</v>
      </c>
      <c r="G12" s="37" t="n">
        <v>244614</v>
      </c>
      <c r="H12" s="37" t="n">
        <v>12130</v>
      </c>
      <c r="I12" s="37" t="n">
        <v>244330</v>
      </c>
      <c r="J12" s="20">
        <f>(I12-H12)/1000</f>
        <v/>
      </c>
      <c r="K12" s="17" t="inlineStr">
        <is>
          <t>Yes</t>
        </is>
      </c>
      <c r="L12" s="17" t="n">
        <v>55</v>
      </c>
      <c r="M12" s="38" t="inlineStr">
        <is>
          <t>Howrah, Howrah Sorting Yard, Liluah, Belur, Bally</t>
        </is>
      </c>
    </row>
    <row r="13">
      <c r="A13" s="17" t="inlineStr">
        <is>
          <t>1 Jul</t>
        </is>
      </c>
      <c r="B13" s="17" t="inlineStr">
        <is>
          <t>30322</t>
        </is>
      </c>
      <c r="C13" s="17" t="n">
        <v>11234</v>
      </c>
      <c r="D13" s="17" t="n">
        <v>11225</v>
      </c>
      <c r="E13" s="17" t="n">
        <v>11161</v>
      </c>
      <c r="F13" s="37" t="n">
        <v>12719</v>
      </c>
      <c r="G13" s="37" t="n">
        <v>246062</v>
      </c>
      <c r="H13" s="37" t="n">
        <v>12719</v>
      </c>
      <c r="I13" s="37" t="n">
        <v>244369</v>
      </c>
      <c r="J13" s="20">
        <f>(I13-H13)/1000</f>
        <v/>
      </c>
      <c r="K13" s="17" t="inlineStr">
        <is>
          <t>Yes</t>
        </is>
      </c>
      <c r="L13" s="17" t="n">
        <v>55</v>
      </c>
      <c r="M13" s="38" t="inlineStr">
        <is>
          <t>Howrah, Howrah Sorting Yard, Liluah, Belur, Bally</t>
        </is>
      </c>
    </row>
    <row r="14">
      <c r="A14" s="17" t="inlineStr">
        <is>
          <t>1 Jul</t>
        </is>
      </c>
      <c r="B14" s="17" t="inlineStr">
        <is>
          <t>30455</t>
        </is>
      </c>
      <c r="C14" s="17" t="n">
        <v>9907</v>
      </c>
      <c r="D14" s="17" t="n">
        <v>9902</v>
      </c>
      <c r="E14" s="17" t="n">
        <v>9902</v>
      </c>
      <c r="F14" s="37" t="n">
        <v>12123</v>
      </c>
      <c r="G14" s="37" t="n">
        <v>243323</v>
      </c>
      <c r="H14" s="37" t="n">
        <v>12123</v>
      </c>
      <c r="I14" s="37" t="n">
        <v>243323</v>
      </c>
      <c r="J14" s="20">
        <f>(I14-H14)/1000</f>
        <v/>
      </c>
      <c r="K14" s="17" t="inlineStr">
        <is>
          <t>Yes</t>
        </is>
      </c>
      <c r="L14" s="17" t="n">
        <v>55</v>
      </c>
      <c r="M14" s="38" t="inlineStr">
        <is>
          <t>Howrah, Howrah Sorting Yard, Liluah, Belur, Bally</t>
        </is>
      </c>
    </row>
    <row r="15" ht="34" customHeight="1">
      <c r="A15" s="17" t="inlineStr">
        <is>
          <t>1 Jul</t>
        </is>
      </c>
      <c r="B15" s="17" t="inlineStr">
        <is>
          <t>37025</t>
        </is>
      </c>
      <c r="C15" s="17" t="n">
        <v>8137</v>
      </c>
      <c r="D15" s="17" t="n">
        <v>8129</v>
      </c>
      <c r="E15" s="17" t="n">
        <v>8120</v>
      </c>
      <c r="F15" s="37" t="n">
        <v>27168</v>
      </c>
      <c r="G15" s="37" t="n">
        <v>244626</v>
      </c>
      <c r="H15" s="37" t="n">
        <v>27168</v>
      </c>
      <c r="I15" s="37" t="n">
        <v>244353</v>
      </c>
      <c r="J15" s="20">
        <f>(I15-H15)/1000</f>
        <v/>
      </c>
      <c r="K15" s="17" t="inlineStr">
        <is>
          <t>Yes</t>
        </is>
      </c>
      <c r="L15" s="17" t="n">
        <v>51</v>
      </c>
      <c r="M15" s="38" t="inlineStr">
        <is>
          <t>Howrah, Howrah Sorting Yard, Liluah, Belur, Bally, Belanagar, Dankuni, Janai Road</t>
        </is>
      </c>
    </row>
    <row r="16">
      <c r="A16" s="17" t="inlineStr">
        <is>
          <t>1 Jul</t>
        </is>
      </c>
      <c r="B16" s="17" t="inlineStr">
        <is>
          <t>37044</t>
        </is>
      </c>
      <c r="C16" s="17" t="n">
        <v>9097</v>
      </c>
      <c r="D16" s="17" t="n">
        <v>9080</v>
      </c>
      <c r="E16" s="17" t="n">
        <v>9080</v>
      </c>
      <c r="F16" s="37" t="n">
        <v>692</v>
      </c>
      <c r="G16" s="37" t="n">
        <v>217271</v>
      </c>
      <c r="H16" s="37" t="n">
        <v>692</v>
      </c>
      <c r="I16" s="37" t="n">
        <v>217271</v>
      </c>
      <c r="J16" s="20">
        <f>(I16-H16)/1000</f>
        <v/>
      </c>
      <c r="K16" s="17" t="inlineStr">
        <is>
          <t>Yes</t>
        </is>
      </c>
      <c r="L16" s="17" t="n">
        <v>54</v>
      </c>
      <c r="M16" s="38" t="inlineStr">
        <is>
          <t>Kumardubi, Mugma, Thaparnagar, Kalubathan, Chhota Ambana</t>
        </is>
      </c>
    </row>
    <row r="17" ht="34" customHeight="1">
      <c r="A17" s="17" t="inlineStr">
        <is>
          <t>1 Jul</t>
        </is>
      </c>
      <c r="B17" s="17" t="inlineStr">
        <is>
          <t>39195</t>
        </is>
      </c>
      <c r="C17" s="17" t="n">
        <v>15363</v>
      </c>
      <c r="D17" s="17" t="n">
        <v>15332</v>
      </c>
      <c r="E17" s="17" t="n">
        <v>15171</v>
      </c>
      <c r="F17" s="37" t="n">
        <v>23</v>
      </c>
      <c r="G17" s="37" t="n">
        <v>208294</v>
      </c>
      <c r="H17" s="37" t="n">
        <v>345</v>
      </c>
      <c r="I17" s="37" t="n">
        <v>208294</v>
      </c>
      <c r="J17" s="20">
        <f>(I17-H17)/1000</f>
        <v/>
      </c>
      <c r="K17" s="17" t="inlineStr">
        <is>
          <t>Yes</t>
        </is>
      </c>
      <c r="L17" s="17" t="n">
        <v>52</v>
      </c>
      <c r="M17" s="38" t="inlineStr">
        <is>
          <t>Kulti, Barakar, Kumardubi, Mugma, Thaparnagar, Kalubathan, Chhota Ambana</t>
        </is>
      </c>
    </row>
    <row r="18" ht="34" customHeight="1">
      <c r="A18" s="17" t="inlineStr">
        <is>
          <t>1 Jul</t>
        </is>
      </c>
      <c r="B18" s="17" t="inlineStr">
        <is>
          <t>39411</t>
        </is>
      </c>
      <c r="C18" s="17" t="n">
        <v>7645</v>
      </c>
      <c r="D18" s="17" t="n">
        <v>7609</v>
      </c>
      <c r="E18" s="17" t="n">
        <v>7609</v>
      </c>
      <c r="F18" s="37" t="n">
        <v>350</v>
      </c>
      <c r="G18" s="37" t="n">
        <v>200083</v>
      </c>
      <c r="H18" s="37" t="n">
        <v>350</v>
      </c>
      <c r="I18" s="37" t="n">
        <v>200083</v>
      </c>
      <c r="J18" s="20">
        <f>(I18-H18)/1000</f>
        <v/>
      </c>
      <c r="K18" s="17" t="inlineStr">
        <is>
          <t>Yes</t>
        </is>
      </c>
      <c r="L18" s="17" t="n">
        <v>50</v>
      </c>
      <c r="M18" s="38" t="inlineStr">
        <is>
          <t>Barachak Jn, Sitarampur Central, Kulti, Barakar, Kumardubi, Mugma, Thaparnagar, Kalubathan, Chhota Ambana</t>
        </is>
      </c>
    </row>
    <row r="19" ht="34" customHeight="1">
      <c r="A19" s="17" t="inlineStr">
        <is>
          <t>1 Jul</t>
        </is>
      </c>
      <c r="B19" s="17" t="inlineStr">
        <is>
          <t>37405</t>
        </is>
      </c>
      <c r="C19" s="17" t="n">
        <v>7875</v>
      </c>
      <c r="D19" s="17" t="n">
        <v>7847</v>
      </c>
      <c r="E19" s="17" t="n">
        <v>7847</v>
      </c>
      <c r="F19" s="37" t="n">
        <v>548</v>
      </c>
      <c r="G19" s="37" t="n">
        <v>200077</v>
      </c>
      <c r="H19" s="37" t="n">
        <v>548</v>
      </c>
      <c r="I19" s="37" t="n">
        <v>200077</v>
      </c>
      <c r="J19" s="20">
        <f>(I19-H19)/1000</f>
        <v/>
      </c>
      <c r="K19" s="17" t="inlineStr">
        <is>
          <t>Yes</t>
        </is>
      </c>
      <c r="L19" s="17" t="n">
        <v>50</v>
      </c>
      <c r="M19" s="38" t="inlineStr">
        <is>
          <t>Barachak Jn, Sitarampur Central, Kulti, Barakar, Kumardubi, Mugma, Thaparnagar, Kalubathan, Chhota Ambana</t>
        </is>
      </c>
    </row>
    <row r="20" ht="34" customHeight="1">
      <c r="A20" s="17" t="inlineStr">
        <is>
          <t>1 Jul</t>
        </is>
      </c>
      <c r="B20" s="17" t="inlineStr">
        <is>
          <t>35002</t>
        </is>
      </c>
      <c r="C20" s="17" t="n">
        <v>8343</v>
      </c>
      <c r="D20" s="17" t="n">
        <v>8321</v>
      </c>
      <c r="E20" s="17" t="n">
        <v>8321</v>
      </c>
      <c r="F20" s="37" t="n">
        <v>619</v>
      </c>
      <c r="G20" s="37" t="n">
        <v>200113</v>
      </c>
      <c r="H20" s="37" t="n">
        <v>619</v>
      </c>
      <c r="I20" s="37" t="n">
        <v>200113</v>
      </c>
      <c r="J20" s="20">
        <f>(I20-H20)/1000</f>
        <v/>
      </c>
      <c r="K20" s="17" t="inlineStr">
        <is>
          <t>Yes</t>
        </is>
      </c>
      <c r="L20" s="17" t="n">
        <v>50</v>
      </c>
      <c r="M20" s="38" t="inlineStr">
        <is>
          <t>Barachak Jn, Sitarampur Central, Kulti, Barakar, Kumardubi, Mugma, Thaparnagar, Kalubathan, Chhota Ambana</t>
        </is>
      </c>
    </row>
    <row r="21" ht="34" customHeight="1">
      <c r="A21" s="17" t="inlineStr">
        <is>
          <t>1 Jul</t>
        </is>
      </c>
      <c r="B21" s="17" t="inlineStr">
        <is>
          <t>37859</t>
        </is>
      </c>
      <c r="C21" s="17" t="n">
        <v>7491</v>
      </c>
      <c r="D21" s="17" t="n">
        <v>7444</v>
      </c>
      <c r="E21" s="17" t="n">
        <v>7444</v>
      </c>
      <c r="F21" s="37" t="n">
        <v>605</v>
      </c>
      <c r="G21" s="37" t="n">
        <v>200080</v>
      </c>
      <c r="H21" s="37" t="n">
        <v>605</v>
      </c>
      <c r="I21" s="37" t="n">
        <v>200080</v>
      </c>
      <c r="J21" s="20">
        <f>(I21-H21)/1000</f>
        <v/>
      </c>
      <c r="K21" s="17" t="inlineStr">
        <is>
          <t>Yes</t>
        </is>
      </c>
      <c r="L21" s="17" t="n">
        <v>50</v>
      </c>
      <c r="M21" s="38" t="inlineStr">
        <is>
          <t>Barachak Jn, Sitarampur Central, Kulti, Barakar, Kumardubi, Mugma, Thaparnagar, Kalubathan, Chhota Ambana</t>
        </is>
      </c>
    </row>
    <row r="22" ht="34" customHeight="1">
      <c r="A22" s="17" t="inlineStr">
        <is>
          <t>1 Jul</t>
        </is>
      </c>
      <c r="B22" s="17" t="inlineStr">
        <is>
          <t>37168</t>
        </is>
      </c>
      <c r="C22" s="17" t="n">
        <v>9043</v>
      </c>
      <c r="D22" s="17" t="n">
        <v>9022</v>
      </c>
      <c r="E22" s="17" t="n">
        <v>9022</v>
      </c>
      <c r="F22" s="37" t="n">
        <v>736</v>
      </c>
      <c r="G22" s="37" t="n">
        <v>200081</v>
      </c>
      <c r="H22" s="37" t="n">
        <v>736</v>
      </c>
      <c r="I22" s="37" t="n">
        <v>200081</v>
      </c>
      <c r="J22" s="20">
        <f>(I22-H22)/1000</f>
        <v/>
      </c>
      <c r="K22" s="17" t="inlineStr">
        <is>
          <t>Yes</t>
        </is>
      </c>
      <c r="L22" s="17" t="n">
        <v>50</v>
      </c>
      <c r="M22" s="38" t="inlineStr">
        <is>
          <t>Barachak Jn, Sitarampur Central, Kulti, Barakar, Kumardubi, Mugma, Thaparnagar, Kalubathan, Chhota Ambana</t>
        </is>
      </c>
    </row>
    <row r="23" ht="34" customHeight="1">
      <c r="A23" s="17" t="inlineStr">
        <is>
          <t>1 Jul</t>
        </is>
      </c>
      <c r="B23" s="17" t="inlineStr">
        <is>
          <t>30795</t>
        </is>
      </c>
      <c r="C23" s="17" t="n">
        <v>8641</v>
      </c>
      <c r="D23" s="17" t="n">
        <v>8615</v>
      </c>
      <c r="E23" s="17" t="n">
        <v>8410</v>
      </c>
      <c r="F23" s="37" t="n">
        <v>21</v>
      </c>
      <c r="G23" s="37" t="n">
        <v>199390</v>
      </c>
      <c r="H23" s="37" t="n">
        <v>342</v>
      </c>
      <c r="I23" s="37" t="n">
        <v>199390</v>
      </c>
      <c r="J23" s="20">
        <f>(I23-H23)/1000</f>
        <v/>
      </c>
      <c r="K23" s="17" t="inlineStr">
        <is>
          <t>Yes</t>
        </is>
      </c>
      <c r="L23" s="17" t="n">
        <v>50</v>
      </c>
      <c r="M23" s="38" t="inlineStr">
        <is>
          <t>Barachak Jn, Sitarampur Central, Kulti, Barakar, Kumardubi, Mugma, Thaparnagar, Kalubathan, Chhota Ambana</t>
        </is>
      </c>
    </row>
    <row r="24" ht="34" customHeight="1">
      <c r="A24" s="17" t="inlineStr">
        <is>
          <t>1 Jul</t>
        </is>
      </c>
      <c r="B24" s="17" t="inlineStr">
        <is>
          <t>37403</t>
        </is>
      </c>
      <c r="C24" s="17" t="n">
        <v>11068</v>
      </c>
      <c r="D24" s="17" t="n">
        <v>11020</v>
      </c>
      <c r="E24" s="17" t="n">
        <v>10951</v>
      </c>
      <c r="F24" s="37" t="n">
        <v>36</v>
      </c>
      <c r="G24" s="37" t="n">
        <v>199393</v>
      </c>
      <c r="H24" s="37" t="n">
        <v>347</v>
      </c>
      <c r="I24" s="37" t="n">
        <v>199393</v>
      </c>
      <c r="J24" s="20">
        <f>(I24-H24)/1000</f>
        <v/>
      </c>
      <c r="K24" s="17" t="inlineStr">
        <is>
          <t>Yes</t>
        </is>
      </c>
      <c r="L24" s="17" t="n">
        <v>50</v>
      </c>
      <c r="M24" s="38" t="inlineStr">
        <is>
          <t>Barachak Jn, Sitarampur Central, Kulti, Barakar, Kumardubi, Mugma, Thaparnagar, Kalubathan, Chhota Ambana</t>
        </is>
      </c>
    </row>
    <row r="25" ht="34" customHeight="1">
      <c r="A25" s="17" t="inlineStr">
        <is>
          <t>1 Jul</t>
        </is>
      </c>
      <c r="B25" s="17" t="inlineStr">
        <is>
          <t>30487</t>
        </is>
      </c>
      <c r="C25" s="17" t="n">
        <v>8573</v>
      </c>
      <c r="D25" s="17" t="n">
        <v>8551</v>
      </c>
      <c r="E25" s="17" t="n">
        <v>8339</v>
      </c>
      <c r="F25" s="37" t="n">
        <v>25</v>
      </c>
      <c r="G25" s="37" t="n">
        <v>199386</v>
      </c>
      <c r="H25" s="37" t="n">
        <v>344</v>
      </c>
      <c r="I25" s="37" t="n">
        <v>199386</v>
      </c>
      <c r="J25" s="20">
        <f>(I25-H25)/1000</f>
        <v/>
      </c>
      <c r="K25" s="17" t="inlineStr">
        <is>
          <t>Yes</t>
        </is>
      </c>
      <c r="L25" s="17" t="n">
        <v>50</v>
      </c>
      <c r="M25" s="38" t="inlineStr">
        <is>
          <t>Barachak Jn, Sitarampur Central, Kulti, Barakar, Kumardubi, Mugma, Thaparnagar, Kalubathan, Chhota Ambana</t>
        </is>
      </c>
    </row>
    <row r="26" ht="34" customHeight="1">
      <c r="A26" s="17" t="inlineStr">
        <is>
          <t>1 Jul</t>
        </is>
      </c>
      <c r="B26" s="17" t="inlineStr">
        <is>
          <t>39133</t>
        </is>
      </c>
      <c r="C26" s="17" t="n">
        <v>8087</v>
      </c>
      <c r="D26" s="17" t="n">
        <v>8082</v>
      </c>
      <c r="E26" s="17" t="n">
        <v>8082</v>
      </c>
      <c r="F26" s="37" t="n">
        <v>1268</v>
      </c>
      <c r="G26" s="37" t="n">
        <v>200091</v>
      </c>
      <c r="H26" s="37" t="n">
        <v>1268</v>
      </c>
      <c r="I26" s="37" t="n">
        <v>200091</v>
      </c>
      <c r="J26" s="20">
        <f>(I26-H26)/1000</f>
        <v/>
      </c>
      <c r="K26" s="17" t="inlineStr">
        <is>
          <t>Yes</t>
        </is>
      </c>
      <c r="L26" s="17" t="n">
        <v>50</v>
      </c>
      <c r="M26" s="38" t="inlineStr">
        <is>
          <t>Barachak Jn, Sitarampur Central, Kulti, Barakar, Kumardubi, Mugma, Thaparnagar, Kalubathan, Chhota Ambana</t>
        </is>
      </c>
    </row>
    <row r="27" ht="49" customHeight="1">
      <c r="A27" s="17" t="inlineStr">
        <is>
          <t>1 Jul</t>
        </is>
      </c>
      <c r="B27" s="17" t="inlineStr">
        <is>
          <t>37959</t>
        </is>
      </c>
      <c r="C27" s="17" t="n">
        <v>6983</v>
      </c>
      <c r="D27" s="17" t="n">
        <v>6961</v>
      </c>
      <c r="E27" s="17" t="n">
        <v>6961</v>
      </c>
      <c r="F27" s="37" t="n">
        <v>12147</v>
      </c>
      <c r="G27" s="37" t="n">
        <v>200089</v>
      </c>
      <c r="H27" s="37" t="n">
        <v>12147</v>
      </c>
      <c r="I27" s="37" t="n">
        <v>200089</v>
      </c>
      <c r="J27" s="20">
        <f>(I27-H27)/1000</f>
        <v/>
      </c>
      <c r="K27" s="17" t="inlineStr">
        <is>
          <t>Yes</t>
        </is>
      </c>
      <c r="L27" s="17" t="n">
        <v>45</v>
      </c>
      <c r="M27" s="38" t="inlineStr">
        <is>
          <t>Howrah, Howrah Sorting Yard, Liluah, Belur, Bally, Barachak Jn, Sitarampur Central, Kulti, Barakar, Kumardubi, Mugma, Thaparnagar, Kalubathan, Chhota Ambana</t>
        </is>
      </c>
    </row>
    <row r="28" ht="49" customHeight="1">
      <c r="A28" s="17" t="inlineStr">
        <is>
          <t>1 Jul</t>
        </is>
      </c>
      <c r="B28" s="17" t="inlineStr">
        <is>
          <t>30567</t>
        </is>
      </c>
      <c r="C28" s="17" t="n">
        <v>6875</v>
      </c>
      <c r="D28" s="17" t="n">
        <v>6846</v>
      </c>
      <c r="E28" s="17" t="n">
        <v>6846</v>
      </c>
      <c r="F28" s="37" t="n">
        <v>12701</v>
      </c>
      <c r="G28" s="37" t="n">
        <v>199388</v>
      </c>
      <c r="H28" s="37" t="n">
        <v>12701</v>
      </c>
      <c r="I28" s="37" t="n">
        <v>199388</v>
      </c>
      <c r="J28" s="20">
        <f>(I28-H28)/1000</f>
        <v/>
      </c>
      <c r="K28" s="17" t="inlineStr">
        <is>
          <t>Yes</t>
        </is>
      </c>
      <c r="L28" s="17" t="n">
        <v>45</v>
      </c>
      <c r="M28" s="38" t="inlineStr">
        <is>
          <t>Howrah, Howrah Sorting Yard, Liluah, Belur, Bally, Barachak Jn, Sitarampur Central, Kulti, Barakar, Kumardubi, Mugma, Thaparnagar, Kalubathan, Chhota Ambana</t>
        </is>
      </c>
    </row>
    <row r="29" ht="64" customHeight="1">
      <c r="A29" s="17" t="inlineStr">
        <is>
          <t>1 Jul</t>
        </is>
      </c>
      <c r="B29" s="17" t="inlineStr">
        <is>
          <t>30328</t>
        </is>
      </c>
      <c r="C29" s="17" t="n">
        <v>7329</v>
      </c>
      <c r="D29" s="17" t="n">
        <v>7318</v>
      </c>
      <c r="E29" s="17" t="n">
        <v>7309</v>
      </c>
      <c r="F29" s="37" t="n">
        <v>72508</v>
      </c>
      <c r="G29" s="37" t="n">
        <v>244611</v>
      </c>
      <c r="H29" s="37" t="n">
        <v>72508</v>
      </c>
      <c r="I29" s="37" t="n">
        <v>244373</v>
      </c>
      <c r="J29" s="20">
        <f>(I29-H29)/1000</f>
        <v/>
      </c>
      <c r="K29" s="17" t="inlineStr">
        <is>
          <t>Yes</t>
        </is>
      </c>
      <c r="L29" s="17" t="n">
        <v>39</v>
      </c>
      <c r="M29" s="38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30" ht="64" customHeight="1">
      <c r="A30" s="17" t="inlineStr">
        <is>
          <t>1 Jul</t>
        </is>
      </c>
      <c r="B30" s="17" t="inlineStr">
        <is>
          <t>30522</t>
        </is>
      </c>
      <c r="C30" s="17" t="n">
        <v>7194</v>
      </c>
      <c r="D30" s="17" t="n">
        <v>7185</v>
      </c>
      <c r="E30" s="17" t="n">
        <v>7105</v>
      </c>
      <c r="F30" s="37" t="n">
        <v>94210</v>
      </c>
      <c r="G30" s="37" t="n">
        <v>246071</v>
      </c>
      <c r="H30" s="37" t="n">
        <v>94210</v>
      </c>
      <c r="I30" s="37" t="n">
        <v>244362</v>
      </c>
      <c r="J30" s="20">
        <f>(I30-H30)/1000</f>
        <v/>
      </c>
      <c r="K30" s="17" t="inlineStr">
        <is>
          <t>Yes</t>
        </is>
      </c>
      <c r="L30" s="17" t="n">
        <v>35</v>
      </c>
      <c r="M30" s="38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31" ht="94" customHeight="1">
      <c r="A31" s="17" t="inlineStr">
        <is>
          <t>1 Jul</t>
        </is>
      </c>
      <c r="B31" s="17" t="inlineStr">
        <is>
          <t>30639</t>
        </is>
      </c>
      <c r="C31" s="17" t="n">
        <v>8668</v>
      </c>
      <c r="D31" s="17" t="n">
        <v>8635</v>
      </c>
      <c r="E31" s="17" t="n">
        <v>8473</v>
      </c>
      <c r="F31" s="37" t="n">
        <v>39</v>
      </c>
      <c r="G31" s="37" t="n">
        <v>94612</v>
      </c>
      <c r="H31" s="37" t="n">
        <v>346</v>
      </c>
      <c r="I31" s="37" t="n">
        <v>94612</v>
      </c>
      <c r="J31" s="20">
        <f>(I31-H31)/1000</f>
        <v/>
      </c>
      <c r="K31" s="17" t="inlineStr">
        <is>
          <t>Yes</t>
        </is>
      </c>
      <c r="L31" s="17" t="n">
        <v>26</v>
      </c>
      <c r="M31" s="38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94" customHeight="1">
      <c r="A32" s="17" t="inlineStr">
        <is>
          <t>1 Jul</t>
        </is>
      </c>
      <c r="B32" s="17" t="inlineStr">
        <is>
          <t>39481</t>
        </is>
      </c>
      <c r="C32" s="17" t="n">
        <v>8453</v>
      </c>
      <c r="D32" s="17" t="n">
        <v>8399</v>
      </c>
      <c r="E32" s="17" t="n">
        <v>8245</v>
      </c>
      <c r="F32" s="37" t="n">
        <v>32</v>
      </c>
      <c r="G32" s="37" t="n">
        <v>94607</v>
      </c>
      <c r="H32" s="37" t="n">
        <v>342</v>
      </c>
      <c r="I32" s="37" t="n">
        <v>94607</v>
      </c>
      <c r="J32" s="20">
        <f>(I32-H32)/1000</f>
        <v/>
      </c>
      <c r="K32" s="17" t="inlineStr">
        <is>
          <t>Yes</t>
        </is>
      </c>
      <c r="L32" s="17" t="n">
        <v>26</v>
      </c>
      <c r="M32" s="38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94" customHeight="1">
      <c r="A33" s="17" t="inlineStr">
        <is>
          <t>1 Jul</t>
        </is>
      </c>
      <c r="B33" s="17" t="inlineStr">
        <is>
          <t>37016</t>
        </is>
      </c>
      <c r="C33" s="17" t="n">
        <v>3885</v>
      </c>
      <c r="D33" s="17" t="n">
        <v>3532</v>
      </c>
      <c r="E33" s="17" t="n">
        <v>3532</v>
      </c>
      <c r="F33" s="37" t="n">
        <v>609</v>
      </c>
      <c r="G33" s="37" t="n">
        <v>94744</v>
      </c>
      <c r="H33" s="37" t="n">
        <v>609</v>
      </c>
      <c r="I33" s="37" t="n">
        <v>94744</v>
      </c>
      <c r="J33" s="20">
        <f>(I33-H33)/1000</f>
        <v/>
      </c>
      <c r="K33" s="17" t="inlineStr">
        <is>
          <t>Yes</t>
        </is>
      </c>
      <c r="L33" s="17" t="n">
        <v>26</v>
      </c>
      <c r="M33" s="38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94" customHeight="1">
      <c r="A34" s="17" t="inlineStr">
        <is>
          <t>1 Jul</t>
        </is>
      </c>
      <c r="B34" s="17" t="inlineStr">
        <is>
          <t>37024</t>
        </is>
      </c>
      <c r="C34" s="17" t="n">
        <v>3639</v>
      </c>
      <c r="D34" s="17" t="n">
        <v>3629</v>
      </c>
      <c r="E34" s="17" t="n">
        <v>3629</v>
      </c>
      <c r="F34" s="37" t="n">
        <v>466</v>
      </c>
      <c r="G34" s="37" t="n">
        <v>94608</v>
      </c>
      <c r="H34" s="37" t="n">
        <v>466</v>
      </c>
      <c r="I34" s="37" t="n">
        <v>94608</v>
      </c>
      <c r="J34" s="20">
        <f>(I34-H34)/1000</f>
        <v/>
      </c>
      <c r="K34" s="17" t="inlineStr">
        <is>
          <t>Yes</t>
        </is>
      </c>
      <c r="L34" s="17" t="n">
        <v>26</v>
      </c>
      <c r="M34" s="38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94" customHeight="1">
      <c r="A35" s="17" t="inlineStr">
        <is>
          <t>1 Jul</t>
        </is>
      </c>
      <c r="B35" s="17" t="inlineStr">
        <is>
          <t>37034</t>
        </is>
      </c>
      <c r="C35" s="17" t="n">
        <v>3782</v>
      </c>
      <c r="D35" s="17" t="n">
        <v>3767</v>
      </c>
      <c r="E35" s="17" t="n">
        <v>3767</v>
      </c>
      <c r="F35" s="37" t="n">
        <v>738</v>
      </c>
      <c r="G35" s="37" t="n">
        <v>94609</v>
      </c>
      <c r="H35" s="37" t="n">
        <v>738</v>
      </c>
      <c r="I35" s="37" t="n">
        <v>94609</v>
      </c>
      <c r="J35" s="20">
        <f>(I35-H35)/1000</f>
        <v/>
      </c>
      <c r="K35" s="17" t="inlineStr">
        <is>
          <t>Yes</t>
        </is>
      </c>
      <c r="L35" s="17" t="n">
        <v>26</v>
      </c>
      <c r="M35" s="38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94" customHeight="1">
      <c r="A36" s="17" t="inlineStr">
        <is>
          <t>1 Jul</t>
        </is>
      </c>
      <c r="B36" s="17" t="inlineStr">
        <is>
          <t>37455</t>
        </is>
      </c>
      <c r="C36" s="17" t="n">
        <v>3571</v>
      </c>
      <c r="D36" s="17" t="n">
        <v>3553</v>
      </c>
      <c r="E36" s="17" t="n">
        <v>3553</v>
      </c>
      <c r="F36" s="37" t="n">
        <v>910</v>
      </c>
      <c r="G36" s="37" t="n">
        <v>94115</v>
      </c>
      <c r="H36" s="37" t="n">
        <v>910</v>
      </c>
      <c r="I36" s="37" t="n">
        <v>94115</v>
      </c>
      <c r="J36" s="20">
        <f>(I36-H36)/1000</f>
        <v/>
      </c>
      <c r="K36" s="17" t="inlineStr">
        <is>
          <t>Yes</t>
        </is>
      </c>
      <c r="L36" s="17" t="n">
        <v>26</v>
      </c>
      <c r="M36" s="38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09" customHeight="1">
      <c r="A37" s="17" t="inlineStr">
        <is>
          <t>1 Jul</t>
        </is>
      </c>
      <c r="B37" s="17" t="inlineStr">
        <is>
          <t>37400</t>
        </is>
      </c>
      <c r="C37" s="17" t="n">
        <v>2855</v>
      </c>
      <c r="D37" s="17" t="n">
        <v>2855</v>
      </c>
      <c r="E37" s="17" t="n">
        <v>2855</v>
      </c>
      <c r="F37" s="37" t="n">
        <v>10807</v>
      </c>
      <c r="G37" s="37" t="n">
        <v>94783</v>
      </c>
      <c r="H37" s="37" t="n">
        <v>10807</v>
      </c>
      <c r="I37" s="37" t="n">
        <v>94783</v>
      </c>
      <c r="J37" s="20">
        <f>(I37-H37)/1000</f>
        <v/>
      </c>
      <c r="K37" s="17" t="inlineStr">
        <is>
          <t>Yes</t>
        </is>
      </c>
      <c r="L37" s="17" t="n">
        <v>21</v>
      </c>
      <c r="M37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09" customHeight="1">
      <c r="A38" s="17" t="inlineStr">
        <is>
          <t>1 Jul</t>
        </is>
      </c>
      <c r="B38" s="17" t="inlineStr">
        <is>
          <t>30457</t>
        </is>
      </c>
      <c r="C38" s="17" t="n">
        <v>6934</v>
      </c>
      <c r="D38" s="17" t="n">
        <v>6918</v>
      </c>
      <c r="E38" s="17" t="n">
        <v>6918</v>
      </c>
      <c r="F38" s="37" t="n">
        <v>12127</v>
      </c>
      <c r="G38" s="37" t="n">
        <v>94755</v>
      </c>
      <c r="H38" s="37" t="n">
        <v>12127</v>
      </c>
      <c r="I38" s="37" t="n">
        <v>94755</v>
      </c>
      <c r="J38" s="20">
        <f>(I38-H38)/1000</f>
        <v/>
      </c>
      <c r="K38" s="17" t="inlineStr">
        <is>
          <t>Yes</t>
        </is>
      </c>
      <c r="L38" s="17" t="n">
        <v>21</v>
      </c>
      <c r="M38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9" ht="109" customHeight="1">
      <c r="A39" s="17" t="inlineStr">
        <is>
          <t>1 Jul</t>
        </is>
      </c>
      <c r="B39" s="17" t="inlineStr">
        <is>
          <t>30321</t>
        </is>
      </c>
      <c r="C39" s="17" t="n">
        <v>3287</v>
      </c>
      <c r="D39" s="17" t="n">
        <v>3282</v>
      </c>
      <c r="E39" s="17" t="n">
        <v>3282</v>
      </c>
      <c r="F39" s="37" t="n">
        <v>12118</v>
      </c>
      <c r="G39" s="37" t="n">
        <v>94635</v>
      </c>
      <c r="H39" s="37" t="n">
        <v>12118</v>
      </c>
      <c r="I39" s="37" t="n">
        <v>94635</v>
      </c>
      <c r="J39" s="20">
        <f>(I39-H39)/1000</f>
        <v/>
      </c>
      <c r="K39" s="17" t="inlineStr">
        <is>
          <t>Yes</t>
        </is>
      </c>
      <c r="L39" s="17" t="n">
        <v>21</v>
      </c>
      <c r="M39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0" ht="109" customHeight="1">
      <c r="A40" s="17" t="inlineStr">
        <is>
          <t>1 Jul</t>
        </is>
      </c>
      <c r="B40" s="17" t="inlineStr">
        <is>
          <t>30323</t>
        </is>
      </c>
      <c r="C40" s="17" t="n">
        <v>3205</v>
      </c>
      <c r="D40" s="17" t="n">
        <v>3199</v>
      </c>
      <c r="E40" s="17" t="n">
        <v>3199</v>
      </c>
      <c r="F40" s="37" t="n">
        <v>12120</v>
      </c>
      <c r="G40" s="37" t="n">
        <v>94611</v>
      </c>
      <c r="H40" s="37" t="n">
        <v>12120</v>
      </c>
      <c r="I40" s="37" t="n">
        <v>94611</v>
      </c>
      <c r="J40" s="20">
        <f>(I40-H40)/1000</f>
        <v/>
      </c>
      <c r="K40" s="17" t="inlineStr">
        <is>
          <t>Yes</t>
        </is>
      </c>
      <c r="L40" s="17" t="n">
        <v>21</v>
      </c>
      <c r="M40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1" ht="109" customHeight="1">
      <c r="A41" s="17" t="inlineStr">
        <is>
          <t>1 Jul</t>
        </is>
      </c>
      <c r="B41" s="17" t="inlineStr">
        <is>
          <t>30205</t>
        </is>
      </c>
      <c r="C41" s="17" t="n">
        <v>3785</v>
      </c>
      <c r="D41" s="17" t="n">
        <v>3765</v>
      </c>
      <c r="E41" s="17" t="n">
        <v>3765</v>
      </c>
      <c r="F41" s="37" t="n">
        <v>12667</v>
      </c>
      <c r="G41" s="37" t="n">
        <v>94110</v>
      </c>
      <c r="H41" s="37" t="n">
        <v>12667</v>
      </c>
      <c r="I41" s="37" t="n">
        <v>94110</v>
      </c>
      <c r="J41" s="20">
        <f>(I41-H41)/1000</f>
        <v/>
      </c>
      <c r="K41" s="17" t="inlineStr">
        <is>
          <t>Yes</t>
        </is>
      </c>
      <c r="L41" s="17" t="n">
        <v>21</v>
      </c>
      <c r="M41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2" ht="109" customHeight="1">
      <c r="A42" s="17" t="inlineStr">
        <is>
          <t>1 Jul</t>
        </is>
      </c>
      <c r="B42" s="17" t="inlineStr">
        <is>
          <t>30552</t>
        </is>
      </c>
      <c r="C42" s="17" t="n">
        <v>3455</v>
      </c>
      <c r="D42" s="17" t="n">
        <v>3425</v>
      </c>
      <c r="E42" s="17" t="n">
        <v>3425</v>
      </c>
      <c r="F42" s="37" t="n">
        <v>12700</v>
      </c>
      <c r="G42" s="37" t="n">
        <v>94072</v>
      </c>
      <c r="H42" s="37" t="n">
        <v>12700</v>
      </c>
      <c r="I42" s="37" t="n">
        <v>94072</v>
      </c>
      <c r="J42" s="20">
        <f>(I42-H42)/1000</f>
        <v/>
      </c>
      <c r="K42" s="17" t="inlineStr">
        <is>
          <t>Yes</t>
        </is>
      </c>
      <c r="L42" s="17" t="n">
        <v>21</v>
      </c>
      <c r="M42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3" ht="109" customHeight="1">
      <c r="A43" s="17" t="inlineStr">
        <is>
          <t>1 Jul</t>
        </is>
      </c>
      <c r="B43" s="17" t="inlineStr">
        <is>
          <t>30199</t>
        </is>
      </c>
      <c r="C43" s="17" t="n">
        <v>4608</v>
      </c>
      <c r="D43" s="17" t="n">
        <v>4585</v>
      </c>
      <c r="E43" s="17" t="n">
        <v>4585</v>
      </c>
      <c r="F43" s="37" t="n">
        <v>12830</v>
      </c>
      <c r="G43" s="37" t="n">
        <v>94115</v>
      </c>
      <c r="H43" s="37" t="n">
        <v>12830</v>
      </c>
      <c r="I43" s="37" t="n">
        <v>94115</v>
      </c>
      <c r="J43" s="20">
        <f>(I43-H43)/1000</f>
        <v/>
      </c>
      <c r="K43" s="17" t="inlineStr">
        <is>
          <t>Yes</t>
        </is>
      </c>
      <c r="L43" s="17" t="n">
        <v>21</v>
      </c>
      <c r="M43" s="38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4" ht="109" customHeight="1">
      <c r="A44" s="17" t="inlineStr">
        <is>
          <t>1 Jul</t>
        </is>
      </c>
      <c r="B44" s="17" t="inlineStr">
        <is>
          <t>37260</t>
        </is>
      </c>
      <c r="C44" s="17" t="n">
        <v>2719</v>
      </c>
      <c r="D44" s="17" t="n">
        <v>2719</v>
      </c>
      <c r="E44" s="17" t="n">
        <v>2719</v>
      </c>
      <c r="F44" s="37" t="n">
        <v>13061</v>
      </c>
      <c r="G44" s="37" t="n">
        <v>93721</v>
      </c>
      <c r="H44" s="37" t="n">
        <v>13061</v>
      </c>
      <c r="I44" s="37" t="n">
        <v>93721</v>
      </c>
      <c r="J44" s="20">
        <f>(I44-H44)/1000</f>
        <v/>
      </c>
      <c r="K44" s="17" t="inlineStr">
        <is>
          <t>Yes</t>
        </is>
      </c>
      <c r="L44" s="17" t="n">
        <v>20</v>
      </c>
      <c r="M44" s="38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5" ht="124" customHeight="1">
      <c r="A45" s="17" t="inlineStr">
        <is>
          <t>1 Jul</t>
        </is>
      </c>
      <c r="B45" s="17" t="inlineStr">
        <is>
          <t>45025</t>
        </is>
      </c>
      <c r="C45" s="17" t="n">
        <v>85</v>
      </c>
      <c r="D45" s="17" t="n">
        <v>78</v>
      </c>
      <c r="E45" s="17" t="n">
        <v>47</v>
      </c>
      <c r="F45" s="37" t="n">
        <v>1</v>
      </c>
      <c r="G45" s="37" t="n">
        <v>2500348</v>
      </c>
      <c r="H45" s="37" t="n">
        <v>760</v>
      </c>
      <c r="I45" s="37" t="n">
        <v>41305</v>
      </c>
      <c r="J45" s="20">
        <f>(I45-H45)/1000</f>
        <v/>
      </c>
      <c r="K45" s="17" t="inlineStr">
        <is>
          <t>Yes</t>
        </is>
      </c>
      <c r="L45" s="17" t="n">
        <v>13</v>
      </c>
      <c r="M45" s="38" t="inlineStr">
        <is>
          <t>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46" ht="139" customHeight="1">
      <c r="A46" s="17" t="inlineStr">
        <is>
          <t>1 Jul</t>
        </is>
      </c>
      <c r="B46" s="17" t="inlineStr">
        <is>
          <t>39132</t>
        </is>
      </c>
      <c r="C46" s="17" t="n">
        <v>2259</v>
      </c>
      <c r="D46" s="17" t="n">
        <v>2256</v>
      </c>
      <c r="E46" s="17" t="n">
        <v>2256</v>
      </c>
      <c r="F46" s="37" t="n">
        <v>167187</v>
      </c>
      <c r="G46" s="37" t="n">
        <v>200091</v>
      </c>
      <c r="H46" s="37" t="n">
        <v>167187</v>
      </c>
      <c r="I46" s="37" t="n">
        <v>200091</v>
      </c>
      <c r="J46" s="20">
        <f>(I46-H46)/1000</f>
        <v/>
      </c>
      <c r="K46" s="17" t="inlineStr">
        <is>
          <t>Yes</t>
        </is>
      </c>
      <c r="L46" s="17" t="n">
        <v>9</v>
      </c>
      <c r="M46" s="38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Barachak Jn, Sitarampur Central, Kulti, Barakar, Kumardubi, Mugma, Thaparnagar, Kalubathan, LC-12  ...(+1 more)</t>
        </is>
      </c>
    </row>
    <row r="47" ht="139" customHeight="1">
      <c r="A47" s="17" t="inlineStr">
        <is>
          <t>1 Jul</t>
        </is>
      </c>
      <c r="B47" s="17" t="inlineStr">
        <is>
          <t>555555</t>
        </is>
      </c>
      <c r="C47" s="17" t="n">
        <v>8</v>
      </c>
      <c r="D47" s="17" t="n">
        <v>8</v>
      </c>
      <c r="E47" s="17" t="n">
        <v>8</v>
      </c>
      <c r="F47" s="37" t="n">
        <v>91377</v>
      </c>
      <c r="G47" s="37" t="n">
        <v>101810</v>
      </c>
      <c r="H47" s="37" t="n">
        <v>91377</v>
      </c>
      <c r="I47" s="37" t="n">
        <v>101810</v>
      </c>
      <c r="J47" s="20">
        <f>(I47-H47)/1000</f>
        <v/>
      </c>
      <c r="K47" s="17" t="inlineStr">
        <is>
          <t>Yes</t>
        </is>
      </c>
      <c r="L47" s="17" t="n">
        <v>2</v>
      </c>
      <c r="M47" s="38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8" ht="139" customHeight="1">
      <c r="A48" s="17" t="inlineStr">
        <is>
          <t>1 Jul</t>
        </is>
      </c>
      <c r="B48" s="17" t="inlineStr">
        <is>
          <t>30369</t>
        </is>
      </c>
      <c r="C48" s="17" t="n">
        <v>266</v>
      </c>
      <c r="D48" s="17" t="n">
        <v>265</v>
      </c>
      <c r="E48" s="17" t="n">
        <v>265</v>
      </c>
      <c r="F48" s="37" t="n">
        <v>12130</v>
      </c>
      <c r="G48" s="37" t="n">
        <v>13091</v>
      </c>
      <c r="H48" s="37" t="n">
        <v>12130</v>
      </c>
      <c r="I48" s="37" t="n">
        <v>13091</v>
      </c>
      <c r="J48" s="20">
        <f>(I48-H48)/1000</f>
        <v/>
      </c>
      <c r="K48" s="17" t="inlineStr">
        <is>
          <t>Yes</t>
        </is>
      </c>
      <c r="L48" s="17" t="n">
        <v>2</v>
      </c>
      <c r="M48" s="38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9" ht="139" customHeight="1">
      <c r="A49" s="17" t="inlineStr">
        <is>
          <t>1 Jul</t>
        </is>
      </c>
      <c r="B49" s="17" t="inlineStr">
        <is>
          <t>37591</t>
        </is>
      </c>
      <c r="C49" s="17" t="n">
        <v>987</v>
      </c>
      <c r="D49" s="17" t="n">
        <v>977</v>
      </c>
      <c r="E49" s="17" t="n">
        <v>18</v>
      </c>
      <c r="F49" s="37" t="n">
        <v>828</v>
      </c>
      <c r="G49" s="37" t="n">
        <v>2500395</v>
      </c>
      <c r="H49" s="37" t="n">
        <v>828</v>
      </c>
      <c r="I49" s="37" t="n">
        <v>1683</v>
      </c>
      <c r="J49" s="20">
        <f>(I49-H49)/1000</f>
        <v/>
      </c>
      <c r="K49" s="17" t="inlineStr">
        <is>
          <t>Yes</t>
        </is>
      </c>
      <c r="L49" s="17" t="n">
        <v>2</v>
      </c>
      <c r="M49" s="38" t="inlineStr">
        <is>
          <t>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50" ht="139" customHeight="1">
      <c r="A50" s="17" t="inlineStr">
        <is>
          <t>1 Jul</t>
        </is>
      </c>
      <c r="B50" s="17" t="inlineStr">
        <is>
          <t>30200</t>
        </is>
      </c>
      <c r="C50" s="17" t="n">
        <v>504</v>
      </c>
      <c r="D50" s="17" t="n">
        <v>475</v>
      </c>
      <c r="E50" s="17" t="n">
        <v>450</v>
      </c>
      <c r="F50" s="37" t="n">
        <v>310</v>
      </c>
      <c r="G50" s="37" t="n">
        <v>872</v>
      </c>
      <c r="H50" s="37" t="n">
        <v>347</v>
      </c>
      <c r="I50" s="37" t="n">
        <v>872</v>
      </c>
      <c r="J50" s="20">
        <f>(I50-H50)/1000</f>
        <v/>
      </c>
      <c r="K50" s="17" t="inlineStr">
        <is>
          <t>Yes</t>
        </is>
      </c>
      <c r="L50" s="17" t="n">
        <v>1</v>
      </c>
      <c r="M50" s="38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51" ht="139" customHeight="1">
      <c r="A51" s="17" t="inlineStr">
        <is>
          <t>1 Jul</t>
        </is>
      </c>
      <c r="B51" s="17" t="inlineStr">
        <is>
          <t>30506</t>
        </is>
      </c>
      <c r="C51" s="17" t="n">
        <v>498</v>
      </c>
      <c r="D51" s="17" t="n">
        <v>469</v>
      </c>
      <c r="E51" s="17" t="n">
        <v>454</v>
      </c>
      <c r="F51" s="37" t="n">
        <v>308</v>
      </c>
      <c r="G51" s="37" t="n">
        <v>876</v>
      </c>
      <c r="H51" s="37" t="n">
        <v>342</v>
      </c>
      <c r="I51" s="37" t="n">
        <v>876</v>
      </c>
      <c r="J51" s="20">
        <f>(I51-H51)/1000</f>
        <v/>
      </c>
      <c r="K51" s="17" t="inlineStr">
        <is>
          <t>Yes</t>
        </is>
      </c>
      <c r="L51" s="17" t="n">
        <v>1</v>
      </c>
      <c r="M51" s="38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52" ht="139" customHeight="1">
      <c r="A52" s="17" t="inlineStr">
        <is>
          <t>1 Jul</t>
        </is>
      </c>
      <c r="B52" s="17" t="inlineStr">
        <is>
          <t>37973</t>
        </is>
      </c>
      <c r="C52" s="17" t="n">
        <v>701</v>
      </c>
      <c r="D52" s="17" t="n">
        <v>696</v>
      </c>
      <c r="E52" s="17" t="n">
        <v>689</v>
      </c>
      <c r="F52" s="37" t="n">
        <v>325</v>
      </c>
      <c r="G52" s="37" t="n">
        <v>830</v>
      </c>
      <c r="H52" s="37" t="n">
        <v>343</v>
      </c>
      <c r="I52" s="37" t="n">
        <v>830</v>
      </c>
      <c r="J52" s="20">
        <f>(I52-H52)/1000</f>
        <v/>
      </c>
      <c r="K52" s="17" t="inlineStr">
        <is>
          <t>Yes</t>
        </is>
      </c>
      <c r="L52" s="17" t="n">
        <v>1</v>
      </c>
      <c r="M52" s="38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53" ht="139" customHeight="1">
      <c r="A53" s="32" t="inlineStr">
        <is>
          <t>1 Jul</t>
        </is>
      </c>
      <c r="B53" s="32" t="inlineStr">
        <is>
          <t>128519</t>
        </is>
      </c>
      <c r="C53" s="32" t="n">
        <v>6</v>
      </c>
      <c r="D53" s="32" t="n">
        <v>0</v>
      </c>
      <c r="E53" s="32" t="n">
        <v>0</v>
      </c>
      <c r="F53" s="39" t="inlineStr">
        <is>
          <t>-</t>
        </is>
      </c>
      <c r="G53" s="39" t="inlineStr">
        <is>
          <t>-</t>
        </is>
      </c>
      <c r="H53" s="39" t="inlineStr">
        <is>
          <t>-</t>
        </is>
      </c>
      <c r="I53" s="39" t="inlineStr">
        <is>
          <t>-</t>
        </is>
      </c>
      <c r="J53" s="40" t="n">
        <v>0</v>
      </c>
      <c r="K53" s="32" t="inlineStr">
        <is>
          <t>No</t>
        </is>
      </c>
      <c r="L53" s="32" t="n">
        <v>0</v>
      </c>
      <c r="M53" s="41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4" ht="139" customHeight="1">
      <c r="A54" s="32" t="inlineStr">
        <is>
          <t>1 Jul</t>
        </is>
      </c>
      <c r="B54" s="32" t="inlineStr">
        <is>
          <t>132073</t>
        </is>
      </c>
      <c r="C54" s="32" t="n">
        <v>47</v>
      </c>
      <c r="D54" s="32" t="n">
        <v>34</v>
      </c>
      <c r="E54" s="32" t="n">
        <v>34</v>
      </c>
      <c r="F54" s="39" t="n">
        <v>350</v>
      </c>
      <c r="G54" s="39" t="n">
        <v>350</v>
      </c>
      <c r="H54" s="39" t="n">
        <v>350</v>
      </c>
      <c r="I54" s="39" t="n">
        <v>350</v>
      </c>
      <c r="J54" s="40">
        <f>(I54-H54)/1000</f>
        <v/>
      </c>
      <c r="K54" s="32" t="inlineStr">
        <is>
          <t>No</t>
        </is>
      </c>
      <c r="L54" s="32" t="n">
        <v>1</v>
      </c>
      <c r="M54" s="41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55" ht="139" customHeight="1">
      <c r="A55" s="32" t="inlineStr">
        <is>
          <t>1 Jul</t>
        </is>
      </c>
      <c r="B55" s="32" t="inlineStr">
        <is>
          <t>30468</t>
        </is>
      </c>
      <c r="C55" s="32" t="n">
        <v>61</v>
      </c>
      <c r="D55" s="32" t="n">
        <v>57</v>
      </c>
      <c r="E55" s="32" t="n">
        <v>0</v>
      </c>
      <c r="F55" s="39" t="n">
        <v>245948</v>
      </c>
      <c r="G55" s="39" t="n">
        <v>246089</v>
      </c>
      <c r="H55" s="39" t="inlineStr">
        <is>
          <t>-</t>
        </is>
      </c>
      <c r="I55" s="39" t="inlineStr">
        <is>
          <t>-</t>
        </is>
      </c>
      <c r="J55" s="40" t="n">
        <v>0</v>
      </c>
      <c r="K55" s="32" t="inlineStr">
        <is>
          <t>No</t>
        </is>
      </c>
      <c r="L55" s="32" t="n">
        <v>0</v>
      </c>
      <c r="M55" s="41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6" ht="139" customHeight="1">
      <c r="A56" s="32" t="inlineStr">
        <is>
          <t>1 Jul</t>
        </is>
      </c>
      <c r="B56" s="32" t="inlineStr">
        <is>
          <t>37162</t>
        </is>
      </c>
      <c r="C56" s="32" t="n">
        <v>403</v>
      </c>
      <c r="D56" s="32" t="n">
        <v>392</v>
      </c>
      <c r="E56" s="32" t="n">
        <v>0</v>
      </c>
      <c r="F56" s="39" t="n">
        <v>2499980</v>
      </c>
      <c r="G56" s="39" t="n">
        <v>2500395</v>
      </c>
      <c r="H56" s="39" t="inlineStr">
        <is>
          <t>-</t>
        </is>
      </c>
      <c r="I56" s="39" t="inlineStr">
        <is>
          <t>-</t>
        </is>
      </c>
      <c r="J56" s="40" t="n">
        <v>0</v>
      </c>
      <c r="K56" s="32" t="inlineStr">
        <is>
          <t>No</t>
        </is>
      </c>
      <c r="L56" s="32" t="n">
        <v>0</v>
      </c>
      <c r="M56" s="41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7" ht="139" customHeight="1">
      <c r="A57" s="32" t="inlineStr">
        <is>
          <t>1 Jul</t>
        </is>
      </c>
      <c r="B57" s="32" t="inlineStr">
        <is>
          <t>37325</t>
        </is>
      </c>
      <c r="C57" s="32" t="n">
        <v>5</v>
      </c>
      <c r="D57" s="32" t="n">
        <v>0</v>
      </c>
      <c r="E57" s="32" t="n">
        <v>0</v>
      </c>
      <c r="F57" s="39" t="inlineStr">
        <is>
          <t>-</t>
        </is>
      </c>
      <c r="G57" s="39" t="inlineStr">
        <is>
          <t>-</t>
        </is>
      </c>
      <c r="H57" s="39" t="inlineStr">
        <is>
          <t>-</t>
        </is>
      </c>
      <c r="I57" s="39" t="inlineStr">
        <is>
          <t>-</t>
        </is>
      </c>
      <c r="J57" s="40" t="n">
        <v>0</v>
      </c>
      <c r="K57" s="32" t="inlineStr">
        <is>
          <t>No</t>
        </is>
      </c>
      <c r="L57" s="32" t="n">
        <v>0</v>
      </c>
      <c r="M57" s="41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58" ht="139" customHeight="1">
      <c r="A58" s="32" t="inlineStr">
        <is>
          <t>1 Jul</t>
        </is>
      </c>
      <c r="B58" s="32" t="inlineStr">
        <is>
          <t>37452</t>
        </is>
      </c>
      <c r="C58" s="32" t="n">
        <v>5</v>
      </c>
      <c r="D58" s="32" t="n">
        <v>0</v>
      </c>
      <c r="E58" s="32" t="n">
        <v>0</v>
      </c>
      <c r="F58" s="39" t="inlineStr">
        <is>
          <t>-</t>
        </is>
      </c>
      <c r="G58" s="39" t="inlineStr">
        <is>
          <t>-</t>
        </is>
      </c>
      <c r="H58" s="39" t="inlineStr">
        <is>
          <t>-</t>
        </is>
      </c>
      <c r="I58" s="39" t="inlineStr">
        <is>
          <t>-</t>
        </is>
      </c>
      <c r="J58" s="40" t="n">
        <v>0</v>
      </c>
      <c r="K58" s="32" t="inlineStr">
        <is>
          <t>No</t>
        </is>
      </c>
      <c r="L58" s="32" t="n">
        <v>0</v>
      </c>
      <c r="M58" s="41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2" t="inlineStr">
        <is>
          <t>Methodology</t>
        </is>
      </c>
    </row>
    <row r="2"/>
    <row r="3" ht="34" customHeight="1">
      <c r="B3" s="43" t="inlineStr">
        <is>
          <t>Excluded</t>
        </is>
      </c>
      <c r="C3" s="44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3" t="inlineStr">
        <is>
          <t>No of Trips</t>
        </is>
      </c>
      <c r="C4" s="44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3" t="inlineStr">
        <is>
          <t>Total KMs Run on Kavach</t>
        </is>
      </c>
      <c r="C5" s="44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3" t="inlineStr">
        <is>
          <t>Availability (FS+OS)</t>
        </is>
      </c>
      <c r="C6" s="44" t="inlineStr">
        <is>
          <t>Packets in FS or OnSight ÷ all packets (all modes) × 100.</t>
        </is>
      </c>
    </row>
    <row r="7" ht="34" customHeight="1">
      <c r="B7" s="43" t="inlineStr">
        <is>
          <t>Total EB</t>
        </is>
      </c>
      <c r="C7" s="44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3" t="inlineStr">
        <is>
          <t>Mode Degradation</t>
        </is>
      </c>
      <c r="C8" s="44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3" t="inlineStr">
        <is>
          <t>EB diagnostics</t>
        </is>
      </c>
      <c r="C9" s="44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3" t="inlineStr">
        <is>
          <t>Ratios</t>
        </is>
      </c>
      <c r="C10" s="44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2026-07-02T02:35:36Z</dcterms:created>
  <dcterms:modified xsi:type="dcterms:W3CDTF">2026-07-02T02:35:36Z</dcterms:modified>
</cp:coreProperties>
</file>
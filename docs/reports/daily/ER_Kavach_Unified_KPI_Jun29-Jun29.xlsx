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fied KPI" sheetId="1" state="visible" r:id="rId1"/>
    <sheet name="Daily Breakdown" sheetId="2" state="visible" r:id="rId2"/>
    <sheet name="EB Detail" sheetId="3" state="visible" r:id="rId3"/>
    <sheet name="Mode Degradation" sheetId="4" state="visible" r:id="rId4"/>
    <sheet name="KM Verification" sheetId="5" state="visible" r:id="rId5"/>
    <sheet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"/>
    <numFmt numFmtId="167" formatCode="#,##0.0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9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808080"/>
      <sz val="10"/>
    </font>
    <font>
      <name val="Arial"/>
      <b val="1"/>
      <color rgb="001F3864"/>
      <sz val="11"/>
    </font>
    <font>
      <name val="Arial"/>
      <b val="1"/>
      <sz val="11"/>
    </font>
    <font>
      <name val="Arial"/>
      <b val="1"/>
      <color rgb="001F3864"/>
      <sz val="12"/>
    </font>
    <font>
      <name val="Arial"/>
      <b val="1"/>
      <color rgb="001F3864"/>
      <sz val="10"/>
    </font>
    <font>
      <name val="Arial"/>
      <i val="1"/>
      <color rgb="00808080"/>
      <sz val="9"/>
    </font>
    <font>
      <name val="Arial"/>
      <b val="1"/>
      <color rgb="001F3864"/>
      <sz val="16"/>
    </font>
    <font>
      <name val="Arial"/>
      <b val="1"/>
      <color rgb="002E5496"/>
      <sz val="11"/>
    </font>
  </fonts>
  <fills count="9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2" fontId="8" fillId="5" borderId="1" applyAlignment="1" pivotButton="0" quotePrefix="0" xfId="0">
      <alignment horizontal="center" vertical="center" wrapText="1"/>
    </xf>
    <xf numFmtId="3" fontId="8" fillId="7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2" fontId="10" fillId="8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2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167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4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2" fillId="0" borderId="0" pivotButton="0" quotePrefix="0" xfId="0"/>
    <xf numFmtId="3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2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8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166" fontId="8" fillId="5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167" fontId="4" fillId="3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9" customWidth="1" min="10" max="10"/>
    <col width="19" customWidth="1" min="11" max="11"/>
    <col width="23" customWidth="1" min="12" max="12"/>
    <col width="29" customWidth="1" min="13" max="13"/>
    <col width="16" customWidth="1" min="14" max="14"/>
    <col width="19" customWidth="1" min="15" max="15"/>
    <col width="19" customWidth="1" min="16" max="16"/>
    <col width="28" customWidth="1" min="17" max="17"/>
    <col width="23" customWidth="1" min="18" max="18"/>
    <col width="13" customWidth="1" min="19" max="19"/>
    <col width="28" customWidth="1" min="20" max="20"/>
  </cols>
  <sheetData>
    <row r="1">
      <c r="A1" s="1" t="inlineStr">
        <is>
          <t>ER — Kavach Unified KPI</t>
        </is>
      </c>
    </row>
    <row r="2">
      <c r="A2" s="2" t="inlineStr">
        <is>
          <t>Period: 29 Jun 2026  ·  all locomotives  ·  one combined row</t>
        </is>
      </c>
    </row>
    <row r="4" ht="34" customHeight="1">
      <c r="A4" s="3" t="inlineStr">
        <is>
          <t>Month</t>
        </is>
      </c>
      <c r="B4" s="3" t="inlineStr">
        <is>
          <t>Zone</t>
        </is>
      </c>
      <c r="C4" s="3" t="inlineStr">
        <is>
          <t>Section</t>
        </is>
      </c>
      <c r="D4" s="3" t="inlineStr">
        <is>
          <t>No Of Trips</t>
        </is>
      </c>
      <c r="E4" s="3" t="inlineStr">
        <is>
          <t>Total KMs Run On Kavach</t>
        </is>
      </c>
      <c r="F4" s="3" t="inlineStr">
        <is>
          <t>Availability (FS+OS)</t>
        </is>
      </c>
      <c r="G4" s="3" t="inlineStr">
        <is>
          <t>Total EB</t>
        </is>
      </c>
      <c r="H4" s="3" t="inlineStr">
        <is>
          <t>EB (Valid Trips)</t>
        </is>
      </c>
      <c r="I4" s="3" t="inlineStr">
        <is>
          <t>EB (Non-Valid Trips)</t>
        </is>
      </c>
      <c r="J4" s="3" t="inlineStr">
        <is>
          <t>EB per Trip</t>
        </is>
      </c>
      <c r="K4" s="3" t="inlineStr">
        <is>
          <t>EB per KM</t>
        </is>
      </c>
      <c r="L4" s="3" t="inlineStr">
        <is>
          <t>EB per 100 KM</t>
        </is>
      </c>
      <c r="M4" s="3" t="inlineStr">
        <is>
          <t>EB per Trip per 1000 KM</t>
        </is>
      </c>
      <c r="N4" s="3" t="inlineStr">
        <is>
          <t>Total Mode Degradation</t>
        </is>
      </c>
      <c r="O4" s="3" t="inlineStr">
        <is>
          <t>Mode Degradation per Trip</t>
        </is>
      </c>
      <c r="P4" s="3" t="inlineStr">
        <is>
          <t>Mode Degradation per KM</t>
        </is>
      </c>
      <c r="Q4" s="3" t="inlineStr">
        <is>
          <t>Mode Degradation per Trip per 100 KM</t>
        </is>
      </c>
      <c r="R4" s="3" t="inlineStr">
        <is>
          <t>Mode Degradation per 100 KM</t>
        </is>
      </c>
      <c r="S4" s="3" t="inlineStr">
        <is>
          <t>Undesirable EB</t>
        </is>
      </c>
      <c r="T4" s="3" t="inlineStr">
        <is>
          <t>UNIFIED KPI</t>
        </is>
      </c>
    </row>
    <row r="5" ht="34" customHeight="1">
      <c r="A5" s="4" t="inlineStr">
        <is>
          <t>29 Jun 2026</t>
        </is>
      </c>
      <c r="B5" s="4" t="inlineStr">
        <is>
          <t>ER</t>
        </is>
      </c>
      <c r="C5" s="4" t="inlineStr">
        <is>
          <t>12000_HWH to 12062_CAM</t>
        </is>
      </c>
      <c r="D5" s="5">
        <f>'Daily Breakdown'!C43</f>
        <v/>
      </c>
      <c r="E5" s="6">
        <f>'Daily Breakdown'!D43</f>
        <v/>
      </c>
      <c r="F5" s="7">
        <f>'Daily Breakdown'!G43</f>
        <v/>
      </c>
      <c r="G5" s="5">
        <f>'Daily Breakdown'!H43</f>
        <v/>
      </c>
      <c r="H5" s="8">
        <f>'Daily Breakdown'!I43</f>
        <v/>
      </c>
      <c r="I5" s="8">
        <f>'Daily Breakdown'!J43</f>
        <v/>
      </c>
      <c r="J5" s="46">
        <f>IFERROR(G5/D5,0)</f>
        <v/>
      </c>
      <c r="K5" s="47">
        <f>IFERROR(G5/E5,0)</f>
        <v/>
      </c>
      <c r="L5" s="48">
        <f>IFERROR(G5/E5*100,0)</f>
        <v/>
      </c>
      <c r="M5" s="47">
        <f>IFERROR(G5/(D5*E5/1000),0)</f>
        <v/>
      </c>
      <c r="N5" s="5">
        <f>'Daily Breakdown'!K43</f>
        <v/>
      </c>
      <c r="O5" s="46">
        <f>IFERROR(N5/D5,0)</f>
        <v/>
      </c>
      <c r="P5" s="47">
        <f>IFERROR(N5/E5,0)</f>
        <v/>
      </c>
      <c r="Q5" s="47">
        <f>IFERROR(N5/(D5*E5/100),0)</f>
        <v/>
      </c>
      <c r="R5" s="48">
        <f>IFERROR(N5/E5*100,0)</f>
        <v/>
      </c>
      <c r="S5" s="8" t="n">
        <v>7</v>
      </c>
      <c r="T5" s="12">
        <f>ROUND(F5*(1-M5)*(1-Q5),2)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Daily Breakdown — by day and locomotive (all locos)</t>
        </is>
      </c>
    </row>
    <row r="2">
      <c r="A2" s="37" t="inlineStr">
        <is>
          <t>Availability base excludes locos with FS+OS pkts = 0 (they are still listed below; only the Total-pkts availability base drops them).</t>
        </is>
      </c>
    </row>
    <row r="3" ht="34" customHeight="1">
      <c r="A3" s="14" t="inlineStr">
        <is>
          <t>Date</t>
        </is>
      </c>
      <c r="B3" s="14" t="inlineStr">
        <is>
          <t>Loco ID</t>
        </is>
      </c>
      <c r="C3" s="14" t="inlineStr">
        <is>
          <t>No of Trips</t>
        </is>
      </c>
      <c r="D3" s="14" t="inlineStr">
        <is>
          <t>Total KMs</t>
        </is>
      </c>
      <c r="E3" s="14" t="inlineStr">
        <is>
          <t>FS+OS pkts</t>
        </is>
      </c>
      <c r="F3" s="14" t="inlineStr">
        <is>
          <t>Total pkts</t>
        </is>
      </c>
      <c r="G3" s="14" t="inlineStr">
        <is>
          <t>Availability (FS+OS)</t>
        </is>
      </c>
      <c r="H3" s="14" t="inlineStr">
        <is>
          <t>Total EB</t>
        </is>
      </c>
      <c r="I3" s="14" t="inlineStr">
        <is>
          <t>EB (Valid)</t>
        </is>
      </c>
      <c r="J3" s="14" t="inlineStr">
        <is>
          <t>EB (Non-Valid)</t>
        </is>
      </c>
      <c r="K3" s="14" t="inlineStr">
        <is>
          <t>Mode Degradation</t>
        </is>
      </c>
    </row>
    <row r="4">
      <c r="A4" s="15" t="inlineStr">
        <is>
          <t>29 Jun</t>
        </is>
      </c>
      <c r="B4" s="15" t="inlineStr">
        <is>
          <t>39364</t>
        </is>
      </c>
      <c r="C4" s="16" t="n">
        <v>1</v>
      </c>
      <c r="D4" s="49" t="n">
        <v>243.67</v>
      </c>
      <c r="E4" s="18" t="n">
        <v>11045</v>
      </c>
      <c r="F4" s="18" t="n">
        <v>11180</v>
      </c>
      <c r="G4" s="19">
        <f>IF(F4=0,0,E4/F4*100)</f>
        <v/>
      </c>
      <c r="H4" s="16" t="n">
        <v>0</v>
      </c>
      <c r="I4" s="16" t="n">
        <v>0</v>
      </c>
      <c r="J4" s="16" t="n">
        <v>0</v>
      </c>
      <c r="K4" s="16" t="n">
        <v>4</v>
      </c>
    </row>
    <row r="5">
      <c r="A5" s="15" t="inlineStr">
        <is>
          <t>29 Jun</t>
        </is>
      </c>
      <c r="B5" s="15" t="inlineStr">
        <is>
          <t>39059</t>
        </is>
      </c>
      <c r="C5" s="16" t="n">
        <v>1</v>
      </c>
      <c r="D5" s="49" t="n">
        <v>243.62</v>
      </c>
      <c r="E5" s="18" t="n">
        <v>9930</v>
      </c>
      <c r="F5" s="18" t="n">
        <v>10306</v>
      </c>
      <c r="G5" s="19">
        <f>IF(F5=0,0,E5/F5*100)</f>
        <v/>
      </c>
      <c r="H5" s="16" t="n">
        <v>2</v>
      </c>
      <c r="I5" s="16" t="n">
        <v>2</v>
      </c>
      <c r="J5" s="16" t="n">
        <v>0</v>
      </c>
      <c r="K5" s="16" t="n">
        <v>5</v>
      </c>
    </row>
    <row r="6">
      <c r="A6" s="15" t="inlineStr">
        <is>
          <t>29 Jun</t>
        </is>
      </c>
      <c r="B6" s="15" t="inlineStr">
        <is>
          <t>39411</t>
        </is>
      </c>
      <c r="C6" s="16" t="n">
        <v>1</v>
      </c>
      <c r="D6" s="49" t="n">
        <v>243.66</v>
      </c>
      <c r="E6" s="18" t="n">
        <v>8626</v>
      </c>
      <c r="F6" s="18" t="n">
        <v>8784</v>
      </c>
      <c r="G6" s="19">
        <f>IF(F6=0,0,E6/F6*100)</f>
        <v/>
      </c>
      <c r="H6" s="16" t="n">
        <v>0</v>
      </c>
      <c r="I6" s="16" t="n">
        <v>0</v>
      </c>
      <c r="J6" s="16" t="n">
        <v>0</v>
      </c>
      <c r="K6" s="16" t="n">
        <v>7</v>
      </c>
    </row>
    <row r="7">
      <c r="A7" s="15" t="inlineStr">
        <is>
          <t>29 Jun</t>
        </is>
      </c>
      <c r="B7" s="15" t="inlineStr">
        <is>
          <t>37014</t>
        </is>
      </c>
      <c r="C7" s="16" t="n">
        <v>1</v>
      </c>
      <c r="D7" s="49" t="n">
        <v>243.61</v>
      </c>
      <c r="E7" s="18" t="n">
        <v>8476</v>
      </c>
      <c r="F7" s="18" t="n">
        <v>8705</v>
      </c>
      <c r="G7" s="19">
        <f>IF(F7=0,0,E7/F7*100)</f>
        <v/>
      </c>
      <c r="H7" s="16" t="n">
        <v>0</v>
      </c>
      <c r="I7" s="16" t="n">
        <v>0</v>
      </c>
      <c r="J7" s="16" t="n">
        <v>0</v>
      </c>
      <c r="K7" s="16" t="n">
        <v>6</v>
      </c>
    </row>
    <row r="8">
      <c r="A8" s="15" t="inlineStr">
        <is>
          <t>29 Jun</t>
        </is>
      </c>
      <c r="B8" s="15" t="inlineStr">
        <is>
          <t>37401</t>
        </is>
      </c>
      <c r="C8" s="16" t="n">
        <v>1</v>
      </c>
      <c r="D8" s="49" t="n">
        <v>243.89</v>
      </c>
      <c r="E8" s="18" t="n">
        <v>8391</v>
      </c>
      <c r="F8" s="18" t="n">
        <v>8471</v>
      </c>
      <c r="G8" s="19">
        <f>IF(F8=0,0,E8/F8*100)</f>
        <v/>
      </c>
      <c r="H8" s="16" t="n">
        <v>0</v>
      </c>
      <c r="I8" s="16" t="n">
        <v>0</v>
      </c>
      <c r="J8" s="16" t="n">
        <v>0</v>
      </c>
      <c r="K8" s="16" t="n">
        <v>5</v>
      </c>
    </row>
    <row r="9">
      <c r="A9" s="15" t="inlineStr">
        <is>
          <t>29 Jun</t>
        </is>
      </c>
      <c r="B9" s="15" t="inlineStr">
        <is>
          <t>37403</t>
        </is>
      </c>
      <c r="C9" s="16" t="n">
        <v>0</v>
      </c>
      <c r="D9" s="49" t="n">
        <v>199.73</v>
      </c>
      <c r="E9" s="18" t="n">
        <v>18981</v>
      </c>
      <c r="F9" s="18" t="n">
        <v>19158</v>
      </c>
      <c r="G9" s="19">
        <f>IF(F9=0,0,E9/F9*100)</f>
        <v/>
      </c>
      <c r="H9" s="16" t="n">
        <v>0</v>
      </c>
      <c r="I9" s="16" t="n">
        <v>0</v>
      </c>
      <c r="J9" s="16" t="n">
        <v>0</v>
      </c>
      <c r="K9" s="16" t="n">
        <v>0</v>
      </c>
    </row>
    <row r="10">
      <c r="A10" s="15" t="inlineStr">
        <is>
          <t>29 Jun</t>
        </is>
      </c>
      <c r="B10" s="15" t="inlineStr">
        <is>
          <t>37246</t>
        </is>
      </c>
      <c r="C10" s="16" t="n">
        <v>0</v>
      </c>
      <c r="D10" s="49" t="n">
        <v>199.05</v>
      </c>
      <c r="E10" s="18" t="n">
        <v>13363</v>
      </c>
      <c r="F10" s="18" t="n">
        <v>13397</v>
      </c>
      <c r="G10" s="19">
        <f>IF(F10=0,0,E10/F10*100)</f>
        <v/>
      </c>
      <c r="H10" s="16" t="n">
        <v>0</v>
      </c>
      <c r="I10" s="16" t="n">
        <v>0</v>
      </c>
      <c r="J10" s="16" t="n">
        <v>0</v>
      </c>
      <c r="K10" s="16" t="n">
        <v>0</v>
      </c>
    </row>
    <row r="11">
      <c r="A11" s="15" t="inlineStr">
        <is>
          <t>29 Jun</t>
        </is>
      </c>
      <c r="B11" s="15" t="inlineStr">
        <is>
          <t>37042</t>
        </is>
      </c>
      <c r="C11" s="16" t="n">
        <v>0</v>
      </c>
      <c r="D11" s="49" t="n">
        <v>94.28</v>
      </c>
      <c r="E11" s="18" t="n">
        <v>12281</v>
      </c>
      <c r="F11" s="18" t="n">
        <v>12850</v>
      </c>
      <c r="G11" s="19">
        <f>IF(F11=0,0,E11/F11*100)</f>
        <v/>
      </c>
      <c r="H11" s="16" t="n">
        <v>0</v>
      </c>
      <c r="I11" s="16" t="n">
        <v>0</v>
      </c>
      <c r="J11" s="16" t="n">
        <v>0</v>
      </c>
      <c r="K11" s="16" t="n">
        <v>14</v>
      </c>
    </row>
    <row r="12">
      <c r="A12" s="15" t="inlineStr">
        <is>
          <t>29 Jun</t>
        </is>
      </c>
      <c r="B12" s="15" t="inlineStr">
        <is>
          <t>37720</t>
        </is>
      </c>
      <c r="C12" s="16" t="n">
        <v>0</v>
      </c>
      <c r="D12" s="49" t="n">
        <v>199.2</v>
      </c>
      <c r="E12" s="18" t="n">
        <v>11764</v>
      </c>
      <c r="F12" s="18" t="n">
        <v>11830</v>
      </c>
      <c r="G12" s="19">
        <f>IF(F12=0,0,E12/F12*100)</f>
        <v/>
      </c>
      <c r="H12" s="16" t="n">
        <v>2</v>
      </c>
      <c r="I12" s="16" t="n">
        <v>0</v>
      </c>
      <c r="J12" s="16" t="n">
        <v>2</v>
      </c>
      <c r="K12" s="16" t="n">
        <v>1</v>
      </c>
    </row>
    <row r="13">
      <c r="A13" s="15" t="inlineStr">
        <is>
          <t>29 Jun</t>
        </is>
      </c>
      <c r="B13" s="15" t="inlineStr">
        <is>
          <t>30328</t>
        </is>
      </c>
      <c r="C13" s="16" t="n">
        <v>0</v>
      </c>
      <c r="D13" s="49" t="n">
        <v>231.64</v>
      </c>
      <c r="E13" s="18" t="n">
        <v>11544</v>
      </c>
      <c r="F13" s="18" t="n">
        <v>11660</v>
      </c>
      <c r="G13" s="19">
        <f>IF(F13=0,0,E13/F13*100)</f>
        <v/>
      </c>
      <c r="H13" s="16" t="n">
        <v>0</v>
      </c>
      <c r="I13" s="16" t="n">
        <v>0</v>
      </c>
      <c r="J13" s="16" t="n">
        <v>0</v>
      </c>
      <c r="K13" s="16" t="n">
        <v>3</v>
      </c>
    </row>
    <row r="14">
      <c r="A14" s="15" t="inlineStr">
        <is>
          <t>29 Jun</t>
        </is>
      </c>
      <c r="B14" s="15" t="inlineStr">
        <is>
          <t>37025</t>
        </is>
      </c>
      <c r="C14" s="16" t="n">
        <v>0</v>
      </c>
      <c r="D14" s="49" t="n">
        <v>199.47</v>
      </c>
      <c r="E14" s="18" t="n">
        <v>10290</v>
      </c>
      <c r="F14" s="18" t="n">
        <v>10356</v>
      </c>
      <c r="G14" s="19">
        <f>IF(F14=0,0,E14/F14*100)</f>
        <v/>
      </c>
      <c r="H14" s="16" t="n">
        <v>0</v>
      </c>
      <c r="I14" s="16" t="n">
        <v>0</v>
      </c>
      <c r="J14" s="16" t="n">
        <v>0</v>
      </c>
      <c r="K14" s="16" t="n">
        <v>0</v>
      </c>
    </row>
    <row r="15">
      <c r="A15" s="15" t="inlineStr">
        <is>
          <t>29 Jun</t>
        </is>
      </c>
      <c r="B15" s="15" t="inlineStr">
        <is>
          <t>37005</t>
        </is>
      </c>
      <c r="C15" s="16" t="n">
        <v>0</v>
      </c>
      <c r="D15" s="49" t="n">
        <v>232.13</v>
      </c>
      <c r="E15" s="18" t="n">
        <v>9698</v>
      </c>
      <c r="F15" s="18" t="n">
        <v>9723</v>
      </c>
      <c r="G15" s="19">
        <f>IF(F15=0,0,E15/F15*100)</f>
        <v/>
      </c>
      <c r="H15" s="16" t="n">
        <v>0</v>
      </c>
      <c r="I15" s="16" t="n">
        <v>0</v>
      </c>
      <c r="J15" s="16" t="n">
        <v>0</v>
      </c>
      <c r="K15" s="16" t="n">
        <v>1</v>
      </c>
    </row>
    <row r="16">
      <c r="A16" s="15" t="inlineStr">
        <is>
          <t>29 Jun</t>
        </is>
      </c>
      <c r="B16" s="15" t="inlineStr">
        <is>
          <t>30493</t>
        </is>
      </c>
      <c r="C16" s="16" t="n">
        <v>0</v>
      </c>
      <c r="D16" s="49" t="n">
        <v>232.25</v>
      </c>
      <c r="E16" s="18" t="n">
        <v>9573</v>
      </c>
      <c r="F16" s="18" t="n">
        <v>9602</v>
      </c>
      <c r="G16" s="19">
        <f>IF(F16=0,0,E16/F16*100)</f>
        <v/>
      </c>
      <c r="H16" s="16" t="n">
        <v>0</v>
      </c>
      <c r="I16" s="16" t="n">
        <v>0</v>
      </c>
      <c r="J16" s="16" t="n">
        <v>0</v>
      </c>
      <c r="K16" s="16" t="n">
        <v>2</v>
      </c>
    </row>
    <row r="17">
      <c r="A17" s="15" t="inlineStr">
        <is>
          <t>29 Jun</t>
        </is>
      </c>
      <c r="B17" s="15" t="inlineStr">
        <is>
          <t>30639</t>
        </is>
      </c>
      <c r="C17" s="16" t="n">
        <v>0</v>
      </c>
      <c r="D17" s="49" t="n">
        <v>94.26000000000001</v>
      </c>
      <c r="E17" s="18" t="n">
        <v>9333</v>
      </c>
      <c r="F17" s="18" t="n">
        <v>9541</v>
      </c>
      <c r="G17" s="19">
        <f>IF(F17=0,0,E17/F17*100)</f>
        <v/>
      </c>
      <c r="H17" s="16" t="n">
        <v>0</v>
      </c>
      <c r="I17" s="16" t="n">
        <v>0</v>
      </c>
      <c r="J17" s="16" t="n">
        <v>0</v>
      </c>
      <c r="K17" s="16" t="n">
        <v>3</v>
      </c>
    </row>
    <row r="18">
      <c r="A18" s="15" t="inlineStr">
        <is>
          <t>29 Jun</t>
        </is>
      </c>
      <c r="B18" s="15" t="inlineStr">
        <is>
          <t>39095</t>
        </is>
      </c>
      <c r="C18" s="16" t="n">
        <v>0</v>
      </c>
      <c r="D18" s="49" t="n">
        <v>199.4</v>
      </c>
      <c r="E18" s="18" t="n">
        <v>8782</v>
      </c>
      <c r="F18" s="18" t="n">
        <v>8848</v>
      </c>
      <c r="G18" s="19">
        <f>IF(F18=0,0,E18/F18*100)</f>
        <v/>
      </c>
      <c r="H18" s="16" t="n">
        <v>0</v>
      </c>
      <c r="I18" s="16" t="n">
        <v>0</v>
      </c>
      <c r="J18" s="16" t="n">
        <v>0</v>
      </c>
      <c r="K18" s="16" t="n">
        <v>4</v>
      </c>
    </row>
    <row r="19">
      <c r="A19" s="15" t="inlineStr">
        <is>
          <t>29 Jun</t>
        </is>
      </c>
      <c r="B19" s="15" t="inlineStr">
        <is>
          <t>37081</t>
        </is>
      </c>
      <c r="C19" s="16" t="n">
        <v>0</v>
      </c>
      <c r="D19" s="49" t="n">
        <v>207.51</v>
      </c>
      <c r="E19" s="18" t="n">
        <v>8546</v>
      </c>
      <c r="F19" s="18" t="n">
        <v>8574</v>
      </c>
      <c r="G19" s="19">
        <f>IF(F19=0,0,E19/F19*100)</f>
        <v/>
      </c>
      <c r="H19" s="16" t="n">
        <v>1</v>
      </c>
      <c r="I19" s="16" t="n">
        <v>0</v>
      </c>
      <c r="J19" s="16" t="n">
        <v>1</v>
      </c>
      <c r="K19" s="16" t="n">
        <v>2</v>
      </c>
    </row>
    <row r="20">
      <c r="A20" s="15" t="inlineStr">
        <is>
          <t>29 Jun</t>
        </is>
      </c>
      <c r="B20" s="15" t="inlineStr">
        <is>
          <t>37610</t>
        </is>
      </c>
      <c r="C20" s="16" t="n">
        <v>0</v>
      </c>
      <c r="D20" s="49" t="n">
        <v>244</v>
      </c>
      <c r="E20" s="18" t="n">
        <v>8122</v>
      </c>
      <c r="F20" s="18" t="n">
        <v>8263</v>
      </c>
      <c r="G20" s="19">
        <f>IF(F20=0,0,E20/F20*100)</f>
        <v/>
      </c>
      <c r="H20" s="16" t="n">
        <v>2</v>
      </c>
      <c r="I20" s="16" t="n">
        <v>0</v>
      </c>
      <c r="J20" s="16" t="n">
        <v>2</v>
      </c>
      <c r="K20" s="16" t="n">
        <v>5</v>
      </c>
    </row>
    <row r="21">
      <c r="A21" s="15" t="inlineStr">
        <is>
          <t>29 Jun</t>
        </is>
      </c>
      <c r="B21" s="15" t="inlineStr">
        <is>
          <t>30203</t>
        </is>
      </c>
      <c r="C21" s="16" t="n">
        <v>0</v>
      </c>
      <c r="D21" s="49" t="n">
        <v>232.25</v>
      </c>
      <c r="E21" s="18" t="n">
        <v>8070</v>
      </c>
      <c r="F21" s="18" t="n">
        <v>8119</v>
      </c>
      <c r="G21" s="19">
        <f>IF(F21=0,0,E21/F21*100)</f>
        <v/>
      </c>
      <c r="H21" s="16" t="n">
        <v>0</v>
      </c>
      <c r="I21" s="16" t="n">
        <v>0</v>
      </c>
      <c r="J21" s="16" t="n">
        <v>0</v>
      </c>
      <c r="K21" s="16" t="n">
        <v>5</v>
      </c>
    </row>
    <row r="22">
      <c r="A22" s="15" t="inlineStr">
        <is>
          <t>29 Jun</t>
        </is>
      </c>
      <c r="B22" s="15" t="inlineStr">
        <is>
          <t>37044</t>
        </is>
      </c>
      <c r="C22" s="16" t="n">
        <v>0</v>
      </c>
      <c r="D22" s="49" t="n">
        <v>148.44</v>
      </c>
      <c r="E22" s="18" t="n">
        <v>7659</v>
      </c>
      <c r="F22" s="18" t="n">
        <v>7675</v>
      </c>
      <c r="G22" s="19">
        <f>IF(F22=0,0,E22/F22*100)</f>
        <v/>
      </c>
      <c r="H22" s="16" t="n">
        <v>0</v>
      </c>
      <c r="I22" s="16" t="n">
        <v>0</v>
      </c>
      <c r="J22" s="16" t="n">
        <v>0</v>
      </c>
      <c r="K22" s="16" t="n">
        <v>0</v>
      </c>
    </row>
    <row r="23">
      <c r="A23" s="15" t="inlineStr">
        <is>
          <t>29 Jun</t>
        </is>
      </c>
      <c r="B23" s="15" t="inlineStr">
        <is>
          <t>39111</t>
        </is>
      </c>
      <c r="C23" s="16" t="n">
        <v>0</v>
      </c>
      <c r="D23" s="49" t="n">
        <v>199.46</v>
      </c>
      <c r="E23" s="18" t="n">
        <v>7339</v>
      </c>
      <c r="F23" s="18" t="n">
        <v>7592</v>
      </c>
      <c r="G23" s="19">
        <f>IF(F23=0,0,E23/F23*100)</f>
        <v/>
      </c>
      <c r="H23" s="16" t="n">
        <v>0</v>
      </c>
      <c r="I23" s="16" t="n">
        <v>0</v>
      </c>
      <c r="J23" s="16" t="n">
        <v>0</v>
      </c>
      <c r="K23" s="16" t="n">
        <v>5</v>
      </c>
    </row>
    <row r="24">
      <c r="A24" s="15" t="inlineStr">
        <is>
          <t>29 Jun</t>
        </is>
      </c>
      <c r="B24" s="15" t="inlineStr">
        <is>
          <t>30327</t>
        </is>
      </c>
      <c r="C24" s="16" t="n">
        <v>0</v>
      </c>
      <c r="D24" s="49" t="n">
        <v>172.74</v>
      </c>
      <c r="E24" s="18" t="n">
        <v>7507</v>
      </c>
      <c r="F24" s="18" t="n">
        <v>7546</v>
      </c>
      <c r="G24" s="19">
        <f>IF(F24=0,0,E24/F24*100)</f>
        <v/>
      </c>
      <c r="H24" s="16" t="n">
        <v>0</v>
      </c>
      <c r="I24" s="16" t="n">
        <v>0</v>
      </c>
      <c r="J24" s="16" t="n">
        <v>0</v>
      </c>
      <c r="K24" s="16" t="n">
        <v>2</v>
      </c>
    </row>
    <row r="25">
      <c r="A25" s="15" t="inlineStr">
        <is>
          <t>29 Jun</t>
        </is>
      </c>
      <c r="B25" s="15" t="inlineStr">
        <is>
          <t>30457</t>
        </is>
      </c>
      <c r="C25" s="16" t="n">
        <v>0</v>
      </c>
      <c r="D25" s="49" t="n">
        <v>82.5</v>
      </c>
      <c r="E25" s="18" t="n">
        <v>7329</v>
      </c>
      <c r="F25" s="18" t="n">
        <v>7529</v>
      </c>
      <c r="G25" s="19">
        <f>IF(F25=0,0,E25/F25*100)</f>
        <v/>
      </c>
      <c r="H25" s="16" t="n">
        <v>0</v>
      </c>
      <c r="I25" s="16" t="n">
        <v>0</v>
      </c>
      <c r="J25" s="16" t="n">
        <v>0</v>
      </c>
      <c r="K25" s="16" t="n">
        <v>5</v>
      </c>
    </row>
    <row r="26">
      <c r="A26" s="15" t="inlineStr">
        <is>
          <t>29 Jun</t>
        </is>
      </c>
      <c r="B26" s="15" t="inlineStr">
        <is>
          <t>39482</t>
        </is>
      </c>
      <c r="C26" s="16" t="n">
        <v>0</v>
      </c>
      <c r="D26" s="49" t="n">
        <v>199.4</v>
      </c>
      <c r="E26" s="18" t="n">
        <v>7044</v>
      </c>
      <c r="F26" s="18" t="n">
        <v>7278</v>
      </c>
      <c r="G26" s="19">
        <f>IF(F26=0,0,E26/F26*100)</f>
        <v/>
      </c>
      <c r="H26" s="16" t="n">
        <v>0</v>
      </c>
      <c r="I26" s="16" t="n">
        <v>0</v>
      </c>
      <c r="J26" s="16" t="n">
        <v>0</v>
      </c>
      <c r="K26" s="16" t="n">
        <v>3</v>
      </c>
    </row>
    <row r="27">
      <c r="A27" s="15" t="inlineStr">
        <is>
          <t>29 Jun</t>
        </is>
      </c>
      <c r="B27" s="15" t="inlineStr">
        <is>
          <t>30199</t>
        </is>
      </c>
      <c r="C27" s="16" t="n">
        <v>0</v>
      </c>
      <c r="D27" s="49" t="n">
        <v>82.48999999999999</v>
      </c>
      <c r="E27" s="18" t="n">
        <v>6632</v>
      </c>
      <c r="F27" s="18" t="n">
        <v>6729</v>
      </c>
      <c r="G27" s="19">
        <f>IF(F27=0,0,E27/F27*100)</f>
        <v/>
      </c>
      <c r="H27" s="16" t="n">
        <v>0</v>
      </c>
      <c r="I27" s="16" t="n">
        <v>0</v>
      </c>
      <c r="J27" s="16" t="n">
        <v>0</v>
      </c>
      <c r="K27" s="16" t="n">
        <v>2</v>
      </c>
    </row>
    <row r="28">
      <c r="A28" s="15" t="inlineStr">
        <is>
          <t>29 Jun</t>
        </is>
      </c>
      <c r="B28" s="15" t="inlineStr">
        <is>
          <t>30503</t>
        </is>
      </c>
      <c r="C28" s="16" t="n">
        <v>0</v>
      </c>
      <c r="D28" s="49" t="n">
        <v>82.62</v>
      </c>
      <c r="E28" s="18" t="n">
        <v>6512</v>
      </c>
      <c r="F28" s="18" t="n">
        <v>6632</v>
      </c>
      <c r="G28" s="19">
        <f>IF(F28=0,0,E28/F28*100)</f>
        <v/>
      </c>
      <c r="H28" s="16" t="n">
        <v>1</v>
      </c>
      <c r="I28" s="16" t="n">
        <v>0</v>
      </c>
      <c r="J28" s="16" t="n">
        <v>1</v>
      </c>
      <c r="K28" s="16" t="n">
        <v>2</v>
      </c>
    </row>
    <row r="29">
      <c r="A29" s="15" t="inlineStr">
        <is>
          <t>29 Jun</t>
        </is>
      </c>
      <c r="B29" s="15" t="inlineStr">
        <is>
          <t>37585</t>
        </is>
      </c>
      <c r="C29" s="16" t="n">
        <v>0</v>
      </c>
      <c r="D29" s="49" t="n">
        <v>157.53</v>
      </c>
      <c r="E29" s="18" t="n">
        <v>5179</v>
      </c>
      <c r="F29" s="18" t="n">
        <v>5243</v>
      </c>
      <c r="G29" s="19">
        <f>IF(F29=0,0,E29/F29*100)</f>
        <v/>
      </c>
      <c r="H29" s="16" t="n">
        <v>0</v>
      </c>
      <c r="I29" s="16" t="n">
        <v>0</v>
      </c>
      <c r="J29" s="16" t="n">
        <v>0</v>
      </c>
      <c r="K29" s="16" t="n">
        <v>0</v>
      </c>
    </row>
    <row r="30">
      <c r="A30" s="15" t="inlineStr">
        <is>
          <t>29 Jun</t>
        </is>
      </c>
      <c r="B30" s="15" t="inlineStr">
        <is>
          <t>37481</t>
        </is>
      </c>
      <c r="C30" s="16" t="n">
        <v>0</v>
      </c>
      <c r="D30" s="49" t="n">
        <v>94.18000000000001</v>
      </c>
      <c r="E30" s="18" t="n">
        <v>4789</v>
      </c>
      <c r="F30" s="18" t="n">
        <v>5024</v>
      </c>
      <c r="G30" s="19">
        <f>IF(F30=0,0,E30/F30*100)</f>
        <v/>
      </c>
      <c r="H30" s="16" t="n">
        <v>2</v>
      </c>
      <c r="I30" s="16" t="n">
        <v>0</v>
      </c>
      <c r="J30" s="16" t="n">
        <v>2</v>
      </c>
      <c r="K30" s="16" t="n">
        <v>3</v>
      </c>
    </row>
    <row r="31">
      <c r="A31" s="15" t="inlineStr">
        <is>
          <t>29 Jun</t>
        </is>
      </c>
      <c r="B31" s="15" t="inlineStr">
        <is>
          <t>30552</t>
        </is>
      </c>
      <c r="C31" s="16" t="n">
        <v>0</v>
      </c>
      <c r="D31" s="49" t="n">
        <v>82.51000000000001</v>
      </c>
      <c r="E31" s="18" t="n">
        <v>4329</v>
      </c>
      <c r="F31" s="18" t="n">
        <v>4336</v>
      </c>
      <c r="G31" s="19">
        <f>IF(F31=0,0,E31/F31*100)</f>
        <v/>
      </c>
      <c r="H31" s="16" t="n">
        <v>0</v>
      </c>
      <c r="I31" s="16" t="n">
        <v>0</v>
      </c>
      <c r="J31" s="16" t="n">
        <v>0</v>
      </c>
      <c r="K31" s="16" t="n">
        <v>0</v>
      </c>
    </row>
    <row r="32">
      <c r="A32" s="15" t="inlineStr">
        <is>
          <t>29 Jun</t>
        </is>
      </c>
      <c r="B32" s="15" t="inlineStr">
        <is>
          <t>37777</t>
        </is>
      </c>
      <c r="C32" s="16" t="n">
        <v>0</v>
      </c>
      <c r="D32" s="49" t="n">
        <v>94.15000000000001</v>
      </c>
      <c r="E32" s="18" t="n">
        <v>4141</v>
      </c>
      <c r="F32" s="18" t="n">
        <v>4287</v>
      </c>
      <c r="G32" s="19">
        <f>IF(F32=0,0,E32/F32*100)</f>
        <v/>
      </c>
      <c r="H32" s="16" t="n">
        <v>0</v>
      </c>
      <c r="I32" s="16" t="n">
        <v>0</v>
      </c>
      <c r="J32" s="16" t="n">
        <v>0</v>
      </c>
      <c r="K32" s="16" t="n">
        <v>0</v>
      </c>
    </row>
    <row r="33">
      <c r="A33" s="15" t="inlineStr">
        <is>
          <t>29 Jun</t>
        </is>
      </c>
      <c r="B33" s="15" t="inlineStr">
        <is>
          <t>39263</t>
        </is>
      </c>
      <c r="C33" s="16" t="n">
        <v>0</v>
      </c>
      <c r="D33" s="49" t="n">
        <v>81.37</v>
      </c>
      <c r="E33" s="18" t="n">
        <v>3236</v>
      </c>
      <c r="F33" s="18" t="n">
        <v>3444</v>
      </c>
      <c r="G33" s="19">
        <f>IF(F33=0,0,E33/F33*100)</f>
        <v/>
      </c>
      <c r="H33" s="16" t="n">
        <v>0</v>
      </c>
      <c r="I33" s="16" t="n">
        <v>0</v>
      </c>
      <c r="J33" s="16" t="n">
        <v>0</v>
      </c>
      <c r="K33" s="16" t="n">
        <v>7</v>
      </c>
    </row>
    <row r="34">
      <c r="A34" s="15" t="inlineStr">
        <is>
          <t>29 Jun</t>
        </is>
      </c>
      <c r="B34" s="15" t="inlineStr">
        <is>
          <t>30205</t>
        </is>
      </c>
      <c r="C34" s="16" t="n">
        <v>0</v>
      </c>
      <c r="D34" s="49" t="n">
        <v>82.52</v>
      </c>
      <c r="E34" s="18" t="n">
        <v>3342</v>
      </c>
      <c r="F34" s="18" t="n">
        <v>3350</v>
      </c>
      <c r="G34" s="19">
        <f>IF(F34=0,0,E34/F34*100)</f>
        <v/>
      </c>
      <c r="H34" s="16" t="n">
        <v>0</v>
      </c>
      <c r="I34" s="16" t="n">
        <v>0</v>
      </c>
      <c r="J34" s="16" t="n">
        <v>0</v>
      </c>
      <c r="K34" s="16" t="n">
        <v>0</v>
      </c>
    </row>
    <row r="35">
      <c r="A35" s="15" t="inlineStr">
        <is>
          <t>29 Jun</t>
        </is>
      </c>
      <c r="B35" s="15" t="inlineStr">
        <is>
          <t>30371</t>
        </is>
      </c>
      <c r="C35" s="16" t="n">
        <v>0</v>
      </c>
      <c r="D35" s="49" t="n">
        <v>81.06999999999999</v>
      </c>
      <c r="E35" s="18" t="n">
        <v>3111</v>
      </c>
      <c r="F35" s="18" t="n">
        <v>3116</v>
      </c>
      <c r="G35" s="19">
        <f>IF(F35=0,0,E35/F35*100)</f>
        <v/>
      </c>
      <c r="H35" s="16" t="n">
        <v>0</v>
      </c>
      <c r="I35" s="16" t="n">
        <v>0</v>
      </c>
      <c r="J35" s="16" t="n">
        <v>0</v>
      </c>
      <c r="K35" s="16" t="n">
        <v>0</v>
      </c>
    </row>
    <row r="36">
      <c r="A36" s="15" t="inlineStr">
        <is>
          <t>29 Jun</t>
        </is>
      </c>
      <c r="B36" s="15" t="inlineStr">
        <is>
          <t>37268</t>
        </is>
      </c>
      <c r="C36" s="16" t="n">
        <v>0</v>
      </c>
      <c r="D36" s="49" t="n">
        <v>35.31</v>
      </c>
      <c r="E36" s="18" t="n">
        <v>1353</v>
      </c>
      <c r="F36" s="18" t="n">
        <v>1386</v>
      </c>
      <c r="G36" s="19">
        <f>IF(F36=0,0,E36/F36*100)</f>
        <v/>
      </c>
      <c r="H36" s="16" t="n">
        <v>0</v>
      </c>
      <c r="I36" s="16" t="n">
        <v>0</v>
      </c>
      <c r="J36" s="16" t="n">
        <v>0</v>
      </c>
      <c r="K36" s="16" t="n">
        <v>0</v>
      </c>
    </row>
    <row r="37">
      <c r="A37" s="15" t="inlineStr">
        <is>
          <t>29 Jun</t>
        </is>
      </c>
      <c r="B37" s="15" t="inlineStr">
        <is>
          <t>37244</t>
        </is>
      </c>
      <c r="C37" s="16" t="n">
        <v>0</v>
      </c>
      <c r="D37" s="49" t="n">
        <v>8.050000000000001</v>
      </c>
      <c r="E37" s="18" t="n">
        <v>968</v>
      </c>
      <c r="F37" s="18" t="n">
        <v>1031</v>
      </c>
      <c r="G37" s="19">
        <f>IF(F37=0,0,E37/F37*100)</f>
        <v/>
      </c>
      <c r="H37" s="16" t="n">
        <v>0</v>
      </c>
      <c r="I37" s="16" t="n">
        <v>0</v>
      </c>
      <c r="J37" s="16" t="n">
        <v>0</v>
      </c>
      <c r="K37" s="16" t="n">
        <v>0</v>
      </c>
    </row>
    <row r="38">
      <c r="A38" s="15" t="inlineStr">
        <is>
          <t>29 Jun</t>
        </is>
      </c>
      <c r="B38" s="15" t="inlineStr">
        <is>
          <t>37260</t>
        </is>
      </c>
      <c r="C38" s="16" t="n">
        <v>0</v>
      </c>
      <c r="D38" s="49" t="n">
        <v>21.42</v>
      </c>
      <c r="E38" s="18" t="n">
        <v>689</v>
      </c>
      <c r="F38" s="18" t="n">
        <v>770</v>
      </c>
      <c r="G38" s="19">
        <f>IF(F38=0,0,E38/F38*100)</f>
        <v/>
      </c>
      <c r="H38" s="16" t="n">
        <v>1</v>
      </c>
      <c r="I38" s="16" t="n">
        <v>0</v>
      </c>
      <c r="J38" s="16" t="n">
        <v>1</v>
      </c>
      <c r="K38" s="16" t="n">
        <v>0</v>
      </c>
    </row>
    <row r="39">
      <c r="A39" s="15" t="inlineStr">
        <is>
          <t>29 Jun</t>
        </is>
      </c>
      <c r="B39" s="15" t="inlineStr">
        <is>
          <t>39133</t>
        </is>
      </c>
      <c r="C39" s="16" t="n">
        <v>0</v>
      </c>
      <c r="D39" s="49" t="n">
        <v>0.51</v>
      </c>
      <c r="E39" s="18" t="n">
        <v>303</v>
      </c>
      <c r="F39" s="18" t="n">
        <v>367</v>
      </c>
      <c r="G39" s="19">
        <f>IF(F39=0,0,E39/F39*100)</f>
        <v/>
      </c>
      <c r="H39" s="16" t="n">
        <v>4</v>
      </c>
      <c r="I39" s="16" t="n">
        <v>0</v>
      </c>
      <c r="J39" s="16" t="n">
        <v>4</v>
      </c>
      <c r="K39" s="16" t="n">
        <v>5</v>
      </c>
    </row>
    <row r="40">
      <c r="A40" s="15" t="inlineStr">
        <is>
          <t>29 Jun</t>
        </is>
      </c>
      <c r="B40" s="15" t="inlineStr">
        <is>
          <t>30369</t>
        </is>
      </c>
      <c r="C40" s="16" t="n">
        <v>0</v>
      </c>
      <c r="D40" s="49" t="n">
        <v>0.95</v>
      </c>
      <c r="E40" s="18" t="n">
        <v>238</v>
      </c>
      <c r="F40" s="18" t="n">
        <v>242</v>
      </c>
      <c r="G40" s="19">
        <f>IF(F40=0,0,E40/F40*100)</f>
        <v/>
      </c>
      <c r="H40" s="16" t="n">
        <v>0</v>
      </c>
      <c r="I40" s="16" t="n">
        <v>0</v>
      </c>
      <c r="J40" s="16" t="n">
        <v>0</v>
      </c>
      <c r="K40" s="16" t="n">
        <v>1</v>
      </c>
    </row>
    <row r="41">
      <c r="A41" s="15" t="inlineStr">
        <is>
          <t>29 Jun</t>
        </is>
      </c>
      <c r="B41" s="15" t="inlineStr">
        <is>
          <t>555555</t>
        </is>
      </c>
      <c r="C41" s="16" t="n">
        <v>0</v>
      </c>
      <c r="D41" s="49" t="n">
        <v>5.9</v>
      </c>
      <c r="E41" s="18" t="n">
        <v>6</v>
      </c>
      <c r="F41" s="18" t="n">
        <v>11</v>
      </c>
      <c r="G41" s="19">
        <f>IF(F41=0,0,E41/F41*100)</f>
        <v/>
      </c>
      <c r="H41" s="16" t="n">
        <v>0</v>
      </c>
      <c r="I41" s="16" t="n">
        <v>0</v>
      </c>
      <c r="J41" s="16" t="n">
        <v>0</v>
      </c>
      <c r="K41" s="16" t="n">
        <v>3</v>
      </c>
    </row>
    <row r="42">
      <c r="A42" s="20" t="inlineStr">
        <is>
          <t>29 Jun</t>
        </is>
      </c>
      <c r="B42" s="20" t="inlineStr">
        <is>
          <t>Day Total</t>
        </is>
      </c>
      <c r="C42" s="21">
        <f>SUM(C4:C41)</f>
        <v/>
      </c>
      <c r="D42" s="50">
        <f>SUM(D4:D41)</f>
        <v/>
      </c>
      <c r="E42" s="23">
        <f>SUM(E4:E41)</f>
        <v/>
      </c>
      <c r="F42" s="23">
        <f>SUMIF(E4:E41,"&gt;0",F4:F41)</f>
        <v/>
      </c>
      <c r="G42" s="24">
        <f>IF(F42=0,0,E42/F42*100)</f>
        <v/>
      </c>
      <c r="H42" s="21">
        <f>SUM(H4:H41)</f>
        <v/>
      </c>
      <c r="I42" s="21">
        <f>SUM(I4:I41)</f>
        <v/>
      </c>
      <c r="J42" s="21">
        <f>SUM(J4:J41)</f>
        <v/>
      </c>
      <c r="K42" s="21">
        <f>SUM(K4:K41)</f>
        <v/>
      </c>
    </row>
    <row r="43">
      <c r="A43" s="25" t="inlineStr">
        <is>
          <t>GRAND TOTAL</t>
        </is>
      </c>
      <c r="B43" s="25" t="n"/>
      <c r="C43" s="26">
        <f>C42</f>
        <v/>
      </c>
      <c r="D43" s="51">
        <f>D42</f>
        <v/>
      </c>
      <c r="E43" s="28">
        <f>E42</f>
        <v/>
      </c>
      <c r="F43" s="28">
        <f>F42</f>
        <v/>
      </c>
      <c r="G43" s="29">
        <f>IF(F43=0,0,E43/F43*100)</f>
        <v/>
      </c>
      <c r="H43" s="26">
        <f>H42</f>
        <v/>
      </c>
      <c r="I43" s="26">
        <f>I42</f>
        <v/>
      </c>
      <c r="J43" s="26">
        <f>J42</f>
        <v/>
      </c>
      <c r="K43" s="26">
        <f>K42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56" customWidth="1" min="13" max="13"/>
    <col width="26" customWidth="1" min="14" max="14"/>
    <col width="13" customWidth="1" min="15" max="15"/>
    <col width="46" customWidth="1" min="16" max="16"/>
    <col width="13" customWidth="1" min="17" max="17"/>
  </cols>
  <sheetData>
    <row r="1">
      <c r="A1" s="13" t="inlineStr">
        <is>
          <t>EB Detail — every Emergency-Brake event, with speed / MA / Emergency diagnostics + undesirable classification</t>
        </is>
      </c>
    </row>
    <row r="3">
      <c r="A3" s="30" t="inlineStr">
        <is>
          <t>Total EB = 15   ·   Valid trips = 2   ·   Non-valid trips = 13   ·   Undesirable = 7</t>
        </is>
      </c>
    </row>
    <row r="5" ht="34" customHeight="1">
      <c r="A5" s="14" t="inlineStr">
        <is>
          <t>Date</t>
        </is>
      </c>
      <c r="B5" s="14" t="inlineStr">
        <is>
          <t>Loco ID</t>
        </is>
      </c>
      <c r="C5" s="14" t="inlineStr">
        <is>
          <t>Trip Type</t>
        </is>
      </c>
      <c r="D5" s="14" t="inlineStr">
        <is>
          <t>Onset</t>
        </is>
      </c>
      <c r="E5" s="14" t="inlineStr">
        <is>
          <t>End</t>
        </is>
      </c>
      <c r="F5" s="14" t="inlineStr">
        <is>
          <t>Duration (s)</t>
        </is>
      </c>
      <c r="G5" s="14" t="inlineStr">
        <is>
          <t>EB Packets</t>
        </is>
      </c>
      <c r="H5" s="14" t="inlineStr">
        <is>
          <t>Max Speed</t>
        </is>
      </c>
      <c r="I5" s="14" t="inlineStr">
        <is>
          <t>Mode @onset</t>
        </is>
      </c>
      <c r="J5" s="14" t="inlineStr">
        <is>
          <t>Location (km)</t>
        </is>
      </c>
      <c r="K5" s="14" t="inlineStr">
        <is>
          <t>Dir</t>
        </is>
      </c>
      <c r="L5" s="14" t="inlineStr">
        <is>
          <t>Station</t>
        </is>
      </c>
      <c r="M5" s="14" t="inlineStr">
        <is>
          <t>Speed at EB (PG check)</t>
        </is>
      </c>
      <c r="N5" s="14" t="inlineStr">
        <is>
          <t>MA wrt Sig</t>
        </is>
      </c>
      <c r="O5" s="14" t="inlineStr">
        <is>
          <t>Emergency (LReg)</t>
        </is>
      </c>
      <c r="P5" s="14" t="inlineStr">
        <is>
          <t>Suspected Reason (undesirable)</t>
        </is>
      </c>
      <c r="Q5" s="14" t="inlineStr">
        <is>
          <t>Loco Type</t>
        </is>
      </c>
    </row>
    <row r="6">
      <c r="A6" s="31" t="inlineStr">
        <is>
          <t>29 Jun</t>
        </is>
      </c>
      <c r="B6" s="31" t="inlineStr">
        <is>
          <t>39133</t>
        </is>
      </c>
      <c r="C6" s="31" t="inlineStr">
        <is>
          <t>Non-Valid</t>
        </is>
      </c>
      <c r="D6" s="31" t="inlineStr">
        <is>
          <t>00:20:34</t>
        </is>
      </c>
      <c r="E6" s="31" t="inlineStr">
        <is>
          <t>00:20:34</t>
        </is>
      </c>
      <c r="F6" s="31" t="n">
        <v>0</v>
      </c>
      <c r="G6" s="31" t="n">
        <v>1</v>
      </c>
      <c r="H6" s="31" t="n">
        <v>2</v>
      </c>
      <c r="I6" s="31" t="inlineStr">
        <is>
          <t>FS</t>
        </is>
      </c>
      <c r="J6" s="32" t="n">
        <v>0.73</v>
      </c>
      <c r="K6" s="31" t="inlineStr">
        <is>
          <t>N</t>
        </is>
      </c>
      <c r="L6" s="31" t="inlineStr">
        <is>
          <t>Howrah</t>
        </is>
      </c>
      <c r="M6" s="33" t="inlineStr">
        <is>
          <t>2 km/h</t>
        </is>
      </c>
      <c r="N6" s="33" t="inlineStr">
        <is>
          <t>n/a</t>
        </is>
      </c>
      <c r="O6" s="31" t="inlineStr">
        <is>
          <t>-</t>
        </is>
      </c>
      <c r="P6" s="33" t="inlineStr">
        <is>
          <t>-</t>
        </is>
      </c>
      <c r="Q6" s="31" t="inlineStr">
        <is>
          <t>HBL</t>
        </is>
      </c>
    </row>
    <row r="7">
      <c r="A7" s="31" t="inlineStr">
        <is>
          <t>29 Jun</t>
        </is>
      </c>
      <c r="B7" s="31" t="inlineStr">
        <is>
          <t>39133</t>
        </is>
      </c>
      <c r="C7" s="31" t="inlineStr">
        <is>
          <t>Non-Valid</t>
        </is>
      </c>
      <c r="D7" s="31" t="inlineStr">
        <is>
          <t>00:20:48</t>
        </is>
      </c>
      <c r="E7" s="31" t="inlineStr">
        <is>
          <t>00:20:48</t>
        </is>
      </c>
      <c r="F7" s="31" t="n">
        <v>0</v>
      </c>
      <c r="G7" s="31" t="n">
        <v>1</v>
      </c>
      <c r="H7" s="31" t="n">
        <v>3</v>
      </c>
      <c r="I7" s="31" t="inlineStr">
        <is>
          <t>FS</t>
        </is>
      </c>
      <c r="J7" s="32" t="n">
        <v>0.73</v>
      </c>
      <c r="K7" s="31" t="inlineStr">
        <is>
          <t>N</t>
        </is>
      </c>
      <c r="L7" s="31" t="inlineStr">
        <is>
          <t>Howrah</t>
        </is>
      </c>
      <c r="M7" s="33" t="inlineStr">
        <is>
          <t>3 km/h</t>
        </is>
      </c>
      <c r="N7" s="33" t="inlineStr">
        <is>
          <t>n/a</t>
        </is>
      </c>
      <c r="O7" s="31" t="inlineStr">
        <is>
          <t>-</t>
        </is>
      </c>
      <c r="P7" s="33" t="inlineStr">
        <is>
          <t>-</t>
        </is>
      </c>
      <c r="Q7" s="31" t="inlineStr">
        <is>
          <t>HBL</t>
        </is>
      </c>
    </row>
    <row r="8">
      <c r="A8" s="31" t="inlineStr">
        <is>
          <t>29 Jun</t>
        </is>
      </c>
      <c r="B8" s="31" t="inlineStr">
        <is>
          <t>39133</t>
        </is>
      </c>
      <c r="C8" s="31" t="inlineStr">
        <is>
          <t>Non-Valid</t>
        </is>
      </c>
      <c r="D8" s="31" t="inlineStr">
        <is>
          <t>00:21:10</t>
        </is>
      </c>
      <c r="E8" s="31" t="inlineStr">
        <is>
          <t>00:21:12</t>
        </is>
      </c>
      <c r="F8" s="31" t="n">
        <v>2</v>
      </c>
      <c r="G8" s="31" t="n">
        <v>2</v>
      </c>
      <c r="H8" s="31" t="n">
        <v>3</v>
      </c>
      <c r="I8" s="31" t="inlineStr">
        <is>
          <t>FS</t>
        </is>
      </c>
      <c r="J8" s="32" t="n">
        <v>0.73</v>
      </c>
      <c r="K8" s="31" t="inlineStr">
        <is>
          <t>N</t>
        </is>
      </c>
      <c r="L8" s="31" t="inlineStr">
        <is>
          <t>Howrah</t>
        </is>
      </c>
      <c r="M8" s="33" t="inlineStr">
        <is>
          <t>2 km/h</t>
        </is>
      </c>
      <c r="N8" s="33" t="inlineStr">
        <is>
          <t>n/a</t>
        </is>
      </c>
      <c r="O8" s="31" t="inlineStr">
        <is>
          <t>-</t>
        </is>
      </c>
      <c r="P8" s="33" t="inlineStr">
        <is>
          <t>-</t>
        </is>
      </c>
      <c r="Q8" s="31" t="inlineStr">
        <is>
          <t>HBL</t>
        </is>
      </c>
    </row>
    <row r="9">
      <c r="A9" s="31" t="inlineStr">
        <is>
          <t>29 Jun</t>
        </is>
      </c>
      <c r="B9" s="31" t="inlineStr">
        <is>
          <t>39133</t>
        </is>
      </c>
      <c r="C9" s="31" t="inlineStr">
        <is>
          <t>Non-Valid</t>
        </is>
      </c>
      <c r="D9" s="31" t="inlineStr">
        <is>
          <t>00:22:42</t>
        </is>
      </c>
      <c r="E9" s="31" t="inlineStr">
        <is>
          <t>00:22:42</t>
        </is>
      </c>
      <c r="F9" s="31" t="n">
        <v>0</v>
      </c>
      <c r="G9" s="31" t="n">
        <v>1</v>
      </c>
      <c r="H9" s="31" t="n">
        <v>6</v>
      </c>
      <c r="I9" s="31" t="inlineStr">
        <is>
          <t>StandBy</t>
        </is>
      </c>
      <c r="J9" s="32" t="n">
        <v>0.85</v>
      </c>
      <c r="K9" s="31" t="inlineStr">
        <is>
          <t>U</t>
        </is>
      </c>
      <c r="L9" s="31" t="inlineStr">
        <is>
          <t>Howrah</t>
        </is>
      </c>
      <c r="M9" s="33" t="inlineStr">
        <is>
          <t>6 km/h</t>
        </is>
      </c>
      <c r="N9" s="33" t="inlineStr">
        <is>
          <t>n/a</t>
        </is>
      </c>
      <c r="O9" s="31" t="inlineStr">
        <is>
          <t>-</t>
        </is>
      </c>
      <c r="P9" s="33" t="inlineStr">
        <is>
          <t>StandBy Mode</t>
        </is>
      </c>
      <c r="Q9" s="31" t="inlineStr">
        <is>
          <t>HBL</t>
        </is>
      </c>
    </row>
    <row r="10">
      <c r="A10" s="31" t="inlineStr">
        <is>
          <t>29 Jun</t>
        </is>
      </c>
      <c r="B10" s="31" t="inlineStr">
        <is>
          <t>37610</t>
        </is>
      </c>
      <c r="C10" s="31" t="inlineStr">
        <is>
          <t>Non-Valid</t>
        </is>
      </c>
      <c r="D10" s="31" t="inlineStr">
        <is>
          <t>01:10:30</t>
        </is>
      </c>
      <c r="E10" s="31" t="inlineStr">
        <is>
          <t>01:10:30</t>
        </is>
      </c>
      <c r="F10" s="31" t="n">
        <v>0</v>
      </c>
      <c r="G10" s="31" t="n">
        <v>1</v>
      </c>
      <c r="H10" s="31" t="n">
        <v>3</v>
      </c>
      <c r="I10" s="31" t="inlineStr">
        <is>
          <t>OS</t>
        </is>
      </c>
      <c r="J10" s="32" t="n">
        <v>0.17</v>
      </c>
      <c r="K10" s="31" t="inlineStr">
        <is>
          <t>R</t>
        </is>
      </c>
      <c r="L10" s="31" t="inlineStr">
        <is>
          <t>Howrah</t>
        </is>
      </c>
      <c r="M10" s="33" t="inlineStr">
        <is>
          <t>3 km/h</t>
        </is>
      </c>
      <c r="N10" s="33" t="inlineStr">
        <is>
          <t>n/a</t>
        </is>
      </c>
      <c r="O10" s="31" t="inlineStr">
        <is>
          <t>-</t>
        </is>
      </c>
      <c r="P10" s="33" t="inlineStr">
        <is>
          <t>-</t>
        </is>
      </c>
      <c r="Q10" s="31" t="inlineStr">
        <is>
          <t>HBL</t>
        </is>
      </c>
    </row>
    <row r="11">
      <c r="A11" s="31" t="inlineStr">
        <is>
          <t>29 Jun</t>
        </is>
      </c>
      <c r="B11" s="31" t="inlineStr">
        <is>
          <t>37610</t>
        </is>
      </c>
      <c r="C11" s="31" t="inlineStr">
        <is>
          <t>Non-Valid</t>
        </is>
      </c>
      <c r="D11" s="31" t="inlineStr">
        <is>
          <t>01:10:46</t>
        </is>
      </c>
      <c r="E11" s="31" t="inlineStr">
        <is>
          <t>01:11:06</t>
        </is>
      </c>
      <c r="F11" s="31" t="n">
        <v>20</v>
      </c>
      <c r="G11" s="31" t="n">
        <v>3</v>
      </c>
      <c r="H11" s="31" t="n">
        <v>3</v>
      </c>
      <c r="I11" s="31" t="inlineStr">
        <is>
          <t>OS</t>
        </is>
      </c>
      <c r="J11" s="32" t="n">
        <v>0.16</v>
      </c>
      <c r="K11" s="31" t="inlineStr">
        <is>
          <t>R</t>
        </is>
      </c>
      <c r="L11" s="31" t="inlineStr">
        <is>
          <t>Howrah</t>
        </is>
      </c>
      <c r="M11" s="33" t="inlineStr">
        <is>
          <t>2 km/h</t>
        </is>
      </c>
      <c r="N11" s="33" t="inlineStr">
        <is>
          <t>n/a</t>
        </is>
      </c>
      <c r="O11" s="31" t="inlineStr">
        <is>
          <t>-</t>
        </is>
      </c>
      <c r="P11" s="33" t="inlineStr">
        <is>
          <t>-</t>
        </is>
      </c>
      <c r="Q11" s="31" t="inlineStr">
        <is>
          <t>HBL</t>
        </is>
      </c>
    </row>
    <row r="12">
      <c r="A12" s="31" t="inlineStr">
        <is>
          <t>29 Jun</t>
        </is>
      </c>
      <c r="B12" s="31" t="inlineStr">
        <is>
          <t>37081</t>
        </is>
      </c>
      <c r="C12" s="31" t="inlineStr">
        <is>
          <t>Non-Valid</t>
        </is>
      </c>
      <c r="D12" s="31" t="inlineStr">
        <is>
          <t>02:40:08</t>
        </is>
      </c>
      <c r="E12" s="31" t="inlineStr">
        <is>
          <t>02:40:08</t>
        </is>
      </c>
      <c r="F12" s="31" t="n">
        <v>0</v>
      </c>
      <c r="G12" s="31" t="n">
        <v>1</v>
      </c>
      <c r="H12" s="31" t="n">
        <v>50</v>
      </c>
      <c r="I12" s="31" t="inlineStr">
        <is>
          <t>FS</t>
        </is>
      </c>
      <c r="J12" s="32" t="n">
        <v>217.26</v>
      </c>
      <c r="K12" s="31" t="inlineStr">
        <is>
          <t>N</t>
        </is>
      </c>
      <c r="L12" s="31" t="inlineStr">
        <is>
          <t>Barakar</t>
        </is>
      </c>
      <c r="M12" s="33" t="inlineStr">
        <is>
          <t>50 km/h</t>
        </is>
      </c>
      <c r="N12" s="33" t="inlineStr">
        <is>
          <t>2877</t>
        </is>
      </c>
      <c r="O12" s="31" t="inlineStr">
        <is>
          <t>-</t>
        </is>
      </c>
      <c r="P12" s="33" t="inlineStr">
        <is>
          <t>-</t>
        </is>
      </c>
      <c r="Q12" s="31" t="inlineStr">
        <is>
          <t>HBL</t>
        </is>
      </c>
    </row>
    <row r="13">
      <c r="A13" s="31" t="inlineStr">
        <is>
          <t>29 Jun</t>
        </is>
      </c>
      <c r="B13" s="31" t="inlineStr">
        <is>
          <t>30503</t>
        </is>
      </c>
      <c r="C13" s="31" t="inlineStr">
        <is>
          <t>Non-Valid</t>
        </is>
      </c>
      <c r="D13" s="31" t="inlineStr">
        <is>
          <t>03:24:06</t>
        </is>
      </c>
      <c r="E13" s="31" t="inlineStr">
        <is>
          <t>03:24:12</t>
        </is>
      </c>
      <c r="F13" s="31" t="n">
        <v>6</v>
      </c>
      <c r="G13" s="31" t="n">
        <v>5</v>
      </c>
      <c r="H13" s="31" t="n">
        <v>29</v>
      </c>
      <c r="I13" s="31" t="inlineStr">
        <is>
          <t>StandBy</t>
        </is>
      </c>
      <c r="J13" s="32" t="n">
        <v>92.98</v>
      </c>
      <c r="K13" s="31" t="inlineStr">
        <is>
          <t>R</t>
        </is>
      </c>
      <c r="L13" s="31" t="inlineStr">
        <is>
          <t>Barddhaman Jn</t>
        </is>
      </c>
      <c r="M13" s="33" t="inlineStr">
        <is>
          <t>28 km/h</t>
        </is>
      </c>
      <c r="N13" s="33" t="inlineStr">
        <is>
          <t>4747</t>
        </is>
      </c>
      <c r="O13" s="31" t="inlineStr">
        <is>
          <t>-</t>
        </is>
      </c>
      <c r="P13" s="33" t="inlineStr">
        <is>
          <t>StandBy Mode</t>
        </is>
      </c>
      <c r="Q13" s="31" t="inlineStr">
        <is>
          <t>HBL</t>
        </is>
      </c>
    </row>
    <row r="14" ht="34" customHeight="1">
      <c r="A14" s="16" t="inlineStr">
        <is>
          <t>29 Jun</t>
        </is>
      </c>
      <c r="B14" s="16" t="inlineStr">
        <is>
          <t>39059</t>
        </is>
      </c>
      <c r="C14" s="16" t="inlineStr">
        <is>
          <t>Valid</t>
        </is>
      </c>
      <c r="D14" s="16" t="inlineStr">
        <is>
          <t>14:08:14</t>
        </is>
      </c>
      <c r="E14" s="16" t="inlineStr">
        <is>
          <t>14:08:34</t>
        </is>
      </c>
      <c r="F14" s="16" t="n">
        <v>20</v>
      </c>
      <c r="G14" s="16" t="n">
        <v>11</v>
      </c>
      <c r="H14" s="16" t="n">
        <v>50</v>
      </c>
      <c r="I14" s="16" t="inlineStr">
        <is>
          <t>TRIP</t>
        </is>
      </c>
      <c r="J14" s="34" t="n">
        <v>123.03</v>
      </c>
      <c r="K14" s="16" t="inlineStr">
        <is>
          <t>N</t>
        </is>
      </c>
      <c r="L14" s="16" t="inlineStr">
        <is>
          <t>Paraj</t>
        </is>
      </c>
      <c r="M14" s="35" t="inlineStr">
        <is>
          <t>50 km/h</t>
        </is>
      </c>
      <c r="N14" s="35" t="inlineStr">
        <is>
          <t>0
MA dropped from 1011 to 0.</t>
        </is>
      </c>
      <c r="O14" s="16" t="inlineStr">
        <is>
          <t>-</t>
        </is>
      </c>
      <c r="P14" s="36" t="inlineStr">
        <is>
          <t>Sudden MA drop; Trip mode</t>
        </is>
      </c>
      <c r="Q14" s="16" t="inlineStr">
        <is>
          <t>HBL</t>
        </is>
      </c>
    </row>
    <row r="15">
      <c r="A15" s="16" t="inlineStr">
        <is>
          <t>29 Jun</t>
        </is>
      </c>
      <c r="B15" s="16" t="inlineStr">
        <is>
          <t>39059</t>
        </is>
      </c>
      <c r="C15" s="16" t="inlineStr">
        <is>
          <t>Valid</t>
        </is>
      </c>
      <c r="D15" s="16" t="inlineStr">
        <is>
          <t>14:10:08</t>
        </is>
      </c>
      <c r="E15" s="16" t="inlineStr">
        <is>
          <t>14:10:10</t>
        </is>
      </c>
      <c r="F15" s="16" t="n">
        <v>2</v>
      </c>
      <c r="G15" s="16" t="n">
        <v>2</v>
      </c>
      <c r="H15" s="16" t="n">
        <v>1</v>
      </c>
      <c r="I15" s="16" t="inlineStr">
        <is>
          <t>POSTTRIP</t>
        </is>
      </c>
      <c r="J15" s="34" t="n">
        <v>123.22</v>
      </c>
      <c r="K15" s="16" t="inlineStr">
        <is>
          <t>N</t>
        </is>
      </c>
      <c r="L15" s="16" t="inlineStr">
        <is>
          <t>Paraj</t>
        </is>
      </c>
      <c r="M15" s="35" t="inlineStr">
        <is>
          <t>1 km/h</t>
        </is>
      </c>
      <c r="N15" s="35" t="inlineStr">
        <is>
          <t>0</t>
        </is>
      </c>
      <c r="O15" s="16" t="inlineStr">
        <is>
          <t>-</t>
        </is>
      </c>
      <c r="P15" s="36" t="inlineStr">
        <is>
          <t>EB at 0-1 km/h</t>
        </is>
      </c>
      <c r="Q15" s="16" t="inlineStr">
        <is>
          <t>HBL</t>
        </is>
      </c>
    </row>
    <row r="16">
      <c r="A16" s="31" t="inlineStr">
        <is>
          <t>29 Jun</t>
        </is>
      </c>
      <c r="B16" s="31" t="inlineStr">
        <is>
          <t>37481</t>
        </is>
      </c>
      <c r="C16" s="31" t="inlineStr">
        <is>
          <t>Non-Valid</t>
        </is>
      </c>
      <c r="D16" s="31" t="inlineStr">
        <is>
          <t>14:26:36</t>
        </is>
      </c>
      <c r="E16" s="31" t="inlineStr">
        <is>
          <t>14:26:40</t>
        </is>
      </c>
      <c r="F16" s="31" t="n">
        <v>4</v>
      </c>
      <c r="G16" s="31" t="n">
        <v>3</v>
      </c>
      <c r="H16" s="31" t="n">
        <v>7</v>
      </c>
      <c r="I16" s="31" t="inlineStr">
        <is>
          <t>OS</t>
        </is>
      </c>
      <c r="J16" s="32" t="n">
        <v>0.46</v>
      </c>
      <c r="K16" s="31" t="inlineStr">
        <is>
          <t>N</t>
        </is>
      </c>
      <c r="L16" s="31" t="inlineStr">
        <is>
          <t>Howrah</t>
        </is>
      </c>
      <c r="M16" s="33" t="inlineStr">
        <is>
          <t>7 km/h</t>
        </is>
      </c>
      <c r="N16" s="33" t="inlineStr">
        <is>
          <t>444</t>
        </is>
      </c>
      <c r="O16" s="31" t="inlineStr">
        <is>
          <t>-</t>
        </is>
      </c>
      <c r="P16" s="33" t="inlineStr">
        <is>
          <t>-</t>
        </is>
      </c>
      <c r="Q16" s="31" t="inlineStr">
        <is>
          <t>HBL</t>
        </is>
      </c>
    </row>
    <row r="17">
      <c r="A17" s="31" t="inlineStr">
        <is>
          <t>29 Jun</t>
        </is>
      </c>
      <c r="B17" s="31" t="inlineStr">
        <is>
          <t>37481</t>
        </is>
      </c>
      <c r="C17" s="31" t="inlineStr">
        <is>
          <t>Non-Valid</t>
        </is>
      </c>
      <c r="D17" s="31" t="inlineStr">
        <is>
          <t>14:27:20</t>
        </is>
      </c>
      <c r="E17" s="31" t="inlineStr">
        <is>
          <t>14:27:22</t>
        </is>
      </c>
      <c r="F17" s="31" t="n">
        <v>2</v>
      </c>
      <c r="G17" s="31" t="n">
        <v>2</v>
      </c>
      <c r="H17" s="31" t="n">
        <v>1</v>
      </c>
      <c r="I17" s="31" t="inlineStr">
        <is>
          <t>POSTTRIP</t>
        </is>
      </c>
      <c r="J17" s="32" t="n">
        <v>0.47</v>
      </c>
      <c r="K17" s="31" t="inlineStr">
        <is>
          <t>N</t>
        </is>
      </c>
      <c r="L17" s="31" t="inlineStr">
        <is>
          <t>Howrah</t>
        </is>
      </c>
      <c r="M17" s="33" t="inlineStr">
        <is>
          <t>1 km/h</t>
        </is>
      </c>
      <c r="N17" s="33" t="inlineStr">
        <is>
          <t>0</t>
        </is>
      </c>
      <c r="O17" s="31" t="inlineStr">
        <is>
          <t>-</t>
        </is>
      </c>
      <c r="P17" s="36" t="inlineStr">
        <is>
          <t>EB at 0-1 km/h</t>
        </is>
      </c>
      <c r="Q17" s="31" t="inlineStr">
        <is>
          <t>HBL</t>
        </is>
      </c>
    </row>
    <row r="18" ht="34" customHeight="1">
      <c r="A18" s="31" t="inlineStr">
        <is>
          <t>29 Jun</t>
        </is>
      </c>
      <c r="B18" s="31" t="inlineStr">
        <is>
          <t>37260</t>
        </is>
      </c>
      <c r="C18" s="31" t="inlineStr">
        <is>
          <t>Non-Valid</t>
        </is>
      </c>
      <c r="D18" s="31" t="inlineStr">
        <is>
          <t>18:11:42</t>
        </is>
      </c>
      <c r="E18" s="31" t="inlineStr">
        <is>
          <t>18:13:18</t>
        </is>
      </c>
      <c r="F18" s="31" t="n">
        <v>96</v>
      </c>
      <c r="G18" s="31" t="n">
        <v>48</v>
      </c>
      <c r="H18" s="31" t="n">
        <v>120</v>
      </c>
      <c r="I18" s="31" t="inlineStr">
        <is>
          <t>Failure</t>
        </is>
      </c>
      <c r="J18" s="32" t="n">
        <v>178.78</v>
      </c>
      <c r="K18" s="31" t="inlineStr">
        <is>
          <t>R</t>
        </is>
      </c>
      <c r="L18" s="31" t="inlineStr">
        <is>
          <t>Baktarnagar B H</t>
        </is>
      </c>
      <c r="M18" s="33" t="inlineStr">
        <is>
          <t>120 km/h</t>
        </is>
      </c>
      <c r="N18" s="33" t="inlineStr">
        <is>
          <t>n/a</t>
        </is>
      </c>
      <c r="O18" s="31" t="inlineStr">
        <is>
          <t>-</t>
        </is>
      </c>
      <c r="P18" s="36" t="inlineStr">
        <is>
          <t>Failure mode</t>
        </is>
      </c>
      <c r="Q18" s="31" t="inlineStr">
        <is>
          <t>HBL</t>
        </is>
      </c>
    </row>
    <row r="19">
      <c r="A19" s="31" t="inlineStr">
        <is>
          <t>29 Jun</t>
        </is>
      </c>
      <c r="B19" s="31" t="inlineStr">
        <is>
          <t>37720</t>
        </is>
      </c>
      <c r="C19" s="31" t="inlineStr">
        <is>
          <t>Non-Valid</t>
        </is>
      </c>
      <c r="D19" s="31" t="inlineStr">
        <is>
          <t>18:26:42</t>
        </is>
      </c>
      <c r="E19" s="31" t="inlineStr">
        <is>
          <t>18:26:48</t>
        </is>
      </c>
      <c r="F19" s="31" t="n">
        <v>6</v>
      </c>
      <c r="G19" s="31" t="n">
        <v>4</v>
      </c>
      <c r="H19" s="31" t="n">
        <v>8</v>
      </c>
      <c r="I19" s="31" t="inlineStr">
        <is>
          <t>FS</t>
        </is>
      </c>
      <c r="J19" s="32" t="n">
        <v>149.68</v>
      </c>
      <c r="K19" s="31" t="inlineStr">
        <is>
          <t>R</t>
        </is>
      </c>
      <c r="L19" s="31" t="inlineStr">
        <is>
          <t>Rajbandh</t>
        </is>
      </c>
      <c r="M19" s="33" t="inlineStr">
        <is>
          <t>8 km/h</t>
        </is>
      </c>
      <c r="N19" s="33" t="inlineStr">
        <is>
          <t>200</t>
        </is>
      </c>
      <c r="O19" s="31" t="inlineStr">
        <is>
          <t>-</t>
        </is>
      </c>
      <c r="P19" s="33" t="inlineStr">
        <is>
          <t>-</t>
        </is>
      </c>
      <c r="Q19" s="31" t="inlineStr">
        <is>
          <t>HBL</t>
        </is>
      </c>
    </row>
    <row r="20">
      <c r="A20" s="31" t="inlineStr">
        <is>
          <t>29 Jun</t>
        </is>
      </c>
      <c r="B20" s="31" t="inlineStr">
        <is>
          <t>37720</t>
        </is>
      </c>
      <c r="C20" s="31" t="inlineStr">
        <is>
          <t>Non-Valid</t>
        </is>
      </c>
      <c r="D20" s="31" t="inlineStr">
        <is>
          <t>18:27:58</t>
        </is>
      </c>
      <c r="E20" s="31" t="inlineStr">
        <is>
          <t>18:28:00</t>
        </is>
      </c>
      <c r="F20" s="31" t="n">
        <v>2</v>
      </c>
      <c r="G20" s="31" t="n">
        <v>2</v>
      </c>
      <c r="H20" s="31" t="n">
        <v>1</v>
      </c>
      <c r="I20" s="31" t="inlineStr">
        <is>
          <t>POSTTRIP</t>
        </is>
      </c>
      <c r="J20" s="32" t="n">
        <v>149.67</v>
      </c>
      <c r="K20" s="31" t="inlineStr">
        <is>
          <t>R</t>
        </is>
      </c>
      <c r="L20" s="31" t="inlineStr">
        <is>
          <t>Rajbandh</t>
        </is>
      </c>
      <c r="M20" s="33" t="inlineStr">
        <is>
          <t>1 km/h</t>
        </is>
      </c>
      <c r="N20" s="33" t="inlineStr">
        <is>
          <t>0</t>
        </is>
      </c>
      <c r="O20" s="31" t="inlineStr">
        <is>
          <t>-</t>
        </is>
      </c>
      <c r="P20" s="36" t="inlineStr">
        <is>
          <t>EB at 0-1 km/h</t>
        </is>
      </c>
      <c r="Q20" s="31" t="inlineStr">
        <is>
          <t>HBL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>
      <c r="A1" s="13" t="inlineStr">
        <is>
          <t>Mode Degradation — one event = a transition into LS or SR from a less-degraded mode (FS, OS, Trip, PostTrip, Standby; plus LS→SR). NonLeading→LS/SR, FS→OS and any recovery to FS are not counted. Detected on the merged LReq+LReg timeline (LReq carries the LS/SR packets LReg drops); spells outside the section or with a &gt;60s reporting gap (stabled / out of coverage) are excluded.</t>
        </is>
      </c>
    </row>
    <row r="3">
      <c r="A3" s="30" t="inlineStr">
        <is>
          <t>Total Mode Degradation = 105   ·   one row = one transition into LS or SR</t>
        </is>
      </c>
    </row>
    <row r="5">
      <c r="A5" s="14" t="inlineStr">
        <is>
          <t>Date</t>
        </is>
      </c>
      <c r="B5" s="14" t="inlineStr">
        <is>
          <t>Loco ID</t>
        </is>
      </c>
      <c r="C5" s="14" t="inlineStr">
        <is>
          <t>From</t>
        </is>
      </c>
      <c r="D5" s="14" t="inlineStr">
        <is>
          <t>To (degraded)</t>
        </is>
      </c>
      <c r="E5" s="14" t="inlineStr">
        <is>
          <t>Onset</t>
        </is>
      </c>
      <c r="F5" s="14" t="inlineStr">
        <is>
          <t>End</t>
        </is>
      </c>
      <c r="G5" s="14" t="inlineStr">
        <is>
          <t>Duration (s)</t>
        </is>
      </c>
      <c r="H5" s="14" t="inlineStr">
        <is>
          <t>Packets</t>
        </is>
      </c>
      <c r="I5" s="14" t="inlineStr">
        <is>
          <t>Location (km)</t>
        </is>
      </c>
      <c r="J5" s="14" t="inlineStr">
        <is>
          <t>Station</t>
        </is>
      </c>
      <c r="K5" s="14" t="inlineStr">
        <is>
          <t>Dir</t>
        </is>
      </c>
      <c r="L5" s="14" t="inlineStr">
        <is>
          <t>Valid Trip?</t>
        </is>
      </c>
      <c r="M5" s="14" t="inlineStr">
        <is>
          <t>Loco Travel</t>
        </is>
      </c>
    </row>
    <row r="6">
      <c r="A6" s="31" t="inlineStr">
        <is>
          <t>29 Jun</t>
        </is>
      </c>
      <c r="B6" s="31" t="inlineStr">
        <is>
          <t>39133</t>
        </is>
      </c>
      <c r="C6" s="31" t="inlineStr">
        <is>
          <t>OS</t>
        </is>
      </c>
      <c r="D6" s="31" t="inlineStr">
        <is>
          <t>SR</t>
        </is>
      </c>
      <c r="E6" s="31" t="inlineStr">
        <is>
          <t>00:09:52</t>
        </is>
      </c>
      <c r="F6" s="31" t="inlineStr">
        <is>
          <t>00:09:52</t>
        </is>
      </c>
      <c r="G6" s="31" t="n">
        <v>0</v>
      </c>
      <c r="H6" s="31" t="n">
        <v>1</v>
      </c>
      <c r="I6" s="32" t="n">
        <v>0.8</v>
      </c>
      <c r="J6" s="31" t="inlineStr">
        <is>
          <t>Howrah</t>
        </is>
      </c>
      <c r="K6" s="31" t="inlineStr">
        <is>
          <t>R</t>
        </is>
      </c>
      <c r="L6" s="31" t="inlineStr">
        <is>
          <t>Non-Valid</t>
        </is>
      </c>
      <c r="M6" s="16" t="inlineStr">
        <is>
          <t>Howrah</t>
        </is>
      </c>
    </row>
    <row r="7">
      <c r="A7" s="31" t="inlineStr">
        <is>
          <t>29 Jun</t>
        </is>
      </c>
      <c r="B7" s="31" t="inlineStr">
        <is>
          <t>39133</t>
        </is>
      </c>
      <c r="C7" s="31" t="inlineStr">
        <is>
          <t>OS</t>
        </is>
      </c>
      <c r="D7" s="31" t="inlineStr">
        <is>
          <t>SR</t>
        </is>
      </c>
      <c r="E7" s="31" t="inlineStr">
        <is>
          <t>00:13:30</t>
        </is>
      </c>
      <c r="F7" s="31" t="inlineStr">
        <is>
          <t>00:13:52</t>
        </is>
      </c>
      <c r="G7" s="31" t="n">
        <v>22</v>
      </c>
      <c r="H7" s="31" t="n">
        <v>18</v>
      </c>
      <c r="I7" s="32" t="n">
        <v>0.34</v>
      </c>
      <c r="J7" s="31" t="inlineStr">
        <is>
          <t>Howrah</t>
        </is>
      </c>
      <c r="K7" s="31" t="inlineStr">
        <is>
          <t>R</t>
        </is>
      </c>
      <c r="L7" s="31" t="inlineStr">
        <is>
          <t>Non-Valid</t>
        </is>
      </c>
      <c r="M7" s="16" t="inlineStr">
        <is>
          <t>Howrah</t>
        </is>
      </c>
    </row>
    <row r="8">
      <c r="A8" s="31" t="inlineStr">
        <is>
          <t>29 Jun</t>
        </is>
      </c>
      <c r="B8" s="31" t="inlineStr">
        <is>
          <t>39133</t>
        </is>
      </c>
      <c r="C8" s="31" t="inlineStr">
        <is>
          <t>OS</t>
        </is>
      </c>
      <c r="D8" s="31" t="inlineStr">
        <is>
          <t>SR</t>
        </is>
      </c>
      <c r="E8" s="31" t="inlineStr">
        <is>
          <t>00:16:34</t>
        </is>
      </c>
      <c r="F8" s="31" t="inlineStr">
        <is>
          <t>00:16:34</t>
        </is>
      </c>
      <c r="G8" s="31" t="n">
        <v>0</v>
      </c>
      <c r="H8" s="31" t="n">
        <v>1</v>
      </c>
      <c r="I8" s="32" t="n">
        <v>0.39</v>
      </c>
      <c r="J8" s="31" t="inlineStr">
        <is>
          <t>Howrah</t>
        </is>
      </c>
      <c r="K8" s="31" t="inlineStr">
        <is>
          <t>N</t>
        </is>
      </c>
      <c r="L8" s="31" t="inlineStr">
        <is>
          <t>Non-Valid</t>
        </is>
      </c>
      <c r="M8" s="16" t="inlineStr">
        <is>
          <t>Howrah</t>
        </is>
      </c>
    </row>
    <row r="9">
      <c r="A9" s="31" t="inlineStr">
        <is>
          <t>29 Jun</t>
        </is>
      </c>
      <c r="B9" s="31" t="inlineStr">
        <is>
          <t>39133</t>
        </is>
      </c>
      <c r="C9" s="31" t="inlineStr">
        <is>
          <t>OS</t>
        </is>
      </c>
      <c r="D9" s="31" t="inlineStr">
        <is>
          <t>SR</t>
        </is>
      </c>
      <c r="E9" s="31" t="inlineStr">
        <is>
          <t>00:22:24</t>
        </is>
      </c>
      <c r="F9" s="31" t="inlineStr">
        <is>
          <t>00:22:24</t>
        </is>
      </c>
      <c r="G9" s="31" t="n">
        <v>0</v>
      </c>
      <c r="H9" s="31" t="n">
        <v>1</v>
      </c>
      <c r="I9" s="32" t="n">
        <v>0.84</v>
      </c>
      <c r="J9" s="31" t="inlineStr">
        <is>
          <t>Howrah</t>
        </is>
      </c>
      <c r="K9" s="31" t="inlineStr">
        <is>
          <t>N</t>
        </is>
      </c>
      <c r="L9" s="31" t="inlineStr">
        <is>
          <t>Non-Valid</t>
        </is>
      </c>
      <c r="M9" s="16" t="inlineStr">
        <is>
          <t>Howrah</t>
        </is>
      </c>
    </row>
    <row r="10">
      <c r="A10" s="31" t="inlineStr">
        <is>
          <t>29 Jun</t>
        </is>
      </c>
      <c r="B10" s="31" t="inlineStr">
        <is>
          <t>39133</t>
        </is>
      </c>
      <c r="C10" s="31" t="inlineStr">
        <is>
          <t>OS</t>
        </is>
      </c>
      <c r="D10" s="31" t="inlineStr">
        <is>
          <t>SR</t>
        </is>
      </c>
      <c r="E10" s="31" t="inlineStr">
        <is>
          <t>00:22:26</t>
        </is>
      </c>
      <c r="F10" s="31" t="inlineStr">
        <is>
          <t>00:22:40</t>
        </is>
      </c>
      <c r="G10" s="31" t="n">
        <v>14</v>
      </c>
      <c r="H10" s="31" t="n">
        <v>9</v>
      </c>
      <c r="I10" s="32" t="n">
        <v>0.84</v>
      </c>
      <c r="J10" s="31" t="inlineStr">
        <is>
          <t>Howrah</t>
        </is>
      </c>
      <c r="K10" s="31" t="inlineStr">
        <is>
          <t>N</t>
        </is>
      </c>
      <c r="L10" s="31" t="inlineStr">
        <is>
          <t>Non-Valid</t>
        </is>
      </c>
      <c r="M10" s="16" t="inlineStr">
        <is>
          <t>Howrah</t>
        </is>
      </c>
    </row>
    <row r="11">
      <c r="A11" s="31" t="inlineStr">
        <is>
          <t>29 Jun</t>
        </is>
      </c>
      <c r="B11" s="31" t="inlineStr">
        <is>
          <t>37610</t>
        </is>
      </c>
      <c r="C11" s="31" t="inlineStr">
        <is>
          <t>OS</t>
        </is>
      </c>
      <c r="D11" s="31" t="inlineStr">
        <is>
          <t>SR</t>
        </is>
      </c>
      <c r="E11" s="31" t="inlineStr">
        <is>
          <t>01:12:20</t>
        </is>
      </c>
      <c r="F11" s="31" t="inlineStr">
        <is>
          <t>01:12:30</t>
        </is>
      </c>
      <c r="G11" s="31" t="n">
        <v>10</v>
      </c>
      <c r="H11" s="31" t="n">
        <v>7</v>
      </c>
      <c r="I11" s="32" t="n">
        <v>0.07000000000000001</v>
      </c>
      <c r="J11" s="31" t="inlineStr">
        <is>
          <t>Howrah</t>
        </is>
      </c>
      <c r="K11" s="31" t="inlineStr">
        <is>
          <t>R</t>
        </is>
      </c>
      <c r="L11" s="31" t="inlineStr">
        <is>
          <t>Non-Valid</t>
        </is>
      </c>
      <c r="M11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2">
      <c r="A12" s="31" t="inlineStr">
        <is>
          <t>29 Jun</t>
        </is>
      </c>
      <c r="B12" s="31" t="inlineStr">
        <is>
          <t>30327</t>
        </is>
      </c>
      <c r="C12" s="31" t="inlineStr">
        <is>
          <t>FS</t>
        </is>
      </c>
      <c r="D12" s="31" t="inlineStr">
        <is>
          <t>SR</t>
        </is>
      </c>
      <c r="E12" s="31" t="inlineStr">
        <is>
          <t>02:24:08</t>
        </is>
      </c>
      <c r="F12" s="31" t="inlineStr">
        <is>
          <t>02:24:34</t>
        </is>
      </c>
      <c r="G12" s="31" t="n">
        <v>26</v>
      </c>
      <c r="H12" s="31" t="n">
        <v>13</v>
      </c>
      <c r="I12" s="32" t="n">
        <v>223.89</v>
      </c>
      <c r="J12" s="31" t="inlineStr">
        <is>
          <t>Mugma</t>
        </is>
      </c>
      <c r="K12" s="31" t="inlineStr">
        <is>
          <t>U</t>
        </is>
      </c>
      <c r="L12" s="31" t="inlineStr">
        <is>
          <t>Non-Valid</t>
        </is>
      </c>
      <c r="M12" s="16" t="inlineStr">
        <is>
          <t>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3">
      <c r="A13" s="31" t="inlineStr">
        <is>
          <t>29 Jun</t>
        </is>
      </c>
      <c r="B13" s="31" t="inlineStr">
        <is>
          <t>30327</t>
        </is>
      </c>
      <c r="C13" s="31" t="inlineStr">
        <is>
          <t>FS</t>
        </is>
      </c>
      <c r="D13" s="31" t="inlineStr">
        <is>
          <t>SR</t>
        </is>
      </c>
      <c r="E13" s="31" t="inlineStr">
        <is>
          <t>02:38:08</t>
        </is>
      </c>
      <c r="F13" s="31" t="inlineStr">
        <is>
          <t>02:38:38</t>
        </is>
      </c>
      <c r="G13" s="31" t="n">
        <v>30</v>
      </c>
      <c r="H13" s="31" t="n">
        <v>26</v>
      </c>
      <c r="I13" s="32" t="n">
        <v>244.1</v>
      </c>
      <c r="J13" s="31" t="inlineStr">
        <is>
          <t>Chhota Ambana</t>
        </is>
      </c>
      <c r="K13" s="31" t="inlineStr">
        <is>
          <t>N</t>
        </is>
      </c>
      <c r="L13" s="31" t="inlineStr">
        <is>
          <t>Non-Valid</t>
        </is>
      </c>
      <c r="M13" s="16" t="inlineStr">
        <is>
          <t>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4">
      <c r="A14" s="31" t="inlineStr">
        <is>
          <t>29 Jun</t>
        </is>
      </c>
      <c r="B14" s="31" t="inlineStr">
        <is>
          <t>37081</t>
        </is>
      </c>
      <c r="C14" s="31" t="inlineStr">
        <is>
          <t>FS</t>
        </is>
      </c>
      <c r="D14" s="31" t="inlineStr">
        <is>
          <t>SR</t>
        </is>
      </c>
      <c r="E14" s="31" t="inlineStr">
        <is>
          <t>03:00:38</t>
        </is>
      </c>
      <c r="F14" s="31" t="inlineStr">
        <is>
          <t>03:00:38</t>
        </is>
      </c>
      <c r="G14" s="31" t="n">
        <v>0</v>
      </c>
      <c r="H14" s="31" t="n">
        <v>1</v>
      </c>
      <c r="I14" s="32" t="n">
        <v>244.06</v>
      </c>
      <c r="J14" s="31" t="inlineStr">
        <is>
          <t>Chhota Ambana</t>
        </is>
      </c>
      <c r="K14" s="31" t="inlineStr">
        <is>
          <t>N</t>
        </is>
      </c>
      <c r="L14" s="31" t="inlineStr">
        <is>
          <t>Non-Valid</t>
        </is>
      </c>
      <c r="M14" s="16" t="inlineStr">
        <is>
          <t>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5">
      <c r="A15" s="31" t="inlineStr">
        <is>
          <t>29 Jun</t>
        </is>
      </c>
      <c r="B15" s="31" t="inlineStr">
        <is>
          <t>37081</t>
        </is>
      </c>
      <c r="C15" s="31" t="inlineStr">
        <is>
          <t>FS</t>
        </is>
      </c>
      <c r="D15" s="31" t="inlineStr">
        <is>
          <t>SR</t>
        </is>
      </c>
      <c r="E15" s="31" t="inlineStr">
        <is>
          <t>03:00:40</t>
        </is>
      </c>
      <c r="F15" s="31" t="inlineStr">
        <is>
          <t>03:01:12</t>
        </is>
      </c>
      <c r="G15" s="31" t="n">
        <v>32</v>
      </c>
      <c r="H15" s="31" t="n">
        <v>27</v>
      </c>
      <c r="I15" s="32" t="n">
        <v>244.11</v>
      </c>
      <c r="J15" s="31" t="inlineStr">
        <is>
          <t>Chhota Ambana</t>
        </is>
      </c>
      <c r="K15" s="31" t="inlineStr">
        <is>
          <t>N</t>
        </is>
      </c>
      <c r="L15" s="31" t="inlineStr">
        <is>
          <t>Non-Valid</t>
        </is>
      </c>
      <c r="M15" s="16" t="inlineStr">
        <is>
          <t>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6">
      <c r="A16" s="31" t="inlineStr">
        <is>
          <t>29 Jun</t>
        </is>
      </c>
      <c r="B16" s="31" t="inlineStr">
        <is>
          <t>37005</t>
        </is>
      </c>
      <c r="C16" s="31" t="inlineStr">
        <is>
          <t>FS</t>
        </is>
      </c>
      <c r="D16" s="31" t="inlineStr">
        <is>
          <t>SR</t>
        </is>
      </c>
      <c r="E16" s="31" t="inlineStr">
        <is>
          <t>03:25:32</t>
        </is>
      </c>
      <c r="F16" s="31" t="inlineStr">
        <is>
          <t>03:26:00</t>
        </is>
      </c>
      <c r="G16" s="31" t="n">
        <v>28</v>
      </c>
      <c r="H16" s="31" t="n">
        <v>25</v>
      </c>
      <c r="I16" s="32" t="n">
        <v>244.09</v>
      </c>
      <c r="J16" s="31" t="inlineStr">
        <is>
          <t>Chhota Ambana</t>
        </is>
      </c>
      <c r="K16" s="31" t="inlineStr">
        <is>
          <t>N</t>
        </is>
      </c>
      <c r="L16" s="31" t="inlineStr">
        <is>
          <t>Non-Valid</t>
        </is>
      </c>
      <c r="M16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7">
      <c r="A17" s="31" t="inlineStr">
        <is>
          <t>29 Jun</t>
        </is>
      </c>
      <c r="B17" s="31" t="inlineStr">
        <is>
          <t>30199</t>
        </is>
      </c>
      <c r="C17" s="31" t="inlineStr">
        <is>
          <t>FS</t>
        </is>
      </c>
      <c r="D17" s="31" t="inlineStr">
        <is>
          <t>SR</t>
        </is>
      </c>
      <c r="E17" s="31" t="inlineStr">
        <is>
          <t>04:23:12</t>
        </is>
      </c>
      <c r="F17" s="31" t="inlineStr">
        <is>
          <t>04:24:10</t>
        </is>
      </c>
      <c r="G17" s="31" t="n">
        <v>58</v>
      </c>
      <c r="H17" s="31" t="n">
        <v>54</v>
      </c>
      <c r="I17" s="32" t="n">
        <v>13.26</v>
      </c>
      <c r="J17" s="31" t="inlineStr">
        <is>
          <t>Dankuni</t>
        </is>
      </c>
      <c r="K17" s="31" t="inlineStr">
        <is>
          <t>R</t>
        </is>
      </c>
      <c r="L17" s="31" t="inlineStr">
        <is>
          <t>Non-Valid</t>
        </is>
      </c>
      <c r="M17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18">
      <c r="A18" s="31" t="inlineStr">
        <is>
          <t>29 Jun</t>
        </is>
      </c>
      <c r="B18" s="31" t="inlineStr">
        <is>
          <t>37042</t>
        </is>
      </c>
      <c r="C18" s="31" t="inlineStr">
        <is>
          <t>FS</t>
        </is>
      </c>
      <c r="D18" s="31" t="inlineStr">
        <is>
          <t>LS</t>
        </is>
      </c>
      <c r="E18" s="31" t="inlineStr">
        <is>
          <t>04:29:22</t>
        </is>
      </c>
      <c r="F18" s="31" t="inlineStr">
        <is>
          <t>04:29:36</t>
        </is>
      </c>
      <c r="G18" s="31" t="n">
        <v>14</v>
      </c>
      <c r="H18" s="31" t="n">
        <v>9</v>
      </c>
      <c r="I18" s="32" t="n">
        <v>49.22</v>
      </c>
      <c r="J18" s="31" t="inlineStr">
        <is>
          <t>Belmuri</t>
        </is>
      </c>
      <c r="K18" s="31" t="inlineStr">
        <is>
          <t>R</t>
        </is>
      </c>
      <c r="L18" s="31" t="inlineStr">
        <is>
          <t>Non-Valid</t>
        </is>
      </c>
      <c r="M18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19">
      <c r="A19" s="31" t="inlineStr">
        <is>
          <t>29 Jun</t>
        </is>
      </c>
      <c r="B19" s="31" t="inlineStr">
        <is>
          <t>30503</t>
        </is>
      </c>
      <c r="C19" s="31" t="inlineStr">
        <is>
          <t>FS</t>
        </is>
      </c>
      <c r="D19" s="31" t="inlineStr">
        <is>
          <t>SR</t>
        </is>
      </c>
      <c r="E19" s="31" t="inlineStr">
        <is>
          <t>04:32:12</t>
        </is>
      </c>
      <c r="F19" s="31" t="inlineStr">
        <is>
          <t>04:32:12</t>
        </is>
      </c>
      <c r="G19" s="31" t="n">
        <v>0</v>
      </c>
      <c r="H19" s="31" t="n">
        <v>1</v>
      </c>
      <c r="I19" s="32" t="n">
        <v>13.27</v>
      </c>
      <c r="J19" s="31" t="inlineStr">
        <is>
          <t>Dankuni</t>
        </is>
      </c>
      <c r="K19" s="31" t="inlineStr">
        <is>
          <t>R</t>
        </is>
      </c>
      <c r="L19" s="31" t="inlineStr">
        <is>
          <t>Non-Valid</t>
        </is>
      </c>
      <c r="M19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20">
      <c r="A20" s="31" t="inlineStr">
        <is>
          <t>29 Jun</t>
        </is>
      </c>
      <c r="B20" s="31" t="inlineStr">
        <is>
          <t>30503</t>
        </is>
      </c>
      <c r="C20" s="31" t="inlineStr">
        <is>
          <t>FS</t>
        </is>
      </c>
      <c r="D20" s="31" t="inlineStr">
        <is>
          <t>SR</t>
        </is>
      </c>
      <c r="E20" s="31" t="inlineStr">
        <is>
          <t>04:32:14</t>
        </is>
      </c>
      <c r="F20" s="31" t="inlineStr">
        <is>
          <t>04:33:30</t>
        </is>
      </c>
      <c r="G20" s="31" t="n">
        <v>76</v>
      </c>
      <c r="H20" s="31" t="n">
        <v>74</v>
      </c>
      <c r="I20" s="32" t="n">
        <v>13.26</v>
      </c>
      <c r="J20" s="31" t="inlineStr">
        <is>
          <t>Dankuni</t>
        </is>
      </c>
      <c r="K20" s="31" t="inlineStr">
        <is>
          <t>R</t>
        </is>
      </c>
      <c r="L20" s="31" t="inlineStr">
        <is>
          <t>Non-Valid</t>
        </is>
      </c>
      <c r="M20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21">
      <c r="A21" s="31" t="inlineStr">
        <is>
          <t>29 Jun</t>
        </is>
      </c>
      <c r="B21" s="31" t="inlineStr">
        <is>
          <t>37042</t>
        </is>
      </c>
      <c r="C21" s="31" t="inlineStr">
        <is>
          <t>FS</t>
        </is>
      </c>
      <c r="D21" s="31" t="inlineStr">
        <is>
          <t>LS</t>
        </is>
      </c>
      <c r="E21" s="31" t="inlineStr">
        <is>
          <t>04:46:16</t>
        </is>
      </c>
      <c r="F21" s="31" t="inlineStr">
        <is>
          <t>04:46:28</t>
        </is>
      </c>
      <c r="G21" s="31" t="n">
        <v>12</v>
      </c>
      <c r="H21" s="31" t="n">
        <v>8</v>
      </c>
      <c r="I21" s="32" t="n">
        <v>23.72</v>
      </c>
      <c r="J21" s="31" t="inlineStr">
        <is>
          <t>Baruipara</t>
        </is>
      </c>
      <c r="K21" s="31" t="inlineStr">
        <is>
          <t>R</t>
        </is>
      </c>
      <c r="L21" s="31" t="inlineStr">
        <is>
          <t>Non-Valid</t>
        </is>
      </c>
      <c r="M21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22">
      <c r="A22" s="31" t="inlineStr">
        <is>
          <t>29 Jun</t>
        </is>
      </c>
      <c r="B22" s="31" t="inlineStr">
        <is>
          <t>37042</t>
        </is>
      </c>
      <c r="C22" s="31" t="inlineStr">
        <is>
          <t>OS</t>
        </is>
      </c>
      <c r="D22" s="31" t="inlineStr">
        <is>
          <t>SR</t>
        </is>
      </c>
      <c r="E22" s="31" t="inlineStr">
        <is>
          <t>04:46:40</t>
        </is>
      </c>
      <c r="F22" s="31" t="inlineStr">
        <is>
          <t>04:46:54</t>
        </is>
      </c>
      <c r="G22" s="31" t="n">
        <v>14</v>
      </c>
      <c r="H22" s="31" t="n">
        <v>10</v>
      </c>
      <c r="I22" s="32" t="n">
        <v>23.17</v>
      </c>
      <c r="J22" s="31" t="inlineStr">
        <is>
          <t>Baruipara</t>
        </is>
      </c>
      <c r="K22" s="31" t="inlineStr">
        <is>
          <t>R</t>
        </is>
      </c>
      <c r="L22" s="31" t="inlineStr">
        <is>
          <t>Non-Valid</t>
        </is>
      </c>
      <c r="M22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23">
      <c r="A23" s="31" t="inlineStr">
        <is>
          <t>29 Jun</t>
        </is>
      </c>
      <c r="B23" s="31" t="inlineStr">
        <is>
          <t>39263</t>
        </is>
      </c>
      <c r="C23" s="31" t="inlineStr">
        <is>
          <t>FS</t>
        </is>
      </c>
      <c r="D23" s="31" t="inlineStr">
        <is>
          <t>LS</t>
        </is>
      </c>
      <c r="E23" s="31" t="inlineStr">
        <is>
          <t>04:55:46</t>
        </is>
      </c>
      <c r="F23" s="31" t="inlineStr">
        <is>
          <t>04:55:46</t>
        </is>
      </c>
      <c r="G23" s="31" t="n">
        <v>0</v>
      </c>
      <c r="H23" s="31" t="n">
        <v>1</v>
      </c>
      <c r="I23" s="32" t="n">
        <v>91.13</v>
      </c>
      <c r="J23" s="31" t="inlineStr">
        <is>
          <t>Barddhaman Jn</t>
        </is>
      </c>
      <c r="K23" s="31" t="inlineStr">
        <is>
          <t>R</t>
        </is>
      </c>
      <c r="L23" s="31" t="inlineStr">
        <is>
          <t>Non-Valid</t>
        </is>
      </c>
      <c r="M23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24">
      <c r="A24" s="31" t="inlineStr">
        <is>
          <t>29 Jun</t>
        </is>
      </c>
      <c r="B24" s="31" t="inlineStr">
        <is>
          <t>39263</t>
        </is>
      </c>
      <c r="C24" s="31" t="inlineStr">
        <is>
          <t>FS</t>
        </is>
      </c>
      <c r="D24" s="31" t="inlineStr">
        <is>
          <t>LS</t>
        </is>
      </c>
      <c r="E24" s="31" t="inlineStr">
        <is>
          <t>04:55:48</t>
        </is>
      </c>
      <c r="F24" s="31" t="inlineStr">
        <is>
          <t>04:56:18</t>
        </is>
      </c>
      <c r="G24" s="31" t="n">
        <v>30</v>
      </c>
      <c r="H24" s="31" t="n">
        <v>19</v>
      </c>
      <c r="I24" s="32" t="n">
        <v>91.08</v>
      </c>
      <c r="J24" s="31" t="inlineStr">
        <is>
          <t>Barddhaman Jn</t>
        </is>
      </c>
      <c r="K24" s="31" t="inlineStr">
        <is>
          <t>R</t>
        </is>
      </c>
      <c r="L24" s="31" t="inlineStr">
        <is>
          <t>Non-Valid</t>
        </is>
      </c>
      <c r="M24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25">
      <c r="A25" s="31" t="inlineStr">
        <is>
          <t>29 Jun</t>
        </is>
      </c>
      <c r="B25" s="31" t="inlineStr">
        <is>
          <t>39263</t>
        </is>
      </c>
      <c r="C25" s="31" t="inlineStr">
        <is>
          <t>OS</t>
        </is>
      </c>
      <c r="D25" s="31" t="inlineStr">
        <is>
          <t>LS</t>
        </is>
      </c>
      <c r="E25" s="31" t="inlineStr">
        <is>
          <t>04:56:20</t>
        </is>
      </c>
      <c r="F25" s="31" t="inlineStr">
        <is>
          <t>04:56:20</t>
        </is>
      </c>
      <c r="G25" s="31" t="n">
        <v>0</v>
      </c>
      <c r="H25" s="31" t="n">
        <v>1</v>
      </c>
      <c r="I25" s="32" t="n">
        <v>90.23999999999999</v>
      </c>
      <c r="J25" s="31" t="inlineStr">
        <is>
          <t>Gangpur</t>
        </is>
      </c>
      <c r="K25" s="31" t="inlineStr">
        <is>
          <t>R</t>
        </is>
      </c>
      <c r="L25" s="31" t="inlineStr">
        <is>
          <t>Non-Valid</t>
        </is>
      </c>
      <c r="M25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26">
      <c r="A26" s="31" t="inlineStr">
        <is>
          <t>29 Jun</t>
        </is>
      </c>
      <c r="B26" s="31" t="inlineStr">
        <is>
          <t>37481</t>
        </is>
      </c>
      <c r="C26" s="31" t="inlineStr">
        <is>
          <t>FS</t>
        </is>
      </c>
      <c r="D26" s="31" t="inlineStr">
        <is>
          <t>LS</t>
        </is>
      </c>
      <c r="E26" s="31" t="inlineStr">
        <is>
          <t>05:14:06</t>
        </is>
      </c>
      <c r="F26" s="31" t="inlineStr">
        <is>
          <t>05:14:16</t>
        </is>
      </c>
      <c r="G26" s="31" t="n">
        <v>10</v>
      </c>
      <c r="H26" s="31" t="n">
        <v>6</v>
      </c>
      <c r="I26" s="32" t="n">
        <v>17.93</v>
      </c>
      <c r="J26" s="31" t="inlineStr">
        <is>
          <t>Janai Road</t>
        </is>
      </c>
      <c r="K26" s="31" t="inlineStr">
        <is>
          <t>R</t>
        </is>
      </c>
      <c r="L26" s="31" t="inlineStr">
        <is>
          <t>Non-Valid</t>
        </is>
      </c>
      <c r="M26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27">
      <c r="A27" s="31" t="inlineStr">
        <is>
          <t>29 Jun</t>
        </is>
      </c>
      <c r="B27" s="31" t="inlineStr">
        <is>
          <t>39263</t>
        </is>
      </c>
      <c r="C27" s="31" t="inlineStr">
        <is>
          <t>FS</t>
        </is>
      </c>
      <c r="D27" s="31" t="inlineStr">
        <is>
          <t>LS</t>
        </is>
      </c>
      <c r="E27" s="31" t="inlineStr">
        <is>
          <t>05:20:16</t>
        </is>
      </c>
      <c r="F27" s="31" t="inlineStr">
        <is>
          <t>05:20:40</t>
        </is>
      </c>
      <c r="G27" s="31" t="n">
        <v>24</v>
      </c>
      <c r="H27" s="31" t="n">
        <v>14</v>
      </c>
      <c r="I27" s="32" t="n">
        <v>69.81</v>
      </c>
      <c r="J27" s="31" t="inlineStr">
        <is>
          <t>LC-57</t>
        </is>
      </c>
      <c r="K27" s="31" t="inlineStr">
        <is>
          <t>R</t>
        </is>
      </c>
      <c r="L27" s="31" t="inlineStr">
        <is>
          <t>Non-Valid</t>
        </is>
      </c>
      <c r="M27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28">
      <c r="A28" s="31" t="inlineStr">
        <is>
          <t>29 Jun</t>
        </is>
      </c>
      <c r="B28" s="31" t="inlineStr">
        <is>
          <t>39263</t>
        </is>
      </c>
      <c r="C28" s="31" t="inlineStr">
        <is>
          <t>OS</t>
        </is>
      </c>
      <c r="D28" s="31" t="inlineStr">
        <is>
          <t>SR</t>
        </is>
      </c>
      <c r="E28" s="31" t="inlineStr">
        <is>
          <t>05:20:50</t>
        </is>
      </c>
      <c r="F28" s="31" t="inlineStr">
        <is>
          <t>05:21:14</t>
        </is>
      </c>
      <c r="G28" s="31" t="n">
        <v>24</v>
      </c>
      <c r="H28" s="31" t="n">
        <v>14</v>
      </c>
      <c r="I28" s="32" t="n">
        <v>69.13</v>
      </c>
      <c r="J28" s="31" t="inlineStr">
        <is>
          <t>LC-57</t>
        </is>
      </c>
      <c r="K28" s="31" t="inlineStr">
        <is>
          <t>R</t>
        </is>
      </c>
      <c r="L28" s="31" t="inlineStr">
        <is>
          <t>Non-Valid</t>
        </is>
      </c>
      <c r="M28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29">
      <c r="A29" s="31" t="inlineStr">
        <is>
          <t>29 Jun</t>
        </is>
      </c>
      <c r="B29" s="31" t="inlineStr">
        <is>
          <t>39263</t>
        </is>
      </c>
      <c r="C29" s="31" t="inlineStr">
        <is>
          <t>OS</t>
        </is>
      </c>
      <c r="D29" s="31" t="inlineStr">
        <is>
          <t>SR</t>
        </is>
      </c>
      <c r="E29" s="31" t="inlineStr">
        <is>
          <t>05:21:30</t>
        </is>
      </c>
      <c r="F29" s="31" t="inlineStr">
        <is>
          <t>05:21:34</t>
        </is>
      </c>
      <c r="G29" s="31" t="n">
        <v>4</v>
      </c>
      <c r="H29" s="31" t="n">
        <v>4</v>
      </c>
      <c r="I29" s="32" t="n">
        <v>68.13</v>
      </c>
      <c r="J29" s="31" t="inlineStr">
        <is>
          <t>LC-57</t>
        </is>
      </c>
      <c r="K29" s="31" t="inlineStr">
        <is>
          <t>R</t>
        </is>
      </c>
      <c r="L29" s="31" t="inlineStr">
        <is>
          <t>Non-Valid</t>
        </is>
      </c>
      <c r="M29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30">
      <c r="A30" s="31" t="inlineStr">
        <is>
          <t>29 Jun</t>
        </is>
      </c>
      <c r="B30" s="31" t="inlineStr">
        <is>
          <t>39263</t>
        </is>
      </c>
      <c r="C30" s="31" t="inlineStr">
        <is>
          <t>FS</t>
        </is>
      </c>
      <c r="D30" s="31" t="inlineStr">
        <is>
          <t>SR</t>
        </is>
      </c>
      <c r="E30" s="31" t="inlineStr">
        <is>
          <t>05:57:20</t>
        </is>
      </c>
      <c r="F30" s="31" t="inlineStr">
        <is>
          <t>05:58:28</t>
        </is>
      </c>
      <c r="G30" s="31" t="n">
        <v>68</v>
      </c>
      <c r="H30" s="31" t="n">
        <v>70</v>
      </c>
      <c r="I30" s="32" t="n">
        <v>13.26</v>
      </c>
      <c r="J30" s="31" t="inlineStr">
        <is>
          <t>Dankuni</t>
        </is>
      </c>
      <c r="K30" s="31" t="inlineStr">
        <is>
          <t>R</t>
        </is>
      </c>
      <c r="L30" s="31" t="inlineStr">
        <is>
          <t>Non-Valid</t>
        </is>
      </c>
      <c r="M30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31">
      <c r="A31" s="16" t="inlineStr">
        <is>
          <t>29 Jun</t>
        </is>
      </c>
      <c r="B31" s="16" t="inlineStr">
        <is>
          <t>37401</t>
        </is>
      </c>
      <c r="C31" s="16" t="inlineStr">
        <is>
          <t>FS</t>
        </is>
      </c>
      <c r="D31" s="16" t="inlineStr">
        <is>
          <t>SR</t>
        </is>
      </c>
      <c r="E31" s="16" t="inlineStr">
        <is>
          <t>07:21:42</t>
        </is>
      </c>
      <c r="F31" s="16" t="inlineStr">
        <is>
          <t>07:21:48</t>
        </is>
      </c>
      <c r="G31" s="16" t="n">
        <v>6</v>
      </c>
      <c r="H31" s="16" t="n">
        <v>7</v>
      </c>
      <c r="I31" s="34" t="n">
        <v>114.8</v>
      </c>
      <c r="J31" s="16" t="inlineStr">
        <is>
          <t>Galsi</t>
        </is>
      </c>
      <c r="K31" s="16" t="inlineStr">
        <is>
          <t>N</t>
        </is>
      </c>
      <c r="L31" s="16" t="inlineStr">
        <is>
          <t>Valid</t>
        </is>
      </c>
      <c r="M31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2">
      <c r="A32" s="31" t="inlineStr">
        <is>
          <t>29 Jun</t>
        </is>
      </c>
      <c r="B32" s="31" t="inlineStr">
        <is>
          <t>30457</t>
        </is>
      </c>
      <c r="C32" s="31" t="inlineStr">
        <is>
          <t>FS</t>
        </is>
      </c>
      <c r="D32" s="31" t="inlineStr">
        <is>
          <t>LS</t>
        </is>
      </c>
      <c r="E32" s="31" t="inlineStr">
        <is>
          <t>07:29:42</t>
        </is>
      </c>
      <c r="F32" s="31" t="inlineStr">
        <is>
          <t>07:30:26</t>
        </is>
      </c>
      <c r="G32" s="31" t="n">
        <v>44</v>
      </c>
      <c r="H32" s="31" t="n">
        <v>25</v>
      </c>
      <c r="I32" s="32" t="n">
        <v>69.77</v>
      </c>
      <c r="J32" s="31" t="inlineStr">
        <is>
          <t>LC-57</t>
        </is>
      </c>
      <c r="K32" s="31" t="inlineStr">
        <is>
          <t>R</t>
        </is>
      </c>
      <c r="L32" s="31" t="inlineStr">
        <is>
          <t>Non-Valid</t>
        </is>
      </c>
      <c r="M32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33">
      <c r="A33" s="31" t="inlineStr">
        <is>
          <t>29 Jun</t>
        </is>
      </c>
      <c r="B33" s="31" t="inlineStr">
        <is>
          <t>30457</t>
        </is>
      </c>
      <c r="C33" s="31" t="inlineStr">
        <is>
          <t>OS</t>
        </is>
      </c>
      <c r="D33" s="31" t="inlineStr">
        <is>
          <t>SR</t>
        </is>
      </c>
      <c r="E33" s="31" t="inlineStr">
        <is>
          <t>07:30:38</t>
        </is>
      </c>
      <c r="F33" s="31" t="inlineStr">
        <is>
          <t>07:30:58</t>
        </is>
      </c>
      <c r="G33" s="31" t="n">
        <v>20</v>
      </c>
      <c r="H33" s="31" t="n">
        <v>14</v>
      </c>
      <c r="I33" s="32" t="n">
        <v>68.31</v>
      </c>
      <c r="J33" s="31" t="inlineStr">
        <is>
          <t>LC-57</t>
        </is>
      </c>
      <c r="K33" s="31" t="inlineStr">
        <is>
          <t>R</t>
        </is>
      </c>
      <c r="L33" s="31" t="inlineStr">
        <is>
          <t>Non-Valid</t>
        </is>
      </c>
      <c r="M33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34">
      <c r="A34" s="31" t="inlineStr">
        <is>
          <t>29 Jun</t>
        </is>
      </c>
      <c r="B34" s="31" t="inlineStr">
        <is>
          <t>30457</t>
        </is>
      </c>
      <c r="C34" s="31" t="inlineStr">
        <is>
          <t>FS</t>
        </is>
      </c>
      <c r="D34" s="31" t="inlineStr">
        <is>
          <t>SR</t>
        </is>
      </c>
      <c r="E34" s="31" t="inlineStr">
        <is>
          <t>08:17:16</t>
        </is>
      </c>
      <c r="F34" s="31" t="inlineStr">
        <is>
          <t>08:17:16</t>
        </is>
      </c>
      <c r="G34" s="31" t="n">
        <v>0</v>
      </c>
      <c r="H34" s="31" t="n">
        <v>1</v>
      </c>
      <c r="I34" s="32" t="n">
        <v>13.27</v>
      </c>
      <c r="J34" s="31" t="inlineStr">
        <is>
          <t>Dankuni</t>
        </is>
      </c>
      <c r="K34" s="31" t="inlineStr">
        <is>
          <t>R</t>
        </is>
      </c>
      <c r="L34" s="31" t="inlineStr">
        <is>
          <t>Non-Valid</t>
        </is>
      </c>
      <c r="M34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35">
      <c r="A35" s="31" t="inlineStr">
        <is>
          <t>29 Jun</t>
        </is>
      </c>
      <c r="B35" s="31" t="inlineStr">
        <is>
          <t>30457</t>
        </is>
      </c>
      <c r="C35" s="31" t="inlineStr">
        <is>
          <t>FS</t>
        </is>
      </c>
      <c r="D35" s="31" t="inlineStr">
        <is>
          <t>SR</t>
        </is>
      </c>
      <c r="E35" s="31" t="inlineStr">
        <is>
          <t>08:17:18</t>
        </is>
      </c>
      <c r="F35" s="31" t="inlineStr">
        <is>
          <t>08:18:40</t>
        </is>
      </c>
      <c r="G35" s="31" t="n">
        <v>82</v>
      </c>
      <c r="H35" s="31" t="n">
        <v>76</v>
      </c>
      <c r="I35" s="32" t="n">
        <v>13.26</v>
      </c>
      <c r="J35" s="31" t="inlineStr">
        <is>
          <t>Dankuni</t>
        </is>
      </c>
      <c r="K35" s="31" t="inlineStr">
        <is>
          <t>R</t>
        </is>
      </c>
      <c r="L35" s="31" t="inlineStr">
        <is>
          <t>Non-Valid</t>
        </is>
      </c>
      <c r="M35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36">
      <c r="A36" s="16" t="inlineStr">
        <is>
          <t>29 Jun</t>
        </is>
      </c>
      <c r="B36" s="16" t="inlineStr">
        <is>
          <t>37401</t>
        </is>
      </c>
      <c r="C36" s="16" t="inlineStr">
        <is>
          <t>FS</t>
        </is>
      </c>
      <c r="D36" s="16" t="inlineStr">
        <is>
          <t>LS</t>
        </is>
      </c>
      <c r="E36" s="16" t="inlineStr">
        <is>
          <t>08:37:54</t>
        </is>
      </c>
      <c r="F36" s="16" t="inlineStr">
        <is>
          <t>08:38:28</t>
        </is>
      </c>
      <c r="G36" s="16" t="n">
        <v>34</v>
      </c>
      <c r="H36" s="16" t="n">
        <v>17</v>
      </c>
      <c r="I36" s="34" t="n">
        <v>208.72</v>
      </c>
      <c r="J36" s="16" t="inlineStr">
        <is>
          <t>Sitarampur Central</t>
        </is>
      </c>
      <c r="K36" s="16" t="inlineStr">
        <is>
          <t>N</t>
        </is>
      </c>
      <c r="L36" s="16" t="inlineStr">
        <is>
          <t>Valid</t>
        </is>
      </c>
      <c r="M36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7">
      <c r="A37" s="16" t="inlineStr">
        <is>
          <t>29 Jun</t>
        </is>
      </c>
      <c r="B37" s="16" t="inlineStr">
        <is>
          <t>37401</t>
        </is>
      </c>
      <c r="C37" s="16" t="inlineStr">
        <is>
          <t>LS</t>
        </is>
      </c>
      <c r="D37" s="16" t="inlineStr">
        <is>
          <t>SR</t>
        </is>
      </c>
      <c r="E37" s="16" t="inlineStr">
        <is>
          <t>08:38:30</t>
        </is>
      </c>
      <c r="F37" s="16" t="inlineStr">
        <is>
          <t>08:38:34</t>
        </is>
      </c>
      <c r="G37" s="16" t="n">
        <v>4</v>
      </c>
      <c r="H37" s="16" t="n">
        <v>6</v>
      </c>
      <c r="I37" s="34" t="n">
        <v>209.01</v>
      </c>
      <c r="J37" s="16" t="inlineStr">
        <is>
          <t>Sitarampur Central</t>
        </is>
      </c>
      <c r="K37" s="16" t="inlineStr">
        <is>
          <t>N</t>
        </is>
      </c>
      <c r="L37" s="16" t="inlineStr">
        <is>
          <t>Valid</t>
        </is>
      </c>
      <c r="M37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8">
      <c r="A38" s="16" t="inlineStr">
        <is>
          <t>29 Jun</t>
        </is>
      </c>
      <c r="B38" s="16" t="inlineStr">
        <is>
          <t>37401</t>
        </is>
      </c>
      <c r="C38" s="16" t="inlineStr">
        <is>
          <t>FS</t>
        </is>
      </c>
      <c r="D38" s="16" t="inlineStr">
        <is>
          <t>LS</t>
        </is>
      </c>
      <c r="E38" s="16" t="inlineStr">
        <is>
          <t>08:45:02</t>
        </is>
      </c>
      <c r="F38" s="16" t="inlineStr">
        <is>
          <t>08:45:56</t>
        </is>
      </c>
      <c r="G38" s="16" t="n">
        <v>54</v>
      </c>
      <c r="H38" s="16" t="n">
        <v>29</v>
      </c>
      <c r="I38" s="34" t="n">
        <v>220.05</v>
      </c>
      <c r="J38" s="16" t="inlineStr">
        <is>
          <t>Kumardubi</t>
        </is>
      </c>
      <c r="K38" s="16" t="inlineStr">
        <is>
          <t>N</t>
        </is>
      </c>
      <c r="L38" s="16" t="inlineStr">
        <is>
          <t>Valid</t>
        </is>
      </c>
      <c r="M38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39">
      <c r="A39" s="16" t="inlineStr">
        <is>
          <t>29 Jun</t>
        </is>
      </c>
      <c r="B39" s="16" t="inlineStr">
        <is>
          <t>37401</t>
        </is>
      </c>
      <c r="C39" s="16" t="inlineStr">
        <is>
          <t>FS</t>
        </is>
      </c>
      <c r="D39" s="16" t="inlineStr">
        <is>
          <t>SR</t>
        </is>
      </c>
      <c r="E39" s="16" t="inlineStr">
        <is>
          <t>08:58:46</t>
        </is>
      </c>
      <c r="F39" s="16" t="inlineStr">
        <is>
          <t>08:59:04</t>
        </is>
      </c>
      <c r="G39" s="16" t="n">
        <v>18</v>
      </c>
      <c r="H39" s="16" t="n">
        <v>14</v>
      </c>
      <c r="I39" s="34" t="n">
        <v>244.09</v>
      </c>
      <c r="J39" s="16" t="inlineStr">
        <is>
          <t>Chhota Ambana</t>
        </is>
      </c>
      <c r="K39" s="16" t="inlineStr">
        <is>
          <t>N</t>
        </is>
      </c>
      <c r="L39" s="16" t="inlineStr">
        <is>
          <t>Valid</t>
        </is>
      </c>
      <c r="M39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0">
      <c r="A40" s="31" t="inlineStr">
        <is>
          <t>29 Jun</t>
        </is>
      </c>
      <c r="B40" s="31" t="inlineStr">
        <is>
          <t>39482</t>
        </is>
      </c>
      <c r="C40" s="31" t="inlineStr">
        <is>
          <t>FS</t>
        </is>
      </c>
      <c r="D40" s="31" t="inlineStr">
        <is>
          <t>SR</t>
        </is>
      </c>
      <c r="E40" s="31" t="inlineStr">
        <is>
          <t>10:25:08</t>
        </is>
      </c>
      <c r="F40" s="31" t="inlineStr">
        <is>
          <t>10:27:12</t>
        </is>
      </c>
      <c r="G40" s="31" t="n">
        <v>124</v>
      </c>
      <c r="H40" s="31" t="n">
        <v>89</v>
      </c>
      <c r="I40" s="32" t="n">
        <v>182.4</v>
      </c>
      <c r="J40" s="31" t="inlineStr">
        <is>
          <t>Raniganj</t>
        </is>
      </c>
      <c r="K40" s="31" t="inlineStr">
        <is>
          <t>N</t>
        </is>
      </c>
      <c r="L40" s="31" t="inlineStr">
        <is>
          <t>Non-Valid</t>
        </is>
      </c>
      <c r="M40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41">
      <c r="A41" s="31" t="inlineStr">
        <is>
          <t>29 Jun</t>
        </is>
      </c>
      <c r="B41" s="31" t="inlineStr">
        <is>
          <t>39482</t>
        </is>
      </c>
      <c r="C41" s="31" t="inlineStr">
        <is>
          <t>POSTTRIP</t>
        </is>
      </c>
      <c r="D41" s="31" t="inlineStr">
        <is>
          <t>SR</t>
        </is>
      </c>
      <c r="E41" s="31" t="inlineStr">
        <is>
          <t>10:29:00</t>
        </is>
      </c>
      <c r="F41" s="31" t="inlineStr">
        <is>
          <t>10:29:34</t>
        </is>
      </c>
      <c r="G41" s="31" t="n">
        <v>34</v>
      </c>
      <c r="H41" s="31" t="n">
        <v>18</v>
      </c>
      <c r="I41" s="32" t="n">
        <v>185.84</v>
      </c>
      <c r="J41" s="31" t="inlineStr">
        <is>
          <t>Nimcha B H</t>
        </is>
      </c>
      <c r="K41" s="31" t="inlineStr">
        <is>
          <t>N</t>
        </is>
      </c>
      <c r="L41" s="31" t="inlineStr">
        <is>
          <t>Non-Valid</t>
        </is>
      </c>
      <c r="M41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42">
      <c r="A42" s="31" t="inlineStr">
        <is>
          <t>29 Jun</t>
        </is>
      </c>
      <c r="B42" s="31" t="inlineStr">
        <is>
          <t>39482</t>
        </is>
      </c>
      <c r="C42" s="31" t="inlineStr">
        <is>
          <t>OS</t>
        </is>
      </c>
      <c r="D42" s="31" t="inlineStr">
        <is>
          <t>SR</t>
        </is>
      </c>
      <c r="E42" s="31" t="inlineStr">
        <is>
          <t>10:30:30</t>
        </is>
      </c>
      <c r="F42" s="31" t="inlineStr">
        <is>
          <t>10:31:42</t>
        </is>
      </c>
      <c r="G42" s="31" t="n">
        <v>72</v>
      </c>
      <c r="H42" s="31" t="n">
        <v>38</v>
      </c>
      <c r="I42" s="32" t="n">
        <v>186.25</v>
      </c>
      <c r="J42" s="31" t="inlineStr">
        <is>
          <t>Nimcha B H</t>
        </is>
      </c>
      <c r="K42" s="31" t="inlineStr">
        <is>
          <t>N</t>
        </is>
      </c>
      <c r="L42" s="31" t="inlineStr">
        <is>
          <t>Non-Valid</t>
        </is>
      </c>
      <c r="M42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43">
      <c r="A43" s="16" t="inlineStr">
        <is>
          <t>29 Jun</t>
        </is>
      </c>
      <c r="B43" s="16" t="inlineStr">
        <is>
          <t>37014</t>
        </is>
      </c>
      <c r="C43" s="16" t="inlineStr">
        <is>
          <t>FS</t>
        </is>
      </c>
      <c r="D43" s="16" t="inlineStr">
        <is>
          <t>SR</t>
        </is>
      </c>
      <c r="E43" s="16" t="inlineStr">
        <is>
          <t>10:32:32</t>
        </is>
      </c>
      <c r="F43" s="16" t="inlineStr">
        <is>
          <t>10:34:04</t>
        </is>
      </c>
      <c r="G43" s="16" t="n">
        <v>92</v>
      </c>
      <c r="H43" s="16" t="n">
        <v>92</v>
      </c>
      <c r="I43" s="34" t="n">
        <v>182.28</v>
      </c>
      <c r="J43" s="16" t="inlineStr">
        <is>
          <t>Raniganj</t>
        </is>
      </c>
      <c r="K43" s="16" t="inlineStr">
        <is>
          <t>N</t>
        </is>
      </c>
      <c r="L43" s="16" t="inlineStr">
        <is>
          <t>Valid</t>
        </is>
      </c>
      <c r="M43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4">
      <c r="A44" s="31" t="inlineStr">
        <is>
          <t>29 Jun</t>
        </is>
      </c>
      <c r="B44" s="31" t="inlineStr">
        <is>
          <t>30639</t>
        </is>
      </c>
      <c r="C44" s="31" t="inlineStr">
        <is>
          <t>FS</t>
        </is>
      </c>
      <c r="D44" s="31" t="inlineStr">
        <is>
          <t>LS</t>
        </is>
      </c>
      <c r="E44" s="31" t="inlineStr">
        <is>
          <t>11:13:18</t>
        </is>
      </c>
      <c r="F44" s="31" t="inlineStr">
        <is>
          <t>11:13:18</t>
        </is>
      </c>
      <c r="G44" s="31" t="n">
        <v>0</v>
      </c>
      <c r="H44" s="31" t="n">
        <v>2</v>
      </c>
      <c r="I44" s="32" t="n">
        <v>80.56</v>
      </c>
      <c r="J44" s="31" t="inlineStr">
        <is>
          <t>Palla Road</t>
        </is>
      </c>
      <c r="K44" s="31" t="inlineStr">
        <is>
          <t>N</t>
        </is>
      </c>
      <c r="L44" s="31" t="inlineStr">
        <is>
          <t>Non-Valid</t>
        </is>
      </c>
      <c r="M44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45">
      <c r="A45" s="16" t="inlineStr">
        <is>
          <t>29 Jun</t>
        </is>
      </c>
      <c r="B45" s="16" t="inlineStr">
        <is>
          <t>37014</t>
        </is>
      </c>
      <c r="C45" s="16" t="inlineStr">
        <is>
          <t>FS</t>
        </is>
      </c>
      <c r="D45" s="16" t="inlineStr">
        <is>
          <t>LS</t>
        </is>
      </c>
      <c r="E45" s="16" t="inlineStr">
        <is>
          <t>11:20:18</t>
        </is>
      </c>
      <c r="F45" s="16" t="inlineStr">
        <is>
          <t>11:20:18</t>
        </is>
      </c>
      <c r="G45" s="16" t="n">
        <v>0</v>
      </c>
      <c r="H45" s="16" t="n">
        <v>1</v>
      </c>
      <c r="I45" s="34" t="n">
        <v>220.16</v>
      </c>
      <c r="J45" s="16" t="inlineStr">
        <is>
          <t>Kumardubi</t>
        </is>
      </c>
      <c r="K45" s="16" t="inlineStr">
        <is>
          <t>N</t>
        </is>
      </c>
      <c r="L45" s="16" t="inlineStr">
        <is>
          <t>Valid</t>
        </is>
      </c>
      <c r="M45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6">
      <c r="A46" s="16" t="inlineStr">
        <is>
          <t>29 Jun</t>
        </is>
      </c>
      <c r="B46" s="16" t="inlineStr">
        <is>
          <t>37014</t>
        </is>
      </c>
      <c r="C46" s="16" t="inlineStr">
        <is>
          <t>FS</t>
        </is>
      </c>
      <c r="D46" s="16" t="inlineStr">
        <is>
          <t>LS</t>
        </is>
      </c>
      <c r="E46" s="16" t="inlineStr">
        <is>
          <t>11:20:20</t>
        </is>
      </c>
      <c r="F46" s="16" t="inlineStr">
        <is>
          <t>11:21:32</t>
        </is>
      </c>
      <c r="G46" s="16" t="n">
        <v>72</v>
      </c>
      <c r="H46" s="16" t="n">
        <v>37</v>
      </c>
      <c r="I46" s="34" t="n">
        <v>220.21</v>
      </c>
      <c r="J46" s="16" t="inlineStr">
        <is>
          <t>Kumardubi</t>
        </is>
      </c>
      <c r="K46" s="16" t="inlineStr">
        <is>
          <t>N</t>
        </is>
      </c>
      <c r="L46" s="16" t="inlineStr">
        <is>
          <t>Valid</t>
        </is>
      </c>
      <c r="M46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7">
      <c r="A47" s="16" t="inlineStr">
        <is>
          <t>29 Jun</t>
        </is>
      </c>
      <c r="B47" s="16" t="inlineStr">
        <is>
          <t>37014</t>
        </is>
      </c>
      <c r="C47" s="16" t="inlineStr">
        <is>
          <t>OS</t>
        </is>
      </c>
      <c r="D47" s="16" t="inlineStr">
        <is>
          <t>LS</t>
        </is>
      </c>
      <c r="E47" s="16" t="inlineStr">
        <is>
          <t>11:21:34</t>
        </is>
      </c>
      <c r="F47" s="16" t="inlineStr">
        <is>
          <t>11:21:34</t>
        </is>
      </c>
      <c r="G47" s="16" t="n">
        <v>0</v>
      </c>
      <c r="H47" s="16" t="n">
        <v>1</v>
      </c>
      <c r="I47" s="34" t="n">
        <v>221.45</v>
      </c>
      <c r="J47" s="16" t="inlineStr">
        <is>
          <t>Mugma</t>
        </is>
      </c>
      <c r="K47" s="16" t="inlineStr">
        <is>
          <t>N</t>
        </is>
      </c>
      <c r="L47" s="16" t="inlineStr">
        <is>
          <t>Valid</t>
        </is>
      </c>
      <c r="M47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8">
      <c r="A48" s="16" t="inlineStr">
        <is>
          <t>29 Jun</t>
        </is>
      </c>
      <c r="B48" s="16" t="inlineStr">
        <is>
          <t>37014</t>
        </is>
      </c>
      <c r="C48" s="16" t="inlineStr">
        <is>
          <t>FS</t>
        </is>
      </c>
      <c r="D48" s="16" t="inlineStr">
        <is>
          <t>SR</t>
        </is>
      </c>
      <c r="E48" s="16" t="inlineStr">
        <is>
          <t>11:35:24</t>
        </is>
      </c>
      <c r="F48" s="16" t="inlineStr">
        <is>
          <t>11:35:24</t>
        </is>
      </c>
      <c r="G48" s="16" t="n">
        <v>0</v>
      </c>
      <c r="H48" s="16" t="n">
        <v>1</v>
      </c>
      <c r="I48" s="34" t="n">
        <v>244.08</v>
      </c>
      <c r="J48" s="16" t="inlineStr">
        <is>
          <t>Chhota Ambana</t>
        </is>
      </c>
      <c r="K48" s="16" t="inlineStr">
        <is>
          <t>N</t>
        </is>
      </c>
      <c r="L48" s="16" t="inlineStr">
        <is>
          <t>Valid</t>
        </is>
      </c>
      <c r="M48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49">
      <c r="A49" s="16" t="inlineStr">
        <is>
          <t>29 Jun</t>
        </is>
      </c>
      <c r="B49" s="16" t="inlineStr">
        <is>
          <t>37014</t>
        </is>
      </c>
      <c r="C49" s="16" t="inlineStr">
        <is>
          <t>FS</t>
        </is>
      </c>
      <c r="D49" s="16" t="inlineStr">
        <is>
          <t>SR</t>
        </is>
      </c>
      <c r="E49" s="16" t="inlineStr">
        <is>
          <t>11:35:26</t>
        </is>
      </c>
      <c r="F49" s="16" t="inlineStr">
        <is>
          <t>11:35:52</t>
        </is>
      </c>
      <c r="G49" s="16" t="n">
        <v>26</v>
      </c>
      <c r="H49" s="16" t="n">
        <v>23</v>
      </c>
      <c r="I49" s="34" t="n">
        <v>244.14</v>
      </c>
      <c r="J49" s="16" t="inlineStr">
        <is>
          <t>Chhota Ambana</t>
        </is>
      </c>
      <c r="K49" s="16" t="inlineStr">
        <is>
          <t>N</t>
        </is>
      </c>
      <c r="L49" s="16" t="inlineStr">
        <is>
          <t>Valid</t>
        </is>
      </c>
      <c r="M49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50">
      <c r="A50" s="31" t="inlineStr">
        <is>
          <t>29 Jun</t>
        </is>
      </c>
      <c r="B50" s="31" t="inlineStr">
        <is>
          <t>30328</t>
        </is>
      </c>
      <c r="C50" s="31" t="inlineStr">
        <is>
          <t>FS</t>
        </is>
      </c>
      <c r="D50" s="31" t="inlineStr">
        <is>
          <t>SR</t>
        </is>
      </c>
      <c r="E50" s="31" t="inlineStr">
        <is>
          <t>11:43:48</t>
        </is>
      </c>
      <c r="F50" s="31" t="inlineStr">
        <is>
          <t>11:44:12</t>
        </is>
      </c>
      <c r="G50" s="31" t="n">
        <v>24</v>
      </c>
      <c r="H50" s="31" t="n">
        <v>24</v>
      </c>
      <c r="I50" s="32" t="n">
        <v>211.35</v>
      </c>
      <c r="J50" s="31" t="inlineStr">
        <is>
          <t>Kulti</t>
        </is>
      </c>
      <c r="K50" s="31" t="inlineStr">
        <is>
          <t>R</t>
        </is>
      </c>
      <c r="L50" s="31" t="inlineStr">
        <is>
          <t>Non-Valid</t>
        </is>
      </c>
      <c r="M50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51">
      <c r="A51" s="31" t="inlineStr">
        <is>
          <t>29 Jun</t>
        </is>
      </c>
      <c r="B51" s="31" t="inlineStr">
        <is>
          <t>30328</t>
        </is>
      </c>
      <c r="C51" s="31" t="inlineStr">
        <is>
          <t>OS</t>
        </is>
      </c>
      <c r="D51" s="31" t="inlineStr">
        <is>
          <t>SR</t>
        </is>
      </c>
      <c r="E51" s="31" t="inlineStr">
        <is>
          <t>11:44:14</t>
        </is>
      </c>
      <c r="F51" s="31" t="inlineStr">
        <is>
          <t>11:44:14</t>
        </is>
      </c>
      <c r="G51" s="31" t="n">
        <v>0</v>
      </c>
      <c r="H51" s="31" t="n">
        <v>1</v>
      </c>
      <c r="I51" s="32" t="n">
        <v>210.78</v>
      </c>
      <c r="J51" s="31" t="inlineStr">
        <is>
          <t>Kulti</t>
        </is>
      </c>
      <c r="K51" s="31" t="inlineStr">
        <is>
          <t>R</t>
        </is>
      </c>
      <c r="L51" s="31" t="inlineStr">
        <is>
          <t>Non-Valid</t>
        </is>
      </c>
      <c r="M51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52">
      <c r="A52" s="31" t="inlineStr">
        <is>
          <t>29 Jun</t>
        </is>
      </c>
      <c r="B52" s="31" t="inlineStr">
        <is>
          <t>37042</t>
        </is>
      </c>
      <c r="C52" s="31" t="inlineStr">
        <is>
          <t>FS</t>
        </is>
      </c>
      <c r="D52" s="31" t="inlineStr">
        <is>
          <t>LS</t>
        </is>
      </c>
      <c r="E52" s="31" t="inlineStr">
        <is>
          <t>12:31:58</t>
        </is>
      </c>
      <c r="F52" s="31" t="inlineStr">
        <is>
          <t>12:32:02</t>
        </is>
      </c>
      <c r="G52" s="31" t="n">
        <v>4</v>
      </c>
      <c r="H52" s="31" t="n">
        <v>3</v>
      </c>
      <c r="I52" s="32" t="n">
        <v>7.77</v>
      </c>
      <c r="J52" s="31" t="inlineStr">
        <is>
          <t>Belur</t>
        </is>
      </c>
      <c r="K52" s="31" t="inlineStr">
        <is>
          <t>N</t>
        </is>
      </c>
      <c r="L52" s="31" t="inlineStr">
        <is>
          <t>Non-Valid</t>
        </is>
      </c>
      <c r="M52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53">
      <c r="A53" s="31" t="inlineStr">
        <is>
          <t>29 Jun</t>
        </is>
      </c>
      <c r="B53" s="31" t="inlineStr">
        <is>
          <t>37042</t>
        </is>
      </c>
      <c r="C53" s="31" t="inlineStr">
        <is>
          <t>OS</t>
        </is>
      </c>
      <c r="D53" s="31" t="inlineStr">
        <is>
          <t>LS</t>
        </is>
      </c>
      <c r="E53" s="31" t="inlineStr">
        <is>
          <t>12:32:04</t>
        </is>
      </c>
      <c r="F53" s="31" t="inlineStr">
        <is>
          <t>12:32:04</t>
        </is>
      </c>
      <c r="G53" s="31" t="n">
        <v>0</v>
      </c>
      <c r="H53" s="31" t="n">
        <v>1</v>
      </c>
      <c r="I53" s="32" t="n">
        <v>7.88</v>
      </c>
      <c r="J53" s="31" t="inlineStr">
        <is>
          <t>Belur</t>
        </is>
      </c>
      <c r="K53" s="31" t="inlineStr">
        <is>
          <t>N</t>
        </is>
      </c>
      <c r="L53" s="31" t="inlineStr">
        <is>
          <t>Non-Valid</t>
        </is>
      </c>
      <c r="M53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54">
      <c r="A54" s="31" t="inlineStr">
        <is>
          <t>29 Jun</t>
        </is>
      </c>
      <c r="B54" s="31" t="inlineStr">
        <is>
          <t>37042</t>
        </is>
      </c>
      <c r="C54" s="31" t="inlineStr">
        <is>
          <t>FS</t>
        </is>
      </c>
      <c r="D54" s="31" t="inlineStr">
        <is>
          <t>LS</t>
        </is>
      </c>
      <c r="E54" s="31" t="inlineStr">
        <is>
          <t>12:36:40</t>
        </is>
      </c>
      <c r="F54" s="31" t="inlineStr">
        <is>
          <t>12:36:40</t>
        </is>
      </c>
      <c r="G54" s="31" t="n">
        <v>0</v>
      </c>
      <c r="H54" s="31" t="n">
        <v>2</v>
      </c>
      <c r="I54" s="32" t="n">
        <v>16.24</v>
      </c>
      <c r="J54" s="31" t="inlineStr">
        <is>
          <t>Dankuni</t>
        </is>
      </c>
      <c r="K54" s="31" t="inlineStr">
        <is>
          <t>N</t>
        </is>
      </c>
      <c r="L54" s="31" t="inlineStr">
        <is>
          <t>Non-Valid</t>
        </is>
      </c>
      <c r="M54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55">
      <c r="A55" s="31" t="inlineStr">
        <is>
          <t>29 Jun</t>
        </is>
      </c>
      <c r="B55" s="31" t="inlineStr">
        <is>
          <t>37042</t>
        </is>
      </c>
      <c r="C55" s="31" t="inlineStr">
        <is>
          <t>OS</t>
        </is>
      </c>
      <c r="D55" s="31" t="inlineStr">
        <is>
          <t>SR</t>
        </is>
      </c>
      <c r="E55" s="31" t="inlineStr">
        <is>
          <t>12:36:58</t>
        </is>
      </c>
      <c r="F55" s="31" t="inlineStr">
        <is>
          <t>12:37:10</t>
        </is>
      </c>
      <c r="G55" s="31" t="n">
        <v>12</v>
      </c>
      <c r="H55" s="31" t="n">
        <v>8</v>
      </c>
      <c r="I55" s="32" t="n">
        <v>16.86</v>
      </c>
      <c r="J55" s="31" t="inlineStr">
        <is>
          <t>LC-12</t>
        </is>
      </c>
      <c r="K55" s="31" t="inlineStr">
        <is>
          <t>N</t>
        </is>
      </c>
      <c r="L55" s="31" t="inlineStr">
        <is>
          <t>Non-Valid</t>
        </is>
      </c>
      <c r="M55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56">
      <c r="A56" s="31" t="inlineStr">
        <is>
          <t>29 Jun</t>
        </is>
      </c>
      <c r="B56" s="31" t="inlineStr">
        <is>
          <t>37042</t>
        </is>
      </c>
      <c r="C56" s="31" t="inlineStr">
        <is>
          <t>OS</t>
        </is>
      </c>
      <c r="D56" s="31" t="inlineStr">
        <is>
          <t>SR</t>
        </is>
      </c>
      <c r="E56" s="31" t="inlineStr">
        <is>
          <t>12:37:12</t>
        </is>
      </c>
      <c r="F56" s="31" t="inlineStr">
        <is>
          <t>12:37:12</t>
        </is>
      </c>
      <c r="G56" s="31" t="n">
        <v>0</v>
      </c>
      <c r="H56" s="31" t="n">
        <v>1</v>
      </c>
      <c r="I56" s="32" t="n">
        <v>17.31</v>
      </c>
      <c r="J56" s="31" t="inlineStr">
        <is>
          <t>LC-12</t>
        </is>
      </c>
      <c r="K56" s="31" t="inlineStr">
        <is>
          <t>N</t>
        </is>
      </c>
      <c r="L56" s="31" t="inlineStr">
        <is>
          <t>Non-Valid</t>
        </is>
      </c>
      <c r="M56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57">
      <c r="A57" s="16" t="inlineStr">
        <is>
          <t>29 Jun</t>
        </is>
      </c>
      <c r="B57" s="16" t="inlineStr">
        <is>
          <t>39059</t>
        </is>
      </c>
      <c r="C57" s="16" t="inlineStr">
        <is>
          <t>FS</t>
        </is>
      </c>
      <c r="D57" s="16" t="inlineStr">
        <is>
          <t>LS</t>
        </is>
      </c>
      <c r="E57" s="16" t="inlineStr">
        <is>
          <t>13:19:38</t>
        </is>
      </c>
      <c r="F57" s="16" t="inlineStr">
        <is>
          <t>13:19:40</t>
        </is>
      </c>
      <c r="G57" s="16" t="n">
        <v>2</v>
      </c>
      <c r="H57" s="16" t="n">
        <v>3</v>
      </c>
      <c r="I57" s="34" t="n">
        <v>59.55</v>
      </c>
      <c r="J57" s="16" t="inlineStr">
        <is>
          <t>LC-48</t>
        </is>
      </c>
      <c r="K57" s="16" t="inlineStr">
        <is>
          <t>N</t>
        </is>
      </c>
      <c r="L57" s="16" t="inlineStr">
        <is>
          <t>Valid</t>
        </is>
      </c>
      <c r="M57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58">
      <c r="A58" s="31" t="inlineStr">
        <is>
          <t>29 Jun</t>
        </is>
      </c>
      <c r="B58" s="31" t="inlineStr">
        <is>
          <t>37042</t>
        </is>
      </c>
      <c r="C58" s="31" t="inlineStr">
        <is>
          <t>FS</t>
        </is>
      </c>
      <c r="D58" s="31" t="inlineStr">
        <is>
          <t>LS</t>
        </is>
      </c>
      <c r="E58" s="31" t="inlineStr">
        <is>
          <t>13:20:14</t>
        </is>
      </c>
      <c r="F58" s="31" t="inlineStr">
        <is>
          <t>13:23:04</t>
        </is>
      </c>
      <c r="G58" s="31" t="n">
        <v>170</v>
      </c>
      <c r="H58" s="31" t="n">
        <v>86</v>
      </c>
      <c r="I58" s="32" t="n">
        <v>73.68000000000001</v>
      </c>
      <c r="J58" s="31" t="inlineStr">
        <is>
          <t>Palla Road</t>
        </is>
      </c>
      <c r="K58" s="31" t="inlineStr">
        <is>
          <t>N</t>
        </is>
      </c>
      <c r="L58" s="31" t="inlineStr">
        <is>
          <t>Non-Valid</t>
        </is>
      </c>
      <c r="M58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59">
      <c r="A59" s="31" t="inlineStr">
        <is>
          <t>29 Jun</t>
        </is>
      </c>
      <c r="B59" s="31" t="inlineStr">
        <is>
          <t>37042</t>
        </is>
      </c>
      <c r="C59" s="31" t="inlineStr">
        <is>
          <t>LS</t>
        </is>
      </c>
      <c r="D59" s="31" t="inlineStr">
        <is>
          <t>SR</t>
        </is>
      </c>
      <c r="E59" s="31" t="inlineStr">
        <is>
          <t>13:23:06</t>
        </is>
      </c>
      <c r="F59" s="31" t="inlineStr">
        <is>
          <t>13:31:02</t>
        </is>
      </c>
      <c r="G59" s="31" t="n">
        <v>476</v>
      </c>
      <c r="H59" s="31" t="n">
        <v>281</v>
      </c>
      <c r="I59" s="32" t="n">
        <v>75.41</v>
      </c>
      <c r="J59" s="31" t="inlineStr">
        <is>
          <t>Palla Road</t>
        </is>
      </c>
      <c r="K59" s="31" t="inlineStr">
        <is>
          <t>N</t>
        </is>
      </c>
      <c r="L59" s="31" t="inlineStr">
        <is>
          <t>Non-Valid</t>
        </is>
      </c>
      <c r="M59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60">
      <c r="A60" s="16" t="inlineStr">
        <is>
          <t>29 Jun</t>
        </is>
      </c>
      <c r="B60" s="16" t="inlineStr">
        <is>
          <t>39059</t>
        </is>
      </c>
      <c r="C60" s="16" t="inlineStr">
        <is>
          <t>FS</t>
        </is>
      </c>
      <c r="D60" s="16" t="inlineStr">
        <is>
          <t>LS</t>
        </is>
      </c>
      <c r="E60" s="16" t="inlineStr">
        <is>
          <t>13:28:54</t>
        </is>
      </c>
      <c r="F60" s="16" t="inlineStr">
        <is>
          <t>13:33:22</t>
        </is>
      </c>
      <c r="G60" s="16" t="n">
        <v>268</v>
      </c>
      <c r="H60" s="16" t="n">
        <v>149</v>
      </c>
      <c r="I60" s="34" t="n">
        <v>73.92</v>
      </c>
      <c r="J60" s="16" t="inlineStr">
        <is>
          <t>Palla Road</t>
        </is>
      </c>
      <c r="K60" s="16" t="inlineStr">
        <is>
          <t>N</t>
        </is>
      </c>
      <c r="L60" s="16" t="inlineStr">
        <is>
          <t>Valid</t>
        </is>
      </c>
      <c r="M60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61">
      <c r="A61" s="16" t="inlineStr">
        <is>
          <t>29 Jun</t>
        </is>
      </c>
      <c r="B61" s="16" t="inlineStr">
        <is>
          <t>39059</t>
        </is>
      </c>
      <c r="C61" s="16" t="inlineStr">
        <is>
          <t>LS</t>
        </is>
      </c>
      <c r="D61" s="16" t="inlineStr">
        <is>
          <t>SR</t>
        </is>
      </c>
      <c r="E61" s="16" t="inlineStr">
        <is>
          <t>13:33:24</t>
        </is>
      </c>
      <c r="F61" s="16" t="inlineStr">
        <is>
          <t>13:35:08</t>
        </is>
      </c>
      <c r="G61" s="16" t="n">
        <v>104</v>
      </c>
      <c r="H61" s="16" t="n">
        <v>67</v>
      </c>
      <c r="I61" s="34" t="n">
        <v>76.81999999999999</v>
      </c>
      <c r="J61" s="16" t="inlineStr">
        <is>
          <t>Palla Road</t>
        </is>
      </c>
      <c r="K61" s="16" t="inlineStr">
        <is>
          <t>N</t>
        </is>
      </c>
      <c r="L61" s="16" t="inlineStr">
        <is>
          <t>Valid</t>
        </is>
      </c>
      <c r="M61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62">
      <c r="A62" s="16" t="inlineStr">
        <is>
          <t>29 Jun</t>
        </is>
      </c>
      <c r="B62" s="16" t="inlineStr">
        <is>
          <t>39059</t>
        </is>
      </c>
      <c r="C62" s="16" t="inlineStr">
        <is>
          <t>OS</t>
        </is>
      </c>
      <c r="D62" s="16" t="inlineStr">
        <is>
          <t>SR</t>
        </is>
      </c>
      <c r="E62" s="16" t="inlineStr">
        <is>
          <t>13:35:10</t>
        </is>
      </c>
      <c r="F62" s="16" t="inlineStr">
        <is>
          <t>13:35:10</t>
        </is>
      </c>
      <c r="G62" s="16" t="n">
        <v>0</v>
      </c>
      <c r="H62" s="16" t="n">
        <v>1</v>
      </c>
      <c r="I62" s="34" t="n">
        <v>79.78</v>
      </c>
      <c r="J62" s="16" t="inlineStr">
        <is>
          <t>Palla Road</t>
        </is>
      </c>
      <c r="K62" s="16" t="inlineStr">
        <is>
          <t>N</t>
        </is>
      </c>
      <c r="L62" s="16" t="inlineStr">
        <is>
          <t>Valid</t>
        </is>
      </c>
      <c r="M62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63">
      <c r="A63" s="31" t="inlineStr">
        <is>
          <t>29 Jun</t>
        </is>
      </c>
      <c r="B63" s="31" t="inlineStr">
        <is>
          <t>39111</t>
        </is>
      </c>
      <c r="C63" s="31" t="inlineStr">
        <is>
          <t>FS</t>
        </is>
      </c>
      <c r="D63" s="31" t="inlineStr">
        <is>
          <t>LS</t>
        </is>
      </c>
      <c r="E63" s="31" t="inlineStr">
        <is>
          <t>13:49:12</t>
        </is>
      </c>
      <c r="F63" s="31" t="inlineStr">
        <is>
          <t>13:49:24</t>
        </is>
      </c>
      <c r="G63" s="31" t="n">
        <v>12</v>
      </c>
      <c r="H63" s="31" t="n">
        <v>8</v>
      </c>
      <c r="I63" s="32" t="n">
        <v>69.81</v>
      </c>
      <c r="J63" s="31" t="inlineStr">
        <is>
          <t>LC-57</t>
        </is>
      </c>
      <c r="K63" s="31" t="inlineStr">
        <is>
          <t>N</t>
        </is>
      </c>
      <c r="L63" s="31" t="inlineStr">
        <is>
          <t>Non-Valid</t>
        </is>
      </c>
      <c r="M63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64">
      <c r="A64" s="31" t="inlineStr">
        <is>
          <t>29 Jun</t>
        </is>
      </c>
      <c r="B64" s="31" t="inlineStr">
        <is>
          <t>39111</t>
        </is>
      </c>
      <c r="C64" s="31" t="inlineStr">
        <is>
          <t>FS</t>
        </is>
      </c>
      <c r="D64" s="31" t="inlineStr">
        <is>
          <t>LS</t>
        </is>
      </c>
      <c r="E64" s="31" t="inlineStr">
        <is>
          <t>13:55:06</t>
        </is>
      </c>
      <c r="F64" s="31" t="inlineStr">
        <is>
          <t>13:55:28</t>
        </is>
      </c>
      <c r="G64" s="31" t="n">
        <v>22</v>
      </c>
      <c r="H64" s="31" t="n">
        <v>14</v>
      </c>
      <c r="I64" s="32" t="n">
        <v>75.06</v>
      </c>
      <c r="J64" s="31" t="inlineStr">
        <is>
          <t>Palla Road</t>
        </is>
      </c>
      <c r="K64" s="31" t="inlineStr">
        <is>
          <t>N</t>
        </is>
      </c>
      <c r="L64" s="31" t="inlineStr">
        <is>
          <t>Non-Valid</t>
        </is>
      </c>
      <c r="M64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65">
      <c r="A65" s="31" t="inlineStr">
        <is>
          <t>29 Jun</t>
        </is>
      </c>
      <c r="B65" s="31" t="inlineStr">
        <is>
          <t>39111</t>
        </is>
      </c>
      <c r="C65" s="31" t="inlineStr">
        <is>
          <t>OS</t>
        </is>
      </c>
      <c r="D65" s="31" t="inlineStr">
        <is>
          <t>LS</t>
        </is>
      </c>
      <c r="E65" s="31" t="inlineStr">
        <is>
          <t>13:55:30</t>
        </is>
      </c>
      <c r="F65" s="31" t="inlineStr">
        <is>
          <t>13:55:30</t>
        </is>
      </c>
      <c r="G65" s="31" t="n">
        <v>0</v>
      </c>
      <c r="H65" s="31" t="n">
        <v>1</v>
      </c>
      <c r="I65" s="32" t="n">
        <v>75.23999999999999</v>
      </c>
      <c r="J65" s="31" t="inlineStr">
        <is>
          <t>Palla Road</t>
        </is>
      </c>
      <c r="K65" s="31" t="inlineStr">
        <is>
          <t>N</t>
        </is>
      </c>
      <c r="L65" s="31" t="inlineStr">
        <is>
          <t>Non-Valid</t>
        </is>
      </c>
      <c r="M65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66">
      <c r="A66" s="31" t="inlineStr">
        <is>
          <t>29 Jun</t>
        </is>
      </c>
      <c r="B66" s="31" t="inlineStr">
        <is>
          <t>39111</t>
        </is>
      </c>
      <c r="C66" s="31" t="inlineStr">
        <is>
          <t>FS</t>
        </is>
      </c>
      <c r="D66" s="31" t="inlineStr">
        <is>
          <t>LS</t>
        </is>
      </c>
      <c r="E66" s="31" t="inlineStr">
        <is>
          <t>13:56:30</t>
        </is>
      </c>
      <c r="F66" s="31" t="inlineStr">
        <is>
          <t>14:00:22</t>
        </is>
      </c>
      <c r="G66" s="31" t="n">
        <v>232</v>
      </c>
      <c r="H66" s="31" t="n">
        <v>123</v>
      </c>
      <c r="I66" s="32" t="n">
        <v>75.73999999999999</v>
      </c>
      <c r="J66" s="31" t="inlineStr">
        <is>
          <t>Palla Road</t>
        </is>
      </c>
      <c r="K66" s="31" t="inlineStr">
        <is>
          <t>N</t>
        </is>
      </c>
      <c r="L66" s="31" t="inlineStr">
        <is>
          <t>Non-Valid</t>
        </is>
      </c>
      <c r="M66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67">
      <c r="A67" s="31" t="inlineStr">
        <is>
          <t>29 Jun</t>
        </is>
      </c>
      <c r="B67" s="31" t="inlineStr">
        <is>
          <t>39111</t>
        </is>
      </c>
      <c r="C67" s="31" t="inlineStr">
        <is>
          <t>LS</t>
        </is>
      </c>
      <c r="D67" s="31" t="inlineStr">
        <is>
          <t>SR</t>
        </is>
      </c>
      <c r="E67" s="31" t="inlineStr">
        <is>
          <t>14:00:24</t>
        </is>
      </c>
      <c r="F67" s="31" t="inlineStr">
        <is>
          <t>14:00:24</t>
        </is>
      </c>
      <c r="G67" s="31" t="n">
        <v>0</v>
      </c>
      <c r="H67" s="31" t="n">
        <v>1</v>
      </c>
      <c r="I67" s="32" t="n">
        <v>81.89</v>
      </c>
      <c r="J67" s="31" t="inlineStr">
        <is>
          <t>Saktigarh</t>
        </is>
      </c>
      <c r="K67" s="31" t="inlineStr">
        <is>
          <t>N</t>
        </is>
      </c>
      <c r="L67" s="31" t="inlineStr">
        <is>
          <t>Non-Valid</t>
        </is>
      </c>
      <c r="M67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68">
      <c r="A68" s="16" t="inlineStr">
        <is>
          <t>29 Jun</t>
        </is>
      </c>
      <c r="B68" s="16" t="inlineStr">
        <is>
          <t>39364</t>
        </is>
      </c>
      <c r="C68" s="16" t="inlineStr">
        <is>
          <t>FS</t>
        </is>
      </c>
      <c r="D68" s="16" t="inlineStr">
        <is>
          <t>LS</t>
        </is>
      </c>
      <c r="E68" s="16" t="inlineStr">
        <is>
          <t>14:07:48</t>
        </is>
      </c>
      <c r="F68" s="16" t="inlineStr">
        <is>
          <t>14:10:02</t>
        </is>
      </c>
      <c r="G68" s="16" t="n">
        <v>134</v>
      </c>
      <c r="H68" s="16" t="n">
        <v>72</v>
      </c>
      <c r="I68" s="34" t="n">
        <v>73.93000000000001</v>
      </c>
      <c r="J68" s="16" t="inlineStr">
        <is>
          <t>Palla Road</t>
        </is>
      </c>
      <c r="K68" s="16" t="inlineStr">
        <is>
          <t>N</t>
        </is>
      </c>
      <c r="L68" s="16" t="inlineStr">
        <is>
          <t>Valid</t>
        </is>
      </c>
      <c r="M68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69">
      <c r="A69" s="16" t="inlineStr">
        <is>
          <t>29 Jun</t>
        </is>
      </c>
      <c r="B69" s="16" t="inlineStr">
        <is>
          <t>39364</t>
        </is>
      </c>
      <c r="C69" s="16" t="inlineStr">
        <is>
          <t>OS</t>
        </is>
      </c>
      <c r="D69" s="16" t="inlineStr">
        <is>
          <t>LS</t>
        </is>
      </c>
      <c r="E69" s="16" t="inlineStr">
        <is>
          <t>14:10:04</t>
        </is>
      </c>
      <c r="F69" s="16" t="inlineStr">
        <is>
          <t>14:10:04</t>
        </is>
      </c>
      <c r="G69" s="16" t="n">
        <v>0</v>
      </c>
      <c r="H69" s="16" t="n">
        <v>1</v>
      </c>
      <c r="I69" s="34" t="n">
        <v>75.25</v>
      </c>
      <c r="J69" s="16" t="inlineStr">
        <is>
          <t>Palla Road</t>
        </is>
      </c>
      <c r="K69" s="16" t="inlineStr">
        <is>
          <t>N</t>
        </is>
      </c>
      <c r="L69" s="16" t="inlineStr">
        <is>
          <t>Valid</t>
        </is>
      </c>
      <c r="M69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70">
      <c r="A70" s="31" t="inlineStr">
        <is>
          <t>29 Jun</t>
        </is>
      </c>
      <c r="B70" s="31" t="inlineStr">
        <is>
          <t>30639</t>
        </is>
      </c>
      <c r="C70" s="31" t="inlineStr">
        <is>
          <t>FS</t>
        </is>
      </c>
      <c r="D70" s="31" t="inlineStr">
        <is>
          <t>LS</t>
        </is>
      </c>
      <c r="E70" s="31" t="inlineStr">
        <is>
          <t>14:32:50</t>
        </is>
      </c>
      <c r="F70" s="31" t="inlineStr">
        <is>
          <t>14:33:02</t>
        </is>
      </c>
      <c r="G70" s="31" t="n">
        <v>12</v>
      </c>
      <c r="H70" s="31" t="n">
        <v>8</v>
      </c>
      <c r="I70" s="32" t="n">
        <v>79.59</v>
      </c>
      <c r="J70" s="31" t="inlineStr">
        <is>
          <t>Palla Road</t>
        </is>
      </c>
      <c r="K70" s="31" t="inlineStr">
        <is>
          <t>R</t>
        </is>
      </c>
      <c r="L70" s="31" t="inlineStr">
        <is>
          <t>Non-Valid</t>
        </is>
      </c>
      <c r="M70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71">
      <c r="A71" s="31" t="inlineStr">
        <is>
          <t>29 Jun</t>
        </is>
      </c>
      <c r="B71" s="31" t="inlineStr">
        <is>
          <t>30639</t>
        </is>
      </c>
      <c r="C71" s="31" t="inlineStr">
        <is>
          <t>OS</t>
        </is>
      </c>
      <c r="D71" s="31" t="inlineStr">
        <is>
          <t>SR</t>
        </is>
      </c>
      <c r="E71" s="31" t="inlineStr">
        <is>
          <t>14:33:26</t>
        </is>
      </c>
      <c r="F71" s="31" t="inlineStr">
        <is>
          <t>14:37:02</t>
        </is>
      </c>
      <c r="G71" s="31" t="n">
        <v>216</v>
      </c>
      <c r="H71" s="31" t="n">
        <v>113</v>
      </c>
      <c r="I71" s="32" t="n">
        <v>78.81</v>
      </c>
      <c r="J71" s="31" t="inlineStr">
        <is>
          <t>Palla Road</t>
        </is>
      </c>
      <c r="K71" s="31" t="inlineStr">
        <is>
          <t>R</t>
        </is>
      </c>
      <c r="L71" s="31" t="inlineStr">
        <is>
          <t>Non-Valid</t>
        </is>
      </c>
      <c r="M71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72">
      <c r="A72" s="31" t="inlineStr">
        <is>
          <t>29 Jun</t>
        </is>
      </c>
      <c r="B72" s="31" t="inlineStr">
        <is>
          <t>30328</t>
        </is>
      </c>
      <c r="C72" s="31" t="inlineStr">
        <is>
          <t>FS</t>
        </is>
      </c>
      <c r="D72" s="31" t="inlineStr">
        <is>
          <t>SR</t>
        </is>
      </c>
      <c r="E72" s="31" t="inlineStr">
        <is>
          <t>15:05:38</t>
        </is>
      </c>
      <c r="F72" s="31" t="inlineStr">
        <is>
          <t>15:07:02</t>
        </is>
      </c>
      <c r="G72" s="31" t="n">
        <v>84</v>
      </c>
      <c r="H72" s="31" t="n">
        <v>79</v>
      </c>
      <c r="I72" s="32" t="n">
        <v>13.27</v>
      </c>
      <c r="J72" s="31" t="inlineStr">
        <is>
          <t>Dankuni</t>
        </is>
      </c>
      <c r="K72" s="31" t="inlineStr">
        <is>
          <t>R</t>
        </is>
      </c>
      <c r="L72" s="31" t="inlineStr">
        <is>
          <t>Non-Valid</t>
        </is>
      </c>
      <c r="M72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73">
      <c r="A73" s="31" t="inlineStr">
        <is>
          <t>29 Jun</t>
        </is>
      </c>
      <c r="B73" s="31" t="inlineStr">
        <is>
          <t>37481</t>
        </is>
      </c>
      <c r="C73" s="31" t="inlineStr">
        <is>
          <t>FS</t>
        </is>
      </c>
      <c r="D73" s="31" t="inlineStr">
        <is>
          <t>LS</t>
        </is>
      </c>
      <c r="E73" s="31" t="inlineStr">
        <is>
          <t>15:20:26</t>
        </is>
      </c>
      <c r="F73" s="31" t="inlineStr">
        <is>
          <t>15:26:34</t>
        </is>
      </c>
      <c r="G73" s="31" t="n">
        <v>368</v>
      </c>
      <c r="H73" s="31" t="n">
        <v>108</v>
      </c>
      <c r="I73" s="32" t="n">
        <v>73.84</v>
      </c>
      <c r="J73" s="31" t="inlineStr">
        <is>
          <t>Palla Road</t>
        </is>
      </c>
      <c r="K73" s="31" t="inlineStr">
        <is>
          <t>N</t>
        </is>
      </c>
      <c r="L73" s="31" t="inlineStr">
        <is>
          <t>Non-Valid</t>
        </is>
      </c>
      <c r="M73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74">
      <c r="A74" s="31" t="inlineStr">
        <is>
          <t>29 Jun</t>
        </is>
      </c>
      <c r="B74" s="31" t="inlineStr">
        <is>
          <t>37481</t>
        </is>
      </c>
      <c r="C74" s="31" t="inlineStr">
        <is>
          <t>LS</t>
        </is>
      </c>
      <c r="D74" s="31" t="inlineStr">
        <is>
          <t>SR</t>
        </is>
      </c>
      <c r="E74" s="31" t="inlineStr">
        <is>
          <t>15:26:38</t>
        </is>
      </c>
      <c r="F74" s="31" t="inlineStr">
        <is>
          <t>15:27:34</t>
        </is>
      </c>
      <c r="G74" s="31" t="n">
        <v>56</v>
      </c>
      <c r="H74" s="31" t="n">
        <v>16</v>
      </c>
      <c r="I74" s="32" t="n">
        <v>79.41</v>
      </c>
      <c r="J74" s="31" t="inlineStr">
        <is>
          <t>Palla Road</t>
        </is>
      </c>
      <c r="K74" s="31" t="inlineStr">
        <is>
          <t>N</t>
        </is>
      </c>
      <c r="L74" s="31" t="inlineStr">
        <is>
          <t>Non-Valid</t>
        </is>
      </c>
      <c r="M74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75">
      <c r="A75" s="31" t="inlineStr">
        <is>
          <t>29 Jun</t>
        </is>
      </c>
      <c r="B75" s="31" t="inlineStr">
        <is>
          <t>555555</t>
        </is>
      </c>
      <c r="C75" s="31" t="inlineStr">
        <is>
          <t>OS</t>
        </is>
      </c>
      <c r="D75" s="31" t="inlineStr">
        <is>
          <t>SR</t>
        </is>
      </c>
      <c r="E75" s="31" t="inlineStr">
        <is>
          <t>15:52:56</t>
        </is>
      </c>
      <c r="F75" s="31" t="inlineStr">
        <is>
          <t>15:52:56</t>
        </is>
      </c>
      <c r="G75" s="31" t="n">
        <v>0</v>
      </c>
      <c r="H75" s="31" t="n">
        <v>1</v>
      </c>
      <c r="I75" s="32" t="n">
        <v>97.59999999999999</v>
      </c>
      <c r="J75" s="31" t="inlineStr">
        <is>
          <t>Talit</t>
        </is>
      </c>
      <c r="K75" s="31" t="inlineStr">
        <is>
          <t>U</t>
        </is>
      </c>
      <c r="L75" s="31" t="inlineStr">
        <is>
          <t>Non-Valid</t>
        </is>
      </c>
      <c r="M75" s="16" t="inlineStr">
        <is>
          <t>Barddhaman Jn, Talit</t>
        </is>
      </c>
    </row>
    <row r="76">
      <c r="A76" s="16" t="inlineStr">
        <is>
          <t>29 Jun</t>
        </is>
      </c>
      <c r="B76" s="16" t="inlineStr">
        <is>
          <t>39059</t>
        </is>
      </c>
      <c r="C76" s="16" t="inlineStr">
        <is>
          <t>FS</t>
        </is>
      </c>
      <c r="D76" s="16" t="inlineStr">
        <is>
          <t>SR</t>
        </is>
      </c>
      <c r="E76" s="16" t="inlineStr">
        <is>
          <t>16:13:20</t>
        </is>
      </c>
      <c r="F76" s="16" t="inlineStr">
        <is>
          <t>16:13:48</t>
        </is>
      </c>
      <c r="G76" s="16" t="n">
        <v>28</v>
      </c>
      <c r="H76" s="16" t="n">
        <v>24</v>
      </c>
      <c r="I76" s="34" t="n">
        <v>244.08</v>
      </c>
      <c r="J76" s="16" t="inlineStr">
        <is>
          <t>Chhota Ambana</t>
        </is>
      </c>
      <c r="K76" s="16" t="inlineStr">
        <is>
          <t>N</t>
        </is>
      </c>
      <c r="L76" s="16" t="inlineStr">
        <is>
          <t>Valid</t>
        </is>
      </c>
      <c r="M76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77">
      <c r="A77" s="31" t="inlineStr">
        <is>
          <t>29 Jun</t>
        </is>
      </c>
      <c r="B77" s="31" t="inlineStr">
        <is>
          <t>555555</t>
        </is>
      </c>
      <c r="C77" s="31" t="inlineStr">
        <is>
          <t>FS</t>
        </is>
      </c>
      <c r="D77" s="31" t="inlineStr">
        <is>
          <t>SR</t>
        </is>
      </c>
      <c r="E77" s="31" t="inlineStr">
        <is>
          <t>16:16:04</t>
        </is>
      </c>
      <c r="F77" s="31" t="inlineStr">
        <is>
          <t>16:16:32</t>
        </is>
      </c>
      <c r="G77" s="31" t="n">
        <v>28</v>
      </c>
      <c r="H77" s="31" t="n">
        <v>2</v>
      </c>
      <c r="I77" s="32" t="n">
        <v>92.59</v>
      </c>
      <c r="J77" s="31" t="inlineStr">
        <is>
          <t>Barddhaman Jn</t>
        </is>
      </c>
      <c r="K77" s="31" t="inlineStr">
        <is>
          <t>U</t>
        </is>
      </c>
      <c r="L77" s="31" t="inlineStr">
        <is>
          <t>Non-Valid</t>
        </is>
      </c>
      <c r="M77" s="16" t="inlineStr">
        <is>
          <t>Barddhaman Jn, Talit</t>
        </is>
      </c>
    </row>
    <row r="78">
      <c r="A78" s="31" t="inlineStr">
        <is>
          <t>29 Jun</t>
        </is>
      </c>
      <c r="B78" s="31" t="inlineStr">
        <is>
          <t>555555</t>
        </is>
      </c>
      <c r="C78" s="31" t="inlineStr">
        <is>
          <t>FS</t>
        </is>
      </c>
      <c r="D78" s="31" t="inlineStr">
        <is>
          <t>SR</t>
        </is>
      </c>
      <c r="E78" s="31" t="inlineStr">
        <is>
          <t>16:32:12</t>
        </is>
      </c>
      <c r="F78" s="31" t="inlineStr">
        <is>
          <t>16:32:12</t>
        </is>
      </c>
      <c r="G78" s="31" t="n">
        <v>0</v>
      </c>
      <c r="H78" s="31" t="n">
        <v>1</v>
      </c>
      <c r="I78" s="32" t="n">
        <v>95.53</v>
      </c>
      <c r="J78" s="31" t="inlineStr">
        <is>
          <t>Barddhaman Jn</t>
        </is>
      </c>
      <c r="K78" s="31" t="inlineStr">
        <is>
          <t>U</t>
        </is>
      </c>
      <c r="L78" s="31" t="inlineStr">
        <is>
          <t>Non-Valid</t>
        </is>
      </c>
      <c r="M78" s="16" t="inlineStr">
        <is>
          <t>Barddhaman Jn, Talit</t>
        </is>
      </c>
    </row>
    <row r="79">
      <c r="A79" s="31" t="inlineStr">
        <is>
          <t>29 Jun</t>
        </is>
      </c>
      <c r="B79" s="31" t="inlineStr">
        <is>
          <t>30493</t>
        </is>
      </c>
      <c r="C79" s="31" t="inlineStr">
        <is>
          <t>FS</t>
        </is>
      </c>
      <c r="D79" s="31" t="inlineStr">
        <is>
          <t>SR</t>
        </is>
      </c>
      <c r="E79" s="31" t="inlineStr">
        <is>
          <t>17:02:14</t>
        </is>
      </c>
      <c r="F79" s="31" t="inlineStr">
        <is>
          <t>17:02:14</t>
        </is>
      </c>
      <c r="G79" s="31" t="n">
        <v>0</v>
      </c>
      <c r="H79" s="31" t="n">
        <v>1</v>
      </c>
      <c r="I79" s="32" t="n">
        <v>244.08</v>
      </c>
      <c r="J79" s="31" t="inlineStr">
        <is>
          <t>Chhota Ambana</t>
        </is>
      </c>
      <c r="K79" s="31" t="inlineStr">
        <is>
          <t>N</t>
        </is>
      </c>
      <c r="L79" s="31" t="inlineStr">
        <is>
          <t>Non-Valid</t>
        </is>
      </c>
      <c r="M79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0">
      <c r="A80" s="31" t="inlineStr">
        <is>
          <t>29 Jun</t>
        </is>
      </c>
      <c r="B80" s="31" t="inlineStr">
        <is>
          <t>30493</t>
        </is>
      </c>
      <c r="C80" s="31" t="inlineStr">
        <is>
          <t>FS</t>
        </is>
      </c>
      <c r="D80" s="31" t="inlineStr">
        <is>
          <t>SR</t>
        </is>
      </c>
      <c r="E80" s="31" t="inlineStr">
        <is>
          <t>17:02:16</t>
        </is>
      </c>
      <c r="F80" s="31" t="inlineStr">
        <is>
          <t>17:02:42</t>
        </is>
      </c>
      <c r="G80" s="31" t="n">
        <v>26</v>
      </c>
      <c r="H80" s="31" t="n">
        <v>23</v>
      </c>
      <c r="I80" s="32" t="n">
        <v>244.13</v>
      </c>
      <c r="J80" s="31" t="inlineStr">
        <is>
          <t>Chhota Ambana</t>
        </is>
      </c>
      <c r="K80" s="31" t="inlineStr">
        <is>
          <t>N</t>
        </is>
      </c>
      <c r="L80" s="31" t="inlineStr">
        <is>
          <t>Non-Valid</t>
        </is>
      </c>
      <c r="M80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1">
      <c r="A81" s="16" t="inlineStr">
        <is>
          <t>29 Jun</t>
        </is>
      </c>
      <c r="B81" s="16" t="inlineStr">
        <is>
          <t>39364</t>
        </is>
      </c>
      <c r="C81" s="16" t="inlineStr">
        <is>
          <t>FS</t>
        </is>
      </c>
      <c r="D81" s="16" t="inlineStr">
        <is>
          <t>SR</t>
        </is>
      </c>
      <c r="E81" s="16" t="inlineStr">
        <is>
          <t>17:14:30</t>
        </is>
      </c>
      <c r="F81" s="16" t="inlineStr">
        <is>
          <t>17:14:30</t>
        </is>
      </c>
      <c r="G81" s="16" t="n">
        <v>0</v>
      </c>
      <c r="H81" s="16" t="n">
        <v>1</v>
      </c>
      <c r="I81" s="34" t="n">
        <v>244.07</v>
      </c>
      <c r="J81" s="16" t="inlineStr">
        <is>
          <t>Chhota Ambana</t>
        </is>
      </c>
      <c r="K81" s="16" t="inlineStr">
        <is>
          <t>N</t>
        </is>
      </c>
      <c r="L81" s="16" t="inlineStr">
        <is>
          <t>Valid</t>
        </is>
      </c>
      <c r="M81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2">
      <c r="A82" s="16" t="inlineStr">
        <is>
          <t>29 Jun</t>
        </is>
      </c>
      <c r="B82" s="16" t="inlineStr">
        <is>
          <t>39364</t>
        </is>
      </c>
      <c r="C82" s="16" t="inlineStr">
        <is>
          <t>FS</t>
        </is>
      </c>
      <c r="D82" s="16" t="inlineStr">
        <is>
          <t>SR</t>
        </is>
      </c>
      <c r="E82" s="16" t="inlineStr">
        <is>
          <t>17:14:32</t>
        </is>
      </c>
      <c r="F82" s="16" t="inlineStr">
        <is>
          <t>17:14:58</t>
        </is>
      </c>
      <c r="G82" s="16" t="n">
        <v>26</v>
      </c>
      <c r="H82" s="16" t="n">
        <v>23</v>
      </c>
      <c r="I82" s="34" t="n">
        <v>244.13</v>
      </c>
      <c r="J82" s="16" t="inlineStr">
        <is>
          <t>Chhota Ambana</t>
        </is>
      </c>
      <c r="K82" s="16" t="inlineStr">
        <is>
          <t>N</t>
        </is>
      </c>
      <c r="L82" s="16" t="inlineStr">
        <is>
          <t>Valid</t>
        </is>
      </c>
      <c r="M82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3">
      <c r="A83" s="31" t="inlineStr">
        <is>
          <t>29 Jun</t>
        </is>
      </c>
      <c r="B83" s="31" t="inlineStr">
        <is>
          <t>37610</t>
        </is>
      </c>
      <c r="C83" s="31" t="inlineStr">
        <is>
          <t>FS</t>
        </is>
      </c>
      <c r="D83" s="31" t="inlineStr">
        <is>
          <t>LS</t>
        </is>
      </c>
      <c r="E83" s="31" t="inlineStr">
        <is>
          <t>17:46:44</t>
        </is>
      </c>
      <c r="F83" s="31" t="inlineStr">
        <is>
          <t>17:47:26</t>
        </is>
      </c>
      <c r="G83" s="31" t="n">
        <v>42</v>
      </c>
      <c r="H83" s="31" t="n">
        <v>33</v>
      </c>
      <c r="I83" s="32" t="n">
        <v>62.16</v>
      </c>
      <c r="J83" s="31" t="inlineStr">
        <is>
          <t>Jaugram</t>
        </is>
      </c>
      <c r="K83" s="31" t="inlineStr">
        <is>
          <t>N</t>
        </is>
      </c>
      <c r="L83" s="31" t="inlineStr">
        <is>
          <t>Non-Valid</t>
        </is>
      </c>
      <c r="M83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4">
      <c r="A84" s="16" t="inlineStr">
        <is>
          <t>29 Jun</t>
        </is>
      </c>
      <c r="B84" s="16" t="inlineStr">
        <is>
          <t>39411</t>
        </is>
      </c>
      <c r="C84" s="16" t="inlineStr">
        <is>
          <t>FS</t>
        </is>
      </c>
      <c r="D84" s="16" t="inlineStr">
        <is>
          <t>LS</t>
        </is>
      </c>
      <c r="E84" s="16" t="inlineStr">
        <is>
          <t>19:06:36</t>
        </is>
      </c>
      <c r="F84" s="16" t="inlineStr">
        <is>
          <t>19:08:10</t>
        </is>
      </c>
      <c r="G84" s="16" t="n">
        <v>94</v>
      </c>
      <c r="H84" s="16" t="n">
        <v>72</v>
      </c>
      <c r="I84" s="34" t="n">
        <v>200.97</v>
      </c>
      <c r="J84" s="16" t="inlineStr">
        <is>
          <t>Asansol</t>
        </is>
      </c>
      <c r="K84" s="16" t="inlineStr">
        <is>
          <t>N</t>
        </is>
      </c>
      <c r="L84" s="16" t="inlineStr">
        <is>
          <t>Valid</t>
        </is>
      </c>
      <c r="M84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5">
      <c r="A85" s="16" t="inlineStr">
        <is>
          <t>29 Jun</t>
        </is>
      </c>
      <c r="B85" s="16" t="inlineStr">
        <is>
          <t>39411</t>
        </is>
      </c>
      <c r="C85" s="16" t="inlineStr">
        <is>
          <t>LS</t>
        </is>
      </c>
      <c r="D85" s="16" t="inlineStr">
        <is>
          <t>SR</t>
        </is>
      </c>
      <c r="E85" s="16" t="inlineStr">
        <is>
          <t>19:08:12</t>
        </is>
      </c>
      <c r="F85" s="16" t="inlineStr">
        <is>
          <t>19:08:12</t>
        </is>
      </c>
      <c r="G85" s="16" t="n">
        <v>0</v>
      </c>
      <c r="H85" s="16" t="n">
        <v>2</v>
      </c>
      <c r="I85" s="34" t="n">
        <v>201.47</v>
      </c>
      <c r="J85" s="16" t="inlineStr">
        <is>
          <t>Asansol</t>
        </is>
      </c>
      <c r="K85" s="16" t="inlineStr">
        <is>
          <t>N</t>
        </is>
      </c>
      <c r="L85" s="16" t="inlineStr">
        <is>
          <t>Valid</t>
        </is>
      </c>
      <c r="M85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6">
      <c r="A86" s="31" t="inlineStr">
        <is>
          <t>29 Jun</t>
        </is>
      </c>
      <c r="B86" s="31" t="inlineStr">
        <is>
          <t>37042</t>
        </is>
      </c>
      <c r="C86" s="31" t="inlineStr">
        <is>
          <t>FS</t>
        </is>
      </c>
      <c r="D86" s="31" t="inlineStr">
        <is>
          <t>LS</t>
        </is>
      </c>
      <c r="E86" s="31" t="inlineStr">
        <is>
          <t>19:09:36</t>
        </is>
      </c>
      <c r="F86" s="31" t="inlineStr">
        <is>
          <t>19:09:42</t>
        </is>
      </c>
      <c r="G86" s="31" t="n">
        <v>6</v>
      </c>
      <c r="H86" s="31" t="n">
        <v>8</v>
      </c>
      <c r="I86" s="32" t="n">
        <v>50.15</v>
      </c>
      <c r="J86" s="31" t="inlineStr">
        <is>
          <t>Cheragram</t>
        </is>
      </c>
      <c r="K86" s="31" t="inlineStr">
        <is>
          <t>R</t>
        </is>
      </c>
      <c r="L86" s="31" t="inlineStr">
        <is>
          <t>Non-Valid</t>
        </is>
      </c>
      <c r="M86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87">
      <c r="A87" s="16" t="inlineStr">
        <is>
          <t>29 Jun</t>
        </is>
      </c>
      <c r="B87" s="16" t="inlineStr">
        <is>
          <t>39411</t>
        </is>
      </c>
      <c r="C87" s="16" t="inlineStr">
        <is>
          <t>FS</t>
        </is>
      </c>
      <c r="D87" s="16" t="inlineStr">
        <is>
          <t>LS</t>
        </is>
      </c>
      <c r="E87" s="16" t="inlineStr">
        <is>
          <t>19:31:22</t>
        </is>
      </c>
      <c r="F87" s="16" t="inlineStr">
        <is>
          <t>19:31:22</t>
        </is>
      </c>
      <c r="G87" s="16" t="n">
        <v>0</v>
      </c>
      <c r="H87" s="16" t="n">
        <v>1</v>
      </c>
      <c r="I87" s="34" t="n">
        <v>232.36</v>
      </c>
      <c r="J87" s="16" t="inlineStr">
        <is>
          <t>Kalubathan</t>
        </is>
      </c>
      <c r="K87" s="16" t="inlineStr">
        <is>
          <t>N</t>
        </is>
      </c>
      <c r="L87" s="16" t="inlineStr">
        <is>
          <t>Valid</t>
        </is>
      </c>
      <c r="M87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8">
      <c r="A88" s="16" t="inlineStr">
        <is>
          <t>29 Jun</t>
        </is>
      </c>
      <c r="B88" s="16" t="inlineStr">
        <is>
          <t>39411</t>
        </is>
      </c>
      <c r="C88" s="16" t="inlineStr">
        <is>
          <t>FS</t>
        </is>
      </c>
      <c r="D88" s="16" t="inlineStr">
        <is>
          <t>LS</t>
        </is>
      </c>
      <c r="E88" s="16" t="inlineStr">
        <is>
          <t>19:31:24</t>
        </is>
      </c>
      <c r="F88" s="16" t="inlineStr">
        <is>
          <t>19:31:24</t>
        </is>
      </c>
      <c r="G88" s="16" t="n">
        <v>0</v>
      </c>
      <c r="H88" s="16" t="n">
        <v>2</v>
      </c>
      <c r="I88" s="34" t="n">
        <v>232.38</v>
      </c>
      <c r="J88" s="16" t="inlineStr">
        <is>
          <t>Kalubathan</t>
        </is>
      </c>
      <c r="K88" s="16" t="inlineStr">
        <is>
          <t>N</t>
        </is>
      </c>
      <c r="L88" s="16" t="inlineStr">
        <is>
          <t>Valid</t>
        </is>
      </c>
      <c r="M88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89">
      <c r="A89" s="16" t="inlineStr">
        <is>
          <t>29 Jun</t>
        </is>
      </c>
      <c r="B89" s="16" t="inlineStr">
        <is>
          <t>39411</t>
        </is>
      </c>
      <c r="C89" s="16" t="inlineStr">
        <is>
          <t>OS</t>
        </is>
      </c>
      <c r="D89" s="16" t="inlineStr">
        <is>
          <t>LS</t>
        </is>
      </c>
      <c r="E89" s="16" t="inlineStr">
        <is>
          <t>19:31:26</t>
        </is>
      </c>
      <c r="F89" s="16" t="inlineStr">
        <is>
          <t>19:31:26</t>
        </is>
      </c>
      <c r="G89" s="16" t="n">
        <v>0</v>
      </c>
      <c r="H89" s="16" t="n">
        <v>1</v>
      </c>
      <c r="I89" s="34" t="n">
        <v>232.39</v>
      </c>
      <c r="J89" s="16" t="inlineStr">
        <is>
          <t>Kalubathan</t>
        </is>
      </c>
      <c r="K89" s="16" t="inlineStr">
        <is>
          <t>N</t>
        </is>
      </c>
      <c r="L89" s="16" t="inlineStr">
        <is>
          <t>Valid</t>
        </is>
      </c>
      <c r="M89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0">
      <c r="A90" s="31" t="inlineStr">
        <is>
          <t>29 Jun</t>
        </is>
      </c>
      <c r="B90" s="31" t="inlineStr">
        <is>
          <t>37042</t>
        </is>
      </c>
      <c r="C90" s="31" t="inlineStr">
        <is>
          <t>FS</t>
        </is>
      </c>
      <c r="D90" s="31" t="inlineStr">
        <is>
          <t>LS</t>
        </is>
      </c>
      <c r="E90" s="31" t="inlineStr">
        <is>
          <t>19:38:24</t>
        </is>
      </c>
      <c r="F90" s="31" t="inlineStr">
        <is>
          <t>19:39:10</t>
        </is>
      </c>
      <c r="G90" s="31" t="n">
        <v>46</v>
      </c>
      <c r="H90" s="31" t="n">
        <v>36</v>
      </c>
      <c r="I90" s="32" t="n">
        <v>23.35</v>
      </c>
      <c r="J90" s="31" t="inlineStr">
        <is>
          <t>Baruipara</t>
        </is>
      </c>
      <c r="K90" s="31" t="inlineStr">
        <is>
          <t>R</t>
        </is>
      </c>
      <c r="L90" s="31" t="inlineStr">
        <is>
          <t>Non-Valid</t>
        </is>
      </c>
      <c r="M90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91">
      <c r="A91" s="31" t="inlineStr">
        <is>
          <t>29 Jun</t>
        </is>
      </c>
      <c r="B91" s="31" t="inlineStr">
        <is>
          <t>37042</t>
        </is>
      </c>
      <c r="C91" s="31" t="inlineStr">
        <is>
          <t>LS</t>
        </is>
      </c>
      <c r="D91" s="31" t="inlineStr">
        <is>
          <t>SR</t>
        </is>
      </c>
      <c r="E91" s="31" t="inlineStr">
        <is>
          <t>19:39:12</t>
        </is>
      </c>
      <c r="F91" s="31" t="inlineStr">
        <is>
          <t>19:39:12</t>
        </is>
      </c>
      <c r="G91" s="31" t="n">
        <v>0</v>
      </c>
      <c r="H91" s="31" t="n">
        <v>2</v>
      </c>
      <c r="I91" s="32" t="n">
        <v>22.89</v>
      </c>
      <c r="J91" s="31" t="inlineStr">
        <is>
          <t>Baruipara</t>
        </is>
      </c>
      <c r="K91" s="31" t="inlineStr">
        <is>
          <t>R</t>
        </is>
      </c>
      <c r="L91" s="31" t="inlineStr">
        <is>
          <t>Non-Valid</t>
        </is>
      </c>
      <c r="M91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92">
      <c r="A92" s="31" t="inlineStr">
        <is>
          <t>29 Jun</t>
        </is>
      </c>
      <c r="B92" s="31" t="inlineStr">
        <is>
          <t>37042</t>
        </is>
      </c>
      <c r="C92" s="31" t="inlineStr">
        <is>
          <t>OS</t>
        </is>
      </c>
      <c r="D92" s="31" t="inlineStr">
        <is>
          <t>SR</t>
        </is>
      </c>
      <c r="E92" s="31" t="inlineStr">
        <is>
          <t>19:40:40</t>
        </is>
      </c>
      <c r="F92" s="31" t="inlineStr">
        <is>
          <t>19:41:04</t>
        </is>
      </c>
      <c r="G92" s="31" t="n">
        <v>24</v>
      </c>
      <c r="H92" s="31" t="n">
        <v>19</v>
      </c>
      <c r="I92" s="32" t="n">
        <v>22.59</v>
      </c>
      <c r="J92" s="31" t="inlineStr">
        <is>
          <t>Baruipara</t>
        </is>
      </c>
      <c r="K92" s="31" t="inlineStr">
        <is>
          <t>R</t>
        </is>
      </c>
      <c r="L92" s="31" t="inlineStr">
        <is>
          <t>Non-Valid</t>
        </is>
      </c>
      <c r="M92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</t>
        </is>
      </c>
    </row>
    <row r="93">
      <c r="A93" s="16" t="inlineStr">
        <is>
          <t>29 Jun</t>
        </is>
      </c>
      <c r="B93" s="16" t="inlineStr">
        <is>
          <t>39411</t>
        </is>
      </c>
      <c r="C93" s="16" t="inlineStr">
        <is>
          <t>FS</t>
        </is>
      </c>
      <c r="D93" s="16" t="inlineStr">
        <is>
          <t>SR</t>
        </is>
      </c>
      <c r="E93" s="16" t="inlineStr">
        <is>
          <t>19:42:46</t>
        </is>
      </c>
      <c r="F93" s="16" t="inlineStr">
        <is>
          <t>19:42:46</t>
        </is>
      </c>
      <c r="G93" s="16" t="n">
        <v>0</v>
      </c>
      <c r="H93" s="16" t="n">
        <v>1</v>
      </c>
      <c r="I93" s="34" t="n">
        <v>244.07</v>
      </c>
      <c r="J93" s="16" t="inlineStr">
        <is>
          <t>Chhota Ambana</t>
        </is>
      </c>
      <c r="K93" s="16" t="inlineStr">
        <is>
          <t>N</t>
        </is>
      </c>
      <c r="L93" s="16" t="inlineStr">
        <is>
          <t>Valid</t>
        </is>
      </c>
      <c r="M93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4">
      <c r="A94" s="16" t="inlineStr">
        <is>
          <t>29 Jun</t>
        </is>
      </c>
      <c r="B94" s="16" t="inlineStr">
        <is>
          <t>39411</t>
        </is>
      </c>
      <c r="C94" s="16" t="inlineStr">
        <is>
          <t>FS</t>
        </is>
      </c>
      <c r="D94" s="16" t="inlineStr">
        <is>
          <t>SR</t>
        </is>
      </c>
      <c r="E94" s="16" t="inlineStr">
        <is>
          <t>19:42:48</t>
        </is>
      </c>
      <c r="F94" s="16" t="inlineStr">
        <is>
          <t>19:43:16</t>
        </is>
      </c>
      <c r="G94" s="16" t="n">
        <v>28</v>
      </c>
      <c r="H94" s="16" t="n">
        <v>24</v>
      </c>
      <c r="I94" s="34" t="n">
        <v>244.11</v>
      </c>
      <c r="J94" s="16" t="inlineStr">
        <is>
          <t>Chhota Ambana</t>
        </is>
      </c>
      <c r="K94" s="16" t="inlineStr">
        <is>
          <t>N</t>
        </is>
      </c>
      <c r="L94" s="16" t="inlineStr">
        <is>
          <t>Valid</t>
        </is>
      </c>
      <c r="M94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5">
      <c r="A95" s="31" t="inlineStr">
        <is>
          <t>29 Jun</t>
        </is>
      </c>
      <c r="B95" s="31" t="inlineStr">
        <is>
          <t>37610</t>
        </is>
      </c>
      <c r="C95" s="31" t="inlineStr">
        <is>
          <t>FS</t>
        </is>
      </c>
      <c r="D95" s="31" t="inlineStr">
        <is>
          <t>LS</t>
        </is>
      </c>
      <c r="E95" s="31" t="inlineStr">
        <is>
          <t>19:50:02</t>
        </is>
      </c>
      <c r="F95" s="31" t="inlineStr">
        <is>
          <t>19:50:08</t>
        </is>
      </c>
      <c r="G95" s="31" t="n">
        <v>6</v>
      </c>
      <c r="H95" s="31" t="n">
        <v>6</v>
      </c>
      <c r="I95" s="32" t="n">
        <v>221.34</v>
      </c>
      <c r="J95" s="31" t="inlineStr">
        <is>
          <t>Kumardubi</t>
        </is>
      </c>
      <c r="K95" s="31" t="inlineStr">
        <is>
          <t>N</t>
        </is>
      </c>
      <c r="L95" s="31" t="inlineStr">
        <is>
          <t>Non-Valid</t>
        </is>
      </c>
      <c r="M95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6">
      <c r="A96" s="31" t="inlineStr">
        <is>
          <t>29 Jun</t>
        </is>
      </c>
      <c r="B96" s="31" t="inlineStr">
        <is>
          <t>30203</t>
        </is>
      </c>
      <c r="C96" s="31" t="inlineStr">
        <is>
          <t>FS</t>
        </is>
      </c>
      <c r="D96" s="31" t="inlineStr">
        <is>
          <t>LS</t>
        </is>
      </c>
      <c r="E96" s="31" t="inlineStr">
        <is>
          <t>20:02:10</t>
        </is>
      </c>
      <c r="F96" s="31" t="inlineStr">
        <is>
          <t>20:02:10</t>
        </is>
      </c>
      <c r="G96" s="31" t="n">
        <v>0</v>
      </c>
      <c r="H96" s="31" t="n">
        <v>1</v>
      </c>
      <c r="I96" s="32" t="n">
        <v>232.37</v>
      </c>
      <c r="J96" s="31" t="inlineStr">
        <is>
          <t>Kalubathan</t>
        </is>
      </c>
      <c r="K96" s="31" t="inlineStr">
        <is>
          <t>N</t>
        </is>
      </c>
      <c r="L96" s="31" t="inlineStr">
        <is>
          <t>Non-Valid</t>
        </is>
      </c>
      <c r="M96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7">
      <c r="A97" s="31" t="inlineStr">
        <is>
          <t>29 Jun</t>
        </is>
      </c>
      <c r="B97" s="31" t="inlineStr">
        <is>
          <t>30203</t>
        </is>
      </c>
      <c r="C97" s="31" t="inlineStr">
        <is>
          <t>FS</t>
        </is>
      </c>
      <c r="D97" s="31" t="inlineStr">
        <is>
          <t>LS</t>
        </is>
      </c>
      <c r="E97" s="31" t="inlineStr">
        <is>
          <t>20:02:12</t>
        </is>
      </c>
      <c r="F97" s="31" t="inlineStr">
        <is>
          <t>20:02:46</t>
        </is>
      </c>
      <c r="G97" s="31" t="n">
        <v>34</v>
      </c>
      <c r="H97" s="31" t="n">
        <v>18</v>
      </c>
      <c r="I97" s="32" t="n">
        <v>232.4</v>
      </c>
      <c r="J97" s="31" t="inlineStr">
        <is>
          <t>Kalubathan</t>
        </is>
      </c>
      <c r="K97" s="31" t="inlineStr">
        <is>
          <t>N</t>
        </is>
      </c>
      <c r="L97" s="31" t="inlineStr">
        <is>
          <t>Non-Valid</t>
        </is>
      </c>
      <c r="M97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8">
      <c r="A98" s="31" t="inlineStr">
        <is>
          <t>29 Jun</t>
        </is>
      </c>
      <c r="B98" s="31" t="inlineStr">
        <is>
          <t>30203</t>
        </is>
      </c>
      <c r="C98" s="31" t="inlineStr">
        <is>
          <t>OS</t>
        </is>
      </c>
      <c r="D98" s="31" t="inlineStr">
        <is>
          <t>LS</t>
        </is>
      </c>
      <c r="E98" s="31" t="inlineStr">
        <is>
          <t>20:02:48</t>
        </is>
      </c>
      <c r="F98" s="31" t="inlineStr">
        <is>
          <t>20:02:48</t>
        </is>
      </c>
      <c r="G98" s="31" t="n">
        <v>0</v>
      </c>
      <c r="H98" s="31" t="n">
        <v>1</v>
      </c>
      <c r="I98" s="32" t="n">
        <v>232.9</v>
      </c>
      <c r="J98" s="31" t="inlineStr">
        <is>
          <t>Kalubathan</t>
        </is>
      </c>
      <c r="K98" s="31" t="inlineStr">
        <is>
          <t>N</t>
        </is>
      </c>
      <c r="L98" s="31" t="inlineStr">
        <is>
          <t>Non-Valid</t>
        </is>
      </c>
      <c r="M98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99">
      <c r="A99" s="31" t="inlineStr">
        <is>
          <t>29 Jun</t>
        </is>
      </c>
      <c r="B99" s="31" t="inlineStr">
        <is>
          <t>37720</t>
        </is>
      </c>
      <c r="C99" s="31" t="inlineStr">
        <is>
          <t>FS</t>
        </is>
      </c>
      <c r="D99" s="31" t="inlineStr">
        <is>
          <t>LS</t>
        </is>
      </c>
      <c r="E99" s="31" t="inlineStr">
        <is>
          <t>20:03:02</t>
        </is>
      </c>
      <c r="F99" s="31" t="inlineStr">
        <is>
          <t>20:03:14</t>
        </is>
      </c>
      <c r="G99" s="31" t="n">
        <v>12</v>
      </c>
      <c r="H99" s="31" t="n">
        <v>8</v>
      </c>
      <c r="I99" s="32" t="n">
        <v>63.1</v>
      </c>
      <c r="J99" s="31" t="inlineStr">
        <is>
          <t>Jaugram</t>
        </is>
      </c>
      <c r="K99" s="31" t="inlineStr">
        <is>
          <t>R</t>
        </is>
      </c>
      <c r="L99" s="31" t="inlineStr">
        <is>
          <t>Non-Valid</t>
        </is>
      </c>
      <c r="M99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100">
      <c r="A100" s="31" t="inlineStr">
        <is>
          <t>29 Jun</t>
        </is>
      </c>
      <c r="B100" s="31" t="inlineStr">
        <is>
          <t>37610</t>
        </is>
      </c>
      <c r="C100" s="31" t="inlineStr">
        <is>
          <t>FS</t>
        </is>
      </c>
      <c r="D100" s="31" t="inlineStr">
        <is>
          <t>SR</t>
        </is>
      </c>
      <c r="E100" s="31" t="inlineStr">
        <is>
          <t>20:07:30</t>
        </is>
      </c>
      <c r="F100" s="31" t="inlineStr">
        <is>
          <t>20:07:30</t>
        </is>
      </c>
      <c r="G100" s="31" t="n">
        <v>0</v>
      </c>
      <c r="H100" s="31" t="n">
        <v>1</v>
      </c>
      <c r="I100" s="32" t="n">
        <v>244.05</v>
      </c>
      <c r="J100" s="31" t="inlineStr">
        <is>
          <t>Chhota Ambana</t>
        </is>
      </c>
      <c r="K100" s="31" t="inlineStr">
        <is>
          <t>N</t>
        </is>
      </c>
      <c r="L100" s="31" t="inlineStr">
        <is>
          <t>Non-Valid</t>
        </is>
      </c>
      <c r="M100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01">
      <c r="A101" s="31" t="inlineStr">
        <is>
          <t>29 Jun</t>
        </is>
      </c>
      <c r="B101" s="31" t="inlineStr">
        <is>
          <t>37610</t>
        </is>
      </c>
      <c r="C101" s="31" t="inlineStr">
        <is>
          <t>FS</t>
        </is>
      </c>
      <c r="D101" s="31" t="inlineStr">
        <is>
          <t>SR</t>
        </is>
      </c>
      <c r="E101" s="31" t="inlineStr">
        <is>
          <t>20:07:32</t>
        </is>
      </c>
      <c r="F101" s="31" t="inlineStr">
        <is>
          <t>20:08:00</t>
        </is>
      </c>
      <c r="G101" s="31" t="n">
        <v>28</v>
      </c>
      <c r="H101" s="31" t="n">
        <v>24</v>
      </c>
      <c r="I101" s="32" t="n">
        <v>244.12</v>
      </c>
      <c r="J101" s="31" t="inlineStr">
        <is>
          <t>Chhota Ambana</t>
        </is>
      </c>
      <c r="K101" s="31" t="inlineStr">
        <is>
          <t>N</t>
        </is>
      </c>
      <c r="L101" s="31" t="inlineStr">
        <is>
          <t>Non-Valid</t>
        </is>
      </c>
      <c r="M101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02">
      <c r="A102" s="31" t="inlineStr">
        <is>
          <t>29 Jun</t>
        </is>
      </c>
      <c r="B102" s="31" t="inlineStr">
        <is>
          <t>39095</t>
        </is>
      </c>
      <c r="C102" s="31" t="inlineStr">
        <is>
          <t>FS</t>
        </is>
      </c>
      <c r="D102" s="31" t="inlineStr">
        <is>
          <t>SR</t>
        </is>
      </c>
      <c r="E102" s="31" t="inlineStr">
        <is>
          <t>20:07:56</t>
        </is>
      </c>
      <c r="F102" s="31" t="inlineStr">
        <is>
          <t>20:07:56</t>
        </is>
      </c>
      <c r="G102" s="31" t="n">
        <v>0</v>
      </c>
      <c r="H102" s="31" t="n">
        <v>1</v>
      </c>
      <c r="I102" s="32" t="n">
        <v>56.25</v>
      </c>
      <c r="J102" s="31" t="inlineStr">
        <is>
          <t>LC-41</t>
        </is>
      </c>
      <c r="K102" s="31" t="inlineStr">
        <is>
          <t>N</t>
        </is>
      </c>
      <c r="L102" s="31" t="inlineStr">
        <is>
          <t>Non-Valid</t>
        </is>
      </c>
      <c r="M102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103">
      <c r="A103" s="31" t="inlineStr">
        <is>
          <t>29 Jun</t>
        </is>
      </c>
      <c r="B103" s="31" t="inlineStr">
        <is>
          <t>39095</t>
        </is>
      </c>
      <c r="C103" s="31" t="inlineStr">
        <is>
          <t>FS</t>
        </is>
      </c>
      <c r="D103" s="31" t="inlineStr">
        <is>
          <t>SR</t>
        </is>
      </c>
      <c r="E103" s="31" t="inlineStr">
        <is>
          <t>20:07:58</t>
        </is>
      </c>
      <c r="F103" s="31" t="inlineStr">
        <is>
          <t>20:07:58</t>
        </is>
      </c>
      <c r="G103" s="31" t="n">
        <v>0</v>
      </c>
      <c r="H103" s="31" t="n">
        <v>2</v>
      </c>
      <c r="I103" s="32" t="n">
        <v>56.27</v>
      </c>
      <c r="J103" s="31" t="inlineStr">
        <is>
          <t>LC-41</t>
        </is>
      </c>
      <c r="K103" s="31" t="inlineStr">
        <is>
          <t>N</t>
        </is>
      </c>
      <c r="L103" s="31" t="inlineStr">
        <is>
          <t>Non-Valid</t>
        </is>
      </c>
      <c r="M103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104">
      <c r="A104" s="31" t="inlineStr">
        <is>
          <t>29 Jun</t>
        </is>
      </c>
      <c r="B104" s="31" t="inlineStr">
        <is>
          <t>39095</t>
        </is>
      </c>
      <c r="C104" s="31" t="inlineStr">
        <is>
          <t>OS</t>
        </is>
      </c>
      <c r="D104" s="31" t="inlineStr">
        <is>
          <t>SR</t>
        </is>
      </c>
      <c r="E104" s="31" t="inlineStr">
        <is>
          <t>20:08:00</t>
        </is>
      </c>
      <c r="F104" s="31" t="inlineStr">
        <is>
          <t>20:08:00</t>
        </is>
      </c>
      <c r="G104" s="31" t="n">
        <v>0</v>
      </c>
      <c r="H104" s="31" t="n">
        <v>1</v>
      </c>
      <c r="I104" s="32" t="n">
        <v>56.27</v>
      </c>
      <c r="J104" s="31" t="inlineStr">
        <is>
          <t>LC-41</t>
        </is>
      </c>
      <c r="K104" s="31" t="inlineStr">
        <is>
          <t>N</t>
        </is>
      </c>
      <c r="L104" s="31" t="inlineStr">
        <is>
          <t>Non-Valid</t>
        </is>
      </c>
      <c r="M104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105">
      <c r="A105" s="31" t="inlineStr">
        <is>
          <t>29 Jun</t>
        </is>
      </c>
      <c r="B105" s="31" t="inlineStr">
        <is>
          <t>39095</t>
        </is>
      </c>
      <c r="C105" s="31" t="inlineStr">
        <is>
          <t>FS</t>
        </is>
      </c>
      <c r="D105" s="31" t="inlineStr">
        <is>
          <t>SR</t>
        </is>
      </c>
      <c r="E105" s="31" t="inlineStr">
        <is>
          <t>20:09:08</t>
        </is>
      </c>
      <c r="F105" s="31" t="inlineStr">
        <is>
          <t>20:09:12</t>
        </is>
      </c>
      <c r="G105" s="31" t="n">
        <v>4</v>
      </c>
      <c r="H105" s="31" t="n">
        <v>6</v>
      </c>
      <c r="I105" s="32" t="n">
        <v>57.2</v>
      </c>
      <c r="J105" s="31" t="inlineStr">
        <is>
          <t>Gurap</t>
        </is>
      </c>
      <c r="K105" s="31" t="inlineStr">
        <is>
          <t>N</t>
        </is>
      </c>
      <c r="L105" s="31" t="inlineStr">
        <is>
          <t>Non-Valid</t>
        </is>
      </c>
      <c r="M105" s="16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</t>
        </is>
      </c>
    </row>
    <row r="106">
      <c r="A106" s="31" t="inlineStr">
        <is>
          <t>29 Jun</t>
        </is>
      </c>
      <c r="B106" s="31" t="inlineStr">
        <is>
          <t>30203</t>
        </is>
      </c>
      <c r="C106" s="31" t="inlineStr">
        <is>
          <t>FS</t>
        </is>
      </c>
      <c r="D106" s="31" t="inlineStr">
        <is>
          <t>SR</t>
        </is>
      </c>
      <c r="E106" s="31" t="inlineStr">
        <is>
          <t>20:13:40</t>
        </is>
      </c>
      <c r="F106" s="31" t="inlineStr">
        <is>
          <t>20:13:40</t>
        </is>
      </c>
      <c r="G106" s="31" t="n">
        <v>0</v>
      </c>
      <c r="H106" s="31" t="n">
        <v>1</v>
      </c>
      <c r="I106" s="32" t="n">
        <v>244.05</v>
      </c>
      <c r="J106" s="31" t="inlineStr">
        <is>
          <t>Chhota Ambana</t>
        </is>
      </c>
      <c r="K106" s="31" t="inlineStr">
        <is>
          <t>N</t>
        </is>
      </c>
      <c r="L106" s="31" t="inlineStr">
        <is>
          <t>Non-Valid</t>
        </is>
      </c>
      <c r="M106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07">
      <c r="A107" s="31" t="inlineStr">
        <is>
          <t>29 Jun</t>
        </is>
      </c>
      <c r="B107" s="31" t="inlineStr">
        <is>
          <t>30203</t>
        </is>
      </c>
      <c r="C107" s="31" t="inlineStr">
        <is>
          <t>FS</t>
        </is>
      </c>
      <c r="D107" s="31" t="inlineStr">
        <is>
          <t>SR</t>
        </is>
      </c>
      <c r="E107" s="31" t="inlineStr">
        <is>
          <t>20:13:42</t>
        </is>
      </c>
      <c r="F107" s="31" t="inlineStr">
        <is>
          <t>20:14:10</t>
        </is>
      </c>
      <c r="G107" s="31" t="n">
        <v>28</v>
      </c>
      <c r="H107" s="31" t="n">
        <v>24</v>
      </c>
      <c r="I107" s="32" t="n">
        <v>244.09</v>
      </c>
      <c r="J107" s="31" t="inlineStr">
        <is>
          <t>Chhota Ambana</t>
        </is>
      </c>
      <c r="K107" s="31" t="inlineStr">
        <is>
          <t>N</t>
        </is>
      </c>
      <c r="L107" s="31" t="inlineStr">
        <is>
          <t>Non-Valid</t>
        </is>
      </c>
      <c r="M107" s="16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LC-12, Chhota Ambana</t>
        </is>
      </c>
    </row>
    <row r="108">
      <c r="A108" s="31" t="inlineStr">
        <is>
          <t>29 Jun</t>
        </is>
      </c>
      <c r="B108" s="31" t="inlineStr">
        <is>
          <t>30199</t>
        </is>
      </c>
      <c r="C108" s="31" t="inlineStr">
        <is>
          <t>FS</t>
        </is>
      </c>
      <c r="D108" s="31" t="inlineStr">
        <is>
          <t>LS</t>
        </is>
      </c>
      <c r="E108" s="31" t="inlineStr">
        <is>
          <t>20:53:06</t>
        </is>
      </c>
      <c r="F108" s="31" t="inlineStr">
        <is>
          <t>20:53:16</t>
        </is>
      </c>
      <c r="G108" s="31" t="n">
        <v>10</v>
      </c>
      <c r="H108" s="31" t="n">
        <v>8</v>
      </c>
      <c r="I108" s="32" t="n">
        <v>55.36</v>
      </c>
      <c r="J108" s="31" t="inlineStr">
        <is>
          <t>LC-41</t>
        </is>
      </c>
      <c r="K108" s="31" t="inlineStr">
        <is>
          <t>N</t>
        </is>
      </c>
      <c r="L108" s="31" t="inlineStr">
        <is>
          <t>Non-Valid</t>
        </is>
      </c>
      <c r="M108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109">
      <c r="A109" s="31" t="inlineStr">
        <is>
          <t>29 Jun</t>
        </is>
      </c>
      <c r="B109" s="31" t="inlineStr">
        <is>
          <t>30457</t>
        </is>
      </c>
      <c r="C109" s="31" t="inlineStr">
        <is>
          <t>FS</t>
        </is>
      </c>
      <c r="D109" s="31" t="inlineStr">
        <is>
          <t>LS</t>
        </is>
      </c>
      <c r="E109" s="31" t="inlineStr">
        <is>
          <t>21:49:08</t>
        </is>
      </c>
      <c r="F109" s="31" t="inlineStr">
        <is>
          <t>21:49:12</t>
        </is>
      </c>
      <c r="G109" s="31" t="n">
        <v>4</v>
      </c>
      <c r="H109" s="31" t="n">
        <v>4</v>
      </c>
      <c r="I109" s="32" t="n">
        <v>59.54</v>
      </c>
      <c r="J109" s="31" t="inlineStr">
        <is>
          <t>LC-48</t>
        </is>
      </c>
      <c r="K109" s="31" t="inlineStr">
        <is>
          <t>N</t>
        </is>
      </c>
      <c r="L109" s="31" t="inlineStr">
        <is>
          <t>Non-Valid</t>
        </is>
      </c>
      <c r="M109" s="16" t="inlineStr">
        <is>
          <t>Belanagar, Dankuni, LC-12, Janai Road, Baruipara, Kamarkundu, LC-31, Chandanpur, LC-38, Belmuri, Cheragram, LC-41, Gurap, LC-48, Jaugram, LC-57, Masagram, Palla Road, Saktigarh, Gangpur, Barddhaman Jn</t>
        </is>
      </c>
    </row>
    <row r="110">
      <c r="A110" s="31" t="inlineStr">
        <is>
          <t>29 Jun</t>
        </is>
      </c>
      <c r="B110" s="31" t="inlineStr">
        <is>
          <t>30369</t>
        </is>
      </c>
      <c r="C110" s="31" t="inlineStr">
        <is>
          <t>OS</t>
        </is>
      </c>
      <c r="D110" s="31" t="inlineStr">
        <is>
          <t>SR</t>
        </is>
      </c>
      <c r="E110" s="31" t="inlineStr">
        <is>
          <t>23:51:54</t>
        </is>
      </c>
      <c r="F110" s="31" t="inlineStr">
        <is>
          <t>23:52:04</t>
        </is>
      </c>
      <c r="G110" s="31" t="n">
        <v>10</v>
      </c>
      <c r="H110" s="31" t="n">
        <v>4</v>
      </c>
      <c r="I110" s="32" t="n">
        <v>12.12</v>
      </c>
      <c r="J110" s="31" t="inlineStr">
        <is>
          <t>Belanagar</t>
        </is>
      </c>
      <c r="K110" s="31" t="inlineStr">
        <is>
          <t>U</t>
        </is>
      </c>
      <c r="L110" s="31" t="inlineStr">
        <is>
          <t>Non-Valid</t>
        </is>
      </c>
      <c r="M110" s="16" t="inlineStr">
        <is>
          <t>Belanagar, Dankuni</t>
        </is>
      </c>
    </row>
  </sheetData>
  <mergeCells count="2">
    <mergeCell ref="A3:L3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10" customWidth="1" min="11" max="11"/>
    <col width="15" customWidth="1" min="12" max="12"/>
    <col width="60" customWidth="1" min="13" max="13"/>
  </cols>
  <sheetData>
    <row r="1">
      <c r="A1" s="13" t="inlineStr">
        <is>
          <t>KM Verification  -  KM = (In-section Max Abs  -  In-section Min Abs) / 1000</t>
        </is>
      </c>
    </row>
    <row r="2">
      <c r="A2" s="37" t="inlineStr">
        <is>
          <t>Section window: abs 342 - 244376  (12000_HWH to 12062_CAM).  Only positions inside this window count; 8388607 'unknown' is excluded.  'In Report'=No means no in-section travel (dropped).</t>
        </is>
      </c>
    </row>
    <row r="4" ht="34" customHeight="1">
      <c r="A4" s="14" t="inlineStr">
        <is>
          <t>Date</t>
        </is>
      </c>
      <c r="B4" s="14" t="inlineStr">
        <is>
          <t>Loco ID</t>
        </is>
      </c>
      <c r="C4" s="14" t="inlineStr">
        <is>
          <t>Total pkts</t>
        </is>
      </c>
      <c r="D4" s="14" t="inlineStr">
        <is>
          <t>Valid-abs pkts</t>
        </is>
      </c>
      <c r="E4" s="14" t="inlineStr">
        <is>
          <t>In-section pkts</t>
        </is>
      </c>
      <c r="F4" s="14" t="inlineStr">
        <is>
          <t>Raw Min Abs</t>
        </is>
      </c>
      <c r="G4" s="14" t="inlineStr">
        <is>
          <t>Raw Max Abs</t>
        </is>
      </c>
      <c r="H4" s="14" t="inlineStr">
        <is>
          <t>In-sec Min Abs</t>
        </is>
      </c>
      <c r="I4" s="14" t="inlineStr">
        <is>
          <t>In-sec Max Abs</t>
        </is>
      </c>
      <c r="J4" s="14" t="inlineStr">
        <is>
          <t>KM = (Max-Min)/1000</t>
        </is>
      </c>
      <c r="K4" s="14" t="inlineStr">
        <is>
          <t>In Report?</t>
        </is>
      </c>
      <c r="L4" s="14" t="inlineStr">
        <is>
          <t>Stations Passed (of 60)</t>
        </is>
      </c>
      <c r="M4" s="14" t="inlineStr">
        <is>
          <t>Stations Not Passed (if &lt; full trip)</t>
        </is>
      </c>
    </row>
    <row r="5">
      <c r="A5" s="16" t="inlineStr">
        <is>
          <t>29 Jun</t>
        </is>
      </c>
      <c r="B5" s="16" t="inlineStr">
        <is>
          <t>37610</t>
        </is>
      </c>
      <c r="C5" s="16" t="n">
        <v>8263</v>
      </c>
      <c r="D5" s="16" t="n">
        <v>8206</v>
      </c>
      <c r="E5" s="16" t="n">
        <v>8068</v>
      </c>
      <c r="F5" s="38" t="n">
        <v>46</v>
      </c>
      <c r="G5" s="38" t="n">
        <v>244624</v>
      </c>
      <c r="H5" s="38" t="n">
        <v>343</v>
      </c>
      <c r="I5" s="38" t="n">
        <v>244348</v>
      </c>
      <c r="J5" s="19">
        <f>(I5-H5)/1000</f>
        <v/>
      </c>
      <c r="K5" s="16" t="inlineStr">
        <is>
          <t>Yes</t>
        </is>
      </c>
      <c r="L5" s="16" t="n">
        <v>60</v>
      </c>
      <c r="M5" s="39" t="inlineStr">
        <is>
          <t>(all located stations passed)</t>
        </is>
      </c>
    </row>
    <row r="6">
      <c r="A6" s="16" t="inlineStr">
        <is>
          <t>29 Jun</t>
        </is>
      </c>
      <c r="B6" s="16" t="inlineStr">
        <is>
          <t>37401</t>
        </is>
      </c>
      <c r="C6" s="16" t="n">
        <v>8471</v>
      </c>
      <c r="D6" s="16" t="n">
        <v>8462</v>
      </c>
      <c r="E6" s="16" t="n">
        <v>8462</v>
      </c>
      <c r="F6" s="38" t="n">
        <v>444</v>
      </c>
      <c r="G6" s="38" t="n">
        <v>244331</v>
      </c>
      <c r="H6" s="38" t="n">
        <v>444</v>
      </c>
      <c r="I6" s="38" t="n">
        <v>244331</v>
      </c>
      <c r="J6" s="19">
        <f>(I6-H6)/1000</f>
        <v/>
      </c>
      <c r="K6" s="16" t="inlineStr">
        <is>
          <t>Yes</t>
        </is>
      </c>
      <c r="L6" s="16" t="n">
        <v>60</v>
      </c>
      <c r="M6" s="39" t="inlineStr">
        <is>
          <t>- (full trip)</t>
        </is>
      </c>
    </row>
    <row r="7">
      <c r="A7" s="16" t="inlineStr">
        <is>
          <t>29 Jun</t>
        </is>
      </c>
      <c r="B7" s="16" t="inlineStr">
        <is>
          <t>39364</t>
        </is>
      </c>
      <c r="C7" s="16" t="n">
        <v>11180</v>
      </c>
      <c r="D7" s="16" t="n">
        <v>11162</v>
      </c>
      <c r="E7" s="16" t="n">
        <v>11154</v>
      </c>
      <c r="F7" s="38" t="n">
        <v>690</v>
      </c>
      <c r="G7" s="38" t="n">
        <v>244604</v>
      </c>
      <c r="H7" s="38" t="n">
        <v>690</v>
      </c>
      <c r="I7" s="38" t="n">
        <v>244358</v>
      </c>
      <c r="J7" s="19">
        <f>(I7-H7)/1000</f>
        <v/>
      </c>
      <c r="K7" s="16" t="inlineStr">
        <is>
          <t>Yes</t>
        </is>
      </c>
      <c r="L7" s="16" t="n">
        <v>60</v>
      </c>
      <c r="M7" s="39" t="inlineStr">
        <is>
          <t>- (full trip)</t>
        </is>
      </c>
    </row>
    <row r="8">
      <c r="A8" s="16" t="inlineStr">
        <is>
          <t>29 Jun</t>
        </is>
      </c>
      <c r="B8" s="16" t="inlineStr">
        <is>
          <t>39411</t>
        </is>
      </c>
      <c r="C8" s="16" t="n">
        <v>8784</v>
      </c>
      <c r="D8" s="16" t="n">
        <v>8756</v>
      </c>
      <c r="E8" s="16" t="n">
        <v>8747</v>
      </c>
      <c r="F8" s="38" t="n">
        <v>691</v>
      </c>
      <c r="G8" s="38" t="n">
        <v>244623</v>
      </c>
      <c r="H8" s="38" t="n">
        <v>691</v>
      </c>
      <c r="I8" s="38" t="n">
        <v>244353</v>
      </c>
      <c r="J8" s="19">
        <f>(I8-H8)/1000</f>
        <v/>
      </c>
      <c r="K8" s="16" t="inlineStr">
        <is>
          <t>Yes</t>
        </is>
      </c>
      <c r="L8" s="16" t="n">
        <v>60</v>
      </c>
      <c r="M8" s="39" t="inlineStr">
        <is>
          <t>- (full trip)</t>
        </is>
      </c>
    </row>
    <row r="9">
      <c r="A9" s="16" t="inlineStr">
        <is>
          <t>29 Jun</t>
        </is>
      </c>
      <c r="B9" s="16" t="inlineStr">
        <is>
          <t>39059</t>
        </is>
      </c>
      <c r="C9" s="16" t="n">
        <v>10306</v>
      </c>
      <c r="D9" s="16" t="n">
        <v>10289</v>
      </c>
      <c r="E9" s="16" t="n">
        <v>10281</v>
      </c>
      <c r="F9" s="38" t="n">
        <v>736</v>
      </c>
      <c r="G9" s="38" t="n">
        <v>244582</v>
      </c>
      <c r="H9" s="38" t="n">
        <v>736</v>
      </c>
      <c r="I9" s="38" t="n">
        <v>244360</v>
      </c>
      <c r="J9" s="19">
        <f>(I9-H9)/1000</f>
        <v/>
      </c>
      <c r="K9" s="16" t="inlineStr">
        <is>
          <t>Yes</t>
        </is>
      </c>
      <c r="L9" s="16" t="n">
        <v>60</v>
      </c>
      <c r="M9" s="39" t="inlineStr">
        <is>
          <t>- (full trip)</t>
        </is>
      </c>
    </row>
    <row r="10">
      <c r="A10" s="16" t="inlineStr">
        <is>
          <t>29 Jun</t>
        </is>
      </c>
      <c r="B10" s="16" t="inlineStr">
        <is>
          <t>37014</t>
        </is>
      </c>
      <c r="C10" s="16" t="n">
        <v>8705</v>
      </c>
      <c r="D10" s="16" t="n">
        <v>8653</v>
      </c>
      <c r="E10" s="16" t="n">
        <v>8644</v>
      </c>
      <c r="F10" s="38" t="n">
        <v>736</v>
      </c>
      <c r="G10" s="38" t="n">
        <v>244613</v>
      </c>
      <c r="H10" s="38" t="n">
        <v>736</v>
      </c>
      <c r="I10" s="38" t="n">
        <v>244345</v>
      </c>
      <c r="J10" s="19">
        <f>(I10-H10)/1000</f>
        <v/>
      </c>
      <c r="K10" s="16" t="inlineStr">
        <is>
          <t>Yes</t>
        </is>
      </c>
      <c r="L10" s="16" t="n">
        <v>60</v>
      </c>
      <c r="M10" s="39" t="inlineStr">
        <is>
          <t>- (full trip)</t>
        </is>
      </c>
    </row>
    <row r="11">
      <c r="A11" s="16" t="inlineStr">
        <is>
          <t>29 Jun</t>
        </is>
      </c>
      <c r="B11" s="16" t="inlineStr">
        <is>
          <t>30203</t>
        </is>
      </c>
      <c r="C11" s="16" t="n">
        <v>8119</v>
      </c>
      <c r="D11" s="16" t="n">
        <v>8113</v>
      </c>
      <c r="E11" s="16" t="n">
        <v>8106</v>
      </c>
      <c r="F11" s="38" t="n">
        <v>12119</v>
      </c>
      <c r="G11" s="38" t="n">
        <v>244554</v>
      </c>
      <c r="H11" s="38" t="n">
        <v>12119</v>
      </c>
      <c r="I11" s="38" t="n">
        <v>244371</v>
      </c>
      <c r="J11" s="19">
        <f>(I11-H11)/1000</f>
        <v/>
      </c>
      <c r="K11" s="16" t="inlineStr">
        <is>
          <t>Yes</t>
        </is>
      </c>
      <c r="L11" s="16" t="n">
        <v>55</v>
      </c>
      <c r="M11" s="39" t="inlineStr">
        <is>
          <t>Howrah, Howrah Sorting Yard, Liluah, Belur, Bally</t>
        </is>
      </c>
    </row>
    <row r="12">
      <c r="A12" s="16" t="inlineStr">
        <is>
          <t>29 Jun</t>
        </is>
      </c>
      <c r="B12" s="16" t="inlineStr">
        <is>
          <t>30493</t>
        </is>
      </c>
      <c r="C12" s="16" t="n">
        <v>9602</v>
      </c>
      <c r="D12" s="16" t="n">
        <v>9595</v>
      </c>
      <c r="E12" s="16" t="n">
        <v>9587</v>
      </c>
      <c r="F12" s="38" t="n">
        <v>12113</v>
      </c>
      <c r="G12" s="38" t="n">
        <v>244576</v>
      </c>
      <c r="H12" s="38" t="n">
        <v>12113</v>
      </c>
      <c r="I12" s="38" t="n">
        <v>244360</v>
      </c>
      <c r="J12" s="19">
        <f>(I12-H12)/1000</f>
        <v/>
      </c>
      <c r="K12" s="16" t="inlineStr">
        <is>
          <t>Yes</t>
        </is>
      </c>
      <c r="L12" s="16" t="n">
        <v>55</v>
      </c>
      <c r="M12" s="39" t="inlineStr">
        <is>
          <t>Howrah, Howrah Sorting Yard, Liluah, Belur, Bally</t>
        </is>
      </c>
    </row>
    <row r="13">
      <c r="A13" s="16" t="inlineStr">
        <is>
          <t>29 Jun</t>
        </is>
      </c>
      <c r="B13" s="16" t="inlineStr">
        <is>
          <t>37005</t>
        </is>
      </c>
      <c r="C13" s="16" t="n">
        <v>9723</v>
      </c>
      <c r="D13" s="16" t="n">
        <v>9718</v>
      </c>
      <c r="E13" s="16" t="n">
        <v>9709</v>
      </c>
      <c r="F13" s="38" t="n">
        <v>12228</v>
      </c>
      <c r="G13" s="38" t="n">
        <v>244610</v>
      </c>
      <c r="H13" s="38" t="n">
        <v>12228</v>
      </c>
      <c r="I13" s="38" t="n">
        <v>244358</v>
      </c>
      <c r="J13" s="19">
        <f>(I13-H13)/1000</f>
        <v/>
      </c>
      <c r="K13" s="16" t="inlineStr">
        <is>
          <t>Yes</t>
        </is>
      </c>
      <c r="L13" s="16" t="n">
        <v>55</v>
      </c>
      <c r="M13" s="39" t="inlineStr">
        <is>
          <t>Howrah, Howrah Sorting Yard, Liluah, Belur, Bally</t>
        </is>
      </c>
    </row>
    <row r="14">
      <c r="A14" s="16" t="inlineStr">
        <is>
          <t>29 Jun</t>
        </is>
      </c>
      <c r="B14" s="16" t="inlineStr">
        <is>
          <t>30328</t>
        </is>
      </c>
      <c r="C14" s="16" t="n">
        <v>11660</v>
      </c>
      <c r="D14" s="16" t="n">
        <v>11653</v>
      </c>
      <c r="E14" s="16" t="n">
        <v>11553</v>
      </c>
      <c r="F14" s="38" t="n">
        <v>12726</v>
      </c>
      <c r="G14" s="38" t="n">
        <v>246089</v>
      </c>
      <c r="H14" s="38" t="n">
        <v>12726</v>
      </c>
      <c r="I14" s="38" t="n">
        <v>244370</v>
      </c>
      <c r="J14" s="19">
        <f>(I14-H14)/1000</f>
        <v/>
      </c>
      <c r="K14" s="16" t="inlineStr">
        <is>
          <t>Yes</t>
        </is>
      </c>
      <c r="L14" s="16" t="n">
        <v>55</v>
      </c>
      <c r="M14" s="39" t="inlineStr">
        <is>
          <t>Howrah, Howrah Sorting Yard, Liluah, Belur, Bally</t>
        </is>
      </c>
    </row>
    <row r="15" ht="34" customHeight="1">
      <c r="A15" s="16" t="inlineStr">
        <is>
          <t>29 Jun</t>
        </is>
      </c>
      <c r="B15" s="16" t="inlineStr">
        <is>
          <t>37081</t>
        </is>
      </c>
      <c r="C15" s="16" t="n">
        <v>8574</v>
      </c>
      <c r="D15" s="16" t="n">
        <v>8569</v>
      </c>
      <c r="E15" s="16" t="n">
        <v>8560</v>
      </c>
      <c r="F15" s="38" t="n">
        <v>36848</v>
      </c>
      <c r="G15" s="38" t="n">
        <v>244604</v>
      </c>
      <c r="H15" s="38" t="n">
        <v>36848</v>
      </c>
      <c r="I15" s="38" t="n">
        <v>244355</v>
      </c>
      <c r="J15" s="19">
        <f>(I15-H15)/1000</f>
        <v/>
      </c>
      <c r="K15" s="16" t="inlineStr">
        <is>
          <t>Yes</t>
        </is>
      </c>
      <c r="L15" s="16" t="n">
        <v>49</v>
      </c>
      <c r="M15" s="39" t="inlineStr">
        <is>
          <t>Howrah, Howrah Sorting Yard, Liluah, Belur, Bally, Belanagar, Dankuni, Janai Road, Baruipara, Kamarkundu</t>
        </is>
      </c>
    </row>
    <row r="16" ht="34" customHeight="1">
      <c r="A16" s="16" t="inlineStr">
        <is>
          <t>29 Jun</t>
        </is>
      </c>
      <c r="B16" s="16" t="inlineStr">
        <is>
          <t>37403</t>
        </is>
      </c>
      <c r="C16" s="16" t="n">
        <v>19158</v>
      </c>
      <c r="D16" s="16" t="n">
        <v>19109</v>
      </c>
      <c r="E16" s="16" t="n">
        <v>18995</v>
      </c>
      <c r="F16" s="38" t="n">
        <v>34</v>
      </c>
      <c r="G16" s="38" t="n">
        <v>200078</v>
      </c>
      <c r="H16" s="38" t="n">
        <v>347</v>
      </c>
      <c r="I16" s="38" t="n">
        <v>200078</v>
      </c>
      <c r="J16" s="19">
        <f>(I16-H16)/1000</f>
        <v/>
      </c>
      <c r="K16" s="16" t="inlineStr">
        <is>
          <t>Yes</t>
        </is>
      </c>
      <c r="L16" s="16" t="n">
        <v>50</v>
      </c>
      <c r="M16" s="39" t="inlineStr">
        <is>
          <t>Barachak Jn, Sitarampur Central, Kulti, Barakar, Kumardubi, Mugma, Thaparnagar, Kalubathan, Chhota Ambana</t>
        </is>
      </c>
    </row>
    <row r="17" ht="34" customHeight="1">
      <c r="A17" s="16" t="inlineStr">
        <is>
          <t>29 Jun</t>
        </is>
      </c>
      <c r="B17" s="16" t="inlineStr">
        <is>
          <t>37025</t>
        </is>
      </c>
      <c r="C17" s="16" t="n">
        <v>10356</v>
      </c>
      <c r="D17" s="16" t="n">
        <v>10336</v>
      </c>
      <c r="E17" s="16" t="n">
        <v>10336</v>
      </c>
      <c r="F17" s="38" t="n">
        <v>622</v>
      </c>
      <c r="G17" s="38" t="n">
        <v>200088</v>
      </c>
      <c r="H17" s="38" t="n">
        <v>622</v>
      </c>
      <c r="I17" s="38" t="n">
        <v>200088</v>
      </c>
      <c r="J17" s="19">
        <f>(I17-H17)/1000</f>
        <v/>
      </c>
      <c r="K17" s="16" t="inlineStr">
        <is>
          <t>Yes</t>
        </is>
      </c>
      <c r="L17" s="16" t="n">
        <v>50</v>
      </c>
      <c r="M17" s="39" t="inlineStr">
        <is>
          <t>Barachak Jn, Sitarampur Central, Kulti, Barakar, Kumardubi, Mugma, Thaparnagar, Kalubathan, Chhota Ambana</t>
        </is>
      </c>
    </row>
    <row r="18" ht="34" customHeight="1">
      <c r="A18" s="16" t="inlineStr">
        <is>
          <t>29 Jun</t>
        </is>
      </c>
      <c r="B18" s="16" t="inlineStr">
        <is>
          <t>39111</t>
        </is>
      </c>
      <c r="C18" s="16" t="n">
        <v>7592</v>
      </c>
      <c r="D18" s="16" t="n">
        <v>7529</v>
      </c>
      <c r="E18" s="16" t="n">
        <v>7529</v>
      </c>
      <c r="F18" s="38" t="n">
        <v>633</v>
      </c>
      <c r="G18" s="38" t="n">
        <v>200089</v>
      </c>
      <c r="H18" s="38" t="n">
        <v>633</v>
      </c>
      <c r="I18" s="38" t="n">
        <v>200089</v>
      </c>
      <c r="J18" s="19">
        <f>(I18-H18)/1000</f>
        <v/>
      </c>
      <c r="K18" s="16" t="inlineStr">
        <is>
          <t>Yes</t>
        </is>
      </c>
      <c r="L18" s="16" t="n">
        <v>50</v>
      </c>
      <c r="M18" s="39" t="inlineStr">
        <is>
          <t>Barachak Jn, Sitarampur Central, Kulti, Barakar, Kumardubi, Mugma, Thaparnagar, Kalubathan, Chhota Ambana</t>
        </is>
      </c>
    </row>
    <row r="19" ht="34" customHeight="1">
      <c r="A19" s="16" t="inlineStr">
        <is>
          <t>29 Jun</t>
        </is>
      </c>
      <c r="B19" s="16" t="inlineStr">
        <is>
          <t>39095</t>
        </is>
      </c>
      <c r="C19" s="16" t="n">
        <v>8848</v>
      </c>
      <c r="D19" s="16" t="n">
        <v>8827</v>
      </c>
      <c r="E19" s="16" t="n">
        <v>8827</v>
      </c>
      <c r="F19" s="38" t="n">
        <v>690</v>
      </c>
      <c r="G19" s="38" t="n">
        <v>200092</v>
      </c>
      <c r="H19" s="38" t="n">
        <v>690</v>
      </c>
      <c r="I19" s="38" t="n">
        <v>200092</v>
      </c>
      <c r="J19" s="19">
        <f>(I19-H19)/1000</f>
        <v/>
      </c>
      <c r="K19" s="16" t="inlineStr">
        <is>
          <t>Yes</t>
        </is>
      </c>
      <c r="L19" s="16" t="n">
        <v>50</v>
      </c>
      <c r="M19" s="39" t="inlineStr">
        <is>
          <t>Barachak Jn, Sitarampur Central, Kulti, Barakar, Kumardubi, Mugma, Thaparnagar, Kalubathan, Chhota Ambana</t>
        </is>
      </c>
    </row>
    <row r="20" ht="34" customHeight="1">
      <c r="A20" s="16" t="inlineStr">
        <is>
          <t>29 Jun</t>
        </is>
      </c>
      <c r="B20" s="16" t="inlineStr">
        <is>
          <t>39482</t>
        </is>
      </c>
      <c r="C20" s="16" t="n">
        <v>7278</v>
      </c>
      <c r="D20" s="16" t="n">
        <v>7259</v>
      </c>
      <c r="E20" s="16" t="n">
        <v>7259</v>
      </c>
      <c r="F20" s="38" t="n">
        <v>689</v>
      </c>
      <c r="G20" s="38" t="n">
        <v>200090</v>
      </c>
      <c r="H20" s="38" t="n">
        <v>689</v>
      </c>
      <c r="I20" s="38" t="n">
        <v>200090</v>
      </c>
      <c r="J20" s="19">
        <f>(I20-H20)/1000</f>
        <v/>
      </c>
      <c r="K20" s="16" t="inlineStr">
        <is>
          <t>Yes</t>
        </is>
      </c>
      <c r="L20" s="16" t="n">
        <v>50</v>
      </c>
      <c r="M20" s="39" t="inlineStr">
        <is>
          <t>Barachak Jn, Sitarampur Central, Kulti, Barakar, Kumardubi, Mugma, Thaparnagar, Kalubathan, Chhota Ambana</t>
        </is>
      </c>
    </row>
    <row r="21" ht="34" customHeight="1">
      <c r="A21" s="16" t="inlineStr">
        <is>
          <t>29 Jun</t>
        </is>
      </c>
      <c r="B21" s="16" t="inlineStr">
        <is>
          <t>37720</t>
        </is>
      </c>
      <c r="C21" s="16" t="n">
        <v>11830</v>
      </c>
      <c r="D21" s="16" t="n">
        <v>11818</v>
      </c>
      <c r="E21" s="16" t="n">
        <v>11603</v>
      </c>
      <c r="F21" s="38" t="n">
        <v>20</v>
      </c>
      <c r="G21" s="38" t="n">
        <v>199544</v>
      </c>
      <c r="H21" s="38" t="n">
        <v>343</v>
      </c>
      <c r="I21" s="38" t="n">
        <v>199544</v>
      </c>
      <c r="J21" s="19">
        <f>(I21-H21)/1000</f>
        <v/>
      </c>
      <c r="K21" s="16" t="inlineStr">
        <is>
          <t>Yes</t>
        </is>
      </c>
      <c r="L21" s="16" t="n">
        <v>50</v>
      </c>
      <c r="M21" s="39" t="inlineStr">
        <is>
          <t>Barachak Jn, Sitarampur Central, Kulti, Barakar, Kumardubi, Mugma, Thaparnagar, Kalubathan, Chhota Ambana</t>
        </is>
      </c>
    </row>
    <row r="22" ht="34" customHeight="1">
      <c r="A22" s="16" t="inlineStr">
        <is>
          <t>29 Jun</t>
        </is>
      </c>
      <c r="B22" s="16" t="inlineStr">
        <is>
          <t>37246</t>
        </is>
      </c>
      <c r="C22" s="16" t="n">
        <v>13397</v>
      </c>
      <c r="D22" s="16" t="n">
        <v>13366</v>
      </c>
      <c r="E22" s="16" t="n">
        <v>13144</v>
      </c>
      <c r="F22" s="38" t="n">
        <v>22</v>
      </c>
      <c r="G22" s="38" t="n">
        <v>199393</v>
      </c>
      <c r="H22" s="38" t="n">
        <v>343</v>
      </c>
      <c r="I22" s="38" t="n">
        <v>199393</v>
      </c>
      <c r="J22" s="19">
        <f>(I22-H22)/1000</f>
        <v/>
      </c>
      <c r="K22" s="16" t="inlineStr">
        <is>
          <t>Yes</t>
        </is>
      </c>
      <c r="L22" s="16" t="n">
        <v>50</v>
      </c>
      <c r="M22" s="39" t="inlineStr">
        <is>
          <t>Barachak Jn, Sitarampur Central, Kulti, Barakar, Kumardubi, Mugma, Thaparnagar, Kalubathan, Chhota Ambana</t>
        </is>
      </c>
    </row>
    <row r="23" ht="64" customHeight="1">
      <c r="A23" s="16" t="inlineStr">
        <is>
          <t>29 Jun</t>
        </is>
      </c>
      <c r="B23" s="16" t="inlineStr">
        <is>
          <t>30327</t>
        </is>
      </c>
      <c r="C23" s="16" t="n">
        <v>7546</v>
      </c>
      <c r="D23" s="16" t="n">
        <v>7535</v>
      </c>
      <c r="E23" s="16" t="n">
        <v>7526</v>
      </c>
      <c r="F23" s="38" t="n">
        <v>71631</v>
      </c>
      <c r="G23" s="38" t="n">
        <v>244629</v>
      </c>
      <c r="H23" s="38" t="n">
        <v>71631</v>
      </c>
      <c r="I23" s="38" t="n">
        <v>244371</v>
      </c>
      <c r="J23" s="19">
        <f>(I23-H23)/1000</f>
        <v/>
      </c>
      <c r="K23" s="16" t="inlineStr">
        <is>
          <t>Yes</t>
        </is>
      </c>
      <c r="L23" s="16" t="n">
        <v>39</v>
      </c>
      <c r="M23" s="39" t="inlineStr">
        <is>
          <t>Howrah, Howrah Sorting Yard, Liluah, Belur, Bally, Belanagar, Dankuni, Janai Road, Baruipara, Kamarkundu, LC-31, Chandanpur, LC-38, Belmuri, Cheragram, LC-41, Gurap, LC-48, Jaugram, LC-57</t>
        </is>
      </c>
    </row>
    <row r="24" ht="64" customHeight="1">
      <c r="A24" s="16" t="inlineStr">
        <is>
          <t>29 Jun</t>
        </is>
      </c>
      <c r="B24" s="16" t="inlineStr">
        <is>
          <t>37585</t>
        </is>
      </c>
      <c r="C24" s="16" t="n">
        <v>5243</v>
      </c>
      <c r="D24" s="16" t="n">
        <v>5215</v>
      </c>
      <c r="E24" s="16" t="n">
        <v>5215</v>
      </c>
      <c r="F24" s="38" t="n">
        <v>688</v>
      </c>
      <c r="G24" s="38" t="n">
        <v>158219</v>
      </c>
      <c r="H24" s="38" t="n">
        <v>688</v>
      </c>
      <c r="I24" s="38" t="n">
        <v>158219</v>
      </c>
      <c r="J24" s="19">
        <f>(I24-H24)/1000</f>
        <v/>
      </c>
      <c r="K24" s="16" t="inlineStr">
        <is>
          <t>Yes</t>
        </is>
      </c>
      <c r="L24" s="16" t="n">
        <v>40</v>
      </c>
      <c r="M24" s="39" t="inlineStr">
        <is>
          <t>DCOP, Waria, Andal East Outer, Andal, Baktarnagar B H, Raniganj, Nimcha B H, Ratibati, Kaliphari, Asansol, Barachak Jn, Sitarampur Central, Kulti, Barakar, Kumardubi, Mugma, Thaparnagar, Kalubathan, Chhota Ambana</t>
        </is>
      </c>
    </row>
    <row r="25" ht="64" customHeight="1">
      <c r="A25" s="16" t="inlineStr">
        <is>
          <t>29 Jun</t>
        </is>
      </c>
      <c r="B25" s="16" t="inlineStr">
        <is>
          <t>37044</t>
        </is>
      </c>
      <c r="C25" s="16" t="n">
        <v>7675</v>
      </c>
      <c r="D25" s="16" t="n">
        <v>7663</v>
      </c>
      <c r="E25" s="16" t="n">
        <v>7663</v>
      </c>
      <c r="F25" s="38" t="n">
        <v>94850</v>
      </c>
      <c r="G25" s="38" t="n">
        <v>243291</v>
      </c>
      <c r="H25" s="38" t="n">
        <v>94850</v>
      </c>
      <c r="I25" s="38" t="n">
        <v>243291</v>
      </c>
      <c r="J25" s="19">
        <f>(I25-H25)/1000</f>
        <v/>
      </c>
      <c r="K25" s="16" t="inlineStr">
        <is>
          <t>Yes</t>
        </is>
      </c>
      <c r="L25" s="16" t="n">
        <v>35</v>
      </c>
      <c r="M25" s="39" t="inlineStr">
        <is>
          <t>Howrah, Howrah Sorting Yard, Liluah, Belur, Bally, Belanagar, Dankuni, Janai Road, Baruipara, Kamarkundu, LC-31, Chandanpur, LC-38, Belmuri, Cheragram, LC-41, Gurap, LC-48, Jaugram, LC-57, Masagram, Palla Road, Saktigarh, Gangpur</t>
        </is>
      </c>
    </row>
    <row r="26" ht="94" customHeight="1">
      <c r="A26" s="16" t="inlineStr">
        <is>
          <t>29 Jun</t>
        </is>
      </c>
      <c r="B26" s="16" t="inlineStr">
        <is>
          <t>37042</t>
        </is>
      </c>
      <c r="C26" s="16" t="n">
        <v>12850</v>
      </c>
      <c r="D26" s="16" t="n">
        <v>12789</v>
      </c>
      <c r="E26" s="16" t="n">
        <v>12640</v>
      </c>
      <c r="F26" s="38" t="n">
        <v>25</v>
      </c>
      <c r="G26" s="38" t="n">
        <v>94624</v>
      </c>
      <c r="H26" s="38" t="n">
        <v>342</v>
      </c>
      <c r="I26" s="38" t="n">
        <v>94624</v>
      </c>
      <c r="J26" s="19">
        <f>(I26-H26)/1000</f>
        <v/>
      </c>
      <c r="K26" s="16" t="inlineStr">
        <is>
          <t>Yes</t>
        </is>
      </c>
      <c r="L26" s="16" t="n">
        <v>26</v>
      </c>
      <c r="M26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7" ht="94" customHeight="1">
      <c r="A27" s="16" t="inlineStr">
        <is>
          <t>29 Jun</t>
        </is>
      </c>
      <c r="B27" s="16" t="inlineStr">
        <is>
          <t>30639</t>
        </is>
      </c>
      <c r="C27" s="16" t="n">
        <v>9541</v>
      </c>
      <c r="D27" s="16" t="n">
        <v>9501</v>
      </c>
      <c r="E27" s="16" t="n">
        <v>9354</v>
      </c>
      <c r="F27" s="38" t="n">
        <v>38</v>
      </c>
      <c r="G27" s="38" t="n">
        <v>94607</v>
      </c>
      <c r="H27" s="38" t="n">
        <v>343</v>
      </c>
      <c r="I27" s="38" t="n">
        <v>94607</v>
      </c>
      <c r="J27" s="19">
        <f>(I27-H27)/1000</f>
        <v/>
      </c>
      <c r="K27" s="16" t="inlineStr">
        <is>
          <t>Yes</t>
        </is>
      </c>
      <c r="L27" s="16" t="n">
        <v>26</v>
      </c>
      <c r="M27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8" ht="94" customHeight="1">
      <c r="A28" s="16" t="inlineStr">
        <is>
          <t>29 Jun</t>
        </is>
      </c>
      <c r="B28" s="16" t="inlineStr">
        <is>
          <t>37481</t>
        </is>
      </c>
      <c r="C28" s="16" t="n">
        <v>5024</v>
      </c>
      <c r="D28" s="16" t="n">
        <v>4989</v>
      </c>
      <c r="E28" s="16" t="n">
        <v>4989</v>
      </c>
      <c r="F28" s="38" t="n">
        <v>445</v>
      </c>
      <c r="G28" s="38" t="n">
        <v>94623</v>
      </c>
      <c r="H28" s="38" t="n">
        <v>445</v>
      </c>
      <c r="I28" s="38" t="n">
        <v>94623</v>
      </c>
      <c r="J28" s="19">
        <f>(I28-H28)/1000</f>
        <v/>
      </c>
      <c r="K28" s="16" t="inlineStr">
        <is>
          <t>Yes</t>
        </is>
      </c>
      <c r="L28" s="16" t="n">
        <v>26</v>
      </c>
      <c r="M28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29" ht="94" customHeight="1">
      <c r="A29" s="16" t="inlineStr">
        <is>
          <t>29 Jun</t>
        </is>
      </c>
      <c r="B29" s="16" t="inlineStr">
        <is>
          <t>37777</t>
        </is>
      </c>
      <c r="C29" s="16" t="n">
        <v>4287</v>
      </c>
      <c r="D29" s="16" t="n">
        <v>4143</v>
      </c>
      <c r="E29" s="16" t="n">
        <v>4143</v>
      </c>
      <c r="F29" s="38" t="n">
        <v>609</v>
      </c>
      <c r="G29" s="38" t="n">
        <v>94758</v>
      </c>
      <c r="H29" s="38" t="n">
        <v>609</v>
      </c>
      <c r="I29" s="38" t="n">
        <v>94758</v>
      </c>
      <c r="J29" s="19">
        <f>(I29-H29)/1000</f>
        <v/>
      </c>
      <c r="K29" s="16" t="inlineStr">
        <is>
          <t>Yes</t>
        </is>
      </c>
      <c r="L29" s="16" t="n">
        <v>26</v>
      </c>
      <c r="M29" s="39" t="inlineStr">
        <is>
          <t>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0" ht="109" customHeight="1">
      <c r="A30" s="16" t="inlineStr">
        <is>
          <t>29 Jun</t>
        </is>
      </c>
      <c r="B30" s="16" t="inlineStr">
        <is>
          <t>30503</t>
        </is>
      </c>
      <c r="C30" s="16" t="n">
        <v>6632</v>
      </c>
      <c r="D30" s="16" t="n">
        <v>6606</v>
      </c>
      <c r="E30" s="16" t="n">
        <v>6606</v>
      </c>
      <c r="F30" s="38" t="n">
        <v>12113</v>
      </c>
      <c r="G30" s="38" t="n">
        <v>94734</v>
      </c>
      <c r="H30" s="38" t="n">
        <v>12113</v>
      </c>
      <c r="I30" s="38" t="n">
        <v>94734</v>
      </c>
      <c r="J30" s="19">
        <f>(I30-H30)/1000</f>
        <v/>
      </c>
      <c r="K30" s="16" t="inlineStr">
        <is>
          <t>Yes</t>
        </is>
      </c>
      <c r="L30" s="16" t="n">
        <v>21</v>
      </c>
      <c r="M30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1" ht="109" customHeight="1">
      <c r="A31" s="16" t="inlineStr">
        <is>
          <t>29 Jun</t>
        </is>
      </c>
      <c r="B31" s="16" t="inlineStr">
        <is>
          <t>30205</t>
        </is>
      </c>
      <c r="C31" s="16" t="n">
        <v>3350</v>
      </c>
      <c r="D31" s="16" t="n">
        <v>3344</v>
      </c>
      <c r="E31" s="16" t="n">
        <v>3344</v>
      </c>
      <c r="F31" s="38" t="n">
        <v>12126</v>
      </c>
      <c r="G31" s="38" t="n">
        <v>94643</v>
      </c>
      <c r="H31" s="38" t="n">
        <v>12126</v>
      </c>
      <c r="I31" s="38" t="n">
        <v>94643</v>
      </c>
      <c r="J31" s="19">
        <f>(I31-H31)/1000</f>
        <v/>
      </c>
      <c r="K31" s="16" t="inlineStr">
        <is>
          <t>Yes</t>
        </is>
      </c>
      <c r="L31" s="16" t="n">
        <v>21</v>
      </c>
      <c r="M31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2" ht="109" customHeight="1">
      <c r="A32" s="16" t="inlineStr">
        <is>
          <t>29 Jun</t>
        </is>
      </c>
      <c r="B32" s="16" t="inlineStr">
        <is>
          <t>30552</t>
        </is>
      </c>
      <c r="C32" s="16" t="n">
        <v>4336</v>
      </c>
      <c r="D32" s="16" t="n">
        <v>4331</v>
      </c>
      <c r="E32" s="16" t="n">
        <v>4331</v>
      </c>
      <c r="F32" s="38" t="n">
        <v>12119</v>
      </c>
      <c r="G32" s="38" t="n">
        <v>94633</v>
      </c>
      <c r="H32" s="38" t="n">
        <v>12119</v>
      </c>
      <c r="I32" s="38" t="n">
        <v>94633</v>
      </c>
      <c r="J32" s="19">
        <f>(I32-H32)/1000</f>
        <v/>
      </c>
      <c r="K32" s="16" t="inlineStr">
        <is>
          <t>Yes</t>
        </is>
      </c>
      <c r="L32" s="16" t="n">
        <v>21</v>
      </c>
      <c r="M32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3" ht="109" customHeight="1">
      <c r="A33" s="16" t="inlineStr">
        <is>
          <t>29 Jun</t>
        </is>
      </c>
      <c r="B33" s="16" t="inlineStr">
        <is>
          <t>30457</t>
        </is>
      </c>
      <c r="C33" s="16" t="n">
        <v>7529</v>
      </c>
      <c r="D33" s="16" t="n">
        <v>7505</v>
      </c>
      <c r="E33" s="16" t="n">
        <v>7505</v>
      </c>
      <c r="F33" s="38" t="n">
        <v>12123</v>
      </c>
      <c r="G33" s="38" t="n">
        <v>94627</v>
      </c>
      <c r="H33" s="38" t="n">
        <v>12123</v>
      </c>
      <c r="I33" s="38" t="n">
        <v>94627</v>
      </c>
      <c r="J33" s="19">
        <f>(I33-H33)/1000</f>
        <v/>
      </c>
      <c r="K33" s="16" t="inlineStr">
        <is>
          <t>Yes</t>
        </is>
      </c>
      <c r="L33" s="16" t="n">
        <v>21</v>
      </c>
      <c r="M33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4" ht="109" customHeight="1">
      <c r="A34" s="16" t="inlineStr">
        <is>
          <t>29 Jun</t>
        </is>
      </c>
      <c r="B34" s="16" t="inlineStr">
        <is>
          <t>30199</t>
        </is>
      </c>
      <c r="C34" s="16" t="n">
        <v>6729</v>
      </c>
      <c r="D34" s="16" t="n">
        <v>6701</v>
      </c>
      <c r="E34" s="16" t="n">
        <v>6701</v>
      </c>
      <c r="F34" s="38" t="n">
        <v>12131</v>
      </c>
      <c r="G34" s="38" t="n">
        <v>94624</v>
      </c>
      <c r="H34" s="38" t="n">
        <v>12131</v>
      </c>
      <c r="I34" s="38" t="n">
        <v>94624</v>
      </c>
      <c r="J34" s="19">
        <f>(I34-H34)/1000</f>
        <v/>
      </c>
      <c r="K34" s="16" t="inlineStr">
        <is>
          <t>Yes</t>
        </is>
      </c>
      <c r="L34" s="16" t="n">
        <v>21</v>
      </c>
      <c r="M34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5" ht="109" customHeight="1">
      <c r="A35" s="16" t="inlineStr">
        <is>
          <t>29 Jun</t>
        </is>
      </c>
      <c r="B35" s="16" t="inlineStr">
        <is>
          <t>39263</t>
        </is>
      </c>
      <c r="C35" s="16" t="n">
        <v>3444</v>
      </c>
      <c r="D35" s="16" t="n">
        <v>3432</v>
      </c>
      <c r="E35" s="16" t="n">
        <v>3432</v>
      </c>
      <c r="F35" s="38" t="n">
        <v>12746</v>
      </c>
      <c r="G35" s="38" t="n">
        <v>94112</v>
      </c>
      <c r="H35" s="38" t="n">
        <v>12746</v>
      </c>
      <c r="I35" s="38" t="n">
        <v>94112</v>
      </c>
      <c r="J35" s="19">
        <f>(I35-H35)/1000</f>
        <v/>
      </c>
      <c r="K35" s="16" t="inlineStr">
        <is>
          <t>Yes</t>
        </is>
      </c>
      <c r="L35" s="16" t="n">
        <v>21</v>
      </c>
      <c r="M35" s="39" t="inlineStr">
        <is>
          <t>Howrah, Howrah Sorting Yard, Liluah, Belur, Bally,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6" ht="109" customHeight="1">
      <c r="A36" s="16" t="inlineStr">
        <is>
          <t>29 Jun</t>
        </is>
      </c>
      <c r="B36" s="16" t="inlineStr">
        <is>
          <t>30371</t>
        </is>
      </c>
      <c r="C36" s="16" t="n">
        <v>3116</v>
      </c>
      <c r="D36" s="16" t="n">
        <v>3111</v>
      </c>
      <c r="E36" s="16" t="n">
        <v>3111</v>
      </c>
      <c r="F36" s="38" t="n">
        <v>13686</v>
      </c>
      <c r="G36" s="38" t="n">
        <v>94760</v>
      </c>
      <c r="H36" s="38" t="n">
        <v>13686</v>
      </c>
      <c r="I36" s="38" t="n">
        <v>94760</v>
      </c>
      <c r="J36" s="19">
        <f>(I36-H36)/1000</f>
        <v/>
      </c>
      <c r="K36" s="16" t="inlineStr">
        <is>
          <t>Yes</t>
        </is>
      </c>
      <c r="L36" s="16" t="n">
        <v>20</v>
      </c>
      <c r="M36" s="39" t="inlineStr">
        <is>
          <t>Howrah, Howrah Sorting Yard, Liluah, Belur, Bally, Belanagar,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7" ht="124" customHeight="1">
      <c r="A37" s="16" t="inlineStr">
        <is>
          <t>29 Jun</t>
        </is>
      </c>
      <c r="B37" s="16" t="inlineStr">
        <is>
          <t>37268</t>
        </is>
      </c>
      <c r="C37" s="16" t="n">
        <v>1386</v>
      </c>
      <c r="D37" s="16" t="n">
        <v>1372</v>
      </c>
      <c r="E37" s="16" t="n">
        <v>1372</v>
      </c>
      <c r="F37" s="38" t="n">
        <v>694</v>
      </c>
      <c r="G37" s="38" t="n">
        <v>36002</v>
      </c>
      <c r="H37" s="38" t="n">
        <v>694</v>
      </c>
      <c r="I37" s="38" t="n">
        <v>36002</v>
      </c>
      <c r="J37" s="19">
        <f>(I37-H37)/1000</f>
        <v/>
      </c>
      <c r="K37" s="16" t="inlineStr">
        <is>
          <t>Yes</t>
        </is>
      </c>
      <c r="L37" s="16" t="n">
        <v>12</v>
      </c>
      <c r="M37" s="39" t="inlineStr">
        <is>
          <t>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Kumardubi, Mugma, Thaparnagar, Kalubathan, Chhota Ambana</t>
        </is>
      </c>
    </row>
    <row r="38" ht="139" customHeight="1">
      <c r="A38" s="16" t="inlineStr">
        <is>
          <t>29 Jun</t>
        </is>
      </c>
      <c r="B38" s="16" t="inlineStr">
        <is>
          <t>37260</t>
        </is>
      </c>
      <c r="C38" s="16" t="n">
        <v>770</v>
      </c>
      <c r="D38" s="16" t="n">
        <v>747</v>
      </c>
      <c r="E38" s="16" t="n">
        <v>747</v>
      </c>
      <c r="F38" s="38" t="n">
        <v>177968</v>
      </c>
      <c r="G38" s="38" t="n">
        <v>199392</v>
      </c>
      <c r="H38" s="38" t="n">
        <v>177968</v>
      </c>
      <c r="I38" s="38" t="n">
        <v>199392</v>
      </c>
      <c r="J38" s="19">
        <f>(I38-H38)/1000</f>
        <v/>
      </c>
      <c r="K38" s="16" t="inlineStr">
        <is>
          <t>Yes</t>
        </is>
      </c>
      <c r="L38" s="16" t="n">
        <v>6</v>
      </c>
      <c r="M38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Barachak Jn, Sitarampur Central, Kulti, Barakar, Kumardubi, Mugma  ...(+4 more)</t>
        </is>
      </c>
    </row>
    <row r="39" ht="139" customHeight="1">
      <c r="A39" s="16" t="inlineStr">
        <is>
          <t>29 Jun</t>
        </is>
      </c>
      <c r="B39" s="16" t="inlineStr">
        <is>
          <t>37244</t>
        </is>
      </c>
      <c r="C39" s="16" t="n">
        <v>1031</v>
      </c>
      <c r="D39" s="16" t="n">
        <v>970</v>
      </c>
      <c r="E39" s="16" t="n">
        <v>970</v>
      </c>
      <c r="F39" s="38" t="n">
        <v>850</v>
      </c>
      <c r="G39" s="38" t="n">
        <v>8903</v>
      </c>
      <c r="H39" s="38" t="n">
        <v>850</v>
      </c>
      <c r="I39" s="38" t="n">
        <v>8903</v>
      </c>
      <c r="J39" s="19">
        <f>(I39-H39)/1000</f>
        <v/>
      </c>
      <c r="K39" s="16" t="inlineStr">
        <is>
          <t>Yes</t>
        </is>
      </c>
      <c r="L39" s="16" t="n">
        <v>5</v>
      </c>
      <c r="M39" s="39" t="inlineStr">
        <is>
          <t>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Central, Kulti, Barakar, Kumardubi  ...(+5 more)</t>
        </is>
      </c>
    </row>
    <row r="40" ht="139" customHeight="1">
      <c r="A40" s="16" t="inlineStr">
        <is>
          <t>29 Jun</t>
        </is>
      </c>
      <c r="B40" s="16" t="inlineStr">
        <is>
          <t>555555</t>
        </is>
      </c>
      <c r="C40" s="16" t="n">
        <v>11</v>
      </c>
      <c r="D40" s="16" t="n">
        <v>7</v>
      </c>
      <c r="E40" s="16" t="n">
        <v>7</v>
      </c>
      <c r="F40" s="38" t="n">
        <v>92588</v>
      </c>
      <c r="G40" s="38" t="n">
        <v>98486</v>
      </c>
      <c r="H40" s="38" t="n">
        <v>92588</v>
      </c>
      <c r="I40" s="38" t="n">
        <v>98486</v>
      </c>
      <c r="J40" s="19">
        <f>(I40-H40)/1000</f>
        <v/>
      </c>
      <c r="K40" s="16" t="inlineStr">
        <is>
          <t>Yes</t>
        </is>
      </c>
      <c r="L40" s="16" t="n">
        <v>2</v>
      </c>
      <c r="M40" s="39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41" ht="139" customHeight="1">
      <c r="A41" s="16" t="inlineStr">
        <is>
          <t>29 Jun</t>
        </is>
      </c>
      <c r="B41" s="16" t="inlineStr">
        <is>
          <t>30369</t>
        </is>
      </c>
      <c r="C41" s="16" t="n">
        <v>242</v>
      </c>
      <c r="D41" s="16" t="n">
        <v>241</v>
      </c>
      <c r="E41" s="16" t="n">
        <v>241</v>
      </c>
      <c r="F41" s="38" t="n">
        <v>12125</v>
      </c>
      <c r="G41" s="38" t="n">
        <v>13080</v>
      </c>
      <c r="H41" s="38" t="n">
        <v>12125</v>
      </c>
      <c r="I41" s="38" t="n">
        <v>13080</v>
      </c>
      <c r="J41" s="19">
        <f>(I41-H41)/1000</f>
        <v/>
      </c>
      <c r="K41" s="16" t="inlineStr">
        <is>
          <t>Yes</t>
        </is>
      </c>
      <c r="L41" s="16" t="n">
        <v>2</v>
      </c>
      <c r="M41" s="39" t="inlineStr">
        <is>
          <t>Howrah, Howrah Sorting Yard, Liluah, Belur, Bally,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Jn, Sitarampur Central  ...(+8 more)</t>
        </is>
      </c>
    </row>
    <row r="42" ht="139" customHeight="1">
      <c r="A42" s="16" t="inlineStr">
        <is>
          <t>29 Jun</t>
        </is>
      </c>
      <c r="B42" s="16" t="inlineStr">
        <is>
          <t>39133</t>
        </is>
      </c>
      <c r="C42" s="16" t="n">
        <v>367</v>
      </c>
      <c r="D42" s="16" t="n">
        <v>344</v>
      </c>
      <c r="E42" s="16" t="n">
        <v>334</v>
      </c>
      <c r="F42" s="38" t="n">
        <v>321</v>
      </c>
      <c r="G42" s="38" t="n">
        <v>856</v>
      </c>
      <c r="H42" s="38" t="n">
        <v>344</v>
      </c>
      <c r="I42" s="38" t="n">
        <v>856</v>
      </c>
      <c r="J42" s="19">
        <f>(I42-H42)/1000</f>
        <v/>
      </c>
      <c r="K42" s="16" t="inlineStr">
        <is>
          <t>Yes</t>
        </is>
      </c>
      <c r="L42" s="16" t="n">
        <v>1</v>
      </c>
      <c r="M42" s="39" t="inlineStr">
        <is>
          <t>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Asansol, Barachak Jn  ...(+9 more)</t>
        </is>
      </c>
    </row>
    <row r="43" ht="139" customHeight="1">
      <c r="A43" s="31" t="inlineStr">
        <is>
          <t>29 Jun</t>
        </is>
      </c>
      <c r="B43" s="31" t="inlineStr">
        <is>
          <t>30629</t>
        </is>
      </c>
      <c r="C43" s="31" t="n">
        <v>98</v>
      </c>
      <c r="D43" s="31" t="n">
        <v>4</v>
      </c>
      <c r="E43" s="31" t="n">
        <v>4</v>
      </c>
      <c r="F43" s="40" t="n">
        <v>199393</v>
      </c>
      <c r="G43" s="40" t="n">
        <v>199393</v>
      </c>
      <c r="H43" s="40" t="n">
        <v>199393</v>
      </c>
      <c r="I43" s="40" t="n">
        <v>199393</v>
      </c>
      <c r="J43" s="41">
        <f>(I43-H43)/1000</f>
        <v/>
      </c>
      <c r="K43" s="31" t="inlineStr">
        <is>
          <t>No</t>
        </is>
      </c>
      <c r="L43" s="31" t="n">
        <v>1</v>
      </c>
      <c r="M43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Barachak Jn  ...(+9 more)</t>
        </is>
      </c>
    </row>
    <row r="44" ht="139" customHeight="1">
      <c r="A44" s="31" t="inlineStr">
        <is>
          <t>29 Jun</t>
        </is>
      </c>
      <c r="B44" s="31" t="inlineStr">
        <is>
          <t>37016</t>
        </is>
      </c>
      <c r="C44" s="31" t="n">
        <v>6</v>
      </c>
      <c r="D44" s="31" t="n">
        <v>0</v>
      </c>
      <c r="E44" s="31" t="n">
        <v>0</v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1" t="n">
        <v>0</v>
      </c>
      <c r="K44" s="31" t="inlineStr">
        <is>
          <t>No</t>
        </is>
      </c>
      <c r="L44" s="31" t="n">
        <v>0</v>
      </c>
      <c r="M44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5" ht="139" customHeight="1">
      <c r="A45" s="31" t="inlineStr">
        <is>
          <t>29 Jun</t>
        </is>
      </c>
      <c r="B45" s="31" t="inlineStr">
        <is>
          <t>37162</t>
        </is>
      </c>
      <c r="C45" s="31" t="n">
        <v>1</v>
      </c>
      <c r="D45" s="31" t="n">
        <v>0</v>
      </c>
      <c r="E45" s="31" t="n">
        <v>0</v>
      </c>
      <c r="F45" s="40" t="inlineStr">
        <is>
          <t>-</t>
        </is>
      </c>
      <c r="G45" s="40" t="inlineStr">
        <is>
          <t>-</t>
        </is>
      </c>
      <c r="H45" s="40" t="inlineStr">
        <is>
          <t>-</t>
        </is>
      </c>
      <c r="I45" s="40" t="inlineStr">
        <is>
          <t>-</t>
        </is>
      </c>
      <c r="J45" s="41" t="n">
        <v>0</v>
      </c>
      <c r="K45" s="31" t="inlineStr">
        <is>
          <t>No</t>
        </is>
      </c>
      <c r="L45" s="31" t="n">
        <v>0</v>
      </c>
      <c r="M45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6" ht="139" customHeight="1">
      <c r="A46" s="31" t="inlineStr">
        <is>
          <t>29 Jun</t>
        </is>
      </c>
      <c r="B46" s="31" t="inlineStr">
        <is>
          <t>39170</t>
        </is>
      </c>
      <c r="C46" s="31" t="n">
        <v>5</v>
      </c>
      <c r="D46" s="31" t="n">
        <v>0</v>
      </c>
      <c r="E46" s="31" t="n">
        <v>0</v>
      </c>
      <c r="F46" s="40" t="inlineStr">
        <is>
          <t>-</t>
        </is>
      </c>
      <c r="G46" s="40" t="inlineStr">
        <is>
          <t>-</t>
        </is>
      </c>
      <c r="H46" s="40" t="inlineStr">
        <is>
          <t>-</t>
        </is>
      </c>
      <c r="I46" s="40" t="inlineStr">
        <is>
          <t>-</t>
        </is>
      </c>
      <c r="J46" s="41" t="n">
        <v>0</v>
      </c>
      <c r="K46" s="31" t="inlineStr">
        <is>
          <t>No</t>
        </is>
      </c>
      <c r="L46" s="31" t="n">
        <v>0</v>
      </c>
      <c r="M46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  <row r="47" ht="139" customHeight="1">
      <c r="A47" s="31" t="inlineStr">
        <is>
          <t>29 Jun</t>
        </is>
      </c>
      <c r="B47" s="31" t="inlineStr">
        <is>
          <t>39597</t>
        </is>
      </c>
      <c r="C47" s="31" t="n">
        <v>2</v>
      </c>
      <c r="D47" s="31" t="n">
        <v>0</v>
      </c>
      <c r="E47" s="31" t="n">
        <v>0</v>
      </c>
      <c r="F47" s="40" t="inlineStr">
        <is>
          <t>-</t>
        </is>
      </c>
      <c r="G47" s="40" t="inlineStr">
        <is>
          <t>-</t>
        </is>
      </c>
      <c r="H47" s="40" t="inlineStr">
        <is>
          <t>-</t>
        </is>
      </c>
      <c r="I47" s="40" t="inlineStr">
        <is>
          <t>-</t>
        </is>
      </c>
      <c r="J47" s="41" t="n">
        <v>0</v>
      </c>
      <c r="K47" s="31" t="inlineStr">
        <is>
          <t>No</t>
        </is>
      </c>
      <c r="L47" s="31" t="n">
        <v>0</v>
      </c>
      <c r="M47" s="42" t="inlineStr">
        <is>
          <t>Howrah, Howrah Sorting Yard, Liluah, Belur, Bally, Belanagar, Dankuni, LC-12, Janai Road, Baruipara, Kamarkundu, LC-31, Chandanpur, LC-38, Belmuri, Cheragram, LC-41, Gurap, LC-48, Jaugram, LC-57, Masagram, Palla Road, Saktigarh, Gangpur, Barddhaman Jn, Talit, LC-59, Khana Jn, Khana Link, Galsi, LC-83, Paraj, Mankar, LC-96, Panagarh, LC-105, Rajbandh, LC-111, Durgapur, DCOP, Waria, Andal East Outer, Andal, Baktarnagar B H, Raniganj, Nimcha B H, Ratibati, Kaliphari, Asansol  ...(+10 more)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6" customWidth="1" min="3" max="3"/>
  </cols>
  <sheetData>
    <row r="1">
      <c r="B1" s="43" t="inlineStr">
        <is>
          <t>Methodology</t>
        </is>
      </c>
    </row>
    <row r="3" ht="34" customHeight="1">
      <c r="B3" s="44" t="inlineStr">
        <is>
          <t>Excluded</t>
        </is>
      </c>
      <c r="C3" s="45" t="inlineStr">
        <is>
          <t>Loco-days with 0 km in the section (abs never inside the section, i.e. no section travel) are dropped from the report, unless they completed a trip.</t>
        </is>
      </c>
    </row>
    <row r="4" ht="49" customHeight="1">
      <c r="B4" s="44" t="inlineStr">
        <is>
          <t>No of Trips</t>
        </is>
      </c>
      <c r="C4" s="45" t="inlineStr">
        <is>
          <t>A direction-run covering within 5 km of its line length (DN 244.03 / UP 244.03 km) = one FULL trip; out-and-back = 2. A loco with &gt;=1 full trip is 'valid' (its EBs count as Valid). KM Verification lists each loco-day's stations passed / not passed.</t>
        </is>
      </c>
    </row>
    <row r="5" ht="49" customHeight="1">
      <c r="B5" s="44" t="inlineStr">
        <is>
          <t>Total KMs Run on Kavach</t>
        </is>
      </c>
      <c r="C5" s="45" t="inlineStr">
        <is>
          <t>Section coverage per loco = how far it travelled across the section = (max - min) of its abs within the section limits (342-244376). Capped at the section length; 0 if the loco never reported inside the section.</t>
        </is>
      </c>
    </row>
    <row r="6">
      <c r="B6" s="44" t="inlineStr">
        <is>
          <t>Availability (FS+OS)</t>
        </is>
      </c>
      <c r="C6" s="45" t="inlineStr">
        <is>
          <t>Packets in FS or OnSight ÷ all packets (all modes) × 100.</t>
        </is>
      </c>
    </row>
    <row r="7" ht="34" customHeight="1">
      <c r="B7" s="44" t="inlineStr">
        <is>
          <t>Total EB</t>
        </is>
      </c>
      <c r="C7" s="45" t="inlineStr">
        <is>
          <t>EB events in LReg brake status; one continuous hold = 1 (lost-packet gaps bridged, new event only at a real release). Split into Valid (trip locos) / Non-Valid.</t>
        </is>
      </c>
    </row>
    <row r="8" ht="64" customHeight="1">
      <c r="B8" s="44" t="inlineStr">
        <is>
          <t>Mode Degradation</t>
        </is>
      </c>
      <c r="C8" s="45" t="inlineStr">
        <is>
          <t>Each transition into LS or SR from a less-degraded mode, on the merged LReq+LReg timeline. Counts FS/OS/Trip/PostTrip/Standby→LS or SR and LS→SR; excludes NonLeading→LS/SR, FS→OS, recovery (→FS), spells outside the section, and spells with a &gt;60s packet gap (loco stabled / out of coverage).</t>
        </is>
      </c>
    </row>
    <row r="9" ht="49" customHeight="1">
      <c r="B9" s="44" t="inlineStr">
        <is>
          <t>EB diagnostics</t>
        </is>
      </c>
      <c r="C9" s="45" t="inlineStr">
        <is>
          <t>Speed at EB + flag a PG issue only if it jumps &gt;=6 km/h vs the IMMEDIATELY preceding packet AND that packet is within 2 s of the EB (if the previous packet was lost, no PG flag); MA from SReg 'MA wrt Sig' + flag drop &gt;500; Emergency from LReg.</t>
        </is>
      </c>
    </row>
    <row r="10" ht="34" customHeight="1">
      <c r="B10" s="44" t="inlineStr">
        <is>
          <t>Ratios</t>
        </is>
      </c>
      <c r="C10" s="45" t="inlineStr">
        <is>
          <t>per Trip=÷Trips; per KM=÷KM; per 100 KM=÷KM×100; per Trip per 1000 KM=÷(Trips×KM/1000); per Trip per 100 KM=÷(Trips×KM/100).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2026-06-30T10:10:28Z</dcterms:created>
  <dcterms:modified xsi:type="dcterms:W3CDTF">2026-07-01T09:07:22Z</dcterms:modified>
</cp:coreProperties>
</file>
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ified KPI" sheetId="1" state="visible" r:id="rId3"/>
    <sheet name="Daily Breakdown" sheetId="2" state="visible" r:id="rId4"/>
    <sheet name="EB Detail" sheetId="3" state="visible" r:id="rId5"/>
    <sheet name="KM Verification" sheetId="4" state="visible" r:id="rId6"/>
    <sheet name="Methodolog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<sst xmlns="http://schemas.openxmlformats.org/spreadsheetml/2006/main" count="1561" uniqueCount="322">
  <si>
    <t xml:space="preserve">NCR — Kavach Unified KPI</t>
  </si>
  <si>
    <t xml:space="preserve">Period: 08 May - 14 May 2026  ·  all locomotives  ·  one combined row</t>
  </si>
  <si>
    <t xml:space="preserve">Month</t>
  </si>
  <si>
    <t xml:space="preserve">Zone</t>
  </si>
  <si>
    <t xml:space="preserve">Section</t>
  </si>
  <si>
    <t xml:space="preserve">No Of Trips</t>
  </si>
  <si>
    <t xml:space="preserve">Total KMs Run On Kavach</t>
  </si>
  <si>
    <t xml:space="preserve">Availability (FS+OS)</t>
  </si>
  <si>
    <t xml:space="preserve">Total EB</t>
  </si>
  <si>
    <t xml:space="preserve">EB (Valid Trips)</t>
  </si>
  <si>
    <t xml:space="preserve">EB (Non-Valid Trips)</t>
  </si>
  <si>
    <t xml:space="preserve">EB per Trip</t>
  </si>
  <si>
    <t xml:space="preserve">EB per KM</t>
  </si>
  <si>
    <t xml:space="preserve">EB per 100 KM</t>
  </si>
  <si>
    <t xml:space="preserve">EB per Trip per 1000 KM</t>
  </si>
  <si>
    <t xml:space="preserve">Total Mode Degradation</t>
  </si>
  <si>
    <t xml:space="preserve">Mode Degradation per Trip</t>
  </si>
  <si>
    <t xml:space="preserve">Mode Degradation per KM</t>
  </si>
  <si>
    <t xml:space="preserve">Mode Degradation per Trip per 100 KM</t>
  </si>
  <si>
    <t xml:space="preserve">Mode Degradation per 100 KM</t>
  </si>
  <si>
    <t xml:space="preserve">Undesirable EB</t>
  </si>
  <si>
    <t xml:space="preserve">UNIFIED KPI</t>
  </si>
  <si>
    <t xml:space="preserve">08 May - 14 May 2026</t>
  </si>
  <si>
    <t xml:space="preserve">NCR</t>
  </si>
  <si>
    <t xml:space="preserve">36001_LC563 → 36014_VRBD</t>
  </si>
  <si>
    <t xml:space="preserve">Daily Breakdown — by day and locomotive (all locos)</t>
  </si>
  <si>
    <t xml:space="preserve">Date</t>
  </si>
  <si>
    <t xml:space="preserve">Loco ID</t>
  </si>
  <si>
    <t xml:space="preserve">No of Trips</t>
  </si>
  <si>
    <t xml:space="preserve">Total KMs</t>
  </si>
  <si>
    <t xml:space="preserve">FS+OS pkts</t>
  </si>
  <si>
    <t xml:space="preserve">Total pkts</t>
  </si>
  <si>
    <t xml:space="preserve">EB (Valid)</t>
  </si>
  <si>
    <t xml:space="preserve">EB (Non-Valid)</t>
  </si>
  <si>
    <t xml:space="preserve">Mode Degradation</t>
  </si>
  <si>
    <t xml:space="preserve">8 May</t>
  </si>
  <si>
    <t xml:space="preserve">39031</t>
  </si>
  <si>
    <t xml:space="preserve">30466</t>
  </si>
  <si>
    <t xml:space="preserve">39252</t>
  </si>
  <si>
    <t xml:space="preserve">37813</t>
  </si>
  <si>
    <t xml:space="preserve">37217</t>
  </si>
  <si>
    <t xml:space="preserve">30607</t>
  </si>
  <si>
    <t xml:space="preserve">39311</t>
  </si>
  <si>
    <t xml:space="preserve">30227</t>
  </si>
  <si>
    <t xml:space="preserve">37818</t>
  </si>
  <si>
    <t xml:space="preserve">37753</t>
  </si>
  <si>
    <t xml:space="preserve">30673</t>
  </si>
  <si>
    <t xml:space="preserve">30215</t>
  </si>
  <si>
    <t xml:space="preserve">37342</t>
  </si>
  <si>
    <t xml:space="preserve">30516</t>
  </si>
  <si>
    <t xml:space="preserve">39176</t>
  </si>
  <si>
    <t xml:space="preserve">39138</t>
  </si>
  <si>
    <t xml:space="preserve">30339</t>
  </si>
  <si>
    <t xml:space="preserve">30271</t>
  </si>
  <si>
    <t xml:space="preserve">39180</t>
  </si>
  <si>
    <t xml:space="preserve">30397</t>
  </si>
  <si>
    <t xml:space="preserve">30646</t>
  </si>
  <si>
    <t xml:space="preserve">30590</t>
  </si>
  <si>
    <t xml:space="preserve">39050</t>
  </si>
  <si>
    <t xml:space="preserve">30038</t>
  </si>
  <si>
    <t xml:space="preserve">30807</t>
  </si>
  <si>
    <t xml:space="preserve">30456</t>
  </si>
  <si>
    <t xml:space="preserve">30682</t>
  </si>
  <si>
    <t xml:space="preserve">188422</t>
  </si>
  <si>
    <t xml:space="preserve">Day Total</t>
  </si>
  <si>
    <t xml:space="preserve">9 May</t>
  </si>
  <si>
    <t xml:space="preserve">37793</t>
  </si>
  <si>
    <t xml:space="preserve">39052</t>
  </si>
  <si>
    <t xml:space="preserve">30576</t>
  </si>
  <si>
    <t xml:space="preserve">37815</t>
  </si>
  <si>
    <t xml:space="preserve">39245</t>
  </si>
  <si>
    <t xml:space="preserve">39078</t>
  </si>
  <si>
    <t xml:space="preserve">39153</t>
  </si>
  <si>
    <t xml:space="preserve">35050</t>
  </si>
  <si>
    <t xml:space="preserve">39466</t>
  </si>
  <si>
    <t xml:space="preserve">37664</t>
  </si>
  <si>
    <t xml:space="preserve">39364</t>
  </si>
  <si>
    <t xml:space="preserve">30343</t>
  </si>
  <si>
    <t xml:space="preserve">37041</t>
  </si>
  <si>
    <t xml:space="preserve">37954</t>
  </si>
  <si>
    <t xml:space="preserve">37276</t>
  </si>
  <si>
    <t xml:space="preserve">30810</t>
  </si>
  <si>
    <t xml:space="preserve">39092</t>
  </si>
  <si>
    <t xml:space="preserve">30551</t>
  </si>
  <si>
    <t xml:space="preserve">30197</t>
  </si>
  <si>
    <t xml:space="preserve">10 May</t>
  </si>
  <si>
    <t xml:space="preserve">37397</t>
  </si>
  <si>
    <t xml:space="preserve">39295</t>
  </si>
  <si>
    <t xml:space="preserve">30182</t>
  </si>
  <si>
    <t xml:space="preserve">39150</t>
  </si>
  <si>
    <t xml:space="preserve">39017</t>
  </si>
  <si>
    <t xml:space="preserve">30459</t>
  </si>
  <si>
    <t xml:space="preserve">30336</t>
  </si>
  <si>
    <t xml:space="preserve">37873</t>
  </si>
  <si>
    <t xml:space="preserve">30546</t>
  </si>
  <si>
    <t xml:space="preserve">39232</t>
  </si>
  <si>
    <t xml:space="preserve">30404</t>
  </si>
  <si>
    <t xml:space="preserve">37551</t>
  </si>
  <si>
    <t xml:space="preserve">11 May</t>
  </si>
  <si>
    <t xml:space="preserve">39393</t>
  </si>
  <si>
    <t xml:space="preserve">30007</t>
  </si>
  <si>
    <t xml:space="preserve">30337</t>
  </si>
  <si>
    <t xml:space="preserve">39080</t>
  </si>
  <si>
    <t xml:space="preserve">37324</t>
  </si>
  <si>
    <t xml:space="preserve">37830</t>
  </si>
  <si>
    <t xml:space="preserve">37745</t>
  </si>
  <si>
    <t xml:space="preserve">30206</t>
  </si>
  <si>
    <t xml:space="preserve">39358</t>
  </si>
  <si>
    <t xml:space="preserve">30313</t>
  </si>
  <si>
    <t xml:space="preserve">30382</t>
  </si>
  <si>
    <t xml:space="preserve">30223</t>
  </si>
  <si>
    <t xml:space="preserve">30429</t>
  </si>
  <si>
    <t xml:space="preserve">30543</t>
  </si>
  <si>
    <t xml:space="preserve">22956</t>
  </si>
  <si>
    <t xml:space="preserve">12 May</t>
  </si>
  <si>
    <t xml:space="preserve">37353</t>
  </si>
  <si>
    <t xml:space="preserve">39132</t>
  </si>
  <si>
    <t xml:space="preserve">30376</t>
  </si>
  <si>
    <t xml:space="preserve">39040</t>
  </si>
  <si>
    <t xml:space="preserve">39038</t>
  </si>
  <si>
    <t xml:space="preserve">37229</t>
  </si>
  <si>
    <t xml:space="preserve">39514</t>
  </si>
  <si>
    <t xml:space="preserve">13 May</t>
  </si>
  <si>
    <t xml:space="preserve">30086</t>
  </si>
  <si>
    <t xml:space="preserve">39126</t>
  </si>
  <si>
    <t xml:space="preserve">31186</t>
  </si>
  <si>
    <t xml:space="preserve">39063</t>
  </si>
  <si>
    <t xml:space="preserve">37634</t>
  </si>
  <si>
    <t xml:space="preserve">39336</t>
  </si>
  <si>
    <t xml:space="preserve">37677</t>
  </si>
  <si>
    <t xml:space="preserve">30592</t>
  </si>
  <si>
    <t xml:space="preserve">37038</t>
  </si>
  <si>
    <t xml:space="preserve">37064</t>
  </si>
  <si>
    <t xml:space="preserve">37219</t>
  </si>
  <si>
    <t xml:space="preserve">14 May</t>
  </si>
  <si>
    <t xml:space="preserve">37073</t>
  </si>
  <si>
    <t xml:space="preserve">37802</t>
  </si>
  <si>
    <t xml:space="preserve">39325</t>
  </si>
  <si>
    <t xml:space="preserve">39220</t>
  </si>
  <si>
    <t xml:space="preserve">37286</t>
  </si>
  <si>
    <t xml:space="preserve">37039</t>
  </si>
  <si>
    <t xml:space="preserve">39175</t>
  </si>
  <si>
    <t xml:space="preserve">39284</t>
  </si>
  <si>
    <t xml:space="preserve">39076</t>
  </si>
  <si>
    <t xml:space="preserve">37250</t>
  </si>
  <si>
    <t xml:space="preserve">30683</t>
  </si>
  <si>
    <t xml:space="preserve">30006</t>
  </si>
  <si>
    <t xml:space="preserve">30542</t>
  </si>
  <si>
    <t xml:space="preserve">37335</t>
  </si>
  <si>
    <t xml:space="preserve">GRAND TOTAL</t>
  </si>
  <si>
    <t xml:space="preserve">EB Detail — every Emergency-Brake event, with speed / MA / Emergency diagnostics + undesirable classification</t>
  </si>
  <si>
    <t xml:space="preserve">Total EB = 26   ·   Valid trips = 1   ·   Non-valid trips = 25   ·   Undesirable = 17</t>
  </si>
  <si>
    <t xml:space="preserve">Trip Type</t>
  </si>
  <si>
    <t xml:space="preserve">Onset</t>
  </si>
  <si>
    <t xml:space="preserve">End</t>
  </si>
  <si>
    <t xml:space="preserve">Duration (s)</t>
  </si>
  <si>
    <t xml:space="preserve">EB Packets</t>
  </si>
  <si>
    <t xml:space="preserve">Max Speed</t>
  </si>
  <si>
    <t xml:space="preserve">Mode @onset</t>
  </si>
  <si>
    <t xml:space="preserve">Location (km)</t>
  </si>
  <si>
    <t xml:space="preserve">Dir</t>
  </si>
  <si>
    <t xml:space="preserve">Station</t>
  </si>
  <si>
    <t xml:space="preserve">Speed at EB (PG check)</t>
  </si>
  <si>
    <t xml:space="preserve">MA wrt Sig</t>
  </si>
  <si>
    <t xml:space="preserve">Emergency (LReg)</t>
  </si>
  <si>
    <t xml:space="preserve">Suspected Reason (undesirable)</t>
  </si>
  <si>
    <t xml:space="preserve">Non-Valid</t>
  </si>
  <si>
    <t xml:space="preserve">16:23:22</t>
  </si>
  <si>
    <t xml:space="preserve">OS</t>
  </si>
  <si>
    <t xml:space="preserve">R</t>
  </si>
  <si>
    <t xml:space="preserve">LC551</t>
  </si>
  <si>
    <t xml:space="preserve">13 km/h</t>
  </si>
  <si>
    <t xml:space="preserve">200
MA dropped from 970 to 200.</t>
  </si>
  <si>
    <t xml:space="preserve">-</t>
  </si>
  <si>
    <t xml:space="preserve">Sudden MA drop</t>
  </si>
  <si>
    <t xml:space="preserve">16:56:12</t>
  </si>
  <si>
    <t xml:space="preserve">16:56:14</t>
  </si>
  <si>
    <t xml:space="preserve">FS</t>
  </si>
  <si>
    <t xml:space="preserve">N</t>
  </si>
  <si>
    <t xml:space="preserve">50 km/h
There was an abnormal speed fluctuation of 16 kmph (from 34 to 50 km/h). Possible suspect: PG issue.</t>
  </si>
  <si>
    <t xml:space="preserve">400</t>
  </si>
  <si>
    <t xml:space="preserve">PG issue (speed fluctuation)</t>
  </si>
  <si>
    <t xml:space="preserve">13:12:40</t>
  </si>
  <si>
    <t xml:space="preserve">13:12:56</t>
  </si>
  <si>
    <t xml:space="preserve">Rundhi</t>
  </si>
  <si>
    <t xml:space="preserve">141 km/h
There was an abnormal speed fluctuation of 126 kmph (from 15 to 141 km/h). Possible suspect: PG issue.</t>
  </si>
  <si>
    <t xml:space="preserve">862</t>
  </si>
  <si>
    <t xml:space="preserve">Valid</t>
  </si>
  <si>
    <t xml:space="preserve">18:18:12</t>
  </si>
  <si>
    <t xml:space="preserve">18:19:10</t>
  </si>
  <si>
    <t xml:space="preserve">LS</t>
  </si>
  <si>
    <t xml:space="preserve">LC563</t>
  </si>
  <si>
    <t xml:space="preserve">106 km/h</t>
  </si>
  <si>
    <t xml:space="preserve">5129</t>
  </si>
  <si>
    <t xml:space="preserve">Emergency: Stopped in Block; FS-&gt;LS degradation + EB</t>
  </si>
  <si>
    <t xml:space="preserve">14:21:54</t>
  </si>
  <si>
    <t xml:space="preserve">14:21:58</t>
  </si>
  <si>
    <t xml:space="preserve">Hodal</t>
  </si>
  <si>
    <t xml:space="preserve">221 km/h
There was an abnormal speed fluctuation of 60 kmph (from 161 to 221 km/h). Possible suspect: PG issue.</t>
  </si>
  <si>
    <t xml:space="preserve">4048</t>
  </si>
  <si>
    <t xml:space="preserve">14:24:18</t>
  </si>
  <si>
    <t xml:space="preserve">14:24:22</t>
  </si>
  <si>
    <t xml:space="preserve">TRIP</t>
  </si>
  <si>
    <t xml:space="preserve">2 km/h</t>
  </si>
  <si>
    <t xml:space="preserve">745</t>
  </si>
  <si>
    <t xml:space="preserve">Trip mode</t>
  </si>
  <si>
    <t xml:space="preserve">15:19:18</t>
  </si>
  <si>
    <t xml:space="preserve">15:19:30</t>
  </si>
  <si>
    <t xml:space="preserve">74 km/h</t>
  </si>
  <si>
    <t xml:space="preserve">335</t>
  </si>
  <si>
    <t xml:space="preserve">15:19:34</t>
  </si>
  <si>
    <t xml:space="preserve">15:19:36</t>
  </si>
  <si>
    <t xml:space="preserve">24 km/h</t>
  </si>
  <si>
    <t xml:space="preserve">200</t>
  </si>
  <si>
    <t xml:space="preserve">15:23:04</t>
  </si>
  <si>
    <t xml:space="preserve">15:23:08</t>
  </si>
  <si>
    <t xml:space="preserve">176 km/h
There was an abnormal speed fluctuation of 14 kmph (from 162 to 176 km/h). Possible suspect: PG issue.</t>
  </si>
  <si>
    <t xml:space="preserve">4612</t>
  </si>
  <si>
    <t xml:space="preserve">15:36:18</t>
  </si>
  <si>
    <t xml:space="preserve">57 km/h</t>
  </si>
  <si>
    <t xml:space="preserve">761</t>
  </si>
  <si>
    <t xml:space="preserve">15:39:42</t>
  </si>
  <si>
    <t xml:space="preserve">26 km/h
There was an abnormal speed fluctuation of 16 kmph (from 10 to 26 km/h). Possible suspect: PG issue.</t>
  </si>
  <si>
    <t xml:space="preserve">2153
MA dropped from 3331 to 2153.</t>
  </si>
  <si>
    <t xml:space="preserve">PG issue (speed fluctuation); Sudden MA drop</t>
  </si>
  <si>
    <t xml:space="preserve">15:54:12</t>
  </si>
  <si>
    <t xml:space="preserve">15:54:24</t>
  </si>
  <si>
    <t xml:space="preserve">66 km/h
There was an abnormal speed fluctuation of 19 kmph (from 47 to 66 km/h). Possible suspect: PG issue.</t>
  </si>
  <si>
    <t xml:space="preserve">1803</t>
  </si>
  <si>
    <t xml:space="preserve">15:55:22</t>
  </si>
  <si>
    <t xml:space="preserve">15:55:30</t>
  </si>
  <si>
    <t xml:space="preserve">85 km/h
There was an abnormal speed fluctuation of 37 kmph (from 48 to 85 km/h). Possible suspect: PG issue.</t>
  </si>
  <si>
    <t xml:space="preserve">1898</t>
  </si>
  <si>
    <t xml:space="preserve">12:24:02</t>
  </si>
  <si>
    <t xml:space="preserve">12:24:04</t>
  </si>
  <si>
    <t xml:space="preserve">250 km/h
There was an abnormal speed fluctuation of 120 kmph (from 130 to 250 km/h). Possible suspect: PG issue.</t>
  </si>
  <si>
    <t xml:space="preserve">2470</t>
  </si>
  <si>
    <t xml:space="preserve">12:34:52</t>
  </si>
  <si>
    <t xml:space="preserve">12:34:54</t>
  </si>
  <si>
    <t xml:space="preserve">123 km/h
There was an abnormal speed fluctuation of 102 kmph (from 21 to 123 km/h). Possible suspect: PG issue.</t>
  </si>
  <si>
    <t xml:space="preserve">12:35:08</t>
  </si>
  <si>
    <t xml:space="preserve">12:35:16</t>
  </si>
  <si>
    <t xml:space="preserve">99 km/h</t>
  </si>
  <si>
    <t xml:space="preserve">1409</t>
  </si>
  <si>
    <t xml:space="preserve">13:05:06</t>
  </si>
  <si>
    <t xml:space="preserve">13:05:16</t>
  </si>
  <si>
    <t xml:space="preserve">22 km/h</t>
  </si>
  <si>
    <t xml:space="preserve">190</t>
  </si>
  <si>
    <t xml:space="preserve">13:59:52</t>
  </si>
  <si>
    <t xml:space="preserve">13:59:56</t>
  </si>
  <si>
    <t xml:space="preserve">178 km/h
There was an abnormal speed fluctuation of 59 kmph (from 119 to 178 km/h). Possible suspect: PG issue.</t>
  </si>
  <si>
    <t xml:space="preserve">3756</t>
  </si>
  <si>
    <t xml:space="preserve">14:03:24</t>
  </si>
  <si>
    <t xml:space="preserve">27 km/h</t>
  </si>
  <si>
    <t xml:space="preserve">14:21:36</t>
  </si>
  <si>
    <t xml:space="preserve">15:28:14</t>
  </si>
  <si>
    <t xml:space="preserve">15:28:24</t>
  </si>
  <si>
    <t xml:space="preserve">50 km/h
There was an abnormal speed fluctuation of 49 kmph (from 1 to 50 km/h). Possible suspect: PG issue.</t>
  </si>
  <si>
    <t xml:space="preserve">15:28:34</t>
  </si>
  <si>
    <t xml:space="preserve">8 km/h
There was an abnormal speed fluctuation of 7 kmph (from 15 to 8 km/h). Possible suspect: PG issue.</t>
  </si>
  <si>
    <t xml:space="preserve">15:30:12</t>
  </si>
  <si>
    <t xml:space="preserve">15:30:26</t>
  </si>
  <si>
    <t xml:space="preserve">138 km/h
There was an abnormal speed fluctuation of 27 kmph (from 111 to 138 km/h). Possible suspect: PG issue.</t>
  </si>
  <si>
    <t xml:space="preserve">1198</t>
  </si>
  <si>
    <t xml:space="preserve">15:30:46</t>
  </si>
  <si>
    <t xml:space="preserve">15:30:58</t>
  </si>
  <si>
    <t xml:space="preserve">62 km/h</t>
  </si>
  <si>
    <t xml:space="preserve">743</t>
  </si>
  <si>
    <t xml:space="preserve">15:31:04</t>
  </si>
  <si>
    <t xml:space="preserve">15:31:06</t>
  </si>
  <si>
    <t xml:space="preserve">16 km/h</t>
  </si>
  <si>
    <t xml:space="preserve">13:22:10</t>
  </si>
  <si>
    <t xml:space="preserve">13:22:18</t>
  </si>
  <si>
    <t xml:space="preserve">28 km/h</t>
  </si>
  <si>
    <t xml:space="preserve">0</t>
  </si>
  <si>
    <t xml:space="preserve">KM Verification  -  KM = (In-section Max Abs  -  In-section Min Abs) / 1000</t>
  </si>
  <si>
    <t xml:space="preserve">Section window: abs 1401554 - 1479434  (36001 &lt;-&gt; 36014).  Only positions inside this window count; 8388607 'unknown' is excluded.  'In Report'=No means no in-section travel (dropped).</t>
  </si>
  <si>
    <t xml:space="preserve">Valid-abs pkts</t>
  </si>
  <si>
    <t xml:space="preserve">In-section pkts</t>
  </si>
  <si>
    <t xml:space="preserve">Raw Min Abs</t>
  </si>
  <si>
    <t xml:space="preserve">Raw Max Abs</t>
  </si>
  <si>
    <t xml:space="preserve">In-sec Min Abs</t>
  </si>
  <si>
    <t xml:space="preserve">In-sec Max Abs</t>
  </si>
  <si>
    <t xml:space="preserve">KM = (Max-Min)/1000</t>
  </si>
  <si>
    <t xml:space="preserve">In Report?</t>
  </si>
  <si>
    <t xml:space="preserve">Yes</t>
  </si>
  <si>
    <t xml:space="preserve">243694</t>
  </si>
  <si>
    <t xml:space="preserve">No</t>
  </si>
  <si>
    <t xml:space="preserve">243695</t>
  </si>
  <si>
    <t xml:space="preserve">30145</t>
  </si>
  <si>
    <t xml:space="preserve">30491</t>
  </si>
  <si>
    <t xml:space="preserve">37134</t>
  </si>
  <si>
    <t xml:space="preserve">37569</t>
  </si>
  <si>
    <t xml:space="preserve">37969</t>
  </si>
  <si>
    <t xml:space="preserve">39023</t>
  </si>
  <si>
    <t xml:space="preserve">39312</t>
  </si>
  <si>
    <t xml:space="preserve">30827</t>
  </si>
  <si>
    <t xml:space="preserve">37632</t>
  </si>
  <si>
    <t xml:space="preserve">30371</t>
  </si>
  <si>
    <t xml:space="preserve">37584</t>
  </si>
  <si>
    <t xml:space="preserve">39309</t>
  </si>
  <si>
    <t xml:space="preserve">30141</t>
  </si>
  <si>
    <t xml:space="preserve">30164</t>
  </si>
  <si>
    <t xml:space="preserve">31780</t>
  </si>
  <si>
    <t xml:space="preserve">37535</t>
  </si>
  <si>
    <t xml:space="preserve">37864</t>
  </si>
  <si>
    <t xml:space="preserve">42792</t>
  </si>
  <si>
    <t xml:space="preserve">30739</t>
  </si>
  <si>
    <t xml:space="preserve">37275</t>
  </si>
  <si>
    <t xml:space="preserve">Methodology</t>
  </si>
  <si>
    <t xml:space="preserve">Excluded</t>
  </si>
  <si>
    <t xml:space="preserve">Loco-days with 0 km in the section are dropped unless they completed a trip.</t>
  </si>
  <si>
    <t xml:space="preserve">A loco completing the section end-to-end. Reversal = new trip. All loco types included.</t>
  </si>
  <si>
    <t xml:space="preserve">Total KMs Run on Kavach</t>
  </si>
  <si>
    <t xml:space="preserve">(max - min) of a loco's abs within the section limits (1401554-1479434), capped ~78 km; 0 if never inside.</t>
  </si>
  <si>
    <t xml:space="preserve">Packets in FS or OnSight / all packets (all modes) x 100.</t>
  </si>
  <si>
    <t xml:space="preserve">Continuous EB hold in LReg = 1 event; only EBs applied inside the section are counted. Split Valid/Non-Valid.</t>
  </si>
  <si>
    <t xml:space="preserve">PG fluctuation, MA drop, Failure mode, Emergency, EB at 0-1 km/h, Shunting, Trip, or EB while in LS/SR. OS alone is not undesirable.</t>
  </si>
  <si>
    <t xml:space="preserve">FS-&gt;Trip/LS/SR/Standby and OS-&gt;SR/Standby. Excluded: start-of-mission SR, NonLeading-&gt;SR, FS-&gt;SR at 0 km/h, VRBD 917-reverse.</t>
  </si>
  <si>
    <t xml:space="preserve">From the loco abs at EB via per-direction entry/exit windows; abs taken from the EB packets, else prior LReg, else LReq.</t>
  </si>
  <si>
    <t xml:space="preserve">Unified KPI</t>
  </si>
  <si>
    <t xml:space="preserve">ROUND(Availability x (1 - EB/Trip/1000km) x (1 - ModeDegr/Trip/100km), 2).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</si>
</sst>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#,##0.00"/>
    <numFmt numFmtId="167" formatCode="0.00"/>
    <numFmt numFmtId="168" formatCode="0.0000"/>
    <numFmt numFmtId="169" formatCode="0.00000"/>
    <numFmt numFmtId="170" formatCode="0.000"/>
    <numFmt numFmtId="171" formatCode="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2E5496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EF3FB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FFF"/>
        <bgColor rgb="FFEEF3FB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EE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EF3FB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3"/>
    <col collapsed="false" customWidth="true" hidden="false" outlineLevel="0" max="9" min="4" style="0" width="17"/>
    <col collapsed="false" customWidth="true" hidden="false" outlineLevel="0" max="11" min="10" style="0" width="19"/>
    <col collapsed="false" customWidth="true" hidden="false" outlineLevel="0" max="12" min="12" style="0" width="23"/>
    <col collapsed="false" customWidth="true" hidden="false" outlineLevel="0" max="13" min="13" style="0" width="29"/>
    <col collapsed="false" customWidth="true" hidden="false" outlineLevel="0" max="14" min="14" style="0" width="17"/>
    <col collapsed="false" customWidth="true" hidden="false" outlineLevel="0" max="16" min="15" style="0" width="19"/>
    <col collapsed="false" customWidth="true" hidden="false" outlineLevel="0" max="17" min="17" style="0" width="28"/>
    <col collapsed="false" customWidth="true" hidden="false" outlineLevel="0" max="18" min="18" style="0" width="23"/>
    <col collapsed="false" customWidth="true" hidden="false" outlineLevel="0" max="19" min="19" style="0" width="13"/>
    <col collapsed="false" customWidth="true" hidden="false" outlineLevel="0" max="20" min="20" style="0" width="28"/>
  </cols>
  <sheetData>
    <row r="1" customFormat="false" ht="22.0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</row>
    <row r="5" customFormat="false" ht="33.75" hidden="false" customHeight="true" outlineLevel="0" collapsed="false">
      <c r="A5" s="4" t="s">
        <v>22</v>
      </c>
      <c r="B5" s="4" t="s">
        <v>23</v>
      </c>
      <c r="C5" s="4" t="s">
        <v>24</v>
      </c>
      <c r="D5" s="5" t="n">
        <f aca="false">'Daily Breakdown'!C187</f>
        <v>214</v>
      </c>
      <c r="E5" s="6" t="n">
        <f aca="false">'Daily Breakdown'!D187</f>
        <v>12939.83</v>
      </c>
      <c r="F5" s="7" t="n">
        <f aca="false">'Daily Breakdown'!G187</f>
        <v>95.96735340729</v>
      </c>
      <c r="G5" s="5" t="n">
        <f aca="false">'Daily Breakdown'!H187</f>
        <v>26</v>
      </c>
      <c r="H5" s="8" t="n">
        <f aca="false">'Daily Breakdown'!I187</f>
        <v>1</v>
      </c>
      <c r="I5" s="8" t="n">
        <f aca="false">'Daily Breakdown'!J187</f>
        <v>25</v>
      </c>
      <c r="J5" s="9" t="n">
        <f aca="false">IFERROR(G5/D5,0)</f>
        <v>0.121495327102804</v>
      </c>
      <c r="K5" s="10" t="n">
        <f aca="false">IFERROR(G5/E5,0)</f>
        <v>0.00200929996761936</v>
      </c>
      <c r="L5" s="11" t="n">
        <f aca="false">IFERROR(G5/E5*100,0)</f>
        <v>0.200929996761936</v>
      </c>
      <c r="M5" s="10" t="n">
        <f aca="false">IFERROR(G5/(D5*E5/1000),0)</f>
        <v>0.00938925218513719</v>
      </c>
      <c r="N5" s="5" t="n">
        <f aca="false">'Daily Breakdown'!K187</f>
        <v>325</v>
      </c>
      <c r="O5" s="9" t="n">
        <f aca="false">IFERROR(N5/D5,0)</f>
        <v>1.51869158878505</v>
      </c>
      <c r="P5" s="10" t="n">
        <f aca="false">IFERROR(N5/E5,0)</f>
        <v>0.025116249595242</v>
      </c>
      <c r="Q5" s="10" t="n">
        <f aca="false">IFERROR(N5/(D5*E5/100),0)</f>
        <v>0.0117365652314215</v>
      </c>
      <c r="R5" s="11" t="n">
        <f aca="false">IFERROR(N5/E5*100,0)</f>
        <v>2.5116249595242</v>
      </c>
      <c r="S5" s="8" t="n">
        <v>17</v>
      </c>
      <c r="T5" s="12" t="n">
        <f aca="false">ROUND(F5*(1-M5)*(1-Q5),2)</f>
        <v>93.95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6" min="3" style="0" width="34"/>
    <col collapsed="false" customWidth="true" hidden="false" outlineLevel="0" max="7" min="7" style="0" width="29"/>
    <col collapsed="false" customWidth="true" hidden="false" outlineLevel="0" max="11" min="8" style="0" width="34"/>
  </cols>
  <sheetData>
    <row r="1" customFormat="false" ht="16.15" hidden="false" customHeight="false" outlineLevel="0" collapsed="false">
      <c r="A1" s="13" t="s">
        <v>25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3" customFormat="false" ht="15" hidden="false" customHeight="false" outlineLevel="0" collapsed="false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4" t="s">
        <v>7</v>
      </c>
      <c r="H3" s="14" t="s">
        <v>8</v>
      </c>
      <c r="I3" s="14" t="s">
        <v>32</v>
      </c>
      <c r="J3" s="14" t="s">
        <v>33</v>
      </c>
      <c r="K3" s="14" t="s">
        <v>34</v>
      </c>
    </row>
    <row r="4" customFormat="false" ht="15" hidden="false" customHeight="false" outlineLevel="0" collapsed="false">
      <c r="A4" s="15" t="s">
        <v>35</v>
      </c>
      <c r="B4" s="15" t="s">
        <v>36</v>
      </c>
      <c r="C4" s="16" t="n">
        <v>2</v>
      </c>
      <c r="D4" s="17" t="n">
        <v>77.85</v>
      </c>
      <c r="E4" s="18" t="n">
        <v>6863</v>
      </c>
      <c r="F4" s="18" t="n">
        <v>6961</v>
      </c>
      <c r="G4" s="19" t="n">
        <f aca="false">IF(F4=0,0,E4/F4*100)</f>
        <v>98.5921562993823</v>
      </c>
      <c r="H4" s="16" t="n">
        <v>0</v>
      </c>
      <c r="I4" s="16" t="n">
        <v>0</v>
      </c>
      <c r="J4" s="16" t="n">
        <v>0</v>
      </c>
      <c r="K4" s="16" t="n">
        <v>3</v>
      </c>
    </row>
    <row r="5" customFormat="false" ht="15" hidden="false" customHeight="false" outlineLevel="0" collapsed="false">
      <c r="A5" s="15" t="s">
        <v>35</v>
      </c>
      <c r="B5" s="15" t="s">
        <v>37</v>
      </c>
      <c r="C5" s="16" t="n">
        <v>2</v>
      </c>
      <c r="D5" s="17" t="n">
        <v>77.86</v>
      </c>
      <c r="E5" s="18" t="n">
        <v>6658</v>
      </c>
      <c r="F5" s="18" t="n">
        <v>6719</v>
      </c>
      <c r="G5" s="19" t="n">
        <f aca="false">IF(F5=0,0,E5/F5*100)</f>
        <v>99.092126804584</v>
      </c>
      <c r="H5" s="16" t="n">
        <v>0</v>
      </c>
      <c r="I5" s="16" t="n">
        <v>0</v>
      </c>
      <c r="J5" s="16" t="n">
        <v>0</v>
      </c>
      <c r="K5" s="16" t="n">
        <v>2</v>
      </c>
    </row>
    <row r="6" customFormat="false" ht="15" hidden="false" customHeight="false" outlineLevel="0" collapsed="false">
      <c r="A6" s="15" t="s">
        <v>35</v>
      </c>
      <c r="B6" s="15" t="s">
        <v>38</v>
      </c>
      <c r="C6" s="16" t="n">
        <v>2</v>
      </c>
      <c r="D6" s="17" t="n">
        <v>77.85</v>
      </c>
      <c r="E6" s="18" t="n">
        <v>5987</v>
      </c>
      <c r="F6" s="18" t="n">
        <v>6037</v>
      </c>
      <c r="G6" s="19" t="n">
        <f aca="false">IF(F6=0,0,E6/F6*100)</f>
        <v>99.1717740599636</v>
      </c>
      <c r="H6" s="16" t="n">
        <v>0</v>
      </c>
      <c r="I6" s="16" t="n">
        <v>0</v>
      </c>
      <c r="J6" s="16" t="n">
        <v>0</v>
      </c>
      <c r="K6" s="16" t="n">
        <v>2</v>
      </c>
    </row>
    <row r="7" customFormat="false" ht="15" hidden="false" customHeight="false" outlineLevel="0" collapsed="false">
      <c r="A7" s="15" t="s">
        <v>35</v>
      </c>
      <c r="B7" s="15" t="s">
        <v>39</v>
      </c>
      <c r="C7" s="16" t="n">
        <v>2</v>
      </c>
      <c r="D7" s="17" t="n">
        <v>77.86</v>
      </c>
      <c r="E7" s="18" t="n">
        <v>5717</v>
      </c>
      <c r="F7" s="18" t="n">
        <v>5757</v>
      </c>
      <c r="G7" s="19" t="n">
        <f aca="false">IF(F7=0,0,E7/F7*100)</f>
        <v>99.3051936772625</v>
      </c>
      <c r="H7" s="16" t="n">
        <v>0</v>
      </c>
      <c r="I7" s="16" t="n">
        <v>0</v>
      </c>
      <c r="J7" s="16" t="n">
        <v>0</v>
      </c>
      <c r="K7" s="16" t="n">
        <v>5</v>
      </c>
    </row>
    <row r="8" customFormat="false" ht="15" hidden="false" customHeight="false" outlineLevel="0" collapsed="false">
      <c r="A8" s="15" t="s">
        <v>35</v>
      </c>
      <c r="B8" s="15" t="s">
        <v>40</v>
      </c>
      <c r="C8" s="16" t="n">
        <v>1</v>
      </c>
      <c r="D8" s="17" t="n">
        <v>77.69</v>
      </c>
      <c r="E8" s="18" t="n">
        <v>4916</v>
      </c>
      <c r="F8" s="18" t="n">
        <v>4943</v>
      </c>
      <c r="G8" s="19" t="n">
        <f aca="false">IF(F8=0,0,E8/F8*100)</f>
        <v>99.4537730123407</v>
      </c>
      <c r="H8" s="16" t="n">
        <v>0</v>
      </c>
      <c r="I8" s="16" t="n">
        <v>0</v>
      </c>
      <c r="J8" s="16" t="n">
        <v>0</v>
      </c>
      <c r="K8" s="16" t="n">
        <v>1</v>
      </c>
    </row>
    <row r="9" customFormat="false" ht="15" hidden="false" customHeight="false" outlineLevel="0" collapsed="false">
      <c r="A9" s="15" t="s">
        <v>35</v>
      </c>
      <c r="B9" s="15" t="s">
        <v>41</v>
      </c>
      <c r="C9" s="16" t="n">
        <v>1</v>
      </c>
      <c r="D9" s="17" t="n">
        <v>77.86</v>
      </c>
      <c r="E9" s="18" t="n">
        <v>4163</v>
      </c>
      <c r="F9" s="18" t="n">
        <v>4221</v>
      </c>
      <c r="G9" s="19" t="n">
        <f aca="false">IF(F9=0,0,E9/F9*100)</f>
        <v>98.6259180289031</v>
      </c>
      <c r="H9" s="16" t="n">
        <v>0</v>
      </c>
      <c r="I9" s="16" t="n">
        <v>0</v>
      </c>
      <c r="J9" s="16" t="n">
        <v>0</v>
      </c>
      <c r="K9" s="16" t="n">
        <v>1</v>
      </c>
    </row>
    <row r="10" customFormat="false" ht="15" hidden="false" customHeight="false" outlineLevel="0" collapsed="false">
      <c r="A10" s="15" t="s">
        <v>35</v>
      </c>
      <c r="B10" s="15" t="s">
        <v>42</v>
      </c>
      <c r="C10" s="16" t="n">
        <v>1</v>
      </c>
      <c r="D10" s="17" t="n">
        <v>77.81</v>
      </c>
      <c r="E10" s="18" t="n">
        <v>3479</v>
      </c>
      <c r="F10" s="18" t="n">
        <v>3506</v>
      </c>
      <c r="G10" s="19" t="n">
        <f aca="false">IF(F10=0,0,E10/F10*100)</f>
        <v>99.2298916143754</v>
      </c>
      <c r="H10" s="16" t="n">
        <v>0</v>
      </c>
      <c r="I10" s="16" t="n">
        <v>0</v>
      </c>
      <c r="J10" s="16" t="n">
        <v>0</v>
      </c>
      <c r="K10" s="16" t="n">
        <v>0</v>
      </c>
    </row>
    <row r="11" customFormat="false" ht="15" hidden="false" customHeight="false" outlineLevel="0" collapsed="false">
      <c r="A11" s="15" t="s">
        <v>35</v>
      </c>
      <c r="B11" s="15" t="s">
        <v>43</v>
      </c>
      <c r="C11" s="16" t="n">
        <v>1</v>
      </c>
      <c r="D11" s="17" t="n">
        <v>77.75</v>
      </c>
      <c r="E11" s="18" t="n">
        <v>3433</v>
      </c>
      <c r="F11" s="18" t="n">
        <v>3475</v>
      </c>
      <c r="G11" s="19" t="n">
        <f aca="false">IF(F11=0,0,E11/F11*100)</f>
        <v>98.7913669064748</v>
      </c>
      <c r="H11" s="16" t="n">
        <v>0</v>
      </c>
      <c r="I11" s="16" t="n">
        <v>0</v>
      </c>
      <c r="J11" s="16" t="n">
        <v>0</v>
      </c>
      <c r="K11" s="16" t="n">
        <v>5</v>
      </c>
    </row>
    <row r="12" customFormat="false" ht="15" hidden="false" customHeight="false" outlineLevel="0" collapsed="false">
      <c r="A12" s="15" t="s">
        <v>35</v>
      </c>
      <c r="B12" s="15" t="s">
        <v>44</v>
      </c>
      <c r="C12" s="16" t="n">
        <v>1</v>
      </c>
      <c r="D12" s="17" t="n">
        <v>77.84</v>
      </c>
      <c r="E12" s="18" t="n">
        <v>3071</v>
      </c>
      <c r="F12" s="18" t="n">
        <v>3171</v>
      </c>
      <c r="G12" s="19" t="n">
        <f aca="false">IF(F12=0,0,E12/F12*100)</f>
        <v>96.8464206874803</v>
      </c>
      <c r="H12" s="16" t="n">
        <v>0</v>
      </c>
      <c r="I12" s="16" t="n">
        <v>0</v>
      </c>
      <c r="J12" s="16" t="n">
        <v>0</v>
      </c>
      <c r="K12" s="16" t="n">
        <v>4</v>
      </c>
    </row>
    <row r="13" customFormat="false" ht="15" hidden="false" customHeight="false" outlineLevel="0" collapsed="false">
      <c r="A13" s="15" t="s">
        <v>35</v>
      </c>
      <c r="B13" s="15" t="s">
        <v>45</v>
      </c>
      <c r="C13" s="16" t="n">
        <v>1</v>
      </c>
      <c r="D13" s="17" t="n">
        <v>77.83</v>
      </c>
      <c r="E13" s="18" t="n">
        <v>3009</v>
      </c>
      <c r="F13" s="18" t="n">
        <v>3049</v>
      </c>
      <c r="G13" s="19" t="n">
        <f aca="false">IF(F13=0,0,E13/F13*100)</f>
        <v>98.6880944571991</v>
      </c>
      <c r="H13" s="16" t="n">
        <v>0</v>
      </c>
      <c r="I13" s="16" t="n">
        <v>0</v>
      </c>
      <c r="J13" s="16" t="n">
        <v>0</v>
      </c>
      <c r="K13" s="16" t="n">
        <v>0</v>
      </c>
    </row>
    <row r="14" customFormat="false" ht="15" hidden="false" customHeight="false" outlineLevel="0" collapsed="false">
      <c r="A14" s="15" t="s">
        <v>35</v>
      </c>
      <c r="B14" s="15" t="s">
        <v>46</v>
      </c>
      <c r="C14" s="16" t="n">
        <v>1</v>
      </c>
      <c r="D14" s="17" t="n">
        <v>77.7</v>
      </c>
      <c r="E14" s="18" t="n">
        <v>2352</v>
      </c>
      <c r="F14" s="18" t="n">
        <v>2953</v>
      </c>
      <c r="G14" s="19" t="n">
        <f aca="false">IF(F14=0,0,E14/F14*100)</f>
        <v>79.6478157805621</v>
      </c>
      <c r="H14" s="16" t="n">
        <v>0</v>
      </c>
      <c r="I14" s="16" t="n">
        <v>0</v>
      </c>
      <c r="J14" s="16" t="n">
        <v>0</v>
      </c>
      <c r="K14" s="16" t="n">
        <v>9</v>
      </c>
    </row>
    <row r="15" customFormat="false" ht="15" hidden="false" customHeight="false" outlineLevel="0" collapsed="false">
      <c r="A15" s="15" t="s">
        <v>35</v>
      </c>
      <c r="B15" s="15" t="s">
        <v>47</v>
      </c>
      <c r="C15" s="16" t="n">
        <v>1</v>
      </c>
      <c r="D15" s="17" t="n">
        <v>58.74</v>
      </c>
      <c r="E15" s="18" t="n">
        <v>2783</v>
      </c>
      <c r="F15" s="18" t="n">
        <v>2860</v>
      </c>
      <c r="G15" s="19" t="n">
        <f aca="false">IF(F15=0,0,E15/F15*100)</f>
        <v>97.3076923076923</v>
      </c>
      <c r="H15" s="16" t="n">
        <v>0</v>
      </c>
      <c r="I15" s="16" t="n">
        <v>0</v>
      </c>
      <c r="J15" s="16" t="n">
        <v>0</v>
      </c>
      <c r="K15" s="16" t="n">
        <v>1</v>
      </c>
    </row>
    <row r="16" customFormat="false" ht="15" hidden="false" customHeight="false" outlineLevel="0" collapsed="false">
      <c r="A16" s="15" t="s">
        <v>35</v>
      </c>
      <c r="B16" s="15" t="s">
        <v>48</v>
      </c>
      <c r="C16" s="16" t="n">
        <v>1</v>
      </c>
      <c r="D16" s="17" t="n">
        <v>77.73</v>
      </c>
      <c r="E16" s="18" t="n">
        <v>2845</v>
      </c>
      <c r="F16" s="18" t="n">
        <v>2852</v>
      </c>
      <c r="G16" s="19" t="n">
        <f aca="false">IF(F16=0,0,E16/F16*100)</f>
        <v>99.7545582047686</v>
      </c>
      <c r="H16" s="16" t="n">
        <v>0</v>
      </c>
      <c r="I16" s="16" t="n">
        <v>0</v>
      </c>
      <c r="J16" s="16" t="n">
        <v>0</v>
      </c>
      <c r="K16" s="16" t="n">
        <v>0</v>
      </c>
    </row>
    <row r="17" customFormat="false" ht="15" hidden="false" customHeight="false" outlineLevel="0" collapsed="false">
      <c r="A17" s="15" t="s">
        <v>35</v>
      </c>
      <c r="B17" s="15" t="s">
        <v>49</v>
      </c>
      <c r="C17" s="16" t="n">
        <v>1</v>
      </c>
      <c r="D17" s="17" t="n">
        <v>77.82</v>
      </c>
      <c r="E17" s="18" t="n">
        <v>2610</v>
      </c>
      <c r="F17" s="18" t="n">
        <v>2667</v>
      </c>
      <c r="G17" s="19" t="n">
        <f aca="false">IF(F17=0,0,E17/F17*100)</f>
        <v>97.8627671541057</v>
      </c>
      <c r="H17" s="16" t="n">
        <v>0</v>
      </c>
      <c r="I17" s="16" t="n">
        <v>0</v>
      </c>
      <c r="J17" s="16" t="n">
        <v>0</v>
      </c>
      <c r="K17" s="16" t="n">
        <v>2</v>
      </c>
    </row>
    <row r="18" customFormat="false" ht="15" hidden="false" customHeight="false" outlineLevel="0" collapsed="false">
      <c r="A18" s="15" t="s">
        <v>35</v>
      </c>
      <c r="B18" s="15" t="s">
        <v>50</v>
      </c>
      <c r="C18" s="16" t="n">
        <v>1</v>
      </c>
      <c r="D18" s="17" t="n">
        <v>77.69</v>
      </c>
      <c r="E18" s="18" t="n">
        <v>2249</v>
      </c>
      <c r="F18" s="18" t="n">
        <v>2611</v>
      </c>
      <c r="G18" s="19" t="n">
        <f aca="false">IF(F18=0,0,E18/F18*100)</f>
        <v>86.1355802374569</v>
      </c>
      <c r="H18" s="16" t="n">
        <v>0</v>
      </c>
      <c r="I18" s="16" t="n">
        <v>0</v>
      </c>
      <c r="J18" s="16" t="n">
        <v>0</v>
      </c>
      <c r="K18" s="16" t="n">
        <v>11</v>
      </c>
    </row>
    <row r="19" customFormat="false" ht="15" hidden="false" customHeight="false" outlineLevel="0" collapsed="false">
      <c r="A19" s="15" t="s">
        <v>35</v>
      </c>
      <c r="B19" s="15" t="s">
        <v>51</v>
      </c>
      <c r="C19" s="16" t="n">
        <v>1</v>
      </c>
      <c r="D19" s="17" t="n">
        <v>77.86</v>
      </c>
      <c r="E19" s="18" t="n">
        <v>2539</v>
      </c>
      <c r="F19" s="18" t="n">
        <v>2572</v>
      </c>
      <c r="G19" s="19" t="n">
        <f aca="false">IF(F19=0,0,E19/F19*100)</f>
        <v>98.7169517884914</v>
      </c>
      <c r="H19" s="16" t="n">
        <v>0</v>
      </c>
      <c r="I19" s="16" t="n">
        <v>0</v>
      </c>
      <c r="J19" s="16" t="n">
        <v>0</v>
      </c>
      <c r="K19" s="16" t="n">
        <v>2</v>
      </c>
    </row>
    <row r="20" customFormat="false" ht="15" hidden="false" customHeight="false" outlineLevel="0" collapsed="false">
      <c r="A20" s="15" t="s">
        <v>35</v>
      </c>
      <c r="B20" s="15" t="s">
        <v>52</v>
      </c>
      <c r="C20" s="16" t="n">
        <v>1</v>
      </c>
      <c r="D20" s="17" t="n">
        <v>77.85</v>
      </c>
      <c r="E20" s="18" t="n">
        <v>2532</v>
      </c>
      <c r="F20" s="18" t="n">
        <v>2546</v>
      </c>
      <c r="G20" s="19" t="n">
        <f aca="false">IF(F20=0,0,E20/F20*100)</f>
        <v>99.4501178318932</v>
      </c>
      <c r="H20" s="16" t="n">
        <v>0</v>
      </c>
      <c r="I20" s="16" t="n">
        <v>0</v>
      </c>
      <c r="J20" s="16" t="n">
        <v>0</v>
      </c>
      <c r="K20" s="16" t="n">
        <v>0</v>
      </c>
    </row>
    <row r="21" customFormat="false" ht="15" hidden="false" customHeight="false" outlineLevel="0" collapsed="false">
      <c r="A21" s="15" t="s">
        <v>35</v>
      </c>
      <c r="B21" s="15" t="s">
        <v>53</v>
      </c>
      <c r="C21" s="16" t="n">
        <v>1</v>
      </c>
      <c r="D21" s="17" t="n">
        <v>77.87</v>
      </c>
      <c r="E21" s="18" t="n">
        <v>2467</v>
      </c>
      <c r="F21" s="18" t="n">
        <v>2491</v>
      </c>
      <c r="G21" s="19" t="n">
        <f aca="false">IF(F21=0,0,E21/F21*100)</f>
        <v>99.0365315134484</v>
      </c>
      <c r="H21" s="16" t="n">
        <v>0</v>
      </c>
      <c r="I21" s="16" t="n">
        <v>0</v>
      </c>
      <c r="J21" s="16" t="n">
        <v>0</v>
      </c>
      <c r="K21" s="16" t="n">
        <v>1</v>
      </c>
    </row>
    <row r="22" customFormat="false" ht="15" hidden="false" customHeight="false" outlineLevel="0" collapsed="false">
      <c r="A22" s="15" t="s">
        <v>35</v>
      </c>
      <c r="B22" s="15" t="s">
        <v>54</v>
      </c>
      <c r="C22" s="16" t="n">
        <v>1</v>
      </c>
      <c r="D22" s="17" t="n">
        <v>72.57</v>
      </c>
      <c r="E22" s="18" t="n">
        <v>2472</v>
      </c>
      <c r="F22" s="18" t="n">
        <v>2483</v>
      </c>
      <c r="G22" s="19" t="n">
        <f aca="false">IF(F22=0,0,E22/F22*100)</f>
        <v>99.5569875151027</v>
      </c>
      <c r="H22" s="16" t="n">
        <v>0</v>
      </c>
      <c r="I22" s="16" t="n">
        <v>0</v>
      </c>
      <c r="J22" s="16" t="n">
        <v>0</v>
      </c>
      <c r="K22" s="16" t="n">
        <v>2</v>
      </c>
    </row>
    <row r="23" customFormat="false" ht="15" hidden="false" customHeight="false" outlineLevel="0" collapsed="false">
      <c r="A23" s="15" t="s">
        <v>35</v>
      </c>
      <c r="B23" s="15" t="s">
        <v>55</v>
      </c>
      <c r="C23" s="16" t="n">
        <v>1</v>
      </c>
      <c r="D23" s="17" t="n">
        <v>77.68</v>
      </c>
      <c r="E23" s="18" t="n">
        <v>2306</v>
      </c>
      <c r="F23" s="18" t="n">
        <v>2344</v>
      </c>
      <c r="G23" s="19" t="n">
        <f aca="false">IF(F23=0,0,E23/F23*100)</f>
        <v>98.3788395904437</v>
      </c>
      <c r="H23" s="16" t="n">
        <v>0</v>
      </c>
      <c r="I23" s="16" t="n">
        <v>0</v>
      </c>
      <c r="J23" s="16" t="n">
        <v>0</v>
      </c>
      <c r="K23" s="16" t="n">
        <v>2</v>
      </c>
    </row>
    <row r="24" customFormat="false" ht="15" hidden="false" customHeight="false" outlineLevel="0" collapsed="false">
      <c r="A24" s="15" t="s">
        <v>35</v>
      </c>
      <c r="B24" s="15" t="s">
        <v>56</v>
      </c>
      <c r="C24" s="16" t="n">
        <v>1</v>
      </c>
      <c r="D24" s="17" t="n">
        <v>77.73</v>
      </c>
      <c r="E24" s="18" t="n">
        <v>2320</v>
      </c>
      <c r="F24" s="18" t="n">
        <v>2329</v>
      </c>
      <c r="G24" s="19" t="n">
        <f aca="false">IF(F24=0,0,E24/F24*100)</f>
        <v>99.6135680549592</v>
      </c>
      <c r="H24" s="16" t="n">
        <v>0</v>
      </c>
      <c r="I24" s="16" t="n">
        <v>0</v>
      </c>
      <c r="J24" s="16" t="n">
        <v>0</v>
      </c>
      <c r="K24" s="16" t="n">
        <v>0</v>
      </c>
    </row>
    <row r="25" customFormat="false" ht="15" hidden="false" customHeight="false" outlineLevel="0" collapsed="false">
      <c r="A25" s="15" t="s">
        <v>35</v>
      </c>
      <c r="B25" s="15" t="s">
        <v>57</v>
      </c>
      <c r="C25" s="16" t="n">
        <v>1</v>
      </c>
      <c r="D25" s="17" t="n">
        <v>77.83</v>
      </c>
      <c r="E25" s="18" t="n">
        <v>2230</v>
      </c>
      <c r="F25" s="18" t="n">
        <v>2252</v>
      </c>
      <c r="G25" s="19" t="n">
        <f aca="false">IF(F25=0,0,E25/F25*100)</f>
        <v>99.0230905861456</v>
      </c>
      <c r="H25" s="16" t="n">
        <v>0</v>
      </c>
      <c r="I25" s="16" t="n">
        <v>0</v>
      </c>
      <c r="J25" s="16" t="n">
        <v>0</v>
      </c>
      <c r="K25" s="16" t="n">
        <v>0</v>
      </c>
    </row>
    <row r="26" customFormat="false" ht="15" hidden="false" customHeight="false" outlineLevel="0" collapsed="false">
      <c r="A26" s="15" t="s">
        <v>35</v>
      </c>
      <c r="B26" s="15" t="s">
        <v>58</v>
      </c>
      <c r="C26" s="16" t="n">
        <v>1</v>
      </c>
      <c r="D26" s="17" t="n">
        <v>77.7</v>
      </c>
      <c r="E26" s="18" t="n">
        <v>2147</v>
      </c>
      <c r="F26" s="18" t="n">
        <v>2233</v>
      </c>
      <c r="G26" s="19" t="n">
        <f aca="false">IF(F26=0,0,E26/F26*100)</f>
        <v>96.1486789072996</v>
      </c>
      <c r="H26" s="16" t="n">
        <v>0</v>
      </c>
      <c r="I26" s="16" t="n">
        <v>0</v>
      </c>
      <c r="J26" s="16" t="n">
        <v>0</v>
      </c>
      <c r="K26" s="16" t="n">
        <v>0</v>
      </c>
    </row>
    <row r="27" customFormat="false" ht="15" hidden="false" customHeight="false" outlineLevel="0" collapsed="false">
      <c r="A27" s="15" t="s">
        <v>35</v>
      </c>
      <c r="B27" s="15" t="s">
        <v>59</v>
      </c>
      <c r="C27" s="16" t="n">
        <v>1</v>
      </c>
      <c r="D27" s="17" t="n">
        <v>77.75</v>
      </c>
      <c r="E27" s="18" t="n">
        <v>2201</v>
      </c>
      <c r="F27" s="18" t="n">
        <v>2211</v>
      </c>
      <c r="G27" s="19" t="n">
        <f aca="false">IF(F27=0,0,E27/F27*100)</f>
        <v>99.5477159656264</v>
      </c>
      <c r="H27" s="16" t="n">
        <v>0</v>
      </c>
      <c r="I27" s="16" t="n">
        <v>0</v>
      </c>
      <c r="J27" s="16" t="n">
        <v>0</v>
      </c>
      <c r="K27" s="16" t="n">
        <v>1</v>
      </c>
    </row>
    <row r="28" customFormat="false" ht="15" hidden="false" customHeight="false" outlineLevel="0" collapsed="false">
      <c r="A28" s="15" t="s">
        <v>35</v>
      </c>
      <c r="B28" s="15" t="s">
        <v>60</v>
      </c>
      <c r="C28" s="16" t="n">
        <v>1</v>
      </c>
      <c r="D28" s="17" t="n">
        <v>77.72</v>
      </c>
      <c r="E28" s="18" t="n">
        <v>2205</v>
      </c>
      <c r="F28" s="18" t="n">
        <v>2211</v>
      </c>
      <c r="G28" s="19" t="n">
        <f aca="false">IF(F28=0,0,E28/F28*100)</f>
        <v>99.7286295793759</v>
      </c>
      <c r="H28" s="16" t="n">
        <v>0</v>
      </c>
      <c r="I28" s="16" t="n">
        <v>0</v>
      </c>
      <c r="J28" s="16" t="n">
        <v>0</v>
      </c>
      <c r="K28" s="16" t="n">
        <v>0</v>
      </c>
    </row>
    <row r="29" customFormat="false" ht="15" hidden="false" customHeight="false" outlineLevel="0" collapsed="false">
      <c r="A29" s="15" t="s">
        <v>35</v>
      </c>
      <c r="B29" s="15" t="s">
        <v>61</v>
      </c>
      <c r="C29" s="16" t="n">
        <v>1</v>
      </c>
      <c r="D29" s="17" t="n">
        <v>0</v>
      </c>
      <c r="E29" s="18" t="n">
        <v>1467</v>
      </c>
      <c r="F29" s="18" t="n">
        <v>1467</v>
      </c>
      <c r="G29" s="19" t="n">
        <f aca="false">IF(F29=0,0,E29/F29*100)</f>
        <v>100</v>
      </c>
      <c r="H29" s="16" t="n">
        <v>0</v>
      </c>
      <c r="I29" s="16" t="n">
        <v>0</v>
      </c>
      <c r="J29" s="16" t="n">
        <v>0</v>
      </c>
      <c r="K29" s="16" t="n">
        <v>0</v>
      </c>
    </row>
    <row r="30" customFormat="false" ht="15" hidden="false" customHeight="false" outlineLevel="0" collapsed="false">
      <c r="A30" s="15" t="s">
        <v>35</v>
      </c>
      <c r="B30" s="15" t="s">
        <v>62</v>
      </c>
      <c r="C30" s="16" t="n">
        <v>1</v>
      </c>
      <c r="D30" s="17" t="n">
        <v>4.8</v>
      </c>
      <c r="E30" s="18" t="n">
        <v>1305</v>
      </c>
      <c r="F30" s="18" t="n">
        <v>1333</v>
      </c>
      <c r="G30" s="19" t="n">
        <f aca="false">IF(F30=0,0,E30/F30*100)</f>
        <v>97.8994748687172</v>
      </c>
      <c r="H30" s="16" t="n">
        <v>0</v>
      </c>
      <c r="I30" s="16" t="n">
        <v>0</v>
      </c>
      <c r="J30" s="16" t="n">
        <v>0</v>
      </c>
      <c r="K30" s="16" t="n">
        <v>1</v>
      </c>
    </row>
    <row r="31" customFormat="false" ht="15" hidden="false" customHeight="false" outlineLevel="0" collapsed="false">
      <c r="A31" s="15" t="s">
        <v>35</v>
      </c>
      <c r="B31" s="15" t="s">
        <v>63</v>
      </c>
      <c r="C31" s="16" t="n">
        <v>0</v>
      </c>
      <c r="D31" s="17" t="n">
        <v>5.19</v>
      </c>
      <c r="E31" s="18" t="n">
        <v>881</v>
      </c>
      <c r="F31" s="18" t="n">
        <v>935</v>
      </c>
      <c r="G31" s="19" t="n">
        <f aca="false">IF(F31=0,0,E31/F31*100)</f>
        <v>94.2245989304813</v>
      </c>
      <c r="H31" s="16" t="n">
        <v>2</v>
      </c>
      <c r="I31" s="16" t="n">
        <v>0</v>
      </c>
      <c r="J31" s="16" t="n">
        <v>2</v>
      </c>
      <c r="K31" s="16" t="n">
        <v>3</v>
      </c>
    </row>
    <row r="32" customFormat="false" ht="15" hidden="false" customHeight="false" outlineLevel="0" collapsed="false">
      <c r="A32" s="20" t="s">
        <v>35</v>
      </c>
      <c r="B32" s="20" t="s">
        <v>64</v>
      </c>
      <c r="C32" s="21" t="n">
        <f aca="false">SUM(C4:C31)</f>
        <v>31</v>
      </c>
      <c r="D32" s="22" t="n">
        <f aca="false">SUM(D4:D31)</f>
        <v>1930.43</v>
      </c>
      <c r="E32" s="23" t="n">
        <f aca="false">SUM(E4:E31)</f>
        <v>87207</v>
      </c>
      <c r="F32" s="23" t="n">
        <f aca="false">SUM(F4:F31)</f>
        <v>89189</v>
      </c>
      <c r="G32" s="24" t="n">
        <f aca="false">IF(F32=0,0,E32/F32*100)</f>
        <v>97.7777528619</v>
      </c>
      <c r="H32" s="21" t="n">
        <f aca="false">SUM(H4:H31)</f>
        <v>2</v>
      </c>
      <c r="I32" s="21" t="n">
        <f aca="false">SUM(I4:I31)</f>
        <v>0</v>
      </c>
      <c r="J32" s="21" t="n">
        <f aca="false">SUM(J4:J31)</f>
        <v>2</v>
      </c>
      <c r="K32" s="21" t="n">
        <f aca="false">SUM(K4:K31)</f>
        <v>58</v>
      </c>
    </row>
    <row r="33" customFormat="false" ht="15" hidden="false" customHeight="false" outlineLevel="0" collapsed="false">
      <c r="A33" s="15" t="s">
        <v>65</v>
      </c>
      <c r="B33" s="15" t="s">
        <v>66</v>
      </c>
      <c r="C33" s="16" t="n">
        <v>2</v>
      </c>
      <c r="D33" s="17" t="n">
        <v>77.87</v>
      </c>
      <c r="E33" s="18" t="n">
        <v>8021</v>
      </c>
      <c r="F33" s="18" t="n">
        <v>8110</v>
      </c>
      <c r="G33" s="19" t="n">
        <f aca="false">IF(F33=0,0,E33/F33*100)</f>
        <v>98.9025893958077</v>
      </c>
      <c r="H33" s="16" t="n">
        <v>0</v>
      </c>
      <c r="I33" s="16" t="n">
        <v>0</v>
      </c>
      <c r="J33" s="16" t="n">
        <v>0</v>
      </c>
      <c r="K33" s="16" t="n">
        <v>2</v>
      </c>
    </row>
    <row r="34" customFormat="false" ht="15" hidden="false" customHeight="false" outlineLevel="0" collapsed="false">
      <c r="A34" s="15" t="s">
        <v>65</v>
      </c>
      <c r="B34" s="15" t="s">
        <v>67</v>
      </c>
      <c r="C34" s="16" t="n">
        <v>2</v>
      </c>
      <c r="D34" s="17" t="n">
        <v>77.88</v>
      </c>
      <c r="E34" s="18" t="n">
        <v>7740</v>
      </c>
      <c r="F34" s="18" t="n">
        <v>7844</v>
      </c>
      <c r="G34" s="19" t="n">
        <f aca="false">IF(F34=0,0,E34/F34*100)</f>
        <v>98.6741458439572</v>
      </c>
      <c r="H34" s="16" t="n">
        <v>0</v>
      </c>
      <c r="I34" s="16" t="n">
        <v>0</v>
      </c>
      <c r="J34" s="16" t="n">
        <v>0</v>
      </c>
      <c r="K34" s="16" t="n">
        <v>3</v>
      </c>
    </row>
    <row r="35" customFormat="false" ht="15" hidden="false" customHeight="false" outlineLevel="0" collapsed="false">
      <c r="A35" s="15" t="s">
        <v>65</v>
      </c>
      <c r="B35" s="15" t="s">
        <v>36</v>
      </c>
      <c r="C35" s="16" t="n">
        <v>2</v>
      </c>
      <c r="D35" s="17" t="n">
        <v>77.84</v>
      </c>
      <c r="E35" s="18" t="n">
        <v>7578</v>
      </c>
      <c r="F35" s="18" t="n">
        <v>7660</v>
      </c>
      <c r="G35" s="19" t="n">
        <f aca="false">IF(F35=0,0,E35/F35*100)</f>
        <v>98.9295039164491</v>
      </c>
      <c r="H35" s="16" t="n">
        <v>0</v>
      </c>
      <c r="I35" s="16" t="n">
        <v>0</v>
      </c>
      <c r="J35" s="16" t="n">
        <v>0</v>
      </c>
      <c r="K35" s="16" t="n">
        <v>1</v>
      </c>
    </row>
    <row r="36" customFormat="false" ht="15" hidden="false" customHeight="false" outlineLevel="0" collapsed="false">
      <c r="A36" s="15" t="s">
        <v>65</v>
      </c>
      <c r="B36" s="15" t="s">
        <v>68</v>
      </c>
      <c r="C36" s="16" t="n">
        <v>2</v>
      </c>
      <c r="D36" s="17" t="n">
        <v>77.88</v>
      </c>
      <c r="E36" s="18" t="n">
        <v>6079</v>
      </c>
      <c r="F36" s="18" t="n">
        <v>6103</v>
      </c>
      <c r="G36" s="19" t="n">
        <f aca="false">IF(F36=0,0,E36/F36*100)</f>
        <v>99.6067507783058</v>
      </c>
      <c r="H36" s="16" t="n">
        <v>0</v>
      </c>
      <c r="I36" s="16" t="n">
        <v>0</v>
      </c>
      <c r="J36" s="16" t="n">
        <v>0</v>
      </c>
      <c r="K36" s="16" t="n">
        <v>1</v>
      </c>
    </row>
    <row r="37" customFormat="false" ht="15" hidden="false" customHeight="false" outlineLevel="0" collapsed="false">
      <c r="A37" s="15" t="s">
        <v>65</v>
      </c>
      <c r="B37" s="15" t="s">
        <v>52</v>
      </c>
      <c r="C37" s="16" t="n">
        <v>2</v>
      </c>
      <c r="D37" s="17" t="n">
        <v>77.82</v>
      </c>
      <c r="E37" s="18" t="n">
        <v>6015</v>
      </c>
      <c r="F37" s="18" t="n">
        <v>6052</v>
      </c>
      <c r="G37" s="19" t="n">
        <f aca="false">IF(F37=0,0,E37/F37*100)</f>
        <v>99.3886318572373</v>
      </c>
      <c r="H37" s="16" t="n">
        <v>0</v>
      </c>
      <c r="I37" s="16" t="n">
        <v>0</v>
      </c>
      <c r="J37" s="16" t="n">
        <v>0</v>
      </c>
      <c r="K37" s="16" t="n">
        <v>0</v>
      </c>
    </row>
    <row r="38" customFormat="false" ht="15" hidden="false" customHeight="false" outlineLevel="0" collapsed="false">
      <c r="A38" s="15" t="s">
        <v>65</v>
      </c>
      <c r="B38" s="15" t="s">
        <v>61</v>
      </c>
      <c r="C38" s="16" t="n">
        <v>2</v>
      </c>
      <c r="D38" s="17" t="n">
        <v>77.84</v>
      </c>
      <c r="E38" s="18" t="n">
        <v>5872</v>
      </c>
      <c r="F38" s="18" t="n">
        <v>5921</v>
      </c>
      <c r="G38" s="19" t="n">
        <f aca="false">IF(F38=0,0,E38/F38*100)</f>
        <v>99.1724370883297</v>
      </c>
      <c r="H38" s="16" t="n">
        <v>0</v>
      </c>
      <c r="I38" s="16" t="n">
        <v>0</v>
      </c>
      <c r="J38" s="16" t="n">
        <v>0</v>
      </c>
      <c r="K38" s="16" t="n">
        <v>1</v>
      </c>
    </row>
    <row r="39" customFormat="false" ht="15" hidden="false" customHeight="false" outlineLevel="0" collapsed="false">
      <c r="A39" s="15" t="s">
        <v>65</v>
      </c>
      <c r="B39" s="15" t="s">
        <v>69</v>
      </c>
      <c r="C39" s="16" t="n">
        <v>2</v>
      </c>
      <c r="D39" s="17" t="n">
        <v>77.88</v>
      </c>
      <c r="E39" s="18" t="n">
        <v>5609</v>
      </c>
      <c r="F39" s="18" t="n">
        <v>5690</v>
      </c>
      <c r="G39" s="19" t="n">
        <f aca="false">IF(F39=0,0,E39/F39*100)</f>
        <v>98.5764499121265</v>
      </c>
      <c r="H39" s="16" t="n">
        <v>0</v>
      </c>
      <c r="I39" s="16" t="n">
        <v>0</v>
      </c>
      <c r="J39" s="16" t="n">
        <v>0</v>
      </c>
      <c r="K39" s="16" t="n">
        <v>2</v>
      </c>
    </row>
    <row r="40" customFormat="false" ht="15" hidden="false" customHeight="false" outlineLevel="0" collapsed="false">
      <c r="A40" s="15" t="s">
        <v>65</v>
      </c>
      <c r="B40" s="15" t="s">
        <v>70</v>
      </c>
      <c r="C40" s="16" t="n">
        <v>2</v>
      </c>
      <c r="D40" s="17" t="n">
        <v>77.84</v>
      </c>
      <c r="E40" s="18" t="n">
        <v>5316</v>
      </c>
      <c r="F40" s="18" t="n">
        <v>5342</v>
      </c>
      <c r="G40" s="19" t="n">
        <f aca="false">IF(F40=0,0,E40/F40*100)</f>
        <v>99.5132909022838</v>
      </c>
      <c r="H40" s="16" t="n">
        <v>0</v>
      </c>
      <c r="I40" s="16" t="n">
        <v>0</v>
      </c>
      <c r="J40" s="16" t="n">
        <v>0</v>
      </c>
      <c r="K40" s="16" t="n">
        <v>1</v>
      </c>
    </row>
    <row r="41" customFormat="false" ht="15" hidden="false" customHeight="false" outlineLevel="0" collapsed="false">
      <c r="A41" s="15" t="s">
        <v>65</v>
      </c>
      <c r="B41" s="15" t="s">
        <v>71</v>
      </c>
      <c r="C41" s="16" t="n">
        <v>1</v>
      </c>
      <c r="D41" s="17" t="n">
        <v>77.68</v>
      </c>
      <c r="E41" s="18" t="n">
        <v>4421</v>
      </c>
      <c r="F41" s="18" t="n">
        <v>4433</v>
      </c>
      <c r="G41" s="19" t="n">
        <f aca="false">IF(F41=0,0,E41/F41*100)</f>
        <v>99.7293029551094</v>
      </c>
      <c r="H41" s="16" t="n">
        <v>0</v>
      </c>
      <c r="I41" s="16" t="n">
        <v>0</v>
      </c>
      <c r="J41" s="16" t="n">
        <v>0</v>
      </c>
      <c r="K41" s="16" t="n">
        <v>1</v>
      </c>
    </row>
    <row r="42" customFormat="false" ht="15" hidden="false" customHeight="false" outlineLevel="0" collapsed="false">
      <c r="A42" s="15" t="s">
        <v>65</v>
      </c>
      <c r="B42" s="15" t="s">
        <v>40</v>
      </c>
      <c r="C42" s="16" t="n">
        <v>1</v>
      </c>
      <c r="D42" s="17" t="n">
        <v>77.84</v>
      </c>
      <c r="E42" s="18" t="n">
        <v>3895</v>
      </c>
      <c r="F42" s="18" t="n">
        <v>3946</v>
      </c>
      <c r="G42" s="19" t="n">
        <f aca="false">IF(F42=0,0,E42/F42*100)</f>
        <v>98.7075519513431</v>
      </c>
      <c r="H42" s="16" t="n">
        <v>0</v>
      </c>
      <c r="I42" s="16" t="n">
        <v>0</v>
      </c>
      <c r="J42" s="16" t="n">
        <v>0</v>
      </c>
      <c r="K42" s="16" t="n">
        <v>1</v>
      </c>
    </row>
    <row r="43" customFormat="false" ht="15" hidden="false" customHeight="false" outlineLevel="0" collapsed="false">
      <c r="A43" s="15" t="s">
        <v>65</v>
      </c>
      <c r="B43" s="15" t="s">
        <v>72</v>
      </c>
      <c r="C43" s="16" t="n">
        <v>1</v>
      </c>
      <c r="D43" s="17" t="n">
        <v>77.86</v>
      </c>
      <c r="E43" s="18" t="n">
        <v>3502</v>
      </c>
      <c r="F43" s="18" t="n">
        <v>3559</v>
      </c>
      <c r="G43" s="19" t="n">
        <f aca="false">IF(F43=0,0,E43/F43*100)</f>
        <v>98.3984265243046</v>
      </c>
      <c r="H43" s="16" t="n">
        <v>0</v>
      </c>
      <c r="I43" s="16" t="n">
        <v>0</v>
      </c>
      <c r="J43" s="16" t="n">
        <v>0</v>
      </c>
      <c r="K43" s="16" t="n">
        <v>3</v>
      </c>
    </row>
    <row r="44" customFormat="false" ht="15" hidden="false" customHeight="false" outlineLevel="0" collapsed="false">
      <c r="A44" s="15" t="s">
        <v>65</v>
      </c>
      <c r="B44" s="15" t="s">
        <v>73</v>
      </c>
      <c r="C44" s="16" t="n">
        <v>1</v>
      </c>
      <c r="D44" s="17" t="n">
        <v>77.69</v>
      </c>
      <c r="E44" s="18" t="n">
        <v>3296</v>
      </c>
      <c r="F44" s="18" t="n">
        <v>3300</v>
      </c>
      <c r="G44" s="19" t="n">
        <f aca="false">IF(F44=0,0,E44/F44*100)</f>
        <v>99.8787878787879</v>
      </c>
      <c r="H44" s="16" t="n">
        <v>0</v>
      </c>
      <c r="I44" s="16" t="n">
        <v>0</v>
      </c>
      <c r="J44" s="16" t="n">
        <v>0</v>
      </c>
      <c r="K44" s="16" t="n">
        <v>0</v>
      </c>
    </row>
    <row r="45" customFormat="false" ht="15" hidden="false" customHeight="false" outlineLevel="0" collapsed="false">
      <c r="A45" s="15" t="s">
        <v>65</v>
      </c>
      <c r="B45" s="15" t="s">
        <v>74</v>
      </c>
      <c r="C45" s="16" t="n">
        <v>1</v>
      </c>
      <c r="D45" s="17" t="n">
        <v>77.71</v>
      </c>
      <c r="E45" s="18" t="n">
        <v>3226</v>
      </c>
      <c r="F45" s="18" t="n">
        <v>3247</v>
      </c>
      <c r="G45" s="19" t="n">
        <f aca="false">IF(F45=0,0,E45/F45*100)</f>
        <v>99.3532491530644</v>
      </c>
      <c r="H45" s="16" t="n">
        <v>0</v>
      </c>
      <c r="I45" s="16" t="n">
        <v>0</v>
      </c>
      <c r="J45" s="16" t="n">
        <v>0</v>
      </c>
      <c r="K45" s="16" t="n">
        <v>4</v>
      </c>
    </row>
    <row r="46" customFormat="false" ht="15" hidden="false" customHeight="false" outlineLevel="0" collapsed="false">
      <c r="A46" s="15" t="s">
        <v>65</v>
      </c>
      <c r="B46" s="15" t="s">
        <v>75</v>
      </c>
      <c r="C46" s="16" t="n">
        <v>1</v>
      </c>
      <c r="D46" s="17" t="n">
        <v>77.7</v>
      </c>
      <c r="E46" s="18" t="n">
        <v>3091</v>
      </c>
      <c r="F46" s="18" t="n">
        <v>3098</v>
      </c>
      <c r="G46" s="19" t="n">
        <f aca="false">IF(F46=0,0,E46/F46*100)</f>
        <v>99.7740477727566</v>
      </c>
      <c r="H46" s="16" t="n">
        <v>0</v>
      </c>
      <c r="I46" s="16" t="n">
        <v>0</v>
      </c>
      <c r="J46" s="16" t="n">
        <v>0</v>
      </c>
      <c r="K46" s="16" t="n">
        <v>2</v>
      </c>
    </row>
    <row r="47" customFormat="false" ht="15" hidden="false" customHeight="false" outlineLevel="0" collapsed="false">
      <c r="A47" s="15" t="s">
        <v>65</v>
      </c>
      <c r="B47" s="15" t="s">
        <v>76</v>
      </c>
      <c r="C47" s="16" t="n">
        <v>1</v>
      </c>
      <c r="D47" s="17" t="n">
        <v>77.74</v>
      </c>
      <c r="E47" s="18" t="n">
        <v>3010</v>
      </c>
      <c r="F47" s="18" t="n">
        <v>3091</v>
      </c>
      <c r="G47" s="19" t="n">
        <f aca="false">IF(F47=0,0,E47/F47*100)</f>
        <v>97.3794888385636</v>
      </c>
      <c r="H47" s="16" t="n">
        <v>0</v>
      </c>
      <c r="I47" s="16" t="n">
        <v>0</v>
      </c>
      <c r="J47" s="16" t="n">
        <v>0</v>
      </c>
      <c r="K47" s="16" t="n">
        <v>4</v>
      </c>
    </row>
    <row r="48" customFormat="false" ht="15" hidden="false" customHeight="false" outlineLevel="0" collapsed="false">
      <c r="A48" s="15" t="s">
        <v>65</v>
      </c>
      <c r="B48" s="15" t="s">
        <v>37</v>
      </c>
      <c r="C48" s="16" t="n">
        <v>1</v>
      </c>
      <c r="D48" s="17" t="n">
        <v>77.74</v>
      </c>
      <c r="E48" s="18" t="n">
        <v>3069</v>
      </c>
      <c r="F48" s="18" t="n">
        <v>3088</v>
      </c>
      <c r="G48" s="19" t="n">
        <f aca="false">IF(F48=0,0,E48/F48*100)</f>
        <v>99.3847150259067</v>
      </c>
      <c r="H48" s="16" t="n">
        <v>0</v>
      </c>
      <c r="I48" s="16" t="n">
        <v>0</v>
      </c>
      <c r="J48" s="16" t="n">
        <v>0</v>
      </c>
      <c r="K48" s="16" t="n">
        <v>1</v>
      </c>
    </row>
    <row r="49" customFormat="false" ht="15" hidden="false" customHeight="false" outlineLevel="0" collapsed="false">
      <c r="A49" s="15" t="s">
        <v>65</v>
      </c>
      <c r="B49" s="15" t="s">
        <v>49</v>
      </c>
      <c r="C49" s="16" t="n">
        <v>1</v>
      </c>
      <c r="D49" s="17" t="n">
        <v>77.7</v>
      </c>
      <c r="E49" s="18" t="n">
        <v>3054</v>
      </c>
      <c r="F49" s="18" t="n">
        <v>3069</v>
      </c>
      <c r="G49" s="19" t="n">
        <f aca="false">IF(F49=0,0,E49/F49*100)</f>
        <v>99.5112414467253</v>
      </c>
      <c r="H49" s="16" t="n">
        <v>0</v>
      </c>
      <c r="I49" s="16" t="n">
        <v>0</v>
      </c>
      <c r="J49" s="16" t="n">
        <v>0</v>
      </c>
      <c r="K49" s="16" t="n">
        <v>1</v>
      </c>
    </row>
    <row r="50" customFormat="false" ht="15" hidden="false" customHeight="false" outlineLevel="0" collapsed="false">
      <c r="A50" s="15" t="s">
        <v>65</v>
      </c>
      <c r="B50" s="15" t="s">
        <v>77</v>
      </c>
      <c r="C50" s="16" t="n">
        <v>1</v>
      </c>
      <c r="D50" s="17" t="n">
        <v>77.87</v>
      </c>
      <c r="E50" s="18" t="n">
        <v>2952</v>
      </c>
      <c r="F50" s="18" t="n">
        <v>2996</v>
      </c>
      <c r="G50" s="19" t="n">
        <f aca="false">IF(F50=0,0,E50/F50*100)</f>
        <v>98.5313751668892</v>
      </c>
      <c r="H50" s="16" t="n">
        <v>0</v>
      </c>
      <c r="I50" s="16" t="n">
        <v>0</v>
      </c>
      <c r="J50" s="16" t="n">
        <v>0</v>
      </c>
      <c r="K50" s="16" t="n">
        <v>1</v>
      </c>
    </row>
    <row r="51" customFormat="false" ht="15" hidden="false" customHeight="false" outlineLevel="0" collapsed="false">
      <c r="A51" s="15" t="s">
        <v>65</v>
      </c>
      <c r="B51" s="15" t="s">
        <v>78</v>
      </c>
      <c r="C51" s="16" t="n">
        <v>1</v>
      </c>
      <c r="D51" s="17" t="n">
        <v>77.82</v>
      </c>
      <c r="E51" s="18" t="n">
        <v>2428</v>
      </c>
      <c r="F51" s="18" t="n">
        <v>2467</v>
      </c>
      <c r="G51" s="19" t="n">
        <f aca="false">IF(F51=0,0,E51/F51*100)</f>
        <v>98.4191325496555</v>
      </c>
      <c r="H51" s="16" t="n">
        <v>0</v>
      </c>
      <c r="I51" s="16" t="n">
        <v>0</v>
      </c>
      <c r="J51" s="16" t="n">
        <v>0</v>
      </c>
      <c r="K51" s="16" t="n">
        <v>2</v>
      </c>
    </row>
    <row r="52" customFormat="false" ht="15" hidden="false" customHeight="false" outlineLevel="0" collapsed="false">
      <c r="A52" s="15" t="s">
        <v>65</v>
      </c>
      <c r="B52" s="15" t="s">
        <v>79</v>
      </c>
      <c r="C52" s="16" t="n">
        <v>1</v>
      </c>
      <c r="D52" s="17" t="n">
        <v>77.82</v>
      </c>
      <c r="E52" s="18" t="n">
        <v>2431</v>
      </c>
      <c r="F52" s="18" t="n">
        <v>2463</v>
      </c>
      <c r="G52" s="19" t="n">
        <f aca="false">IF(F52=0,0,E52/F52*100)</f>
        <v>98.7007714169712</v>
      </c>
      <c r="H52" s="16" t="n">
        <v>0</v>
      </c>
      <c r="I52" s="16" t="n">
        <v>0</v>
      </c>
      <c r="J52" s="16" t="n">
        <v>0</v>
      </c>
      <c r="K52" s="16" t="n">
        <v>0</v>
      </c>
    </row>
    <row r="53" customFormat="false" ht="15" hidden="false" customHeight="false" outlineLevel="0" collapsed="false">
      <c r="A53" s="15" t="s">
        <v>65</v>
      </c>
      <c r="B53" s="15" t="s">
        <v>80</v>
      </c>
      <c r="C53" s="16" t="n">
        <v>1</v>
      </c>
      <c r="D53" s="17" t="n">
        <v>77.82</v>
      </c>
      <c r="E53" s="18" t="n">
        <v>2329</v>
      </c>
      <c r="F53" s="18" t="n">
        <v>2370</v>
      </c>
      <c r="G53" s="19" t="n">
        <f aca="false">IF(F53=0,0,E53/F53*100)</f>
        <v>98.2700421940928</v>
      </c>
      <c r="H53" s="16" t="n">
        <v>0</v>
      </c>
      <c r="I53" s="16" t="n">
        <v>0</v>
      </c>
      <c r="J53" s="16" t="n">
        <v>0</v>
      </c>
      <c r="K53" s="16" t="n">
        <v>3</v>
      </c>
    </row>
    <row r="54" customFormat="false" ht="15" hidden="false" customHeight="false" outlineLevel="0" collapsed="false">
      <c r="A54" s="15" t="s">
        <v>65</v>
      </c>
      <c r="B54" s="15" t="s">
        <v>81</v>
      </c>
      <c r="C54" s="16" t="n">
        <v>1</v>
      </c>
      <c r="D54" s="17" t="n">
        <v>77.7</v>
      </c>
      <c r="E54" s="18" t="n">
        <v>2238</v>
      </c>
      <c r="F54" s="18" t="n">
        <v>2244</v>
      </c>
      <c r="G54" s="19" t="n">
        <f aca="false">IF(F54=0,0,E54/F54*100)</f>
        <v>99.7326203208556</v>
      </c>
      <c r="H54" s="16" t="n">
        <v>0</v>
      </c>
      <c r="I54" s="16" t="n">
        <v>0</v>
      </c>
      <c r="J54" s="16" t="n">
        <v>0</v>
      </c>
      <c r="K54" s="16" t="n">
        <v>0</v>
      </c>
    </row>
    <row r="55" customFormat="false" ht="15" hidden="false" customHeight="false" outlineLevel="0" collapsed="false">
      <c r="A55" s="15" t="s">
        <v>65</v>
      </c>
      <c r="B55" s="15" t="s">
        <v>57</v>
      </c>
      <c r="C55" s="16" t="n">
        <v>1</v>
      </c>
      <c r="D55" s="17" t="n">
        <v>77.59</v>
      </c>
      <c r="E55" s="18" t="n">
        <v>2116</v>
      </c>
      <c r="F55" s="18" t="n">
        <v>2123</v>
      </c>
      <c r="G55" s="19" t="n">
        <f aca="false">IF(F55=0,0,E55/F55*100)</f>
        <v>99.6702779086199</v>
      </c>
      <c r="H55" s="16" t="n">
        <v>0</v>
      </c>
      <c r="I55" s="16" t="n">
        <v>0</v>
      </c>
      <c r="J55" s="16" t="n">
        <v>0</v>
      </c>
      <c r="K55" s="16" t="n">
        <v>0</v>
      </c>
    </row>
    <row r="56" customFormat="false" ht="15" hidden="false" customHeight="false" outlineLevel="0" collapsed="false">
      <c r="A56" s="15" t="s">
        <v>65</v>
      </c>
      <c r="B56" s="15" t="s">
        <v>82</v>
      </c>
      <c r="C56" s="16" t="n">
        <v>1</v>
      </c>
      <c r="D56" s="17" t="n">
        <v>43.37</v>
      </c>
      <c r="E56" s="18" t="n">
        <v>1522</v>
      </c>
      <c r="F56" s="18" t="n">
        <v>1538</v>
      </c>
      <c r="G56" s="19" t="n">
        <f aca="false">IF(F56=0,0,E56/F56*100)</f>
        <v>98.9596879063719</v>
      </c>
      <c r="H56" s="16" t="n">
        <v>0</v>
      </c>
      <c r="I56" s="16" t="n">
        <v>0</v>
      </c>
      <c r="J56" s="16" t="n">
        <v>0</v>
      </c>
      <c r="K56" s="16" t="n">
        <v>0</v>
      </c>
    </row>
    <row r="57" customFormat="false" ht="15" hidden="false" customHeight="false" outlineLevel="0" collapsed="false">
      <c r="A57" s="15" t="s">
        <v>65</v>
      </c>
      <c r="B57" s="15" t="s">
        <v>83</v>
      </c>
      <c r="C57" s="16" t="n">
        <v>1</v>
      </c>
      <c r="D57" s="17" t="n">
        <v>77.81</v>
      </c>
      <c r="E57" s="18" t="n">
        <v>0</v>
      </c>
      <c r="F57" s="18" t="n">
        <v>1452</v>
      </c>
      <c r="G57" s="19" t="n">
        <f aca="false">IF(F57=0,0,E57/F57*100)</f>
        <v>0</v>
      </c>
      <c r="H57" s="16" t="n">
        <v>0</v>
      </c>
      <c r="I57" s="16" t="n">
        <v>0</v>
      </c>
      <c r="J57" s="16" t="n">
        <v>0</v>
      </c>
      <c r="K57" s="16" t="n">
        <v>0</v>
      </c>
    </row>
    <row r="58" customFormat="false" ht="15" hidden="false" customHeight="false" outlineLevel="0" collapsed="false">
      <c r="A58" s="15" t="s">
        <v>65</v>
      </c>
      <c r="B58" s="15" t="s">
        <v>54</v>
      </c>
      <c r="C58" s="16" t="n">
        <v>0</v>
      </c>
      <c r="D58" s="17" t="n">
        <v>5.26</v>
      </c>
      <c r="E58" s="18" t="n">
        <v>485</v>
      </c>
      <c r="F58" s="18" t="n">
        <v>512</v>
      </c>
      <c r="G58" s="19" t="n">
        <f aca="false">IF(F58=0,0,E58/F58*100)</f>
        <v>94.7265625</v>
      </c>
      <c r="H58" s="16" t="n">
        <v>0</v>
      </c>
      <c r="I58" s="16" t="n">
        <v>0</v>
      </c>
      <c r="J58" s="16" t="n">
        <v>0</v>
      </c>
      <c r="K58" s="16" t="n">
        <v>1</v>
      </c>
    </row>
    <row r="59" customFormat="false" ht="15" hidden="false" customHeight="false" outlineLevel="0" collapsed="false">
      <c r="A59" s="15" t="s">
        <v>65</v>
      </c>
      <c r="B59" s="15" t="s">
        <v>84</v>
      </c>
      <c r="C59" s="16" t="n">
        <v>0</v>
      </c>
      <c r="D59" s="17" t="n">
        <v>2.91</v>
      </c>
      <c r="E59" s="18" t="n">
        <v>328</v>
      </c>
      <c r="F59" s="18" t="n">
        <v>363</v>
      </c>
      <c r="G59" s="19" t="n">
        <f aca="false">IF(F59=0,0,E59/F59*100)</f>
        <v>90.3581267217631</v>
      </c>
      <c r="H59" s="16" t="n">
        <v>1</v>
      </c>
      <c r="I59" s="16" t="n">
        <v>0</v>
      </c>
      <c r="J59" s="16" t="n">
        <v>1</v>
      </c>
      <c r="K59" s="16" t="n">
        <v>0</v>
      </c>
    </row>
    <row r="60" customFormat="false" ht="15" hidden="false" customHeight="false" outlineLevel="0" collapsed="false">
      <c r="A60" s="20" t="s">
        <v>65</v>
      </c>
      <c r="B60" s="20" t="s">
        <v>64</v>
      </c>
      <c r="C60" s="21" t="n">
        <f aca="false">SUM(C33:C59)</f>
        <v>33</v>
      </c>
      <c r="D60" s="22" t="n">
        <f aca="false">SUM(D33:D59)</f>
        <v>1918.48</v>
      </c>
      <c r="E60" s="23" t="n">
        <f aca="false">SUM(E33:E59)</f>
        <v>99623</v>
      </c>
      <c r="F60" s="23" t="n">
        <f aca="false">SUM(F33:F59)</f>
        <v>102081</v>
      </c>
      <c r="G60" s="24" t="n">
        <f aca="false">IF(F60=0,0,E60/F60*100)</f>
        <v>97.5921082277799</v>
      </c>
      <c r="H60" s="21" t="n">
        <f aca="false">SUM(H33:H59)</f>
        <v>1</v>
      </c>
      <c r="I60" s="21" t="n">
        <f aca="false">SUM(I33:I59)</f>
        <v>0</v>
      </c>
      <c r="J60" s="21" t="n">
        <f aca="false">SUM(J33:J59)</f>
        <v>1</v>
      </c>
      <c r="K60" s="21" t="n">
        <f aca="false">SUM(K33:K59)</f>
        <v>35</v>
      </c>
    </row>
    <row r="61" customFormat="false" ht="15" hidden="false" customHeight="false" outlineLevel="0" collapsed="false">
      <c r="A61" s="15" t="s">
        <v>85</v>
      </c>
      <c r="B61" s="15" t="s">
        <v>86</v>
      </c>
      <c r="C61" s="16" t="n">
        <v>2</v>
      </c>
      <c r="D61" s="17" t="n">
        <v>77.86</v>
      </c>
      <c r="E61" s="18" t="n">
        <v>6838</v>
      </c>
      <c r="F61" s="18" t="n">
        <v>6925</v>
      </c>
      <c r="G61" s="19" t="n">
        <f aca="false">IF(F61=0,0,E61/F61*100)</f>
        <v>98.7436823104693</v>
      </c>
      <c r="H61" s="16" t="n">
        <v>0</v>
      </c>
      <c r="I61" s="16" t="n">
        <v>0</v>
      </c>
      <c r="J61" s="16" t="n">
        <v>0</v>
      </c>
      <c r="K61" s="16" t="n">
        <v>5</v>
      </c>
    </row>
    <row r="62" customFormat="false" ht="15" hidden="false" customHeight="false" outlineLevel="0" collapsed="false">
      <c r="A62" s="15" t="s">
        <v>85</v>
      </c>
      <c r="B62" s="15" t="s">
        <v>36</v>
      </c>
      <c r="C62" s="16" t="n">
        <v>2</v>
      </c>
      <c r="D62" s="17" t="n">
        <v>77.88</v>
      </c>
      <c r="E62" s="18" t="n">
        <v>6341</v>
      </c>
      <c r="F62" s="18" t="n">
        <v>6427</v>
      </c>
      <c r="G62" s="19" t="n">
        <f aca="false">IF(F62=0,0,E62/F62*100)</f>
        <v>98.6618951299207</v>
      </c>
      <c r="H62" s="16" t="n">
        <v>0</v>
      </c>
      <c r="I62" s="16" t="n">
        <v>0</v>
      </c>
      <c r="J62" s="16" t="n">
        <v>0</v>
      </c>
      <c r="K62" s="16" t="n">
        <v>2</v>
      </c>
    </row>
    <row r="63" customFormat="false" ht="15" hidden="false" customHeight="false" outlineLevel="0" collapsed="false">
      <c r="A63" s="15" t="s">
        <v>85</v>
      </c>
      <c r="B63" s="15" t="s">
        <v>39</v>
      </c>
      <c r="C63" s="16" t="n">
        <v>2</v>
      </c>
      <c r="D63" s="17" t="n">
        <v>77.85</v>
      </c>
      <c r="E63" s="18" t="n">
        <v>5761</v>
      </c>
      <c r="F63" s="18" t="n">
        <v>5979</v>
      </c>
      <c r="G63" s="19" t="n">
        <f aca="false">IF(F63=0,0,E63/F63*100)</f>
        <v>96.3539053353404</v>
      </c>
      <c r="H63" s="16" t="n">
        <v>0</v>
      </c>
      <c r="I63" s="16" t="n">
        <v>0</v>
      </c>
      <c r="J63" s="16" t="n">
        <v>0</v>
      </c>
      <c r="K63" s="16" t="n">
        <v>7</v>
      </c>
    </row>
    <row r="64" customFormat="false" ht="15" hidden="false" customHeight="false" outlineLevel="0" collapsed="false">
      <c r="A64" s="15" t="s">
        <v>85</v>
      </c>
      <c r="B64" s="15" t="s">
        <v>52</v>
      </c>
      <c r="C64" s="16" t="n">
        <v>2</v>
      </c>
      <c r="D64" s="17" t="n">
        <v>77.84</v>
      </c>
      <c r="E64" s="18" t="n">
        <v>5892</v>
      </c>
      <c r="F64" s="18" t="n">
        <v>5923</v>
      </c>
      <c r="G64" s="19" t="n">
        <f aca="false">IF(F64=0,0,E64/F64*100)</f>
        <v>99.4766165794361</v>
      </c>
      <c r="H64" s="16" t="n">
        <v>0</v>
      </c>
      <c r="I64" s="16" t="n">
        <v>0</v>
      </c>
      <c r="J64" s="16" t="n">
        <v>0</v>
      </c>
      <c r="K64" s="16" t="n">
        <v>1</v>
      </c>
    </row>
    <row r="65" customFormat="false" ht="15" hidden="false" customHeight="false" outlineLevel="0" collapsed="false">
      <c r="A65" s="15" t="s">
        <v>85</v>
      </c>
      <c r="B65" s="15" t="s">
        <v>87</v>
      </c>
      <c r="C65" s="16" t="n">
        <v>2</v>
      </c>
      <c r="D65" s="17" t="n">
        <v>77.85</v>
      </c>
      <c r="E65" s="18" t="n">
        <v>5497</v>
      </c>
      <c r="F65" s="18" t="n">
        <v>5914</v>
      </c>
      <c r="G65" s="19" t="n">
        <f aca="false">IF(F65=0,0,E65/F65*100)</f>
        <v>92.9489347311464</v>
      </c>
      <c r="H65" s="16" t="n">
        <v>0</v>
      </c>
      <c r="I65" s="16" t="n">
        <v>0</v>
      </c>
      <c r="J65" s="16" t="n">
        <v>0</v>
      </c>
      <c r="K65" s="16" t="n">
        <v>16</v>
      </c>
    </row>
    <row r="66" customFormat="false" ht="15" hidden="false" customHeight="false" outlineLevel="0" collapsed="false">
      <c r="A66" s="15" t="s">
        <v>85</v>
      </c>
      <c r="B66" s="15" t="s">
        <v>88</v>
      </c>
      <c r="C66" s="16" t="n">
        <v>2</v>
      </c>
      <c r="D66" s="17" t="n">
        <v>77.86</v>
      </c>
      <c r="E66" s="18" t="n">
        <v>5546</v>
      </c>
      <c r="F66" s="18" t="n">
        <v>5585</v>
      </c>
      <c r="G66" s="19" t="n">
        <f aca="false">IF(F66=0,0,E66/F66*100)</f>
        <v>99.3017009847807</v>
      </c>
      <c r="H66" s="16" t="n">
        <v>0</v>
      </c>
      <c r="I66" s="16" t="n">
        <v>0</v>
      </c>
      <c r="J66" s="16" t="n">
        <v>0</v>
      </c>
      <c r="K66" s="16" t="n">
        <v>2</v>
      </c>
    </row>
    <row r="67" customFormat="false" ht="15" hidden="false" customHeight="false" outlineLevel="0" collapsed="false">
      <c r="A67" s="15" t="s">
        <v>85</v>
      </c>
      <c r="B67" s="15" t="s">
        <v>38</v>
      </c>
      <c r="C67" s="16" t="n">
        <v>2</v>
      </c>
      <c r="D67" s="17" t="n">
        <v>77.86</v>
      </c>
      <c r="E67" s="18" t="n">
        <v>4785</v>
      </c>
      <c r="F67" s="18" t="n">
        <v>4840</v>
      </c>
      <c r="G67" s="19" t="n">
        <f aca="false">IF(F67=0,0,E67/F67*100)</f>
        <v>98.8636363636364</v>
      </c>
      <c r="H67" s="16" t="n">
        <v>0</v>
      </c>
      <c r="I67" s="16" t="n">
        <v>0</v>
      </c>
      <c r="J67" s="16" t="n">
        <v>0</v>
      </c>
      <c r="K67" s="16" t="n">
        <v>4</v>
      </c>
    </row>
    <row r="68" customFormat="false" ht="15" hidden="false" customHeight="false" outlineLevel="0" collapsed="false">
      <c r="A68" s="15" t="s">
        <v>85</v>
      </c>
      <c r="B68" s="15" t="s">
        <v>89</v>
      </c>
      <c r="C68" s="16" t="n">
        <v>1</v>
      </c>
      <c r="D68" s="17" t="n">
        <v>77.66</v>
      </c>
      <c r="E68" s="18" t="n">
        <v>4107</v>
      </c>
      <c r="F68" s="18" t="n">
        <v>4257</v>
      </c>
      <c r="G68" s="19" t="n">
        <f aca="false">IF(F68=0,0,E68/F68*100)</f>
        <v>96.476391825229</v>
      </c>
      <c r="H68" s="16" t="n">
        <v>0</v>
      </c>
      <c r="I68" s="16" t="n">
        <v>0</v>
      </c>
      <c r="J68" s="16" t="n">
        <v>0</v>
      </c>
      <c r="K68" s="16" t="n">
        <v>3</v>
      </c>
    </row>
    <row r="69" customFormat="false" ht="15" hidden="false" customHeight="false" outlineLevel="0" collapsed="false">
      <c r="A69" s="15" t="s">
        <v>85</v>
      </c>
      <c r="B69" s="15" t="s">
        <v>90</v>
      </c>
      <c r="C69" s="16" t="n">
        <v>1</v>
      </c>
      <c r="D69" s="17" t="n">
        <v>77.85</v>
      </c>
      <c r="E69" s="18" t="n">
        <v>3660</v>
      </c>
      <c r="F69" s="18" t="n">
        <v>3713</v>
      </c>
      <c r="G69" s="19" t="n">
        <f aca="false">IF(F69=0,0,E69/F69*100)</f>
        <v>98.572582817129</v>
      </c>
      <c r="H69" s="16" t="n">
        <v>0</v>
      </c>
      <c r="I69" s="16" t="n">
        <v>0</v>
      </c>
      <c r="J69" s="16" t="n">
        <v>0</v>
      </c>
      <c r="K69" s="16" t="n">
        <v>2</v>
      </c>
    </row>
    <row r="70" customFormat="false" ht="15" hidden="false" customHeight="false" outlineLevel="0" collapsed="false">
      <c r="A70" s="15" t="s">
        <v>85</v>
      </c>
      <c r="B70" s="15" t="s">
        <v>91</v>
      </c>
      <c r="C70" s="16" t="n">
        <v>1</v>
      </c>
      <c r="D70" s="17" t="n">
        <v>77.84</v>
      </c>
      <c r="E70" s="18" t="n">
        <v>3640</v>
      </c>
      <c r="F70" s="18" t="n">
        <v>3685</v>
      </c>
      <c r="G70" s="19" t="n">
        <f aca="false">IF(F70=0,0,E70/F70*100)</f>
        <v>98.7788331071913</v>
      </c>
      <c r="H70" s="16" t="n">
        <v>0</v>
      </c>
      <c r="I70" s="16" t="n">
        <v>0</v>
      </c>
      <c r="J70" s="16" t="n">
        <v>0</v>
      </c>
      <c r="K70" s="16" t="n">
        <v>1</v>
      </c>
    </row>
    <row r="71" customFormat="false" ht="15" hidden="false" customHeight="false" outlineLevel="0" collapsed="false">
      <c r="A71" s="15" t="s">
        <v>85</v>
      </c>
      <c r="B71" s="15" t="s">
        <v>55</v>
      </c>
      <c r="C71" s="16" t="n">
        <v>1</v>
      </c>
      <c r="D71" s="17" t="n">
        <v>77.82</v>
      </c>
      <c r="E71" s="18" t="n">
        <v>3233</v>
      </c>
      <c r="F71" s="18" t="n">
        <v>3259</v>
      </c>
      <c r="G71" s="19" t="n">
        <f aca="false">IF(F71=0,0,E71/F71*100)</f>
        <v>99.2022092666462</v>
      </c>
      <c r="H71" s="16" t="n">
        <v>0</v>
      </c>
      <c r="I71" s="16" t="n">
        <v>0</v>
      </c>
      <c r="J71" s="16" t="n">
        <v>0</v>
      </c>
      <c r="K71" s="16" t="n">
        <v>1</v>
      </c>
    </row>
    <row r="72" customFormat="false" ht="15" hidden="false" customHeight="false" outlineLevel="0" collapsed="false">
      <c r="A72" s="15" t="s">
        <v>85</v>
      </c>
      <c r="B72" s="15" t="s">
        <v>47</v>
      </c>
      <c r="C72" s="16" t="n">
        <v>1</v>
      </c>
      <c r="D72" s="17" t="n">
        <v>77.72</v>
      </c>
      <c r="E72" s="18" t="n">
        <v>3197</v>
      </c>
      <c r="F72" s="18" t="n">
        <v>3204</v>
      </c>
      <c r="G72" s="19" t="n">
        <f aca="false">IF(F72=0,0,E72/F72*100)</f>
        <v>99.7815230961299</v>
      </c>
      <c r="H72" s="16" t="n">
        <v>0</v>
      </c>
      <c r="I72" s="16" t="n">
        <v>0</v>
      </c>
      <c r="J72" s="16" t="n">
        <v>0</v>
      </c>
      <c r="K72" s="16" t="n">
        <v>0</v>
      </c>
    </row>
    <row r="73" customFormat="false" ht="15" hidden="false" customHeight="false" outlineLevel="0" collapsed="false">
      <c r="A73" s="15" t="s">
        <v>85</v>
      </c>
      <c r="B73" s="15" t="s">
        <v>77</v>
      </c>
      <c r="C73" s="16" t="n">
        <v>1</v>
      </c>
      <c r="D73" s="17" t="n">
        <v>77.7</v>
      </c>
      <c r="E73" s="18" t="n">
        <v>2778</v>
      </c>
      <c r="F73" s="18" t="n">
        <v>2847</v>
      </c>
      <c r="G73" s="19" t="n">
        <f aca="false">IF(F73=0,0,E73/F73*100)</f>
        <v>97.5763962065332</v>
      </c>
      <c r="H73" s="16" t="n">
        <v>0</v>
      </c>
      <c r="I73" s="16" t="n">
        <v>0</v>
      </c>
      <c r="J73" s="16" t="n">
        <v>0</v>
      </c>
      <c r="K73" s="16" t="n">
        <v>2</v>
      </c>
    </row>
    <row r="74" customFormat="false" ht="15" hidden="false" customHeight="false" outlineLevel="0" collapsed="false">
      <c r="A74" s="15" t="s">
        <v>85</v>
      </c>
      <c r="B74" s="15" t="s">
        <v>92</v>
      </c>
      <c r="C74" s="16" t="n">
        <v>1</v>
      </c>
      <c r="D74" s="17" t="n">
        <v>77.7</v>
      </c>
      <c r="E74" s="18" t="n">
        <v>2466</v>
      </c>
      <c r="F74" s="18" t="n">
        <v>2472</v>
      </c>
      <c r="G74" s="19" t="n">
        <f aca="false">IF(F74=0,0,E74/F74*100)</f>
        <v>99.7572815533981</v>
      </c>
      <c r="H74" s="16" t="n">
        <v>0</v>
      </c>
      <c r="I74" s="16" t="n">
        <v>0</v>
      </c>
      <c r="J74" s="16" t="n">
        <v>0</v>
      </c>
      <c r="K74" s="16" t="n">
        <v>0</v>
      </c>
    </row>
    <row r="75" customFormat="false" ht="15" hidden="false" customHeight="false" outlineLevel="0" collapsed="false">
      <c r="A75" s="15" t="s">
        <v>85</v>
      </c>
      <c r="B75" s="15" t="s">
        <v>93</v>
      </c>
      <c r="C75" s="16" t="n">
        <v>1</v>
      </c>
      <c r="D75" s="17" t="n">
        <v>77.74</v>
      </c>
      <c r="E75" s="18" t="n">
        <v>2433</v>
      </c>
      <c r="F75" s="18" t="n">
        <v>2464</v>
      </c>
      <c r="G75" s="19" t="n">
        <f aca="false">IF(F75=0,0,E75/F75*100)</f>
        <v>98.7418831168831</v>
      </c>
      <c r="H75" s="16" t="n">
        <v>0</v>
      </c>
      <c r="I75" s="16" t="n">
        <v>0</v>
      </c>
      <c r="J75" s="16" t="n">
        <v>0</v>
      </c>
      <c r="K75" s="16" t="n">
        <v>1</v>
      </c>
    </row>
    <row r="76" customFormat="false" ht="15" hidden="false" customHeight="false" outlineLevel="0" collapsed="false">
      <c r="A76" s="15" t="s">
        <v>85</v>
      </c>
      <c r="B76" s="15" t="s">
        <v>81</v>
      </c>
      <c r="C76" s="16" t="n">
        <v>1</v>
      </c>
      <c r="D76" s="17" t="n">
        <v>77.84</v>
      </c>
      <c r="E76" s="18" t="n">
        <v>2418</v>
      </c>
      <c r="F76" s="18" t="n">
        <v>2441</v>
      </c>
      <c r="G76" s="19" t="n">
        <f aca="false">IF(F76=0,0,E76/F76*100)</f>
        <v>99.0577632117985</v>
      </c>
      <c r="H76" s="16" t="n">
        <v>0</v>
      </c>
      <c r="I76" s="16" t="n">
        <v>0</v>
      </c>
      <c r="J76" s="16" t="n">
        <v>0</v>
      </c>
      <c r="K76" s="16" t="n">
        <v>1</v>
      </c>
    </row>
    <row r="77" customFormat="false" ht="15" hidden="false" customHeight="false" outlineLevel="0" collapsed="false">
      <c r="A77" s="15" t="s">
        <v>85</v>
      </c>
      <c r="B77" s="15" t="s">
        <v>94</v>
      </c>
      <c r="C77" s="16" t="n">
        <v>1</v>
      </c>
      <c r="D77" s="17" t="n">
        <v>77.85</v>
      </c>
      <c r="E77" s="18" t="n">
        <v>2351</v>
      </c>
      <c r="F77" s="18" t="n">
        <v>2374</v>
      </c>
      <c r="G77" s="19" t="n">
        <f aca="false">IF(F77=0,0,E77/F77*100)</f>
        <v>99.0311710193766</v>
      </c>
      <c r="H77" s="16" t="n">
        <v>0</v>
      </c>
      <c r="I77" s="16" t="n">
        <v>0</v>
      </c>
      <c r="J77" s="16" t="n">
        <v>0</v>
      </c>
      <c r="K77" s="16" t="n">
        <v>0</v>
      </c>
    </row>
    <row r="78" customFormat="false" ht="15" hidden="false" customHeight="false" outlineLevel="0" collapsed="false">
      <c r="A78" s="15" t="s">
        <v>85</v>
      </c>
      <c r="B78" s="15" t="s">
        <v>95</v>
      </c>
      <c r="C78" s="16" t="n">
        <v>1</v>
      </c>
      <c r="D78" s="17" t="n">
        <v>77.63</v>
      </c>
      <c r="E78" s="18" t="n">
        <v>0</v>
      </c>
      <c r="F78" s="18" t="n">
        <v>2370</v>
      </c>
      <c r="G78" s="19" t="n">
        <f aca="false">IF(F78=0,0,E78/F78*100)</f>
        <v>0</v>
      </c>
      <c r="H78" s="16" t="n">
        <v>0</v>
      </c>
      <c r="I78" s="16" t="n">
        <v>0</v>
      </c>
      <c r="J78" s="16" t="n">
        <v>0</v>
      </c>
      <c r="K78" s="16" t="n">
        <v>0</v>
      </c>
    </row>
    <row r="79" customFormat="false" ht="15" hidden="false" customHeight="false" outlineLevel="0" collapsed="false">
      <c r="A79" s="15" t="s">
        <v>85</v>
      </c>
      <c r="B79" s="15" t="s">
        <v>96</v>
      </c>
      <c r="C79" s="16" t="n">
        <v>1</v>
      </c>
      <c r="D79" s="17" t="n">
        <v>77.68</v>
      </c>
      <c r="E79" s="18" t="n">
        <v>2233</v>
      </c>
      <c r="F79" s="18" t="n">
        <v>2240</v>
      </c>
      <c r="G79" s="19" t="n">
        <f aca="false">IF(F79=0,0,E79/F79*100)</f>
        <v>99.6875</v>
      </c>
      <c r="H79" s="16" t="n">
        <v>0</v>
      </c>
      <c r="I79" s="16" t="n">
        <v>0</v>
      </c>
      <c r="J79" s="16" t="n">
        <v>0</v>
      </c>
      <c r="K79" s="16" t="n">
        <v>0</v>
      </c>
    </row>
    <row r="80" customFormat="false" ht="15" hidden="false" customHeight="false" outlineLevel="0" collapsed="false">
      <c r="A80" s="15" t="s">
        <v>85</v>
      </c>
      <c r="B80" s="15" t="s">
        <v>97</v>
      </c>
      <c r="C80" s="16" t="n">
        <v>1</v>
      </c>
      <c r="D80" s="17" t="n">
        <v>77.69</v>
      </c>
      <c r="E80" s="18" t="n">
        <v>0</v>
      </c>
      <c r="F80" s="18" t="n">
        <v>1784</v>
      </c>
      <c r="G80" s="19" t="n">
        <f aca="false">IF(F80=0,0,E80/F80*100)</f>
        <v>0</v>
      </c>
      <c r="H80" s="16" t="n">
        <v>0</v>
      </c>
      <c r="I80" s="16" t="n">
        <v>0</v>
      </c>
      <c r="J80" s="16" t="n">
        <v>0</v>
      </c>
      <c r="K80" s="16" t="n">
        <v>0</v>
      </c>
    </row>
    <row r="81" customFormat="false" ht="15" hidden="false" customHeight="false" outlineLevel="0" collapsed="false">
      <c r="A81" s="20" t="s">
        <v>85</v>
      </c>
      <c r="B81" s="20" t="s">
        <v>64</v>
      </c>
      <c r="C81" s="21" t="n">
        <f aca="false">SUM(C61:C80)</f>
        <v>27</v>
      </c>
      <c r="D81" s="22" t="n">
        <f aca="false">SUM(D61:D80)</f>
        <v>1555.72</v>
      </c>
      <c r="E81" s="23" t="n">
        <f aca="false">SUM(E61:E80)</f>
        <v>73176</v>
      </c>
      <c r="F81" s="23" t="n">
        <f aca="false">SUM(F61:F80)</f>
        <v>78703</v>
      </c>
      <c r="G81" s="24" t="n">
        <f aca="false">IF(F81=0,0,E81/F81*100)</f>
        <v>92.9773960331881</v>
      </c>
      <c r="H81" s="21" t="n">
        <f aca="false">SUM(H61:H80)</f>
        <v>0</v>
      </c>
      <c r="I81" s="21" t="n">
        <f aca="false">SUM(I61:I80)</f>
        <v>0</v>
      </c>
      <c r="J81" s="21" t="n">
        <f aca="false">SUM(J61:J80)</f>
        <v>0</v>
      </c>
      <c r="K81" s="21" t="n">
        <f aca="false">SUM(K61:K80)</f>
        <v>48</v>
      </c>
    </row>
    <row r="82" customFormat="false" ht="15" hidden="false" customHeight="false" outlineLevel="0" collapsed="false">
      <c r="A82" s="15" t="s">
        <v>98</v>
      </c>
      <c r="B82" s="15" t="s">
        <v>67</v>
      </c>
      <c r="C82" s="16" t="n">
        <v>2</v>
      </c>
      <c r="D82" s="17" t="n">
        <v>77.88</v>
      </c>
      <c r="E82" s="18" t="n">
        <v>7345</v>
      </c>
      <c r="F82" s="18" t="n">
        <v>7437</v>
      </c>
      <c r="G82" s="19" t="n">
        <f aca="false">IF(F82=0,0,E82/F82*100)</f>
        <v>98.7629420465241</v>
      </c>
      <c r="H82" s="16" t="n">
        <v>0</v>
      </c>
      <c r="I82" s="16" t="n">
        <v>0</v>
      </c>
      <c r="J82" s="16" t="n">
        <v>0</v>
      </c>
      <c r="K82" s="16" t="n">
        <v>5</v>
      </c>
    </row>
    <row r="83" customFormat="false" ht="15" hidden="false" customHeight="false" outlineLevel="0" collapsed="false">
      <c r="A83" s="15" t="s">
        <v>98</v>
      </c>
      <c r="B83" s="15" t="s">
        <v>55</v>
      </c>
      <c r="C83" s="16" t="n">
        <v>2</v>
      </c>
      <c r="D83" s="17" t="n">
        <v>77.86</v>
      </c>
      <c r="E83" s="18" t="n">
        <v>6769</v>
      </c>
      <c r="F83" s="18" t="n">
        <v>6830</v>
      </c>
      <c r="G83" s="19" t="n">
        <f aca="false">IF(F83=0,0,E83/F83*100)</f>
        <v>99.1068814055637</v>
      </c>
      <c r="H83" s="16" t="n">
        <v>0</v>
      </c>
      <c r="I83" s="16" t="n">
        <v>0</v>
      </c>
      <c r="J83" s="16" t="n">
        <v>0</v>
      </c>
      <c r="K83" s="16" t="n">
        <v>2</v>
      </c>
    </row>
    <row r="84" customFormat="false" ht="15" hidden="false" customHeight="false" outlineLevel="0" collapsed="false">
      <c r="A84" s="15" t="s">
        <v>98</v>
      </c>
      <c r="B84" s="15" t="s">
        <v>99</v>
      </c>
      <c r="C84" s="16" t="n">
        <v>2</v>
      </c>
      <c r="D84" s="17" t="n">
        <v>77.88</v>
      </c>
      <c r="E84" s="18" t="n">
        <v>5600</v>
      </c>
      <c r="F84" s="18" t="n">
        <v>6136</v>
      </c>
      <c r="G84" s="19" t="n">
        <f aca="false">IF(F84=0,0,E84/F84*100)</f>
        <v>91.264667535854</v>
      </c>
      <c r="H84" s="16" t="n">
        <v>0</v>
      </c>
      <c r="I84" s="16" t="n">
        <v>0</v>
      </c>
      <c r="J84" s="16" t="n">
        <v>0</v>
      </c>
      <c r="K84" s="16" t="n">
        <v>10</v>
      </c>
    </row>
    <row r="85" customFormat="false" ht="15" hidden="false" customHeight="false" outlineLevel="0" collapsed="false">
      <c r="A85" s="15" t="s">
        <v>98</v>
      </c>
      <c r="B85" s="15" t="s">
        <v>74</v>
      </c>
      <c r="C85" s="16" t="n">
        <v>2</v>
      </c>
      <c r="D85" s="17" t="n">
        <v>77.86</v>
      </c>
      <c r="E85" s="18" t="n">
        <v>5676</v>
      </c>
      <c r="F85" s="18" t="n">
        <v>5721</v>
      </c>
      <c r="G85" s="19" t="n">
        <f aca="false">IF(F85=0,0,E85/F85*100)</f>
        <v>99.2134242265338</v>
      </c>
      <c r="H85" s="16" t="n">
        <v>0</v>
      </c>
      <c r="I85" s="16" t="n">
        <v>0</v>
      </c>
      <c r="J85" s="16" t="n">
        <v>0</v>
      </c>
      <c r="K85" s="16" t="n">
        <v>2</v>
      </c>
    </row>
    <row r="86" customFormat="false" ht="15" hidden="false" customHeight="false" outlineLevel="0" collapsed="false">
      <c r="A86" s="15" t="s">
        <v>98</v>
      </c>
      <c r="B86" s="15" t="s">
        <v>100</v>
      </c>
      <c r="C86" s="16" t="n">
        <v>2</v>
      </c>
      <c r="D86" s="17" t="n">
        <v>77.86</v>
      </c>
      <c r="E86" s="18" t="n">
        <v>5253</v>
      </c>
      <c r="F86" s="18" t="n">
        <v>5274</v>
      </c>
      <c r="G86" s="19" t="n">
        <f aca="false">IF(F86=0,0,E86/F86*100)</f>
        <v>99.6018202502844</v>
      </c>
      <c r="H86" s="16" t="n">
        <v>0</v>
      </c>
      <c r="I86" s="16" t="n">
        <v>0</v>
      </c>
      <c r="J86" s="16" t="n">
        <v>0</v>
      </c>
      <c r="K86" s="16" t="n">
        <v>1</v>
      </c>
    </row>
    <row r="87" customFormat="false" ht="15" hidden="false" customHeight="false" outlineLevel="0" collapsed="false">
      <c r="A87" s="15" t="s">
        <v>98</v>
      </c>
      <c r="B87" s="15" t="s">
        <v>40</v>
      </c>
      <c r="C87" s="16" t="n">
        <v>2</v>
      </c>
      <c r="D87" s="17" t="n">
        <v>77.69</v>
      </c>
      <c r="E87" s="18" t="n">
        <v>2846</v>
      </c>
      <c r="F87" s="18" t="n">
        <v>2894</v>
      </c>
      <c r="G87" s="19" t="n">
        <f aca="false">IF(F87=0,0,E87/F87*100)</f>
        <v>98.341395991707</v>
      </c>
      <c r="H87" s="16" t="n">
        <v>0</v>
      </c>
      <c r="I87" s="16" t="n">
        <v>0</v>
      </c>
      <c r="J87" s="16" t="n">
        <v>0</v>
      </c>
      <c r="K87" s="16" t="n">
        <v>2</v>
      </c>
    </row>
    <row r="88" customFormat="false" ht="15" hidden="false" customHeight="false" outlineLevel="0" collapsed="false">
      <c r="A88" s="15" t="s">
        <v>98</v>
      </c>
      <c r="B88" s="15" t="s">
        <v>101</v>
      </c>
      <c r="C88" s="16" t="n">
        <v>2</v>
      </c>
      <c r="D88" s="17" t="n">
        <v>75.15</v>
      </c>
      <c r="E88" s="18" t="n">
        <v>0</v>
      </c>
      <c r="F88" s="18" t="n">
        <v>50</v>
      </c>
      <c r="G88" s="19" t="n">
        <f aca="false">IF(F88=0,0,E88/F88*100)</f>
        <v>0</v>
      </c>
      <c r="H88" s="16" t="n">
        <v>0</v>
      </c>
      <c r="I88" s="16" t="n">
        <v>0</v>
      </c>
      <c r="J88" s="16" t="n">
        <v>0</v>
      </c>
      <c r="K88" s="16" t="n">
        <v>0</v>
      </c>
    </row>
    <row r="89" customFormat="false" ht="15" hidden="false" customHeight="false" outlineLevel="0" collapsed="false">
      <c r="A89" s="15" t="s">
        <v>98</v>
      </c>
      <c r="B89" s="15" t="s">
        <v>102</v>
      </c>
      <c r="C89" s="16" t="n">
        <v>1</v>
      </c>
      <c r="D89" s="17" t="n">
        <v>77.86</v>
      </c>
      <c r="E89" s="18" t="n">
        <v>6368</v>
      </c>
      <c r="F89" s="18" t="n">
        <v>6414</v>
      </c>
      <c r="G89" s="19" t="n">
        <f aca="false">IF(F89=0,0,E89/F89*100)</f>
        <v>99.2828188338011</v>
      </c>
      <c r="H89" s="16" t="n">
        <v>0</v>
      </c>
      <c r="I89" s="16" t="n">
        <v>0</v>
      </c>
      <c r="J89" s="16" t="n">
        <v>0</v>
      </c>
      <c r="K89" s="16" t="n">
        <v>1</v>
      </c>
    </row>
    <row r="90" customFormat="false" ht="15" hidden="false" customHeight="false" outlineLevel="0" collapsed="false">
      <c r="A90" s="15" t="s">
        <v>98</v>
      </c>
      <c r="B90" s="15" t="s">
        <v>103</v>
      </c>
      <c r="C90" s="16" t="n">
        <v>1</v>
      </c>
      <c r="D90" s="17" t="n">
        <v>77.84</v>
      </c>
      <c r="E90" s="18" t="n">
        <v>3733</v>
      </c>
      <c r="F90" s="18" t="n">
        <v>3771</v>
      </c>
      <c r="G90" s="19" t="n">
        <f aca="false">IF(F90=0,0,E90/F90*100)</f>
        <v>98.9923097321665</v>
      </c>
      <c r="H90" s="16" t="n">
        <v>0</v>
      </c>
      <c r="I90" s="16" t="n">
        <v>0</v>
      </c>
      <c r="J90" s="16" t="n">
        <v>0</v>
      </c>
      <c r="K90" s="16" t="n">
        <v>1</v>
      </c>
    </row>
    <row r="91" customFormat="false" ht="15" hidden="false" customHeight="false" outlineLevel="0" collapsed="false">
      <c r="A91" s="15" t="s">
        <v>98</v>
      </c>
      <c r="B91" s="15" t="s">
        <v>104</v>
      </c>
      <c r="C91" s="16" t="n">
        <v>1</v>
      </c>
      <c r="D91" s="17" t="n">
        <v>77.64</v>
      </c>
      <c r="E91" s="18" t="n">
        <v>3543</v>
      </c>
      <c r="F91" s="18" t="n">
        <v>3554</v>
      </c>
      <c r="G91" s="19" t="n">
        <f aca="false">IF(F91=0,0,E91/F91*100)</f>
        <v>99.6904895891953</v>
      </c>
      <c r="H91" s="16" t="n">
        <v>0</v>
      </c>
      <c r="I91" s="16" t="n">
        <v>0</v>
      </c>
      <c r="J91" s="16" t="n">
        <v>0</v>
      </c>
      <c r="K91" s="16" t="n">
        <v>1</v>
      </c>
    </row>
    <row r="92" customFormat="false" ht="15" hidden="false" customHeight="false" outlineLevel="0" collapsed="false">
      <c r="A92" s="15" t="s">
        <v>98</v>
      </c>
      <c r="B92" s="15" t="s">
        <v>48</v>
      </c>
      <c r="C92" s="16" t="n">
        <v>1</v>
      </c>
      <c r="D92" s="17" t="n">
        <v>77.73</v>
      </c>
      <c r="E92" s="18" t="n">
        <v>3368</v>
      </c>
      <c r="F92" s="18" t="n">
        <v>3374</v>
      </c>
      <c r="G92" s="19" t="n">
        <f aca="false">IF(F92=0,0,E92/F92*100)</f>
        <v>99.8221695317131</v>
      </c>
      <c r="H92" s="16" t="n">
        <v>0</v>
      </c>
      <c r="I92" s="16" t="n">
        <v>0</v>
      </c>
      <c r="J92" s="16" t="n">
        <v>0</v>
      </c>
      <c r="K92" s="16" t="n">
        <v>0</v>
      </c>
    </row>
    <row r="93" customFormat="false" ht="15" hidden="false" customHeight="false" outlineLevel="0" collapsed="false">
      <c r="A93" s="15" t="s">
        <v>98</v>
      </c>
      <c r="B93" s="15" t="s">
        <v>89</v>
      </c>
      <c r="C93" s="16" t="n">
        <v>1</v>
      </c>
      <c r="D93" s="17" t="n">
        <v>77.84</v>
      </c>
      <c r="E93" s="18" t="n">
        <v>3326</v>
      </c>
      <c r="F93" s="18" t="n">
        <v>3370</v>
      </c>
      <c r="G93" s="19" t="n">
        <f aca="false">IF(F93=0,0,E93/F93*100)</f>
        <v>98.6943620178042</v>
      </c>
      <c r="H93" s="16" t="n">
        <v>0</v>
      </c>
      <c r="I93" s="16" t="n">
        <v>0</v>
      </c>
      <c r="J93" s="16" t="n">
        <v>0</v>
      </c>
      <c r="K93" s="16" t="n">
        <v>1</v>
      </c>
    </row>
    <row r="94" customFormat="false" ht="15" hidden="false" customHeight="false" outlineLevel="0" collapsed="false">
      <c r="A94" s="15" t="s">
        <v>98</v>
      </c>
      <c r="B94" s="15" t="s">
        <v>105</v>
      </c>
      <c r="C94" s="16" t="n">
        <v>1</v>
      </c>
      <c r="D94" s="17" t="n">
        <v>77.84</v>
      </c>
      <c r="E94" s="18" t="n">
        <v>3303</v>
      </c>
      <c r="F94" s="18" t="n">
        <v>3338</v>
      </c>
      <c r="G94" s="19" t="n">
        <f aca="false">IF(F94=0,0,E94/F94*100)</f>
        <v>98.9514679448772</v>
      </c>
      <c r="H94" s="16" t="n">
        <v>0</v>
      </c>
      <c r="I94" s="16" t="n">
        <v>0</v>
      </c>
      <c r="J94" s="16" t="n">
        <v>0</v>
      </c>
      <c r="K94" s="16" t="n">
        <v>1</v>
      </c>
    </row>
    <row r="95" customFormat="false" ht="15" hidden="false" customHeight="false" outlineLevel="0" collapsed="false">
      <c r="A95" s="15" t="s">
        <v>98</v>
      </c>
      <c r="B95" s="15" t="s">
        <v>61</v>
      </c>
      <c r="C95" s="16" t="n">
        <v>1</v>
      </c>
      <c r="D95" s="17" t="n">
        <v>77.69</v>
      </c>
      <c r="E95" s="18" t="n">
        <v>3316</v>
      </c>
      <c r="F95" s="18" t="n">
        <v>3336</v>
      </c>
      <c r="G95" s="19" t="n">
        <f aca="false">IF(F95=0,0,E95/F95*100)</f>
        <v>99.400479616307</v>
      </c>
      <c r="H95" s="16" t="n">
        <v>0</v>
      </c>
      <c r="I95" s="16" t="n">
        <v>0</v>
      </c>
      <c r="J95" s="16" t="n">
        <v>0</v>
      </c>
      <c r="K95" s="16" t="n">
        <v>0</v>
      </c>
    </row>
    <row r="96" customFormat="false" ht="15" hidden="false" customHeight="false" outlineLevel="0" collapsed="false">
      <c r="A96" s="15" t="s">
        <v>98</v>
      </c>
      <c r="B96" s="15" t="s">
        <v>73</v>
      </c>
      <c r="C96" s="16" t="n">
        <v>1</v>
      </c>
      <c r="D96" s="17" t="n">
        <v>77.69</v>
      </c>
      <c r="E96" s="18" t="n">
        <v>3281</v>
      </c>
      <c r="F96" s="18" t="n">
        <v>3286</v>
      </c>
      <c r="G96" s="19" t="n">
        <f aca="false">IF(F96=0,0,E96/F96*100)</f>
        <v>99.8478393183201</v>
      </c>
      <c r="H96" s="16" t="n">
        <v>0</v>
      </c>
      <c r="I96" s="16" t="n">
        <v>0</v>
      </c>
      <c r="J96" s="16" t="n">
        <v>0</v>
      </c>
      <c r="K96" s="16" t="n">
        <v>0</v>
      </c>
    </row>
    <row r="97" customFormat="false" ht="15" hidden="false" customHeight="false" outlineLevel="0" collapsed="false">
      <c r="A97" s="15" t="s">
        <v>98</v>
      </c>
      <c r="B97" s="15" t="s">
        <v>106</v>
      </c>
      <c r="C97" s="16" t="n">
        <v>1</v>
      </c>
      <c r="D97" s="17" t="n">
        <v>77.84</v>
      </c>
      <c r="E97" s="18" t="n">
        <v>3198</v>
      </c>
      <c r="F97" s="18" t="n">
        <v>3226</v>
      </c>
      <c r="G97" s="19" t="n">
        <f aca="false">IF(F97=0,0,E97/F97*100)</f>
        <v>99.1320520768754</v>
      </c>
      <c r="H97" s="16" t="n">
        <v>0</v>
      </c>
      <c r="I97" s="16" t="n">
        <v>0</v>
      </c>
      <c r="J97" s="16" t="n">
        <v>0</v>
      </c>
      <c r="K97" s="16" t="n">
        <v>1</v>
      </c>
    </row>
    <row r="98" customFormat="false" ht="15" hidden="false" customHeight="false" outlineLevel="0" collapsed="false">
      <c r="A98" s="15" t="s">
        <v>98</v>
      </c>
      <c r="B98" s="15" t="s">
        <v>36</v>
      </c>
      <c r="C98" s="16" t="n">
        <v>1</v>
      </c>
      <c r="D98" s="17" t="n">
        <v>77.71</v>
      </c>
      <c r="E98" s="18" t="n">
        <v>3140</v>
      </c>
      <c r="F98" s="18" t="n">
        <v>3181</v>
      </c>
      <c r="G98" s="19" t="n">
        <f aca="false">IF(F98=0,0,E98/F98*100)</f>
        <v>98.7110971392644</v>
      </c>
      <c r="H98" s="16" t="n">
        <v>0</v>
      </c>
      <c r="I98" s="16" t="n">
        <v>0</v>
      </c>
      <c r="J98" s="16" t="n">
        <v>0</v>
      </c>
      <c r="K98" s="16" t="n">
        <v>2</v>
      </c>
    </row>
    <row r="99" customFormat="false" ht="15" hidden="false" customHeight="false" outlineLevel="0" collapsed="false">
      <c r="A99" s="15" t="s">
        <v>98</v>
      </c>
      <c r="B99" s="15" t="s">
        <v>68</v>
      </c>
      <c r="C99" s="16" t="n">
        <v>1</v>
      </c>
      <c r="D99" s="17" t="n">
        <v>77.84</v>
      </c>
      <c r="E99" s="18" t="n">
        <v>3107</v>
      </c>
      <c r="F99" s="18" t="n">
        <v>3126</v>
      </c>
      <c r="G99" s="19" t="n">
        <f aca="false">IF(F99=0,0,E99/F99*100)</f>
        <v>99.3921944977607</v>
      </c>
      <c r="H99" s="16" t="n">
        <v>0</v>
      </c>
      <c r="I99" s="16" t="n">
        <v>0</v>
      </c>
      <c r="J99" s="16" t="n">
        <v>0</v>
      </c>
      <c r="K99" s="16" t="n">
        <v>1</v>
      </c>
    </row>
    <row r="100" customFormat="false" ht="15" hidden="false" customHeight="false" outlineLevel="0" collapsed="false">
      <c r="A100" s="15" t="s">
        <v>98</v>
      </c>
      <c r="B100" s="15" t="s">
        <v>107</v>
      </c>
      <c r="C100" s="16" t="n">
        <v>1</v>
      </c>
      <c r="D100" s="17" t="n">
        <v>77.72</v>
      </c>
      <c r="E100" s="18" t="n">
        <v>3073</v>
      </c>
      <c r="F100" s="18" t="n">
        <v>3084</v>
      </c>
      <c r="G100" s="19" t="n">
        <f aca="false">IF(F100=0,0,E100/F100*100)</f>
        <v>99.6433203631647</v>
      </c>
      <c r="H100" s="16" t="n">
        <v>0</v>
      </c>
      <c r="I100" s="16" t="n">
        <v>0</v>
      </c>
      <c r="J100" s="16" t="n">
        <v>0</v>
      </c>
      <c r="K100" s="16" t="n">
        <v>1</v>
      </c>
    </row>
    <row r="101" customFormat="false" ht="15" hidden="false" customHeight="false" outlineLevel="0" collapsed="false">
      <c r="A101" s="15" t="s">
        <v>98</v>
      </c>
      <c r="B101" s="15" t="s">
        <v>108</v>
      </c>
      <c r="C101" s="16" t="n">
        <v>1</v>
      </c>
      <c r="D101" s="17" t="n">
        <v>77.7</v>
      </c>
      <c r="E101" s="18" t="n">
        <v>3036</v>
      </c>
      <c r="F101" s="18" t="n">
        <v>3040</v>
      </c>
      <c r="G101" s="19" t="n">
        <f aca="false">IF(F101=0,0,E101/F101*100)</f>
        <v>99.8684210526316</v>
      </c>
      <c r="H101" s="16" t="n">
        <v>0</v>
      </c>
      <c r="I101" s="16" t="n">
        <v>0</v>
      </c>
      <c r="J101" s="16" t="n">
        <v>0</v>
      </c>
      <c r="K101" s="16" t="n">
        <v>0</v>
      </c>
    </row>
    <row r="102" customFormat="false" ht="15" hidden="false" customHeight="false" outlineLevel="0" collapsed="false">
      <c r="A102" s="15" t="s">
        <v>98</v>
      </c>
      <c r="B102" s="15" t="s">
        <v>72</v>
      </c>
      <c r="C102" s="16" t="n">
        <v>1</v>
      </c>
      <c r="D102" s="17" t="n">
        <v>77.69</v>
      </c>
      <c r="E102" s="18" t="n">
        <v>2986</v>
      </c>
      <c r="F102" s="18" t="n">
        <v>3002</v>
      </c>
      <c r="G102" s="19" t="n">
        <f aca="false">IF(F102=0,0,E102/F102*100)</f>
        <v>99.4670219853431</v>
      </c>
      <c r="H102" s="16" t="n">
        <v>0</v>
      </c>
      <c r="I102" s="16" t="n">
        <v>0</v>
      </c>
      <c r="J102" s="16" t="n">
        <v>0</v>
      </c>
      <c r="K102" s="16" t="n">
        <v>2</v>
      </c>
    </row>
    <row r="103" customFormat="false" ht="15" hidden="false" customHeight="false" outlineLevel="0" collapsed="false">
      <c r="A103" s="15" t="s">
        <v>98</v>
      </c>
      <c r="B103" s="15" t="s">
        <v>52</v>
      </c>
      <c r="C103" s="16" t="n">
        <v>1</v>
      </c>
      <c r="D103" s="17" t="n">
        <v>77.64</v>
      </c>
      <c r="E103" s="18" t="n">
        <v>2799</v>
      </c>
      <c r="F103" s="18" t="n">
        <v>2851</v>
      </c>
      <c r="G103" s="19" t="n">
        <f aca="false">IF(F103=0,0,E103/F103*100)</f>
        <v>98.1760785689232</v>
      </c>
      <c r="H103" s="16" t="n">
        <v>0</v>
      </c>
      <c r="I103" s="16" t="n">
        <v>0</v>
      </c>
      <c r="J103" s="16" t="n">
        <v>0</v>
      </c>
      <c r="K103" s="16" t="n">
        <v>2</v>
      </c>
    </row>
    <row r="104" customFormat="false" ht="15" hidden="false" customHeight="false" outlineLevel="0" collapsed="false">
      <c r="A104" s="15" t="s">
        <v>98</v>
      </c>
      <c r="B104" s="15" t="s">
        <v>109</v>
      </c>
      <c r="C104" s="16" t="n">
        <v>1</v>
      </c>
      <c r="D104" s="17" t="n">
        <v>77.85</v>
      </c>
      <c r="E104" s="18" t="n">
        <v>2773</v>
      </c>
      <c r="F104" s="18" t="n">
        <v>2794</v>
      </c>
      <c r="G104" s="19" t="n">
        <f aca="false">IF(F104=0,0,E104/F104*100)</f>
        <v>99.2483894058697</v>
      </c>
      <c r="H104" s="16" t="n">
        <v>0</v>
      </c>
      <c r="I104" s="16" t="n">
        <v>0</v>
      </c>
      <c r="J104" s="16" t="n">
        <v>0</v>
      </c>
      <c r="K104" s="16" t="n">
        <v>1</v>
      </c>
    </row>
    <row r="105" customFormat="false" ht="15" hidden="false" customHeight="false" outlineLevel="0" collapsed="false">
      <c r="A105" s="15" t="s">
        <v>98</v>
      </c>
      <c r="B105" s="15" t="s">
        <v>110</v>
      </c>
      <c r="C105" s="16" t="n">
        <v>1</v>
      </c>
      <c r="D105" s="17" t="n">
        <v>77.74</v>
      </c>
      <c r="E105" s="18" t="n">
        <v>2681</v>
      </c>
      <c r="F105" s="18" t="n">
        <v>2721</v>
      </c>
      <c r="G105" s="19" t="n">
        <f aca="false">IF(F105=0,0,E105/F105*100)</f>
        <v>98.5299522234473</v>
      </c>
      <c r="H105" s="16" t="n">
        <v>0</v>
      </c>
      <c r="I105" s="16" t="n">
        <v>0</v>
      </c>
      <c r="J105" s="16" t="n">
        <v>0</v>
      </c>
      <c r="K105" s="16" t="n">
        <v>8</v>
      </c>
    </row>
    <row r="106" customFormat="false" ht="15" hidden="false" customHeight="false" outlineLevel="0" collapsed="false">
      <c r="A106" s="15" t="s">
        <v>98</v>
      </c>
      <c r="B106" s="15" t="s">
        <v>37</v>
      </c>
      <c r="C106" s="16" t="n">
        <v>1</v>
      </c>
      <c r="D106" s="17" t="n">
        <v>77.86</v>
      </c>
      <c r="E106" s="18" t="n">
        <v>2578</v>
      </c>
      <c r="F106" s="18" t="n">
        <v>2626</v>
      </c>
      <c r="G106" s="19" t="n">
        <f aca="false">IF(F106=0,0,E106/F106*100)</f>
        <v>98.1721249047982</v>
      </c>
      <c r="H106" s="16" t="n">
        <v>0</v>
      </c>
      <c r="I106" s="16" t="n">
        <v>0</v>
      </c>
      <c r="J106" s="16" t="n">
        <v>0</v>
      </c>
      <c r="K106" s="16" t="n">
        <v>2</v>
      </c>
    </row>
    <row r="107" customFormat="false" ht="15" hidden="false" customHeight="false" outlineLevel="0" collapsed="false">
      <c r="A107" s="15" t="s">
        <v>98</v>
      </c>
      <c r="B107" s="15" t="s">
        <v>49</v>
      </c>
      <c r="C107" s="16" t="n">
        <v>1</v>
      </c>
      <c r="D107" s="17" t="n">
        <v>77.84</v>
      </c>
      <c r="E107" s="18" t="n">
        <v>2559</v>
      </c>
      <c r="F107" s="18" t="n">
        <v>2600</v>
      </c>
      <c r="G107" s="19" t="n">
        <f aca="false">IF(F107=0,0,E107/F107*100)</f>
        <v>98.4230769230769</v>
      </c>
      <c r="H107" s="16" t="n">
        <v>0</v>
      </c>
      <c r="I107" s="16" t="n">
        <v>0</v>
      </c>
      <c r="J107" s="16" t="n">
        <v>0</v>
      </c>
      <c r="K107" s="16" t="n">
        <v>3</v>
      </c>
    </row>
    <row r="108" customFormat="false" ht="15" hidden="false" customHeight="false" outlineLevel="0" collapsed="false">
      <c r="A108" s="15" t="s">
        <v>98</v>
      </c>
      <c r="B108" s="15" t="s">
        <v>70</v>
      </c>
      <c r="C108" s="16" t="n">
        <v>1</v>
      </c>
      <c r="D108" s="17" t="n">
        <v>77.87</v>
      </c>
      <c r="E108" s="18" t="n">
        <v>2319</v>
      </c>
      <c r="F108" s="18" t="n">
        <v>2520</v>
      </c>
      <c r="G108" s="19" t="n">
        <f aca="false">IF(F108=0,0,E108/F108*100)</f>
        <v>92.0238095238095</v>
      </c>
      <c r="H108" s="16" t="n">
        <v>1</v>
      </c>
      <c r="I108" s="16" t="n">
        <v>1</v>
      </c>
      <c r="J108" s="16" t="n">
        <v>0</v>
      </c>
      <c r="K108" s="16" t="n">
        <v>2</v>
      </c>
    </row>
    <row r="109" customFormat="false" ht="15" hidden="false" customHeight="false" outlineLevel="0" collapsed="false">
      <c r="A109" s="15" t="s">
        <v>98</v>
      </c>
      <c r="B109" s="15" t="s">
        <v>111</v>
      </c>
      <c r="C109" s="16" t="n">
        <v>1</v>
      </c>
      <c r="D109" s="17" t="n">
        <v>77.72</v>
      </c>
      <c r="E109" s="18" t="n">
        <v>2313</v>
      </c>
      <c r="F109" s="18" t="n">
        <v>2322</v>
      </c>
      <c r="G109" s="19" t="n">
        <f aca="false">IF(F109=0,0,E109/F109*100)</f>
        <v>99.6124031007752</v>
      </c>
      <c r="H109" s="16" t="n">
        <v>0</v>
      </c>
      <c r="I109" s="16" t="n">
        <v>0</v>
      </c>
      <c r="J109" s="16" t="n">
        <v>0</v>
      </c>
      <c r="K109" s="16" t="n">
        <v>0</v>
      </c>
    </row>
    <row r="110" customFormat="false" ht="15" hidden="false" customHeight="false" outlineLevel="0" collapsed="false">
      <c r="A110" s="15" t="s">
        <v>98</v>
      </c>
      <c r="B110" s="15" t="s">
        <v>112</v>
      </c>
      <c r="C110" s="16" t="n">
        <v>1</v>
      </c>
      <c r="D110" s="17" t="n">
        <v>77.81</v>
      </c>
      <c r="E110" s="18" t="n">
        <v>2245</v>
      </c>
      <c r="F110" s="18" t="n">
        <v>2285</v>
      </c>
      <c r="G110" s="19" t="n">
        <f aca="false">IF(F110=0,0,E110/F110*100)</f>
        <v>98.2494529540481</v>
      </c>
      <c r="H110" s="16" t="n">
        <v>0</v>
      </c>
      <c r="I110" s="16" t="n">
        <v>0</v>
      </c>
      <c r="J110" s="16" t="n">
        <v>0</v>
      </c>
      <c r="K110" s="16" t="n">
        <v>2</v>
      </c>
    </row>
    <row r="111" customFormat="false" ht="15" hidden="false" customHeight="false" outlineLevel="0" collapsed="false">
      <c r="A111" s="15" t="s">
        <v>98</v>
      </c>
      <c r="B111" s="15" t="s">
        <v>97</v>
      </c>
      <c r="C111" s="16" t="n">
        <v>1</v>
      </c>
      <c r="D111" s="17" t="n">
        <v>77.71</v>
      </c>
      <c r="E111" s="18" t="n">
        <v>0</v>
      </c>
      <c r="F111" s="18" t="n">
        <v>1903</v>
      </c>
      <c r="G111" s="19" t="n">
        <f aca="false">IF(F111=0,0,E111/F111*100)</f>
        <v>0</v>
      </c>
      <c r="H111" s="16" t="n">
        <v>0</v>
      </c>
      <c r="I111" s="16" t="n">
        <v>0</v>
      </c>
      <c r="J111" s="16" t="n">
        <v>0</v>
      </c>
      <c r="K111" s="16" t="n">
        <v>0</v>
      </c>
    </row>
    <row r="112" customFormat="false" ht="15" hidden="false" customHeight="false" outlineLevel="0" collapsed="false">
      <c r="A112" s="15" t="s">
        <v>98</v>
      </c>
      <c r="B112" s="15" t="s">
        <v>113</v>
      </c>
      <c r="C112" s="16" t="n">
        <v>1</v>
      </c>
      <c r="D112" s="17" t="n">
        <v>72.54</v>
      </c>
      <c r="E112" s="18" t="n">
        <v>0</v>
      </c>
      <c r="F112" s="18" t="n">
        <v>28</v>
      </c>
      <c r="G112" s="19" t="n">
        <f aca="false">IF(F112=0,0,E112/F112*100)</f>
        <v>0</v>
      </c>
      <c r="H112" s="16" t="n">
        <v>0</v>
      </c>
      <c r="I112" s="16" t="n">
        <v>0</v>
      </c>
      <c r="J112" s="16" t="n">
        <v>0</v>
      </c>
      <c r="K112" s="16" t="n">
        <v>0</v>
      </c>
    </row>
    <row r="113" customFormat="false" ht="15" hidden="false" customHeight="false" outlineLevel="0" collapsed="false">
      <c r="A113" s="20" t="s">
        <v>98</v>
      </c>
      <c r="B113" s="20" t="s">
        <v>64</v>
      </c>
      <c r="C113" s="21" t="n">
        <f aca="false">SUM(C82:C112)</f>
        <v>38</v>
      </c>
      <c r="D113" s="22" t="n">
        <f aca="false">SUM(D82:D112)</f>
        <v>2403.39</v>
      </c>
      <c r="E113" s="23" t="n">
        <f aca="false">SUM(E82:E112)</f>
        <v>102534</v>
      </c>
      <c r="F113" s="23" t="n">
        <f aca="false">SUM(F82:F112)</f>
        <v>106094</v>
      </c>
      <c r="G113" s="24" t="n">
        <f aca="false">IF(F113=0,0,E113/F113*100)</f>
        <v>96.6444850792693</v>
      </c>
      <c r="H113" s="21" t="n">
        <f aca="false">SUM(H82:H112)</f>
        <v>1</v>
      </c>
      <c r="I113" s="21" t="n">
        <f aca="false">SUM(I82:I112)</f>
        <v>1</v>
      </c>
      <c r="J113" s="21" t="n">
        <f aca="false">SUM(J82:J112)</f>
        <v>0</v>
      </c>
      <c r="K113" s="21" t="n">
        <f aca="false">SUM(K82:K112)</f>
        <v>54</v>
      </c>
    </row>
    <row r="114" customFormat="false" ht="15" hidden="false" customHeight="false" outlineLevel="0" collapsed="false">
      <c r="A114" s="15" t="s">
        <v>114</v>
      </c>
      <c r="B114" s="15" t="s">
        <v>41</v>
      </c>
      <c r="C114" s="16" t="n">
        <v>2</v>
      </c>
      <c r="D114" s="17" t="n">
        <v>77.84</v>
      </c>
      <c r="E114" s="18" t="n">
        <v>8712</v>
      </c>
      <c r="F114" s="18" t="n">
        <v>8773</v>
      </c>
      <c r="G114" s="19" t="n">
        <f aca="false">IF(F114=0,0,E114/F114*100)</f>
        <v>99.3046848284509</v>
      </c>
      <c r="H114" s="16" t="n">
        <v>0</v>
      </c>
      <c r="I114" s="16" t="n">
        <v>0</v>
      </c>
      <c r="J114" s="16" t="n">
        <v>0</v>
      </c>
      <c r="K114" s="16" t="n">
        <v>1</v>
      </c>
    </row>
    <row r="115" customFormat="false" ht="15" hidden="false" customHeight="false" outlineLevel="0" collapsed="false">
      <c r="A115" s="15" t="s">
        <v>114</v>
      </c>
      <c r="B115" s="15" t="s">
        <v>86</v>
      </c>
      <c r="C115" s="16" t="n">
        <v>2</v>
      </c>
      <c r="D115" s="17" t="n">
        <v>77.86</v>
      </c>
      <c r="E115" s="18" t="n">
        <v>6360</v>
      </c>
      <c r="F115" s="18" t="n">
        <v>6464</v>
      </c>
      <c r="G115" s="19" t="n">
        <f aca="false">IF(F115=0,0,E115/F115*100)</f>
        <v>98.3910891089109</v>
      </c>
      <c r="H115" s="16" t="n">
        <v>0</v>
      </c>
      <c r="I115" s="16" t="n">
        <v>0</v>
      </c>
      <c r="J115" s="16" t="n">
        <v>0</v>
      </c>
      <c r="K115" s="16" t="n">
        <v>3</v>
      </c>
    </row>
    <row r="116" customFormat="false" ht="15" hidden="false" customHeight="false" outlineLevel="0" collapsed="false">
      <c r="A116" s="15" t="s">
        <v>114</v>
      </c>
      <c r="B116" s="15" t="s">
        <v>115</v>
      </c>
      <c r="C116" s="16" t="n">
        <v>2</v>
      </c>
      <c r="D116" s="17" t="n">
        <v>77.83</v>
      </c>
      <c r="E116" s="18" t="n">
        <v>6375</v>
      </c>
      <c r="F116" s="18" t="n">
        <v>6437</v>
      </c>
      <c r="G116" s="19" t="n">
        <f aca="false">IF(F116=0,0,E116/F116*100)</f>
        <v>99.0368183936617</v>
      </c>
      <c r="H116" s="16" t="n">
        <v>0</v>
      </c>
      <c r="I116" s="16" t="n">
        <v>0</v>
      </c>
      <c r="J116" s="16" t="n">
        <v>0</v>
      </c>
      <c r="K116" s="16" t="n">
        <v>2</v>
      </c>
    </row>
    <row r="117" customFormat="false" ht="15" hidden="false" customHeight="false" outlineLevel="0" collapsed="false">
      <c r="A117" s="15" t="s">
        <v>114</v>
      </c>
      <c r="B117" s="15" t="s">
        <v>49</v>
      </c>
      <c r="C117" s="16" t="n">
        <v>2</v>
      </c>
      <c r="D117" s="17" t="n">
        <v>77.83</v>
      </c>
      <c r="E117" s="18" t="n">
        <v>5581</v>
      </c>
      <c r="F117" s="18" t="n">
        <v>5826</v>
      </c>
      <c r="G117" s="19" t="n">
        <f aca="false">IF(F117=0,0,E117/F117*100)</f>
        <v>95.7947133539307</v>
      </c>
      <c r="H117" s="16" t="n">
        <v>0</v>
      </c>
      <c r="I117" s="16" t="n">
        <v>0</v>
      </c>
      <c r="J117" s="16" t="n">
        <v>0</v>
      </c>
      <c r="K117" s="16" t="n">
        <v>4</v>
      </c>
    </row>
    <row r="118" customFormat="false" ht="15" hidden="false" customHeight="false" outlineLevel="0" collapsed="false">
      <c r="A118" s="15" t="s">
        <v>114</v>
      </c>
      <c r="B118" s="15" t="s">
        <v>116</v>
      </c>
      <c r="C118" s="16" t="n">
        <v>1</v>
      </c>
      <c r="D118" s="17" t="n">
        <v>77.74</v>
      </c>
      <c r="E118" s="18" t="n">
        <v>3944</v>
      </c>
      <c r="F118" s="18" t="n">
        <v>3950</v>
      </c>
      <c r="G118" s="19" t="n">
        <f aca="false">IF(F118=0,0,E118/F118*100)</f>
        <v>99.8481012658228</v>
      </c>
      <c r="H118" s="16" t="n">
        <v>0</v>
      </c>
      <c r="I118" s="16" t="n">
        <v>0</v>
      </c>
      <c r="J118" s="16" t="n">
        <v>0</v>
      </c>
      <c r="K118" s="16" t="n">
        <v>0</v>
      </c>
    </row>
    <row r="119" customFormat="false" ht="15" hidden="false" customHeight="false" outlineLevel="0" collapsed="false">
      <c r="A119" s="15" t="s">
        <v>114</v>
      </c>
      <c r="B119" s="15" t="s">
        <v>117</v>
      </c>
      <c r="C119" s="16" t="n">
        <v>1</v>
      </c>
      <c r="D119" s="17" t="n">
        <v>77.82</v>
      </c>
      <c r="E119" s="18" t="n">
        <v>3111</v>
      </c>
      <c r="F119" s="18" t="n">
        <v>3137</v>
      </c>
      <c r="G119" s="19" t="n">
        <f aca="false">IF(F119=0,0,E119/F119*100)</f>
        <v>99.171182658591</v>
      </c>
      <c r="H119" s="16" t="n">
        <v>0</v>
      </c>
      <c r="I119" s="16" t="n">
        <v>0</v>
      </c>
      <c r="J119" s="16" t="n">
        <v>0</v>
      </c>
      <c r="K119" s="16" t="n">
        <v>1</v>
      </c>
    </row>
    <row r="120" customFormat="false" ht="15" hidden="false" customHeight="false" outlineLevel="0" collapsed="false">
      <c r="A120" s="15" t="s">
        <v>114</v>
      </c>
      <c r="B120" s="15" t="s">
        <v>48</v>
      </c>
      <c r="C120" s="16" t="n">
        <v>1</v>
      </c>
      <c r="D120" s="17" t="n">
        <v>77.85</v>
      </c>
      <c r="E120" s="18" t="n">
        <v>2960</v>
      </c>
      <c r="F120" s="18" t="n">
        <v>2988</v>
      </c>
      <c r="G120" s="19" t="n">
        <f aca="false">IF(F120=0,0,E120/F120*100)</f>
        <v>99.0629183400268</v>
      </c>
      <c r="H120" s="16" t="n">
        <v>0</v>
      </c>
      <c r="I120" s="16" t="n">
        <v>0</v>
      </c>
      <c r="J120" s="16" t="n">
        <v>0</v>
      </c>
      <c r="K120" s="16" t="n">
        <v>1</v>
      </c>
    </row>
    <row r="121" customFormat="false" ht="15" hidden="false" customHeight="false" outlineLevel="0" collapsed="false">
      <c r="A121" s="15" t="s">
        <v>114</v>
      </c>
      <c r="B121" s="15" t="s">
        <v>118</v>
      </c>
      <c r="C121" s="16" t="n">
        <v>1</v>
      </c>
      <c r="D121" s="17" t="n">
        <v>77.74</v>
      </c>
      <c r="E121" s="18" t="n">
        <v>2906</v>
      </c>
      <c r="F121" s="18" t="n">
        <v>2912</v>
      </c>
      <c r="G121" s="19" t="n">
        <f aca="false">IF(F121=0,0,E121/F121*100)</f>
        <v>99.793956043956</v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 customFormat="false" ht="15" hidden="false" customHeight="false" outlineLevel="0" collapsed="false">
      <c r="A122" s="15" t="s">
        <v>114</v>
      </c>
      <c r="B122" s="15" t="s">
        <v>55</v>
      </c>
      <c r="C122" s="16" t="n">
        <v>1</v>
      </c>
      <c r="D122" s="17" t="n">
        <v>76.92</v>
      </c>
      <c r="E122" s="18" t="n">
        <v>2780</v>
      </c>
      <c r="F122" s="18" t="n">
        <v>2824</v>
      </c>
      <c r="G122" s="19" t="n">
        <f aca="false">IF(F122=0,0,E122/F122*100)</f>
        <v>98.4419263456091</v>
      </c>
      <c r="H122" s="16" t="n">
        <v>0</v>
      </c>
      <c r="I122" s="16" t="n">
        <v>0</v>
      </c>
      <c r="J122" s="16" t="n">
        <v>0</v>
      </c>
      <c r="K122" s="16" t="n">
        <v>3</v>
      </c>
    </row>
    <row r="123" customFormat="false" ht="15" hidden="false" customHeight="false" outlineLevel="0" collapsed="false">
      <c r="A123" s="15" t="s">
        <v>114</v>
      </c>
      <c r="B123" s="15" t="s">
        <v>77</v>
      </c>
      <c r="C123" s="16" t="n">
        <v>1</v>
      </c>
      <c r="D123" s="17" t="n">
        <v>77.86</v>
      </c>
      <c r="E123" s="18" t="n">
        <v>2578</v>
      </c>
      <c r="F123" s="18" t="n">
        <v>2605</v>
      </c>
      <c r="G123" s="19" t="n">
        <f aca="false">IF(F123=0,0,E123/F123*100)</f>
        <v>98.9635316698657</v>
      </c>
      <c r="H123" s="16" t="n">
        <v>0</v>
      </c>
      <c r="I123" s="16" t="n">
        <v>0</v>
      </c>
      <c r="J123" s="16" t="n">
        <v>0</v>
      </c>
      <c r="K123" s="16" t="n">
        <v>2</v>
      </c>
    </row>
    <row r="124" customFormat="false" ht="15" hidden="false" customHeight="false" outlineLevel="0" collapsed="false">
      <c r="A124" s="15" t="s">
        <v>114</v>
      </c>
      <c r="B124" s="15" t="s">
        <v>119</v>
      </c>
      <c r="C124" s="16" t="n">
        <v>1</v>
      </c>
      <c r="D124" s="17" t="n">
        <v>77.73</v>
      </c>
      <c r="E124" s="18" t="n">
        <v>2470</v>
      </c>
      <c r="F124" s="18" t="n">
        <v>2481</v>
      </c>
      <c r="G124" s="19" t="n">
        <f aca="false">IF(F124=0,0,E124/F124*100)</f>
        <v>99.5566303909714</v>
      </c>
      <c r="H124" s="16" t="n">
        <v>0</v>
      </c>
      <c r="I124" s="16" t="n">
        <v>0</v>
      </c>
      <c r="J124" s="16" t="n">
        <v>0</v>
      </c>
      <c r="K124" s="16" t="n">
        <v>1</v>
      </c>
    </row>
    <row r="125" customFormat="false" ht="15" hidden="false" customHeight="false" outlineLevel="0" collapsed="false">
      <c r="A125" s="15" t="s">
        <v>114</v>
      </c>
      <c r="B125" s="15" t="s">
        <v>120</v>
      </c>
      <c r="C125" s="16" t="n">
        <v>1</v>
      </c>
      <c r="D125" s="17" t="n">
        <v>77.83</v>
      </c>
      <c r="E125" s="18" t="n">
        <v>2413</v>
      </c>
      <c r="F125" s="18" t="n">
        <v>2438</v>
      </c>
      <c r="G125" s="19" t="n">
        <f aca="false">IF(F125=0,0,E125/F125*100)</f>
        <v>98.974569319114</v>
      </c>
      <c r="H125" s="16" t="n">
        <v>0</v>
      </c>
      <c r="I125" s="16" t="n">
        <v>0</v>
      </c>
      <c r="J125" s="16" t="n">
        <v>0</v>
      </c>
      <c r="K125" s="16" t="n">
        <v>1</v>
      </c>
    </row>
    <row r="126" customFormat="false" ht="15" hidden="false" customHeight="false" outlineLevel="0" collapsed="false">
      <c r="A126" s="15" t="s">
        <v>114</v>
      </c>
      <c r="B126" s="15" t="s">
        <v>60</v>
      </c>
      <c r="C126" s="16" t="n">
        <v>1</v>
      </c>
      <c r="D126" s="17" t="n">
        <v>77.7</v>
      </c>
      <c r="E126" s="18" t="n">
        <v>2329</v>
      </c>
      <c r="F126" s="18" t="n">
        <v>2336</v>
      </c>
      <c r="G126" s="19" t="n">
        <f aca="false">IF(F126=0,0,E126/F126*100)</f>
        <v>99.7003424657534</v>
      </c>
      <c r="H126" s="16" t="n">
        <v>0</v>
      </c>
      <c r="I126" s="16" t="n">
        <v>0</v>
      </c>
      <c r="J126" s="16" t="n">
        <v>0</v>
      </c>
      <c r="K126" s="16" t="n">
        <v>0</v>
      </c>
    </row>
    <row r="127" customFormat="false" ht="15" hidden="false" customHeight="false" outlineLevel="0" collapsed="false">
      <c r="A127" s="15" t="s">
        <v>114</v>
      </c>
      <c r="B127" s="15" t="s">
        <v>83</v>
      </c>
      <c r="C127" s="16" t="n">
        <v>1</v>
      </c>
      <c r="D127" s="17" t="n">
        <v>77.84</v>
      </c>
      <c r="E127" s="18" t="n">
        <v>0</v>
      </c>
      <c r="F127" s="18" t="n">
        <v>1554</v>
      </c>
      <c r="G127" s="19" t="n">
        <f aca="false">IF(F127=0,0,E127/F127*100)</f>
        <v>0</v>
      </c>
      <c r="H127" s="16" t="n">
        <v>0</v>
      </c>
      <c r="I127" s="16" t="n">
        <v>0</v>
      </c>
      <c r="J127" s="16" t="n">
        <v>0</v>
      </c>
      <c r="K127" s="16" t="n">
        <v>0</v>
      </c>
    </row>
    <row r="128" customFormat="false" ht="15" hidden="false" customHeight="false" outlineLevel="0" collapsed="false">
      <c r="A128" s="15" t="s">
        <v>114</v>
      </c>
      <c r="B128" s="15" t="s">
        <v>121</v>
      </c>
      <c r="C128" s="16" t="n">
        <v>1</v>
      </c>
      <c r="D128" s="17" t="n">
        <v>75.21</v>
      </c>
      <c r="E128" s="18" t="n">
        <v>611</v>
      </c>
      <c r="F128" s="18" t="n">
        <v>668</v>
      </c>
      <c r="G128" s="19" t="n">
        <f aca="false">IF(F128=0,0,E128/F128*100)</f>
        <v>91.4670658682635</v>
      </c>
      <c r="H128" s="16" t="n">
        <v>0</v>
      </c>
      <c r="I128" s="16" t="n">
        <v>0</v>
      </c>
      <c r="J128" s="16" t="n">
        <v>0</v>
      </c>
      <c r="K128" s="16" t="n">
        <v>0</v>
      </c>
    </row>
    <row r="129" customFormat="false" ht="15" hidden="false" customHeight="false" outlineLevel="0" collapsed="false">
      <c r="A129" s="15" t="s">
        <v>114</v>
      </c>
      <c r="B129" s="15" t="s">
        <v>84</v>
      </c>
      <c r="C129" s="16" t="n">
        <v>0</v>
      </c>
      <c r="D129" s="17" t="n">
        <v>5.07</v>
      </c>
      <c r="E129" s="18" t="n">
        <v>1590</v>
      </c>
      <c r="F129" s="18" t="n">
        <v>2970</v>
      </c>
      <c r="G129" s="19" t="n">
        <f aca="false">IF(F129=0,0,E129/F129*100)</f>
        <v>53.5353535353535</v>
      </c>
      <c r="H129" s="16" t="n">
        <v>9</v>
      </c>
      <c r="I129" s="16" t="n">
        <v>0</v>
      </c>
      <c r="J129" s="16" t="n">
        <v>9</v>
      </c>
      <c r="K129" s="16" t="n">
        <v>6</v>
      </c>
    </row>
    <row r="130" customFormat="false" ht="15" hidden="false" customHeight="false" outlineLevel="0" collapsed="false">
      <c r="A130" s="20" t="s">
        <v>114</v>
      </c>
      <c r="B130" s="20" t="s">
        <v>64</v>
      </c>
      <c r="C130" s="21" t="n">
        <f aca="false">SUM(C114:C129)</f>
        <v>19</v>
      </c>
      <c r="D130" s="22" t="n">
        <f aca="false">SUM(D114:D129)</f>
        <v>1168.67</v>
      </c>
      <c r="E130" s="23" t="n">
        <f aca="false">SUM(E114:E129)</f>
        <v>54720</v>
      </c>
      <c r="F130" s="23" t="n">
        <f aca="false">SUM(F114:F129)</f>
        <v>58363</v>
      </c>
      <c r="G130" s="24" t="n">
        <f aca="false">IF(F130=0,0,E130/F130*100)</f>
        <v>93.7580316296284</v>
      </c>
      <c r="H130" s="21" t="n">
        <f aca="false">SUM(H114:H129)</f>
        <v>9</v>
      </c>
      <c r="I130" s="21" t="n">
        <f aca="false">SUM(I114:I129)</f>
        <v>0</v>
      </c>
      <c r="J130" s="21" t="n">
        <f aca="false">SUM(J114:J129)</f>
        <v>9</v>
      </c>
      <c r="K130" s="21" t="n">
        <f aca="false">SUM(K114:K129)</f>
        <v>25</v>
      </c>
    </row>
    <row r="131" customFormat="false" ht="15" hidden="false" customHeight="false" outlineLevel="0" collapsed="false">
      <c r="A131" s="15" t="s">
        <v>122</v>
      </c>
      <c r="B131" s="15" t="s">
        <v>66</v>
      </c>
      <c r="C131" s="16" t="n">
        <v>2</v>
      </c>
      <c r="D131" s="17" t="n">
        <v>77.86</v>
      </c>
      <c r="E131" s="18" t="n">
        <v>9874</v>
      </c>
      <c r="F131" s="18" t="n">
        <v>9943</v>
      </c>
      <c r="G131" s="19" t="n">
        <f aca="false">IF(F131=0,0,E131/F131*100)</f>
        <v>99.3060444533843</v>
      </c>
      <c r="H131" s="16" t="n">
        <v>0</v>
      </c>
      <c r="I131" s="16" t="n">
        <v>0</v>
      </c>
      <c r="J131" s="16" t="n">
        <v>0</v>
      </c>
      <c r="K131" s="16" t="n">
        <v>1</v>
      </c>
    </row>
    <row r="132" customFormat="false" ht="15" hidden="false" customHeight="false" outlineLevel="0" collapsed="false">
      <c r="A132" s="15" t="s">
        <v>122</v>
      </c>
      <c r="B132" s="15" t="s">
        <v>49</v>
      </c>
      <c r="C132" s="16" t="n">
        <v>2</v>
      </c>
      <c r="D132" s="17" t="n">
        <v>77.85</v>
      </c>
      <c r="E132" s="18" t="n">
        <v>6809</v>
      </c>
      <c r="F132" s="18" t="n">
        <v>6878</v>
      </c>
      <c r="G132" s="19" t="n">
        <f aca="false">IF(F132=0,0,E132/F132*100)</f>
        <v>98.9968013957546</v>
      </c>
      <c r="H132" s="16" t="n">
        <v>0</v>
      </c>
      <c r="I132" s="16" t="n">
        <v>0</v>
      </c>
      <c r="J132" s="16" t="n">
        <v>0</v>
      </c>
      <c r="K132" s="16" t="n">
        <v>2</v>
      </c>
    </row>
    <row r="133" customFormat="false" ht="15" hidden="false" customHeight="false" outlineLevel="0" collapsed="false">
      <c r="A133" s="15" t="s">
        <v>122</v>
      </c>
      <c r="B133" s="15" t="s">
        <v>37</v>
      </c>
      <c r="C133" s="16" t="n">
        <v>2</v>
      </c>
      <c r="D133" s="17" t="n">
        <v>77.86</v>
      </c>
      <c r="E133" s="18" t="n">
        <v>6205</v>
      </c>
      <c r="F133" s="18" t="n">
        <v>6298</v>
      </c>
      <c r="G133" s="19" t="n">
        <f aca="false">IF(F133=0,0,E133/F133*100)</f>
        <v>98.523340743093</v>
      </c>
      <c r="H133" s="16" t="n">
        <v>0</v>
      </c>
      <c r="I133" s="16" t="n">
        <v>0</v>
      </c>
      <c r="J133" s="16" t="n">
        <v>0</v>
      </c>
      <c r="K133" s="16" t="n">
        <v>7</v>
      </c>
    </row>
    <row r="134" customFormat="false" ht="15" hidden="false" customHeight="false" outlineLevel="0" collapsed="false">
      <c r="A134" s="15" t="s">
        <v>122</v>
      </c>
      <c r="B134" s="15" t="s">
        <v>52</v>
      </c>
      <c r="C134" s="16" t="n">
        <v>2</v>
      </c>
      <c r="D134" s="17" t="n">
        <v>77.84</v>
      </c>
      <c r="E134" s="18" t="n">
        <v>4794</v>
      </c>
      <c r="F134" s="18" t="n">
        <v>4813</v>
      </c>
      <c r="G134" s="19" t="n">
        <f aca="false">IF(F134=0,0,E134/F134*100)</f>
        <v>99.6052358196551</v>
      </c>
      <c r="H134" s="16" t="n">
        <v>0</v>
      </c>
      <c r="I134" s="16" t="n">
        <v>0</v>
      </c>
      <c r="J134" s="16" t="n">
        <v>0</v>
      </c>
      <c r="K134" s="16" t="n">
        <v>1</v>
      </c>
    </row>
    <row r="135" customFormat="false" ht="15" hidden="false" customHeight="false" outlineLevel="0" collapsed="false">
      <c r="A135" s="15" t="s">
        <v>122</v>
      </c>
      <c r="B135" s="15" t="s">
        <v>123</v>
      </c>
      <c r="C135" s="16" t="n">
        <v>2</v>
      </c>
      <c r="D135" s="17" t="n">
        <v>77.86</v>
      </c>
      <c r="E135" s="18" t="n">
        <v>4608</v>
      </c>
      <c r="F135" s="18" t="n">
        <v>4623</v>
      </c>
      <c r="G135" s="19" t="n">
        <f aca="false">IF(F135=0,0,E135/F135*100)</f>
        <v>99.675535366645</v>
      </c>
      <c r="H135" s="16" t="n">
        <v>0</v>
      </c>
      <c r="I135" s="16" t="n">
        <v>0</v>
      </c>
      <c r="J135" s="16" t="n">
        <v>0</v>
      </c>
      <c r="K135" s="16" t="n">
        <v>1</v>
      </c>
    </row>
    <row r="136" customFormat="false" ht="15" hidden="false" customHeight="false" outlineLevel="0" collapsed="false">
      <c r="A136" s="15" t="s">
        <v>122</v>
      </c>
      <c r="B136" s="15" t="s">
        <v>124</v>
      </c>
      <c r="C136" s="16" t="n">
        <v>1</v>
      </c>
      <c r="D136" s="17" t="n">
        <v>77.68</v>
      </c>
      <c r="E136" s="18" t="n">
        <v>5478</v>
      </c>
      <c r="F136" s="18" t="n">
        <v>5503</v>
      </c>
      <c r="G136" s="19" t="n">
        <f aca="false">IF(F136=0,0,E136/F136*100)</f>
        <v>99.5457023441759</v>
      </c>
      <c r="H136" s="16" t="n">
        <v>0</v>
      </c>
      <c r="I136" s="16" t="n">
        <v>0</v>
      </c>
      <c r="J136" s="16" t="n">
        <v>0</v>
      </c>
      <c r="K136" s="16" t="n">
        <v>1</v>
      </c>
    </row>
    <row r="137" customFormat="false" ht="15" hidden="false" customHeight="false" outlineLevel="0" collapsed="false">
      <c r="A137" s="15" t="s">
        <v>122</v>
      </c>
      <c r="B137" s="15" t="s">
        <v>125</v>
      </c>
      <c r="C137" s="16" t="n">
        <v>1</v>
      </c>
      <c r="D137" s="17" t="n">
        <v>77.83</v>
      </c>
      <c r="E137" s="18" t="n">
        <v>5322</v>
      </c>
      <c r="F137" s="18" t="n">
        <v>5382</v>
      </c>
      <c r="G137" s="19" t="n">
        <f aca="false">IF(F137=0,0,E137/F137*100)</f>
        <v>98.8851727982163</v>
      </c>
      <c r="H137" s="16" t="n">
        <v>0</v>
      </c>
      <c r="I137" s="16" t="n">
        <v>0</v>
      </c>
      <c r="J137" s="16" t="n">
        <v>0</v>
      </c>
      <c r="K137" s="16" t="n">
        <v>0</v>
      </c>
    </row>
    <row r="138" customFormat="false" ht="15" hidden="false" customHeight="false" outlineLevel="0" collapsed="false">
      <c r="A138" s="15" t="s">
        <v>122</v>
      </c>
      <c r="B138" s="15" t="s">
        <v>88</v>
      </c>
      <c r="C138" s="16" t="n">
        <v>1</v>
      </c>
      <c r="D138" s="17" t="n">
        <v>77.86</v>
      </c>
      <c r="E138" s="18" t="n">
        <v>4748</v>
      </c>
      <c r="F138" s="18" t="n">
        <v>4770</v>
      </c>
      <c r="G138" s="19" t="n">
        <f aca="false">IF(F138=0,0,E138/F138*100)</f>
        <v>99.538784067086</v>
      </c>
      <c r="H138" s="16" t="n">
        <v>0</v>
      </c>
      <c r="I138" s="16" t="n">
        <v>0</v>
      </c>
      <c r="J138" s="16" t="n">
        <v>0</v>
      </c>
      <c r="K138" s="16" t="n">
        <v>1</v>
      </c>
    </row>
    <row r="139" customFormat="false" ht="15" hidden="false" customHeight="false" outlineLevel="0" collapsed="false">
      <c r="A139" s="15" t="s">
        <v>122</v>
      </c>
      <c r="B139" s="15" t="s">
        <v>126</v>
      </c>
      <c r="C139" s="16" t="n">
        <v>1</v>
      </c>
      <c r="D139" s="17" t="n">
        <v>77.72</v>
      </c>
      <c r="E139" s="18" t="n">
        <v>4118</v>
      </c>
      <c r="F139" s="18" t="n">
        <v>4125</v>
      </c>
      <c r="G139" s="19" t="n">
        <f aca="false">IF(F139=0,0,E139/F139*100)</f>
        <v>99.830303030303</v>
      </c>
      <c r="H139" s="16" t="n">
        <v>0</v>
      </c>
      <c r="I139" s="16" t="n">
        <v>0</v>
      </c>
      <c r="J139" s="16" t="n">
        <v>0</v>
      </c>
      <c r="K139" s="16" t="n">
        <v>0</v>
      </c>
    </row>
    <row r="140" customFormat="false" ht="15" hidden="false" customHeight="false" outlineLevel="0" collapsed="false">
      <c r="A140" s="15" t="s">
        <v>122</v>
      </c>
      <c r="B140" s="15" t="s">
        <v>72</v>
      </c>
      <c r="C140" s="16" t="n">
        <v>1</v>
      </c>
      <c r="D140" s="17" t="n">
        <v>77.86</v>
      </c>
      <c r="E140" s="18" t="n">
        <v>3911</v>
      </c>
      <c r="F140" s="18" t="n">
        <v>3954</v>
      </c>
      <c r="G140" s="19" t="n">
        <f aca="false">IF(F140=0,0,E140/F140*100)</f>
        <v>98.9124936772888</v>
      </c>
      <c r="H140" s="16" t="n">
        <v>0</v>
      </c>
      <c r="I140" s="16" t="n">
        <v>0</v>
      </c>
      <c r="J140" s="16" t="n">
        <v>0</v>
      </c>
      <c r="K140" s="16" t="n">
        <v>2</v>
      </c>
    </row>
    <row r="141" customFormat="false" ht="15" hidden="false" customHeight="false" outlineLevel="0" collapsed="false">
      <c r="A141" s="15" t="s">
        <v>122</v>
      </c>
      <c r="B141" s="15" t="s">
        <v>109</v>
      </c>
      <c r="C141" s="16" t="n">
        <v>1</v>
      </c>
      <c r="D141" s="17" t="n">
        <v>77.74</v>
      </c>
      <c r="E141" s="18" t="n">
        <v>3811</v>
      </c>
      <c r="F141" s="18" t="n">
        <v>3826</v>
      </c>
      <c r="G141" s="19" t="n">
        <f aca="false">IF(F141=0,0,E141/F141*100)</f>
        <v>99.6079456351281</v>
      </c>
      <c r="H141" s="16" t="n">
        <v>0</v>
      </c>
      <c r="I141" s="16" t="n">
        <v>0</v>
      </c>
      <c r="J141" s="16" t="n">
        <v>0</v>
      </c>
      <c r="K141" s="16" t="n">
        <v>0</v>
      </c>
    </row>
    <row r="142" customFormat="false" ht="15" hidden="false" customHeight="false" outlineLevel="0" collapsed="false">
      <c r="A142" s="15" t="s">
        <v>122</v>
      </c>
      <c r="B142" s="15" t="s">
        <v>127</v>
      </c>
      <c r="C142" s="16" t="n">
        <v>1</v>
      </c>
      <c r="D142" s="17" t="n">
        <v>77.73</v>
      </c>
      <c r="E142" s="18" t="n">
        <v>3267</v>
      </c>
      <c r="F142" s="18" t="n">
        <v>3315</v>
      </c>
      <c r="G142" s="19" t="n">
        <f aca="false">IF(F142=0,0,E142/F142*100)</f>
        <v>98.552036199095</v>
      </c>
      <c r="H142" s="16" t="n">
        <v>0</v>
      </c>
      <c r="I142" s="16" t="n">
        <v>0</v>
      </c>
      <c r="J142" s="16" t="n">
        <v>0</v>
      </c>
      <c r="K142" s="16" t="n">
        <v>3</v>
      </c>
    </row>
    <row r="143" customFormat="false" ht="15" hidden="false" customHeight="false" outlineLevel="0" collapsed="false">
      <c r="A143" s="15" t="s">
        <v>122</v>
      </c>
      <c r="B143" s="15" t="s">
        <v>106</v>
      </c>
      <c r="C143" s="16" t="n">
        <v>1</v>
      </c>
      <c r="D143" s="17" t="n">
        <v>77.72</v>
      </c>
      <c r="E143" s="18" t="n">
        <v>3006</v>
      </c>
      <c r="F143" s="18" t="n">
        <v>3013</v>
      </c>
      <c r="G143" s="19" t="n">
        <f aca="false">IF(F143=0,0,E143/F143*100)</f>
        <v>99.7676734152008</v>
      </c>
      <c r="H143" s="16" t="n">
        <v>0</v>
      </c>
      <c r="I143" s="16" t="n">
        <v>0</v>
      </c>
      <c r="J143" s="16" t="n">
        <v>0</v>
      </c>
      <c r="K143" s="16" t="n">
        <v>0</v>
      </c>
    </row>
    <row r="144" customFormat="false" ht="15" hidden="false" customHeight="false" outlineLevel="0" collapsed="false">
      <c r="A144" s="15" t="s">
        <v>122</v>
      </c>
      <c r="B144" s="15" t="s">
        <v>128</v>
      </c>
      <c r="C144" s="16" t="n">
        <v>1</v>
      </c>
      <c r="D144" s="17" t="n">
        <v>77.83</v>
      </c>
      <c r="E144" s="18" t="n">
        <v>2907</v>
      </c>
      <c r="F144" s="18" t="n">
        <v>2946</v>
      </c>
      <c r="G144" s="19" t="n">
        <f aca="false">IF(F144=0,0,E144/F144*100)</f>
        <v>98.6761710794297</v>
      </c>
      <c r="H144" s="16" t="n">
        <v>0</v>
      </c>
      <c r="I144" s="16" t="n">
        <v>0</v>
      </c>
      <c r="J144" s="16" t="n">
        <v>0</v>
      </c>
      <c r="K144" s="16" t="n">
        <v>1</v>
      </c>
    </row>
    <row r="145" customFormat="false" ht="15" hidden="false" customHeight="false" outlineLevel="0" collapsed="false">
      <c r="A145" s="15" t="s">
        <v>122</v>
      </c>
      <c r="B145" s="15" t="s">
        <v>61</v>
      </c>
      <c r="C145" s="16" t="n">
        <v>1</v>
      </c>
      <c r="D145" s="17" t="n">
        <v>77.68</v>
      </c>
      <c r="E145" s="18" t="n">
        <v>2888</v>
      </c>
      <c r="F145" s="18" t="n">
        <v>2931</v>
      </c>
      <c r="G145" s="19" t="n">
        <f aca="false">IF(F145=0,0,E145/F145*100)</f>
        <v>98.532923916752</v>
      </c>
      <c r="H145" s="16" t="n">
        <v>0</v>
      </c>
      <c r="I145" s="16" t="n">
        <v>0</v>
      </c>
      <c r="J145" s="16" t="n">
        <v>0</v>
      </c>
      <c r="K145" s="16" t="n">
        <v>1</v>
      </c>
    </row>
    <row r="146" customFormat="false" ht="15" hidden="false" customHeight="false" outlineLevel="0" collapsed="false">
      <c r="A146" s="15" t="s">
        <v>122</v>
      </c>
      <c r="B146" s="15" t="s">
        <v>77</v>
      </c>
      <c r="C146" s="16" t="n">
        <v>1</v>
      </c>
      <c r="D146" s="17" t="n">
        <v>77.73</v>
      </c>
      <c r="E146" s="18" t="n">
        <v>2710</v>
      </c>
      <c r="F146" s="18" t="n">
        <v>2812</v>
      </c>
      <c r="G146" s="19" t="n">
        <f aca="false">IF(F146=0,0,E146/F146*100)</f>
        <v>96.3726884779516</v>
      </c>
      <c r="H146" s="16" t="n">
        <v>0</v>
      </c>
      <c r="I146" s="16" t="n">
        <v>0</v>
      </c>
      <c r="J146" s="16" t="n">
        <v>0</v>
      </c>
      <c r="K146" s="16" t="n">
        <v>5</v>
      </c>
    </row>
    <row r="147" customFormat="false" ht="15" hidden="false" customHeight="false" outlineLevel="0" collapsed="false">
      <c r="A147" s="15" t="s">
        <v>122</v>
      </c>
      <c r="B147" s="15" t="s">
        <v>129</v>
      </c>
      <c r="C147" s="16" t="n">
        <v>1</v>
      </c>
      <c r="D147" s="17" t="n">
        <v>77.86</v>
      </c>
      <c r="E147" s="18" t="n">
        <v>2668</v>
      </c>
      <c r="F147" s="18" t="n">
        <v>2687</v>
      </c>
      <c r="G147" s="19" t="n">
        <f aca="false">IF(F147=0,0,E147/F147*100)</f>
        <v>99.2928917007815</v>
      </c>
      <c r="H147" s="16" t="n">
        <v>0</v>
      </c>
      <c r="I147" s="16" t="n">
        <v>0</v>
      </c>
      <c r="J147" s="16" t="n">
        <v>0</v>
      </c>
      <c r="K147" s="16" t="n">
        <v>1</v>
      </c>
    </row>
    <row r="148" customFormat="false" ht="15" hidden="false" customHeight="false" outlineLevel="0" collapsed="false">
      <c r="A148" s="15" t="s">
        <v>122</v>
      </c>
      <c r="B148" s="15" t="s">
        <v>42</v>
      </c>
      <c r="C148" s="16" t="n">
        <v>1</v>
      </c>
      <c r="D148" s="17" t="n">
        <v>77.67</v>
      </c>
      <c r="E148" s="18" t="n">
        <v>2609</v>
      </c>
      <c r="F148" s="18" t="n">
        <v>2613</v>
      </c>
      <c r="G148" s="19" t="n">
        <f aca="false">IF(F148=0,0,E148/F148*100)</f>
        <v>99.8469192499043</v>
      </c>
      <c r="H148" s="16" t="n">
        <v>0</v>
      </c>
      <c r="I148" s="16" t="n">
        <v>0</v>
      </c>
      <c r="J148" s="16" t="n">
        <v>0</v>
      </c>
      <c r="K148" s="16" t="n">
        <v>0</v>
      </c>
    </row>
    <row r="149" customFormat="false" ht="15" hidden="false" customHeight="false" outlineLevel="0" collapsed="false">
      <c r="A149" s="15" t="s">
        <v>122</v>
      </c>
      <c r="B149" s="15" t="s">
        <v>80</v>
      </c>
      <c r="C149" s="16" t="n">
        <v>1</v>
      </c>
      <c r="D149" s="17" t="n">
        <v>77.82</v>
      </c>
      <c r="E149" s="18" t="n">
        <v>1905</v>
      </c>
      <c r="F149" s="18" t="n">
        <v>2507</v>
      </c>
      <c r="G149" s="19" t="n">
        <f aca="false">IF(F149=0,0,E149/F149*100)</f>
        <v>75.9872357399282</v>
      </c>
      <c r="H149" s="16" t="n">
        <v>0</v>
      </c>
      <c r="I149" s="16" t="n">
        <v>0</v>
      </c>
      <c r="J149" s="16" t="n">
        <v>0</v>
      </c>
      <c r="K149" s="16" t="n">
        <v>19</v>
      </c>
    </row>
    <row r="150" customFormat="false" ht="15" hidden="false" customHeight="false" outlineLevel="0" collapsed="false">
      <c r="A150" s="15" t="s">
        <v>122</v>
      </c>
      <c r="B150" s="15" t="s">
        <v>130</v>
      </c>
      <c r="C150" s="16" t="n">
        <v>1</v>
      </c>
      <c r="D150" s="17" t="n">
        <v>77.85</v>
      </c>
      <c r="E150" s="18" t="n">
        <v>2456</v>
      </c>
      <c r="F150" s="18" t="n">
        <v>2477</v>
      </c>
      <c r="G150" s="19" t="n">
        <f aca="false">IF(F150=0,0,E150/F150*100)</f>
        <v>99.1522002422285</v>
      </c>
      <c r="H150" s="16" t="n">
        <v>0</v>
      </c>
      <c r="I150" s="16" t="n">
        <v>0</v>
      </c>
      <c r="J150" s="16" t="n">
        <v>0</v>
      </c>
      <c r="K150" s="16" t="n">
        <v>0</v>
      </c>
    </row>
    <row r="151" customFormat="false" ht="15" hidden="false" customHeight="false" outlineLevel="0" collapsed="false">
      <c r="A151" s="15" t="s">
        <v>122</v>
      </c>
      <c r="B151" s="15" t="s">
        <v>131</v>
      </c>
      <c r="C151" s="16" t="n">
        <v>1</v>
      </c>
      <c r="D151" s="17" t="n">
        <v>77.7</v>
      </c>
      <c r="E151" s="18" t="n">
        <v>2340</v>
      </c>
      <c r="F151" s="18" t="n">
        <v>2358</v>
      </c>
      <c r="G151" s="19" t="n">
        <f aca="false">IF(F151=0,0,E151/F151*100)</f>
        <v>99.236641221374</v>
      </c>
      <c r="H151" s="16" t="n">
        <v>0</v>
      </c>
      <c r="I151" s="16" t="n">
        <v>0</v>
      </c>
      <c r="J151" s="16" t="n">
        <v>0</v>
      </c>
      <c r="K151" s="16" t="n">
        <v>2</v>
      </c>
    </row>
    <row r="152" customFormat="false" ht="15" hidden="false" customHeight="false" outlineLevel="0" collapsed="false">
      <c r="A152" s="15" t="s">
        <v>122</v>
      </c>
      <c r="B152" s="15" t="s">
        <v>132</v>
      </c>
      <c r="C152" s="16" t="n">
        <v>1</v>
      </c>
      <c r="D152" s="17" t="n">
        <v>77.69</v>
      </c>
      <c r="E152" s="18" t="n">
        <v>2320</v>
      </c>
      <c r="F152" s="18" t="n">
        <v>2326</v>
      </c>
      <c r="G152" s="19" t="n">
        <f aca="false">IF(F152=0,0,E152/F152*100)</f>
        <v>99.7420464316423</v>
      </c>
      <c r="H152" s="16" t="n">
        <v>0</v>
      </c>
      <c r="I152" s="16" t="n">
        <v>0</v>
      </c>
      <c r="J152" s="16" t="n">
        <v>0</v>
      </c>
      <c r="K152" s="16" t="n">
        <v>0</v>
      </c>
    </row>
    <row r="153" customFormat="false" ht="15" hidden="false" customHeight="false" outlineLevel="0" collapsed="false">
      <c r="A153" s="15" t="s">
        <v>122</v>
      </c>
      <c r="B153" s="15" t="s">
        <v>133</v>
      </c>
      <c r="C153" s="16" t="n">
        <v>1</v>
      </c>
      <c r="D153" s="17" t="n">
        <v>0</v>
      </c>
      <c r="E153" s="18" t="n">
        <v>1012</v>
      </c>
      <c r="F153" s="18" t="n">
        <v>1078</v>
      </c>
      <c r="G153" s="19" t="n">
        <f aca="false">IF(F153=0,0,E153/F153*100)</f>
        <v>93.8775510204082</v>
      </c>
      <c r="H153" s="16" t="n">
        <v>0</v>
      </c>
      <c r="I153" s="16" t="n">
        <v>0</v>
      </c>
      <c r="J153" s="16" t="n">
        <v>0</v>
      </c>
      <c r="K153" s="16" t="n">
        <v>1</v>
      </c>
    </row>
    <row r="154" customFormat="false" ht="15" hidden="false" customHeight="false" outlineLevel="0" collapsed="false">
      <c r="A154" s="15" t="s">
        <v>122</v>
      </c>
      <c r="B154" s="15" t="s">
        <v>73</v>
      </c>
      <c r="C154" s="16" t="n">
        <v>1</v>
      </c>
      <c r="D154" s="17" t="n">
        <v>74.22</v>
      </c>
      <c r="E154" s="18" t="n">
        <v>0</v>
      </c>
      <c r="F154" s="18" t="n">
        <v>283</v>
      </c>
      <c r="G154" s="19" t="n">
        <f aca="false">IF(F154=0,0,E154/F154*100)</f>
        <v>0</v>
      </c>
      <c r="H154" s="16" t="n">
        <v>0</v>
      </c>
      <c r="I154" s="16" t="n">
        <v>0</v>
      </c>
      <c r="J154" s="16" t="n">
        <v>0</v>
      </c>
      <c r="K154" s="16" t="n">
        <v>0</v>
      </c>
    </row>
    <row r="155" customFormat="false" ht="15" hidden="false" customHeight="false" outlineLevel="0" collapsed="false">
      <c r="A155" s="15" t="s">
        <v>122</v>
      </c>
      <c r="B155" s="15" t="s">
        <v>74</v>
      </c>
      <c r="C155" s="16" t="n">
        <v>1</v>
      </c>
      <c r="D155" s="17" t="n">
        <v>72.91</v>
      </c>
      <c r="E155" s="18" t="n">
        <v>0</v>
      </c>
      <c r="F155" s="18" t="n">
        <v>42</v>
      </c>
      <c r="G155" s="19" t="n">
        <f aca="false">IF(F155=0,0,E155/F155*100)</f>
        <v>0</v>
      </c>
      <c r="H155" s="16" t="n">
        <v>0</v>
      </c>
      <c r="I155" s="16" t="n">
        <v>0</v>
      </c>
      <c r="J155" s="16" t="n">
        <v>0</v>
      </c>
      <c r="K155" s="16" t="n">
        <v>0</v>
      </c>
    </row>
    <row r="156" customFormat="false" ht="15" hidden="false" customHeight="false" outlineLevel="0" collapsed="false">
      <c r="A156" s="15" t="s">
        <v>122</v>
      </c>
      <c r="B156" s="15" t="s">
        <v>84</v>
      </c>
      <c r="C156" s="16" t="n">
        <v>0</v>
      </c>
      <c r="D156" s="17" t="n">
        <v>3.37</v>
      </c>
      <c r="E156" s="18" t="n">
        <v>2691</v>
      </c>
      <c r="F156" s="18" t="n">
        <v>2951</v>
      </c>
      <c r="G156" s="19" t="n">
        <f aca="false">IF(F156=0,0,E156/F156*100)</f>
        <v>91.1894273127753</v>
      </c>
      <c r="H156" s="16" t="n">
        <v>12</v>
      </c>
      <c r="I156" s="16" t="n">
        <v>0</v>
      </c>
      <c r="J156" s="16" t="n">
        <v>12</v>
      </c>
      <c r="K156" s="16" t="n">
        <v>2</v>
      </c>
    </row>
    <row r="157" customFormat="false" ht="15" hidden="false" customHeight="false" outlineLevel="0" collapsed="false">
      <c r="A157" s="20" t="s">
        <v>122</v>
      </c>
      <c r="B157" s="20" t="s">
        <v>64</v>
      </c>
      <c r="C157" s="21" t="n">
        <f aca="false">SUM(C131:C156)</f>
        <v>30</v>
      </c>
      <c r="D157" s="22" t="n">
        <f aca="false">SUM(D131:D156)</f>
        <v>1861.74</v>
      </c>
      <c r="E157" s="23" t="n">
        <f aca="false">SUM(E131:E156)</f>
        <v>92457</v>
      </c>
      <c r="F157" s="23" t="n">
        <f aca="false">SUM(F131:F156)</f>
        <v>94454</v>
      </c>
      <c r="G157" s="24" t="n">
        <f aca="false">IF(F157=0,0,E157/F157*100)</f>
        <v>97.885743324793</v>
      </c>
      <c r="H157" s="21" t="n">
        <f aca="false">SUM(H131:H156)</f>
        <v>12</v>
      </c>
      <c r="I157" s="21" t="n">
        <f aca="false">SUM(I131:I156)</f>
        <v>0</v>
      </c>
      <c r="J157" s="21" t="n">
        <f aca="false">SUM(J131:J156)</f>
        <v>12</v>
      </c>
      <c r="K157" s="21" t="n">
        <f aca="false">SUM(K131:K156)</f>
        <v>51</v>
      </c>
    </row>
    <row r="158" customFormat="false" ht="15" hidden="false" customHeight="false" outlineLevel="0" collapsed="false">
      <c r="A158" s="15" t="s">
        <v>134</v>
      </c>
      <c r="B158" s="15" t="s">
        <v>90</v>
      </c>
      <c r="C158" s="16" t="n">
        <v>2</v>
      </c>
      <c r="D158" s="17" t="n">
        <v>77.86</v>
      </c>
      <c r="E158" s="18" t="n">
        <v>6962</v>
      </c>
      <c r="F158" s="18" t="n">
        <v>7018</v>
      </c>
      <c r="G158" s="19" t="n">
        <f aca="false">IF(F158=0,0,E158/F158*100)</f>
        <v>99.2020518666287</v>
      </c>
      <c r="H158" s="16" t="n">
        <v>0</v>
      </c>
      <c r="I158" s="16" t="n">
        <v>0</v>
      </c>
      <c r="J158" s="16" t="n">
        <v>0</v>
      </c>
      <c r="K158" s="16" t="n">
        <v>2</v>
      </c>
    </row>
    <row r="159" customFormat="false" ht="15" hidden="false" customHeight="false" outlineLevel="0" collapsed="false">
      <c r="A159" s="15" t="s">
        <v>134</v>
      </c>
      <c r="B159" s="15" t="s">
        <v>135</v>
      </c>
      <c r="C159" s="16" t="n">
        <v>2</v>
      </c>
      <c r="D159" s="17" t="n">
        <v>77.83</v>
      </c>
      <c r="E159" s="18" t="n">
        <v>6356</v>
      </c>
      <c r="F159" s="18" t="n">
        <v>6502</v>
      </c>
      <c r="G159" s="19" t="n">
        <f aca="false">IF(F159=0,0,E159/F159*100)</f>
        <v>97.7545370655183</v>
      </c>
      <c r="H159" s="16" t="n">
        <v>0</v>
      </c>
      <c r="I159" s="16" t="n">
        <v>0</v>
      </c>
      <c r="J159" s="16" t="n">
        <v>0</v>
      </c>
      <c r="K159" s="16" t="n">
        <v>5</v>
      </c>
    </row>
    <row r="160" customFormat="false" ht="15" hidden="false" customHeight="false" outlineLevel="0" collapsed="false">
      <c r="A160" s="15" t="s">
        <v>134</v>
      </c>
      <c r="B160" s="15" t="s">
        <v>37</v>
      </c>
      <c r="C160" s="16" t="n">
        <v>2</v>
      </c>
      <c r="D160" s="17" t="n">
        <v>77.85</v>
      </c>
      <c r="E160" s="18" t="n">
        <v>6324</v>
      </c>
      <c r="F160" s="18" t="n">
        <v>6484</v>
      </c>
      <c r="G160" s="19" t="n">
        <f aca="false">IF(F160=0,0,E160/F160*100)</f>
        <v>97.5323874151758</v>
      </c>
      <c r="H160" s="16" t="n">
        <v>0</v>
      </c>
      <c r="I160" s="16" t="n">
        <v>0</v>
      </c>
      <c r="J160" s="16" t="n">
        <v>0</v>
      </c>
      <c r="K160" s="16" t="n">
        <v>5</v>
      </c>
    </row>
    <row r="161" customFormat="false" ht="15" hidden="false" customHeight="false" outlineLevel="0" collapsed="false">
      <c r="A161" s="15" t="s">
        <v>134</v>
      </c>
      <c r="B161" s="15" t="s">
        <v>93</v>
      </c>
      <c r="C161" s="16" t="n">
        <v>2</v>
      </c>
      <c r="D161" s="17" t="n">
        <v>77.85</v>
      </c>
      <c r="E161" s="18" t="n">
        <v>5069</v>
      </c>
      <c r="F161" s="18" t="n">
        <v>5189</v>
      </c>
      <c r="G161" s="19" t="n">
        <f aca="false">IF(F161=0,0,E161/F161*100)</f>
        <v>97.6874156870303</v>
      </c>
      <c r="H161" s="16" t="n">
        <v>0</v>
      </c>
      <c r="I161" s="16" t="n">
        <v>0</v>
      </c>
      <c r="J161" s="16" t="n">
        <v>0</v>
      </c>
      <c r="K161" s="16" t="n">
        <v>5</v>
      </c>
    </row>
    <row r="162" customFormat="false" ht="15" hidden="false" customHeight="false" outlineLevel="0" collapsed="false">
      <c r="A162" s="15" t="s">
        <v>134</v>
      </c>
      <c r="B162" s="15" t="s">
        <v>136</v>
      </c>
      <c r="C162" s="16" t="n">
        <v>2</v>
      </c>
      <c r="D162" s="17" t="n">
        <v>77.87</v>
      </c>
      <c r="E162" s="18" t="n">
        <v>4941</v>
      </c>
      <c r="F162" s="18" t="n">
        <v>5135</v>
      </c>
      <c r="G162" s="19" t="n">
        <f aca="false">IF(F162=0,0,E162/F162*100)</f>
        <v>96.222005842259</v>
      </c>
      <c r="H162" s="16" t="n">
        <v>0</v>
      </c>
      <c r="I162" s="16" t="n">
        <v>0</v>
      </c>
      <c r="J162" s="16" t="n">
        <v>0</v>
      </c>
      <c r="K162" s="16" t="n">
        <v>3</v>
      </c>
    </row>
    <row r="163" customFormat="false" ht="15" hidden="false" customHeight="false" outlineLevel="0" collapsed="false">
      <c r="A163" s="15" t="s">
        <v>134</v>
      </c>
      <c r="B163" s="15" t="s">
        <v>123</v>
      </c>
      <c r="C163" s="16" t="n">
        <v>2</v>
      </c>
      <c r="D163" s="17" t="n">
        <v>77.87</v>
      </c>
      <c r="E163" s="18" t="n">
        <v>4720</v>
      </c>
      <c r="F163" s="18" t="n">
        <v>4739</v>
      </c>
      <c r="G163" s="19" t="n">
        <f aca="false">IF(F163=0,0,E163/F163*100)</f>
        <v>99.5990715340789</v>
      </c>
      <c r="H163" s="16" t="n">
        <v>0</v>
      </c>
      <c r="I163" s="16" t="n">
        <v>0</v>
      </c>
      <c r="J163" s="16" t="n">
        <v>0</v>
      </c>
      <c r="K163" s="16" t="n">
        <v>2</v>
      </c>
    </row>
    <row r="164" customFormat="false" ht="15" hidden="false" customHeight="false" outlineLevel="0" collapsed="false">
      <c r="A164" s="15" t="s">
        <v>134</v>
      </c>
      <c r="B164" s="15" t="s">
        <v>87</v>
      </c>
      <c r="C164" s="16" t="n">
        <v>2</v>
      </c>
      <c r="D164" s="17" t="n">
        <v>77.67</v>
      </c>
      <c r="E164" s="18" t="n">
        <v>4365</v>
      </c>
      <c r="F164" s="18" t="n">
        <v>4608</v>
      </c>
      <c r="G164" s="19" t="n">
        <f aca="false">IF(F164=0,0,E164/F164*100)</f>
        <v>94.7265625</v>
      </c>
      <c r="H164" s="16" t="n">
        <v>0</v>
      </c>
      <c r="I164" s="16" t="n">
        <v>0</v>
      </c>
      <c r="J164" s="16" t="n">
        <v>0</v>
      </c>
      <c r="K164" s="16" t="n">
        <v>7</v>
      </c>
    </row>
    <row r="165" customFormat="false" ht="15" hidden="false" customHeight="false" outlineLevel="0" collapsed="false">
      <c r="A165" s="15" t="s">
        <v>134</v>
      </c>
      <c r="B165" s="15" t="s">
        <v>137</v>
      </c>
      <c r="C165" s="16" t="n">
        <v>2</v>
      </c>
      <c r="D165" s="17" t="n">
        <v>77.83</v>
      </c>
      <c r="E165" s="18" t="n">
        <v>0</v>
      </c>
      <c r="F165" s="18" t="n">
        <v>3422</v>
      </c>
      <c r="G165" s="19" t="n">
        <f aca="false">IF(F165=0,0,E165/F165*100)</f>
        <v>0</v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 customFormat="false" ht="15" hidden="false" customHeight="false" outlineLevel="0" collapsed="false">
      <c r="A166" s="15" t="s">
        <v>134</v>
      </c>
      <c r="B166" s="15" t="s">
        <v>138</v>
      </c>
      <c r="C166" s="16" t="n">
        <v>2</v>
      </c>
      <c r="D166" s="17" t="n">
        <v>75.63</v>
      </c>
      <c r="E166" s="18" t="n">
        <v>173</v>
      </c>
      <c r="F166" s="18" t="n">
        <v>259</v>
      </c>
      <c r="G166" s="19" t="n">
        <f aca="false">IF(F166=0,0,E166/F166*100)</f>
        <v>66.7953667953668</v>
      </c>
      <c r="H166" s="16" t="n">
        <v>0</v>
      </c>
      <c r="I166" s="16" t="n">
        <v>0</v>
      </c>
      <c r="J166" s="16" t="n">
        <v>0</v>
      </c>
      <c r="K166" s="16" t="n">
        <v>0</v>
      </c>
    </row>
    <row r="167" customFormat="false" ht="15" hidden="false" customHeight="false" outlineLevel="0" collapsed="false">
      <c r="A167" s="15" t="s">
        <v>134</v>
      </c>
      <c r="B167" s="15" t="s">
        <v>139</v>
      </c>
      <c r="C167" s="16" t="n">
        <v>1</v>
      </c>
      <c r="D167" s="17" t="n">
        <v>77.67</v>
      </c>
      <c r="E167" s="18" t="n">
        <v>4959</v>
      </c>
      <c r="F167" s="18" t="n">
        <v>4996</v>
      </c>
      <c r="G167" s="19" t="n">
        <f aca="false">IF(F167=0,0,E167/F167*100)</f>
        <v>99.2594075260208</v>
      </c>
      <c r="H167" s="16" t="n">
        <v>0</v>
      </c>
      <c r="I167" s="16" t="n">
        <v>0</v>
      </c>
      <c r="J167" s="16" t="n">
        <v>0</v>
      </c>
      <c r="K167" s="16" t="n">
        <v>1</v>
      </c>
    </row>
    <row r="168" customFormat="false" ht="15" hidden="false" customHeight="false" outlineLevel="0" collapsed="false">
      <c r="A168" s="15" t="s">
        <v>134</v>
      </c>
      <c r="B168" s="15" t="s">
        <v>140</v>
      </c>
      <c r="C168" s="16" t="n">
        <v>1</v>
      </c>
      <c r="D168" s="17" t="n">
        <v>77.73</v>
      </c>
      <c r="E168" s="18" t="n">
        <v>3592</v>
      </c>
      <c r="F168" s="18" t="n">
        <v>3598</v>
      </c>
      <c r="G168" s="19" t="n">
        <f aca="false">IF(F168=0,0,E168/F168*100)</f>
        <v>99.8332406892718</v>
      </c>
      <c r="H168" s="16" t="n">
        <v>0</v>
      </c>
      <c r="I168" s="16" t="n">
        <v>0</v>
      </c>
      <c r="J168" s="16" t="n">
        <v>0</v>
      </c>
      <c r="K168" s="16" t="n">
        <v>0</v>
      </c>
    </row>
    <row r="169" customFormat="false" ht="15" hidden="false" customHeight="false" outlineLevel="0" collapsed="false">
      <c r="A169" s="15" t="s">
        <v>134</v>
      </c>
      <c r="B169" s="15" t="s">
        <v>115</v>
      </c>
      <c r="C169" s="16" t="n">
        <v>1</v>
      </c>
      <c r="D169" s="17" t="n">
        <v>77.66</v>
      </c>
      <c r="E169" s="18" t="n">
        <v>3463</v>
      </c>
      <c r="F169" s="18" t="n">
        <v>3509</v>
      </c>
      <c r="G169" s="19" t="n">
        <f aca="false">IF(F169=0,0,E169/F169*100)</f>
        <v>98.6890852094614</v>
      </c>
      <c r="H169" s="16" t="n">
        <v>0</v>
      </c>
      <c r="I169" s="16" t="n">
        <v>0</v>
      </c>
      <c r="J169" s="16" t="n">
        <v>0</v>
      </c>
      <c r="K169" s="16" t="n">
        <v>2</v>
      </c>
    </row>
    <row r="170" customFormat="false" ht="15" hidden="false" customHeight="false" outlineLevel="0" collapsed="false">
      <c r="A170" s="15" t="s">
        <v>134</v>
      </c>
      <c r="B170" s="15" t="s">
        <v>55</v>
      </c>
      <c r="C170" s="16" t="n">
        <v>1</v>
      </c>
      <c r="D170" s="17" t="n">
        <v>77.85</v>
      </c>
      <c r="E170" s="18" t="n">
        <v>3265</v>
      </c>
      <c r="F170" s="18" t="n">
        <v>3293</v>
      </c>
      <c r="G170" s="19" t="n">
        <f aca="false">IF(F170=0,0,E170/F170*100)</f>
        <v>99.1497115092621</v>
      </c>
      <c r="H170" s="16" t="n">
        <v>0</v>
      </c>
      <c r="I170" s="16" t="n">
        <v>0</v>
      </c>
      <c r="J170" s="16" t="n">
        <v>0</v>
      </c>
      <c r="K170" s="16" t="n">
        <v>1</v>
      </c>
    </row>
    <row r="171" customFormat="false" ht="15" hidden="false" customHeight="false" outlineLevel="0" collapsed="false">
      <c r="A171" s="15" t="s">
        <v>134</v>
      </c>
      <c r="B171" s="15" t="s">
        <v>141</v>
      </c>
      <c r="C171" s="16" t="n">
        <v>1</v>
      </c>
      <c r="D171" s="17" t="n">
        <v>77.86</v>
      </c>
      <c r="E171" s="18" t="n">
        <v>3253</v>
      </c>
      <c r="F171" s="18" t="n">
        <v>3268</v>
      </c>
      <c r="G171" s="19" t="n">
        <f aca="false">IF(F171=0,0,E171/F171*100)</f>
        <v>99.5410036719706</v>
      </c>
      <c r="H171" s="16" t="n">
        <v>0</v>
      </c>
      <c r="I171" s="16" t="n">
        <v>0</v>
      </c>
      <c r="J171" s="16" t="n">
        <v>0</v>
      </c>
      <c r="K171" s="16" t="n">
        <v>1</v>
      </c>
    </row>
    <row r="172" customFormat="false" ht="15" hidden="false" customHeight="false" outlineLevel="0" collapsed="false">
      <c r="A172" s="15" t="s">
        <v>134</v>
      </c>
      <c r="B172" s="15" t="s">
        <v>104</v>
      </c>
      <c r="C172" s="16" t="n">
        <v>1</v>
      </c>
      <c r="D172" s="17" t="n">
        <v>77.7</v>
      </c>
      <c r="E172" s="18" t="n">
        <v>3231</v>
      </c>
      <c r="F172" s="18" t="n">
        <v>3241</v>
      </c>
      <c r="G172" s="19" t="n">
        <f aca="false">IF(F172=0,0,E172/F172*100)</f>
        <v>99.6914532551682</v>
      </c>
      <c r="H172" s="16" t="n">
        <v>0</v>
      </c>
      <c r="I172" s="16" t="n">
        <v>0</v>
      </c>
      <c r="J172" s="16" t="n">
        <v>0</v>
      </c>
      <c r="K172" s="16" t="n">
        <v>1</v>
      </c>
    </row>
    <row r="173" customFormat="false" ht="15" hidden="false" customHeight="false" outlineLevel="0" collapsed="false">
      <c r="A173" s="15" t="s">
        <v>134</v>
      </c>
      <c r="B173" s="15" t="s">
        <v>142</v>
      </c>
      <c r="C173" s="16" t="n">
        <v>1</v>
      </c>
      <c r="D173" s="17" t="n">
        <v>77.72</v>
      </c>
      <c r="E173" s="18" t="n">
        <v>2998</v>
      </c>
      <c r="F173" s="18" t="n">
        <v>3004</v>
      </c>
      <c r="G173" s="19" t="n">
        <f aca="false">IF(F173=0,0,E173/F173*100)</f>
        <v>99.8002663115846</v>
      </c>
      <c r="H173" s="16" t="n">
        <v>0</v>
      </c>
      <c r="I173" s="16" t="n">
        <v>0</v>
      </c>
      <c r="J173" s="16" t="n">
        <v>0</v>
      </c>
      <c r="K173" s="16" t="n">
        <v>0</v>
      </c>
    </row>
    <row r="174" customFormat="false" ht="15" hidden="false" customHeight="false" outlineLevel="0" collapsed="false">
      <c r="A174" s="15" t="s">
        <v>134</v>
      </c>
      <c r="B174" s="15" t="s">
        <v>143</v>
      </c>
      <c r="C174" s="16" t="n">
        <v>1</v>
      </c>
      <c r="D174" s="17" t="n">
        <v>77.84</v>
      </c>
      <c r="E174" s="18" t="n">
        <v>2743</v>
      </c>
      <c r="F174" s="18" t="n">
        <v>2807</v>
      </c>
      <c r="G174" s="19" t="n">
        <f aca="false">IF(F174=0,0,E174/F174*100)</f>
        <v>97.7199857499109</v>
      </c>
      <c r="H174" s="16" t="n">
        <v>0</v>
      </c>
      <c r="I174" s="16" t="n">
        <v>0</v>
      </c>
      <c r="J174" s="16" t="n">
        <v>0</v>
      </c>
      <c r="K174" s="16" t="n">
        <v>6</v>
      </c>
    </row>
    <row r="175" customFormat="false" ht="15" hidden="false" customHeight="false" outlineLevel="0" collapsed="false">
      <c r="A175" s="15" t="s">
        <v>134</v>
      </c>
      <c r="B175" s="15" t="s">
        <v>76</v>
      </c>
      <c r="C175" s="16" t="n">
        <v>1</v>
      </c>
      <c r="D175" s="17" t="n">
        <v>77.7</v>
      </c>
      <c r="E175" s="18" t="n">
        <v>2608</v>
      </c>
      <c r="F175" s="18" t="n">
        <v>2701</v>
      </c>
      <c r="G175" s="19" t="n">
        <f aca="false">IF(F175=0,0,E175/F175*100)</f>
        <v>96.5568308034061</v>
      </c>
      <c r="H175" s="16" t="n">
        <v>0</v>
      </c>
      <c r="I175" s="16" t="n">
        <v>0</v>
      </c>
      <c r="J175" s="16" t="n">
        <v>0</v>
      </c>
      <c r="K175" s="16" t="n">
        <v>0</v>
      </c>
    </row>
    <row r="176" customFormat="false" ht="15" hidden="false" customHeight="false" outlineLevel="0" collapsed="false">
      <c r="A176" s="15" t="s">
        <v>134</v>
      </c>
      <c r="B176" s="15" t="s">
        <v>144</v>
      </c>
      <c r="C176" s="16" t="n">
        <v>1</v>
      </c>
      <c r="D176" s="17" t="n">
        <v>77.68</v>
      </c>
      <c r="E176" s="18" t="n">
        <v>2659</v>
      </c>
      <c r="F176" s="18" t="n">
        <v>2666</v>
      </c>
      <c r="G176" s="19" t="n">
        <f aca="false">IF(F176=0,0,E176/F176*100)</f>
        <v>99.7374343585897</v>
      </c>
      <c r="H176" s="16" t="n">
        <v>0</v>
      </c>
      <c r="I176" s="16" t="n">
        <v>0</v>
      </c>
      <c r="J176" s="16" t="n">
        <v>0</v>
      </c>
      <c r="K176" s="16" t="n">
        <v>0</v>
      </c>
    </row>
    <row r="177" customFormat="false" ht="15" hidden="false" customHeight="false" outlineLevel="0" collapsed="false">
      <c r="A177" s="15" t="s">
        <v>134</v>
      </c>
      <c r="B177" s="15" t="s">
        <v>145</v>
      </c>
      <c r="C177" s="16" t="n">
        <v>1</v>
      </c>
      <c r="D177" s="17" t="n">
        <v>77.7</v>
      </c>
      <c r="E177" s="18" t="n">
        <v>2632</v>
      </c>
      <c r="F177" s="18" t="n">
        <v>2649</v>
      </c>
      <c r="G177" s="19" t="n">
        <f aca="false">IF(F177=0,0,E177/F177*100)</f>
        <v>99.358248395621</v>
      </c>
      <c r="H177" s="16" t="n">
        <v>0</v>
      </c>
      <c r="I177" s="16" t="n">
        <v>0</v>
      </c>
      <c r="J177" s="16" t="n">
        <v>0</v>
      </c>
      <c r="K177" s="16" t="n">
        <v>1</v>
      </c>
    </row>
    <row r="178" customFormat="false" ht="15" hidden="false" customHeight="false" outlineLevel="0" collapsed="false">
      <c r="A178" s="15" t="s">
        <v>134</v>
      </c>
      <c r="B178" s="15" t="s">
        <v>146</v>
      </c>
      <c r="C178" s="16" t="n">
        <v>1</v>
      </c>
      <c r="D178" s="17" t="n">
        <v>77.68</v>
      </c>
      <c r="E178" s="18" t="n">
        <v>2542</v>
      </c>
      <c r="F178" s="18" t="n">
        <v>2581</v>
      </c>
      <c r="G178" s="19" t="n">
        <f aca="false">IF(F178=0,0,E178/F178*100)</f>
        <v>98.4889577683069</v>
      </c>
      <c r="H178" s="16" t="n">
        <v>0</v>
      </c>
      <c r="I178" s="16" t="n">
        <v>0</v>
      </c>
      <c r="J178" s="16" t="n">
        <v>0</v>
      </c>
      <c r="K178" s="16" t="n">
        <v>5</v>
      </c>
    </row>
    <row r="179" customFormat="false" ht="15" hidden="false" customHeight="false" outlineLevel="0" collapsed="false">
      <c r="A179" s="15" t="s">
        <v>134</v>
      </c>
      <c r="B179" s="15" t="s">
        <v>48</v>
      </c>
      <c r="C179" s="16" t="n">
        <v>1</v>
      </c>
      <c r="D179" s="17" t="n">
        <v>77.74</v>
      </c>
      <c r="E179" s="18" t="n">
        <v>2531</v>
      </c>
      <c r="F179" s="18" t="n">
        <v>2541</v>
      </c>
      <c r="G179" s="19" t="n">
        <f aca="false">IF(F179=0,0,E179/F179*100)</f>
        <v>99.6064541519087</v>
      </c>
      <c r="H179" s="16" t="n">
        <v>0</v>
      </c>
      <c r="I179" s="16" t="n">
        <v>0</v>
      </c>
      <c r="J179" s="16" t="n">
        <v>0</v>
      </c>
      <c r="K179" s="16" t="n">
        <v>1</v>
      </c>
    </row>
    <row r="180" customFormat="false" ht="15" hidden="false" customHeight="false" outlineLevel="0" collapsed="false">
      <c r="A180" s="15" t="s">
        <v>134</v>
      </c>
      <c r="B180" s="15" t="s">
        <v>147</v>
      </c>
      <c r="C180" s="16" t="n">
        <v>1</v>
      </c>
      <c r="D180" s="17" t="n">
        <v>77.81</v>
      </c>
      <c r="E180" s="18" t="n">
        <v>2423</v>
      </c>
      <c r="F180" s="18" t="n">
        <v>2441</v>
      </c>
      <c r="G180" s="19" t="n">
        <f aca="false">IF(F180=0,0,E180/F180*100)</f>
        <v>99.2625972961901</v>
      </c>
      <c r="H180" s="16" t="n">
        <v>0</v>
      </c>
      <c r="I180" s="16" t="n">
        <v>0</v>
      </c>
      <c r="J180" s="16" t="n">
        <v>0</v>
      </c>
      <c r="K180" s="16" t="n">
        <v>0</v>
      </c>
    </row>
    <row r="181" customFormat="false" ht="15" hidden="false" customHeight="false" outlineLevel="0" collapsed="false">
      <c r="A181" s="15" t="s">
        <v>134</v>
      </c>
      <c r="B181" s="15" t="s">
        <v>124</v>
      </c>
      <c r="C181" s="16" t="n">
        <v>1</v>
      </c>
      <c r="D181" s="17" t="n">
        <v>62.54</v>
      </c>
      <c r="E181" s="18" t="n">
        <v>2370</v>
      </c>
      <c r="F181" s="18" t="n">
        <v>2400</v>
      </c>
      <c r="G181" s="19" t="n">
        <f aca="false">IF(F181=0,0,E181/F181*100)</f>
        <v>98.75</v>
      </c>
      <c r="H181" s="16" t="n">
        <v>0</v>
      </c>
      <c r="I181" s="16" t="n">
        <v>0</v>
      </c>
      <c r="J181" s="16" t="n">
        <v>0</v>
      </c>
      <c r="K181" s="16" t="n">
        <v>1</v>
      </c>
    </row>
    <row r="182" customFormat="false" ht="15" hidden="false" customHeight="false" outlineLevel="0" collapsed="false">
      <c r="A182" s="15" t="s">
        <v>134</v>
      </c>
      <c r="B182" s="15" t="s">
        <v>81</v>
      </c>
      <c r="C182" s="16" t="n">
        <v>1</v>
      </c>
      <c r="D182" s="17" t="n">
        <v>77.7</v>
      </c>
      <c r="E182" s="18" t="n">
        <v>2228</v>
      </c>
      <c r="F182" s="18" t="n">
        <v>2245</v>
      </c>
      <c r="G182" s="19" t="n">
        <f aca="false">IF(F182=0,0,E182/F182*100)</f>
        <v>99.2427616926503</v>
      </c>
      <c r="H182" s="16" t="n">
        <v>0</v>
      </c>
      <c r="I182" s="16" t="n">
        <v>0</v>
      </c>
      <c r="J182" s="16" t="n">
        <v>0</v>
      </c>
      <c r="K182" s="16" t="n">
        <v>2</v>
      </c>
    </row>
    <row r="183" customFormat="false" ht="15" hidden="false" customHeight="false" outlineLevel="0" collapsed="false">
      <c r="A183" s="15" t="s">
        <v>134</v>
      </c>
      <c r="B183" s="15" t="s">
        <v>59</v>
      </c>
      <c r="C183" s="16" t="n">
        <v>1</v>
      </c>
      <c r="D183" s="17" t="n">
        <v>77.83</v>
      </c>
      <c r="E183" s="18" t="n">
        <v>2156</v>
      </c>
      <c r="F183" s="18" t="n">
        <v>2165</v>
      </c>
      <c r="G183" s="19" t="n">
        <f aca="false">IF(F183=0,0,E183/F183*100)</f>
        <v>99.5842956120092</v>
      </c>
      <c r="H183" s="16" t="n">
        <v>0</v>
      </c>
      <c r="I183" s="16" t="n">
        <v>0</v>
      </c>
      <c r="J183" s="16" t="n">
        <v>0</v>
      </c>
      <c r="K183" s="16" t="n">
        <v>1</v>
      </c>
    </row>
    <row r="184" customFormat="false" ht="15" hidden="false" customHeight="false" outlineLevel="0" collapsed="false">
      <c r="A184" s="15" t="s">
        <v>134</v>
      </c>
      <c r="B184" s="15" t="s">
        <v>148</v>
      </c>
      <c r="C184" s="16" t="n">
        <v>1</v>
      </c>
      <c r="D184" s="17" t="n">
        <v>77.69</v>
      </c>
      <c r="E184" s="18" t="n">
        <v>0</v>
      </c>
      <c r="F184" s="18" t="n">
        <v>1316</v>
      </c>
      <c r="G184" s="19" t="n">
        <f aca="false">IF(F184=0,0,E184/F184*100)</f>
        <v>0</v>
      </c>
      <c r="H184" s="16" t="n">
        <v>0</v>
      </c>
      <c r="I184" s="16" t="n">
        <v>0</v>
      </c>
      <c r="J184" s="16" t="n">
        <v>0</v>
      </c>
      <c r="K184" s="16" t="n">
        <v>0</v>
      </c>
    </row>
    <row r="185" customFormat="false" ht="15" hidden="false" customHeight="false" outlineLevel="0" collapsed="false">
      <c r="A185" s="15" t="s">
        <v>134</v>
      </c>
      <c r="B185" s="15" t="s">
        <v>36</v>
      </c>
      <c r="C185" s="16" t="n">
        <v>0</v>
      </c>
      <c r="D185" s="17" t="n">
        <v>19.04</v>
      </c>
      <c r="E185" s="18" t="n">
        <v>7274</v>
      </c>
      <c r="F185" s="18" t="n">
        <v>7339</v>
      </c>
      <c r="G185" s="19" t="n">
        <f aca="false">IF(F185=0,0,E185/F185*100)</f>
        <v>99.1143207521461</v>
      </c>
      <c r="H185" s="16" t="n">
        <v>1</v>
      </c>
      <c r="I185" s="16" t="n">
        <v>0</v>
      </c>
      <c r="J185" s="16" t="n">
        <v>1</v>
      </c>
      <c r="K185" s="16" t="n">
        <v>2</v>
      </c>
    </row>
    <row r="186" customFormat="false" ht="15" hidden="false" customHeight="false" outlineLevel="0" collapsed="false">
      <c r="A186" s="20" t="s">
        <v>134</v>
      </c>
      <c r="B186" s="20" t="s">
        <v>64</v>
      </c>
      <c r="C186" s="21" t="n">
        <f aca="false">SUM(C158:C185)</f>
        <v>36</v>
      </c>
      <c r="D186" s="22" t="n">
        <f aca="false">SUM(D158:D185)</f>
        <v>2101.4</v>
      </c>
      <c r="E186" s="23" t="n">
        <f aca="false">SUM(E158:E185)</f>
        <v>95837</v>
      </c>
      <c r="F186" s="23" t="n">
        <f aca="false">SUM(F158:F185)</f>
        <v>102116</v>
      </c>
      <c r="G186" s="24" t="n">
        <f aca="false">IF(F186=0,0,E186/F186*100)</f>
        <v>93.8511105017823</v>
      </c>
      <c r="H186" s="21" t="n">
        <f aca="false">SUM(H158:H185)</f>
        <v>1</v>
      </c>
      <c r="I186" s="21" t="n">
        <f aca="false">SUM(I158:I185)</f>
        <v>0</v>
      </c>
      <c r="J186" s="21" t="n">
        <f aca="false">SUM(J158:J185)</f>
        <v>1</v>
      </c>
      <c r="K186" s="21" t="n">
        <f aca="false">SUM(K158:K185)</f>
        <v>54</v>
      </c>
    </row>
    <row r="187" customFormat="false" ht="15" hidden="false" customHeight="false" outlineLevel="0" collapsed="false">
      <c r="A187" s="25" t="s">
        <v>149</v>
      </c>
      <c r="B187" s="25"/>
      <c r="C187" s="26" t="n">
        <f aca="false">C32+C60+C81+C113+C130+C157+C186</f>
        <v>214</v>
      </c>
      <c r="D187" s="27" t="n">
        <f aca="false">D32+D60+D81+D113+D130+D157+D186</f>
        <v>12939.83</v>
      </c>
      <c r="E187" s="28" t="n">
        <f aca="false">E32+E60+E81+E113+E130+E157+E186</f>
        <v>605554</v>
      </c>
      <c r="F187" s="28" t="n">
        <f aca="false">F32+F60+F81+F113+F130+F157+F186</f>
        <v>631000</v>
      </c>
      <c r="G187" s="29" t="n">
        <f aca="false">IF(F187=0,0,E187/F187*100)</f>
        <v>95.96735340729</v>
      </c>
      <c r="H187" s="26" t="n">
        <f aca="false">H32+H60+H81+H113+H130+H157+H186</f>
        <v>26</v>
      </c>
      <c r="I187" s="26" t="n">
        <f aca="false">I32+I60+I81+I113+I130+I157+I186</f>
        <v>1</v>
      </c>
      <c r="J187" s="26" t="n">
        <f aca="false">J32+J60+J81+J113+J130+J157+J186</f>
        <v>25</v>
      </c>
      <c r="K187" s="26" t="n">
        <f aca="false">K32+K60+K81+K113+K130+K157+K186</f>
        <v>325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2" min="1" style="0" width="13"/>
    <col collapsed="false" customWidth="true" hidden="false" outlineLevel="0" max="13" min="13" style="0" width="56"/>
    <col collapsed="false" customWidth="true" hidden="false" outlineLevel="0" max="14" min="14" style="0" width="26"/>
    <col collapsed="false" customWidth="true" hidden="false" outlineLevel="0" max="15" min="15" style="0" width="13"/>
    <col collapsed="false" customWidth="true" hidden="false" outlineLevel="0" max="16" min="16" style="0" width="46"/>
  </cols>
  <sheetData>
    <row r="1" customFormat="false" ht="16.15" hidden="false" customHeight="false" outlineLevel="0" collapsed="false">
      <c r="A1" s="13" t="s">
        <v>150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</row>
    <row r="3" customFormat="false" ht="15" hidden="false" customHeight="false" outlineLevel="0" collapsed="false">
      <c r="A3" s="30" t="s">
        <v>151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</row>
    <row r="5" customFormat="false" ht="33.75" hidden="false" customHeight="true" outlineLevel="0" collapsed="false">
      <c r="A5" s="14" t="s">
        <v>26</v>
      </c>
      <c r="B5" s="14" t="s">
        <v>27</v>
      </c>
      <c r="C5" s="14" t="s">
        <v>152</v>
      </c>
      <c r="D5" s="14" t="s">
        <v>153</v>
      </c>
      <c r="E5" s="14" t="s">
        <v>154</v>
      </c>
      <c r="F5" s="14" t="s">
        <v>155</v>
      </c>
      <c r="G5" s="14" t="s">
        <v>156</v>
      </c>
      <c r="H5" s="14" t="s">
        <v>157</v>
      </c>
      <c r="I5" s="14" t="s">
        <v>158</v>
      </c>
      <c r="J5" s="14" t="s">
        <v>159</v>
      </c>
      <c r="K5" s="14" t="s">
        <v>160</v>
      </c>
      <c r="L5" s="14" t="s">
        <v>161</v>
      </c>
      <c r="M5" s="14" t="s">
        <v>162</v>
      </c>
      <c r="N5" s="14" t="s">
        <v>163</v>
      </c>
      <c r="O5" s="14" t="s">
        <v>164</v>
      </c>
      <c r="P5" s="14" t="s">
        <v>165</v>
      </c>
    </row>
    <row r="6" customFormat="false" ht="48.75" hidden="false" customHeight="true" outlineLevel="0" collapsed="false">
      <c r="A6" s="31" t="s">
        <v>35</v>
      </c>
      <c r="B6" s="31" t="s">
        <v>63</v>
      </c>
      <c r="C6" s="31" t="s">
        <v>166</v>
      </c>
      <c r="D6" s="31" t="s">
        <v>167</v>
      </c>
      <c r="E6" s="31" t="s">
        <v>167</v>
      </c>
      <c r="F6" s="31" t="n">
        <v>0</v>
      </c>
      <c r="G6" s="31" t="n">
        <v>1</v>
      </c>
      <c r="H6" s="31" t="n">
        <v>13</v>
      </c>
      <c r="I6" s="31" t="s">
        <v>168</v>
      </c>
      <c r="J6" s="32" t="n">
        <v>1447.15</v>
      </c>
      <c r="K6" s="31" t="s">
        <v>169</v>
      </c>
      <c r="L6" s="31" t="s">
        <v>170</v>
      </c>
      <c r="M6" s="33" t="s">
        <v>171</v>
      </c>
      <c r="N6" s="33" t="s">
        <v>172</v>
      </c>
      <c r="O6" s="31" t="s">
        <v>173</v>
      </c>
      <c r="P6" s="34" t="s">
        <v>174</v>
      </c>
    </row>
    <row r="7" customFormat="false" ht="48.75" hidden="false" customHeight="true" outlineLevel="0" collapsed="false">
      <c r="A7" s="31" t="s">
        <v>35</v>
      </c>
      <c r="B7" s="31" t="s">
        <v>63</v>
      </c>
      <c r="C7" s="31" t="s">
        <v>166</v>
      </c>
      <c r="D7" s="31" t="s">
        <v>175</v>
      </c>
      <c r="E7" s="31" t="s">
        <v>176</v>
      </c>
      <c r="F7" s="31" t="n">
        <v>2</v>
      </c>
      <c r="G7" s="31" t="n">
        <v>2</v>
      </c>
      <c r="H7" s="31" t="n">
        <v>50</v>
      </c>
      <c r="I7" s="31" t="s">
        <v>177</v>
      </c>
      <c r="J7" s="32" t="n">
        <v>1446.34</v>
      </c>
      <c r="K7" s="31" t="s">
        <v>178</v>
      </c>
      <c r="L7" s="31" t="s">
        <v>170</v>
      </c>
      <c r="M7" s="33" t="s">
        <v>179</v>
      </c>
      <c r="N7" s="33" t="s">
        <v>180</v>
      </c>
      <c r="O7" s="31" t="s">
        <v>173</v>
      </c>
      <c r="P7" s="34" t="s">
        <v>181</v>
      </c>
    </row>
    <row r="8" customFormat="false" ht="48.75" hidden="false" customHeight="true" outlineLevel="0" collapsed="false">
      <c r="A8" s="31" t="s">
        <v>65</v>
      </c>
      <c r="B8" s="31" t="s">
        <v>84</v>
      </c>
      <c r="C8" s="31" t="s">
        <v>166</v>
      </c>
      <c r="D8" s="31" t="s">
        <v>182</v>
      </c>
      <c r="E8" s="31" t="s">
        <v>183</v>
      </c>
      <c r="F8" s="31" t="n">
        <v>16</v>
      </c>
      <c r="G8" s="31" t="n">
        <v>9</v>
      </c>
      <c r="H8" s="31" t="n">
        <v>190</v>
      </c>
      <c r="I8" s="31" t="s">
        <v>168</v>
      </c>
      <c r="J8" s="32" t="n">
        <v>1470.87</v>
      </c>
      <c r="K8" s="31" t="s">
        <v>178</v>
      </c>
      <c r="L8" s="31" t="s">
        <v>184</v>
      </c>
      <c r="M8" s="33" t="s">
        <v>185</v>
      </c>
      <c r="N8" s="33" t="s">
        <v>186</v>
      </c>
      <c r="O8" s="31" t="s">
        <v>173</v>
      </c>
      <c r="P8" s="34" t="s">
        <v>181</v>
      </c>
    </row>
    <row r="9" customFormat="false" ht="33.75" hidden="false" customHeight="true" outlineLevel="0" collapsed="false">
      <c r="A9" s="16" t="s">
        <v>98</v>
      </c>
      <c r="B9" s="16" t="s">
        <v>70</v>
      </c>
      <c r="C9" s="16" t="s">
        <v>187</v>
      </c>
      <c r="D9" s="16" t="s">
        <v>188</v>
      </c>
      <c r="E9" s="16" t="s">
        <v>189</v>
      </c>
      <c r="F9" s="16" t="n">
        <v>58</v>
      </c>
      <c r="G9" s="16" t="n">
        <v>15</v>
      </c>
      <c r="H9" s="16" t="n">
        <v>106</v>
      </c>
      <c r="I9" s="16" t="s">
        <v>190</v>
      </c>
      <c r="J9" s="35" t="n">
        <v>1475.16</v>
      </c>
      <c r="K9" s="16" t="s">
        <v>169</v>
      </c>
      <c r="L9" s="16" t="s">
        <v>191</v>
      </c>
      <c r="M9" s="36" t="s">
        <v>192</v>
      </c>
      <c r="N9" s="36" t="s">
        <v>193</v>
      </c>
      <c r="O9" s="16" t="s">
        <v>173</v>
      </c>
      <c r="P9" s="34" t="s">
        <v>194</v>
      </c>
    </row>
    <row r="10" customFormat="false" ht="48.75" hidden="false" customHeight="true" outlineLevel="0" collapsed="false">
      <c r="A10" s="31" t="s">
        <v>114</v>
      </c>
      <c r="B10" s="31" t="s">
        <v>84</v>
      </c>
      <c r="C10" s="31" t="s">
        <v>166</v>
      </c>
      <c r="D10" s="31" t="s">
        <v>195</v>
      </c>
      <c r="E10" s="31" t="s">
        <v>196</v>
      </c>
      <c r="F10" s="31" t="n">
        <v>4</v>
      </c>
      <c r="G10" s="31" t="n">
        <v>3</v>
      </c>
      <c r="H10" s="31" t="n">
        <v>249</v>
      </c>
      <c r="I10" s="31" t="s">
        <v>177</v>
      </c>
      <c r="J10" s="32" t="n">
        <v>1450.2</v>
      </c>
      <c r="K10" s="31" t="s">
        <v>169</v>
      </c>
      <c r="L10" s="31" t="s">
        <v>197</v>
      </c>
      <c r="M10" s="33" t="s">
        <v>198</v>
      </c>
      <c r="N10" s="33" t="s">
        <v>199</v>
      </c>
      <c r="O10" s="31" t="s">
        <v>173</v>
      </c>
      <c r="P10" s="34" t="s">
        <v>181</v>
      </c>
    </row>
    <row r="11" customFormat="false" ht="15" hidden="false" customHeight="false" outlineLevel="0" collapsed="false">
      <c r="A11" s="31" t="s">
        <v>114</v>
      </c>
      <c r="B11" s="31" t="s">
        <v>84</v>
      </c>
      <c r="C11" s="31" t="s">
        <v>166</v>
      </c>
      <c r="D11" s="31" t="s">
        <v>200</v>
      </c>
      <c r="E11" s="31" t="s">
        <v>201</v>
      </c>
      <c r="F11" s="31" t="n">
        <v>4</v>
      </c>
      <c r="G11" s="31" t="n">
        <v>3</v>
      </c>
      <c r="H11" s="31" t="n">
        <v>2</v>
      </c>
      <c r="I11" s="31" t="s">
        <v>202</v>
      </c>
      <c r="J11" s="32" t="n">
        <v>1449.61</v>
      </c>
      <c r="K11" s="31" t="s">
        <v>169</v>
      </c>
      <c r="L11" s="31" t="s">
        <v>197</v>
      </c>
      <c r="M11" s="33" t="s">
        <v>203</v>
      </c>
      <c r="N11" s="33" t="s">
        <v>204</v>
      </c>
      <c r="O11" s="31" t="s">
        <v>173</v>
      </c>
      <c r="P11" s="34" t="s">
        <v>205</v>
      </c>
    </row>
    <row r="12" customFormat="false" ht="15" hidden="false" customHeight="false" outlineLevel="0" collapsed="false">
      <c r="A12" s="31" t="s">
        <v>114</v>
      </c>
      <c r="B12" s="31" t="s">
        <v>84</v>
      </c>
      <c r="C12" s="31" t="s">
        <v>166</v>
      </c>
      <c r="D12" s="31" t="s">
        <v>206</v>
      </c>
      <c r="E12" s="31" t="s">
        <v>207</v>
      </c>
      <c r="F12" s="31" t="n">
        <v>12</v>
      </c>
      <c r="G12" s="31" t="n">
        <v>8</v>
      </c>
      <c r="H12" s="31" t="n">
        <v>74</v>
      </c>
      <c r="I12" s="31" t="s">
        <v>168</v>
      </c>
      <c r="J12" s="32" t="n">
        <v>1449.44</v>
      </c>
      <c r="K12" s="31" t="s">
        <v>178</v>
      </c>
      <c r="L12" s="31" t="s">
        <v>197</v>
      </c>
      <c r="M12" s="33" t="s">
        <v>208</v>
      </c>
      <c r="N12" s="33" t="s">
        <v>209</v>
      </c>
      <c r="O12" s="31" t="s">
        <v>173</v>
      </c>
      <c r="P12" s="33" t="s">
        <v>173</v>
      </c>
    </row>
    <row r="13" customFormat="false" ht="15" hidden="false" customHeight="false" outlineLevel="0" collapsed="false">
      <c r="A13" s="31" t="s">
        <v>114</v>
      </c>
      <c r="B13" s="31" t="s">
        <v>84</v>
      </c>
      <c r="C13" s="31" t="s">
        <v>166</v>
      </c>
      <c r="D13" s="31" t="s">
        <v>210</v>
      </c>
      <c r="E13" s="31" t="s">
        <v>211</v>
      </c>
      <c r="F13" s="31" t="n">
        <v>2</v>
      </c>
      <c r="G13" s="31" t="n">
        <v>2</v>
      </c>
      <c r="H13" s="31" t="n">
        <v>24</v>
      </c>
      <c r="I13" s="31" t="s">
        <v>168</v>
      </c>
      <c r="J13" s="32" t="n">
        <v>1449.72</v>
      </c>
      <c r="K13" s="31" t="s">
        <v>178</v>
      </c>
      <c r="L13" s="31" t="s">
        <v>197</v>
      </c>
      <c r="M13" s="33" t="s">
        <v>212</v>
      </c>
      <c r="N13" s="33" t="s">
        <v>213</v>
      </c>
      <c r="O13" s="31" t="s">
        <v>173</v>
      </c>
      <c r="P13" s="33" t="s">
        <v>173</v>
      </c>
    </row>
    <row r="14" customFormat="false" ht="48.75" hidden="false" customHeight="true" outlineLevel="0" collapsed="false">
      <c r="A14" s="31" t="s">
        <v>114</v>
      </c>
      <c r="B14" s="31" t="s">
        <v>84</v>
      </c>
      <c r="C14" s="31" t="s">
        <v>166</v>
      </c>
      <c r="D14" s="31" t="s">
        <v>214</v>
      </c>
      <c r="E14" s="31" t="s">
        <v>215</v>
      </c>
      <c r="F14" s="31" t="n">
        <v>4</v>
      </c>
      <c r="G14" s="31" t="n">
        <v>3</v>
      </c>
      <c r="H14" s="31" t="n">
        <v>250</v>
      </c>
      <c r="I14" s="31" t="s">
        <v>177</v>
      </c>
      <c r="J14" s="32" t="n">
        <v>1449.96</v>
      </c>
      <c r="K14" s="31" t="s">
        <v>178</v>
      </c>
      <c r="L14" s="31" t="s">
        <v>197</v>
      </c>
      <c r="M14" s="33" t="s">
        <v>216</v>
      </c>
      <c r="N14" s="33" t="s">
        <v>217</v>
      </c>
      <c r="O14" s="31" t="s">
        <v>173</v>
      </c>
      <c r="P14" s="34" t="s">
        <v>181</v>
      </c>
    </row>
    <row r="15" customFormat="false" ht="15" hidden="false" customHeight="false" outlineLevel="0" collapsed="false">
      <c r="A15" s="31" t="s">
        <v>114</v>
      </c>
      <c r="B15" s="31" t="s">
        <v>84</v>
      </c>
      <c r="C15" s="31" t="s">
        <v>166</v>
      </c>
      <c r="D15" s="31" t="s">
        <v>218</v>
      </c>
      <c r="E15" s="31" t="s">
        <v>218</v>
      </c>
      <c r="F15" s="31" t="n">
        <v>0</v>
      </c>
      <c r="G15" s="31" t="n">
        <v>1</v>
      </c>
      <c r="H15" s="31" t="n">
        <v>57</v>
      </c>
      <c r="I15" s="31" t="s">
        <v>168</v>
      </c>
      <c r="J15" s="32" t="n">
        <v>1452.06</v>
      </c>
      <c r="K15" s="31" t="s">
        <v>169</v>
      </c>
      <c r="L15" s="31" t="s">
        <v>197</v>
      </c>
      <c r="M15" s="33" t="s">
        <v>219</v>
      </c>
      <c r="N15" s="33" t="s">
        <v>220</v>
      </c>
      <c r="O15" s="31" t="s">
        <v>173</v>
      </c>
      <c r="P15" s="33" t="s">
        <v>173</v>
      </c>
    </row>
    <row r="16" customFormat="false" ht="48.75" hidden="false" customHeight="true" outlineLevel="0" collapsed="false">
      <c r="A16" s="31" t="s">
        <v>114</v>
      </c>
      <c r="B16" s="31" t="s">
        <v>84</v>
      </c>
      <c r="C16" s="31" t="s">
        <v>166</v>
      </c>
      <c r="D16" s="31" t="s">
        <v>221</v>
      </c>
      <c r="E16" s="31" t="s">
        <v>221</v>
      </c>
      <c r="F16" s="31" t="n">
        <v>0</v>
      </c>
      <c r="G16" s="31" t="n">
        <v>1</v>
      </c>
      <c r="H16" s="31" t="n">
        <v>26</v>
      </c>
      <c r="I16" s="31" t="s">
        <v>168</v>
      </c>
      <c r="J16" s="32" t="n">
        <v>1449.22</v>
      </c>
      <c r="K16" s="31" t="s">
        <v>169</v>
      </c>
      <c r="L16" s="31" t="s">
        <v>197</v>
      </c>
      <c r="M16" s="33" t="s">
        <v>222</v>
      </c>
      <c r="N16" s="33" t="s">
        <v>223</v>
      </c>
      <c r="O16" s="31" t="s">
        <v>173</v>
      </c>
      <c r="P16" s="34" t="s">
        <v>224</v>
      </c>
    </row>
    <row r="17" customFormat="false" ht="48.75" hidden="false" customHeight="true" outlineLevel="0" collapsed="false">
      <c r="A17" s="31" t="s">
        <v>114</v>
      </c>
      <c r="B17" s="31" t="s">
        <v>84</v>
      </c>
      <c r="C17" s="31" t="s">
        <v>166</v>
      </c>
      <c r="D17" s="31" t="s">
        <v>225</v>
      </c>
      <c r="E17" s="31" t="s">
        <v>226</v>
      </c>
      <c r="F17" s="31" t="n">
        <v>12</v>
      </c>
      <c r="G17" s="31" t="n">
        <v>6</v>
      </c>
      <c r="H17" s="31" t="n">
        <v>66</v>
      </c>
      <c r="I17" s="31" t="s">
        <v>168</v>
      </c>
      <c r="J17" s="32" t="n">
        <v>1451.27</v>
      </c>
      <c r="K17" s="31" t="s">
        <v>169</v>
      </c>
      <c r="L17" s="31" t="s">
        <v>197</v>
      </c>
      <c r="M17" s="33" t="s">
        <v>227</v>
      </c>
      <c r="N17" s="33" t="s">
        <v>228</v>
      </c>
      <c r="O17" s="31" t="s">
        <v>173</v>
      </c>
      <c r="P17" s="34" t="s">
        <v>181</v>
      </c>
    </row>
    <row r="18" customFormat="false" ht="48.75" hidden="false" customHeight="true" outlineLevel="0" collapsed="false">
      <c r="A18" s="31" t="s">
        <v>114</v>
      </c>
      <c r="B18" s="31" t="s">
        <v>84</v>
      </c>
      <c r="C18" s="31" t="s">
        <v>166</v>
      </c>
      <c r="D18" s="31" t="s">
        <v>229</v>
      </c>
      <c r="E18" s="31" t="s">
        <v>230</v>
      </c>
      <c r="F18" s="31" t="n">
        <v>8</v>
      </c>
      <c r="G18" s="31" t="n">
        <v>5</v>
      </c>
      <c r="H18" s="31" t="n">
        <v>85</v>
      </c>
      <c r="I18" s="31" t="s">
        <v>168</v>
      </c>
      <c r="J18" s="32" t="n">
        <v>1449.45</v>
      </c>
      <c r="K18" s="31" t="s">
        <v>178</v>
      </c>
      <c r="L18" s="31" t="s">
        <v>197</v>
      </c>
      <c r="M18" s="33" t="s">
        <v>231</v>
      </c>
      <c r="N18" s="33" t="s">
        <v>232</v>
      </c>
      <c r="O18" s="31" t="s">
        <v>173</v>
      </c>
      <c r="P18" s="34" t="s">
        <v>181</v>
      </c>
    </row>
    <row r="19" customFormat="false" ht="48.75" hidden="false" customHeight="true" outlineLevel="0" collapsed="false">
      <c r="A19" s="31" t="s">
        <v>122</v>
      </c>
      <c r="B19" s="31" t="s">
        <v>84</v>
      </c>
      <c r="C19" s="31" t="s">
        <v>166</v>
      </c>
      <c r="D19" s="31" t="s">
        <v>233</v>
      </c>
      <c r="E19" s="31" t="s">
        <v>234</v>
      </c>
      <c r="F19" s="31" t="n">
        <v>2</v>
      </c>
      <c r="G19" s="31" t="n">
        <v>2</v>
      </c>
      <c r="H19" s="31" t="n">
        <v>250</v>
      </c>
      <c r="I19" s="31" t="s">
        <v>168</v>
      </c>
      <c r="J19" s="32" t="n">
        <v>1449.8</v>
      </c>
      <c r="K19" s="31" t="s">
        <v>178</v>
      </c>
      <c r="L19" s="31" t="s">
        <v>197</v>
      </c>
      <c r="M19" s="33" t="s">
        <v>235</v>
      </c>
      <c r="N19" s="33" t="s">
        <v>236</v>
      </c>
      <c r="O19" s="31" t="s">
        <v>173</v>
      </c>
      <c r="P19" s="34" t="s">
        <v>181</v>
      </c>
    </row>
    <row r="20" customFormat="false" ht="48.75" hidden="false" customHeight="true" outlineLevel="0" collapsed="false">
      <c r="A20" s="31" t="s">
        <v>122</v>
      </c>
      <c r="B20" s="31" t="s">
        <v>84</v>
      </c>
      <c r="C20" s="31" t="s">
        <v>166</v>
      </c>
      <c r="D20" s="31" t="s">
        <v>237</v>
      </c>
      <c r="E20" s="31" t="s">
        <v>238</v>
      </c>
      <c r="F20" s="31" t="n">
        <v>2</v>
      </c>
      <c r="G20" s="31" t="n">
        <v>2</v>
      </c>
      <c r="H20" s="31" t="n">
        <v>123</v>
      </c>
      <c r="I20" s="31" t="s">
        <v>168</v>
      </c>
      <c r="J20" s="32" t="n">
        <v>1451.91</v>
      </c>
      <c r="K20" s="31" t="s">
        <v>169</v>
      </c>
      <c r="L20" s="31" t="s">
        <v>197</v>
      </c>
      <c r="M20" s="33" t="s">
        <v>239</v>
      </c>
      <c r="N20" s="33" t="s">
        <v>228</v>
      </c>
      <c r="O20" s="31" t="s">
        <v>173</v>
      </c>
      <c r="P20" s="34" t="s">
        <v>181</v>
      </c>
    </row>
    <row r="21" customFormat="false" ht="15" hidden="false" customHeight="false" outlineLevel="0" collapsed="false">
      <c r="A21" s="31" t="s">
        <v>122</v>
      </c>
      <c r="B21" s="31" t="s">
        <v>84</v>
      </c>
      <c r="C21" s="31" t="s">
        <v>166</v>
      </c>
      <c r="D21" s="31" t="s">
        <v>240</v>
      </c>
      <c r="E21" s="31" t="s">
        <v>241</v>
      </c>
      <c r="F21" s="31" t="n">
        <v>8</v>
      </c>
      <c r="G21" s="31" t="n">
        <v>4</v>
      </c>
      <c r="H21" s="31" t="n">
        <v>99</v>
      </c>
      <c r="I21" s="31" t="s">
        <v>168</v>
      </c>
      <c r="J21" s="32" t="n">
        <v>1451.38</v>
      </c>
      <c r="K21" s="31" t="s">
        <v>169</v>
      </c>
      <c r="L21" s="31" t="s">
        <v>197</v>
      </c>
      <c r="M21" s="33" t="s">
        <v>242</v>
      </c>
      <c r="N21" s="33" t="s">
        <v>243</v>
      </c>
      <c r="O21" s="31" t="s">
        <v>173</v>
      </c>
      <c r="P21" s="33" t="s">
        <v>173</v>
      </c>
    </row>
    <row r="22" customFormat="false" ht="15" hidden="false" customHeight="false" outlineLevel="0" collapsed="false">
      <c r="A22" s="31" t="s">
        <v>122</v>
      </c>
      <c r="B22" s="31" t="s">
        <v>84</v>
      </c>
      <c r="C22" s="31" t="s">
        <v>166</v>
      </c>
      <c r="D22" s="31" t="s">
        <v>244</v>
      </c>
      <c r="E22" s="31" t="s">
        <v>245</v>
      </c>
      <c r="F22" s="31" t="n">
        <v>10</v>
      </c>
      <c r="G22" s="31" t="n">
        <v>6</v>
      </c>
      <c r="H22" s="31" t="n">
        <v>22</v>
      </c>
      <c r="I22" s="31" t="s">
        <v>168</v>
      </c>
      <c r="J22" s="32" t="n">
        <v>1451.17</v>
      </c>
      <c r="K22" s="31" t="s">
        <v>169</v>
      </c>
      <c r="L22" s="31" t="s">
        <v>197</v>
      </c>
      <c r="M22" s="33" t="s">
        <v>246</v>
      </c>
      <c r="N22" s="33" t="s">
        <v>247</v>
      </c>
      <c r="O22" s="31" t="s">
        <v>173</v>
      </c>
      <c r="P22" s="33" t="s">
        <v>173</v>
      </c>
    </row>
    <row r="23" customFormat="false" ht="48.75" hidden="false" customHeight="true" outlineLevel="0" collapsed="false">
      <c r="A23" s="31" t="s">
        <v>122</v>
      </c>
      <c r="B23" s="31" t="s">
        <v>84</v>
      </c>
      <c r="C23" s="31" t="s">
        <v>166</v>
      </c>
      <c r="D23" s="31" t="s">
        <v>248</v>
      </c>
      <c r="E23" s="31" t="s">
        <v>249</v>
      </c>
      <c r="F23" s="31" t="n">
        <v>4</v>
      </c>
      <c r="G23" s="31" t="n">
        <v>3</v>
      </c>
      <c r="H23" s="31" t="n">
        <v>178</v>
      </c>
      <c r="I23" s="31" t="s">
        <v>177</v>
      </c>
      <c r="J23" s="32" t="n">
        <v>1451.48</v>
      </c>
      <c r="K23" s="31" t="s">
        <v>169</v>
      </c>
      <c r="L23" s="31" t="s">
        <v>197</v>
      </c>
      <c r="M23" s="33" t="s">
        <v>250</v>
      </c>
      <c r="N23" s="33" t="s">
        <v>251</v>
      </c>
      <c r="O23" s="31" t="s">
        <v>173</v>
      </c>
      <c r="P23" s="34" t="s">
        <v>181</v>
      </c>
    </row>
    <row r="24" customFormat="false" ht="15" hidden="false" customHeight="false" outlineLevel="0" collapsed="false">
      <c r="A24" s="31" t="s">
        <v>122</v>
      </c>
      <c r="B24" s="31" t="s">
        <v>84</v>
      </c>
      <c r="C24" s="31" t="s">
        <v>166</v>
      </c>
      <c r="D24" s="31" t="s">
        <v>252</v>
      </c>
      <c r="E24" s="31" t="s">
        <v>252</v>
      </c>
      <c r="F24" s="31" t="n">
        <v>0</v>
      </c>
      <c r="G24" s="31" t="n">
        <v>1</v>
      </c>
      <c r="H24" s="31" t="n">
        <v>27</v>
      </c>
      <c r="I24" s="31" t="s">
        <v>177</v>
      </c>
      <c r="J24" s="32" t="n">
        <v>1449.47</v>
      </c>
      <c r="K24" s="31" t="s">
        <v>169</v>
      </c>
      <c r="L24" s="31" t="s">
        <v>197</v>
      </c>
      <c r="M24" s="33" t="s">
        <v>253</v>
      </c>
      <c r="N24" s="33" t="s">
        <v>213</v>
      </c>
      <c r="O24" s="31" t="s">
        <v>173</v>
      </c>
      <c r="P24" s="33" t="s">
        <v>173</v>
      </c>
    </row>
    <row r="25" customFormat="false" ht="15" hidden="false" customHeight="false" outlineLevel="0" collapsed="false">
      <c r="A25" s="31" t="s">
        <v>122</v>
      </c>
      <c r="B25" s="31" t="s">
        <v>84</v>
      </c>
      <c r="C25" s="31" t="s">
        <v>166</v>
      </c>
      <c r="D25" s="31" t="s">
        <v>254</v>
      </c>
      <c r="E25" s="31" t="s">
        <v>254</v>
      </c>
      <c r="F25" s="31" t="n">
        <v>0</v>
      </c>
      <c r="G25" s="31" t="n">
        <v>1</v>
      </c>
      <c r="H25" s="31" t="n">
        <v>27</v>
      </c>
      <c r="I25" s="31" t="s">
        <v>177</v>
      </c>
      <c r="J25" s="32" t="n">
        <v>1449.47</v>
      </c>
      <c r="K25" s="31" t="s">
        <v>169</v>
      </c>
      <c r="L25" s="31" t="s">
        <v>197</v>
      </c>
      <c r="M25" s="33" t="s">
        <v>253</v>
      </c>
      <c r="N25" s="33" t="s">
        <v>213</v>
      </c>
      <c r="O25" s="31" t="s">
        <v>173</v>
      </c>
      <c r="P25" s="33" t="s">
        <v>173</v>
      </c>
    </row>
    <row r="26" customFormat="false" ht="48.75" hidden="false" customHeight="true" outlineLevel="0" collapsed="false">
      <c r="A26" s="31" t="s">
        <v>122</v>
      </c>
      <c r="B26" s="31" t="s">
        <v>84</v>
      </c>
      <c r="C26" s="31" t="s">
        <v>166</v>
      </c>
      <c r="D26" s="31" t="s">
        <v>255</v>
      </c>
      <c r="E26" s="31" t="s">
        <v>256</v>
      </c>
      <c r="F26" s="31" t="n">
        <v>10</v>
      </c>
      <c r="G26" s="31" t="n">
        <v>5</v>
      </c>
      <c r="H26" s="31" t="n">
        <v>50</v>
      </c>
      <c r="I26" s="31" t="s">
        <v>168</v>
      </c>
      <c r="J26" s="32" t="n">
        <v>1452.13</v>
      </c>
      <c r="K26" s="31" t="s">
        <v>169</v>
      </c>
      <c r="L26" s="31" t="s">
        <v>197</v>
      </c>
      <c r="M26" s="33" t="s">
        <v>257</v>
      </c>
      <c r="N26" s="33" t="s">
        <v>213</v>
      </c>
      <c r="O26" s="31" t="s">
        <v>173</v>
      </c>
      <c r="P26" s="34" t="s">
        <v>181</v>
      </c>
    </row>
    <row r="27" customFormat="false" ht="48.75" hidden="false" customHeight="true" outlineLevel="0" collapsed="false">
      <c r="A27" s="31" t="s">
        <v>122</v>
      </c>
      <c r="B27" s="31" t="s">
        <v>84</v>
      </c>
      <c r="C27" s="31" t="s">
        <v>166</v>
      </c>
      <c r="D27" s="31" t="s">
        <v>258</v>
      </c>
      <c r="E27" s="31" t="s">
        <v>258</v>
      </c>
      <c r="F27" s="31" t="n">
        <v>0</v>
      </c>
      <c r="G27" s="31" t="n">
        <v>1</v>
      </c>
      <c r="H27" s="31" t="n">
        <v>8</v>
      </c>
      <c r="I27" s="31" t="s">
        <v>168</v>
      </c>
      <c r="J27" s="32" t="n">
        <v>1451.98</v>
      </c>
      <c r="K27" s="31" t="s">
        <v>169</v>
      </c>
      <c r="L27" s="31" t="s">
        <v>197</v>
      </c>
      <c r="M27" s="33" t="s">
        <v>259</v>
      </c>
      <c r="N27" s="33" t="s">
        <v>213</v>
      </c>
      <c r="O27" s="31" t="s">
        <v>173</v>
      </c>
      <c r="P27" s="34" t="s">
        <v>181</v>
      </c>
    </row>
    <row r="28" customFormat="false" ht="48.75" hidden="false" customHeight="true" outlineLevel="0" collapsed="false">
      <c r="A28" s="31" t="s">
        <v>122</v>
      </c>
      <c r="B28" s="31" t="s">
        <v>84</v>
      </c>
      <c r="C28" s="31" t="s">
        <v>166</v>
      </c>
      <c r="D28" s="31" t="s">
        <v>260</v>
      </c>
      <c r="E28" s="31" t="s">
        <v>261</v>
      </c>
      <c r="F28" s="31" t="n">
        <v>14</v>
      </c>
      <c r="G28" s="31" t="n">
        <v>9</v>
      </c>
      <c r="H28" s="31" t="n">
        <v>138</v>
      </c>
      <c r="I28" s="31" t="s">
        <v>168</v>
      </c>
      <c r="J28" s="32" t="n">
        <v>1449.85</v>
      </c>
      <c r="K28" s="31" t="s">
        <v>178</v>
      </c>
      <c r="L28" s="31" t="s">
        <v>197</v>
      </c>
      <c r="M28" s="33" t="s">
        <v>262</v>
      </c>
      <c r="N28" s="33" t="s">
        <v>263</v>
      </c>
      <c r="O28" s="31" t="s">
        <v>173</v>
      </c>
      <c r="P28" s="34" t="s">
        <v>181</v>
      </c>
    </row>
    <row r="29" customFormat="false" ht="15" hidden="false" customHeight="false" outlineLevel="0" collapsed="false">
      <c r="A29" s="31" t="s">
        <v>122</v>
      </c>
      <c r="B29" s="31" t="s">
        <v>84</v>
      </c>
      <c r="C29" s="31" t="s">
        <v>166</v>
      </c>
      <c r="D29" s="31" t="s">
        <v>264</v>
      </c>
      <c r="E29" s="31" t="s">
        <v>265</v>
      </c>
      <c r="F29" s="31" t="n">
        <v>12</v>
      </c>
      <c r="G29" s="31" t="n">
        <v>6</v>
      </c>
      <c r="H29" s="31" t="n">
        <v>62</v>
      </c>
      <c r="I29" s="31" t="s">
        <v>168</v>
      </c>
      <c r="J29" s="32" t="n">
        <v>1450.72</v>
      </c>
      <c r="K29" s="31" t="s">
        <v>178</v>
      </c>
      <c r="L29" s="31" t="s">
        <v>197</v>
      </c>
      <c r="M29" s="33" t="s">
        <v>266</v>
      </c>
      <c r="N29" s="33" t="s">
        <v>267</v>
      </c>
      <c r="O29" s="31" t="s">
        <v>173</v>
      </c>
      <c r="P29" s="33" t="s">
        <v>173</v>
      </c>
    </row>
    <row r="30" customFormat="false" ht="15" hidden="false" customHeight="false" outlineLevel="0" collapsed="false">
      <c r="A30" s="31" t="s">
        <v>122</v>
      </c>
      <c r="B30" s="31" t="s">
        <v>84</v>
      </c>
      <c r="C30" s="31" t="s">
        <v>166</v>
      </c>
      <c r="D30" s="31" t="s">
        <v>268</v>
      </c>
      <c r="E30" s="31" t="s">
        <v>269</v>
      </c>
      <c r="F30" s="31" t="n">
        <v>2</v>
      </c>
      <c r="G30" s="31" t="n">
        <v>2</v>
      </c>
      <c r="H30" s="31" t="n">
        <v>16</v>
      </c>
      <c r="I30" s="31" t="s">
        <v>168</v>
      </c>
      <c r="J30" s="32" t="n">
        <v>1450.92</v>
      </c>
      <c r="K30" s="31" t="s">
        <v>178</v>
      </c>
      <c r="L30" s="31" t="s">
        <v>197</v>
      </c>
      <c r="M30" s="33" t="s">
        <v>270</v>
      </c>
      <c r="N30" s="33" t="s">
        <v>213</v>
      </c>
      <c r="O30" s="31" t="s">
        <v>173</v>
      </c>
      <c r="P30" s="33" t="s">
        <v>173</v>
      </c>
    </row>
    <row r="31" customFormat="false" ht="15" hidden="false" customHeight="false" outlineLevel="0" collapsed="false">
      <c r="A31" s="31" t="s">
        <v>134</v>
      </c>
      <c r="B31" s="31" t="s">
        <v>36</v>
      </c>
      <c r="C31" s="31" t="s">
        <v>166</v>
      </c>
      <c r="D31" s="31" t="s">
        <v>271</v>
      </c>
      <c r="E31" s="31" t="s">
        <v>272</v>
      </c>
      <c r="F31" s="31" t="n">
        <v>8</v>
      </c>
      <c r="G31" s="31" t="n">
        <v>5</v>
      </c>
      <c r="H31" s="31" t="n">
        <v>28</v>
      </c>
      <c r="I31" s="31" t="s">
        <v>202</v>
      </c>
      <c r="J31" s="32" t="n">
        <v>1469.58</v>
      </c>
      <c r="K31" s="31" t="s">
        <v>178</v>
      </c>
      <c r="L31" s="31" t="s">
        <v>184</v>
      </c>
      <c r="M31" s="33" t="s">
        <v>273</v>
      </c>
      <c r="N31" s="33" t="s">
        <v>274</v>
      </c>
      <c r="O31" s="31" t="s">
        <v>173</v>
      </c>
      <c r="P31" s="34" t="s">
        <v>205</v>
      </c>
    </row>
  </sheetData>
  <mergeCells count="2">
    <mergeCell ref="A1:P1"/>
    <mergeCell ref="A3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7" min="6" style="0" width="12"/>
    <col collapsed="false" customWidth="true" hidden="false" outlineLevel="0" max="9" min="8" style="0" width="13"/>
    <col collapsed="false" customWidth="true" hidden="false" outlineLevel="0" max="10" min="10" style="0" width="19"/>
    <col collapsed="false" customWidth="true" hidden="false" outlineLevel="0" max="11" min="11" style="0" width="10"/>
  </cols>
  <sheetData>
    <row r="1" customFormat="false" ht="16.15" hidden="false" customHeight="false" outlineLevel="0" collapsed="false">
      <c r="A1" s="13" t="s">
        <v>275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customFormat="false" ht="15" hidden="false" customHeight="false" outlineLevel="0" collapsed="false">
      <c r="A2" s="37" t="s">
        <v>276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33.75" hidden="false" customHeight="true" outlineLevel="0" collapsed="false">
      <c r="A4" s="14" t="s">
        <v>26</v>
      </c>
      <c r="B4" s="14" t="s">
        <v>27</v>
      </c>
      <c r="C4" s="14" t="s">
        <v>31</v>
      </c>
      <c r="D4" s="14" t="s">
        <v>277</v>
      </c>
      <c r="E4" s="14" t="s">
        <v>278</v>
      </c>
      <c r="F4" s="14" t="s">
        <v>279</v>
      </c>
      <c r="G4" s="14" t="s">
        <v>280</v>
      </c>
      <c r="H4" s="14" t="s">
        <v>281</v>
      </c>
      <c r="I4" s="14" t="s">
        <v>282</v>
      </c>
      <c r="J4" s="14" t="s">
        <v>283</v>
      </c>
      <c r="K4" s="14" t="s">
        <v>284</v>
      </c>
    </row>
    <row r="5" customFormat="false" ht="15" hidden="false" customHeight="false" outlineLevel="0" collapsed="false">
      <c r="A5" s="16" t="s">
        <v>35</v>
      </c>
      <c r="B5" s="16" t="s">
        <v>53</v>
      </c>
      <c r="C5" s="16" t="n">
        <v>2491</v>
      </c>
      <c r="D5" s="16" t="n">
        <v>2490</v>
      </c>
      <c r="E5" s="16" t="n">
        <v>2296</v>
      </c>
      <c r="F5" s="38" t="n">
        <v>1401345</v>
      </c>
      <c r="G5" s="38" t="n">
        <v>1503467</v>
      </c>
      <c r="H5" s="38" t="n">
        <v>1401556</v>
      </c>
      <c r="I5" s="38" t="n">
        <v>1479426</v>
      </c>
      <c r="J5" s="19" t="n">
        <f aca="false">(I5-H5)/1000</f>
        <v>77.87</v>
      </c>
      <c r="K5" s="16" t="s">
        <v>285</v>
      </c>
    </row>
    <row r="6" customFormat="false" ht="15" hidden="false" customHeight="false" outlineLevel="0" collapsed="false">
      <c r="A6" s="16" t="s">
        <v>35</v>
      </c>
      <c r="B6" s="16" t="s">
        <v>37</v>
      </c>
      <c r="C6" s="16" t="n">
        <v>6719</v>
      </c>
      <c r="D6" s="16" t="n">
        <v>6703</v>
      </c>
      <c r="E6" s="16" t="n">
        <v>5054</v>
      </c>
      <c r="F6" s="38" t="n">
        <v>1191102</v>
      </c>
      <c r="G6" s="38" t="n">
        <v>1503182</v>
      </c>
      <c r="H6" s="38" t="n">
        <v>1401562</v>
      </c>
      <c r="I6" s="38" t="n">
        <v>1479422</v>
      </c>
      <c r="J6" s="19" t="n">
        <f aca="false">(I6-H6)/1000</f>
        <v>77.86</v>
      </c>
      <c r="K6" s="16" t="s">
        <v>285</v>
      </c>
    </row>
    <row r="7" customFormat="false" ht="15" hidden="false" customHeight="false" outlineLevel="0" collapsed="false">
      <c r="A7" s="16" t="s">
        <v>35</v>
      </c>
      <c r="B7" s="16" t="s">
        <v>41</v>
      </c>
      <c r="C7" s="16" t="n">
        <v>4221</v>
      </c>
      <c r="D7" s="16" t="n">
        <v>4207</v>
      </c>
      <c r="E7" s="16" t="n">
        <v>3216</v>
      </c>
      <c r="F7" s="38" t="n">
        <v>1141204</v>
      </c>
      <c r="G7" s="38" t="n">
        <v>1508528</v>
      </c>
      <c r="H7" s="38" t="n">
        <v>1401559</v>
      </c>
      <c r="I7" s="38" t="n">
        <v>1479422</v>
      </c>
      <c r="J7" s="19" t="n">
        <f aca="false">(I7-H7)/1000</f>
        <v>77.863</v>
      </c>
      <c r="K7" s="16" t="s">
        <v>285</v>
      </c>
    </row>
    <row r="8" customFormat="false" ht="15" hidden="false" customHeight="false" outlineLevel="0" collapsed="false">
      <c r="A8" s="16" t="s">
        <v>35</v>
      </c>
      <c r="B8" s="16" t="s">
        <v>39</v>
      </c>
      <c r="C8" s="16" t="n">
        <v>5757</v>
      </c>
      <c r="D8" s="16" t="n">
        <v>5756</v>
      </c>
      <c r="E8" s="16" t="n">
        <v>4620</v>
      </c>
      <c r="F8" s="38" t="n">
        <v>1196209</v>
      </c>
      <c r="G8" s="38" t="n">
        <v>1508606</v>
      </c>
      <c r="H8" s="38" t="n">
        <v>1401571</v>
      </c>
      <c r="I8" s="38" t="n">
        <v>1479427</v>
      </c>
      <c r="J8" s="19" t="n">
        <f aca="false">(I8-H8)/1000</f>
        <v>77.856</v>
      </c>
      <c r="K8" s="16" t="s">
        <v>285</v>
      </c>
    </row>
    <row r="9" customFormat="false" ht="15" hidden="false" customHeight="false" outlineLevel="0" collapsed="false">
      <c r="A9" s="16" t="s">
        <v>35</v>
      </c>
      <c r="B9" s="16" t="s">
        <v>51</v>
      </c>
      <c r="C9" s="16" t="n">
        <v>2572</v>
      </c>
      <c r="D9" s="16" t="n">
        <v>2571</v>
      </c>
      <c r="E9" s="16" t="n">
        <v>2338</v>
      </c>
      <c r="F9" s="38" t="n">
        <v>1401339</v>
      </c>
      <c r="G9" s="38" t="n">
        <v>1518256</v>
      </c>
      <c r="H9" s="38" t="n">
        <v>1401561</v>
      </c>
      <c r="I9" s="38" t="n">
        <v>1479421</v>
      </c>
      <c r="J9" s="19" t="n">
        <f aca="false">(I9-H9)/1000</f>
        <v>77.86</v>
      </c>
      <c r="K9" s="16" t="s">
        <v>285</v>
      </c>
    </row>
    <row r="10" customFormat="false" ht="15" hidden="false" customHeight="false" outlineLevel="0" collapsed="false">
      <c r="A10" s="16" t="s">
        <v>35</v>
      </c>
      <c r="B10" s="16" t="s">
        <v>52</v>
      </c>
      <c r="C10" s="16" t="n">
        <v>2546</v>
      </c>
      <c r="D10" s="16" t="n">
        <v>2543</v>
      </c>
      <c r="E10" s="16" t="n">
        <v>2307</v>
      </c>
      <c r="F10" s="38" t="n">
        <v>1222894</v>
      </c>
      <c r="G10" s="38" t="n">
        <v>1493626</v>
      </c>
      <c r="H10" s="38" t="n">
        <v>1401554</v>
      </c>
      <c r="I10" s="38" t="n">
        <v>1479400</v>
      </c>
      <c r="J10" s="19" t="n">
        <f aca="false">(I10-H10)/1000</f>
        <v>77.846</v>
      </c>
      <c r="K10" s="16" t="s">
        <v>285</v>
      </c>
    </row>
    <row r="11" customFormat="false" ht="15" hidden="false" customHeight="false" outlineLevel="0" collapsed="false">
      <c r="A11" s="16" t="s">
        <v>35</v>
      </c>
      <c r="B11" s="16" t="s">
        <v>36</v>
      </c>
      <c r="C11" s="16" t="n">
        <v>6961</v>
      </c>
      <c r="D11" s="16" t="n">
        <v>6936</v>
      </c>
      <c r="E11" s="16" t="n">
        <v>5617</v>
      </c>
      <c r="F11" s="38" t="n">
        <v>1127141</v>
      </c>
      <c r="G11" s="38" t="n">
        <v>1503163</v>
      </c>
      <c r="H11" s="38" t="n">
        <v>1401557</v>
      </c>
      <c r="I11" s="38" t="n">
        <v>1479408</v>
      </c>
      <c r="J11" s="19" t="n">
        <f aca="false">(I11-H11)/1000</f>
        <v>77.851</v>
      </c>
      <c r="K11" s="16" t="s">
        <v>285</v>
      </c>
    </row>
    <row r="12" customFormat="false" ht="15" hidden="false" customHeight="false" outlineLevel="0" collapsed="false">
      <c r="A12" s="16" t="s">
        <v>35</v>
      </c>
      <c r="B12" s="16" t="s">
        <v>38</v>
      </c>
      <c r="C12" s="16" t="n">
        <v>6037</v>
      </c>
      <c r="D12" s="16" t="n">
        <v>6023</v>
      </c>
      <c r="E12" s="16" t="n">
        <v>4998</v>
      </c>
      <c r="F12" s="38" t="n">
        <v>1401328</v>
      </c>
      <c r="G12" s="38" t="n">
        <v>1499130</v>
      </c>
      <c r="H12" s="38" t="n">
        <v>1401575</v>
      </c>
      <c r="I12" s="38" t="n">
        <v>1479429</v>
      </c>
      <c r="J12" s="19" t="n">
        <f aca="false">(I12-H12)/1000</f>
        <v>77.854</v>
      </c>
      <c r="K12" s="16" t="s">
        <v>285</v>
      </c>
    </row>
    <row r="13" customFormat="false" ht="15" hidden="false" customHeight="false" outlineLevel="0" collapsed="false">
      <c r="A13" s="16" t="s">
        <v>35</v>
      </c>
      <c r="B13" s="16" t="s">
        <v>44</v>
      </c>
      <c r="C13" s="16" t="n">
        <v>3171</v>
      </c>
      <c r="D13" s="16" t="n">
        <v>3168</v>
      </c>
      <c r="E13" s="16" t="n">
        <v>2340</v>
      </c>
      <c r="F13" s="38" t="n">
        <v>1193983</v>
      </c>
      <c r="G13" s="38" t="n">
        <v>1511739</v>
      </c>
      <c r="H13" s="38" t="n">
        <v>1401570</v>
      </c>
      <c r="I13" s="38" t="n">
        <v>1479410</v>
      </c>
      <c r="J13" s="19" t="n">
        <f aca="false">(I13-H13)/1000</f>
        <v>77.84</v>
      </c>
      <c r="K13" s="16" t="s">
        <v>285</v>
      </c>
    </row>
    <row r="14" customFormat="false" ht="15" hidden="false" customHeight="false" outlineLevel="0" collapsed="false">
      <c r="A14" s="16" t="s">
        <v>35</v>
      </c>
      <c r="B14" s="16" t="s">
        <v>57</v>
      </c>
      <c r="C14" s="16" t="n">
        <v>2252</v>
      </c>
      <c r="D14" s="16" t="n">
        <v>2248</v>
      </c>
      <c r="E14" s="16" t="n">
        <v>2129</v>
      </c>
      <c r="F14" s="38" t="n">
        <v>1401410</v>
      </c>
      <c r="G14" s="38" t="n">
        <v>1533598</v>
      </c>
      <c r="H14" s="38" t="n">
        <v>1401579</v>
      </c>
      <c r="I14" s="38" t="n">
        <v>1479406</v>
      </c>
      <c r="J14" s="19" t="n">
        <f aca="false">(I14-H14)/1000</f>
        <v>77.827</v>
      </c>
      <c r="K14" s="16" t="s">
        <v>285</v>
      </c>
    </row>
    <row r="15" customFormat="false" ht="15" hidden="false" customHeight="false" outlineLevel="0" collapsed="false">
      <c r="A15" s="16" t="s">
        <v>35</v>
      </c>
      <c r="B15" s="16" t="s">
        <v>45</v>
      </c>
      <c r="C15" s="16" t="n">
        <v>3049</v>
      </c>
      <c r="D15" s="16" t="n">
        <v>3047</v>
      </c>
      <c r="E15" s="16" t="n">
        <v>2406</v>
      </c>
      <c r="F15" s="38" t="n">
        <v>1196184</v>
      </c>
      <c r="G15" s="38" t="n">
        <v>1508071</v>
      </c>
      <c r="H15" s="38" t="n">
        <v>1401563</v>
      </c>
      <c r="I15" s="38" t="n">
        <v>1479398</v>
      </c>
      <c r="J15" s="19" t="n">
        <f aca="false">(I15-H15)/1000</f>
        <v>77.835</v>
      </c>
      <c r="K15" s="16" t="s">
        <v>285</v>
      </c>
    </row>
    <row r="16" customFormat="false" ht="15" hidden="false" customHeight="false" outlineLevel="0" collapsed="false">
      <c r="A16" s="16" t="s">
        <v>35</v>
      </c>
      <c r="B16" s="16" t="s">
        <v>49</v>
      </c>
      <c r="C16" s="16" t="n">
        <v>2667</v>
      </c>
      <c r="D16" s="16" t="n">
        <v>2643</v>
      </c>
      <c r="E16" s="16" t="n">
        <v>2163</v>
      </c>
      <c r="F16" s="38" t="n">
        <v>1191295</v>
      </c>
      <c r="G16" s="38" t="n">
        <v>1496116</v>
      </c>
      <c r="H16" s="38" t="n">
        <v>1401573</v>
      </c>
      <c r="I16" s="38" t="n">
        <v>1479395</v>
      </c>
      <c r="J16" s="19" t="n">
        <f aca="false">(I16-H16)/1000</f>
        <v>77.822</v>
      </c>
      <c r="K16" s="16" t="s">
        <v>285</v>
      </c>
    </row>
    <row r="17" customFormat="false" ht="15" hidden="false" customHeight="false" outlineLevel="0" collapsed="false">
      <c r="A17" s="16" t="s">
        <v>35</v>
      </c>
      <c r="B17" s="16" t="s">
        <v>42</v>
      </c>
      <c r="C17" s="16" t="n">
        <v>3506</v>
      </c>
      <c r="D17" s="16" t="n">
        <v>3504</v>
      </c>
      <c r="E17" s="16" t="n">
        <v>2371</v>
      </c>
      <c r="F17" s="38" t="n">
        <v>1170531</v>
      </c>
      <c r="G17" s="38" t="n">
        <v>1517457</v>
      </c>
      <c r="H17" s="38" t="n">
        <v>1401580</v>
      </c>
      <c r="I17" s="38" t="n">
        <v>1479387</v>
      </c>
      <c r="J17" s="19" t="n">
        <f aca="false">(I17-H17)/1000</f>
        <v>77.807</v>
      </c>
      <c r="K17" s="16" t="s">
        <v>285</v>
      </c>
    </row>
    <row r="18" customFormat="false" ht="15" hidden="false" customHeight="false" outlineLevel="0" collapsed="false">
      <c r="A18" s="16" t="s">
        <v>35</v>
      </c>
      <c r="B18" s="16" t="s">
        <v>59</v>
      </c>
      <c r="C18" s="16" t="n">
        <v>2211</v>
      </c>
      <c r="D18" s="16" t="n">
        <v>2211</v>
      </c>
      <c r="E18" s="16" t="n">
        <v>2102</v>
      </c>
      <c r="F18" s="38" t="n">
        <v>1401484</v>
      </c>
      <c r="G18" s="38" t="n">
        <v>1499006</v>
      </c>
      <c r="H18" s="38" t="n">
        <v>1401605</v>
      </c>
      <c r="I18" s="38" t="n">
        <v>1479356</v>
      </c>
      <c r="J18" s="19" t="n">
        <f aca="false">(I18-H18)/1000</f>
        <v>77.751</v>
      </c>
      <c r="K18" s="16" t="s">
        <v>285</v>
      </c>
    </row>
    <row r="19" customFormat="false" ht="15" hidden="false" customHeight="false" outlineLevel="0" collapsed="false">
      <c r="A19" s="16" t="s">
        <v>35</v>
      </c>
      <c r="B19" s="16" t="s">
        <v>43</v>
      </c>
      <c r="C19" s="16" t="n">
        <v>3475</v>
      </c>
      <c r="D19" s="16" t="n">
        <v>3469</v>
      </c>
      <c r="E19" s="16" t="n">
        <v>2814</v>
      </c>
      <c r="F19" s="38" t="n">
        <v>1401687</v>
      </c>
      <c r="G19" s="38" t="n">
        <v>1518211</v>
      </c>
      <c r="H19" s="38" t="n">
        <v>1401687</v>
      </c>
      <c r="I19" s="38" t="n">
        <v>1479434</v>
      </c>
      <c r="J19" s="19" t="n">
        <f aca="false">(I19-H19)/1000</f>
        <v>77.747</v>
      </c>
      <c r="K19" s="16" t="s">
        <v>285</v>
      </c>
    </row>
    <row r="20" customFormat="false" ht="15" hidden="false" customHeight="false" outlineLevel="0" collapsed="false">
      <c r="A20" s="16" t="s">
        <v>35</v>
      </c>
      <c r="B20" s="16" t="s">
        <v>56</v>
      </c>
      <c r="C20" s="16" t="n">
        <v>2329</v>
      </c>
      <c r="D20" s="16" t="n">
        <v>2327</v>
      </c>
      <c r="E20" s="16" t="n">
        <v>2110</v>
      </c>
      <c r="F20" s="38" t="n">
        <v>1401696</v>
      </c>
      <c r="G20" s="38" t="n">
        <v>1499173</v>
      </c>
      <c r="H20" s="38" t="n">
        <v>1401696</v>
      </c>
      <c r="I20" s="38" t="n">
        <v>1479428</v>
      </c>
      <c r="J20" s="19" t="n">
        <f aca="false">(I20-H20)/1000</f>
        <v>77.732</v>
      </c>
      <c r="K20" s="16" t="s">
        <v>285</v>
      </c>
    </row>
    <row r="21" customFormat="false" ht="15" hidden="false" customHeight="false" outlineLevel="0" collapsed="false">
      <c r="A21" s="16" t="s">
        <v>35</v>
      </c>
      <c r="B21" s="16" t="s">
        <v>48</v>
      </c>
      <c r="C21" s="16" t="n">
        <v>2852</v>
      </c>
      <c r="D21" s="16" t="n">
        <v>2849</v>
      </c>
      <c r="E21" s="16" t="n">
        <v>2379</v>
      </c>
      <c r="F21" s="38" t="n">
        <v>1401680</v>
      </c>
      <c r="G21" s="38" t="n">
        <v>1499170</v>
      </c>
      <c r="H21" s="38" t="n">
        <v>1401680</v>
      </c>
      <c r="I21" s="38" t="n">
        <v>1479407</v>
      </c>
      <c r="J21" s="19" t="n">
        <f aca="false">(I21-H21)/1000</f>
        <v>77.727</v>
      </c>
      <c r="K21" s="16" t="s">
        <v>285</v>
      </c>
    </row>
    <row r="22" customFormat="false" ht="15" hidden="false" customHeight="false" outlineLevel="0" collapsed="false">
      <c r="A22" s="16" t="s">
        <v>35</v>
      </c>
      <c r="B22" s="16" t="s">
        <v>60</v>
      </c>
      <c r="C22" s="16" t="n">
        <v>2211</v>
      </c>
      <c r="D22" s="16" t="n">
        <v>2208</v>
      </c>
      <c r="E22" s="16" t="n">
        <v>2022</v>
      </c>
      <c r="F22" s="38" t="n">
        <v>1401687</v>
      </c>
      <c r="G22" s="38" t="n">
        <v>1503191</v>
      </c>
      <c r="H22" s="38" t="n">
        <v>1401687</v>
      </c>
      <c r="I22" s="38" t="n">
        <v>1479408</v>
      </c>
      <c r="J22" s="19" t="n">
        <f aca="false">(I22-H22)/1000</f>
        <v>77.721</v>
      </c>
      <c r="K22" s="16" t="s">
        <v>285</v>
      </c>
    </row>
    <row r="23" customFormat="false" ht="15" hidden="false" customHeight="false" outlineLevel="0" collapsed="false">
      <c r="A23" s="16" t="s">
        <v>35</v>
      </c>
      <c r="B23" s="16" t="s">
        <v>46</v>
      </c>
      <c r="C23" s="16" t="n">
        <v>2953</v>
      </c>
      <c r="D23" s="16" t="n">
        <v>2950</v>
      </c>
      <c r="E23" s="16" t="n">
        <v>2322</v>
      </c>
      <c r="F23" s="38" t="n">
        <v>1229267</v>
      </c>
      <c r="G23" s="38" t="n">
        <v>1508396</v>
      </c>
      <c r="H23" s="38" t="n">
        <v>1401693</v>
      </c>
      <c r="I23" s="38" t="n">
        <v>1479397</v>
      </c>
      <c r="J23" s="19" t="n">
        <f aca="false">(I23-H23)/1000</f>
        <v>77.704</v>
      </c>
      <c r="K23" s="16" t="s">
        <v>285</v>
      </c>
    </row>
    <row r="24" customFormat="false" ht="15" hidden="false" customHeight="false" outlineLevel="0" collapsed="false">
      <c r="A24" s="16" t="s">
        <v>35</v>
      </c>
      <c r="B24" s="16" t="s">
        <v>58</v>
      </c>
      <c r="C24" s="16" t="n">
        <v>2233</v>
      </c>
      <c r="D24" s="16" t="n">
        <v>2229</v>
      </c>
      <c r="E24" s="16" t="n">
        <v>2021</v>
      </c>
      <c r="F24" s="38" t="n">
        <v>1249465</v>
      </c>
      <c r="G24" s="38" t="n">
        <v>1490689</v>
      </c>
      <c r="H24" s="38" t="n">
        <v>1401680</v>
      </c>
      <c r="I24" s="38" t="n">
        <v>1479378</v>
      </c>
      <c r="J24" s="19" t="n">
        <f aca="false">(I24-H24)/1000</f>
        <v>77.698</v>
      </c>
      <c r="K24" s="16" t="s">
        <v>285</v>
      </c>
    </row>
    <row r="25" customFormat="false" ht="15" hidden="false" customHeight="false" outlineLevel="0" collapsed="false">
      <c r="A25" s="16" t="s">
        <v>35</v>
      </c>
      <c r="B25" s="16" t="s">
        <v>40</v>
      </c>
      <c r="C25" s="16" t="n">
        <v>4943</v>
      </c>
      <c r="D25" s="16" t="n">
        <v>4938</v>
      </c>
      <c r="E25" s="16" t="n">
        <v>2793</v>
      </c>
      <c r="F25" s="38" t="n">
        <v>1099600</v>
      </c>
      <c r="G25" s="38" t="n">
        <v>1508436</v>
      </c>
      <c r="H25" s="38" t="n">
        <v>1401744</v>
      </c>
      <c r="I25" s="38" t="n">
        <v>1479434</v>
      </c>
      <c r="J25" s="19" t="n">
        <f aca="false">(I25-H25)/1000</f>
        <v>77.69</v>
      </c>
      <c r="K25" s="16" t="s">
        <v>285</v>
      </c>
    </row>
    <row r="26" customFormat="false" ht="15" hidden="false" customHeight="false" outlineLevel="0" collapsed="false">
      <c r="A26" s="16" t="s">
        <v>35</v>
      </c>
      <c r="B26" s="16" t="s">
        <v>50</v>
      </c>
      <c r="C26" s="16" t="n">
        <v>2611</v>
      </c>
      <c r="D26" s="16" t="n">
        <v>2611</v>
      </c>
      <c r="E26" s="16" t="n">
        <v>2292</v>
      </c>
      <c r="F26" s="38" t="n">
        <v>1401731</v>
      </c>
      <c r="G26" s="38" t="n">
        <v>1516035</v>
      </c>
      <c r="H26" s="38" t="n">
        <v>1401731</v>
      </c>
      <c r="I26" s="38" t="n">
        <v>1479420</v>
      </c>
      <c r="J26" s="19" t="n">
        <f aca="false">(I26-H26)/1000</f>
        <v>77.689</v>
      </c>
      <c r="K26" s="16" t="s">
        <v>285</v>
      </c>
    </row>
    <row r="27" customFormat="false" ht="15" hidden="false" customHeight="false" outlineLevel="0" collapsed="false">
      <c r="A27" s="16" t="s">
        <v>35</v>
      </c>
      <c r="B27" s="16" t="s">
        <v>55</v>
      </c>
      <c r="C27" s="16" t="n">
        <v>2344</v>
      </c>
      <c r="D27" s="16" t="n">
        <v>2340</v>
      </c>
      <c r="E27" s="16" t="n">
        <v>1967</v>
      </c>
      <c r="F27" s="38" t="n">
        <v>1196815</v>
      </c>
      <c r="G27" s="38" t="n">
        <v>1499031</v>
      </c>
      <c r="H27" s="38" t="n">
        <v>1401703</v>
      </c>
      <c r="I27" s="38" t="n">
        <v>1479381</v>
      </c>
      <c r="J27" s="19" t="n">
        <f aca="false">(I27-H27)/1000</f>
        <v>77.678</v>
      </c>
      <c r="K27" s="16" t="s">
        <v>285</v>
      </c>
    </row>
    <row r="28" customFormat="false" ht="15" hidden="false" customHeight="false" outlineLevel="0" collapsed="false">
      <c r="A28" s="16" t="s">
        <v>35</v>
      </c>
      <c r="B28" s="16" t="s">
        <v>54</v>
      </c>
      <c r="C28" s="16" t="n">
        <v>2483</v>
      </c>
      <c r="D28" s="16" t="n">
        <v>2483</v>
      </c>
      <c r="E28" s="16" t="n">
        <v>2281</v>
      </c>
      <c r="F28" s="38" t="n">
        <v>1406851</v>
      </c>
      <c r="G28" s="38" t="n">
        <v>1508591</v>
      </c>
      <c r="H28" s="38" t="n">
        <v>1406851</v>
      </c>
      <c r="I28" s="38" t="n">
        <v>1479423</v>
      </c>
      <c r="J28" s="19" t="n">
        <f aca="false">(I28-H28)/1000</f>
        <v>72.572</v>
      </c>
      <c r="K28" s="16" t="s">
        <v>285</v>
      </c>
    </row>
    <row r="29" customFormat="false" ht="15" hidden="false" customHeight="false" outlineLevel="0" collapsed="false">
      <c r="A29" s="16" t="s">
        <v>35</v>
      </c>
      <c r="B29" s="16" t="s">
        <v>47</v>
      </c>
      <c r="C29" s="16" t="n">
        <v>2860</v>
      </c>
      <c r="D29" s="16" t="n">
        <v>2848</v>
      </c>
      <c r="E29" s="16" t="n">
        <v>2812</v>
      </c>
      <c r="F29" s="38" t="n">
        <v>1401481</v>
      </c>
      <c r="G29" s="38" t="n">
        <v>1460299</v>
      </c>
      <c r="H29" s="38" t="n">
        <v>1401561</v>
      </c>
      <c r="I29" s="38" t="n">
        <v>1460299</v>
      </c>
      <c r="J29" s="19" t="n">
        <f aca="false">(I29-H29)/1000</f>
        <v>58.738</v>
      </c>
      <c r="K29" s="16" t="s">
        <v>285</v>
      </c>
    </row>
    <row r="30" customFormat="false" ht="15" hidden="false" customHeight="false" outlineLevel="0" collapsed="false">
      <c r="A30" s="16" t="s">
        <v>35</v>
      </c>
      <c r="B30" s="16" t="s">
        <v>63</v>
      </c>
      <c r="C30" s="16" t="n">
        <v>935</v>
      </c>
      <c r="D30" s="16" t="n">
        <v>913</v>
      </c>
      <c r="E30" s="16" t="n">
        <v>913</v>
      </c>
      <c r="F30" s="38" t="n">
        <v>1443000</v>
      </c>
      <c r="G30" s="38" t="n">
        <v>1448193</v>
      </c>
      <c r="H30" s="38" t="n">
        <v>1443000</v>
      </c>
      <c r="I30" s="38" t="n">
        <v>1448193</v>
      </c>
      <c r="J30" s="19" t="n">
        <f aca="false">(I30-H30)/1000</f>
        <v>5.193</v>
      </c>
      <c r="K30" s="16" t="s">
        <v>285</v>
      </c>
    </row>
    <row r="31" customFormat="false" ht="15" hidden="false" customHeight="false" outlineLevel="0" collapsed="false">
      <c r="A31" s="16" t="s">
        <v>35</v>
      </c>
      <c r="B31" s="16" t="s">
        <v>62</v>
      </c>
      <c r="C31" s="16" t="n">
        <v>1333</v>
      </c>
      <c r="D31" s="16" t="n">
        <v>1316</v>
      </c>
      <c r="E31" s="16" t="n">
        <v>149</v>
      </c>
      <c r="F31" s="38" t="n">
        <v>1130483</v>
      </c>
      <c r="G31" s="38" t="n">
        <v>1406410</v>
      </c>
      <c r="H31" s="38" t="n">
        <v>1401605</v>
      </c>
      <c r="I31" s="38" t="n">
        <v>1406410</v>
      </c>
      <c r="J31" s="19" t="n">
        <f aca="false">(I31-H31)/1000</f>
        <v>4.805</v>
      </c>
      <c r="K31" s="16" t="s">
        <v>285</v>
      </c>
    </row>
    <row r="32" customFormat="false" ht="15" hidden="false" customHeight="false" outlineLevel="0" collapsed="false">
      <c r="A32" s="31" t="s">
        <v>35</v>
      </c>
      <c r="B32" s="31" t="s">
        <v>286</v>
      </c>
      <c r="C32" s="31" t="n">
        <v>13</v>
      </c>
      <c r="D32" s="31" t="n">
        <v>13</v>
      </c>
      <c r="E32" s="31" t="n">
        <v>0</v>
      </c>
      <c r="F32" s="39" t="n">
        <v>1377096</v>
      </c>
      <c r="G32" s="39" t="n">
        <v>1396650</v>
      </c>
      <c r="H32" s="39" t="s">
        <v>173</v>
      </c>
      <c r="I32" s="39" t="s">
        <v>173</v>
      </c>
      <c r="J32" s="40" t="n">
        <v>0</v>
      </c>
      <c r="K32" s="31" t="s">
        <v>287</v>
      </c>
    </row>
    <row r="33" customFormat="false" ht="15" hidden="false" customHeight="false" outlineLevel="0" collapsed="false">
      <c r="A33" s="31" t="s">
        <v>35</v>
      </c>
      <c r="B33" s="31" t="s">
        <v>288</v>
      </c>
      <c r="C33" s="31" t="n">
        <v>2</v>
      </c>
      <c r="D33" s="31" t="n">
        <v>2</v>
      </c>
      <c r="E33" s="31" t="n">
        <v>0</v>
      </c>
      <c r="F33" s="39" t="n">
        <v>1393636</v>
      </c>
      <c r="G33" s="39" t="n">
        <v>1393969</v>
      </c>
      <c r="H33" s="39" t="s">
        <v>173</v>
      </c>
      <c r="I33" s="39" t="s">
        <v>173</v>
      </c>
      <c r="J33" s="40" t="n">
        <v>0</v>
      </c>
      <c r="K33" s="31" t="s">
        <v>287</v>
      </c>
    </row>
    <row r="34" customFormat="false" ht="15" hidden="false" customHeight="false" outlineLevel="0" collapsed="false">
      <c r="A34" s="31" t="s">
        <v>35</v>
      </c>
      <c r="B34" s="31" t="s">
        <v>289</v>
      </c>
      <c r="C34" s="31" t="n">
        <v>1714</v>
      </c>
      <c r="D34" s="31" t="n">
        <v>887</v>
      </c>
      <c r="E34" s="31" t="n">
        <v>0</v>
      </c>
      <c r="F34" s="39" t="n">
        <v>1479793</v>
      </c>
      <c r="G34" s="39" t="n">
        <v>1502702</v>
      </c>
      <c r="H34" s="39" t="s">
        <v>173</v>
      </c>
      <c r="I34" s="39" t="s">
        <v>173</v>
      </c>
      <c r="J34" s="40" t="n">
        <v>0</v>
      </c>
      <c r="K34" s="31" t="s">
        <v>287</v>
      </c>
    </row>
    <row r="35" customFormat="false" ht="15" hidden="false" customHeight="false" outlineLevel="0" collapsed="false">
      <c r="A35" s="16" t="s">
        <v>35</v>
      </c>
      <c r="B35" s="16" t="s">
        <v>61</v>
      </c>
      <c r="C35" s="16" t="n">
        <v>1467</v>
      </c>
      <c r="D35" s="16" t="n">
        <v>1467</v>
      </c>
      <c r="E35" s="16" t="n">
        <v>0</v>
      </c>
      <c r="F35" s="38" t="n">
        <v>1152233</v>
      </c>
      <c r="G35" s="38" t="n">
        <v>1221850</v>
      </c>
      <c r="H35" s="38" t="s">
        <v>173</v>
      </c>
      <c r="I35" s="38" t="s">
        <v>173</v>
      </c>
      <c r="J35" s="19" t="n">
        <v>0</v>
      </c>
      <c r="K35" s="16" t="s">
        <v>285</v>
      </c>
    </row>
    <row r="36" customFormat="false" ht="15" hidden="false" customHeight="false" outlineLevel="0" collapsed="false">
      <c r="A36" s="31" t="s">
        <v>35</v>
      </c>
      <c r="B36" s="31" t="s">
        <v>290</v>
      </c>
      <c r="C36" s="31" t="n">
        <v>4</v>
      </c>
      <c r="D36" s="31" t="n">
        <v>4</v>
      </c>
      <c r="E36" s="31" t="n">
        <v>0</v>
      </c>
      <c r="F36" s="39" t="n">
        <v>1171667</v>
      </c>
      <c r="G36" s="39" t="n">
        <v>1172064</v>
      </c>
      <c r="H36" s="39" t="s">
        <v>173</v>
      </c>
      <c r="I36" s="39" t="s">
        <v>173</v>
      </c>
      <c r="J36" s="40" t="n">
        <v>0</v>
      </c>
      <c r="K36" s="31" t="s">
        <v>287</v>
      </c>
    </row>
    <row r="37" customFormat="false" ht="15" hidden="false" customHeight="false" outlineLevel="0" collapsed="false">
      <c r="A37" s="31" t="s">
        <v>35</v>
      </c>
      <c r="B37" s="31" t="s">
        <v>112</v>
      </c>
      <c r="C37" s="31" t="n">
        <v>13</v>
      </c>
      <c r="D37" s="31" t="n">
        <v>13</v>
      </c>
      <c r="E37" s="31" t="n">
        <v>0</v>
      </c>
      <c r="F37" s="39" t="n">
        <v>1497479</v>
      </c>
      <c r="G37" s="39" t="n">
        <v>1508565</v>
      </c>
      <c r="H37" s="39" t="s">
        <v>173</v>
      </c>
      <c r="I37" s="39" t="s">
        <v>173</v>
      </c>
      <c r="J37" s="40" t="n">
        <v>0</v>
      </c>
      <c r="K37" s="31" t="s">
        <v>287</v>
      </c>
    </row>
    <row r="38" customFormat="false" ht="15" hidden="false" customHeight="false" outlineLevel="0" collapsed="false">
      <c r="A38" s="31" t="s">
        <v>35</v>
      </c>
      <c r="B38" s="31" t="s">
        <v>291</v>
      </c>
      <c r="C38" s="31" t="n">
        <v>109</v>
      </c>
      <c r="D38" s="31" t="n">
        <v>109</v>
      </c>
      <c r="E38" s="31" t="n">
        <v>0</v>
      </c>
      <c r="F38" s="39" t="n">
        <v>1240172</v>
      </c>
      <c r="G38" s="39" t="n">
        <v>1247946</v>
      </c>
      <c r="H38" s="39" t="s">
        <v>173</v>
      </c>
      <c r="I38" s="39" t="s">
        <v>173</v>
      </c>
      <c r="J38" s="40" t="n">
        <v>0</v>
      </c>
      <c r="K38" s="31" t="s">
        <v>287</v>
      </c>
    </row>
    <row r="39" customFormat="false" ht="15" hidden="false" customHeight="false" outlineLevel="0" collapsed="false">
      <c r="A39" s="31" t="s">
        <v>35</v>
      </c>
      <c r="B39" s="31" t="s">
        <v>292</v>
      </c>
      <c r="C39" s="31" t="n">
        <v>9</v>
      </c>
      <c r="D39" s="31" t="n">
        <v>9</v>
      </c>
      <c r="E39" s="31" t="n">
        <v>0</v>
      </c>
      <c r="F39" s="39" t="n">
        <v>1523974</v>
      </c>
      <c r="G39" s="39" t="n">
        <v>1528850</v>
      </c>
      <c r="H39" s="39" t="s">
        <v>173</v>
      </c>
      <c r="I39" s="39" t="s">
        <v>173</v>
      </c>
      <c r="J39" s="40" t="n">
        <v>0</v>
      </c>
      <c r="K39" s="31" t="s">
        <v>287</v>
      </c>
    </row>
    <row r="40" customFormat="false" ht="15" hidden="false" customHeight="false" outlineLevel="0" collapsed="false">
      <c r="A40" s="31" t="s">
        <v>35</v>
      </c>
      <c r="B40" s="31" t="s">
        <v>66</v>
      </c>
      <c r="C40" s="31" t="n">
        <v>1229</v>
      </c>
      <c r="D40" s="31" t="n">
        <v>1229</v>
      </c>
      <c r="E40" s="31" t="n">
        <v>0</v>
      </c>
      <c r="F40" s="39" t="n">
        <v>1169810</v>
      </c>
      <c r="G40" s="39" t="n">
        <v>1240724</v>
      </c>
      <c r="H40" s="39" t="s">
        <v>173</v>
      </c>
      <c r="I40" s="39" t="s">
        <v>173</v>
      </c>
      <c r="J40" s="40" t="n">
        <v>0</v>
      </c>
      <c r="K40" s="31" t="s">
        <v>287</v>
      </c>
    </row>
    <row r="41" customFormat="false" ht="15" hidden="false" customHeight="false" outlineLevel="0" collapsed="false">
      <c r="A41" s="31" t="s">
        <v>35</v>
      </c>
      <c r="B41" s="31" t="s">
        <v>293</v>
      </c>
      <c r="C41" s="31" t="n">
        <v>94</v>
      </c>
      <c r="D41" s="31" t="n">
        <v>64</v>
      </c>
      <c r="E41" s="31" t="n">
        <v>0</v>
      </c>
      <c r="F41" s="39" t="n">
        <v>1155528</v>
      </c>
      <c r="G41" s="39" t="n">
        <v>1196858</v>
      </c>
      <c r="H41" s="39" t="s">
        <v>173</v>
      </c>
      <c r="I41" s="39" t="s">
        <v>173</v>
      </c>
      <c r="J41" s="40" t="n">
        <v>0</v>
      </c>
      <c r="K41" s="31" t="s">
        <v>287</v>
      </c>
    </row>
    <row r="42" customFormat="false" ht="15" hidden="false" customHeight="false" outlineLevel="0" collapsed="false">
      <c r="A42" s="31" t="s">
        <v>35</v>
      </c>
      <c r="B42" s="31" t="s">
        <v>294</v>
      </c>
      <c r="C42" s="31" t="n">
        <v>404</v>
      </c>
      <c r="D42" s="31" t="n">
        <v>391</v>
      </c>
      <c r="E42" s="31" t="n">
        <v>0</v>
      </c>
      <c r="F42" s="39" t="n">
        <v>1196197</v>
      </c>
      <c r="G42" s="39" t="n">
        <v>1242966</v>
      </c>
      <c r="H42" s="39" t="s">
        <v>173</v>
      </c>
      <c r="I42" s="39" t="s">
        <v>173</v>
      </c>
      <c r="J42" s="40" t="n">
        <v>0</v>
      </c>
      <c r="K42" s="31" t="s">
        <v>287</v>
      </c>
    </row>
    <row r="43" customFormat="false" ht="15" hidden="false" customHeight="false" outlineLevel="0" collapsed="false">
      <c r="A43" s="31" t="s">
        <v>35</v>
      </c>
      <c r="B43" s="31" t="s">
        <v>102</v>
      </c>
      <c r="C43" s="31" t="n">
        <v>6</v>
      </c>
      <c r="D43" s="31" t="n">
        <v>6</v>
      </c>
      <c r="E43" s="31" t="n">
        <v>0</v>
      </c>
      <c r="F43" s="39" t="n">
        <v>1087230</v>
      </c>
      <c r="G43" s="39" t="n">
        <v>1089453</v>
      </c>
      <c r="H43" s="39" t="s">
        <v>173</v>
      </c>
      <c r="I43" s="39" t="s">
        <v>173</v>
      </c>
      <c r="J43" s="40" t="n">
        <v>0</v>
      </c>
      <c r="K43" s="31" t="s">
        <v>287</v>
      </c>
    </row>
    <row r="44" customFormat="false" ht="15" hidden="false" customHeight="false" outlineLevel="0" collapsed="false">
      <c r="A44" s="31" t="s">
        <v>35</v>
      </c>
      <c r="B44" s="31" t="s">
        <v>82</v>
      </c>
      <c r="C44" s="31" t="n">
        <v>153</v>
      </c>
      <c r="D44" s="31" t="n">
        <v>151</v>
      </c>
      <c r="E44" s="31" t="n">
        <v>0</v>
      </c>
      <c r="F44" s="39" t="n">
        <v>1208792</v>
      </c>
      <c r="G44" s="39" t="n">
        <v>1276231</v>
      </c>
      <c r="H44" s="39" t="s">
        <v>173</v>
      </c>
      <c r="I44" s="39" t="s">
        <v>173</v>
      </c>
      <c r="J44" s="40" t="n">
        <v>0</v>
      </c>
      <c r="K44" s="31" t="s">
        <v>287</v>
      </c>
    </row>
    <row r="45" customFormat="false" ht="15" hidden="false" customHeight="false" outlineLevel="0" collapsed="false">
      <c r="A45" s="31" t="s">
        <v>35</v>
      </c>
      <c r="B45" s="31" t="s">
        <v>295</v>
      </c>
      <c r="C45" s="31" t="n">
        <v>110</v>
      </c>
      <c r="D45" s="31" t="n">
        <v>109</v>
      </c>
      <c r="E45" s="31" t="n">
        <v>0</v>
      </c>
      <c r="F45" s="39" t="n">
        <v>1098465</v>
      </c>
      <c r="G45" s="39" t="n">
        <v>1171866</v>
      </c>
      <c r="H45" s="39" t="s">
        <v>173</v>
      </c>
      <c r="I45" s="39" t="s">
        <v>173</v>
      </c>
      <c r="J45" s="40" t="n">
        <v>0</v>
      </c>
      <c r="K45" s="31" t="s">
        <v>287</v>
      </c>
    </row>
    <row r="46" customFormat="false" ht="15" hidden="false" customHeight="false" outlineLevel="0" collapsed="false">
      <c r="A46" s="16" t="s">
        <v>65</v>
      </c>
      <c r="B46" s="16" t="s">
        <v>68</v>
      </c>
      <c r="C46" s="16" t="n">
        <v>6103</v>
      </c>
      <c r="D46" s="16" t="n">
        <v>6102</v>
      </c>
      <c r="E46" s="16" t="n">
        <v>5323</v>
      </c>
      <c r="F46" s="38" t="n">
        <v>1401346</v>
      </c>
      <c r="G46" s="38" t="n">
        <v>1516034</v>
      </c>
      <c r="H46" s="38" t="n">
        <v>1401554</v>
      </c>
      <c r="I46" s="38" t="n">
        <v>1479430</v>
      </c>
      <c r="J46" s="19" t="n">
        <f aca="false">(I46-H46)/1000</f>
        <v>77.876</v>
      </c>
      <c r="K46" s="16" t="s">
        <v>285</v>
      </c>
    </row>
    <row r="47" customFormat="false" ht="15" hidden="false" customHeight="false" outlineLevel="0" collapsed="false">
      <c r="A47" s="16" t="s">
        <v>65</v>
      </c>
      <c r="B47" s="16" t="s">
        <v>69</v>
      </c>
      <c r="C47" s="16" t="n">
        <v>5690</v>
      </c>
      <c r="D47" s="16" t="n">
        <v>5685</v>
      </c>
      <c r="E47" s="16" t="n">
        <v>4569</v>
      </c>
      <c r="F47" s="38" t="n">
        <v>1194040</v>
      </c>
      <c r="G47" s="38" t="n">
        <v>1508243</v>
      </c>
      <c r="H47" s="38" t="n">
        <v>1401558</v>
      </c>
      <c r="I47" s="38" t="n">
        <v>1479433</v>
      </c>
      <c r="J47" s="19" t="n">
        <f aca="false">(I47-H47)/1000</f>
        <v>77.875</v>
      </c>
      <c r="K47" s="16" t="s">
        <v>285</v>
      </c>
    </row>
    <row r="48" customFormat="false" ht="15" hidden="false" customHeight="false" outlineLevel="0" collapsed="false">
      <c r="A48" s="16" t="s">
        <v>65</v>
      </c>
      <c r="B48" s="16" t="s">
        <v>67</v>
      </c>
      <c r="C48" s="16" t="n">
        <v>7844</v>
      </c>
      <c r="D48" s="16" t="n">
        <v>7799</v>
      </c>
      <c r="E48" s="16" t="n">
        <v>5668</v>
      </c>
      <c r="F48" s="38" t="n">
        <v>1129214</v>
      </c>
      <c r="G48" s="38" t="n">
        <v>1507951</v>
      </c>
      <c r="H48" s="38" t="n">
        <v>1401555</v>
      </c>
      <c r="I48" s="38" t="n">
        <v>1479431</v>
      </c>
      <c r="J48" s="19" t="n">
        <f aca="false">(I48-H48)/1000</f>
        <v>77.876</v>
      </c>
      <c r="K48" s="16" t="s">
        <v>285</v>
      </c>
    </row>
    <row r="49" customFormat="false" ht="15" hidden="false" customHeight="false" outlineLevel="0" collapsed="false">
      <c r="A49" s="16" t="s">
        <v>65</v>
      </c>
      <c r="B49" s="16" t="s">
        <v>77</v>
      </c>
      <c r="C49" s="16" t="n">
        <v>2996</v>
      </c>
      <c r="D49" s="16" t="n">
        <v>2970</v>
      </c>
      <c r="E49" s="16" t="n">
        <v>2325</v>
      </c>
      <c r="F49" s="38" t="n">
        <v>1196181</v>
      </c>
      <c r="G49" s="38" t="n">
        <v>1518557</v>
      </c>
      <c r="H49" s="38" t="n">
        <v>1401562</v>
      </c>
      <c r="I49" s="38" t="n">
        <v>1479429</v>
      </c>
      <c r="J49" s="19" t="n">
        <f aca="false">(I49-H49)/1000</f>
        <v>77.867</v>
      </c>
      <c r="K49" s="16" t="s">
        <v>285</v>
      </c>
    </row>
    <row r="50" customFormat="false" ht="15" hidden="false" customHeight="false" outlineLevel="0" collapsed="false">
      <c r="A50" s="16" t="s">
        <v>65</v>
      </c>
      <c r="B50" s="16" t="s">
        <v>66</v>
      </c>
      <c r="C50" s="16" t="n">
        <v>8110</v>
      </c>
      <c r="D50" s="16" t="n">
        <v>8105</v>
      </c>
      <c r="E50" s="16" t="n">
        <v>5826</v>
      </c>
      <c r="F50" s="38" t="n">
        <v>1186647</v>
      </c>
      <c r="G50" s="38" t="n">
        <v>1523935</v>
      </c>
      <c r="H50" s="38" t="n">
        <v>1401564</v>
      </c>
      <c r="I50" s="38" t="n">
        <v>1479434</v>
      </c>
      <c r="J50" s="19" t="n">
        <f aca="false">(I50-H50)/1000</f>
        <v>77.87</v>
      </c>
      <c r="K50" s="16" t="s">
        <v>285</v>
      </c>
    </row>
    <row r="51" customFormat="false" ht="15" hidden="false" customHeight="false" outlineLevel="0" collapsed="false">
      <c r="A51" s="16" t="s">
        <v>65</v>
      </c>
      <c r="B51" s="16" t="s">
        <v>72</v>
      </c>
      <c r="C51" s="16" t="n">
        <v>3559</v>
      </c>
      <c r="D51" s="16" t="n">
        <v>3548</v>
      </c>
      <c r="E51" s="16" t="n">
        <v>2157</v>
      </c>
      <c r="F51" s="38" t="n">
        <v>1174786</v>
      </c>
      <c r="G51" s="38" t="n">
        <v>1519145</v>
      </c>
      <c r="H51" s="38" t="n">
        <v>1401554</v>
      </c>
      <c r="I51" s="38" t="n">
        <v>1479415</v>
      </c>
      <c r="J51" s="19" t="n">
        <f aca="false">(I51-H51)/1000</f>
        <v>77.861</v>
      </c>
      <c r="K51" s="16" t="s">
        <v>285</v>
      </c>
    </row>
    <row r="52" customFormat="false" ht="15" hidden="false" customHeight="false" outlineLevel="0" collapsed="false">
      <c r="A52" s="16" t="s">
        <v>65</v>
      </c>
      <c r="B52" s="16" t="s">
        <v>61</v>
      </c>
      <c r="C52" s="16" t="n">
        <v>5921</v>
      </c>
      <c r="D52" s="16" t="n">
        <v>5906</v>
      </c>
      <c r="E52" s="16" t="n">
        <v>4766</v>
      </c>
      <c r="F52" s="38" t="n">
        <v>1169858</v>
      </c>
      <c r="G52" s="38" t="n">
        <v>1500657</v>
      </c>
      <c r="H52" s="38" t="n">
        <v>1401567</v>
      </c>
      <c r="I52" s="38" t="n">
        <v>1479405</v>
      </c>
      <c r="J52" s="19" t="n">
        <f aca="false">(I52-H52)/1000</f>
        <v>77.838</v>
      </c>
      <c r="K52" s="16" t="s">
        <v>285</v>
      </c>
    </row>
    <row r="53" customFormat="false" ht="15" hidden="false" customHeight="false" outlineLevel="0" collapsed="false">
      <c r="A53" s="16" t="s">
        <v>65</v>
      </c>
      <c r="B53" s="16" t="s">
        <v>40</v>
      </c>
      <c r="C53" s="16" t="n">
        <v>3946</v>
      </c>
      <c r="D53" s="16" t="n">
        <v>3933</v>
      </c>
      <c r="E53" s="16" t="n">
        <v>3088</v>
      </c>
      <c r="F53" s="38" t="n">
        <v>1199542</v>
      </c>
      <c r="G53" s="38" t="n">
        <v>1508665</v>
      </c>
      <c r="H53" s="38" t="n">
        <v>1401555</v>
      </c>
      <c r="I53" s="38" t="n">
        <v>1479396</v>
      </c>
      <c r="J53" s="19" t="n">
        <f aca="false">(I53-H53)/1000</f>
        <v>77.841</v>
      </c>
      <c r="K53" s="16" t="s">
        <v>285</v>
      </c>
    </row>
    <row r="54" customFormat="false" ht="15" hidden="false" customHeight="false" outlineLevel="0" collapsed="false">
      <c r="A54" s="16" t="s">
        <v>65</v>
      </c>
      <c r="B54" s="16" t="s">
        <v>36</v>
      </c>
      <c r="C54" s="16" t="n">
        <v>7660</v>
      </c>
      <c r="D54" s="16" t="n">
        <v>7634</v>
      </c>
      <c r="E54" s="16" t="n">
        <v>6307</v>
      </c>
      <c r="F54" s="38" t="n">
        <v>1128233</v>
      </c>
      <c r="G54" s="38" t="n">
        <v>1516072</v>
      </c>
      <c r="H54" s="38" t="n">
        <v>1401561</v>
      </c>
      <c r="I54" s="38" t="n">
        <v>1479398</v>
      </c>
      <c r="J54" s="19" t="n">
        <f aca="false">(I54-H54)/1000</f>
        <v>77.837</v>
      </c>
      <c r="K54" s="16" t="s">
        <v>285</v>
      </c>
    </row>
    <row r="55" customFormat="false" ht="15" hidden="false" customHeight="false" outlineLevel="0" collapsed="false">
      <c r="A55" s="16" t="s">
        <v>65</v>
      </c>
      <c r="B55" s="16" t="s">
        <v>70</v>
      </c>
      <c r="C55" s="16" t="n">
        <v>5342</v>
      </c>
      <c r="D55" s="16" t="n">
        <v>5341</v>
      </c>
      <c r="E55" s="16" t="n">
        <v>4753</v>
      </c>
      <c r="F55" s="38" t="n">
        <v>1401387</v>
      </c>
      <c r="G55" s="38" t="n">
        <v>1516234</v>
      </c>
      <c r="H55" s="38" t="n">
        <v>1401571</v>
      </c>
      <c r="I55" s="38" t="n">
        <v>1479414</v>
      </c>
      <c r="J55" s="19" t="n">
        <f aca="false">(I55-H55)/1000</f>
        <v>77.843</v>
      </c>
      <c r="K55" s="16" t="s">
        <v>285</v>
      </c>
    </row>
    <row r="56" customFormat="false" ht="15" hidden="false" customHeight="false" outlineLevel="0" collapsed="false">
      <c r="A56" s="16" t="s">
        <v>65</v>
      </c>
      <c r="B56" s="16" t="s">
        <v>52</v>
      </c>
      <c r="C56" s="16" t="n">
        <v>6052</v>
      </c>
      <c r="D56" s="16" t="n">
        <v>6046</v>
      </c>
      <c r="E56" s="16" t="n">
        <v>5637</v>
      </c>
      <c r="F56" s="38" t="n">
        <v>1223029</v>
      </c>
      <c r="G56" s="38" t="n">
        <v>1494624</v>
      </c>
      <c r="H56" s="38" t="n">
        <v>1401562</v>
      </c>
      <c r="I56" s="38" t="n">
        <v>1479385</v>
      </c>
      <c r="J56" s="19" t="n">
        <f aca="false">(I56-H56)/1000</f>
        <v>77.823</v>
      </c>
      <c r="K56" s="16" t="s">
        <v>285</v>
      </c>
    </row>
    <row r="57" customFormat="false" ht="15" hidden="false" customHeight="false" outlineLevel="0" collapsed="false">
      <c r="A57" s="16" t="s">
        <v>65</v>
      </c>
      <c r="B57" s="16" t="s">
        <v>78</v>
      </c>
      <c r="C57" s="16" t="n">
        <v>2467</v>
      </c>
      <c r="D57" s="16" t="n">
        <v>2466</v>
      </c>
      <c r="E57" s="16" t="n">
        <v>2323</v>
      </c>
      <c r="F57" s="38" t="n">
        <v>1401331</v>
      </c>
      <c r="G57" s="38" t="n">
        <v>1493579</v>
      </c>
      <c r="H57" s="38" t="n">
        <v>1401562</v>
      </c>
      <c r="I57" s="38" t="n">
        <v>1479382</v>
      </c>
      <c r="J57" s="19" t="n">
        <f aca="false">(I57-H57)/1000</f>
        <v>77.82</v>
      </c>
      <c r="K57" s="16" t="s">
        <v>285</v>
      </c>
    </row>
    <row r="58" customFormat="false" ht="15" hidden="false" customHeight="false" outlineLevel="0" collapsed="false">
      <c r="A58" s="16" t="s">
        <v>65</v>
      </c>
      <c r="B58" s="16" t="s">
        <v>80</v>
      </c>
      <c r="C58" s="16" t="n">
        <v>2370</v>
      </c>
      <c r="D58" s="16" t="n">
        <v>2365</v>
      </c>
      <c r="E58" s="16" t="n">
        <v>2209</v>
      </c>
      <c r="F58" s="38" t="n">
        <v>1401361</v>
      </c>
      <c r="G58" s="38" t="n">
        <v>1496880</v>
      </c>
      <c r="H58" s="38" t="n">
        <v>1401584</v>
      </c>
      <c r="I58" s="38" t="n">
        <v>1479408</v>
      </c>
      <c r="J58" s="19" t="n">
        <f aca="false">(I58-H58)/1000</f>
        <v>77.824</v>
      </c>
      <c r="K58" s="16" t="s">
        <v>285</v>
      </c>
    </row>
    <row r="59" customFormat="false" ht="15" hidden="false" customHeight="false" outlineLevel="0" collapsed="false">
      <c r="A59" s="16" t="s">
        <v>65</v>
      </c>
      <c r="B59" s="16" t="s">
        <v>79</v>
      </c>
      <c r="C59" s="16" t="n">
        <v>2463</v>
      </c>
      <c r="D59" s="16" t="n">
        <v>2462</v>
      </c>
      <c r="E59" s="16" t="n">
        <v>2252</v>
      </c>
      <c r="F59" s="38" t="n">
        <v>1401323</v>
      </c>
      <c r="G59" s="38" t="n">
        <v>1515934</v>
      </c>
      <c r="H59" s="38" t="n">
        <v>1401614</v>
      </c>
      <c r="I59" s="38" t="n">
        <v>1479433</v>
      </c>
      <c r="J59" s="19" t="n">
        <f aca="false">(I59-H59)/1000</f>
        <v>77.819</v>
      </c>
      <c r="K59" s="16" t="s">
        <v>285</v>
      </c>
    </row>
    <row r="60" customFormat="false" ht="15" hidden="false" customHeight="false" outlineLevel="0" collapsed="false">
      <c r="A60" s="16" t="s">
        <v>65</v>
      </c>
      <c r="B60" s="16" t="s">
        <v>83</v>
      </c>
      <c r="C60" s="16" t="n">
        <v>1452</v>
      </c>
      <c r="D60" s="16" t="n">
        <v>1452</v>
      </c>
      <c r="E60" s="16" t="n">
        <v>1266</v>
      </c>
      <c r="F60" s="38" t="n">
        <v>1401384</v>
      </c>
      <c r="G60" s="38" t="n">
        <v>1498924</v>
      </c>
      <c r="H60" s="38" t="n">
        <v>1401560</v>
      </c>
      <c r="I60" s="38" t="n">
        <v>1479369</v>
      </c>
      <c r="J60" s="19" t="n">
        <f aca="false">(I60-H60)/1000</f>
        <v>77.809</v>
      </c>
      <c r="K60" s="16" t="s">
        <v>285</v>
      </c>
    </row>
    <row r="61" customFormat="false" ht="15" hidden="false" customHeight="false" outlineLevel="0" collapsed="false">
      <c r="A61" s="16" t="s">
        <v>65</v>
      </c>
      <c r="B61" s="16" t="s">
        <v>37</v>
      </c>
      <c r="C61" s="16" t="n">
        <v>3088</v>
      </c>
      <c r="D61" s="16" t="n">
        <v>3084</v>
      </c>
      <c r="E61" s="16" t="n">
        <v>2311</v>
      </c>
      <c r="F61" s="38" t="n">
        <v>1198544</v>
      </c>
      <c r="G61" s="38" t="n">
        <v>1500728</v>
      </c>
      <c r="H61" s="38" t="n">
        <v>1401680</v>
      </c>
      <c r="I61" s="38" t="n">
        <v>1479418</v>
      </c>
      <c r="J61" s="19" t="n">
        <f aca="false">(I61-H61)/1000</f>
        <v>77.738</v>
      </c>
      <c r="K61" s="16" t="s">
        <v>285</v>
      </c>
    </row>
    <row r="62" customFormat="false" ht="15" hidden="false" customHeight="false" outlineLevel="0" collapsed="false">
      <c r="A62" s="16" t="s">
        <v>65</v>
      </c>
      <c r="B62" s="16" t="s">
        <v>76</v>
      </c>
      <c r="C62" s="16" t="n">
        <v>3091</v>
      </c>
      <c r="D62" s="16" t="n">
        <v>3087</v>
      </c>
      <c r="E62" s="16" t="n">
        <v>2458</v>
      </c>
      <c r="F62" s="38" t="n">
        <v>1204146</v>
      </c>
      <c r="G62" s="38" t="n">
        <v>1500661</v>
      </c>
      <c r="H62" s="38" t="n">
        <v>1401685</v>
      </c>
      <c r="I62" s="38" t="n">
        <v>1479421</v>
      </c>
      <c r="J62" s="19" t="n">
        <f aca="false">(I62-H62)/1000</f>
        <v>77.736</v>
      </c>
      <c r="K62" s="16" t="s">
        <v>285</v>
      </c>
    </row>
    <row r="63" customFormat="false" ht="15" hidden="false" customHeight="false" outlineLevel="0" collapsed="false">
      <c r="A63" s="16" t="s">
        <v>65</v>
      </c>
      <c r="B63" s="16" t="s">
        <v>74</v>
      </c>
      <c r="C63" s="16" t="n">
        <v>3247</v>
      </c>
      <c r="D63" s="16" t="n">
        <v>3247</v>
      </c>
      <c r="E63" s="16" t="n">
        <v>2182</v>
      </c>
      <c r="F63" s="38" t="n">
        <v>1170338</v>
      </c>
      <c r="G63" s="38" t="n">
        <v>1516027</v>
      </c>
      <c r="H63" s="38" t="n">
        <v>1401718</v>
      </c>
      <c r="I63" s="38" t="n">
        <v>1479425</v>
      </c>
      <c r="J63" s="19" t="n">
        <f aca="false">(I63-H63)/1000</f>
        <v>77.707</v>
      </c>
      <c r="K63" s="16" t="s">
        <v>285</v>
      </c>
    </row>
    <row r="64" customFormat="false" ht="15" hidden="false" customHeight="false" outlineLevel="0" collapsed="false">
      <c r="A64" s="16" t="s">
        <v>65</v>
      </c>
      <c r="B64" s="16" t="s">
        <v>49</v>
      </c>
      <c r="C64" s="16" t="n">
        <v>3069</v>
      </c>
      <c r="D64" s="16" t="n">
        <v>3067</v>
      </c>
      <c r="E64" s="16" t="n">
        <v>2495</v>
      </c>
      <c r="F64" s="38" t="n">
        <v>1197155</v>
      </c>
      <c r="G64" s="38" t="n">
        <v>1508274</v>
      </c>
      <c r="H64" s="38" t="n">
        <v>1401680</v>
      </c>
      <c r="I64" s="38" t="n">
        <v>1479381</v>
      </c>
      <c r="J64" s="19" t="n">
        <f aca="false">(I64-H64)/1000</f>
        <v>77.701</v>
      </c>
      <c r="K64" s="16" t="s">
        <v>285</v>
      </c>
    </row>
    <row r="65" customFormat="false" ht="15" hidden="false" customHeight="false" outlineLevel="0" collapsed="false">
      <c r="A65" s="16" t="s">
        <v>65</v>
      </c>
      <c r="B65" s="16" t="s">
        <v>81</v>
      </c>
      <c r="C65" s="16" t="n">
        <v>2244</v>
      </c>
      <c r="D65" s="16" t="n">
        <v>2242</v>
      </c>
      <c r="E65" s="16" t="n">
        <v>2076</v>
      </c>
      <c r="F65" s="38" t="n">
        <v>1401680</v>
      </c>
      <c r="G65" s="38" t="n">
        <v>1498059</v>
      </c>
      <c r="H65" s="38" t="n">
        <v>1401680</v>
      </c>
      <c r="I65" s="38" t="n">
        <v>1479378</v>
      </c>
      <c r="J65" s="19" t="n">
        <f aca="false">(I65-H65)/1000</f>
        <v>77.698</v>
      </c>
      <c r="K65" s="16" t="s">
        <v>285</v>
      </c>
    </row>
    <row r="66" customFormat="false" ht="15" hidden="false" customHeight="false" outlineLevel="0" collapsed="false">
      <c r="A66" s="16" t="s">
        <v>65</v>
      </c>
      <c r="B66" s="16" t="s">
        <v>75</v>
      </c>
      <c r="C66" s="16" t="n">
        <v>3098</v>
      </c>
      <c r="D66" s="16" t="n">
        <v>3098</v>
      </c>
      <c r="E66" s="16" t="n">
        <v>2805</v>
      </c>
      <c r="F66" s="38" t="n">
        <v>1401724</v>
      </c>
      <c r="G66" s="38" t="n">
        <v>1514195</v>
      </c>
      <c r="H66" s="38" t="n">
        <v>1401724</v>
      </c>
      <c r="I66" s="38" t="n">
        <v>1479422</v>
      </c>
      <c r="J66" s="19" t="n">
        <f aca="false">(I66-H66)/1000</f>
        <v>77.698</v>
      </c>
      <c r="K66" s="16" t="s">
        <v>285</v>
      </c>
    </row>
    <row r="67" customFormat="false" ht="15" hidden="false" customHeight="false" outlineLevel="0" collapsed="false">
      <c r="A67" s="16" t="s">
        <v>65</v>
      </c>
      <c r="B67" s="16" t="s">
        <v>73</v>
      </c>
      <c r="C67" s="16" t="n">
        <v>3300</v>
      </c>
      <c r="D67" s="16" t="n">
        <v>3300</v>
      </c>
      <c r="E67" s="16" t="n">
        <v>3049</v>
      </c>
      <c r="F67" s="38" t="n">
        <v>1401740</v>
      </c>
      <c r="G67" s="38" t="n">
        <v>1506638</v>
      </c>
      <c r="H67" s="38" t="n">
        <v>1401740</v>
      </c>
      <c r="I67" s="38" t="n">
        <v>1479426</v>
      </c>
      <c r="J67" s="19" t="n">
        <f aca="false">(I67-H67)/1000</f>
        <v>77.686</v>
      </c>
      <c r="K67" s="16" t="s">
        <v>285</v>
      </c>
    </row>
    <row r="68" customFormat="false" ht="15" hidden="false" customHeight="false" outlineLevel="0" collapsed="false">
      <c r="A68" s="16" t="s">
        <v>65</v>
      </c>
      <c r="B68" s="16" t="s">
        <v>71</v>
      </c>
      <c r="C68" s="16" t="n">
        <v>4433</v>
      </c>
      <c r="D68" s="16" t="n">
        <v>4432</v>
      </c>
      <c r="E68" s="16" t="n">
        <v>3682</v>
      </c>
      <c r="F68" s="38" t="n">
        <v>1195930</v>
      </c>
      <c r="G68" s="38" t="n">
        <v>1500790</v>
      </c>
      <c r="H68" s="38" t="n">
        <v>1401738</v>
      </c>
      <c r="I68" s="38" t="n">
        <v>1479422</v>
      </c>
      <c r="J68" s="19" t="n">
        <f aca="false">(I68-H68)/1000</f>
        <v>77.684</v>
      </c>
      <c r="K68" s="16" t="s">
        <v>285</v>
      </c>
    </row>
    <row r="69" customFormat="false" ht="15" hidden="false" customHeight="false" outlineLevel="0" collapsed="false">
      <c r="A69" s="16" t="s">
        <v>65</v>
      </c>
      <c r="B69" s="16" t="s">
        <v>57</v>
      </c>
      <c r="C69" s="16" t="n">
        <v>2123</v>
      </c>
      <c r="D69" s="16" t="n">
        <v>2120</v>
      </c>
      <c r="E69" s="16" t="n">
        <v>2009</v>
      </c>
      <c r="F69" s="38" t="n">
        <v>1401707</v>
      </c>
      <c r="G69" s="38" t="n">
        <v>1498702</v>
      </c>
      <c r="H69" s="38" t="n">
        <v>1401707</v>
      </c>
      <c r="I69" s="38" t="n">
        <v>1479299</v>
      </c>
      <c r="J69" s="19" t="n">
        <f aca="false">(I69-H69)/1000</f>
        <v>77.592</v>
      </c>
      <c r="K69" s="16" t="s">
        <v>285</v>
      </c>
    </row>
    <row r="70" customFormat="false" ht="15" hidden="false" customHeight="false" outlineLevel="0" collapsed="false">
      <c r="A70" s="16" t="s">
        <v>65</v>
      </c>
      <c r="B70" s="16" t="s">
        <v>82</v>
      </c>
      <c r="C70" s="16" t="n">
        <v>1538</v>
      </c>
      <c r="D70" s="16" t="n">
        <v>1536</v>
      </c>
      <c r="E70" s="16" t="n">
        <v>1536</v>
      </c>
      <c r="F70" s="38" t="n">
        <v>1401688</v>
      </c>
      <c r="G70" s="38" t="n">
        <v>1445054</v>
      </c>
      <c r="H70" s="38" t="n">
        <v>1401688</v>
      </c>
      <c r="I70" s="38" t="n">
        <v>1445054</v>
      </c>
      <c r="J70" s="19" t="n">
        <f aca="false">(I70-H70)/1000</f>
        <v>43.366</v>
      </c>
      <c r="K70" s="16" t="s">
        <v>285</v>
      </c>
    </row>
    <row r="71" customFormat="false" ht="15" hidden="false" customHeight="false" outlineLevel="0" collapsed="false">
      <c r="A71" s="16" t="s">
        <v>65</v>
      </c>
      <c r="B71" s="16" t="s">
        <v>54</v>
      </c>
      <c r="C71" s="16" t="n">
        <v>512</v>
      </c>
      <c r="D71" s="16" t="n">
        <v>507</v>
      </c>
      <c r="E71" s="16" t="n">
        <v>498</v>
      </c>
      <c r="F71" s="38" t="n">
        <v>1401346</v>
      </c>
      <c r="G71" s="38" t="n">
        <v>1406838</v>
      </c>
      <c r="H71" s="38" t="n">
        <v>1401581</v>
      </c>
      <c r="I71" s="38" t="n">
        <v>1406838</v>
      </c>
      <c r="J71" s="19" t="n">
        <f aca="false">(I71-H71)/1000</f>
        <v>5.257</v>
      </c>
      <c r="K71" s="16" t="s">
        <v>285</v>
      </c>
    </row>
    <row r="72" customFormat="false" ht="15" hidden="false" customHeight="false" outlineLevel="0" collapsed="false">
      <c r="A72" s="16" t="s">
        <v>65</v>
      </c>
      <c r="B72" s="16" t="s">
        <v>84</v>
      </c>
      <c r="C72" s="16" t="n">
        <v>363</v>
      </c>
      <c r="D72" s="16" t="n">
        <v>359</v>
      </c>
      <c r="E72" s="16" t="n">
        <v>359</v>
      </c>
      <c r="F72" s="38" t="n">
        <v>1469901</v>
      </c>
      <c r="G72" s="38" t="n">
        <v>1472810</v>
      </c>
      <c r="H72" s="38" t="n">
        <v>1469901</v>
      </c>
      <c r="I72" s="38" t="n">
        <v>1472810</v>
      </c>
      <c r="J72" s="19" t="n">
        <f aca="false">(I72-H72)/1000</f>
        <v>2.909</v>
      </c>
      <c r="K72" s="16" t="s">
        <v>285</v>
      </c>
    </row>
    <row r="73" customFormat="false" ht="15" hidden="false" customHeight="false" outlineLevel="0" collapsed="false">
      <c r="A73" s="31" t="s">
        <v>65</v>
      </c>
      <c r="B73" s="31" t="s">
        <v>286</v>
      </c>
      <c r="C73" s="31" t="n">
        <v>14</v>
      </c>
      <c r="D73" s="31" t="n">
        <v>14</v>
      </c>
      <c r="E73" s="31" t="n">
        <v>0</v>
      </c>
      <c r="F73" s="39" t="n">
        <v>1373875</v>
      </c>
      <c r="G73" s="39" t="n">
        <v>1394000</v>
      </c>
      <c r="H73" s="39" t="s">
        <v>173</v>
      </c>
      <c r="I73" s="39" t="s">
        <v>173</v>
      </c>
      <c r="J73" s="40" t="n">
        <v>0</v>
      </c>
      <c r="K73" s="31" t="s">
        <v>287</v>
      </c>
    </row>
    <row r="74" customFormat="false" ht="15" hidden="false" customHeight="false" outlineLevel="0" collapsed="false">
      <c r="A74" s="31" t="s">
        <v>65</v>
      </c>
      <c r="B74" s="31" t="s">
        <v>288</v>
      </c>
      <c r="C74" s="31" t="n">
        <v>1</v>
      </c>
      <c r="D74" s="31" t="n">
        <v>1</v>
      </c>
      <c r="E74" s="31" t="n">
        <v>0</v>
      </c>
      <c r="F74" s="39" t="n">
        <v>1393657</v>
      </c>
      <c r="G74" s="39" t="n">
        <v>1393657</v>
      </c>
      <c r="H74" s="39" t="s">
        <v>173</v>
      </c>
      <c r="I74" s="39" t="s">
        <v>173</v>
      </c>
      <c r="J74" s="40" t="n">
        <v>0</v>
      </c>
      <c r="K74" s="31" t="s">
        <v>287</v>
      </c>
    </row>
    <row r="75" customFormat="false" ht="15" hidden="false" customHeight="false" outlineLevel="0" collapsed="false">
      <c r="A75" s="31" t="s">
        <v>65</v>
      </c>
      <c r="B75" s="31" t="s">
        <v>289</v>
      </c>
      <c r="C75" s="31" t="n">
        <v>1228</v>
      </c>
      <c r="D75" s="31" t="n">
        <v>1036</v>
      </c>
      <c r="E75" s="31" t="n">
        <v>0</v>
      </c>
      <c r="F75" s="39" t="n">
        <v>1479573</v>
      </c>
      <c r="G75" s="39" t="n">
        <v>1508598</v>
      </c>
      <c r="H75" s="39" t="s">
        <v>173</v>
      </c>
      <c r="I75" s="39" t="s">
        <v>173</v>
      </c>
      <c r="J75" s="40" t="n">
        <v>0</v>
      </c>
      <c r="K75" s="31" t="s">
        <v>287</v>
      </c>
    </row>
    <row r="76" customFormat="false" ht="15" hidden="false" customHeight="false" outlineLevel="0" collapsed="false">
      <c r="A76" s="31" t="s">
        <v>65</v>
      </c>
      <c r="B76" s="31" t="s">
        <v>296</v>
      </c>
      <c r="C76" s="31" t="n">
        <v>32</v>
      </c>
      <c r="D76" s="31" t="n">
        <v>0</v>
      </c>
      <c r="E76" s="31" t="n">
        <v>0</v>
      </c>
      <c r="F76" s="39" t="s">
        <v>173</v>
      </c>
      <c r="G76" s="39" t="s">
        <v>173</v>
      </c>
      <c r="H76" s="39" t="s">
        <v>173</v>
      </c>
      <c r="I76" s="39" t="s">
        <v>173</v>
      </c>
      <c r="J76" s="40" t="n">
        <v>0</v>
      </c>
      <c r="K76" s="31" t="s">
        <v>287</v>
      </c>
    </row>
    <row r="77" customFormat="false" ht="15" hidden="false" customHeight="false" outlineLevel="0" collapsed="false">
      <c r="A77" s="31" t="s">
        <v>65</v>
      </c>
      <c r="B77" s="31" t="s">
        <v>297</v>
      </c>
      <c r="C77" s="31" t="n">
        <v>770</v>
      </c>
      <c r="D77" s="31" t="n">
        <v>770</v>
      </c>
      <c r="E77" s="31" t="n">
        <v>0</v>
      </c>
      <c r="F77" s="39" t="n">
        <v>1172015</v>
      </c>
      <c r="G77" s="39" t="n">
        <v>1212725</v>
      </c>
      <c r="H77" s="39" t="s">
        <v>173</v>
      </c>
      <c r="I77" s="39" t="s">
        <v>173</v>
      </c>
      <c r="J77" s="40" t="n">
        <v>0</v>
      </c>
      <c r="K77" s="31" t="s">
        <v>287</v>
      </c>
    </row>
    <row r="78" customFormat="false" ht="15" hidden="false" customHeight="false" outlineLevel="0" collapsed="false">
      <c r="A78" s="31" t="s">
        <v>65</v>
      </c>
      <c r="B78" s="31" t="s">
        <v>295</v>
      </c>
      <c r="C78" s="31" t="n">
        <v>18</v>
      </c>
      <c r="D78" s="31" t="n">
        <v>18</v>
      </c>
      <c r="E78" s="31" t="n">
        <v>0</v>
      </c>
      <c r="F78" s="39" t="n">
        <v>1128103</v>
      </c>
      <c r="G78" s="39" t="n">
        <v>1146937</v>
      </c>
      <c r="H78" s="39" t="s">
        <v>173</v>
      </c>
      <c r="I78" s="39" t="s">
        <v>173</v>
      </c>
      <c r="J78" s="40" t="n">
        <v>0</v>
      </c>
      <c r="K78" s="31" t="s">
        <v>287</v>
      </c>
    </row>
    <row r="79" customFormat="false" ht="15" hidden="false" customHeight="false" outlineLevel="0" collapsed="false">
      <c r="A79" s="16" t="s">
        <v>85</v>
      </c>
      <c r="B79" s="16" t="s">
        <v>36</v>
      </c>
      <c r="C79" s="16" t="n">
        <v>6427</v>
      </c>
      <c r="D79" s="16" t="n">
        <v>6393</v>
      </c>
      <c r="E79" s="16" t="n">
        <v>4965</v>
      </c>
      <c r="F79" s="38" t="n">
        <v>1189269</v>
      </c>
      <c r="G79" s="38" t="n">
        <v>1515990</v>
      </c>
      <c r="H79" s="38" t="n">
        <v>1401558</v>
      </c>
      <c r="I79" s="38" t="n">
        <v>1479433</v>
      </c>
      <c r="J79" s="19" t="n">
        <f aca="false">(I79-H79)/1000</f>
        <v>77.875</v>
      </c>
      <c r="K79" s="16" t="s">
        <v>285</v>
      </c>
    </row>
    <row r="80" customFormat="false" ht="15" hidden="false" customHeight="false" outlineLevel="0" collapsed="false">
      <c r="A80" s="16" t="s">
        <v>85</v>
      </c>
      <c r="B80" s="16" t="s">
        <v>88</v>
      </c>
      <c r="C80" s="16" t="n">
        <v>5585</v>
      </c>
      <c r="D80" s="16" t="n">
        <v>5585</v>
      </c>
      <c r="E80" s="16" t="n">
        <v>5055</v>
      </c>
      <c r="F80" s="38" t="n">
        <v>1401355</v>
      </c>
      <c r="G80" s="38" t="n">
        <v>1519035</v>
      </c>
      <c r="H80" s="38" t="n">
        <v>1401558</v>
      </c>
      <c r="I80" s="38" t="n">
        <v>1479415</v>
      </c>
      <c r="J80" s="19" t="n">
        <f aca="false">(I80-H80)/1000</f>
        <v>77.857</v>
      </c>
      <c r="K80" s="16" t="s">
        <v>285</v>
      </c>
    </row>
    <row r="81" customFormat="false" ht="15" hidden="false" customHeight="false" outlineLevel="0" collapsed="false">
      <c r="A81" s="16" t="s">
        <v>85</v>
      </c>
      <c r="B81" s="16" t="s">
        <v>86</v>
      </c>
      <c r="C81" s="16" t="n">
        <v>6925</v>
      </c>
      <c r="D81" s="16" t="n">
        <v>6918</v>
      </c>
      <c r="E81" s="16" t="n">
        <v>4591</v>
      </c>
      <c r="F81" s="38" t="n">
        <v>1132287</v>
      </c>
      <c r="G81" s="38" t="n">
        <v>1508590</v>
      </c>
      <c r="H81" s="38" t="n">
        <v>1401564</v>
      </c>
      <c r="I81" s="38" t="n">
        <v>1479429</v>
      </c>
      <c r="J81" s="19" t="n">
        <f aca="false">(I81-H81)/1000</f>
        <v>77.865</v>
      </c>
      <c r="K81" s="16" t="s">
        <v>285</v>
      </c>
    </row>
    <row r="82" customFormat="false" ht="15" hidden="false" customHeight="false" outlineLevel="0" collapsed="false">
      <c r="A82" s="16" t="s">
        <v>85</v>
      </c>
      <c r="B82" s="16" t="s">
        <v>38</v>
      </c>
      <c r="C82" s="16" t="n">
        <v>4840</v>
      </c>
      <c r="D82" s="16" t="n">
        <v>4832</v>
      </c>
      <c r="E82" s="16" t="n">
        <v>4342</v>
      </c>
      <c r="F82" s="38" t="n">
        <v>1401334</v>
      </c>
      <c r="G82" s="38" t="n">
        <v>1508591</v>
      </c>
      <c r="H82" s="38" t="n">
        <v>1401570</v>
      </c>
      <c r="I82" s="38" t="n">
        <v>1479431</v>
      </c>
      <c r="J82" s="19" t="n">
        <f aca="false">(I82-H82)/1000</f>
        <v>77.861</v>
      </c>
      <c r="K82" s="16" t="s">
        <v>285</v>
      </c>
    </row>
    <row r="83" customFormat="false" ht="15" hidden="false" customHeight="false" outlineLevel="0" collapsed="false">
      <c r="A83" s="16" t="s">
        <v>85</v>
      </c>
      <c r="B83" s="16" t="s">
        <v>94</v>
      </c>
      <c r="C83" s="16" t="n">
        <v>2374</v>
      </c>
      <c r="D83" s="16" t="n">
        <v>2368</v>
      </c>
      <c r="E83" s="16" t="n">
        <v>2193</v>
      </c>
      <c r="F83" s="38" t="n">
        <v>1401372</v>
      </c>
      <c r="G83" s="38" t="n">
        <v>1500567</v>
      </c>
      <c r="H83" s="38" t="n">
        <v>1401581</v>
      </c>
      <c r="I83" s="38" t="n">
        <v>1479428</v>
      </c>
      <c r="J83" s="19" t="n">
        <f aca="false">(I83-H83)/1000</f>
        <v>77.847</v>
      </c>
      <c r="K83" s="16" t="s">
        <v>285</v>
      </c>
    </row>
    <row r="84" customFormat="false" ht="15" hidden="false" customHeight="false" outlineLevel="0" collapsed="false">
      <c r="A84" s="16" t="s">
        <v>85</v>
      </c>
      <c r="B84" s="16" t="s">
        <v>39</v>
      </c>
      <c r="C84" s="16" t="n">
        <v>5979</v>
      </c>
      <c r="D84" s="16" t="n">
        <v>5977</v>
      </c>
      <c r="E84" s="16" t="n">
        <v>4693</v>
      </c>
      <c r="F84" s="38" t="n">
        <v>1197208</v>
      </c>
      <c r="G84" s="38" t="n">
        <v>1503994</v>
      </c>
      <c r="H84" s="38" t="n">
        <v>1401558</v>
      </c>
      <c r="I84" s="38" t="n">
        <v>1479408</v>
      </c>
      <c r="J84" s="19" t="n">
        <f aca="false">(I84-H84)/1000</f>
        <v>77.85</v>
      </c>
      <c r="K84" s="16" t="s">
        <v>285</v>
      </c>
    </row>
    <row r="85" customFormat="false" ht="15" hidden="false" customHeight="false" outlineLevel="0" collapsed="false">
      <c r="A85" s="16" t="s">
        <v>85</v>
      </c>
      <c r="B85" s="16" t="s">
        <v>90</v>
      </c>
      <c r="C85" s="16" t="n">
        <v>3713</v>
      </c>
      <c r="D85" s="16" t="n">
        <v>3702</v>
      </c>
      <c r="E85" s="16" t="n">
        <v>2751</v>
      </c>
      <c r="F85" s="38" t="n">
        <v>1171451</v>
      </c>
      <c r="G85" s="38" t="n">
        <v>1518998</v>
      </c>
      <c r="H85" s="38" t="n">
        <v>1401557</v>
      </c>
      <c r="I85" s="38" t="n">
        <v>1479409</v>
      </c>
      <c r="J85" s="19" t="n">
        <f aca="false">(I85-H85)/1000</f>
        <v>77.852</v>
      </c>
      <c r="K85" s="16" t="s">
        <v>285</v>
      </c>
    </row>
    <row r="86" customFormat="false" ht="15" hidden="false" customHeight="false" outlineLevel="0" collapsed="false">
      <c r="A86" s="16" t="s">
        <v>85</v>
      </c>
      <c r="B86" s="16" t="s">
        <v>87</v>
      </c>
      <c r="C86" s="16" t="n">
        <v>5914</v>
      </c>
      <c r="D86" s="16" t="n">
        <v>5910</v>
      </c>
      <c r="E86" s="16" t="n">
        <v>4445</v>
      </c>
      <c r="F86" s="38" t="n">
        <v>1196161</v>
      </c>
      <c r="G86" s="38" t="n">
        <v>1519111</v>
      </c>
      <c r="H86" s="38" t="n">
        <v>1401573</v>
      </c>
      <c r="I86" s="38" t="n">
        <v>1479420</v>
      </c>
      <c r="J86" s="19" t="n">
        <f aca="false">(I86-H86)/1000</f>
        <v>77.847</v>
      </c>
      <c r="K86" s="16" t="s">
        <v>285</v>
      </c>
    </row>
    <row r="87" customFormat="false" ht="15" hidden="false" customHeight="false" outlineLevel="0" collapsed="false">
      <c r="A87" s="16" t="s">
        <v>85</v>
      </c>
      <c r="B87" s="16" t="s">
        <v>52</v>
      </c>
      <c r="C87" s="16" t="n">
        <v>5923</v>
      </c>
      <c r="D87" s="16" t="n">
        <v>5915</v>
      </c>
      <c r="E87" s="16" t="n">
        <v>5192</v>
      </c>
      <c r="F87" s="38" t="n">
        <v>1223939</v>
      </c>
      <c r="G87" s="38" t="n">
        <v>1490816</v>
      </c>
      <c r="H87" s="38" t="n">
        <v>1401592</v>
      </c>
      <c r="I87" s="38" t="n">
        <v>1479433</v>
      </c>
      <c r="J87" s="19" t="n">
        <f aca="false">(I87-H87)/1000</f>
        <v>77.841</v>
      </c>
      <c r="K87" s="16" t="s">
        <v>285</v>
      </c>
    </row>
    <row r="88" customFormat="false" ht="15" hidden="false" customHeight="false" outlineLevel="0" collapsed="false">
      <c r="A88" s="16" t="s">
        <v>85</v>
      </c>
      <c r="B88" s="16" t="s">
        <v>91</v>
      </c>
      <c r="C88" s="16" t="n">
        <v>3685</v>
      </c>
      <c r="D88" s="16" t="n">
        <v>3669</v>
      </c>
      <c r="E88" s="16" t="n">
        <v>3418</v>
      </c>
      <c r="F88" s="38" t="n">
        <v>1401331</v>
      </c>
      <c r="G88" s="38" t="n">
        <v>1518425</v>
      </c>
      <c r="H88" s="38" t="n">
        <v>1401572</v>
      </c>
      <c r="I88" s="38" t="n">
        <v>1479415</v>
      </c>
      <c r="J88" s="19" t="n">
        <f aca="false">(I88-H88)/1000</f>
        <v>77.843</v>
      </c>
      <c r="K88" s="16" t="s">
        <v>285</v>
      </c>
    </row>
    <row r="89" customFormat="false" ht="15" hidden="false" customHeight="false" outlineLevel="0" collapsed="false">
      <c r="A89" s="16" t="s">
        <v>85</v>
      </c>
      <c r="B89" s="16" t="s">
        <v>81</v>
      </c>
      <c r="C89" s="16" t="n">
        <v>2441</v>
      </c>
      <c r="D89" s="16" t="n">
        <v>2436</v>
      </c>
      <c r="E89" s="16" t="n">
        <v>2263</v>
      </c>
      <c r="F89" s="38" t="n">
        <v>1401329</v>
      </c>
      <c r="G89" s="38" t="n">
        <v>1503284</v>
      </c>
      <c r="H89" s="38" t="n">
        <v>1401580</v>
      </c>
      <c r="I89" s="38" t="n">
        <v>1479425</v>
      </c>
      <c r="J89" s="19" t="n">
        <f aca="false">(I89-H89)/1000</f>
        <v>77.845</v>
      </c>
      <c r="K89" s="16" t="s">
        <v>285</v>
      </c>
    </row>
    <row r="90" customFormat="false" ht="15" hidden="false" customHeight="false" outlineLevel="0" collapsed="false">
      <c r="A90" s="16" t="s">
        <v>85</v>
      </c>
      <c r="B90" s="16" t="s">
        <v>55</v>
      </c>
      <c r="C90" s="16" t="n">
        <v>3259</v>
      </c>
      <c r="D90" s="16" t="n">
        <v>3251</v>
      </c>
      <c r="E90" s="16" t="n">
        <v>2194</v>
      </c>
      <c r="F90" s="38" t="n">
        <v>1170746</v>
      </c>
      <c r="G90" s="38" t="n">
        <v>1515978</v>
      </c>
      <c r="H90" s="38" t="n">
        <v>1401567</v>
      </c>
      <c r="I90" s="38" t="n">
        <v>1479389</v>
      </c>
      <c r="J90" s="19" t="n">
        <f aca="false">(I90-H90)/1000</f>
        <v>77.822</v>
      </c>
      <c r="K90" s="16" t="s">
        <v>285</v>
      </c>
    </row>
    <row r="91" customFormat="false" ht="15" hidden="false" customHeight="false" outlineLevel="0" collapsed="false">
      <c r="A91" s="16" t="s">
        <v>85</v>
      </c>
      <c r="B91" s="16" t="s">
        <v>93</v>
      </c>
      <c r="C91" s="16" t="n">
        <v>2464</v>
      </c>
      <c r="D91" s="16" t="n">
        <v>2456</v>
      </c>
      <c r="E91" s="16" t="n">
        <v>2021</v>
      </c>
      <c r="F91" s="38" t="n">
        <v>1209714</v>
      </c>
      <c r="G91" s="38" t="n">
        <v>1499159</v>
      </c>
      <c r="H91" s="38" t="n">
        <v>1401680</v>
      </c>
      <c r="I91" s="38" t="n">
        <v>1479423</v>
      </c>
      <c r="J91" s="19" t="n">
        <f aca="false">(I91-H91)/1000</f>
        <v>77.743</v>
      </c>
      <c r="K91" s="16" t="s">
        <v>285</v>
      </c>
    </row>
    <row r="92" customFormat="false" ht="15" hidden="false" customHeight="false" outlineLevel="0" collapsed="false">
      <c r="A92" s="16" t="s">
        <v>85</v>
      </c>
      <c r="B92" s="16" t="s">
        <v>47</v>
      </c>
      <c r="C92" s="16" t="n">
        <v>3204</v>
      </c>
      <c r="D92" s="16" t="n">
        <v>3201</v>
      </c>
      <c r="E92" s="16" t="n">
        <v>2686</v>
      </c>
      <c r="F92" s="38" t="n">
        <v>1401680</v>
      </c>
      <c r="G92" s="38" t="n">
        <v>1518685</v>
      </c>
      <c r="H92" s="38" t="n">
        <v>1401680</v>
      </c>
      <c r="I92" s="38" t="n">
        <v>1479400</v>
      </c>
      <c r="J92" s="19" t="n">
        <f aca="false">(I92-H92)/1000</f>
        <v>77.72</v>
      </c>
      <c r="K92" s="16" t="s">
        <v>285</v>
      </c>
    </row>
    <row r="93" customFormat="false" ht="15" hidden="false" customHeight="false" outlineLevel="0" collapsed="false">
      <c r="A93" s="16" t="s">
        <v>85</v>
      </c>
      <c r="B93" s="16" t="s">
        <v>92</v>
      </c>
      <c r="C93" s="16" t="n">
        <v>2472</v>
      </c>
      <c r="D93" s="16" t="n">
        <v>2471</v>
      </c>
      <c r="E93" s="16" t="n">
        <v>2285</v>
      </c>
      <c r="F93" s="38" t="n">
        <v>1401722</v>
      </c>
      <c r="G93" s="38" t="n">
        <v>1494429</v>
      </c>
      <c r="H93" s="38" t="n">
        <v>1401722</v>
      </c>
      <c r="I93" s="38" t="n">
        <v>1479422</v>
      </c>
      <c r="J93" s="19" t="n">
        <f aca="false">(I93-H93)/1000</f>
        <v>77.7</v>
      </c>
      <c r="K93" s="16" t="s">
        <v>285</v>
      </c>
    </row>
    <row r="94" customFormat="false" ht="15" hidden="false" customHeight="false" outlineLevel="0" collapsed="false">
      <c r="A94" s="16" t="s">
        <v>85</v>
      </c>
      <c r="B94" s="16" t="s">
        <v>77</v>
      </c>
      <c r="C94" s="16" t="n">
        <v>2847</v>
      </c>
      <c r="D94" s="16" t="n">
        <v>2834</v>
      </c>
      <c r="E94" s="16" t="n">
        <v>1953</v>
      </c>
      <c r="F94" s="38" t="n">
        <v>1199773</v>
      </c>
      <c r="G94" s="38" t="n">
        <v>1500731</v>
      </c>
      <c r="H94" s="38" t="n">
        <v>1401697</v>
      </c>
      <c r="I94" s="38" t="n">
        <v>1479395</v>
      </c>
      <c r="J94" s="19" t="n">
        <f aca="false">(I94-H94)/1000</f>
        <v>77.698</v>
      </c>
      <c r="K94" s="16" t="s">
        <v>285</v>
      </c>
    </row>
    <row r="95" customFormat="false" ht="15" hidden="false" customHeight="false" outlineLevel="0" collapsed="false">
      <c r="A95" s="16" t="s">
        <v>85</v>
      </c>
      <c r="B95" s="16" t="s">
        <v>97</v>
      </c>
      <c r="C95" s="16" t="n">
        <v>1784</v>
      </c>
      <c r="D95" s="16" t="n">
        <v>1781</v>
      </c>
      <c r="E95" s="16" t="n">
        <v>1628</v>
      </c>
      <c r="F95" s="38" t="n">
        <v>1401694</v>
      </c>
      <c r="G95" s="38" t="n">
        <v>1497044</v>
      </c>
      <c r="H95" s="38" t="n">
        <v>1401694</v>
      </c>
      <c r="I95" s="38" t="n">
        <v>1479387</v>
      </c>
      <c r="J95" s="19" t="n">
        <f aca="false">(I95-H95)/1000</f>
        <v>77.693</v>
      </c>
      <c r="K95" s="16" t="s">
        <v>285</v>
      </c>
    </row>
    <row r="96" customFormat="false" ht="15" hidden="false" customHeight="false" outlineLevel="0" collapsed="false">
      <c r="A96" s="16" t="s">
        <v>85</v>
      </c>
      <c r="B96" s="16" t="s">
        <v>96</v>
      </c>
      <c r="C96" s="16" t="n">
        <v>2240</v>
      </c>
      <c r="D96" s="16" t="n">
        <v>2237</v>
      </c>
      <c r="E96" s="16" t="n">
        <v>2070</v>
      </c>
      <c r="F96" s="38" t="n">
        <v>1401705</v>
      </c>
      <c r="G96" s="38" t="n">
        <v>1500525</v>
      </c>
      <c r="H96" s="38" t="n">
        <v>1401705</v>
      </c>
      <c r="I96" s="38" t="n">
        <v>1479386</v>
      </c>
      <c r="J96" s="19" t="n">
        <f aca="false">(I96-H96)/1000</f>
        <v>77.681</v>
      </c>
      <c r="K96" s="16" t="s">
        <v>285</v>
      </c>
    </row>
    <row r="97" customFormat="false" ht="15" hidden="false" customHeight="false" outlineLevel="0" collapsed="false">
      <c r="A97" s="16" t="s">
        <v>85</v>
      </c>
      <c r="B97" s="16" t="s">
        <v>89</v>
      </c>
      <c r="C97" s="16" t="n">
        <v>4257</v>
      </c>
      <c r="D97" s="16" t="n">
        <v>4142</v>
      </c>
      <c r="E97" s="16" t="n">
        <v>2348</v>
      </c>
      <c r="F97" s="38" t="n">
        <v>1154403</v>
      </c>
      <c r="G97" s="38" t="n">
        <v>1508333</v>
      </c>
      <c r="H97" s="38" t="n">
        <v>1401761</v>
      </c>
      <c r="I97" s="38" t="n">
        <v>1479421</v>
      </c>
      <c r="J97" s="19" t="n">
        <f aca="false">(I97-H97)/1000</f>
        <v>77.66</v>
      </c>
      <c r="K97" s="16" t="s">
        <v>285</v>
      </c>
    </row>
    <row r="98" customFormat="false" ht="15" hidden="false" customHeight="false" outlineLevel="0" collapsed="false">
      <c r="A98" s="16" t="s">
        <v>85</v>
      </c>
      <c r="B98" s="16" t="s">
        <v>95</v>
      </c>
      <c r="C98" s="16" t="n">
        <v>2370</v>
      </c>
      <c r="D98" s="16" t="n">
        <v>2343</v>
      </c>
      <c r="E98" s="16" t="n">
        <v>1290</v>
      </c>
      <c r="F98" s="38" t="n">
        <v>1180641</v>
      </c>
      <c r="G98" s="38" t="n">
        <v>1519011</v>
      </c>
      <c r="H98" s="38" t="n">
        <v>1401762</v>
      </c>
      <c r="I98" s="38" t="n">
        <v>1479393</v>
      </c>
      <c r="J98" s="19" t="n">
        <f aca="false">(I98-H98)/1000</f>
        <v>77.631</v>
      </c>
      <c r="K98" s="16" t="s">
        <v>285</v>
      </c>
    </row>
    <row r="99" customFormat="false" ht="15" hidden="false" customHeight="false" outlineLevel="0" collapsed="false">
      <c r="A99" s="31" t="s">
        <v>85</v>
      </c>
      <c r="B99" s="31" t="s">
        <v>286</v>
      </c>
      <c r="C99" s="31" t="n">
        <v>8</v>
      </c>
      <c r="D99" s="31" t="n">
        <v>8</v>
      </c>
      <c r="E99" s="31" t="n">
        <v>0</v>
      </c>
      <c r="F99" s="39" t="n">
        <v>1376066</v>
      </c>
      <c r="G99" s="39" t="n">
        <v>1393824</v>
      </c>
      <c r="H99" s="39" t="s">
        <v>173</v>
      </c>
      <c r="I99" s="39" t="s">
        <v>173</v>
      </c>
      <c r="J99" s="40" t="n">
        <v>0</v>
      </c>
      <c r="K99" s="31" t="s">
        <v>287</v>
      </c>
    </row>
    <row r="100" customFormat="false" ht="15" hidden="false" customHeight="false" outlineLevel="0" collapsed="false">
      <c r="A100" s="31" t="s">
        <v>85</v>
      </c>
      <c r="B100" s="31" t="s">
        <v>61</v>
      </c>
      <c r="C100" s="31" t="n">
        <v>143</v>
      </c>
      <c r="D100" s="31" t="n">
        <v>143</v>
      </c>
      <c r="E100" s="31" t="n">
        <v>0</v>
      </c>
      <c r="F100" s="39" t="n">
        <v>1203518</v>
      </c>
      <c r="G100" s="39" t="n">
        <v>1213389</v>
      </c>
      <c r="H100" s="39" t="s">
        <v>173</v>
      </c>
      <c r="I100" s="39" t="s">
        <v>173</v>
      </c>
      <c r="J100" s="40" t="n">
        <v>0</v>
      </c>
      <c r="K100" s="31" t="s">
        <v>287</v>
      </c>
    </row>
    <row r="101" customFormat="false" ht="15" hidden="false" customHeight="false" outlineLevel="0" collapsed="false">
      <c r="A101" s="31" t="s">
        <v>85</v>
      </c>
      <c r="B101" s="31" t="s">
        <v>297</v>
      </c>
      <c r="C101" s="31" t="n">
        <v>149</v>
      </c>
      <c r="D101" s="31" t="n">
        <v>149</v>
      </c>
      <c r="E101" s="31" t="n">
        <v>0</v>
      </c>
      <c r="F101" s="39" t="n">
        <v>1191600</v>
      </c>
      <c r="G101" s="39" t="n">
        <v>1210358</v>
      </c>
      <c r="H101" s="39" t="s">
        <v>173</v>
      </c>
      <c r="I101" s="39" t="s">
        <v>173</v>
      </c>
      <c r="J101" s="40" t="n">
        <v>0</v>
      </c>
      <c r="K101" s="31" t="s">
        <v>287</v>
      </c>
    </row>
    <row r="102" customFormat="false" ht="15" hidden="false" customHeight="false" outlineLevel="0" collapsed="false">
      <c r="A102" s="31" t="s">
        <v>85</v>
      </c>
      <c r="B102" s="31" t="s">
        <v>69</v>
      </c>
      <c r="C102" s="31" t="n">
        <v>605</v>
      </c>
      <c r="D102" s="31" t="n">
        <v>605</v>
      </c>
      <c r="E102" s="31" t="n">
        <v>0</v>
      </c>
      <c r="F102" s="39" t="n">
        <v>1174738</v>
      </c>
      <c r="G102" s="39" t="n">
        <v>1233836</v>
      </c>
      <c r="H102" s="39" t="s">
        <v>173</v>
      </c>
      <c r="I102" s="39" t="s">
        <v>173</v>
      </c>
      <c r="J102" s="40" t="n">
        <v>0</v>
      </c>
      <c r="K102" s="31" t="s">
        <v>287</v>
      </c>
    </row>
    <row r="103" customFormat="false" ht="15" hidden="false" customHeight="false" outlineLevel="0" collapsed="false">
      <c r="A103" s="31" t="s">
        <v>85</v>
      </c>
      <c r="B103" s="31" t="s">
        <v>102</v>
      </c>
      <c r="C103" s="31" t="n">
        <v>860</v>
      </c>
      <c r="D103" s="31" t="n">
        <v>860</v>
      </c>
      <c r="E103" s="31" t="n">
        <v>0</v>
      </c>
      <c r="F103" s="39" t="n">
        <v>1170867</v>
      </c>
      <c r="G103" s="39" t="n">
        <v>1240733</v>
      </c>
      <c r="H103" s="39" t="s">
        <v>173</v>
      </c>
      <c r="I103" s="39" t="s">
        <v>173</v>
      </c>
      <c r="J103" s="40" t="n">
        <v>0</v>
      </c>
      <c r="K103" s="31" t="s">
        <v>287</v>
      </c>
    </row>
    <row r="104" customFormat="false" ht="15" hidden="false" customHeight="false" outlineLevel="0" collapsed="false">
      <c r="A104" s="16" t="s">
        <v>98</v>
      </c>
      <c r="B104" s="16" t="s">
        <v>67</v>
      </c>
      <c r="C104" s="16" t="n">
        <v>7437</v>
      </c>
      <c r="D104" s="16" t="n">
        <v>7397</v>
      </c>
      <c r="E104" s="16" t="n">
        <v>5397</v>
      </c>
      <c r="F104" s="38" t="n">
        <v>1146686</v>
      </c>
      <c r="G104" s="38" t="n">
        <v>1508566</v>
      </c>
      <c r="H104" s="38" t="n">
        <v>1401556</v>
      </c>
      <c r="I104" s="38" t="n">
        <v>1479434</v>
      </c>
      <c r="J104" s="19" t="n">
        <f aca="false">(I104-H104)/1000</f>
        <v>77.878</v>
      </c>
      <c r="K104" s="16" t="s">
        <v>285</v>
      </c>
    </row>
    <row r="105" customFormat="false" ht="15" hidden="false" customHeight="false" outlineLevel="0" collapsed="false">
      <c r="A105" s="16" t="s">
        <v>98</v>
      </c>
      <c r="B105" s="16" t="s">
        <v>99</v>
      </c>
      <c r="C105" s="16" t="n">
        <v>6136</v>
      </c>
      <c r="D105" s="16" t="n">
        <v>6131</v>
      </c>
      <c r="E105" s="16" t="n">
        <v>5200</v>
      </c>
      <c r="F105" s="38" t="n">
        <v>1197736</v>
      </c>
      <c r="G105" s="38" t="n">
        <v>1514060</v>
      </c>
      <c r="H105" s="38" t="n">
        <v>1401557</v>
      </c>
      <c r="I105" s="38" t="n">
        <v>1479432</v>
      </c>
      <c r="J105" s="19" t="n">
        <f aca="false">(I105-H105)/1000</f>
        <v>77.875</v>
      </c>
      <c r="K105" s="16" t="s">
        <v>285</v>
      </c>
    </row>
    <row r="106" customFormat="false" ht="15" hidden="false" customHeight="false" outlineLevel="0" collapsed="false">
      <c r="A106" s="16" t="s">
        <v>98</v>
      </c>
      <c r="B106" s="16" t="s">
        <v>70</v>
      </c>
      <c r="C106" s="16" t="n">
        <v>2520</v>
      </c>
      <c r="D106" s="16" t="n">
        <v>2519</v>
      </c>
      <c r="E106" s="16" t="n">
        <v>2326</v>
      </c>
      <c r="F106" s="38" t="n">
        <v>1401437</v>
      </c>
      <c r="G106" s="38" t="n">
        <v>1514019</v>
      </c>
      <c r="H106" s="38" t="n">
        <v>1401555</v>
      </c>
      <c r="I106" s="38" t="n">
        <v>1479426</v>
      </c>
      <c r="J106" s="19" t="n">
        <f aca="false">(I106-H106)/1000</f>
        <v>77.871</v>
      </c>
      <c r="K106" s="16" t="s">
        <v>285</v>
      </c>
    </row>
    <row r="107" customFormat="false" ht="15" hidden="false" customHeight="false" outlineLevel="0" collapsed="false">
      <c r="A107" s="16" t="s">
        <v>98</v>
      </c>
      <c r="B107" s="16" t="s">
        <v>100</v>
      </c>
      <c r="C107" s="16" t="n">
        <v>5274</v>
      </c>
      <c r="D107" s="16" t="n">
        <v>5274</v>
      </c>
      <c r="E107" s="16" t="n">
        <v>4817</v>
      </c>
      <c r="F107" s="38" t="n">
        <v>1401379</v>
      </c>
      <c r="G107" s="38" t="n">
        <v>1508583</v>
      </c>
      <c r="H107" s="38" t="n">
        <v>1401564</v>
      </c>
      <c r="I107" s="38" t="n">
        <v>1479424</v>
      </c>
      <c r="J107" s="19" t="n">
        <f aca="false">(I107-H107)/1000</f>
        <v>77.86</v>
      </c>
      <c r="K107" s="16" t="s">
        <v>285</v>
      </c>
    </row>
    <row r="108" customFormat="false" ht="15" hidden="false" customHeight="false" outlineLevel="0" collapsed="false">
      <c r="A108" s="16" t="s">
        <v>98</v>
      </c>
      <c r="B108" s="16" t="s">
        <v>55</v>
      </c>
      <c r="C108" s="16" t="n">
        <v>6830</v>
      </c>
      <c r="D108" s="16" t="n">
        <v>6817</v>
      </c>
      <c r="E108" s="16" t="n">
        <v>5760</v>
      </c>
      <c r="F108" s="38" t="n">
        <v>1170899</v>
      </c>
      <c r="G108" s="38" t="n">
        <v>1494826</v>
      </c>
      <c r="H108" s="38" t="n">
        <v>1401566</v>
      </c>
      <c r="I108" s="38" t="n">
        <v>1479421</v>
      </c>
      <c r="J108" s="19" t="n">
        <f aca="false">(I108-H108)/1000</f>
        <v>77.855</v>
      </c>
      <c r="K108" s="16" t="s">
        <v>285</v>
      </c>
    </row>
    <row r="109" customFormat="false" ht="15" hidden="false" customHeight="false" outlineLevel="0" collapsed="false">
      <c r="A109" s="16" t="s">
        <v>98</v>
      </c>
      <c r="B109" s="16" t="s">
        <v>37</v>
      </c>
      <c r="C109" s="16" t="n">
        <v>2626</v>
      </c>
      <c r="D109" s="16" t="n">
        <v>2607</v>
      </c>
      <c r="E109" s="16" t="n">
        <v>2243</v>
      </c>
      <c r="F109" s="38" t="n">
        <v>1209673</v>
      </c>
      <c r="G109" s="38" t="n">
        <v>1500722</v>
      </c>
      <c r="H109" s="38" t="n">
        <v>1401554</v>
      </c>
      <c r="I109" s="38" t="n">
        <v>1479411</v>
      </c>
      <c r="J109" s="19" t="n">
        <f aca="false">(I109-H109)/1000</f>
        <v>77.857</v>
      </c>
      <c r="K109" s="16" t="s">
        <v>285</v>
      </c>
    </row>
    <row r="110" customFormat="false" ht="15" hidden="false" customHeight="false" outlineLevel="0" collapsed="false">
      <c r="A110" s="16" t="s">
        <v>98</v>
      </c>
      <c r="B110" s="16" t="s">
        <v>102</v>
      </c>
      <c r="C110" s="16" t="n">
        <v>6414</v>
      </c>
      <c r="D110" s="16" t="n">
        <v>6412</v>
      </c>
      <c r="E110" s="16" t="n">
        <v>4273</v>
      </c>
      <c r="F110" s="38" t="n">
        <v>1148561</v>
      </c>
      <c r="G110" s="38" t="n">
        <v>1518928</v>
      </c>
      <c r="H110" s="38" t="n">
        <v>1401574</v>
      </c>
      <c r="I110" s="38" t="n">
        <v>1479434</v>
      </c>
      <c r="J110" s="19" t="n">
        <f aca="false">(I110-H110)/1000</f>
        <v>77.86</v>
      </c>
      <c r="K110" s="16" t="s">
        <v>285</v>
      </c>
    </row>
    <row r="111" customFormat="false" ht="15" hidden="false" customHeight="false" outlineLevel="0" collapsed="false">
      <c r="A111" s="16" t="s">
        <v>98</v>
      </c>
      <c r="B111" s="16" t="s">
        <v>74</v>
      </c>
      <c r="C111" s="16" t="n">
        <v>5721</v>
      </c>
      <c r="D111" s="16" t="n">
        <v>5715</v>
      </c>
      <c r="E111" s="16" t="n">
        <v>4262</v>
      </c>
      <c r="F111" s="38" t="n">
        <v>1172543</v>
      </c>
      <c r="G111" s="38" t="n">
        <v>1516031</v>
      </c>
      <c r="H111" s="38" t="n">
        <v>1401566</v>
      </c>
      <c r="I111" s="38" t="n">
        <v>1479427</v>
      </c>
      <c r="J111" s="19" t="n">
        <f aca="false">(I111-H111)/1000</f>
        <v>77.861</v>
      </c>
      <c r="K111" s="16" t="s">
        <v>285</v>
      </c>
    </row>
    <row r="112" customFormat="false" ht="15" hidden="false" customHeight="false" outlineLevel="0" collapsed="false">
      <c r="A112" s="16" t="s">
        <v>98</v>
      </c>
      <c r="B112" s="16" t="s">
        <v>109</v>
      </c>
      <c r="C112" s="16" t="n">
        <v>2794</v>
      </c>
      <c r="D112" s="16" t="n">
        <v>2789</v>
      </c>
      <c r="E112" s="16" t="n">
        <v>2614</v>
      </c>
      <c r="F112" s="38" t="n">
        <v>1401364</v>
      </c>
      <c r="G112" s="38" t="n">
        <v>1508571</v>
      </c>
      <c r="H112" s="38" t="n">
        <v>1401567</v>
      </c>
      <c r="I112" s="38" t="n">
        <v>1479421</v>
      </c>
      <c r="J112" s="19" t="n">
        <f aca="false">(I112-H112)/1000</f>
        <v>77.854</v>
      </c>
      <c r="K112" s="16" t="s">
        <v>285</v>
      </c>
    </row>
    <row r="113" customFormat="false" ht="15" hidden="false" customHeight="false" outlineLevel="0" collapsed="false">
      <c r="A113" s="16" t="s">
        <v>98</v>
      </c>
      <c r="B113" s="16" t="s">
        <v>106</v>
      </c>
      <c r="C113" s="16" t="n">
        <v>3226</v>
      </c>
      <c r="D113" s="16" t="n">
        <v>3219</v>
      </c>
      <c r="E113" s="16" t="n">
        <v>2855</v>
      </c>
      <c r="F113" s="38" t="n">
        <v>1401341</v>
      </c>
      <c r="G113" s="38" t="n">
        <v>1504039</v>
      </c>
      <c r="H113" s="38" t="n">
        <v>1401586</v>
      </c>
      <c r="I113" s="38" t="n">
        <v>1479430</v>
      </c>
      <c r="J113" s="19" t="n">
        <f aca="false">(I113-H113)/1000</f>
        <v>77.844</v>
      </c>
      <c r="K113" s="16" t="s">
        <v>285</v>
      </c>
    </row>
    <row r="114" customFormat="false" ht="15" hidden="false" customHeight="false" outlineLevel="0" collapsed="false">
      <c r="A114" s="16" t="s">
        <v>98</v>
      </c>
      <c r="B114" s="16" t="s">
        <v>49</v>
      </c>
      <c r="C114" s="16" t="n">
        <v>2600</v>
      </c>
      <c r="D114" s="16" t="n">
        <v>2586</v>
      </c>
      <c r="E114" s="16" t="n">
        <v>2142</v>
      </c>
      <c r="F114" s="38" t="n">
        <v>1199878</v>
      </c>
      <c r="G114" s="38" t="n">
        <v>1499102</v>
      </c>
      <c r="H114" s="38" t="n">
        <v>1401581</v>
      </c>
      <c r="I114" s="38" t="n">
        <v>1479420</v>
      </c>
      <c r="J114" s="19" t="n">
        <f aca="false">(I114-H114)/1000</f>
        <v>77.839</v>
      </c>
      <c r="K114" s="16" t="s">
        <v>285</v>
      </c>
    </row>
    <row r="115" customFormat="false" ht="15" hidden="false" customHeight="false" outlineLevel="0" collapsed="false">
      <c r="A115" s="16" t="s">
        <v>98</v>
      </c>
      <c r="B115" s="16" t="s">
        <v>68</v>
      </c>
      <c r="C115" s="16" t="n">
        <v>3126</v>
      </c>
      <c r="D115" s="16" t="n">
        <v>3125</v>
      </c>
      <c r="E115" s="16" t="n">
        <v>2795</v>
      </c>
      <c r="F115" s="38" t="n">
        <v>1401349</v>
      </c>
      <c r="G115" s="38" t="n">
        <v>1519098</v>
      </c>
      <c r="H115" s="38" t="n">
        <v>1401576</v>
      </c>
      <c r="I115" s="38" t="n">
        <v>1479420</v>
      </c>
      <c r="J115" s="19" t="n">
        <f aca="false">(I115-H115)/1000</f>
        <v>77.844</v>
      </c>
      <c r="K115" s="16" t="s">
        <v>285</v>
      </c>
    </row>
    <row r="116" customFormat="false" ht="15" hidden="false" customHeight="false" outlineLevel="0" collapsed="false">
      <c r="A116" s="16" t="s">
        <v>98</v>
      </c>
      <c r="B116" s="16" t="s">
        <v>103</v>
      </c>
      <c r="C116" s="16" t="n">
        <v>3771</v>
      </c>
      <c r="D116" s="16" t="n">
        <v>3760</v>
      </c>
      <c r="E116" s="16" t="n">
        <v>3514</v>
      </c>
      <c r="F116" s="38" t="n">
        <v>1401367</v>
      </c>
      <c r="G116" s="38" t="n">
        <v>1518405</v>
      </c>
      <c r="H116" s="38" t="n">
        <v>1401584</v>
      </c>
      <c r="I116" s="38" t="n">
        <v>1479420</v>
      </c>
      <c r="J116" s="19" t="n">
        <f aca="false">(I116-H116)/1000</f>
        <v>77.836</v>
      </c>
      <c r="K116" s="16" t="s">
        <v>285</v>
      </c>
    </row>
    <row r="117" customFormat="false" ht="15" hidden="false" customHeight="false" outlineLevel="0" collapsed="false">
      <c r="A117" s="16" t="s">
        <v>98</v>
      </c>
      <c r="B117" s="16" t="s">
        <v>105</v>
      </c>
      <c r="C117" s="16" t="n">
        <v>3338</v>
      </c>
      <c r="D117" s="16" t="n">
        <v>3330</v>
      </c>
      <c r="E117" s="16" t="n">
        <v>2383</v>
      </c>
      <c r="F117" s="38" t="n">
        <v>1186565</v>
      </c>
      <c r="G117" s="38" t="n">
        <v>1519014</v>
      </c>
      <c r="H117" s="38" t="n">
        <v>1401567</v>
      </c>
      <c r="I117" s="38" t="n">
        <v>1479405</v>
      </c>
      <c r="J117" s="19" t="n">
        <f aca="false">(I117-H117)/1000</f>
        <v>77.838</v>
      </c>
      <c r="K117" s="16" t="s">
        <v>285</v>
      </c>
    </row>
    <row r="118" customFormat="false" ht="15" hidden="false" customHeight="false" outlineLevel="0" collapsed="false">
      <c r="A118" s="16" t="s">
        <v>98</v>
      </c>
      <c r="B118" s="16" t="s">
        <v>89</v>
      </c>
      <c r="C118" s="16" t="n">
        <v>3370</v>
      </c>
      <c r="D118" s="16" t="n">
        <v>3368</v>
      </c>
      <c r="E118" s="16" t="n">
        <v>2518</v>
      </c>
      <c r="F118" s="38" t="n">
        <v>1172206</v>
      </c>
      <c r="G118" s="38" t="n">
        <v>1508588</v>
      </c>
      <c r="H118" s="38" t="n">
        <v>1401580</v>
      </c>
      <c r="I118" s="38" t="n">
        <v>1479421</v>
      </c>
      <c r="J118" s="19" t="n">
        <f aca="false">(I118-H118)/1000</f>
        <v>77.841</v>
      </c>
      <c r="K118" s="16" t="s">
        <v>285</v>
      </c>
    </row>
    <row r="119" customFormat="false" ht="15" hidden="false" customHeight="false" outlineLevel="0" collapsed="false">
      <c r="A119" s="16" t="s">
        <v>98</v>
      </c>
      <c r="B119" s="16" t="s">
        <v>112</v>
      </c>
      <c r="C119" s="16" t="n">
        <v>2285</v>
      </c>
      <c r="D119" s="16" t="n">
        <v>2280</v>
      </c>
      <c r="E119" s="16" t="n">
        <v>2111</v>
      </c>
      <c r="F119" s="38" t="n">
        <v>1401340</v>
      </c>
      <c r="G119" s="38" t="n">
        <v>1497674</v>
      </c>
      <c r="H119" s="38" t="n">
        <v>1401615</v>
      </c>
      <c r="I119" s="38" t="n">
        <v>1479425</v>
      </c>
      <c r="J119" s="19" t="n">
        <f aca="false">(I119-H119)/1000</f>
        <v>77.81</v>
      </c>
      <c r="K119" s="16" t="s">
        <v>285</v>
      </c>
    </row>
    <row r="120" customFormat="false" ht="15" hidden="false" customHeight="false" outlineLevel="0" collapsed="false">
      <c r="A120" s="16" t="s">
        <v>98</v>
      </c>
      <c r="B120" s="16" t="s">
        <v>110</v>
      </c>
      <c r="C120" s="16" t="n">
        <v>2721</v>
      </c>
      <c r="D120" s="16" t="n">
        <v>2718</v>
      </c>
      <c r="E120" s="16" t="n">
        <v>2283</v>
      </c>
      <c r="F120" s="38" t="n">
        <v>1401685</v>
      </c>
      <c r="G120" s="38" t="n">
        <v>1516077</v>
      </c>
      <c r="H120" s="38" t="n">
        <v>1401685</v>
      </c>
      <c r="I120" s="38" t="n">
        <v>1479421</v>
      </c>
      <c r="J120" s="19" t="n">
        <f aca="false">(I120-H120)/1000</f>
        <v>77.736</v>
      </c>
      <c r="K120" s="16" t="s">
        <v>285</v>
      </c>
    </row>
    <row r="121" customFormat="false" ht="15" hidden="false" customHeight="false" outlineLevel="0" collapsed="false">
      <c r="A121" s="16" t="s">
        <v>98</v>
      </c>
      <c r="B121" s="16" t="s">
        <v>48</v>
      </c>
      <c r="C121" s="16" t="n">
        <v>3374</v>
      </c>
      <c r="D121" s="16" t="n">
        <v>3372</v>
      </c>
      <c r="E121" s="16" t="n">
        <v>2456</v>
      </c>
      <c r="F121" s="38" t="n">
        <v>1401692</v>
      </c>
      <c r="G121" s="38" t="n">
        <v>1500786</v>
      </c>
      <c r="H121" s="38" t="n">
        <v>1401692</v>
      </c>
      <c r="I121" s="38" t="n">
        <v>1479420</v>
      </c>
      <c r="J121" s="19" t="n">
        <f aca="false">(I121-H121)/1000</f>
        <v>77.728</v>
      </c>
      <c r="K121" s="16" t="s">
        <v>285</v>
      </c>
    </row>
    <row r="122" customFormat="false" ht="15" hidden="false" customHeight="false" outlineLevel="0" collapsed="false">
      <c r="A122" s="16" t="s">
        <v>98</v>
      </c>
      <c r="B122" s="16" t="s">
        <v>111</v>
      </c>
      <c r="C122" s="16" t="n">
        <v>2322</v>
      </c>
      <c r="D122" s="16" t="n">
        <v>2319</v>
      </c>
      <c r="E122" s="16" t="n">
        <v>2127</v>
      </c>
      <c r="F122" s="38" t="n">
        <v>1401685</v>
      </c>
      <c r="G122" s="38" t="n">
        <v>1499125</v>
      </c>
      <c r="H122" s="38" t="n">
        <v>1401685</v>
      </c>
      <c r="I122" s="38" t="n">
        <v>1479407</v>
      </c>
      <c r="J122" s="19" t="n">
        <f aca="false">(I122-H122)/1000</f>
        <v>77.722</v>
      </c>
      <c r="K122" s="16" t="s">
        <v>285</v>
      </c>
    </row>
    <row r="123" customFormat="false" ht="15" hidden="false" customHeight="false" outlineLevel="0" collapsed="false">
      <c r="A123" s="16" t="s">
        <v>98</v>
      </c>
      <c r="B123" s="16" t="s">
        <v>107</v>
      </c>
      <c r="C123" s="16" t="n">
        <v>3084</v>
      </c>
      <c r="D123" s="16" t="n">
        <v>3082</v>
      </c>
      <c r="E123" s="16" t="n">
        <v>2887</v>
      </c>
      <c r="F123" s="38" t="n">
        <v>1401680</v>
      </c>
      <c r="G123" s="38" t="n">
        <v>1506939</v>
      </c>
      <c r="H123" s="38" t="n">
        <v>1401680</v>
      </c>
      <c r="I123" s="38" t="n">
        <v>1479396</v>
      </c>
      <c r="J123" s="19" t="n">
        <f aca="false">(I123-H123)/1000</f>
        <v>77.716</v>
      </c>
      <c r="K123" s="16" t="s">
        <v>285</v>
      </c>
    </row>
    <row r="124" customFormat="false" ht="15" hidden="false" customHeight="false" outlineLevel="0" collapsed="false">
      <c r="A124" s="16" t="s">
        <v>98</v>
      </c>
      <c r="B124" s="16" t="s">
        <v>97</v>
      </c>
      <c r="C124" s="16" t="n">
        <v>1903</v>
      </c>
      <c r="D124" s="16" t="n">
        <v>1891</v>
      </c>
      <c r="E124" s="16" t="n">
        <v>1291</v>
      </c>
      <c r="F124" s="38" t="n">
        <v>1204069</v>
      </c>
      <c r="G124" s="38" t="n">
        <v>1509909</v>
      </c>
      <c r="H124" s="38" t="n">
        <v>1401664</v>
      </c>
      <c r="I124" s="38" t="n">
        <v>1479376</v>
      </c>
      <c r="J124" s="19" t="n">
        <f aca="false">(I124-H124)/1000</f>
        <v>77.712</v>
      </c>
      <c r="K124" s="16" t="s">
        <v>285</v>
      </c>
    </row>
    <row r="125" customFormat="false" ht="15" hidden="false" customHeight="false" outlineLevel="0" collapsed="false">
      <c r="A125" s="16" t="s">
        <v>98</v>
      </c>
      <c r="B125" s="16" t="s">
        <v>36</v>
      </c>
      <c r="C125" s="16" t="n">
        <v>3181</v>
      </c>
      <c r="D125" s="16" t="n">
        <v>3169</v>
      </c>
      <c r="E125" s="16" t="n">
        <v>2397</v>
      </c>
      <c r="F125" s="38" t="n">
        <v>1171681</v>
      </c>
      <c r="G125" s="38" t="n">
        <v>1507861</v>
      </c>
      <c r="H125" s="38" t="n">
        <v>1401680</v>
      </c>
      <c r="I125" s="38" t="n">
        <v>1479390</v>
      </c>
      <c r="J125" s="19" t="n">
        <f aca="false">(I125-H125)/1000</f>
        <v>77.71</v>
      </c>
      <c r="K125" s="16" t="s">
        <v>285</v>
      </c>
    </row>
    <row r="126" customFormat="false" ht="15" hidden="false" customHeight="false" outlineLevel="0" collapsed="false">
      <c r="A126" s="16" t="s">
        <v>98</v>
      </c>
      <c r="B126" s="16" t="s">
        <v>108</v>
      </c>
      <c r="C126" s="16" t="n">
        <v>3040</v>
      </c>
      <c r="D126" s="16" t="n">
        <v>3040</v>
      </c>
      <c r="E126" s="16" t="n">
        <v>2604</v>
      </c>
      <c r="F126" s="38" t="n">
        <v>1401709</v>
      </c>
      <c r="G126" s="38" t="n">
        <v>1516056</v>
      </c>
      <c r="H126" s="38" t="n">
        <v>1401709</v>
      </c>
      <c r="I126" s="38" t="n">
        <v>1479413</v>
      </c>
      <c r="J126" s="19" t="n">
        <f aca="false">(I126-H126)/1000</f>
        <v>77.704</v>
      </c>
      <c r="K126" s="16" t="s">
        <v>285</v>
      </c>
    </row>
    <row r="127" customFormat="false" ht="15" hidden="false" customHeight="false" outlineLevel="0" collapsed="false">
      <c r="A127" s="16" t="s">
        <v>98</v>
      </c>
      <c r="B127" s="16" t="s">
        <v>61</v>
      </c>
      <c r="C127" s="16" t="n">
        <v>3336</v>
      </c>
      <c r="D127" s="16" t="n">
        <v>3322</v>
      </c>
      <c r="E127" s="16" t="n">
        <v>2592</v>
      </c>
      <c r="F127" s="38" t="n">
        <v>1193997</v>
      </c>
      <c r="G127" s="38" t="n">
        <v>1497100</v>
      </c>
      <c r="H127" s="38" t="n">
        <v>1401685</v>
      </c>
      <c r="I127" s="38" t="n">
        <v>1479378</v>
      </c>
      <c r="J127" s="19" t="n">
        <f aca="false">(I127-H127)/1000</f>
        <v>77.693</v>
      </c>
      <c r="K127" s="16" t="s">
        <v>285</v>
      </c>
    </row>
    <row r="128" customFormat="false" ht="15" hidden="false" customHeight="false" outlineLevel="0" collapsed="false">
      <c r="A128" s="16" t="s">
        <v>98</v>
      </c>
      <c r="B128" s="16" t="s">
        <v>73</v>
      </c>
      <c r="C128" s="16" t="n">
        <v>3286</v>
      </c>
      <c r="D128" s="16" t="n">
        <v>3286</v>
      </c>
      <c r="E128" s="16" t="n">
        <v>2945</v>
      </c>
      <c r="F128" s="38" t="n">
        <v>1401721</v>
      </c>
      <c r="G128" s="38" t="n">
        <v>1518582</v>
      </c>
      <c r="H128" s="38" t="n">
        <v>1401721</v>
      </c>
      <c r="I128" s="38" t="n">
        <v>1479410</v>
      </c>
      <c r="J128" s="19" t="n">
        <f aca="false">(I128-H128)/1000</f>
        <v>77.689</v>
      </c>
      <c r="K128" s="16" t="s">
        <v>285</v>
      </c>
    </row>
    <row r="129" customFormat="false" ht="15" hidden="false" customHeight="false" outlineLevel="0" collapsed="false">
      <c r="A129" s="16" t="s">
        <v>98</v>
      </c>
      <c r="B129" s="16" t="s">
        <v>40</v>
      </c>
      <c r="C129" s="16" t="n">
        <v>2894</v>
      </c>
      <c r="D129" s="16" t="n">
        <v>2894</v>
      </c>
      <c r="E129" s="16" t="n">
        <v>2087</v>
      </c>
      <c r="F129" s="38" t="n">
        <v>1173437</v>
      </c>
      <c r="G129" s="38" t="n">
        <v>1508595</v>
      </c>
      <c r="H129" s="38" t="n">
        <v>1401722</v>
      </c>
      <c r="I129" s="38" t="n">
        <v>1479409</v>
      </c>
      <c r="J129" s="19" t="n">
        <f aca="false">(I129-H129)/1000</f>
        <v>77.687</v>
      </c>
      <c r="K129" s="16" t="s">
        <v>285</v>
      </c>
    </row>
    <row r="130" customFormat="false" ht="15" hidden="false" customHeight="false" outlineLevel="0" collapsed="false">
      <c r="A130" s="16" t="s">
        <v>98</v>
      </c>
      <c r="B130" s="16" t="s">
        <v>72</v>
      </c>
      <c r="C130" s="16" t="n">
        <v>3002</v>
      </c>
      <c r="D130" s="16" t="n">
        <v>3002</v>
      </c>
      <c r="E130" s="16" t="n">
        <v>2017</v>
      </c>
      <c r="F130" s="38" t="n">
        <v>1188098</v>
      </c>
      <c r="G130" s="38" t="n">
        <v>1512693</v>
      </c>
      <c r="H130" s="38" t="n">
        <v>1401731</v>
      </c>
      <c r="I130" s="38" t="n">
        <v>1479418</v>
      </c>
      <c r="J130" s="19" t="n">
        <f aca="false">(I130-H130)/1000</f>
        <v>77.687</v>
      </c>
      <c r="K130" s="16" t="s">
        <v>285</v>
      </c>
    </row>
    <row r="131" customFormat="false" ht="15" hidden="false" customHeight="false" outlineLevel="0" collapsed="false">
      <c r="A131" s="16" t="s">
        <v>98</v>
      </c>
      <c r="B131" s="16" t="s">
        <v>52</v>
      </c>
      <c r="C131" s="16" t="n">
        <v>2851</v>
      </c>
      <c r="D131" s="16" t="n">
        <v>2849</v>
      </c>
      <c r="E131" s="16" t="n">
        <v>2301</v>
      </c>
      <c r="F131" s="38" t="n">
        <v>1191670</v>
      </c>
      <c r="G131" s="38" t="n">
        <v>1490793</v>
      </c>
      <c r="H131" s="38" t="n">
        <v>1401769</v>
      </c>
      <c r="I131" s="38" t="n">
        <v>1479411</v>
      </c>
      <c r="J131" s="19" t="n">
        <f aca="false">(I131-H131)/1000</f>
        <v>77.642</v>
      </c>
      <c r="K131" s="16" t="s">
        <v>285</v>
      </c>
    </row>
    <row r="132" customFormat="false" ht="15" hidden="false" customHeight="false" outlineLevel="0" collapsed="false">
      <c r="A132" s="16" t="s">
        <v>98</v>
      </c>
      <c r="B132" s="16" t="s">
        <v>104</v>
      </c>
      <c r="C132" s="16" t="n">
        <v>3554</v>
      </c>
      <c r="D132" s="16" t="n">
        <v>3554</v>
      </c>
      <c r="E132" s="16" t="n">
        <v>2448</v>
      </c>
      <c r="F132" s="38" t="n">
        <v>1170140</v>
      </c>
      <c r="G132" s="38" t="n">
        <v>1508328</v>
      </c>
      <c r="H132" s="38" t="n">
        <v>1401757</v>
      </c>
      <c r="I132" s="38" t="n">
        <v>1479398</v>
      </c>
      <c r="J132" s="19" t="n">
        <f aca="false">(I132-H132)/1000</f>
        <v>77.641</v>
      </c>
      <c r="K132" s="16" t="s">
        <v>285</v>
      </c>
    </row>
    <row r="133" customFormat="false" ht="15" hidden="false" customHeight="false" outlineLevel="0" collapsed="false">
      <c r="A133" s="16" t="s">
        <v>98</v>
      </c>
      <c r="B133" s="16" t="s">
        <v>101</v>
      </c>
      <c r="C133" s="16" t="n">
        <v>50</v>
      </c>
      <c r="D133" s="16" t="n">
        <v>50</v>
      </c>
      <c r="E133" s="16" t="n">
        <v>40</v>
      </c>
      <c r="F133" s="38" t="n">
        <v>1400145</v>
      </c>
      <c r="G133" s="38" t="n">
        <v>1507969</v>
      </c>
      <c r="H133" s="38" t="n">
        <v>1403400</v>
      </c>
      <c r="I133" s="38" t="n">
        <v>1478551</v>
      </c>
      <c r="J133" s="19" t="n">
        <f aca="false">(I133-H133)/1000</f>
        <v>75.151</v>
      </c>
      <c r="K133" s="16" t="s">
        <v>285</v>
      </c>
    </row>
    <row r="134" customFormat="false" ht="15" hidden="false" customHeight="false" outlineLevel="0" collapsed="false">
      <c r="A134" s="16" t="s">
        <v>98</v>
      </c>
      <c r="B134" s="16" t="s">
        <v>113</v>
      </c>
      <c r="C134" s="16" t="n">
        <v>28</v>
      </c>
      <c r="D134" s="16" t="n">
        <v>26</v>
      </c>
      <c r="E134" s="16" t="n">
        <v>22</v>
      </c>
      <c r="F134" s="38" t="n">
        <v>1404828</v>
      </c>
      <c r="G134" s="38" t="n">
        <v>1491709</v>
      </c>
      <c r="H134" s="38" t="n">
        <v>1404828</v>
      </c>
      <c r="I134" s="38" t="n">
        <v>1477364</v>
      </c>
      <c r="J134" s="19" t="n">
        <f aca="false">(I134-H134)/1000</f>
        <v>72.536</v>
      </c>
      <c r="K134" s="16" t="s">
        <v>285</v>
      </c>
    </row>
    <row r="135" customFormat="false" ht="15" hidden="false" customHeight="false" outlineLevel="0" collapsed="false">
      <c r="A135" s="31" t="s">
        <v>98</v>
      </c>
      <c r="B135" s="31" t="s">
        <v>286</v>
      </c>
      <c r="C135" s="31" t="n">
        <v>7</v>
      </c>
      <c r="D135" s="31" t="n">
        <v>7</v>
      </c>
      <c r="E135" s="31" t="n">
        <v>0</v>
      </c>
      <c r="F135" s="39" t="n">
        <v>1380018</v>
      </c>
      <c r="G135" s="39" t="n">
        <v>1393770</v>
      </c>
      <c r="H135" s="39" t="s">
        <v>173</v>
      </c>
      <c r="I135" s="39" t="s">
        <v>173</v>
      </c>
      <c r="J135" s="40" t="n">
        <v>0</v>
      </c>
      <c r="K135" s="31" t="s">
        <v>287</v>
      </c>
    </row>
    <row r="136" customFormat="false" ht="15" hidden="false" customHeight="false" outlineLevel="0" collapsed="false">
      <c r="A136" s="31" t="s">
        <v>98</v>
      </c>
      <c r="B136" s="31" t="s">
        <v>288</v>
      </c>
      <c r="C136" s="31" t="n">
        <v>1</v>
      </c>
      <c r="D136" s="31" t="n">
        <v>1</v>
      </c>
      <c r="E136" s="31" t="n">
        <v>0</v>
      </c>
      <c r="F136" s="39" t="n">
        <v>1393575</v>
      </c>
      <c r="G136" s="39" t="n">
        <v>1393575</v>
      </c>
      <c r="H136" s="39" t="s">
        <v>173</v>
      </c>
      <c r="I136" s="39" t="s">
        <v>173</v>
      </c>
      <c r="J136" s="40" t="n">
        <v>0</v>
      </c>
      <c r="K136" s="31" t="s">
        <v>287</v>
      </c>
    </row>
    <row r="137" customFormat="false" ht="15" hidden="false" customHeight="false" outlineLevel="0" collapsed="false">
      <c r="A137" s="31" t="s">
        <v>98</v>
      </c>
      <c r="B137" s="31" t="s">
        <v>298</v>
      </c>
      <c r="C137" s="31" t="n">
        <v>5</v>
      </c>
      <c r="D137" s="31" t="n">
        <v>0</v>
      </c>
      <c r="E137" s="31" t="n">
        <v>0</v>
      </c>
      <c r="F137" s="39" t="s">
        <v>173</v>
      </c>
      <c r="G137" s="39" t="s">
        <v>173</v>
      </c>
      <c r="H137" s="39" t="s">
        <v>173</v>
      </c>
      <c r="I137" s="39" t="s">
        <v>173</v>
      </c>
      <c r="J137" s="40" t="n">
        <v>0</v>
      </c>
      <c r="K137" s="31" t="s">
        <v>287</v>
      </c>
    </row>
    <row r="138" customFormat="false" ht="15" hidden="false" customHeight="false" outlineLevel="0" collapsed="false">
      <c r="A138" s="31" t="s">
        <v>98</v>
      </c>
      <c r="B138" s="31" t="s">
        <v>41</v>
      </c>
      <c r="C138" s="31" t="n">
        <v>961</v>
      </c>
      <c r="D138" s="31" t="n">
        <v>953</v>
      </c>
      <c r="E138" s="31" t="n">
        <v>0</v>
      </c>
      <c r="F138" s="39" t="n">
        <v>1144413</v>
      </c>
      <c r="G138" s="39" t="n">
        <v>1240712</v>
      </c>
      <c r="H138" s="39" t="s">
        <v>173</v>
      </c>
      <c r="I138" s="39" t="s">
        <v>173</v>
      </c>
      <c r="J138" s="40" t="n">
        <v>0</v>
      </c>
      <c r="K138" s="31" t="s">
        <v>287</v>
      </c>
    </row>
    <row r="139" customFormat="false" ht="15" hidden="false" customHeight="false" outlineLevel="0" collapsed="false">
      <c r="A139" s="31" t="s">
        <v>98</v>
      </c>
      <c r="B139" s="31" t="s">
        <v>299</v>
      </c>
      <c r="C139" s="31" t="n">
        <v>41</v>
      </c>
      <c r="D139" s="31" t="n">
        <v>0</v>
      </c>
      <c r="E139" s="31" t="n">
        <v>0</v>
      </c>
      <c r="F139" s="39" t="s">
        <v>173</v>
      </c>
      <c r="G139" s="39" t="s">
        <v>173</v>
      </c>
      <c r="H139" s="39" t="s">
        <v>173</v>
      </c>
      <c r="I139" s="39" t="s">
        <v>173</v>
      </c>
      <c r="J139" s="40" t="n">
        <v>0</v>
      </c>
      <c r="K139" s="31" t="s">
        <v>287</v>
      </c>
    </row>
    <row r="140" customFormat="false" ht="15" hidden="false" customHeight="false" outlineLevel="0" collapsed="false">
      <c r="A140" s="31" t="s">
        <v>98</v>
      </c>
      <c r="B140" s="31" t="s">
        <v>300</v>
      </c>
      <c r="C140" s="31" t="n">
        <v>7</v>
      </c>
      <c r="D140" s="31" t="n">
        <v>7</v>
      </c>
      <c r="E140" s="31" t="n">
        <v>0</v>
      </c>
      <c r="F140" s="39" t="n">
        <v>1171425</v>
      </c>
      <c r="G140" s="39" t="n">
        <v>1171928</v>
      </c>
      <c r="H140" s="39" t="s">
        <v>173</v>
      </c>
      <c r="I140" s="39" t="s">
        <v>173</v>
      </c>
      <c r="J140" s="40" t="n">
        <v>0</v>
      </c>
      <c r="K140" s="31" t="s">
        <v>287</v>
      </c>
    </row>
    <row r="141" customFormat="false" ht="15" hidden="false" customHeight="false" outlineLevel="0" collapsed="false">
      <c r="A141" s="16" t="s">
        <v>114</v>
      </c>
      <c r="B141" s="16" t="s">
        <v>77</v>
      </c>
      <c r="C141" s="16" t="n">
        <v>2605</v>
      </c>
      <c r="D141" s="16" t="n">
        <v>2593</v>
      </c>
      <c r="E141" s="16" t="n">
        <v>2124</v>
      </c>
      <c r="F141" s="38" t="n">
        <v>1203823</v>
      </c>
      <c r="G141" s="38" t="n">
        <v>1500496</v>
      </c>
      <c r="H141" s="38" t="n">
        <v>1401577</v>
      </c>
      <c r="I141" s="38" t="n">
        <v>1479434</v>
      </c>
      <c r="J141" s="19" t="n">
        <f aca="false">(I141-H141)/1000</f>
        <v>77.857</v>
      </c>
      <c r="K141" s="16" t="s">
        <v>285</v>
      </c>
    </row>
    <row r="142" customFormat="false" ht="15" hidden="false" customHeight="false" outlineLevel="0" collapsed="false">
      <c r="A142" s="16" t="s">
        <v>114</v>
      </c>
      <c r="B142" s="16" t="s">
        <v>86</v>
      </c>
      <c r="C142" s="16" t="n">
        <v>6464</v>
      </c>
      <c r="D142" s="16" t="n">
        <v>6462</v>
      </c>
      <c r="E142" s="16" t="n">
        <v>4531</v>
      </c>
      <c r="F142" s="38" t="n">
        <v>1197461</v>
      </c>
      <c r="G142" s="38" t="n">
        <v>1518933</v>
      </c>
      <c r="H142" s="38" t="n">
        <v>1401564</v>
      </c>
      <c r="I142" s="38" t="n">
        <v>1479423</v>
      </c>
      <c r="J142" s="19" t="n">
        <f aca="false">(I142-H142)/1000</f>
        <v>77.859</v>
      </c>
      <c r="K142" s="16" t="s">
        <v>285</v>
      </c>
    </row>
    <row r="143" customFormat="false" ht="15" hidden="false" customHeight="false" outlineLevel="0" collapsed="false">
      <c r="A143" s="16" t="s">
        <v>114</v>
      </c>
      <c r="B143" s="16" t="s">
        <v>48</v>
      </c>
      <c r="C143" s="16" t="n">
        <v>2988</v>
      </c>
      <c r="D143" s="16" t="n">
        <v>2980</v>
      </c>
      <c r="E143" s="16" t="n">
        <v>2598</v>
      </c>
      <c r="F143" s="38" t="n">
        <v>1401367</v>
      </c>
      <c r="G143" s="38" t="n">
        <v>1500706</v>
      </c>
      <c r="H143" s="38" t="n">
        <v>1401561</v>
      </c>
      <c r="I143" s="38" t="n">
        <v>1479412</v>
      </c>
      <c r="J143" s="19" t="n">
        <f aca="false">(I143-H143)/1000</f>
        <v>77.851</v>
      </c>
      <c r="K143" s="16" t="s">
        <v>285</v>
      </c>
    </row>
    <row r="144" customFormat="false" ht="15" hidden="false" customHeight="false" outlineLevel="0" collapsed="false">
      <c r="A144" s="16" t="s">
        <v>114</v>
      </c>
      <c r="B144" s="16" t="s">
        <v>83</v>
      </c>
      <c r="C144" s="16" t="n">
        <v>1554</v>
      </c>
      <c r="D144" s="16" t="n">
        <v>1554</v>
      </c>
      <c r="E144" s="16" t="n">
        <v>1295</v>
      </c>
      <c r="F144" s="38" t="n">
        <v>1401368</v>
      </c>
      <c r="G144" s="38" t="n">
        <v>1508564</v>
      </c>
      <c r="H144" s="38" t="n">
        <v>1401567</v>
      </c>
      <c r="I144" s="38" t="n">
        <v>1479409</v>
      </c>
      <c r="J144" s="19" t="n">
        <f aca="false">(I144-H144)/1000</f>
        <v>77.842</v>
      </c>
      <c r="K144" s="16" t="s">
        <v>285</v>
      </c>
    </row>
    <row r="145" customFormat="false" ht="15" hidden="false" customHeight="false" outlineLevel="0" collapsed="false">
      <c r="A145" s="16" t="s">
        <v>114</v>
      </c>
      <c r="B145" s="16" t="s">
        <v>41</v>
      </c>
      <c r="C145" s="16" t="n">
        <v>8773</v>
      </c>
      <c r="D145" s="16" t="n">
        <v>8759</v>
      </c>
      <c r="E145" s="16" t="n">
        <v>5605</v>
      </c>
      <c r="F145" s="38" t="n">
        <v>1170758</v>
      </c>
      <c r="G145" s="38" t="n">
        <v>1516392</v>
      </c>
      <c r="H145" s="38" t="n">
        <v>1401581</v>
      </c>
      <c r="I145" s="38" t="n">
        <v>1479420</v>
      </c>
      <c r="J145" s="19" t="n">
        <f aca="false">(I145-H145)/1000</f>
        <v>77.839</v>
      </c>
      <c r="K145" s="16" t="s">
        <v>285</v>
      </c>
    </row>
    <row r="146" customFormat="false" ht="15" hidden="false" customHeight="false" outlineLevel="0" collapsed="false">
      <c r="A146" s="16" t="s">
        <v>114</v>
      </c>
      <c r="B146" s="16" t="s">
        <v>49</v>
      </c>
      <c r="C146" s="16" t="n">
        <v>5826</v>
      </c>
      <c r="D146" s="16" t="n">
        <v>5797</v>
      </c>
      <c r="E146" s="16" t="n">
        <v>4733</v>
      </c>
      <c r="F146" s="38" t="n">
        <v>1188687</v>
      </c>
      <c r="G146" s="38" t="n">
        <v>1499057</v>
      </c>
      <c r="H146" s="38" t="n">
        <v>1401557</v>
      </c>
      <c r="I146" s="38" t="n">
        <v>1479384</v>
      </c>
      <c r="J146" s="19" t="n">
        <f aca="false">(I146-H146)/1000</f>
        <v>77.827</v>
      </c>
      <c r="K146" s="16" t="s">
        <v>285</v>
      </c>
    </row>
    <row r="147" customFormat="false" ht="15" hidden="false" customHeight="false" outlineLevel="0" collapsed="false">
      <c r="A147" s="16" t="s">
        <v>114</v>
      </c>
      <c r="B147" s="16" t="s">
        <v>120</v>
      </c>
      <c r="C147" s="16" t="n">
        <v>2438</v>
      </c>
      <c r="D147" s="16" t="n">
        <v>2433</v>
      </c>
      <c r="E147" s="16" t="n">
        <v>2225</v>
      </c>
      <c r="F147" s="38" t="n">
        <v>1401322</v>
      </c>
      <c r="G147" s="38" t="n">
        <v>1507954</v>
      </c>
      <c r="H147" s="38" t="n">
        <v>1401587</v>
      </c>
      <c r="I147" s="38" t="n">
        <v>1479421</v>
      </c>
      <c r="J147" s="19" t="n">
        <f aca="false">(I147-H147)/1000</f>
        <v>77.834</v>
      </c>
      <c r="K147" s="16" t="s">
        <v>285</v>
      </c>
    </row>
    <row r="148" customFormat="false" ht="15" hidden="false" customHeight="false" outlineLevel="0" collapsed="false">
      <c r="A148" s="16" t="s">
        <v>114</v>
      </c>
      <c r="B148" s="16" t="s">
        <v>115</v>
      </c>
      <c r="C148" s="16" t="n">
        <v>6437</v>
      </c>
      <c r="D148" s="16" t="n">
        <v>6431</v>
      </c>
      <c r="E148" s="16" t="n">
        <v>4826</v>
      </c>
      <c r="F148" s="38" t="n">
        <v>1170459</v>
      </c>
      <c r="G148" s="38" t="n">
        <v>1508514</v>
      </c>
      <c r="H148" s="38" t="n">
        <v>1401574</v>
      </c>
      <c r="I148" s="38" t="n">
        <v>1479408</v>
      </c>
      <c r="J148" s="19" t="n">
        <f aca="false">(I148-H148)/1000</f>
        <v>77.834</v>
      </c>
      <c r="K148" s="16" t="s">
        <v>285</v>
      </c>
    </row>
    <row r="149" customFormat="false" ht="15" hidden="false" customHeight="false" outlineLevel="0" collapsed="false">
      <c r="A149" s="16" t="s">
        <v>114</v>
      </c>
      <c r="B149" s="16" t="s">
        <v>117</v>
      </c>
      <c r="C149" s="16" t="n">
        <v>3137</v>
      </c>
      <c r="D149" s="16" t="n">
        <v>3131</v>
      </c>
      <c r="E149" s="16" t="n">
        <v>2928</v>
      </c>
      <c r="F149" s="38" t="n">
        <v>1401369</v>
      </c>
      <c r="G149" s="38" t="n">
        <v>1508568</v>
      </c>
      <c r="H149" s="38" t="n">
        <v>1401578</v>
      </c>
      <c r="I149" s="38" t="n">
        <v>1479395</v>
      </c>
      <c r="J149" s="19" t="n">
        <f aca="false">(I149-H149)/1000</f>
        <v>77.817</v>
      </c>
      <c r="K149" s="16" t="s">
        <v>285</v>
      </c>
    </row>
    <row r="150" customFormat="false" ht="15" hidden="false" customHeight="false" outlineLevel="0" collapsed="false">
      <c r="A150" s="16" t="s">
        <v>114</v>
      </c>
      <c r="B150" s="16" t="s">
        <v>118</v>
      </c>
      <c r="C150" s="16" t="n">
        <v>2912</v>
      </c>
      <c r="D150" s="16" t="n">
        <v>2910</v>
      </c>
      <c r="E150" s="16" t="n">
        <v>2513</v>
      </c>
      <c r="F150" s="38" t="n">
        <v>1401690</v>
      </c>
      <c r="G150" s="38" t="n">
        <v>1508592</v>
      </c>
      <c r="H150" s="38" t="n">
        <v>1401690</v>
      </c>
      <c r="I150" s="38" t="n">
        <v>1479430</v>
      </c>
      <c r="J150" s="19" t="n">
        <f aca="false">(I150-H150)/1000</f>
        <v>77.74</v>
      </c>
      <c r="K150" s="16" t="s">
        <v>285</v>
      </c>
    </row>
    <row r="151" customFormat="false" ht="15" hidden="false" customHeight="false" outlineLevel="0" collapsed="false">
      <c r="A151" s="16" t="s">
        <v>114</v>
      </c>
      <c r="B151" s="16" t="s">
        <v>116</v>
      </c>
      <c r="C151" s="16" t="n">
        <v>3950</v>
      </c>
      <c r="D151" s="16" t="n">
        <v>3948</v>
      </c>
      <c r="E151" s="16" t="n">
        <v>3372</v>
      </c>
      <c r="F151" s="38" t="n">
        <v>1401680</v>
      </c>
      <c r="G151" s="38" t="n">
        <v>1499118</v>
      </c>
      <c r="H151" s="38" t="n">
        <v>1401680</v>
      </c>
      <c r="I151" s="38" t="n">
        <v>1479424</v>
      </c>
      <c r="J151" s="19" t="n">
        <f aca="false">(I151-H151)/1000</f>
        <v>77.744</v>
      </c>
      <c r="K151" s="16" t="s">
        <v>285</v>
      </c>
    </row>
    <row r="152" customFormat="false" ht="15" hidden="false" customHeight="false" outlineLevel="0" collapsed="false">
      <c r="A152" s="16" t="s">
        <v>114</v>
      </c>
      <c r="B152" s="16" t="s">
        <v>119</v>
      </c>
      <c r="C152" s="16" t="n">
        <v>2481</v>
      </c>
      <c r="D152" s="16" t="n">
        <v>2476</v>
      </c>
      <c r="E152" s="16" t="n">
        <v>2274</v>
      </c>
      <c r="F152" s="38" t="n">
        <v>1401680</v>
      </c>
      <c r="G152" s="38" t="n">
        <v>1506023</v>
      </c>
      <c r="H152" s="38" t="n">
        <v>1401680</v>
      </c>
      <c r="I152" s="38" t="n">
        <v>1479409</v>
      </c>
      <c r="J152" s="19" t="n">
        <f aca="false">(I152-H152)/1000</f>
        <v>77.729</v>
      </c>
      <c r="K152" s="16" t="s">
        <v>285</v>
      </c>
    </row>
    <row r="153" customFormat="false" ht="15" hidden="false" customHeight="false" outlineLevel="0" collapsed="false">
      <c r="A153" s="16" t="s">
        <v>114</v>
      </c>
      <c r="B153" s="16" t="s">
        <v>60</v>
      </c>
      <c r="C153" s="16" t="n">
        <v>2336</v>
      </c>
      <c r="D153" s="16" t="n">
        <v>2333</v>
      </c>
      <c r="E153" s="16" t="n">
        <v>2153</v>
      </c>
      <c r="F153" s="38" t="n">
        <v>1401710</v>
      </c>
      <c r="G153" s="38" t="n">
        <v>1499052</v>
      </c>
      <c r="H153" s="38" t="n">
        <v>1401710</v>
      </c>
      <c r="I153" s="38" t="n">
        <v>1479415</v>
      </c>
      <c r="J153" s="19" t="n">
        <f aca="false">(I153-H153)/1000</f>
        <v>77.705</v>
      </c>
      <c r="K153" s="16" t="s">
        <v>285</v>
      </c>
    </row>
    <row r="154" customFormat="false" ht="15" hidden="false" customHeight="false" outlineLevel="0" collapsed="false">
      <c r="A154" s="16" t="s">
        <v>114</v>
      </c>
      <c r="B154" s="16" t="s">
        <v>55</v>
      </c>
      <c r="C154" s="16" t="n">
        <v>2824</v>
      </c>
      <c r="D154" s="16" t="n">
        <v>2806</v>
      </c>
      <c r="E154" s="16" t="n">
        <v>1990</v>
      </c>
      <c r="F154" s="38" t="n">
        <v>1168210</v>
      </c>
      <c r="G154" s="38" t="n">
        <v>1500403</v>
      </c>
      <c r="H154" s="38" t="n">
        <v>1402515</v>
      </c>
      <c r="I154" s="38" t="n">
        <v>1479431</v>
      </c>
      <c r="J154" s="19" t="n">
        <f aca="false">(I154-H154)/1000</f>
        <v>76.916</v>
      </c>
      <c r="K154" s="16" t="s">
        <v>285</v>
      </c>
    </row>
    <row r="155" customFormat="false" ht="15" hidden="false" customHeight="false" outlineLevel="0" collapsed="false">
      <c r="A155" s="16" t="s">
        <v>114</v>
      </c>
      <c r="B155" s="16" t="s">
        <v>121</v>
      </c>
      <c r="C155" s="16" t="n">
        <v>668</v>
      </c>
      <c r="D155" s="16" t="n">
        <v>661</v>
      </c>
      <c r="E155" s="16" t="n">
        <v>21</v>
      </c>
      <c r="F155" s="38" t="n">
        <v>1186570</v>
      </c>
      <c r="G155" s="38" t="n">
        <v>1496569</v>
      </c>
      <c r="H155" s="38" t="n">
        <v>1403790</v>
      </c>
      <c r="I155" s="38" t="n">
        <v>1478997</v>
      </c>
      <c r="J155" s="19" t="n">
        <f aca="false">(I155-H155)/1000</f>
        <v>75.207</v>
      </c>
      <c r="K155" s="16" t="s">
        <v>285</v>
      </c>
    </row>
    <row r="156" customFormat="false" ht="15" hidden="false" customHeight="false" outlineLevel="0" collapsed="false">
      <c r="A156" s="16" t="s">
        <v>114</v>
      </c>
      <c r="B156" s="16" t="s">
        <v>84</v>
      </c>
      <c r="C156" s="16" t="n">
        <v>2970</v>
      </c>
      <c r="D156" s="16" t="n">
        <v>2339</v>
      </c>
      <c r="E156" s="16" t="n">
        <v>2339</v>
      </c>
      <c r="F156" s="38" t="n">
        <v>1447491</v>
      </c>
      <c r="G156" s="38" t="n">
        <v>1452560</v>
      </c>
      <c r="H156" s="38" t="n">
        <v>1447491</v>
      </c>
      <c r="I156" s="38" t="n">
        <v>1452560</v>
      </c>
      <c r="J156" s="19" t="n">
        <f aca="false">(I156-H156)/1000</f>
        <v>5.069</v>
      </c>
      <c r="K156" s="16" t="s">
        <v>285</v>
      </c>
    </row>
    <row r="157" customFormat="false" ht="15" hidden="false" customHeight="false" outlineLevel="0" collapsed="false">
      <c r="A157" s="31" t="s">
        <v>114</v>
      </c>
      <c r="B157" s="31" t="s">
        <v>301</v>
      </c>
      <c r="C157" s="31" t="n">
        <v>3274</v>
      </c>
      <c r="D157" s="31" t="n">
        <v>2762</v>
      </c>
      <c r="E157" s="31" t="n">
        <v>0</v>
      </c>
      <c r="F157" s="39" t="n">
        <v>1480632</v>
      </c>
      <c r="G157" s="39" t="n">
        <v>1516250</v>
      </c>
      <c r="H157" s="39" t="s">
        <v>173</v>
      </c>
      <c r="I157" s="39" t="s">
        <v>173</v>
      </c>
      <c r="J157" s="40" t="n">
        <v>0</v>
      </c>
      <c r="K157" s="31" t="s">
        <v>287</v>
      </c>
    </row>
    <row r="158" customFormat="false" ht="15" hidden="false" customHeight="false" outlineLevel="0" collapsed="false">
      <c r="A158" s="31" t="s">
        <v>114</v>
      </c>
      <c r="B158" s="31" t="s">
        <v>302</v>
      </c>
      <c r="C158" s="31" t="n">
        <v>5822</v>
      </c>
      <c r="D158" s="31" t="n">
        <v>2432</v>
      </c>
      <c r="E158" s="31" t="n">
        <v>0</v>
      </c>
      <c r="F158" s="39" t="n">
        <v>1480635</v>
      </c>
      <c r="G158" s="39" t="n">
        <v>1515943</v>
      </c>
      <c r="H158" s="39" t="s">
        <v>173</v>
      </c>
      <c r="I158" s="39" t="s">
        <v>173</v>
      </c>
      <c r="J158" s="40" t="n">
        <v>0</v>
      </c>
      <c r="K158" s="31" t="s">
        <v>287</v>
      </c>
    </row>
    <row r="159" customFormat="false" ht="15" hidden="false" customHeight="false" outlineLevel="0" collapsed="false">
      <c r="A159" s="31" t="s">
        <v>114</v>
      </c>
      <c r="B159" s="31" t="s">
        <v>61</v>
      </c>
      <c r="C159" s="31" t="n">
        <v>37</v>
      </c>
      <c r="D159" s="31" t="n">
        <v>37</v>
      </c>
      <c r="E159" s="31" t="n">
        <v>0</v>
      </c>
      <c r="F159" s="39" t="n">
        <v>1170883</v>
      </c>
      <c r="G159" s="39" t="n">
        <v>1213679</v>
      </c>
      <c r="H159" s="39" t="s">
        <v>173</v>
      </c>
      <c r="I159" s="39" t="s">
        <v>173</v>
      </c>
      <c r="J159" s="40" t="n">
        <v>0</v>
      </c>
      <c r="K159" s="31" t="s">
        <v>287</v>
      </c>
    </row>
    <row r="160" customFormat="false" ht="15" hidden="false" customHeight="false" outlineLevel="0" collapsed="false">
      <c r="A160" s="31" t="s">
        <v>114</v>
      </c>
      <c r="B160" s="31" t="s">
        <v>303</v>
      </c>
      <c r="C160" s="31" t="n">
        <v>2</v>
      </c>
      <c r="D160" s="31" t="n">
        <v>2</v>
      </c>
      <c r="E160" s="31" t="n">
        <v>0</v>
      </c>
      <c r="F160" s="39" t="n">
        <v>386</v>
      </c>
      <c r="G160" s="39" t="n">
        <v>406</v>
      </c>
      <c r="H160" s="39" t="s">
        <v>173</v>
      </c>
      <c r="I160" s="39" t="s">
        <v>173</v>
      </c>
      <c r="J160" s="40" t="n">
        <v>0</v>
      </c>
      <c r="K160" s="31" t="s">
        <v>287</v>
      </c>
    </row>
    <row r="161" customFormat="false" ht="15" hidden="false" customHeight="false" outlineLevel="0" collapsed="false">
      <c r="A161" s="31" t="s">
        <v>114</v>
      </c>
      <c r="B161" s="31" t="s">
        <v>133</v>
      </c>
      <c r="C161" s="31" t="n">
        <v>56</v>
      </c>
      <c r="D161" s="31" t="n">
        <v>56</v>
      </c>
      <c r="E161" s="31" t="n">
        <v>0</v>
      </c>
      <c r="F161" s="39" t="n">
        <v>1169777</v>
      </c>
      <c r="G161" s="39" t="n">
        <v>1210637</v>
      </c>
      <c r="H161" s="39" t="s">
        <v>173</v>
      </c>
      <c r="I161" s="39" t="s">
        <v>173</v>
      </c>
      <c r="J161" s="40" t="n">
        <v>0</v>
      </c>
      <c r="K161" s="31" t="s">
        <v>287</v>
      </c>
    </row>
    <row r="162" customFormat="false" ht="15" hidden="false" customHeight="false" outlineLevel="0" collapsed="false">
      <c r="A162" s="31" t="s">
        <v>114</v>
      </c>
      <c r="B162" s="31" t="s">
        <v>66</v>
      </c>
      <c r="C162" s="31" t="n">
        <v>1074</v>
      </c>
      <c r="D162" s="31" t="n">
        <v>1073</v>
      </c>
      <c r="E162" s="31" t="n">
        <v>0</v>
      </c>
      <c r="F162" s="39" t="n">
        <v>1139103</v>
      </c>
      <c r="G162" s="39" t="n">
        <v>1240667</v>
      </c>
      <c r="H162" s="39" t="s">
        <v>173</v>
      </c>
      <c r="I162" s="39" t="s">
        <v>173</v>
      </c>
      <c r="J162" s="40" t="n">
        <v>0</v>
      </c>
      <c r="K162" s="31" t="s">
        <v>287</v>
      </c>
    </row>
    <row r="163" customFormat="false" ht="15" hidden="false" customHeight="false" outlineLevel="0" collapsed="false">
      <c r="A163" s="31" t="s">
        <v>114</v>
      </c>
      <c r="B163" s="31" t="s">
        <v>104</v>
      </c>
      <c r="C163" s="31" t="n">
        <v>666</v>
      </c>
      <c r="D163" s="31" t="n">
        <v>666</v>
      </c>
      <c r="E163" s="31" t="n">
        <v>0</v>
      </c>
      <c r="F163" s="39" t="n">
        <v>1170500</v>
      </c>
      <c r="G163" s="39" t="n">
        <v>1242930</v>
      </c>
      <c r="H163" s="39" t="s">
        <v>173</v>
      </c>
      <c r="I163" s="39" t="s">
        <v>173</v>
      </c>
      <c r="J163" s="40" t="n">
        <v>0</v>
      </c>
      <c r="K163" s="31" t="s">
        <v>287</v>
      </c>
    </row>
    <row r="164" customFormat="false" ht="15" hidden="false" customHeight="false" outlineLevel="0" collapsed="false">
      <c r="A164" s="31" t="s">
        <v>114</v>
      </c>
      <c r="B164" s="31" t="s">
        <v>72</v>
      </c>
      <c r="C164" s="31" t="n">
        <v>19</v>
      </c>
      <c r="D164" s="31" t="n">
        <v>19</v>
      </c>
      <c r="E164" s="31" t="n">
        <v>0</v>
      </c>
      <c r="F164" s="39" t="n">
        <v>1524188</v>
      </c>
      <c r="G164" s="39" t="n">
        <v>1534123</v>
      </c>
      <c r="H164" s="39" t="s">
        <v>173</v>
      </c>
      <c r="I164" s="39" t="s">
        <v>173</v>
      </c>
      <c r="J164" s="40" t="n">
        <v>0</v>
      </c>
      <c r="K164" s="31" t="s">
        <v>287</v>
      </c>
    </row>
    <row r="165" customFormat="false" ht="15" hidden="false" customHeight="false" outlineLevel="0" collapsed="false">
      <c r="A165" s="31" t="s">
        <v>114</v>
      </c>
      <c r="B165" s="31" t="s">
        <v>300</v>
      </c>
      <c r="C165" s="31" t="n">
        <v>2</v>
      </c>
      <c r="D165" s="31" t="n">
        <v>0</v>
      </c>
      <c r="E165" s="31" t="n">
        <v>0</v>
      </c>
      <c r="F165" s="39" t="s">
        <v>173</v>
      </c>
      <c r="G165" s="39" t="s">
        <v>173</v>
      </c>
      <c r="H165" s="39" t="s">
        <v>173</v>
      </c>
      <c r="I165" s="39" t="s">
        <v>173</v>
      </c>
      <c r="J165" s="40" t="n">
        <v>0</v>
      </c>
      <c r="K165" s="31" t="s">
        <v>287</v>
      </c>
    </row>
    <row r="166" customFormat="false" ht="15" hidden="false" customHeight="false" outlineLevel="0" collapsed="false">
      <c r="A166" s="16" t="s">
        <v>122</v>
      </c>
      <c r="B166" s="16" t="s">
        <v>123</v>
      </c>
      <c r="C166" s="16" t="n">
        <v>4623</v>
      </c>
      <c r="D166" s="16" t="n">
        <v>4622</v>
      </c>
      <c r="E166" s="16" t="n">
        <v>4153</v>
      </c>
      <c r="F166" s="38" t="n">
        <v>1401562</v>
      </c>
      <c r="G166" s="38" t="n">
        <v>1508485</v>
      </c>
      <c r="H166" s="38" t="n">
        <v>1401562</v>
      </c>
      <c r="I166" s="38" t="n">
        <v>1479425</v>
      </c>
      <c r="J166" s="19" t="n">
        <f aca="false">(I166-H166)/1000</f>
        <v>77.863</v>
      </c>
      <c r="K166" s="16" t="s">
        <v>285</v>
      </c>
    </row>
    <row r="167" customFormat="false" ht="15" hidden="false" customHeight="false" outlineLevel="0" collapsed="false">
      <c r="A167" s="16" t="s">
        <v>122</v>
      </c>
      <c r="B167" s="16" t="s">
        <v>88</v>
      </c>
      <c r="C167" s="16" t="n">
        <v>4770</v>
      </c>
      <c r="D167" s="16" t="n">
        <v>4769</v>
      </c>
      <c r="E167" s="16" t="n">
        <v>4109</v>
      </c>
      <c r="F167" s="38" t="n">
        <v>1401340</v>
      </c>
      <c r="G167" s="38" t="n">
        <v>1512426</v>
      </c>
      <c r="H167" s="38" t="n">
        <v>1401569</v>
      </c>
      <c r="I167" s="38" t="n">
        <v>1479433</v>
      </c>
      <c r="J167" s="19" t="n">
        <f aca="false">(I167-H167)/1000</f>
        <v>77.864</v>
      </c>
      <c r="K167" s="16" t="s">
        <v>285</v>
      </c>
    </row>
    <row r="168" customFormat="false" ht="15" hidden="false" customHeight="false" outlineLevel="0" collapsed="false">
      <c r="A168" s="16" t="s">
        <v>122</v>
      </c>
      <c r="B168" s="16" t="s">
        <v>37</v>
      </c>
      <c r="C168" s="16" t="n">
        <v>6298</v>
      </c>
      <c r="D168" s="16" t="n">
        <v>6273</v>
      </c>
      <c r="E168" s="16" t="n">
        <v>5157</v>
      </c>
      <c r="F168" s="38" t="n">
        <v>1169779</v>
      </c>
      <c r="G168" s="38" t="n">
        <v>1508134</v>
      </c>
      <c r="H168" s="38" t="n">
        <v>1401555</v>
      </c>
      <c r="I168" s="38" t="n">
        <v>1479417</v>
      </c>
      <c r="J168" s="19" t="n">
        <f aca="false">(I168-H168)/1000</f>
        <v>77.862</v>
      </c>
      <c r="K168" s="16" t="s">
        <v>285</v>
      </c>
    </row>
    <row r="169" customFormat="false" ht="15" hidden="false" customHeight="false" outlineLevel="0" collapsed="false">
      <c r="A169" s="16" t="s">
        <v>122</v>
      </c>
      <c r="B169" s="16" t="s">
        <v>129</v>
      </c>
      <c r="C169" s="16" t="n">
        <v>2687</v>
      </c>
      <c r="D169" s="16" t="n">
        <v>2686</v>
      </c>
      <c r="E169" s="16" t="n">
        <v>2425</v>
      </c>
      <c r="F169" s="38" t="n">
        <v>1401341</v>
      </c>
      <c r="G169" s="38" t="n">
        <v>1516121</v>
      </c>
      <c r="H169" s="38" t="n">
        <v>1401569</v>
      </c>
      <c r="I169" s="38" t="n">
        <v>1479426</v>
      </c>
      <c r="J169" s="19" t="n">
        <f aca="false">(I169-H169)/1000</f>
        <v>77.857</v>
      </c>
      <c r="K169" s="16" t="s">
        <v>285</v>
      </c>
    </row>
    <row r="170" customFormat="false" ht="15" hidden="false" customHeight="false" outlineLevel="0" collapsed="false">
      <c r="A170" s="16" t="s">
        <v>122</v>
      </c>
      <c r="B170" s="16" t="s">
        <v>66</v>
      </c>
      <c r="C170" s="16" t="n">
        <v>9943</v>
      </c>
      <c r="D170" s="16" t="n">
        <v>9928</v>
      </c>
      <c r="E170" s="16" t="n">
        <v>6921</v>
      </c>
      <c r="F170" s="38" t="n">
        <v>1170725</v>
      </c>
      <c r="G170" s="38" t="n">
        <v>1512957</v>
      </c>
      <c r="H170" s="38" t="n">
        <v>1401565</v>
      </c>
      <c r="I170" s="38" t="n">
        <v>1479424</v>
      </c>
      <c r="J170" s="19" t="n">
        <f aca="false">(I170-H170)/1000</f>
        <v>77.859</v>
      </c>
      <c r="K170" s="16" t="s">
        <v>285</v>
      </c>
    </row>
    <row r="171" customFormat="false" ht="15" hidden="false" customHeight="false" outlineLevel="0" collapsed="false">
      <c r="A171" s="16" t="s">
        <v>122</v>
      </c>
      <c r="B171" s="16" t="s">
        <v>72</v>
      </c>
      <c r="C171" s="16" t="n">
        <v>3954</v>
      </c>
      <c r="D171" s="16" t="n">
        <v>3942</v>
      </c>
      <c r="E171" s="16" t="n">
        <v>2222</v>
      </c>
      <c r="F171" s="38" t="n">
        <v>1118177</v>
      </c>
      <c r="G171" s="38" t="n">
        <v>1524004</v>
      </c>
      <c r="H171" s="38" t="n">
        <v>1401565</v>
      </c>
      <c r="I171" s="38" t="n">
        <v>1479420</v>
      </c>
      <c r="J171" s="19" t="n">
        <f aca="false">(I171-H171)/1000</f>
        <v>77.855</v>
      </c>
      <c r="K171" s="16" t="s">
        <v>285</v>
      </c>
    </row>
    <row r="172" customFormat="false" ht="15" hidden="false" customHeight="false" outlineLevel="0" collapsed="false">
      <c r="A172" s="16" t="s">
        <v>122</v>
      </c>
      <c r="B172" s="16" t="s">
        <v>49</v>
      </c>
      <c r="C172" s="16" t="n">
        <v>6878</v>
      </c>
      <c r="D172" s="16" t="n">
        <v>6856</v>
      </c>
      <c r="E172" s="16" t="n">
        <v>5099</v>
      </c>
      <c r="F172" s="38" t="n">
        <v>1084338</v>
      </c>
      <c r="G172" s="38" t="n">
        <v>1508591</v>
      </c>
      <c r="H172" s="38" t="n">
        <v>1401565</v>
      </c>
      <c r="I172" s="38" t="n">
        <v>1479419</v>
      </c>
      <c r="J172" s="19" t="n">
        <f aca="false">(I172-H172)/1000</f>
        <v>77.854</v>
      </c>
      <c r="K172" s="16" t="s">
        <v>285</v>
      </c>
    </row>
    <row r="173" customFormat="false" ht="15" hidden="false" customHeight="false" outlineLevel="0" collapsed="false">
      <c r="A173" s="16" t="s">
        <v>122</v>
      </c>
      <c r="B173" s="16" t="s">
        <v>130</v>
      </c>
      <c r="C173" s="16" t="n">
        <v>2477</v>
      </c>
      <c r="D173" s="16" t="n">
        <v>2472</v>
      </c>
      <c r="E173" s="16" t="n">
        <v>2307</v>
      </c>
      <c r="F173" s="38" t="n">
        <v>1401407</v>
      </c>
      <c r="G173" s="38" t="n">
        <v>1499031</v>
      </c>
      <c r="H173" s="38" t="n">
        <v>1401586</v>
      </c>
      <c r="I173" s="38" t="n">
        <v>1479433</v>
      </c>
      <c r="J173" s="19" t="n">
        <f aca="false">(I173-H173)/1000</f>
        <v>77.847</v>
      </c>
      <c r="K173" s="16" t="s">
        <v>285</v>
      </c>
    </row>
    <row r="174" customFormat="false" ht="15" hidden="false" customHeight="false" outlineLevel="0" collapsed="false">
      <c r="A174" s="16" t="s">
        <v>122</v>
      </c>
      <c r="B174" s="16" t="s">
        <v>52</v>
      </c>
      <c r="C174" s="16" t="n">
        <v>4813</v>
      </c>
      <c r="D174" s="16" t="n">
        <v>4809</v>
      </c>
      <c r="E174" s="16" t="n">
        <v>4280</v>
      </c>
      <c r="F174" s="38" t="n">
        <v>1203943</v>
      </c>
      <c r="G174" s="38" t="n">
        <v>1500732</v>
      </c>
      <c r="H174" s="38" t="n">
        <v>1401575</v>
      </c>
      <c r="I174" s="38" t="n">
        <v>1479417</v>
      </c>
      <c r="J174" s="19" t="n">
        <f aca="false">(I174-H174)/1000</f>
        <v>77.842</v>
      </c>
      <c r="K174" s="16" t="s">
        <v>285</v>
      </c>
    </row>
    <row r="175" customFormat="false" ht="15" hidden="false" customHeight="false" outlineLevel="0" collapsed="false">
      <c r="A175" s="16" t="s">
        <v>122</v>
      </c>
      <c r="B175" s="16" t="s">
        <v>125</v>
      </c>
      <c r="C175" s="16" t="n">
        <v>5382</v>
      </c>
      <c r="D175" s="16" t="n">
        <v>5363</v>
      </c>
      <c r="E175" s="16" t="n">
        <v>3681</v>
      </c>
      <c r="F175" s="38" t="n">
        <v>1106153</v>
      </c>
      <c r="G175" s="38" t="n">
        <v>1524189</v>
      </c>
      <c r="H175" s="38" t="n">
        <v>1401568</v>
      </c>
      <c r="I175" s="38" t="n">
        <v>1479400</v>
      </c>
      <c r="J175" s="19" t="n">
        <f aca="false">(I175-H175)/1000</f>
        <v>77.832</v>
      </c>
      <c r="K175" s="16" t="s">
        <v>285</v>
      </c>
    </row>
    <row r="176" customFormat="false" ht="15" hidden="false" customHeight="false" outlineLevel="0" collapsed="false">
      <c r="A176" s="16" t="s">
        <v>122</v>
      </c>
      <c r="B176" s="16" t="s">
        <v>128</v>
      </c>
      <c r="C176" s="16" t="n">
        <v>2946</v>
      </c>
      <c r="D176" s="16" t="n">
        <v>2945</v>
      </c>
      <c r="E176" s="16" t="n">
        <v>2264</v>
      </c>
      <c r="F176" s="38" t="n">
        <v>1180366</v>
      </c>
      <c r="G176" s="38" t="n">
        <v>1512550</v>
      </c>
      <c r="H176" s="38" t="n">
        <v>1401570</v>
      </c>
      <c r="I176" s="38" t="n">
        <v>1479399</v>
      </c>
      <c r="J176" s="19" t="n">
        <f aca="false">(I176-H176)/1000</f>
        <v>77.829</v>
      </c>
      <c r="K176" s="16" t="s">
        <v>285</v>
      </c>
    </row>
    <row r="177" customFormat="false" ht="15" hidden="false" customHeight="false" outlineLevel="0" collapsed="false">
      <c r="A177" s="16" t="s">
        <v>122</v>
      </c>
      <c r="B177" s="16" t="s">
        <v>80</v>
      </c>
      <c r="C177" s="16" t="n">
        <v>2507</v>
      </c>
      <c r="D177" s="16" t="n">
        <v>2507</v>
      </c>
      <c r="E177" s="16" t="n">
        <v>2215</v>
      </c>
      <c r="F177" s="38" t="n">
        <v>1401357</v>
      </c>
      <c r="G177" s="38" t="n">
        <v>1503306</v>
      </c>
      <c r="H177" s="38" t="n">
        <v>1401599</v>
      </c>
      <c r="I177" s="38" t="n">
        <v>1479423</v>
      </c>
      <c r="J177" s="19" t="n">
        <f aca="false">(I177-H177)/1000</f>
        <v>77.824</v>
      </c>
      <c r="K177" s="16" t="s">
        <v>285</v>
      </c>
    </row>
    <row r="178" customFormat="false" ht="15" hidden="false" customHeight="false" outlineLevel="0" collapsed="false">
      <c r="A178" s="16" t="s">
        <v>122</v>
      </c>
      <c r="B178" s="16" t="s">
        <v>109</v>
      </c>
      <c r="C178" s="16" t="n">
        <v>3826</v>
      </c>
      <c r="D178" s="16" t="n">
        <v>3817</v>
      </c>
      <c r="E178" s="16" t="n">
        <v>2370</v>
      </c>
      <c r="F178" s="38" t="n">
        <v>1401695</v>
      </c>
      <c r="G178" s="38" t="n">
        <v>1500351</v>
      </c>
      <c r="H178" s="38" t="n">
        <v>1401695</v>
      </c>
      <c r="I178" s="38" t="n">
        <v>1479434</v>
      </c>
      <c r="J178" s="19" t="n">
        <f aca="false">(I178-H178)/1000</f>
        <v>77.739</v>
      </c>
      <c r="K178" s="16" t="s">
        <v>285</v>
      </c>
    </row>
    <row r="179" customFormat="false" ht="15" hidden="false" customHeight="false" outlineLevel="0" collapsed="false">
      <c r="A179" s="16" t="s">
        <v>122</v>
      </c>
      <c r="B179" s="16" t="s">
        <v>77</v>
      </c>
      <c r="C179" s="16" t="n">
        <v>2812</v>
      </c>
      <c r="D179" s="16" t="n">
        <v>2788</v>
      </c>
      <c r="E179" s="16" t="n">
        <v>2082</v>
      </c>
      <c r="F179" s="38" t="n">
        <v>1197288</v>
      </c>
      <c r="G179" s="38" t="n">
        <v>1500657</v>
      </c>
      <c r="H179" s="38" t="n">
        <v>1401680</v>
      </c>
      <c r="I179" s="38" t="n">
        <v>1479414</v>
      </c>
      <c r="J179" s="19" t="n">
        <f aca="false">(I179-H179)/1000</f>
        <v>77.734</v>
      </c>
      <c r="K179" s="16" t="s">
        <v>285</v>
      </c>
    </row>
    <row r="180" customFormat="false" ht="15" hidden="false" customHeight="false" outlineLevel="0" collapsed="false">
      <c r="A180" s="16" t="s">
        <v>122</v>
      </c>
      <c r="B180" s="16" t="s">
        <v>127</v>
      </c>
      <c r="C180" s="16" t="n">
        <v>3315</v>
      </c>
      <c r="D180" s="16" t="n">
        <v>3310</v>
      </c>
      <c r="E180" s="16" t="n">
        <v>2093</v>
      </c>
      <c r="F180" s="38" t="n">
        <v>1150441</v>
      </c>
      <c r="G180" s="38" t="n">
        <v>1495826</v>
      </c>
      <c r="H180" s="38" t="n">
        <v>1401694</v>
      </c>
      <c r="I180" s="38" t="n">
        <v>1479427</v>
      </c>
      <c r="J180" s="19" t="n">
        <f aca="false">(I180-H180)/1000</f>
        <v>77.733</v>
      </c>
      <c r="K180" s="16" t="s">
        <v>285</v>
      </c>
    </row>
    <row r="181" customFormat="false" ht="15" hidden="false" customHeight="false" outlineLevel="0" collapsed="false">
      <c r="A181" s="16" t="s">
        <v>122</v>
      </c>
      <c r="B181" s="16" t="s">
        <v>106</v>
      </c>
      <c r="C181" s="16" t="n">
        <v>3013</v>
      </c>
      <c r="D181" s="16" t="n">
        <v>3011</v>
      </c>
      <c r="E181" s="16" t="n">
        <v>2474</v>
      </c>
      <c r="F181" s="38" t="n">
        <v>1401705</v>
      </c>
      <c r="G181" s="38" t="n">
        <v>1500678</v>
      </c>
      <c r="H181" s="38" t="n">
        <v>1401705</v>
      </c>
      <c r="I181" s="38" t="n">
        <v>1479423</v>
      </c>
      <c r="J181" s="19" t="n">
        <f aca="false">(I181-H181)/1000</f>
        <v>77.718</v>
      </c>
      <c r="K181" s="16" t="s">
        <v>285</v>
      </c>
    </row>
    <row r="182" customFormat="false" ht="15" hidden="false" customHeight="false" outlineLevel="0" collapsed="false">
      <c r="A182" s="16" t="s">
        <v>122</v>
      </c>
      <c r="B182" s="16" t="s">
        <v>126</v>
      </c>
      <c r="C182" s="16" t="n">
        <v>4125</v>
      </c>
      <c r="D182" s="16" t="n">
        <v>4122</v>
      </c>
      <c r="E182" s="16" t="n">
        <v>2528</v>
      </c>
      <c r="F182" s="38" t="n">
        <v>1401718</v>
      </c>
      <c r="G182" s="38" t="n">
        <v>1490900</v>
      </c>
      <c r="H182" s="38" t="n">
        <v>1401718</v>
      </c>
      <c r="I182" s="38" t="n">
        <v>1479433</v>
      </c>
      <c r="J182" s="19" t="n">
        <f aca="false">(I182-H182)/1000</f>
        <v>77.715</v>
      </c>
      <c r="K182" s="16" t="s">
        <v>285</v>
      </c>
    </row>
    <row r="183" customFormat="false" ht="15" hidden="false" customHeight="false" outlineLevel="0" collapsed="false">
      <c r="A183" s="16" t="s">
        <v>122</v>
      </c>
      <c r="B183" s="16" t="s">
        <v>131</v>
      </c>
      <c r="C183" s="16" t="n">
        <v>2358</v>
      </c>
      <c r="D183" s="16" t="n">
        <v>2355</v>
      </c>
      <c r="E183" s="16" t="n">
        <v>2182</v>
      </c>
      <c r="F183" s="38" t="n">
        <v>1401707</v>
      </c>
      <c r="G183" s="38" t="n">
        <v>1500494</v>
      </c>
      <c r="H183" s="38" t="n">
        <v>1401707</v>
      </c>
      <c r="I183" s="38" t="n">
        <v>1479412</v>
      </c>
      <c r="J183" s="19" t="n">
        <f aca="false">(I183-H183)/1000</f>
        <v>77.705</v>
      </c>
      <c r="K183" s="16" t="s">
        <v>285</v>
      </c>
    </row>
    <row r="184" customFormat="false" ht="15" hidden="false" customHeight="false" outlineLevel="0" collapsed="false">
      <c r="A184" s="16" t="s">
        <v>122</v>
      </c>
      <c r="B184" s="16" t="s">
        <v>132</v>
      </c>
      <c r="C184" s="16" t="n">
        <v>2326</v>
      </c>
      <c r="D184" s="16" t="n">
        <v>2324</v>
      </c>
      <c r="E184" s="16" t="n">
        <v>1982</v>
      </c>
      <c r="F184" s="38" t="n">
        <v>1401710</v>
      </c>
      <c r="G184" s="38" t="n">
        <v>1500720</v>
      </c>
      <c r="H184" s="38" t="n">
        <v>1401710</v>
      </c>
      <c r="I184" s="38" t="n">
        <v>1479405</v>
      </c>
      <c r="J184" s="19" t="n">
        <f aca="false">(I184-H184)/1000</f>
        <v>77.695</v>
      </c>
      <c r="K184" s="16" t="s">
        <v>285</v>
      </c>
    </row>
    <row r="185" customFormat="false" ht="15" hidden="false" customHeight="false" outlineLevel="0" collapsed="false">
      <c r="A185" s="16" t="s">
        <v>122</v>
      </c>
      <c r="B185" s="16" t="s">
        <v>61</v>
      </c>
      <c r="C185" s="16" t="n">
        <v>2931</v>
      </c>
      <c r="D185" s="16" t="n">
        <v>2914</v>
      </c>
      <c r="E185" s="16" t="n">
        <v>1985</v>
      </c>
      <c r="F185" s="38" t="n">
        <v>1170224</v>
      </c>
      <c r="G185" s="38" t="n">
        <v>1500551</v>
      </c>
      <c r="H185" s="38" t="n">
        <v>1401697</v>
      </c>
      <c r="I185" s="38" t="n">
        <v>1479380</v>
      </c>
      <c r="J185" s="19" t="n">
        <f aca="false">(I185-H185)/1000</f>
        <v>77.683</v>
      </c>
      <c r="K185" s="16" t="s">
        <v>285</v>
      </c>
    </row>
    <row r="186" customFormat="false" ht="15" hidden="false" customHeight="false" outlineLevel="0" collapsed="false">
      <c r="A186" s="16" t="s">
        <v>122</v>
      </c>
      <c r="B186" s="16" t="s">
        <v>124</v>
      </c>
      <c r="C186" s="16" t="n">
        <v>5503</v>
      </c>
      <c r="D186" s="16" t="n">
        <v>5502</v>
      </c>
      <c r="E186" s="16" t="n">
        <v>3012</v>
      </c>
      <c r="F186" s="38" t="n">
        <v>1096587</v>
      </c>
      <c r="G186" s="38" t="n">
        <v>1528742</v>
      </c>
      <c r="H186" s="38" t="n">
        <v>1401747</v>
      </c>
      <c r="I186" s="38" t="n">
        <v>1479431</v>
      </c>
      <c r="J186" s="19" t="n">
        <f aca="false">(I186-H186)/1000</f>
        <v>77.684</v>
      </c>
      <c r="K186" s="16" t="s">
        <v>285</v>
      </c>
    </row>
    <row r="187" customFormat="false" ht="15" hidden="false" customHeight="false" outlineLevel="0" collapsed="false">
      <c r="A187" s="16" t="s">
        <v>122</v>
      </c>
      <c r="B187" s="16" t="s">
        <v>42</v>
      </c>
      <c r="C187" s="16" t="n">
        <v>2613</v>
      </c>
      <c r="D187" s="16" t="n">
        <v>2613</v>
      </c>
      <c r="E187" s="16" t="n">
        <v>2316</v>
      </c>
      <c r="F187" s="38" t="n">
        <v>1401759</v>
      </c>
      <c r="G187" s="38" t="n">
        <v>1508660</v>
      </c>
      <c r="H187" s="38" t="n">
        <v>1401759</v>
      </c>
      <c r="I187" s="38" t="n">
        <v>1479432</v>
      </c>
      <c r="J187" s="19" t="n">
        <f aca="false">(I187-H187)/1000</f>
        <v>77.673</v>
      </c>
      <c r="K187" s="16" t="s">
        <v>285</v>
      </c>
    </row>
    <row r="188" customFormat="false" ht="15" hidden="false" customHeight="false" outlineLevel="0" collapsed="false">
      <c r="A188" s="16" t="s">
        <v>122</v>
      </c>
      <c r="B188" s="16" t="s">
        <v>73</v>
      </c>
      <c r="C188" s="16" t="n">
        <v>283</v>
      </c>
      <c r="D188" s="16" t="n">
        <v>32</v>
      </c>
      <c r="E188" s="16" t="n">
        <v>26</v>
      </c>
      <c r="F188" s="38" t="n">
        <v>1400722</v>
      </c>
      <c r="G188" s="38" t="n">
        <v>1500356</v>
      </c>
      <c r="H188" s="38" t="n">
        <v>1404150</v>
      </c>
      <c r="I188" s="38" t="n">
        <v>1478368</v>
      </c>
      <c r="J188" s="19" t="n">
        <f aca="false">(I188-H188)/1000</f>
        <v>74.218</v>
      </c>
      <c r="K188" s="16" t="s">
        <v>285</v>
      </c>
    </row>
    <row r="189" customFormat="false" ht="15" hidden="false" customHeight="false" outlineLevel="0" collapsed="false">
      <c r="A189" s="16" t="s">
        <v>122</v>
      </c>
      <c r="B189" s="16" t="s">
        <v>74</v>
      </c>
      <c r="C189" s="16" t="n">
        <v>42</v>
      </c>
      <c r="D189" s="16" t="n">
        <v>42</v>
      </c>
      <c r="E189" s="16" t="n">
        <v>19</v>
      </c>
      <c r="F189" s="38" t="n">
        <v>1098026</v>
      </c>
      <c r="G189" s="38" t="n">
        <v>1498817</v>
      </c>
      <c r="H189" s="38" t="n">
        <v>1405396</v>
      </c>
      <c r="I189" s="38" t="n">
        <v>1478303</v>
      </c>
      <c r="J189" s="19" t="n">
        <f aca="false">(I189-H189)/1000</f>
        <v>72.907</v>
      </c>
      <c r="K189" s="16" t="s">
        <v>285</v>
      </c>
    </row>
    <row r="190" customFormat="false" ht="15" hidden="false" customHeight="false" outlineLevel="0" collapsed="false">
      <c r="A190" s="16" t="s">
        <v>122</v>
      </c>
      <c r="B190" s="16" t="s">
        <v>84</v>
      </c>
      <c r="C190" s="16" t="n">
        <v>2951</v>
      </c>
      <c r="D190" s="16" t="n">
        <v>2869</v>
      </c>
      <c r="E190" s="16" t="n">
        <v>2869</v>
      </c>
      <c r="F190" s="38" t="n">
        <v>1448795</v>
      </c>
      <c r="G190" s="38" t="n">
        <v>1452161</v>
      </c>
      <c r="H190" s="38" t="n">
        <v>1448795</v>
      </c>
      <c r="I190" s="38" t="n">
        <v>1452161</v>
      </c>
      <c r="J190" s="19" t="n">
        <f aca="false">(I190-H190)/1000</f>
        <v>3.366</v>
      </c>
      <c r="K190" s="16" t="s">
        <v>285</v>
      </c>
    </row>
    <row r="191" customFormat="false" ht="15" hidden="false" customHeight="false" outlineLevel="0" collapsed="false">
      <c r="A191" s="31" t="s">
        <v>122</v>
      </c>
      <c r="B191" s="31" t="s">
        <v>41</v>
      </c>
      <c r="C191" s="31" t="n">
        <v>8</v>
      </c>
      <c r="D191" s="31" t="n">
        <v>8</v>
      </c>
      <c r="E191" s="31" t="n">
        <v>0</v>
      </c>
      <c r="F191" s="39" t="n">
        <v>1084549</v>
      </c>
      <c r="G191" s="39" t="n">
        <v>1097163</v>
      </c>
      <c r="H191" s="39" t="s">
        <v>173</v>
      </c>
      <c r="I191" s="39" t="s">
        <v>173</v>
      </c>
      <c r="J191" s="40" t="n">
        <v>0</v>
      </c>
      <c r="K191" s="31" t="s">
        <v>287</v>
      </c>
    </row>
    <row r="192" customFormat="false" ht="15" hidden="false" customHeight="false" outlineLevel="0" collapsed="false">
      <c r="A192" s="16" t="s">
        <v>122</v>
      </c>
      <c r="B192" s="16" t="s">
        <v>133</v>
      </c>
      <c r="C192" s="16" t="n">
        <v>1078</v>
      </c>
      <c r="D192" s="16" t="n">
        <v>1070</v>
      </c>
      <c r="E192" s="16" t="n">
        <v>0</v>
      </c>
      <c r="F192" s="38" t="n">
        <v>1170517</v>
      </c>
      <c r="G192" s="38" t="n">
        <v>1243045</v>
      </c>
      <c r="H192" s="38" t="s">
        <v>173</v>
      </c>
      <c r="I192" s="38" t="s">
        <v>173</v>
      </c>
      <c r="J192" s="19" t="n">
        <v>0</v>
      </c>
      <c r="K192" s="16" t="s">
        <v>285</v>
      </c>
    </row>
    <row r="193" customFormat="false" ht="15" hidden="false" customHeight="false" outlineLevel="0" collapsed="false">
      <c r="A193" s="31" t="s">
        <v>122</v>
      </c>
      <c r="B193" s="31" t="s">
        <v>86</v>
      </c>
      <c r="C193" s="31" t="n">
        <v>625</v>
      </c>
      <c r="D193" s="31" t="n">
        <v>625</v>
      </c>
      <c r="E193" s="31" t="n">
        <v>0</v>
      </c>
      <c r="F193" s="39" t="n">
        <v>1106710</v>
      </c>
      <c r="G193" s="39" t="n">
        <v>1228766</v>
      </c>
      <c r="H193" s="39" t="s">
        <v>173</v>
      </c>
      <c r="I193" s="39" t="s">
        <v>173</v>
      </c>
      <c r="J193" s="40" t="n">
        <v>0</v>
      </c>
      <c r="K193" s="31" t="s">
        <v>287</v>
      </c>
    </row>
    <row r="194" customFormat="false" ht="15" hidden="false" customHeight="false" outlineLevel="0" collapsed="false">
      <c r="A194" s="31" t="s">
        <v>122</v>
      </c>
      <c r="B194" s="31" t="s">
        <v>304</v>
      </c>
      <c r="C194" s="31" t="n">
        <v>800</v>
      </c>
      <c r="D194" s="31" t="n">
        <v>782</v>
      </c>
      <c r="E194" s="31" t="n">
        <v>0</v>
      </c>
      <c r="F194" s="39" t="n">
        <v>1168169</v>
      </c>
      <c r="G194" s="39" t="n">
        <v>1243059</v>
      </c>
      <c r="H194" s="39" t="s">
        <v>173</v>
      </c>
      <c r="I194" s="39" t="s">
        <v>173</v>
      </c>
      <c r="J194" s="40" t="n">
        <v>0</v>
      </c>
      <c r="K194" s="31" t="s">
        <v>287</v>
      </c>
    </row>
    <row r="195" customFormat="false" ht="15" hidden="false" customHeight="false" outlineLevel="0" collapsed="false">
      <c r="A195" s="31" t="s">
        <v>122</v>
      </c>
      <c r="B195" s="31" t="s">
        <v>305</v>
      </c>
      <c r="C195" s="31" t="n">
        <v>474</v>
      </c>
      <c r="D195" s="31" t="n">
        <v>452</v>
      </c>
      <c r="E195" s="31" t="n">
        <v>0</v>
      </c>
      <c r="F195" s="39" t="n">
        <v>1191366</v>
      </c>
      <c r="G195" s="39" t="n">
        <v>1240080</v>
      </c>
      <c r="H195" s="39" t="s">
        <v>173</v>
      </c>
      <c r="I195" s="39" t="s">
        <v>173</v>
      </c>
      <c r="J195" s="40" t="n">
        <v>0</v>
      </c>
      <c r="K195" s="31" t="s">
        <v>287</v>
      </c>
    </row>
    <row r="196" customFormat="false" ht="15" hidden="false" customHeight="false" outlineLevel="0" collapsed="false">
      <c r="A196" s="31" t="s">
        <v>122</v>
      </c>
      <c r="B196" s="31" t="s">
        <v>90</v>
      </c>
      <c r="C196" s="31" t="n">
        <v>1108</v>
      </c>
      <c r="D196" s="31" t="n">
        <v>1107</v>
      </c>
      <c r="E196" s="31" t="n">
        <v>0</v>
      </c>
      <c r="F196" s="39" t="n">
        <v>1170246</v>
      </c>
      <c r="G196" s="39" t="n">
        <v>1240728</v>
      </c>
      <c r="H196" s="39" t="s">
        <v>173</v>
      </c>
      <c r="I196" s="39" t="s">
        <v>173</v>
      </c>
      <c r="J196" s="40" t="n">
        <v>0</v>
      </c>
      <c r="K196" s="31" t="s">
        <v>287</v>
      </c>
    </row>
    <row r="197" customFormat="false" ht="15" hidden="false" customHeight="false" outlineLevel="0" collapsed="false">
      <c r="A197" s="31" t="s">
        <v>122</v>
      </c>
      <c r="B197" s="31" t="s">
        <v>300</v>
      </c>
      <c r="C197" s="31" t="n">
        <v>18</v>
      </c>
      <c r="D197" s="31" t="n">
        <v>18</v>
      </c>
      <c r="E197" s="31" t="n">
        <v>0</v>
      </c>
      <c r="F197" s="39" t="n">
        <v>1171168</v>
      </c>
      <c r="G197" s="39" t="n">
        <v>1172539</v>
      </c>
      <c r="H197" s="39" t="s">
        <v>173</v>
      </c>
      <c r="I197" s="39" t="s">
        <v>173</v>
      </c>
      <c r="J197" s="40" t="n">
        <v>0</v>
      </c>
      <c r="K197" s="31" t="s">
        <v>287</v>
      </c>
    </row>
    <row r="198" customFormat="false" ht="15" hidden="false" customHeight="false" outlineLevel="0" collapsed="false">
      <c r="A198" s="31" t="s">
        <v>122</v>
      </c>
      <c r="B198" s="31" t="s">
        <v>306</v>
      </c>
      <c r="C198" s="31" t="n">
        <v>1</v>
      </c>
      <c r="D198" s="31" t="n">
        <v>1</v>
      </c>
      <c r="E198" s="31" t="n">
        <v>0</v>
      </c>
      <c r="F198" s="39" t="n">
        <v>2500406</v>
      </c>
      <c r="G198" s="39" t="n">
        <v>2500406</v>
      </c>
      <c r="H198" s="39" t="s">
        <v>173</v>
      </c>
      <c r="I198" s="39" t="s">
        <v>173</v>
      </c>
      <c r="J198" s="40" t="n">
        <v>0</v>
      </c>
      <c r="K198" s="31" t="s">
        <v>287</v>
      </c>
    </row>
    <row r="199" customFormat="false" ht="15" hidden="false" customHeight="false" outlineLevel="0" collapsed="false">
      <c r="A199" s="16" t="s">
        <v>134</v>
      </c>
      <c r="B199" s="16" t="s">
        <v>123</v>
      </c>
      <c r="C199" s="16" t="n">
        <v>4739</v>
      </c>
      <c r="D199" s="16" t="n">
        <v>4738</v>
      </c>
      <c r="E199" s="16" t="n">
        <v>4294</v>
      </c>
      <c r="F199" s="38" t="n">
        <v>1401561</v>
      </c>
      <c r="G199" s="38" t="n">
        <v>1512555</v>
      </c>
      <c r="H199" s="38" t="n">
        <v>1401561</v>
      </c>
      <c r="I199" s="38" t="n">
        <v>1479427</v>
      </c>
      <c r="J199" s="19" t="n">
        <f aca="false">(I199-H199)/1000</f>
        <v>77.866</v>
      </c>
      <c r="K199" s="16" t="s">
        <v>285</v>
      </c>
    </row>
    <row r="200" customFormat="false" ht="15" hidden="false" customHeight="false" outlineLevel="0" collapsed="false">
      <c r="A200" s="16" t="s">
        <v>134</v>
      </c>
      <c r="B200" s="16" t="s">
        <v>136</v>
      </c>
      <c r="C200" s="16" t="n">
        <v>5135</v>
      </c>
      <c r="D200" s="16" t="n">
        <v>5039</v>
      </c>
      <c r="E200" s="16" t="n">
        <v>4418</v>
      </c>
      <c r="F200" s="38" t="n">
        <v>1254640</v>
      </c>
      <c r="G200" s="38" t="n">
        <v>1524423</v>
      </c>
      <c r="H200" s="38" t="n">
        <v>1401560</v>
      </c>
      <c r="I200" s="38" t="n">
        <v>1479430</v>
      </c>
      <c r="J200" s="19" t="n">
        <f aca="false">(I200-H200)/1000</f>
        <v>77.87</v>
      </c>
      <c r="K200" s="16" t="s">
        <v>285</v>
      </c>
    </row>
    <row r="201" customFormat="false" ht="15" hidden="false" customHeight="false" outlineLevel="0" collapsed="false">
      <c r="A201" s="16" t="s">
        <v>134</v>
      </c>
      <c r="B201" s="16" t="s">
        <v>90</v>
      </c>
      <c r="C201" s="16" t="n">
        <v>7018</v>
      </c>
      <c r="D201" s="16" t="n">
        <v>7008</v>
      </c>
      <c r="E201" s="16" t="n">
        <v>5628</v>
      </c>
      <c r="F201" s="38" t="n">
        <v>1168402</v>
      </c>
      <c r="G201" s="38" t="n">
        <v>1518433</v>
      </c>
      <c r="H201" s="38" t="n">
        <v>1401565</v>
      </c>
      <c r="I201" s="38" t="n">
        <v>1479421</v>
      </c>
      <c r="J201" s="19" t="n">
        <f aca="false">(I201-H201)/1000</f>
        <v>77.856</v>
      </c>
      <c r="K201" s="16" t="s">
        <v>285</v>
      </c>
    </row>
    <row r="202" customFormat="false" ht="15" hidden="false" customHeight="false" outlineLevel="0" collapsed="false">
      <c r="A202" s="16" t="s">
        <v>134</v>
      </c>
      <c r="B202" s="16" t="s">
        <v>141</v>
      </c>
      <c r="C202" s="16" t="n">
        <v>3268</v>
      </c>
      <c r="D202" s="16" t="n">
        <v>3266</v>
      </c>
      <c r="E202" s="16" t="n">
        <v>3026</v>
      </c>
      <c r="F202" s="38" t="n">
        <v>1401481</v>
      </c>
      <c r="G202" s="38" t="n">
        <v>1512007</v>
      </c>
      <c r="H202" s="38" t="n">
        <v>1401556</v>
      </c>
      <c r="I202" s="38" t="n">
        <v>1479421</v>
      </c>
      <c r="J202" s="19" t="n">
        <f aca="false">(I202-H202)/1000</f>
        <v>77.865</v>
      </c>
      <c r="K202" s="16" t="s">
        <v>285</v>
      </c>
    </row>
    <row r="203" customFormat="false" ht="15" hidden="false" customHeight="false" outlineLevel="0" collapsed="false">
      <c r="A203" s="16" t="s">
        <v>134</v>
      </c>
      <c r="B203" s="16" t="s">
        <v>55</v>
      </c>
      <c r="C203" s="16" t="n">
        <v>3293</v>
      </c>
      <c r="D203" s="16" t="n">
        <v>3280</v>
      </c>
      <c r="E203" s="16" t="n">
        <v>2293</v>
      </c>
      <c r="F203" s="38" t="n">
        <v>1170733</v>
      </c>
      <c r="G203" s="38" t="n">
        <v>1495259</v>
      </c>
      <c r="H203" s="38" t="n">
        <v>1401560</v>
      </c>
      <c r="I203" s="38" t="n">
        <v>1479412</v>
      </c>
      <c r="J203" s="19" t="n">
        <f aca="false">(I203-H203)/1000</f>
        <v>77.852</v>
      </c>
      <c r="K203" s="16" t="s">
        <v>285</v>
      </c>
    </row>
    <row r="204" customFormat="false" ht="15" hidden="false" customHeight="false" outlineLevel="0" collapsed="false">
      <c r="A204" s="16" t="s">
        <v>134</v>
      </c>
      <c r="B204" s="16" t="s">
        <v>37</v>
      </c>
      <c r="C204" s="16" t="n">
        <v>6484</v>
      </c>
      <c r="D204" s="16" t="n">
        <v>6461</v>
      </c>
      <c r="E204" s="16" t="n">
        <v>4886</v>
      </c>
      <c r="F204" s="38" t="n">
        <v>1024733</v>
      </c>
      <c r="G204" s="38" t="n">
        <v>1508092</v>
      </c>
      <c r="H204" s="38" t="n">
        <v>1401569</v>
      </c>
      <c r="I204" s="38" t="n">
        <v>1479417</v>
      </c>
      <c r="J204" s="19" t="n">
        <f aca="false">(I204-H204)/1000</f>
        <v>77.848</v>
      </c>
      <c r="K204" s="16" t="s">
        <v>285</v>
      </c>
    </row>
    <row r="205" customFormat="false" ht="15" hidden="false" customHeight="false" outlineLevel="0" collapsed="false">
      <c r="A205" s="16" t="s">
        <v>134</v>
      </c>
      <c r="B205" s="16" t="s">
        <v>93</v>
      </c>
      <c r="C205" s="16" t="n">
        <v>5189</v>
      </c>
      <c r="D205" s="16" t="n">
        <v>5157</v>
      </c>
      <c r="E205" s="16" t="n">
        <v>4487</v>
      </c>
      <c r="F205" s="38" t="n">
        <v>1146951</v>
      </c>
      <c r="G205" s="38" t="n">
        <v>1505870</v>
      </c>
      <c r="H205" s="38" t="n">
        <v>1401561</v>
      </c>
      <c r="I205" s="38" t="n">
        <v>1479414</v>
      </c>
      <c r="J205" s="19" t="n">
        <f aca="false">(I205-H205)/1000</f>
        <v>77.853</v>
      </c>
      <c r="K205" s="16" t="s">
        <v>285</v>
      </c>
    </row>
    <row r="206" customFormat="false" ht="15" hidden="false" customHeight="false" outlineLevel="0" collapsed="false">
      <c r="A206" s="16" t="s">
        <v>134</v>
      </c>
      <c r="B206" s="16" t="s">
        <v>143</v>
      </c>
      <c r="C206" s="16" t="n">
        <v>2807</v>
      </c>
      <c r="D206" s="16" t="n">
        <v>2786</v>
      </c>
      <c r="E206" s="16" t="n">
        <v>2183</v>
      </c>
      <c r="F206" s="38" t="n">
        <v>1195733</v>
      </c>
      <c r="G206" s="38" t="n">
        <v>1499164</v>
      </c>
      <c r="H206" s="38" t="n">
        <v>1401588</v>
      </c>
      <c r="I206" s="38" t="n">
        <v>1479431</v>
      </c>
      <c r="J206" s="19" t="n">
        <f aca="false">(I206-H206)/1000</f>
        <v>77.843</v>
      </c>
      <c r="K206" s="16" t="s">
        <v>285</v>
      </c>
    </row>
    <row r="207" customFormat="false" ht="15" hidden="false" customHeight="false" outlineLevel="0" collapsed="false">
      <c r="A207" s="16" t="s">
        <v>134</v>
      </c>
      <c r="B207" s="16" t="s">
        <v>59</v>
      </c>
      <c r="C207" s="16" t="n">
        <v>2165</v>
      </c>
      <c r="D207" s="16" t="n">
        <v>2165</v>
      </c>
      <c r="E207" s="16" t="n">
        <v>2064</v>
      </c>
      <c r="F207" s="38" t="n">
        <v>1401456</v>
      </c>
      <c r="G207" s="38" t="n">
        <v>1498972</v>
      </c>
      <c r="H207" s="38" t="n">
        <v>1401594</v>
      </c>
      <c r="I207" s="38" t="n">
        <v>1479429</v>
      </c>
      <c r="J207" s="19" t="n">
        <f aca="false">(I207-H207)/1000</f>
        <v>77.835</v>
      </c>
      <c r="K207" s="16" t="s">
        <v>285</v>
      </c>
    </row>
    <row r="208" customFormat="false" ht="15" hidden="false" customHeight="false" outlineLevel="0" collapsed="false">
      <c r="A208" s="16" t="s">
        <v>134</v>
      </c>
      <c r="B208" s="16" t="s">
        <v>135</v>
      </c>
      <c r="C208" s="16" t="n">
        <v>6502</v>
      </c>
      <c r="D208" s="16" t="n">
        <v>6457</v>
      </c>
      <c r="E208" s="16" t="n">
        <v>5050</v>
      </c>
      <c r="F208" s="38" t="n">
        <v>1170992</v>
      </c>
      <c r="G208" s="38" t="n">
        <v>1508612</v>
      </c>
      <c r="H208" s="38" t="n">
        <v>1401584</v>
      </c>
      <c r="I208" s="38" t="n">
        <v>1479419</v>
      </c>
      <c r="J208" s="19" t="n">
        <f aca="false">(I208-H208)/1000</f>
        <v>77.835</v>
      </c>
      <c r="K208" s="16" t="s">
        <v>285</v>
      </c>
    </row>
    <row r="209" customFormat="false" ht="15" hidden="false" customHeight="false" outlineLevel="0" collapsed="false">
      <c r="A209" s="16" t="s">
        <v>134</v>
      </c>
      <c r="B209" s="16" t="s">
        <v>137</v>
      </c>
      <c r="C209" s="16" t="n">
        <v>3422</v>
      </c>
      <c r="D209" s="16" t="n">
        <v>3292</v>
      </c>
      <c r="E209" s="16" t="n">
        <v>2603</v>
      </c>
      <c r="F209" s="38" t="n">
        <v>3013</v>
      </c>
      <c r="G209" s="38" t="n">
        <v>1524338</v>
      </c>
      <c r="H209" s="38" t="n">
        <v>1401587</v>
      </c>
      <c r="I209" s="38" t="n">
        <v>1479419</v>
      </c>
      <c r="J209" s="19" t="n">
        <f aca="false">(I209-H209)/1000</f>
        <v>77.832</v>
      </c>
      <c r="K209" s="16" t="s">
        <v>285</v>
      </c>
    </row>
    <row r="210" customFormat="false" ht="15" hidden="false" customHeight="false" outlineLevel="0" collapsed="false">
      <c r="A210" s="16" t="s">
        <v>134</v>
      </c>
      <c r="B210" s="16" t="s">
        <v>147</v>
      </c>
      <c r="C210" s="16" t="n">
        <v>2441</v>
      </c>
      <c r="D210" s="16" t="n">
        <v>2437</v>
      </c>
      <c r="E210" s="16" t="n">
        <v>2230</v>
      </c>
      <c r="F210" s="38" t="n">
        <v>1401478</v>
      </c>
      <c r="G210" s="38" t="n">
        <v>1493078</v>
      </c>
      <c r="H210" s="38" t="n">
        <v>1401587</v>
      </c>
      <c r="I210" s="38" t="n">
        <v>1479402</v>
      </c>
      <c r="J210" s="19" t="n">
        <f aca="false">(I210-H210)/1000</f>
        <v>77.815</v>
      </c>
      <c r="K210" s="16" t="s">
        <v>285</v>
      </c>
    </row>
    <row r="211" customFormat="false" ht="15" hidden="false" customHeight="false" outlineLevel="0" collapsed="false">
      <c r="A211" s="16" t="s">
        <v>134</v>
      </c>
      <c r="B211" s="16" t="s">
        <v>48</v>
      </c>
      <c r="C211" s="16" t="n">
        <v>2541</v>
      </c>
      <c r="D211" s="16" t="n">
        <v>2539</v>
      </c>
      <c r="E211" s="16" t="n">
        <v>2393</v>
      </c>
      <c r="F211" s="38" t="n">
        <v>1401680</v>
      </c>
      <c r="G211" s="38" t="n">
        <v>1480840</v>
      </c>
      <c r="H211" s="38" t="n">
        <v>1401680</v>
      </c>
      <c r="I211" s="38" t="n">
        <v>1479423</v>
      </c>
      <c r="J211" s="19" t="n">
        <f aca="false">(I211-H211)/1000</f>
        <v>77.743</v>
      </c>
      <c r="K211" s="16" t="s">
        <v>285</v>
      </c>
    </row>
    <row r="212" customFormat="false" ht="15" hidden="false" customHeight="false" outlineLevel="0" collapsed="false">
      <c r="A212" s="16" t="s">
        <v>134</v>
      </c>
      <c r="B212" s="16" t="s">
        <v>140</v>
      </c>
      <c r="C212" s="16" t="n">
        <v>3598</v>
      </c>
      <c r="D212" s="16" t="n">
        <v>3596</v>
      </c>
      <c r="E212" s="16" t="n">
        <v>2428</v>
      </c>
      <c r="F212" s="38" t="n">
        <v>1401689</v>
      </c>
      <c r="G212" s="38" t="n">
        <v>1499017</v>
      </c>
      <c r="H212" s="38" t="n">
        <v>1401689</v>
      </c>
      <c r="I212" s="38" t="n">
        <v>1479421</v>
      </c>
      <c r="J212" s="19" t="n">
        <f aca="false">(I212-H212)/1000</f>
        <v>77.732</v>
      </c>
      <c r="K212" s="16" t="s">
        <v>285</v>
      </c>
    </row>
    <row r="213" customFormat="false" ht="15" hidden="false" customHeight="false" outlineLevel="0" collapsed="false">
      <c r="A213" s="16" t="s">
        <v>134</v>
      </c>
      <c r="B213" s="16" t="s">
        <v>142</v>
      </c>
      <c r="C213" s="16" t="n">
        <v>3004</v>
      </c>
      <c r="D213" s="16" t="n">
        <v>3002</v>
      </c>
      <c r="E213" s="16" t="n">
        <v>2151</v>
      </c>
      <c r="F213" s="38" t="n">
        <v>1401688</v>
      </c>
      <c r="G213" s="38" t="n">
        <v>1518541</v>
      </c>
      <c r="H213" s="38" t="n">
        <v>1401688</v>
      </c>
      <c r="I213" s="38" t="n">
        <v>1479408</v>
      </c>
      <c r="J213" s="19" t="n">
        <f aca="false">(I213-H213)/1000</f>
        <v>77.72</v>
      </c>
      <c r="K213" s="16" t="s">
        <v>285</v>
      </c>
    </row>
    <row r="214" customFormat="false" ht="15" hidden="false" customHeight="false" outlineLevel="0" collapsed="false">
      <c r="A214" s="16" t="s">
        <v>134</v>
      </c>
      <c r="B214" s="16" t="s">
        <v>145</v>
      </c>
      <c r="C214" s="16" t="n">
        <v>2649</v>
      </c>
      <c r="D214" s="16" t="n">
        <v>2646</v>
      </c>
      <c r="E214" s="16" t="n">
        <v>2268</v>
      </c>
      <c r="F214" s="38" t="n">
        <v>1197237</v>
      </c>
      <c r="G214" s="38" t="n">
        <v>1498642</v>
      </c>
      <c r="H214" s="38" t="n">
        <v>1401680</v>
      </c>
      <c r="I214" s="38" t="n">
        <v>1479385</v>
      </c>
      <c r="J214" s="19" t="n">
        <f aca="false">(I214-H214)/1000</f>
        <v>77.705</v>
      </c>
      <c r="K214" s="16" t="s">
        <v>285</v>
      </c>
    </row>
    <row r="215" customFormat="false" ht="15" hidden="false" customHeight="false" outlineLevel="0" collapsed="false">
      <c r="A215" s="16" t="s">
        <v>134</v>
      </c>
      <c r="B215" s="16" t="s">
        <v>81</v>
      </c>
      <c r="C215" s="16" t="n">
        <v>2245</v>
      </c>
      <c r="D215" s="16" t="n">
        <v>2243</v>
      </c>
      <c r="E215" s="16" t="n">
        <v>2098</v>
      </c>
      <c r="F215" s="38" t="n">
        <v>1401680</v>
      </c>
      <c r="G215" s="38" t="n">
        <v>1503219</v>
      </c>
      <c r="H215" s="38" t="n">
        <v>1401680</v>
      </c>
      <c r="I215" s="38" t="n">
        <v>1479385</v>
      </c>
      <c r="J215" s="19" t="n">
        <f aca="false">(I215-H215)/1000</f>
        <v>77.705</v>
      </c>
      <c r="K215" s="16" t="s">
        <v>285</v>
      </c>
    </row>
    <row r="216" customFormat="false" ht="15" hidden="false" customHeight="false" outlineLevel="0" collapsed="false">
      <c r="A216" s="16" t="s">
        <v>134</v>
      </c>
      <c r="B216" s="16" t="s">
        <v>104</v>
      </c>
      <c r="C216" s="16" t="n">
        <v>3241</v>
      </c>
      <c r="D216" s="16" t="n">
        <v>3241</v>
      </c>
      <c r="E216" s="16" t="n">
        <v>2673</v>
      </c>
      <c r="F216" s="38" t="n">
        <v>1195212</v>
      </c>
      <c r="G216" s="38" t="n">
        <v>1508433</v>
      </c>
      <c r="H216" s="38" t="n">
        <v>1401723</v>
      </c>
      <c r="I216" s="38" t="n">
        <v>1479427</v>
      </c>
      <c r="J216" s="19" t="n">
        <f aca="false">(I216-H216)/1000</f>
        <v>77.704</v>
      </c>
      <c r="K216" s="16" t="s">
        <v>285</v>
      </c>
    </row>
    <row r="217" customFormat="false" ht="15" hidden="false" customHeight="false" outlineLevel="0" collapsed="false">
      <c r="A217" s="16" t="s">
        <v>134</v>
      </c>
      <c r="B217" s="16" t="s">
        <v>76</v>
      </c>
      <c r="C217" s="16" t="n">
        <v>2701</v>
      </c>
      <c r="D217" s="16" t="n">
        <v>2698</v>
      </c>
      <c r="E217" s="16" t="n">
        <v>2465</v>
      </c>
      <c r="F217" s="38" t="n">
        <v>1211109</v>
      </c>
      <c r="G217" s="38" t="n">
        <v>1499272</v>
      </c>
      <c r="H217" s="38" t="n">
        <v>1401708</v>
      </c>
      <c r="I217" s="38" t="n">
        <v>1479411</v>
      </c>
      <c r="J217" s="19" t="n">
        <f aca="false">(I217-H217)/1000</f>
        <v>77.703</v>
      </c>
      <c r="K217" s="16" t="s">
        <v>285</v>
      </c>
    </row>
    <row r="218" customFormat="false" ht="15" hidden="false" customHeight="false" outlineLevel="0" collapsed="false">
      <c r="A218" s="16" t="s">
        <v>134</v>
      </c>
      <c r="B218" s="16" t="s">
        <v>148</v>
      </c>
      <c r="C218" s="16" t="n">
        <v>1316</v>
      </c>
      <c r="D218" s="16" t="n">
        <v>1313</v>
      </c>
      <c r="E218" s="16" t="n">
        <v>1144</v>
      </c>
      <c r="F218" s="38" t="n">
        <v>1401702</v>
      </c>
      <c r="G218" s="38" t="n">
        <v>1505873</v>
      </c>
      <c r="H218" s="38" t="n">
        <v>1401702</v>
      </c>
      <c r="I218" s="38" t="n">
        <v>1479397</v>
      </c>
      <c r="J218" s="19" t="n">
        <f aca="false">(I218-H218)/1000</f>
        <v>77.695</v>
      </c>
      <c r="K218" s="16" t="s">
        <v>285</v>
      </c>
    </row>
    <row r="219" customFormat="false" ht="15" hidden="false" customHeight="false" outlineLevel="0" collapsed="false">
      <c r="A219" s="16" t="s">
        <v>134</v>
      </c>
      <c r="B219" s="16" t="s">
        <v>146</v>
      </c>
      <c r="C219" s="16" t="n">
        <v>2581</v>
      </c>
      <c r="D219" s="16" t="n">
        <v>2581</v>
      </c>
      <c r="E219" s="16" t="n">
        <v>2364</v>
      </c>
      <c r="F219" s="38" t="n">
        <v>1401740</v>
      </c>
      <c r="G219" s="38" t="n">
        <v>1516254</v>
      </c>
      <c r="H219" s="38" t="n">
        <v>1401740</v>
      </c>
      <c r="I219" s="38" t="n">
        <v>1479417</v>
      </c>
      <c r="J219" s="19" t="n">
        <f aca="false">(I219-H219)/1000</f>
        <v>77.677</v>
      </c>
      <c r="K219" s="16" t="s">
        <v>285</v>
      </c>
    </row>
    <row r="220" customFormat="false" ht="15" hidden="false" customHeight="false" outlineLevel="0" collapsed="false">
      <c r="A220" s="16" t="s">
        <v>134</v>
      </c>
      <c r="B220" s="16" t="s">
        <v>144</v>
      </c>
      <c r="C220" s="16" t="n">
        <v>2666</v>
      </c>
      <c r="D220" s="16" t="n">
        <v>2663</v>
      </c>
      <c r="E220" s="16" t="n">
        <v>2309</v>
      </c>
      <c r="F220" s="38" t="n">
        <v>1401717</v>
      </c>
      <c r="G220" s="38" t="n">
        <v>1507198</v>
      </c>
      <c r="H220" s="38" t="n">
        <v>1401717</v>
      </c>
      <c r="I220" s="38" t="n">
        <v>1479393</v>
      </c>
      <c r="J220" s="19" t="n">
        <f aca="false">(I220-H220)/1000</f>
        <v>77.676</v>
      </c>
      <c r="K220" s="16" t="s">
        <v>285</v>
      </c>
    </row>
    <row r="221" customFormat="false" ht="15" hidden="false" customHeight="false" outlineLevel="0" collapsed="false">
      <c r="A221" s="16" t="s">
        <v>134</v>
      </c>
      <c r="B221" s="16" t="s">
        <v>139</v>
      </c>
      <c r="C221" s="16" t="n">
        <v>4996</v>
      </c>
      <c r="D221" s="16" t="n">
        <v>4995</v>
      </c>
      <c r="E221" s="16" t="n">
        <v>3132</v>
      </c>
      <c r="F221" s="38" t="n">
        <v>1129832</v>
      </c>
      <c r="G221" s="38" t="n">
        <v>1500635</v>
      </c>
      <c r="H221" s="38" t="n">
        <v>1401739</v>
      </c>
      <c r="I221" s="38" t="n">
        <v>1479407</v>
      </c>
      <c r="J221" s="19" t="n">
        <f aca="false">(I221-H221)/1000</f>
        <v>77.668</v>
      </c>
      <c r="K221" s="16" t="s">
        <v>285</v>
      </c>
    </row>
    <row r="222" customFormat="false" ht="15" hidden="false" customHeight="false" outlineLevel="0" collapsed="false">
      <c r="A222" s="16" t="s">
        <v>134</v>
      </c>
      <c r="B222" s="16" t="s">
        <v>87</v>
      </c>
      <c r="C222" s="16" t="n">
        <v>4608</v>
      </c>
      <c r="D222" s="16" t="n">
        <v>4606</v>
      </c>
      <c r="E222" s="16" t="n">
        <v>3524</v>
      </c>
      <c r="F222" s="38" t="n">
        <v>1178121</v>
      </c>
      <c r="G222" s="38" t="n">
        <v>1518275</v>
      </c>
      <c r="H222" s="38" t="n">
        <v>1401761</v>
      </c>
      <c r="I222" s="38" t="n">
        <v>1479428</v>
      </c>
      <c r="J222" s="19" t="n">
        <f aca="false">(I222-H222)/1000</f>
        <v>77.667</v>
      </c>
      <c r="K222" s="16" t="s">
        <v>285</v>
      </c>
    </row>
    <row r="223" customFormat="false" ht="15" hidden="false" customHeight="false" outlineLevel="0" collapsed="false">
      <c r="A223" s="16" t="s">
        <v>134</v>
      </c>
      <c r="B223" s="16" t="s">
        <v>115</v>
      </c>
      <c r="C223" s="16" t="n">
        <v>3509</v>
      </c>
      <c r="D223" s="16" t="n">
        <v>3499</v>
      </c>
      <c r="E223" s="16" t="n">
        <v>2020</v>
      </c>
      <c r="F223" s="38" t="n">
        <v>1020879</v>
      </c>
      <c r="G223" s="38" t="n">
        <v>1516643</v>
      </c>
      <c r="H223" s="38" t="n">
        <v>1401728</v>
      </c>
      <c r="I223" s="38" t="n">
        <v>1479392</v>
      </c>
      <c r="J223" s="19" t="n">
        <f aca="false">(I223-H223)/1000</f>
        <v>77.664</v>
      </c>
      <c r="K223" s="16" t="s">
        <v>285</v>
      </c>
    </row>
    <row r="224" customFormat="false" ht="15" hidden="false" customHeight="false" outlineLevel="0" collapsed="false">
      <c r="A224" s="16" t="s">
        <v>134</v>
      </c>
      <c r="B224" s="16" t="s">
        <v>138</v>
      </c>
      <c r="C224" s="16" t="n">
        <v>259</v>
      </c>
      <c r="D224" s="16" t="n">
        <v>259</v>
      </c>
      <c r="E224" s="16" t="n">
        <v>53</v>
      </c>
      <c r="F224" s="38" t="n">
        <v>1113566</v>
      </c>
      <c r="G224" s="38" t="n">
        <v>1506146</v>
      </c>
      <c r="H224" s="38" t="n">
        <v>1403613</v>
      </c>
      <c r="I224" s="38" t="n">
        <v>1479243</v>
      </c>
      <c r="J224" s="19" t="n">
        <f aca="false">(I224-H224)/1000</f>
        <v>75.63</v>
      </c>
      <c r="K224" s="16" t="s">
        <v>285</v>
      </c>
    </row>
    <row r="225" customFormat="false" ht="15" hidden="false" customHeight="false" outlineLevel="0" collapsed="false">
      <c r="A225" s="16" t="s">
        <v>134</v>
      </c>
      <c r="B225" s="16" t="s">
        <v>124</v>
      </c>
      <c r="C225" s="16" t="n">
        <v>2400</v>
      </c>
      <c r="D225" s="16" t="n">
        <v>2399</v>
      </c>
      <c r="E225" s="16" t="n">
        <v>2040</v>
      </c>
      <c r="F225" s="38" t="n">
        <v>1198367</v>
      </c>
      <c r="G225" s="38" t="n">
        <v>1464090</v>
      </c>
      <c r="H225" s="38" t="n">
        <v>1401554</v>
      </c>
      <c r="I225" s="38" t="n">
        <v>1464090</v>
      </c>
      <c r="J225" s="19" t="n">
        <f aca="false">(I225-H225)/1000</f>
        <v>62.536</v>
      </c>
      <c r="K225" s="16" t="s">
        <v>285</v>
      </c>
    </row>
    <row r="226" customFormat="false" ht="15" hidden="false" customHeight="false" outlineLevel="0" collapsed="false">
      <c r="A226" s="16" t="s">
        <v>134</v>
      </c>
      <c r="B226" s="16" t="s">
        <v>36</v>
      </c>
      <c r="C226" s="16" t="n">
        <v>7339</v>
      </c>
      <c r="D226" s="16" t="n">
        <v>7297</v>
      </c>
      <c r="E226" s="16" t="n">
        <v>5511</v>
      </c>
      <c r="F226" s="38" t="n">
        <v>1460393</v>
      </c>
      <c r="G226" s="38" t="n">
        <v>1499152</v>
      </c>
      <c r="H226" s="38" t="n">
        <v>1460393</v>
      </c>
      <c r="I226" s="38" t="n">
        <v>1479433</v>
      </c>
      <c r="J226" s="19" t="n">
        <f aca="false">(I226-H226)/1000</f>
        <v>19.04</v>
      </c>
      <c r="K226" s="16" t="s">
        <v>285</v>
      </c>
    </row>
    <row r="227" customFormat="false" ht="15" hidden="false" customHeight="false" outlineLevel="0" collapsed="false">
      <c r="A227" s="31" t="s">
        <v>134</v>
      </c>
      <c r="B227" s="31" t="s">
        <v>61</v>
      </c>
      <c r="C227" s="31" t="n">
        <v>196</v>
      </c>
      <c r="D227" s="31" t="n">
        <v>196</v>
      </c>
      <c r="E227" s="31" t="n">
        <v>0</v>
      </c>
      <c r="F227" s="39" t="n">
        <v>1170732</v>
      </c>
      <c r="G227" s="39" t="n">
        <v>1213571</v>
      </c>
      <c r="H227" s="39" t="s">
        <v>173</v>
      </c>
      <c r="I227" s="39" t="s">
        <v>173</v>
      </c>
      <c r="J227" s="40" t="n">
        <v>0</v>
      </c>
      <c r="K227" s="31" t="s">
        <v>287</v>
      </c>
    </row>
    <row r="228" customFormat="false" ht="15" hidden="false" customHeight="false" outlineLevel="0" collapsed="false">
      <c r="A228" s="31" t="s">
        <v>134</v>
      </c>
      <c r="B228" s="31" t="s">
        <v>307</v>
      </c>
      <c r="C228" s="31" t="n">
        <v>148</v>
      </c>
      <c r="D228" s="31" t="n">
        <v>131</v>
      </c>
      <c r="E228" s="31" t="n">
        <v>0</v>
      </c>
      <c r="F228" s="39" t="n">
        <v>1223459</v>
      </c>
      <c r="G228" s="39" t="n">
        <v>1242984</v>
      </c>
      <c r="H228" s="39" t="s">
        <v>173</v>
      </c>
      <c r="I228" s="39" t="s">
        <v>173</v>
      </c>
      <c r="J228" s="40" t="n">
        <v>0</v>
      </c>
      <c r="K228" s="31" t="s">
        <v>287</v>
      </c>
    </row>
    <row r="229" customFormat="false" ht="15" hidden="false" customHeight="false" outlineLevel="0" collapsed="false">
      <c r="A229" s="31" t="s">
        <v>134</v>
      </c>
      <c r="B229" s="31" t="s">
        <v>308</v>
      </c>
      <c r="C229" s="31" t="n">
        <v>224</v>
      </c>
      <c r="D229" s="31" t="n">
        <v>224</v>
      </c>
      <c r="E229" s="31" t="n">
        <v>0</v>
      </c>
      <c r="F229" s="39" t="n">
        <v>1170865</v>
      </c>
      <c r="G229" s="39" t="n">
        <v>1210962</v>
      </c>
      <c r="H229" s="39" t="s">
        <v>173</v>
      </c>
      <c r="I229" s="39" t="s">
        <v>173</v>
      </c>
      <c r="J229" s="40" t="n">
        <v>0</v>
      </c>
      <c r="K229" s="31" t="s">
        <v>287</v>
      </c>
    </row>
    <row r="230" customFormat="false" ht="15" hidden="false" customHeight="false" outlineLevel="0" collapsed="false">
      <c r="A230" s="31" t="s">
        <v>134</v>
      </c>
      <c r="B230" s="31" t="s">
        <v>72</v>
      </c>
      <c r="C230" s="31" t="n">
        <v>517</v>
      </c>
      <c r="D230" s="31" t="n">
        <v>460</v>
      </c>
      <c r="E230" s="31" t="n">
        <v>0</v>
      </c>
      <c r="F230" s="39" t="n">
        <v>1175389</v>
      </c>
      <c r="G230" s="39" t="n">
        <v>1212234</v>
      </c>
      <c r="H230" s="39" t="s">
        <v>173</v>
      </c>
      <c r="I230" s="39" t="s">
        <v>173</v>
      </c>
      <c r="J230" s="40" t="n">
        <v>0</v>
      </c>
      <c r="K230" s="31" t="s">
        <v>287</v>
      </c>
    </row>
    <row r="231" customFormat="false" ht="15" hidden="false" customHeight="false" outlineLevel="0" collapsed="false">
      <c r="A231" s="31" t="s">
        <v>134</v>
      </c>
      <c r="B231" s="31" t="s">
        <v>300</v>
      </c>
      <c r="C231" s="31" t="n">
        <v>1</v>
      </c>
      <c r="D231" s="31" t="n">
        <v>1</v>
      </c>
      <c r="E231" s="31" t="n">
        <v>0</v>
      </c>
      <c r="F231" s="39" t="n">
        <v>1171890</v>
      </c>
      <c r="G231" s="39" t="n">
        <v>1171890</v>
      </c>
      <c r="H231" s="39" t="s">
        <v>173</v>
      </c>
      <c r="I231" s="39" t="s">
        <v>173</v>
      </c>
      <c r="J231" s="40" t="n">
        <v>0</v>
      </c>
      <c r="K231" s="31" t="s">
        <v>287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6"/>
  </cols>
  <sheetData>
    <row r="1" customFormat="false" ht="19.7" hidden="false" customHeight="false" outlineLevel="0" collapsed="false">
      <c r="B1" s="41" t="s">
        <v>309</v>
      </c>
      <c r="C1" s="41"/>
    </row>
    <row r="3" customFormat="false" ht="15" hidden="false" customHeight="false" outlineLevel="0" collapsed="false">
      <c r="B3" s="42" t="s">
        <v>310</v>
      </c>
      <c r="C3" s="43" t="s">
        <v>311</v>
      </c>
    </row>
    <row r="4" customFormat="false" ht="15" hidden="false" customHeight="false" outlineLevel="0" collapsed="false">
      <c r="B4" s="42" t="s">
        <v>28</v>
      </c>
      <c r="C4" s="43" t="s">
        <v>312</v>
      </c>
    </row>
    <row r="5" customFormat="false" ht="33.75" hidden="false" customHeight="true" outlineLevel="0" collapsed="false">
      <c r="B5" s="42" t="s">
        <v>313</v>
      </c>
      <c r="C5" s="43" t="s">
        <v>314</v>
      </c>
    </row>
    <row r="6" customFormat="false" ht="15" hidden="false" customHeight="false" outlineLevel="0" collapsed="false">
      <c r="B6" s="42" t="s">
        <v>7</v>
      </c>
      <c r="C6" s="43" t="s">
        <v>315</v>
      </c>
    </row>
    <row r="7" customFormat="false" ht="33.75" hidden="false" customHeight="true" outlineLevel="0" collapsed="false">
      <c r="B7" s="42" t="s">
        <v>8</v>
      </c>
      <c r="C7" s="43" t="s">
        <v>316</v>
      </c>
    </row>
    <row r="8" customFormat="false" ht="33.75" hidden="false" customHeight="true" outlineLevel="0" collapsed="false">
      <c r="B8" s="42" t="s">
        <v>20</v>
      </c>
      <c r="C8" s="43" t="s">
        <v>317</v>
      </c>
    </row>
    <row r="9" customFormat="false" ht="33.75" hidden="false" customHeight="true" outlineLevel="0" collapsed="false">
      <c r="B9" s="42" t="s">
        <v>34</v>
      </c>
      <c r="C9" s="43" t="s">
        <v>318</v>
      </c>
    </row>
    <row r="10" customFormat="false" ht="33.75" hidden="false" customHeight="true" outlineLevel="0" collapsed="false">
      <c r="B10" s="42" t="s">
        <v>161</v>
      </c>
      <c r="C10" s="43" t="s">
        <v>319</v>
      </c>
    </row>
    <row r="11" customFormat="false" ht="15" hidden="false" customHeight="false" outlineLevel="0" collapsed="false">
      <c r="B11" s="42" t="s">
        <v>320</v>
      </c>
      <c r="C11" s="43" t="s">
        <v>321</v>
      </c>
    </row>
  </sheetData>
  <mergeCells count="1">
    <mergeCell ref="B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2026-06-19T08:56:41Z</dcterms:created>
  <dc:creator>openpyxl</dc:creator>
  <dc:description/>
  <dc:language>en-US</dc:language>
  <cp:lastModifiedBy/>
  <dcterms:modified xsi:type="dcterms:W3CDTF">2026-06-19T08:56:41Z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
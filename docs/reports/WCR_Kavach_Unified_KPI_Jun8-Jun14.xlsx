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8530" windowHeight="6950" activeTab="1"/>
  </bookViews>
  <sheets>
    <sheet name="Unified KPI" sheetId="1" r:id="rId1"/>
    <sheet name="Daily Breakdown" sheetId="2" r:id="rId2"/>
    <sheet name="EB Detail" sheetId="3" r:id="rId3"/>
    <sheet name="KM Verification" sheetId="4" r:id="rId4"/>
    <sheet name="Methodology" sheetId="5" r:id="rId5"/>
  </sheets>
  <calcPr calcId="144525"/>
</workbook>
</file>

<file path=xl/sharedStrings.xml><?xml version="1.0" encoding="utf-8"?>
<sst xmlns="http://schemas.openxmlformats.org/spreadsheetml/2006/main" count="2962" uniqueCount="533">
  <si>
    <t>WCR — Kavach Unified KPI</t>
  </si>
  <si>
    <t>Period: Jun8 - Jun14 (custom)  ·  all locomotives  ·  one combined row</t>
  </si>
  <si>
    <t>Month</t>
  </si>
  <si>
    <t>Zone</t>
  </si>
  <si>
    <t>Section</t>
  </si>
  <si>
    <t>No Of Trips</t>
  </si>
  <si>
    <t>Total KMs Run On Kavach</t>
  </si>
  <si>
    <t>Availability (FS+OS)</t>
  </si>
  <si>
    <t>Total EB</t>
  </si>
  <si>
    <t>EB (Valid Trips)</t>
  </si>
  <si>
    <t>EB (Non-Valid Trips)</t>
  </si>
  <si>
    <t>EB per Trip</t>
  </si>
  <si>
    <t>EB per KM</t>
  </si>
  <si>
    <t>EB per 100 KM</t>
  </si>
  <si>
    <t>EB per Trip per 1000 KM</t>
  </si>
  <si>
    <t>Total Mode Degradation</t>
  </si>
  <si>
    <t>Mode Degradation per Trip</t>
  </si>
  <si>
    <t>Mode Degradation per KM</t>
  </si>
  <si>
    <t>Mode Degradation per Trip per 100 KM</t>
  </si>
  <si>
    <t>Mode Degradation per 100 KM</t>
  </si>
  <si>
    <t>Undesirable EB</t>
  </si>
  <si>
    <t>UNIFIED KPI</t>
  </si>
  <si>
    <t xml:space="preserve">Jun8 - Jun14 </t>
  </si>
  <si>
    <t>WCR</t>
  </si>
  <si>
    <t>33001_IBH-265 to 33132_IBH_1</t>
  </si>
  <si>
    <t>Daily Breakdown — by day and locomotive (all locos)</t>
  </si>
  <si>
    <t>Date</t>
  </si>
  <si>
    <t>Loco ID</t>
  </si>
  <si>
    <t>No of Trips</t>
  </si>
  <si>
    <t>Total KMs</t>
  </si>
  <si>
    <t>FS+OS pkts</t>
  </si>
  <si>
    <t>Total pkts</t>
  </si>
  <si>
    <t>EB (Valid)</t>
  </si>
  <si>
    <t>EB (Non-Valid)</t>
  </si>
  <si>
    <t>Mode Degradation</t>
  </si>
  <si>
    <t>8 Jun</t>
  </si>
  <si>
    <t>37577</t>
  </si>
  <si>
    <t>30460</t>
  </si>
  <si>
    <t>43821</t>
  </si>
  <si>
    <t>39014</t>
  </si>
  <si>
    <t>30334</t>
  </si>
  <si>
    <t>37569</t>
  </si>
  <si>
    <t>37312</t>
  </si>
  <si>
    <t>37257</t>
  </si>
  <si>
    <t>30752</t>
  </si>
  <si>
    <t>39066</t>
  </si>
  <si>
    <t>30223</t>
  </si>
  <si>
    <t>30114</t>
  </si>
  <si>
    <t>37885</t>
  </si>
  <si>
    <t>30335</t>
  </si>
  <si>
    <t>30464</t>
  </si>
  <si>
    <t>39252</t>
  </si>
  <si>
    <t>30339</t>
  </si>
  <si>
    <t>37507</t>
  </si>
  <si>
    <t>30567</t>
  </si>
  <si>
    <t>37031</t>
  </si>
  <si>
    <t>37219</t>
  </si>
  <si>
    <t>39046</t>
  </si>
  <si>
    <t>37366</t>
  </si>
  <si>
    <t>30435</t>
  </si>
  <si>
    <t>39243</t>
  </si>
  <si>
    <t>39108</t>
  </si>
  <si>
    <t>37540</t>
  </si>
  <si>
    <t>30739</t>
  </si>
  <si>
    <t>41696</t>
  </si>
  <si>
    <t>30572</t>
  </si>
  <si>
    <t>37818</t>
  </si>
  <si>
    <t>37131</t>
  </si>
  <si>
    <t>30488</t>
  </si>
  <si>
    <t>30665</t>
  </si>
  <si>
    <t>37056</t>
  </si>
  <si>
    <t>32145</t>
  </si>
  <si>
    <t>39245</t>
  </si>
  <si>
    <t>30511</t>
  </si>
  <si>
    <t>37664</t>
  </si>
  <si>
    <t>Day Total</t>
  </si>
  <si>
    <t>9 Jun</t>
  </si>
  <si>
    <t>37073</t>
  </si>
  <si>
    <t>37019</t>
  </si>
  <si>
    <t>30240</t>
  </si>
  <si>
    <t>39466</t>
  </si>
  <si>
    <t>37063</t>
  </si>
  <si>
    <t>37286</t>
  </si>
  <si>
    <t>39328</t>
  </si>
  <si>
    <t>39035</t>
  </si>
  <si>
    <t>37086</t>
  </si>
  <si>
    <t>30466</t>
  </si>
  <si>
    <t>30176</t>
  </si>
  <si>
    <t>30234</t>
  </si>
  <si>
    <t>32763</t>
  </si>
  <si>
    <t>37470</t>
  </si>
  <si>
    <t>37248</t>
  </si>
  <si>
    <t>37369</t>
  </si>
  <si>
    <t>37189</t>
  </si>
  <si>
    <t>37955</t>
  </si>
  <si>
    <t>39007</t>
  </si>
  <si>
    <t>39421</t>
  </si>
  <si>
    <t>10 Jun</t>
  </si>
  <si>
    <t>37383</t>
  </si>
  <si>
    <t>37853</t>
  </si>
  <si>
    <t>37847</t>
  </si>
  <si>
    <t>30351</t>
  </si>
  <si>
    <t>37639</t>
  </si>
  <si>
    <t>37356</t>
  </si>
  <si>
    <t>39244</t>
  </si>
  <si>
    <t>30181</t>
  </si>
  <si>
    <t>30440</t>
  </si>
  <si>
    <t>30395</t>
  </si>
  <si>
    <t>30576</t>
  </si>
  <si>
    <t>30197</t>
  </si>
  <si>
    <t>37846</t>
  </si>
  <si>
    <t>39334</t>
  </si>
  <si>
    <t>37103</t>
  </si>
  <si>
    <t>11 Jun</t>
  </si>
  <si>
    <t>37493</t>
  </si>
  <si>
    <t>39239</t>
  </si>
  <si>
    <t>39107</t>
  </si>
  <si>
    <t>37466</t>
  </si>
  <si>
    <t>30343</t>
  </si>
  <si>
    <t>37845</t>
  </si>
  <si>
    <t>30119</t>
  </si>
  <si>
    <t>30358</t>
  </si>
  <si>
    <t>12 Jun</t>
  </si>
  <si>
    <t>37266</t>
  </si>
  <si>
    <t>39331</t>
  </si>
  <si>
    <t>30806</t>
  </si>
  <si>
    <t>37091</t>
  </si>
  <si>
    <t>39287</t>
  </si>
  <si>
    <t>30507</t>
  </si>
  <si>
    <t>37275</t>
  </si>
  <si>
    <t>30472</t>
  </si>
  <si>
    <t>37361</t>
  </si>
  <si>
    <t>37618</t>
  </si>
  <si>
    <t>37458</t>
  </si>
  <si>
    <t>39199</t>
  </si>
  <si>
    <t>39516</t>
  </si>
  <si>
    <t>39161</t>
  </si>
  <si>
    <t>37903</t>
  </si>
  <si>
    <t>30391</t>
  </si>
  <si>
    <t>13 Jun</t>
  </si>
  <si>
    <t>30397</t>
  </si>
  <si>
    <t>37321</t>
  </si>
  <si>
    <t>37355</t>
  </si>
  <si>
    <t>37048</t>
  </si>
  <si>
    <t>39336</t>
  </si>
  <si>
    <t>37028</t>
  </si>
  <si>
    <t>30828</t>
  </si>
  <si>
    <t>30817</t>
  </si>
  <si>
    <t>37636</t>
  </si>
  <si>
    <t>14 Jun</t>
  </si>
  <si>
    <t>39029</t>
  </si>
  <si>
    <t>39521</t>
  </si>
  <si>
    <t>37856</t>
  </si>
  <si>
    <t>37163</t>
  </si>
  <si>
    <t>37793</t>
  </si>
  <si>
    <t>37471</t>
  </si>
  <si>
    <t>37035</t>
  </si>
  <si>
    <t>37322</t>
  </si>
  <si>
    <t>39125</t>
  </si>
  <si>
    <t>39072</t>
  </si>
  <si>
    <t>39340</t>
  </si>
  <si>
    <t>39530</t>
  </si>
  <si>
    <t>30716</t>
  </si>
  <si>
    <t>37629</t>
  </si>
  <si>
    <t>37054</t>
  </si>
  <si>
    <t>30608</t>
  </si>
  <si>
    <t>39403</t>
  </si>
  <si>
    <t>39500</t>
  </si>
  <si>
    <t>39155</t>
  </si>
  <si>
    <t>30006</t>
  </si>
  <si>
    <t>GRAND TOTAL</t>
  </si>
  <si>
    <t>EB Detail — every Emergency-Brake event, with speed / MA / Emergency diagnostics + undesirable classification</t>
  </si>
  <si>
    <t>Total EB = 25   ·   Valid trips = 1   ·   Non-valid trips = 24   ·   Undesirable = 18</t>
  </si>
  <si>
    <t>Trip Type</t>
  </si>
  <si>
    <t>Onset</t>
  </si>
  <si>
    <t>End</t>
  </si>
  <si>
    <t>Duration (s)</t>
  </si>
  <si>
    <t>EB Packets</t>
  </si>
  <si>
    <t>Max Speed</t>
  </si>
  <si>
    <t>Mode @onset</t>
  </si>
  <si>
    <t>Location (km)</t>
  </si>
  <si>
    <t>Dir</t>
  </si>
  <si>
    <t>Station</t>
  </si>
  <si>
    <t>Speed at EB (PG check)</t>
  </si>
  <si>
    <t>MA wrt Sig</t>
  </si>
  <si>
    <t>Emergency (LReg)</t>
  </si>
  <si>
    <t>Suspected Reason (undesirable)</t>
  </si>
  <si>
    <t>Non-Valid</t>
  </si>
  <si>
    <t>00:45:34</t>
  </si>
  <si>
    <t>00:45:48</t>
  </si>
  <si>
    <t>SR</t>
  </si>
  <si>
    <t>U</t>
  </si>
  <si>
    <t>Bayana Jn.(BXN)</t>
  </si>
  <si>
    <t>27 km/h</t>
  </si>
  <si>
    <t>6787</t>
  </si>
  <si>
    <t>-</t>
  </si>
  <si>
    <t>FS-&gt;SR degradation + EB</t>
  </si>
  <si>
    <t>00:59:34</t>
  </si>
  <si>
    <t>01:00:24</t>
  </si>
  <si>
    <t>Pingora(PNGR)</t>
  </si>
  <si>
    <t>130 km/h</t>
  </si>
  <si>
    <t>6152</t>
  </si>
  <si>
    <t>03:23:50</t>
  </si>
  <si>
    <t>03:24:06</t>
  </si>
  <si>
    <t>N</t>
  </si>
  <si>
    <t>IBH-125</t>
  </si>
  <si>
    <t>77 km/h</t>
  </si>
  <si>
    <t>n/a</t>
  </si>
  <si>
    <t>04:17:58</t>
  </si>
  <si>
    <t>04:18:58</t>
  </si>
  <si>
    <t>TRIP</t>
  </si>
  <si>
    <t>Gangapur City(GGC)</t>
  </si>
  <si>
    <t>5 km/h</t>
  </si>
  <si>
    <t>0
MA dropped from 1010 to 0.</t>
  </si>
  <si>
    <t>Sudden MA drop; Trip mode</t>
  </si>
  <si>
    <t>12:24:22</t>
  </si>
  <si>
    <t>12:28:50</t>
  </si>
  <si>
    <t>OS</t>
  </si>
  <si>
    <t>Arnetha(ARE)</t>
  </si>
  <si>
    <t>92 km/h</t>
  </si>
  <si>
    <t>Emergency: SOS</t>
  </si>
  <si>
    <t>05:36:30</t>
  </si>
  <si>
    <t>05:37:00</t>
  </si>
  <si>
    <t>R</t>
  </si>
  <si>
    <t>Morak(MKX)</t>
  </si>
  <si>
    <t>28 km/h</t>
  </si>
  <si>
    <t>0
MA dropped from 577 to 0.</t>
  </si>
  <si>
    <t>Valid</t>
  </si>
  <si>
    <t>06:28:46</t>
  </si>
  <si>
    <t>06:28:54</t>
  </si>
  <si>
    <t>StandBy</t>
  </si>
  <si>
    <t>IBH KIW-DARA</t>
  </si>
  <si>
    <t>71 km/h</t>
  </si>
  <si>
    <t>7649</t>
  </si>
  <si>
    <t>13:32:44</t>
  </si>
  <si>
    <t>13:32:54</t>
  </si>
  <si>
    <t>Garoth(GOH)</t>
  </si>
  <si>
    <t>3482</t>
  </si>
  <si>
    <t>19:02:06</t>
  </si>
  <si>
    <t>FS</t>
  </si>
  <si>
    <t>2.0 KM from RWJ</t>
  </si>
  <si>
    <t>128 km/h</t>
  </si>
  <si>
    <t>362</t>
  </si>
  <si>
    <t>05:01:32</t>
  </si>
  <si>
    <t>05:02:54</t>
  </si>
  <si>
    <t>Kota Jn.(KOTA) CENTRAL</t>
  </si>
  <si>
    <t>62 km/h</t>
  </si>
  <si>
    <t>05:04:06</t>
  </si>
  <si>
    <t>POSTTRIP</t>
  </si>
  <si>
    <t>KOTA SOUTH</t>
  </si>
  <si>
    <t>0 km/h</t>
  </si>
  <si>
    <t>0</t>
  </si>
  <si>
    <t>SOS</t>
  </si>
  <si>
    <t>Emergency: SOS; EB at 0-1 km/h</t>
  </si>
  <si>
    <t>10:25:02</t>
  </si>
  <si>
    <t>10:25:08</t>
  </si>
  <si>
    <t>Gurla(GQL)</t>
  </si>
  <si>
    <t>10 km/h</t>
  </si>
  <si>
    <t>10:26:36</t>
  </si>
  <si>
    <t>10:26:38</t>
  </si>
  <si>
    <t>1 km/h</t>
  </si>
  <si>
    <t>EB at 0-1 km/h; Trip mode</t>
  </si>
  <si>
    <t>12:47:40</t>
  </si>
  <si>
    <t>12:48:04</t>
  </si>
  <si>
    <t>250</t>
  </si>
  <si>
    <t>Trip mode</t>
  </si>
  <si>
    <t>12:26:50</t>
  </si>
  <si>
    <t>12:27:36</t>
  </si>
  <si>
    <t>DakaniyaTalav(DKNT)</t>
  </si>
  <si>
    <t>200</t>
  </si>
  <si>
    <t>12:28:58</t>
  </si>
  <si>
    <t>12:29:00</t>
  </si>
  <si>
    <t>EB at 0-1 km/h</t>
  </si>
  <si>
    <t>12:29:46</t>
  </si>
  <si>
    <t>12:29:48</t>
  </si>
  <si>
    <t>17:39:38</t>
  </si>
  <si>
    <t>17:41:34</t>
  </si>
  <si>
    <t>54 km/h</t>
  </si>
  <si>
    <t>19:58:54</t>
  </si>
  <si>
    <t>20:00:58</t>
  </si>
  <si>
    <t>8 km/h</t>
  </si>
  <si>
    <t>4954</t>
  </si>
  <si>
    <t>05:22:16</t>
  </si>
  <si>
    <t>IBH-55(7.5KM from GOH)</t>
  </si>
  <si>
    <t>125 km/h</t>
  </si>
  <si>
    <t>5010</t>
  </si>
  <si>
    <t>07:52:26</t>
  </si>
  <si>
    <t>07:53:14</t>
  </si>
  <si>
    <t>Failure</t>
  </si>
  <si>
    <t>IBH-RWJ</t>
  </si>
  <si>
    <t>127 km/h</t>
  </si>
  <si>
    <t>6865</t>
  </si>
  <si>
    <t>Failure mode</t>
  </si>
  <si>
    <t>08:33:18</t>
  </si>
  <si>
    <t>08:33:54</t>
  </si>
  <si>
    <t>Malarna(MLZ)</t>
  </si>
  <si>
    <t>102 km/h</t>
  </si>
  <si>
    <t>6534</t>
  </si>
  <si>
    <t>03:56:46</t>
  </si>
  <si>
    <t>03:57:44</t>
  </si>
  <si>
    <t>4 km/h</t>
  </si>
  <si>
    <t>05:07:02</t>
  </si>
  <si>
    <t>05:07:08</t>
  </si>
  <si>
    <t>SawaiMadhopurJn(SWM)</t>
  </si>
  <si>
    <t>9 km/h</t>
  </si>
  <si>
    <t>05:07:36</t>
  </si>
  <si>
    <t>05:07:40</t>
  </si>
  <si>
    <t>KM Verification  -  KM = (In-section Max Abs  -  In-section Min Abs) / 1000</t>
  </si>
  <si>
    <t>Section window: abs 699070 - 1243994  (33001_IBH-265 to 33132_IBH_1).  Only positions inside this window count; 8388607 'unknown' is excluded.  'In Report'=No means no in-section travel (dropped).</t>
  </si>
  <si>
    <t>Valid-abs pkts</t>
  </si>
  <si>
    <t>In-section pkts</t>
  </si>
  <si>
    <t>Raw Min Abs</t>
  </si>
  <si>
    <t>Raw Max Abs</t>
  </si>
  <si>
    <t>In-sec Min Abs</t>
  </si>
  <si>
    <t>In-sec Max Abs</t>
  </si>
  <si>
    <t>KM = (Max-Min)/1000</t>
  </si>
  <si>
    <t>In Report?</t>
  </si>
  <si>
    <t>Stations Passed (of 124)</t>
  </si>
  <si>
    <t>Stations Not Passed (if &lt; full trip)</t>
  </si>
  <si>
    <t>Yes</t>
  </si>
  <si>
    <t>- (full trip)</t>
  </si>
  <si>
    <t>IBH 265, Murhesi Rampur(MSRP), IBH/LC-258, Jajjanpatti(JJA), DhaurmuiJaghina(DUM), IBH-247, Bharatpur Jn.(BTE), IBH-242, Sewar(SWAR), IBH-JCU, LC-232, Pingora(PNGR), IBH-229, 2.35 KM from KEV, Kela Devi(KEV), IBH-224</t>
  </si>
  <si>
    <t>3.0 Km From SGZ, IBH-HNU, Suwasra(SVA), NathuKheri(NKH), 4.5 KM from CMU, Chau Mahla(CMU), Talavli(TLZ), LC-28, IBH-27, Thuria(THUR), IBH-23, VikramgarhA lot(VMA), IBH-17, LuniRichha(LNR), IBH-10, Mehidpur Road(MEP), 3.9 KM  from RLK, Rohalkhurd(RLK), LC-3, IBH-1</t>
  </si>
  <si>
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</si>
  <si>
    <t>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</si>
  <si>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IBH-17, LuniRichha(LNR), IBH-10  ...(+5 more)</t>
  </si>
  <si>
    <t>IBH 265, Murhesi Rampur(MSRP), IBH/LC-258, Jajjanpatti(JJA), DhaurmuiJaghina(DUM), IBH-247, Bharatpur Jn.(BTE), IBH-242, Sewar(SWAR), IBH-JCU, LC-232, Pingora(PNGR), IBH-229, 2.35 KM from KEV, Kela Devi(KEV),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  ...(+11 more)</t>
  </si>
  <si>
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</si>
  <si>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...(+19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</si>
  <si>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...(+21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</si>
  <si>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...(+26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</si>
  <si>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</si>
  <si>
    <t>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  ...(+33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</si>
  <si>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2.85 KM from MKX, Morak(MKX), IBH RMA-MKX  ...(+32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</si>
  <si>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</si>
  <si>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Kota Jn.(KOTA) CENTRAL, KOTA SOUTH  ...(+45 more)</t>
  </si>
  <si>
    <t>IBH 265, Murhesi Rampur(MSRP), IBH/LC-258, Jajjanpatti(JJA), DhaurmuiJaghina(DUM), IBH-247, Bharatpur Jn.(BTE), IBH-242, Sewar(SWAR), IBH-JCU, LC-232,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  ...(+54 more)</t>
  </si>
  <si>
    <t>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  ...(+53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</si>
  <si>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...(+59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</si>
  <si>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...(+58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</si>
  <si>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...(+66 more)</t>
  </si>
  <si>
    <t>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  ...(+70 more)</t>
  </si>
  <si>
    <t>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  ...(+71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</si>
  <si>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...(+69 more)</t>
  </si>
  <si>
    <t>IBH 265, Murhesi Rampur(MSRP), IBH/LC-258, Jajjanpatti(JJA), DhaurmuiJaghina(DUM), IBH-247,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</si>
  <si>
    <t>No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</si>
  <si>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</si>
  <si>
    <t>30206</t>
  </si>
  <si>
    <t>30336</t>
  </si>
  <si>
    <t>30543</t>
  </si>
  <si>
    <t>37120</t>
  </si>
  <si>
    <t>37134</t>
  </si>
  <si>
    <t>37314</t>
  </si>
  <si>
    <t>37328</t>
  </si>
  <si>
    <t>37339</t>
  </si>
  <si>
    <t>37380</t>
  </si>
  <si>
    <t>37420</t>
  </si>
  <si>
    <t>37467</t>
  </si>
  <si>
    <t>37552</t>
  </si>
  <si>
    <t>37725</t>
  </si>
  <si>
    <t>37858</t>
  </si>
  <si>
    <t>39105</t>
  </si>
  <si>
    <t>39131</t>
  </si>
  <si>
    <t>39264</t>
  </si>
  <si>
    <t>45049</t>
  </si>
  <si>
    <t>52196</t>
  </si>
  <si>
    <t>IBH 265, Murhesi Rampur(MSRP), IBH/LC-258, Jajjanpatti(JJA), DhaurmuiJaghina(DUM), IBH-247, LuniRichha(LNR), IBH-10, Mehidpur Road(MEP), 3.9 KM  from RLK, Rohalkhurd(RLK), LC-3, IBH-1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</si>
  <si>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</si>
  <si>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</t>
  </si>
  <si>
    <t>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</si>
  <si>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</si>
  <si>
    <t>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</si>
  <si>
    <t>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  ...(+2 more)</t>
  </si>
  <si>
    <t>IBH 265, Murhesi Rampur(MSRP), IBH/LC-258, Jajjanpatti(JJA), DhaurmuiJaghina(DUM), IBH-247, Bharatpur Jn.(BTE), IBH-242, Sewar(SWAR), IBH-JCU, LC-232, Pingora(PNGR), IBH-229, 2.35 KM from KEV, Kela Devi(KEV), IBH-224,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  ...(+3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</si>
  <si>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...(+23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</si>
  <si>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...(+28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</si>
  <si>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  ...(+24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</si>
  <si>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...(+35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</si>
  <si>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KOTA SOUTH, DakaniyaTalav(DKNT), Dadhdevi(DDV), ALNI/DDV, Alniya(ALNI), IBH DHANIKASAR, Ravtha Road(RDT), IBH-95(7.25KM FROM DARA), Dara(DARA), IBH KIW-DARA, Kanwalpura(KIW), 2.85 KM from MKX, Morak(MKX), IBH RMA-MKX, RamganjMandi(RMA), IBH-79, Jhalawar Road(JHW)  ...(+29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</si>
  <si>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...(+38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</si>
  <si>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...(+55 more)</t>
  </si>
  <si>
    <t>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  ...(+61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</si>
  <si>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...(+62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</si>
  <si>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...(+64 more)</t>
  </si>
  <si>
    <t>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  ...(+66 more)</t>
  </si>
  <si>
    <t>30038</t>
  </si>
  <si>
    <t>30046</t>
  </si>
  <si>
    <t>30202</t>
  </si>
  <si>
    <t>30220</t>
  </si>
  <si>
    <t>30264</t>
  </si>
  <si>
    <t>30537</t>
  </si>
  <si>
    <t>30620</t>
  </si>
  <si>
    <t>33944</t>
  </si>
  <si>
    <t>35038</t>
  </si>
  <si>
    <t>37158</t>
  </si>
  <si>
    <t>37197</t>
  </si>
  <si>
    <t>37251</t>
  </si>
  <si>
    <t>37398</t>
  </si>
  <si>
    <t>37468</t>
  </si>
  <si>
    <t>37515</t>
  </si>
  <si>
    <t>39008</t>
  </si>
  <si>
    <t>39217</t>
  </si>
  <si>
    <t>39337</t>
  </si>
  <si>
    <t>39352</t>
  </si>
  <si>
    <t>39353</t>
  </si>
  <si>
    <t>39461</t>
  </si>
  <si>
    <t>39493</t>
  </si>
  <si>
    <t>39501</t>
  </si>
  <si>
    <t>IBH 265, Murhesi Rampur(MSRP), IBH/LC-258, Jajjanpatti(JJA), DhaurmuiJaghina(DUM), IBH-247, Bharatpur Jn.(BTE)</t>
  </si>
  <si>
    <t>Thuria(THUR), IBH-23, VikramgarhA lot(VMA), IBH-17, LuniRichha(LNR), IBH-10, Mehidpur Road(MEP), 3.9 KM  from RLK, Rohalkhurd(RLK), LC-3, IBH-1</t>
  </si>
  <si>
    <t>Suwasra(SVA), NathuKheri(NKH), 4.5 KM from CMU, Chau Mahla(CMU), Talavli(TLZ), LC-28, IBH-27, Thuria(THUR), IBH-23, VikramgarhA lot(VMA), IBH-17, LuniRichha(LNR), IBH-10, Mehidpur Road(MEP), 3.9 KM  from RLK, Rohalkhurd(RLK), LC-3, IBH-1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</si>
  <si>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</si>
  <si>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Bhawani Mandi(BWM), IBH-61(LC-60), Kurlasi(KRLS), IBH-55(7.5KM from GOH), Garoth(GOH), IBH-48, Shamgarh(SGZ), 3.0 Km From SGZ, IBH-HNU, Suwasra(SVA), NathuKheri(NKH), 4.5 KM from CMU, Chau Mahla(CMU), Talavli(TLZ), LC-28, IBH-27, Thuria(THUR)  ...(+10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</si>
  <si>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...(+25 more)</t>
  </si>
  <si>
    <t>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  ...(+26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</si>
  <si>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...(+30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</si>
  <si>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  ...(+25 more)</t>
  </si>
  <si>
    <t>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  ...(+32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</si>
  <si>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...(+36 more)</t>
  </si>
  <si>
    <t>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  ...(+37 more)</t>
  </si>
  <si>
    <t>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  ...(+49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</si>
  <si>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2.75 KM from GQL (LC-113), Gurla(GQL), KOTA C  ...(+47 more)</t>
  </si>
  <si>
    <t>IBH 265, Murhesi Rampur(MSRP), IBH/LC-258, Jajjanpatti(JJA), DhaurmuiJaghina(DUM), IBH-247,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  ...(+59 more)</t>
  </si>
  <si>
    <t>IBH 265, Murhesi Rampur(MSRP), IBH/LC-258, Jajjanpatti(JJA), DhaurmuiJaghina(DUM), IBH-247,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  ...(+64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</si>
  <si>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...(+67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</si>
  <si>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...(+71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</si>
  <si>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...(+72 more)</t>
  </si>
  <si>
    <t>30520</t>
  </si>
  <si>
    <t>30542</t>
  </si>
  <si>
    <t>30592</t>
  </si>
  <si>
    <t>30822</t>
  </si>
  <si>
    <t>37335</t>
  </si>
  <si>
    <t>37424</t>
  </si>
  <si>
    <t>37474</t>
  </si>
  <si>
    <t>39149</t>
  </si>
  <si>
    <t>39439</t>
  </si>
  <si>
    <t>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</si>
  <si>
    <t>39565</t>
  </si>
  <si>
    <t>IBH 265, Murhesi Rampur(MSRP), IBH/LC-258, Jajjanpatti(JJA), DhaurmuiJaghina(DUM), IBH-247</t>
  </si>
  <si>
    <t>IBH-HNU, Suwasra(SVA), NathuKheri(NKH), 4.5 KM from CMU, Chau Mahla(CMU), Talavli(TLZ), LC-28, IBH-27, Thuria(THUR), IBH-23, VikramgarhA lot(VMA), IBH-17, LuniRichha(LNR), IBH-10, Mehidpur Road(MEP), 3.9 KM  from RLK, Rohalkhurd(RLK), LC-3, IBH-1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</si>
  <si>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</t>
  </si>
  <si>
    <t>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</si>
  <si>
    <t>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</si>
  <si>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...(+34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</si>
  <si>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Jhalawar Road(JHW), DhuanKheri(DKRA), IBH-69  ...(+27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</si>
  <si>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  ...(+27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</si>
  <si>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...(+46 more)</t>
  </si>
  <si>
    <t>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  ...(+47 more)</t>
  </si>
  <si>
    <t>30232</t>
  </si>
  <si>
    <t>30307</t>
  </si>
  <si>
    <t>30415</t>
  </si>
  <si>
    <t>30581</t>
  </si>
  <si>
    <t>37265</t>
  </si>
  <si>
    <t>37513</t>
  </si>
  <si>
    <t>37628</t>
  </si>
  <si>
    <t>37816</t>
  </si>
  <si>
    <t>37836</t>
  </si>
  <si>
    <t>39015</t>
  </si>
  <si>
    <t>39164</t>
  </si>
  <si>
    <t>39248</t>
  </si>
  <si>
    <t>39456</t>
  </si>
  <si>
    <t>IBH 265, Murhesi Rampur(MSRP), IBH/LC-258, Jajjanpatti(JJA), DhaurmuiJaghina(DUM), IBH-247, Bharatpur Jn.(BTE), IBH-242, Sewar(SWAR), IBH-JCU, LC-232, Pingora(PNGR), IBH-229, 2.35 KM from KEV, Kela Devi(KEV), IBH-224, Bayana Jn.(BXN), LC-219, LC-217</t>
  </si>
  <si>
    <t>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</si>
  <si>
    <t>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</si>
  <si>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...(+32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</si>
  <si>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  ...(+26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</si>
  <si>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LC-136W  ...(+63 more)</t>
  </si>
  <si>
    <t>IBH 265, Murhesi Rampur(MSRP), IBH/LC-258, Jajjanpatti(JJA), DhaurmuiJaghina(DUM), IBH-247, Bharatpur Jn.(BTE), IBH-242, Sewar(SWAR), IBH-JCU, LC-232, Pingora(PNGR), IBH-229, 2.35 KM from KEV, Kela Devi(KEV), IBH-224,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  ...(+69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</si>
  <si>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IBH-RWJ, 2.0 KM from RWJ, RawanjnaDungar(RWJ)  ...(+71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</si>
  <si>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LC-148, Kushtala(KTA), IBH-RWJ  ...(+73 more)</t>
  </si>
  <si>
    <t>30344</t>
  </si>
  <si>
    <t>30383</t>
  </si>
  <si>
    <t>IBH 265,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  ...(+73 more)</t>
  </si>
  <si>
    <t>30388</t>
  </si>
  <si>
    <t>30405</t>
  </si>
  <si>
    <t>30533</t>
  </si>
  <si>
    <t>30635</t>
  </si>
  <si>
    <t>30643</t>
  </si>
  <si>
    <t>30715</t>
  </si>
  <si>
    <t>37012</t>
  </si>
  <si>
    <t>37249</t>
  </si>
  <si>
    <t>37313</t>
  </si>
  <si>
    <t>37560</t>
  </si>
  <si>
    <t>37656</t>
  </si>
  <si>
    <t>37922</t>
  </si>
  <si>
    <t>38096</t>
  </si>
  <si>
    <t>39005</t>
  </si>
  <si>
    <t>39180</t>
  </si>
  <si>
    <t>39395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</si>
  <si>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...(+12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</si>
  <si>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  ...(+27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</si>
  <si>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Dadhdevi(DDV), ALNI/DDV, Alniya(ALNI)  ...(+41 more)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</si>
  <si>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...(+56 more)</t>
  </si>
  <si>
    <t>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  ...(+67 more)</t>
  </si>
  <si>
    <t>IBH 265, Murhesi Rampur(MSRP),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  ...(+70 more)</t>
  </si>
  <si>
    <t>IBH 265, Murhesi Rampur(MSRP),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  ...(+72 more)</t>
  </si>
  <si>
    <t>IBH 265, Murhesi Rampur(MSRP), IBH/LC-258, Jajjanpatti(JJA), DhaurmuiJaghina(DUM), IBH-247,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  ...(+72 more)</t>
  </si>
  <si>
    <t>30519</t>
  </si>
  <si>
    <t>30810</t>
  </si>
  <si>
    <t>37429</t>
  </si>
  <si>
    <t>37545</t>
  </si>
  <si>
    <t>37564</t>
  </si>
  <si>
    <t>39032</t>
  </si>
  <si>
    <t>39143</t>
  </si>
  <si>
    <t>IBH 265, Murhesi Rampur(MSRP), IBH/LC-258</t>
  </si>
  <si>
    <t>IBH 265, Murhesi Rampur(MSRP), IBH/LC-258, Jajjanpatti(JJA), DhaurmuiJaghina(DUM), IBH-247, Bharatpur Jn.(BTE), IBH-242, Sewar(SWAR), IBH-JCU, LC-232, Pingora(PNGR), IBH-229, 2.35 KM from KEV, Kela Devi(KEV)</t>
  </si>
  <si>
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IBH-23, VikramgarhA lot(VMA), IBH-17  ...(+7 more)</t>
  </si>
  <si>
    <t>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  ...(+40 more)</t>
  </si>
  <si>
    <t>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  ...(+50 more)</t>
  </si>
  <si>
    <t>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  ...(+52 more)</t>
  </si>
  <si>
    <t>IBH 265, Murhesi Rampur(MSRP),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  ...(+55 more)</t>
  </si>
  <si>
    <t>IBH 265, Murhesi Rampur(MSRP), IBH/LC-258, Jajjanpatti(JJA), DhaurmuiJaghina(DUM),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  ...(+72 more)</t>
  </si>
  <si>
    <t>30302</t>
  </si>
  <si>
    <t>30396</t>
  </si>
  <si>
    <t>37095</t>
  </si>
  <si>
    <t>37340</t>
  </si>
  <si>
    <t>37464</t>
  </si>
  <si>
    <t>37796</t>
  </si>
  <si>
    <t>37917</t>
  </si>
  <si>
    <t>39154</t>
  </si>
  <si>
    <t>Methodology</t>
  </si>
  <si>
    <t>Excluded</t>
  </si>
  <si>
    <t>Loco-days with 0 km in the section (abs never inside the section, i.e. no section travel) are dropped from the report, unless they completed a trip.</t>
  </si>
  <si>
    <t>A direction-run covering within 5 km of its line length (DN 535.7 / UP 544.9 km) = one FULL trip; out-and-back = 2. A loco with &gt;=1 full trip is 'valid' (its EBs count as Valid). KM Verification lists each loco-day's stations passed / not passed.</t>
  </si>
  <si>
    <t>Total KMs Run on Kavach</t>
  </si>
  <si>
    <t>Section coverage per loco = how far it travelled across the section = (max - min) of its abs within the section limits (699070-1243994). Capped at the section length; 0 if the loco never reported inside the section.</t>
  </si>
  <si>
    <t>Packets in FS or OnSight ÷ all packets (all modes) × 100.</t>
  </si>
  <si>
    <t>EB events in LReg brake status; one continuous hold = 1 (lost-packet gaps bridged, new event only at a real release). Split into Valid (trip locos) / Non-Valid.</t>
  </si>
  <si>
    <t>FS→Trip/LS/SR/Standby &amp; OS→SR/Standby (every transition). Excluded: start-of-mission/re-init SR, NonLeading→SR, FS→SR at 0 km/h, boundary-station re-init (917-reverse).</t>
  </si>
  <si>
    <t>EB diagnostics</t>
  </si>
  <si>
    <t>Speed at EB + flag a PG issue only if it jumps &gt;=6 km/h vs the IMMEDIATELY preceding packet AND that packet is within 2 s of the EB (if the previous packet was lost, no PG flag); MA from SReg 'MA wrt Sig' + flag drop &gt;500; Emergency from LReg.</t>
  </si>
  <si>
    <t>Ratios</t>
  </si>
  <si>
    <t>per Trip=÷Trips; per KM=÷KM; per 100 KM=÷KM×100; per Trip per 1000 KM=÷(Trips×KM/1000); per Trip per 100 KM=÷(Trips×KM/100).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</si>
</sst>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  <numFmt numFmtId="180" formatCode="#,##0.0"/>
    <numFmt numFmtId="181" formatCode="0.0000"/>
    <numFmt numFmtId="182" formatCode="0.00000"/>
    <numFmt numFmtId="183" formatCode="0.000"/>
  </numFmts>
  <fonts count="35">
    <font>
      <sz val="11"/>
      <color theme="1"/>
      <name val="Calibri"/>
      <charset val="134"/>
      <scheme val="minor"/>
    </font>
    <font>
      <b/>
      <sz val="16"/>
      <color rgb="FF1F3864"/>
      <name val="Arial"/>
      <charset val="134"/>
    </font>
    <font>
      <b/>
      <sz val="11"/>
      <color rgb="FF2E5496"/>
      <name val="Arial"/>
      <charset val="134"/>
    </font>
    <font>
      <sz val="10"/>
      <name val="Arial"/>
      <charset val="134"/>
    </font>
    <font>
      <b/>
      <sz val="13"/>
      <color rgb="FF1F3864"/>
      <name val="Arial"/>
      <charset val="134"/>
    </font>
    <font>
      <i/>
      <sz val="9"/>
      <color rgb="FF808080"/>
      <name val="Arial"/>
      <charset val="134"/>
    </font>
    <font>
      <b/>
      <sz val="9"/>
      <color rgb="FFFFFFFF"/>
      <name val="Arial"/>
      <charset val="134"/>
    </font>
    <font>
      <b/>
      <sz val="10"/>
      <color rgb="FF1F3864"/>
      <name val="Arial"/>
      <charset val="134"/>
    </font>
    <font>
      <b/>
      <sz val="10"/>
      <name val="Arial"/>
      <charset val="134"/>
    </font>
    <font>
      <b/>
      <sz val="10"/>
      <color rgb="FFFFFFFF"/>
      <name val="Arial"/>
      <charset val="134"/>
    </font>
    <font>
      <b/>
      <sz val="18"/>
      <color rgb="FF1F3864"/>
      <name val="Arial"/>
      <charset val="134"/>
    </font>
    <font>
      <i/>
      <sz val="10"/>
      <color rgb="FF808080"/>
      <name val="Arial"/>
      <charset val="134"/>
    </font>
    <font>
      <b/>
      <sz val="11"/>
      <name val="Arial"/>
      <charset val="134"/>
    </font>
    <font>
      <b/>
      <sz val="11"/>
      <color rgb="FF1F3864"/>
      <name val="Arial"/>
      <charset val="134"/>
    </font>
    <font>
      <b/>
      <sz val="12"/>
      <color rgb="FF1F3864"/>
      <name val="Arial"/>
      <charset val="134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E549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E0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6" fillId="10" borderId="0" applyNumberFormat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11" borderId="3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7" fillId="15" borderId="5" applyNumberFormat="0" applyFon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9" borderId="2" applyNumberForma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9" fillId="23" borderId="7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0" fillId="23" borderId="2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7" fillId="0" borderId="0" xfId="0" applyFont="1"/>
    <xf numFmtId="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180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180" fontId="8" fillId="4" borderId="1" xfId="0" applyNumberFormat="1" applyFont="1" applyFill="1" applyBorder="1" applyAlignment="1">
      <alignment horizontal="right" vertical="center"/>
    </xf>
    <xf numFmtId="3" fontId="8" fillId="4" borderId="1" xfId="0" applyNumberFormat="1" applyFont="1" applyFill="1" applyBorder="1" applyAlignment="1">
      <alignment horizontal="right" vertical="center"/>
    </xf>
    <xf numFmtId="2" fontId="8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180" fontId="9" fillId="5" borderId="1" xfId="0" applyNumberFormat="1" applyFont="1" applyFill="1" applyBorder="1" applyAlignment="1">
      <alignment horizontal="right" vertical="center"/>
    </xf>
    <xf numFmtId="3" fontId="9" fillId="5" borderId="1" xfId="0" applyNumberFormat="1" applyFont="1" applyFill="1" applyBorder="1" applyAlignment="1">
      <alignment horizontal="right" vertical="center"/>
    </xf>
    <xf numFmtId="2" fontId="9" fillId="5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3" fontId="13" fillId="7" borderId="1" xfId="0" applyNumberFormat="1" applyFont="1" applyFill="1" applyBorder="1" applyAlignment="1">
      <alignment horizontal="center" vertical="center" wrapText="1"/>
    </xf>
    <xf numFmtId="4" fontId="13" fillId="7" borderId="1" xfId="0" applyNumberFormat="1" applyFont="1" applyFill="1" applyBorder="1" applyAlignment="1">
      <alignment horizontal="center" vertical="center" wrapText="1"/>
    </xf>
    <xf numFmtId="2" fontId="13" fillId="7" borderId="1" xfId="0" applyNumberFormat="1" applyFont="1" applyFill="1" applyBorder="1" applyAlignment="1">
      <alignment horizontal="center" vertical="center" wrapText="1"/>
    </xf>
    <xf numFmtId="3" fontId="13" fillId="3" borderId="1" xfId="0" applyNumberFormat="1" applyFont="1" applyFill="1" applyBorder="1" applyAlignment="1">
      <alignment horizontal="center" vertical="center" wrapText="1"/>
    </xf>
    <xf numFmtId="181" fontId="13" fillId="7" borderId="1" xfId="0" applyNumberFormat="1" applyFont="1" applyFill="1" applyBorder="1" applyAlignment="1">
      <alignment horizontal="center" vertical="center" wrapText="1"/>
    </xf>
    <xf numFmtId="182" fontId="13" fillId="7" borderId="1" xfId="0" applyNumberFormat="1" applyFont="1" applyFill="1" applyBorder="1" applyAlignment="1">
      <alignment horizontal="center" vertical="center" wrapText="1"/>
    </xf>
    <xf numFmtId="183" fontId="13" fillId="7" borderId="1" xfId="0" applyNumberFormat="1" applyFont="1" applyFill="1" applyBorder="1" applyAlignment="1">
      <alignment horizontal="center" vertical="center" wrapText="1"/>
    </xf>
    <xf numFmtId="2" fontId="14" fillId="8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showGridLines="0" topLeftCell="M1" workbookViewId="0">
      <selection activeCell="A6" sqref="$A6:$XFD6"/>
    </sheetView>
  </sheetViews>
  <sheetFormatPr defaultColWidth="9" defaultRowHeight="14.5" outlineLevelRow="4"/>
  <cols>
    <col min="1" max="2" width="13" customWidth="1"/>
    <col min="3" max="3" width="15" customWidth="1"/>
    <col min="4" max="9" width="17" customWidth="1"/>
    <col min="10" max="11" width="19" customWidth="1"/>
    <col min="12" max="12" width="23" customWidth="1"/>
    <col min="13" max="13" width="29" customWidth="1"/>
    <col min="14" max="14" width="17" customWidth="1"/>
    <col min="15" max="16" width="19" customWidth="1"/>
    <col min="17" max="17" width="28" customWidth="1"/>
    <col min="18" max="18" width="23" customWidth="1"/>
    <col min="19" max="19" width="13" customWidth="1"/>
    <col min="20" max="20" width="28" customWidth="1"/>
  </cols>
  <sheetData>
    <row r="1" ht="23" spans="1:1">
      <c r="A1" s="34" t="s">
        <v>0</v>
      </c>
    </row>
    <row r="2" spans="1:1">
      <c r="A2" s="35" t="s">
        <v>1</v>
      </c>
    </row>
    <row r="4" ht="34" customHeight="1" spans="1:20">
      <c r="A4" s="36" t="s">
        <v>2</v>
      </c>
      <c r="B4" s="36" t="s">
        <v>3</v>
      </c>
      <c r="C4" s="36" t="s">
        <v>4</v>
      </c>
      <c r="D4" s="36" t="s">
        <v>5</v>
      </c>
      <c r="E4" s="36" t="s">
        <v>6</v>
      </c>
      <c r="F4" s="36" t="s">
        <v>7</v>
      </c>
      <c r="G4" s="36" t="s">
        <v>8</v>
      </c>
      <c r="H4" s="36" t="s">
        <v>9</v>
      </c>
      <c r="I4" s="36" t="s">
        <v>10</v>
      </c>
      <c r="J4" s="36" t="s">
        <v>11</v>
      </c>
      <c r="K4" s="36" t="s">
        <v>12</v>
      </c>
      <c r="L4" s="36" t="s">
        <v>13</v>
      </c>
      <c r="M4" s="36" t="s">
        <v>14</v>
      </c>
      <c r="N4" s="36" t="s">
        <v>15</v>
      </c>
      <c r="O4" s="36" t="s">
        <v>16</v>
      </c>
      <c r="P4" s="36" t="s">
        <v>17</v>
      </c>
      <c r="Q4" s="36" t="s">
        <v>18</v>
      </c>
      <c r="R4" s="36" t="s">
        <v>19</v>
      </c>
      <c r="S4" s="36" t="s">
        <v>20</v>
      </c>
      <c r="T4" s="36" t="s">
        <v>21</v>
      </c>
    </row>
    <row r="5" ht="94" customHeight="1" spans="1:20">
      <c r="A5" s="37" t="s">
        <v>22</v>
      </c>
      <c r="B5" s="37" t="s">
        <v>23</v>
      </c>
      <c r="C5" s="37" t="s">
        <v>24</v>
      </c>
      <c r="D5" s="38">
        <f>'Daily Breakdown'!C261</f>
        <v>35</v>
      </c>
      <c r="E5" s="39">
        <f>'Daily Breakdown'!D261</f>
        <v>66978.03</v>
      </c>
      <c r="F5" s="40">
        <f>'Daily Breakdown'!G261</f>
        <v>96.5678046907659</v>
      </c>
      <c r="G5" s="38">
        <f>'Daily Breakdown'!H261</f>
        <v>25</v>
      </c>
      <c r="H5" s="41">
        <f>'Daily Breakdown'!I261</f>
        <v>1</v>
      </c>
      <c r="I5" s="41">
        <f>'Daily Breakdown'!J261</f>
        <v>24</v>
      </c>
      <c r="J5" s="42">
        <f>IFERROR(G5/D5,0)</f>
        <v>0.714285714285714</v>
      </c>
      <c r="K5" s="43">
        <f>IFERROR(G5/E5,0)</f>
        <v>0.000373256723137423</v>
      </c>
      <c r="L5" s="44">
        <f>IFERROR(G5/E5*100,0)</f>
        <v>0.0373256723137423</v>
      </c>
      <c r="M5" s="43">
        <f>IFERROR(G5/(D5*E5/1000),0)</f>
        <v>0.0106644778039264</v>
      </c>
      <c r="N5" s="38">
        <f>'Daily Breakdown'!K261</f>
        <v>726</v>
      </c>
      <c r="O5" s="42">
        <f>IFERROR(N5/D5,0)</f>
        <v>20.7428571428571</v>
      </c>
      <c r="P5" s="43">
        <f>IFERROR(N5/E5,0)</f>
        <v>0.0108393752399108</v>
      </c>
      <c r="Q5" s="43">
        <f>IFERROR(N5/(D5*E5/100),0)</f>
        <v>0.0309696435426022</v>
      </c>
      <c r="R5" s="44">
        <f>IFERROR(N5/E5*100,0)</f>
        <v>1.08393752399108</v>
      </c>
      <c r="S5" s="41">
        <v>18</v>
      </c>
      <c r="T5" s="45">
        <f>ROUND(F5*(1-M5)*(1-Q5),2)</f>
        <v>92.58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1"/>
  <sheetViews>
    <sheetView showGridLines="0" tabSelected="1" workbookViewId="0">
      <pane ySplit="3" topLeftCell="A25" activePane="bottomLeft" state="frozen"/>
      <selection/>
      <selection pane="bottomLeft" activeCell="A1" sqref="A1:K1"/>
    </sheetView>
  </sheetViews>
  <sheetFormatPr defaultColWidth="9" defaultRowHeight="14.5"/>
  <cols>
    <col min="1" max="2" width="13" customWidth="1"/>
    <col min="3" max="6" width="34" customWidth="1"/>
    <col min="7" max="7" width="29" customWidth="1"/>
    <col min="8" max="11" width="34" customWidth="1"/>
  </cols>
  <sheetData>
    <row r="1" ht="16.5" spans="1:1">
      <c r="A1" s="4" t="s">
        <v>25</v>
      </c>
    </row>
    <row r="3" spans="1:11">
      <c r="A3" s="6" t="s">
        <v>26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31</v>
      </c>
      <c r="G3" s="6" t="s">
        <v>7</v>
      </c>
      <c r="H3" s="6" t="s">
        <v>8</v>
      </c>
      <c r="I3" s="6" t="s">
        <v>32</v>
      </c>
      <c r="J3" s="6" t="s">
        <v>33</v>
      </c>
      <c r="K3" s="6" t="s">
        <v>34</v>
      </c>
    </row>
    <row r="4" spans="1:11">
      <c r="A4" s="21" t="s">
        <v>35</v>
      </c>
      <c r="B4" s="21" t="s">
        <v>36</v>
      </c>
      <c r="C4" s="7">
        <v>1</v>
      </c>
      <c r="D4" s="22">
        <v>543.87</v>
      </c>
      <c r="E4" s="23">
        <v>35433</v>
      </c>
      <c r="F4" s="23">
        <v>36260</v>
      </c>
      <c r="G4" s="11">
        <f t="shared" ref="G4:G67" si="0">IF(F4=0,0,E4/F4*100)</f>
        <v>97.719249862107</v>
      </c>
      <c r="H4" s="7">
        <v>0</v>
      </c>
      <c r="I4" s="7">
        <v>0</v>
      </c>
      <c r="J4" s="7">
        <v>0</v>
      </c>
      <c r="K4" s="7">
        <v>11</v>
      </c>
    </row>
    <row r="5" spans="1:11">
      <c r="A5" s="21" t="s">
        <v>35</v>
      </c>
      <c r="B5" s="21" t="s">
        <v>37</v>
      </c>
      <c r="C5" s="7">
        <v>1</v>
      </c>
      <c r="D5" s="22">
        <v>541.62</v>
      </c>
      <c r="E5" s="23">
        <v>29151</v>
      </c>
      <c r="F5" s="23">
        <v>29242</v>
      </c>
      <c r="G5" s="11">
        <f t="shared" si="0"/>
        <v>99.6888037753915</v>
      </c>
      <c r="H5" s="7">
        <v>0</v>
      </c>
      <c r="I5" s="7">
        <v>0</v>
      </c>
      <c r="J5" s="7">
        <v>0</v>
      </c>
      <c r="K5" s="7">
        <v>3</v>
      </c>
    </row>
    <row r="6" spans="1:11">
      <c r="A6" s="21" t="s">
        <v>35</v>
      </c>
      <c r="B6" s="21" t="s">
        <v>38</v>
      </c>
      <c r="C6" s="7">
        <v>1</v>
      </c>
      <c r="D6" s="22">
        <v>543.88</v>
      </c>
      <c r="E6" s="23">
        <v>25618</v>
      </c>
      <c r="F6" s="23">
        <v>25894</v>
      </c>
      <c r="G6" s="11">
        <f t="shared" si="0"/>
        <v>98.9341160114312</v>
      </c>
      <c r="H6" s="7">
        <v>0</v>
      </c>
      <c r="I6" s="7">
        <v>0</v>
      </c>
      <c r="J6" s="7">
        <v>0</v>
      </c>
      <c r="K6" s="7">
        <v>2</v>
      </c>
    </row>
    <row r="7" spans="1:11">
      <c r="A7" s="21" t="s">
        <v>35</v>
      </c>
      <c r="B7" s="21" t="s">
        <v>39</v>
      </c>
      <c r="C7" s="7">
        <v>1</v>
      </c>
      <c r="D7" s="22">
        <v>541.65</v>
      </c>
      <c r="E7" s="23">
        <v>22272</v>
      </c>
      <c r="F7" s="23">
        <v>22658</v>
      </c>
      <c r="G7" s="11">
        <f t="shared" si="0"/>
        <v>98.2964074499073</v>
      </c>
      <c r="H7" s="7">
        <v>0</v>
      </c>
      <c r="I7" s="7">
        <v>0</v>
      </c>
      <c r="J7" s="7">
        <v>0</v>
      </c>
      <c r="K7" s="7">
        <v>12</v>
      </c>
    </row>
    <row r="8" spans="1:11">
      <c r="A8" s="21" t="s">
        <v>35</v>
      </c>
      <c r="B8" s="21" t="s">
        <v>40</v>
      </c>
      <c r="C8" s="7">
        <v>1</v>
      </c>
      <c r="D8" s="22">
        <v>543.89</v>
      </c>
      <c r="E8" s="23">
        <v>20829</v>
      </c>
      <c r="F8" s="23">
        <v>21203</v>
      </c>
      <c r="G8" s="11">
        <f t="shared" si="0"/>
        <v>98.2360986652832</v>
      </c>
      <c r="H8" s="7">
        <v>0</v>
      </c>
      <c r="I8" s="7">
        <v>0</v>
      </c>
      <c r="J8" s="7">
        <v>0</v>
      </c>
      <c r="K8" s="7">
        <v>8</v>
      </c>
    </row>
    <row r="9" spans="1:11">
      <c r="A9" s="21" t="s">
        <v>35</v>
      </c>
      <c r="B9" s="21" t="s">
        <v>41</v>
      </c>
      <c r="C9" s="7">
        <v>1</v>
      </c>
      <c r="D9" s="22">
        <v>543.63</v>
      </c>
      <c r="E9" s="23">
        <v>17718</v>
      </c>
      <c r="F9" s="23">
        <v>17768</v>
      </c>
      <c r="G9" s="11">
        <f t="shared" si="0"/>
        <v>99.718595227375</v>
      </c>
      <c r="H9" s="7">
        <v>0</v>
      </c>
      <c r="I9" s="7">
        <v>0</v>
      </c>
      <c r="J9" s="7">
        <v>0</v>
      </c>
      <c r="K9" s="7">
        <v>2</v>
      </c>
    </row>
    <row r="10" spans="1:11">
      <c r="A10" s="21" t="s">
        <v>35</v>
      </c>
      <c r="B10" s="21" t="s">
        <v>42</v>
      </c>
      <c r="C10" s="7">
        <v>1</v>
      </c>
      <c r="D10" s="22">
        <v>543.62</v>
      </c>
      <c r="E10" s="23">
        <v>0</v>
      </c>
      <c r="F10" s="23">
        <v>11754</v>
      </c>
      <c r="G10" s="11">
        <f t="shared" si="0"/>
        <v>0</v>
      </c>
      <c r="H10" s="7">
        <v>0</v>
      </c>
      <c r="I10" s="7">
        <v>0</v>
      </c>
      <c r="J10" s="7">
        <v>0</v>
      </c>
      <c r="K10" s="7">
        <v>0</v>
      </c>
    </row>
    <row r="11" spans="1:11">
      <c r="A11" s="21" t="s">
        <v>35</v>
      </c>
      <c r="B11" s="21" t="s">
        <v>43</v>
      </c>
      <c r="C11" s="7">
        <v>0</v>
      </c>
      <c r="D11" s="22">
        <v>251.78</v>
      </c>
      <c r="E11" s="23">
        <v>31228</v>
      </c>
      <c r="F11" s="23">
        <v>32786</v>
      </c>
      <c r="G11" s="11">
        <f t="shared" si="0"/>
        <v>95.2479716952358</v>
      </c>
      <c r="H11" s="7">
        <v>0</v>
      </c>
      <c r="I11" s="7">
        <v>0</v>
      </c>
      <c r="J11" s="7">
        <v>0</v>
      </c>
      <c r="K11" s="7">
        <v>4</v>
      </c>
    </row>
    <row r="12" spans="1:11">
      <c r="A12" s="21" t="s">
        <v>35</v>
      </c>
      <c r="B12" s="21" t="s">
        <v>44</v>
      </c>
      <c r="C12" s="7">
        <v>0</v>
      </c>
      <c r="D12" s="22">
        <v>252.09</v>
      </c>
      <c r="E12" s="23">
        <v>23926</v>
      </c>
      <c r="F12" s="23">
        <v>23989</v>
      </c>
      <c r="G12" s="11">
        <f t="shared" si="0"/>
        <v>99.7373796323315</v>
      </c>
      <c r="H12" s="7">
        <v>0</v>
      </c>
      <c r="I12" s="7">
        <v>0</v>
      </c>
      <c r="J12" s="7">
        <v>0</v>
      </c>
      <c r="K12" s="7">
        <v>1</v>
      </c>
    </row>
    <row r="13" spans="1:11">
      <c r="A13" s="21" t="s">
        <v>35</v>
      </c>
      <c r="B13" s="21" t="s">
        <v>45</v>
      </c>
      <c r="C13" s="7">
        <v>0</v>
      </c>
      <c r="D13" s="22">
        <v>470.59</v>
      </c>
      <c r="E13" s="23">
        <v>22349</v>
      </c>
      <c r="F13" s="23">
        <v>22443</v>
      </c>
      <c r="G13" s="11">
        <f t="shared" si="0"/>
        <v>99.5811611638373</v>
      </c>
      <c r="H13" s="7">
        <v>0</v>
      </c>
      <c r="I13" s="7">
        <v>0</v>
      </c>
      <c r="J13" s="7">
        <v>0</v>
      </c>
      <c r="K13" s="7">
        <v>4</v>
      </c>
    </row>
    <row r="14" spans="1:11">
      <c r="A14" s="21" t="s">
        <v>35</v>
      </c>
      <c r="B14" s="21" t="s">
        <v>46</v>
      </c>
      <c r="C14" s="7">
        <v>0</v>
      </c>
      <c r="D14" s="22">
        <v>469.92</v>
      </c>
      <c r="E14" s="23">
        <v>21790</v>
      </c>
      <c r="F14" s="23">
        <v>21815</v>
      </c>
      <c r="G14" s="11">
        <f t="shared" si="0"/>
        <v>99.88539995416</v>
      </c>
      <c r="H14" s="7">
        <v>0</v>
      </c>
      <c r="I14" s="7">
        <v>0</v>
      </c>
      <c r="J14" s="7">
        <v>0</v>
      </c>
      <c r="K14" s="7">
        <v>0</v>
      </c>
    </row>
    <row r="15" spans="1:11">
      <c r="A15" s="21" t="s">
        <v>35</v>
      </c>
      <c r="B15" s="21" t="s">
        <v>47</v>
      </c>
      <c r="C15" s="7">
        <v>0</v>
      </c>
      <c r="D15" s="22">
        <v>221.17</v>
      </c>
      <c r="E15" s="23">
        <v>16140</v>
      </c>
      <c r="F15" s="23">
        <v>16490</v>
      </c>
      <c r="G15" s="11">
        <f t="shared" si="0"/>
        <v>97.8775015160703</v>
      </c>
      <c r="H15" s="7">
        <v>0</v>
      </c>
      <c r="I15" s="7">
        <v>0</v>
      </c>
      <c r="J15" s="7">
        <v>0</v>
      </c>
      <c r="K15" s="7">
        <v>0</v>
      </c>
    </row>
    <row r="16" spans="1:11">
      <c r="A16" s="21" t="s">
        <v>35</v>
      </c>
      <c r="B16" s="21" t="s">
        <v>48</v>
      </c>
      <c r="C16" s="7">
        <v>0</v>
      </c>
      <c r="D16" s="22">
        <v>453.18</v>
      </c>
      <c r="E16" s="23">
        <v>15635</v>
      </c>
      <c r="F16" s="23">
        <v>16146</v>
      </c>
      <c r="G16" s="11">
        <f t="shared" si="0"/>
        <v>96.8351294438251</v>
      </c>
      <c r="H16" s="7">
        <v>1</v>
      </c>
      <c r="I16" s="7">
        <v>0</v>
      </c>
      <c r="J16" s="7">
        <v>1</v>
      </c>
      <c r="K16" s="7">
        <v>4</v>
      </c>
    </row>
    <row r="17" spans="1:11">
      <c r="A17" s="21" t="s">
        <v>35</v>
      </c>
      <c r="B17" s="21" t="s">
        <v>49</v>
      </c>
      <c r="C17" s="7">
        <v>0</v>
      </c>
      <c r="D17" s="22">
        <v>318.81</v>
      </c>
      <c r="E17" s="23">
        <v>12351</v>
      </c>
      <c r="F17" s="23">
        <v>12431</v>
      </c>
      <c r="G17" s="11">
        <f t="shared" si="0"/>
        <v>99.3564475907007</v>
      </c>
      <c r="H17" s="7">
        <v>0</v>
      </c>
      <c r="I17" s="7">
        <v>0</v>
      </c>
      <c r="J17" s="7">
        <v>0</v>
      </c>
      <c r="K17" s="7">
        <v>2</v>
      </c>
    </row>
    <row r="18" spans="1:11">
      <c r="A18" s="21" t="s">
        <v>35</v>
      </c>
      <c r="B18" s="21" t="s">
        <v>50</v>
      </c>
      <c r="C18" s="7">
        <v>0</v>
      </c>
      <c r="D18" s="22">
        <v>319.23</v>
      </c>
      <c r="E18" s="23">
        <v>11730</v>
      </c>
      <c r="F18" s="23">
        <v>12056</v>
      </c>
      <c r="G18" s="11">
        <f t="shared" si="0"/>
        <v>97.2959522229595</v>
      </c>
      <c r="H18" s="7">
        <v>0</v>
      </c>
      <c r="I18" s="7">
        <v>0</v>
      </c>
      <c r="J18" s="7">
        <v>0</v>
      </c>
      <c r="K18" s="7">
        <v>5</v>
      </c>
    </row>
    <row r="19" spans="1:11">
      <c r="A19" s="21" t="s">
        <v>35</v>
      </c>
      <c r="B19" s="21" t="s">
        <v>51</v>
      </c>
      <c r="C19" s="7">
        <v>0</v>
      </c>
      <c r="D19" s="22">
        <v>319.23</v>
      </c>
      <c r="E19" s="23">
        <v>11825</v>
      </c>
      <c r="F19" s="23">
        <v>11920</v>
      </c>
      <c r="G19" s="11">
        <f t="shared" si="0"/>
        <v>99.2030201342282</v>
      </c>
      <c r="H19" s="7">
        <v>0</v>
      </c>
      <c r="I19" s="7">
        <v>0</v>
      </c>
      <c r="J19" s="7">
        <v>0</v>
      </c>
      <c r="K19" s="7">
        <v>1</v>
      </c>
    </row>
    <row r="20" spans="1:11">
      <c r="A20" s="21" t="s">
        <v>35</v>
      </c>
      <c r="B20" s="21" t="s">
        <v>52</v>
      </c>
      <c r="C20" s="7">
        <v>0</v>
      </c>
      <c r="D20" s="22">
        <v>321.69</v>
      </c>
      <c r="E20" s="23">
        <v>11421</v>
      </c>
      <c r="F20" s="23">
        <v>11779</v>
      </c>
      <c r="G20" s="11">
        <f t="shared" si="0"/>
        <v>96.9606927582987</v>
      </c>
      <c r="H20" s="7">
        <v>0</v>
      </c>
      <c r="I20" s="7">
        <v>0</v>
      </c>
      <c r="J20" s="7">
        <v>0</v>
      </c>
      <c r="K20" s="7">
        <v>6</v>
      </c>
    </row>
    <row r="21" spans="1:11">
      <c r="A21" s="21" t="s">
        <v>35</v>
      </c>
      <c r="B21" s="21" t="s">
        <v>53</v>
      </c>
      <c r="C21" s="7">
        <v>0</v>
      </c>
      <c r="D21" s="22">
        <v>245.42</v>
      </c>
      <c r="E21" s="23">
        <v>10512</v>
      </c>
      <c r="F21" s="23">
        <v>10833</v>
      </c>
      <c r="G21" s="11">
        <f t="shared" si="0"/>
        <v>97.0368319025201</v>
      </c>
      <c r="H21" s="7">
        <v>1</v>
      </c>
      <c r="I21" s="7">
        <v>0</v>
      </c>
      <c r="J21" s="7">
        <v>1</v>
      </c>
      <c r="K21" s="7">
        <v>2</v>
      </c>
    </row>
    <row r="22" spans="1:11">
      <c r="A22" s="21" t="s">
        <v>35</v>
      </c>
      <c r="B22" s="21" t="s">
        <v>54</v>
      </c>
      <c r="C22" s="7">
        <v>0</v>
      </c>
      <c r="D22" s="22">
        <v>311.97</v>
      </c>
      <c r="E22" s="23">
        <v>10651</v>
      </c>
      <c r="F22" s="23">
        <v>10733</v>
      </c>
      <c r="G22" s="11">
        <f t="shared" si="0"/>
        <v>99.2360011180471</v>
      </c>
      <c r="H22" s="7">
        <v>0</v>
      </c>
      <c r="I22" s="7">
        <v>0</v>
      </c>
      <c r="J22" s="7">
        <v>0</v>
      </c>
      <c r="K22" s="7">
        <v>1</v>
      </c>
    </row>
    <row r="23" spans="1:11">
      <c r="A23" s="21" t="s">
        <v>35</v>
      </c>
      <c r="B23" s="21" t="s">
        <v>55</v>
      </c>
      <c r="C23" s="7">
        <v>0</v>
      </c>
      <c r="D23" s="22">
        <v>108.54</v>
      </c>
      <c r="E23" s="23">
        <v>10188</v>
      </c>
      <c r="F23" s="23">
        <v>10554</v>
      </c>
      <c r="G23" s="11">
        <f t="shared" si="0"/>
        <v>96.5321205230244</v>
      </c>
      <c r="H23" s="7">
        <v>0</v>
      </c>
      <c r="I23" s="7">
        <v>0</v>
      </c>
      <c r="J23" s="7">
        <v>0</v>
      </c>
      <c r="K23" s="7">
        <v>6</v>
      </c>
    </row>
    <row r="24" spans="1:11">
      <c r="A24" s="21" t="s">
        <v>35</v>
      </c>
      <c r="B24" s="21" t="s">
        <v>56</v>
      </c>
      <c r="C24" s="7">
        <v>0</v>
      </c>
      <c r="D24" s="22">
        <v>223.13</v>
      </c>
      <c r="E24" s="23">
        <v>10321</v>
      </c>
      <c r="F24" s="23">
        <v>10321</v>
      </c>
      <c r="G24" s="11">
        <f t="shared" si="0"/>
        <v>100</v>
      </c>
      <c r="H24" s="7">
        <v>0</v>
      </c>
      <c r="I24" s="7">
        <v>0</v>
      </c>
      <c r="J24" s="7">
        <v>0</v>
      </c>
      <c r="K24" s="7">
        <v>0</v>
      </c>
    </row>
    <row r="25" spans="1:11">
      <c r="A25" s="21" t="s">
        <v>35</v>
      </c>
      <c r="B25" s="21" t="s">
        <v>57</v>
      </c>
      <c r="C25" s="7">
        <v>0</v>
      </c>
      <c r="D25" s="22">
        <v>319.23</v>
      </c>
      <c r="E25" s="23">
        <v>9682</v>
      </c>
      <c r="F25" s="23">
        <v>9991</v>
      </c>
      <c r="G25" s="11">
        <f t="shared" si="0"/>
        <v>96.9072164948454</v>
      </c>
      <c r="H25" s="7">
        <v>0</v>
      </c>
      <c r="I25" s="7">
        <v>0</v>
      </c>
      <c r="J25" s="7">
        <v>0</v>
      </c>
      <c r="K25" s="7">
        <v>2</v>
      </c>
    </row>
    <row r="26" spans="1:11">
      <c r="A26" s="21" t="s">
        <v>35</v>
      </c>
      <c r="B26" s="21" t="s">
        <v>58</v>
      </c>
      <c r="C26" s="7">
        <v>0</v>
      </c>
      <c r="D26" s="22">
        <v>108.65</v>
      </c>
      <c r="E26" s="23">
        <v>8434</v>
      </c>
      <c r="F26" s="23">
        <v>8775</v>
      </c>
      <c r="G26" s="11">
        <f t="shared" si="0"/>
        <v>96.1139601139601</v>
      </c>
      <c r="H26" s="7">
        <v>0</v>
      </c>
      <c r="I26" s="7">
        <v>0</v>
      </c>
      <c r="J26" s="7">
        <v>0</v>
      </c>
      <c r="K26" s="7">
        <v>4</v>
      </c>
    </row>
    <row r="27" spans="1:11">
      <c r="A27" s="21" t="s">
        <v>35</v>
      </c>
      <c r="B27" s="21" t="s">
        <v>59</v>
      </c>
      <c r="C27" s="7">
        <v>0</v>
      </c>
      <c r="D27" s="22">
        <v>82.11</v>
      </c>
      <c r="E27" s="23">
        <v>8145</v>
      </c>
      <c r="F27" s="23">
        <v>8299</v>
      </c>
      <c r="G27" s="11">
        <f t="shared" si="0"/>
        <v>98.1443547415351</v>
      </c>
      <c r="H27" s="7">
        <v>0</v>
      </c>
      <c r="I27" s="7">
        <v>0</v>
      </c>
      <c r="J27" s="7">
        <v>0</v>
      </c>
      <c r="K27" s="7">
        <v>6</v>
      </c>
    </row>
    <row r="28" spans="1:11">
      <c r="A28" s="21" t="s">
        <v>35</v>
      </c>
      <c r="B28" s="21" t="s">
        <v>60</v>
      </c>
      <c r="C28" s="7">
        <v>0</v>
      </c>
      <c r="D28" s="22">
        <v>181.67</v>
      </c>
      <c r="E28" s="23">
        <v>8196</v>
      </c>
      <c r="F28" s="23">
        <v>8252</v>
      </c>
      <c r="G28" s="11">
        <f t="shared" si="0"/>
        <v>99.321376635967</v>
      </c>
      <c r="H28" s="7">
        <v>0</v>
      </c>
      <c r="I28" s="7">
        <v>0</v>
      </c>
      <c r="J28" s="7">
        <v>0</v>
      </c>
      <c r="K28" s="7">
        <v>2</v>
      </c>
    </row>
    <row r="29" spans="1:11">
      <c r="A29" s="21" t="s">
        <v>35</v>
      </c>
      <c r="B29" s="21" t="s">
        <v>61</v>
      </c>
      <c r="C29" s="7">
        <v>0</v>
      </c>
      <c r="D29" s="22">
        <v>107.98</v>
      </c>
      <c r="E29" s="23">
        <v>6338</v>
      </c>
      <c r="F29" s="23">
        <v>6742</v>
      </c>
      <c r="G29" s="11">
        <f t="shared" si="0"/>
        <v>94.0077128448532</v>
      </c>
      <c r="H29" s="7">
        <v>0</v>
      </c>
      <c r="I29" s="7">
        <v>0</v>
      </c>
      <c r="J29" s="7">
        <v>0</v>
      </c>
      <c r="K29" s="7">
        <v>2</v>
      </c>
    </row>
    <row r="30" spans="1:11">
      <c r="A30" s="21" t="s">
        <v>35</v>
      </c>
      <c r="B30" s="21" t="s">
        <v>62</v>
      </c>
      <c r="C30" s="7">
        <v>0</v>
      </c>
      <c r="D30" s="22">
        <v>293.52</v>
      </c>
      <c r="E30" s="23">
        <v>6331</v>
      </c>
      <c r="F30" s="23">
        <v>6364</v>
      </c>
      <c r="G30" s="11">
        <f t="shared" si="0"/>
        <v>99.4814582023884</v>
      </c>
      <c r="H30" s="7">
        <v>1</v>
      </c>
      <c r="I30" s="7">
        <v>0</v>
      </c>
      <c r="J30" s="7">
        <v>1</v>
      </c>
      <c r="K30" s="7">
        <v>2</v>
      </c>
    </row>
    <row r="31" spans="1:11">
      <c r="A31" s="21" t="s">
        <v>35</v>
      </c>
      <c r="B31" s="21" t="s">
        <v>63</v>
      </c>
      <c r="C31" s="7">
        <v>0</v>
      </c>
      <c r="D31" s="22">
        <v>241.59</v>
      </c>
      <c r="E31" s="23">
        <v>5644</v>
      </c>
      <c r="F31" s="23">
        <v>5654</v>
      </c>
      <c r="G31" s="11">
        <f t="shared" si="0"/>
        <v>99.8231340643792</v>
      </c>
      <c r="H31" s="7">
        <v>0</v>
      </c>
      <c r="I31" s="7">
        <v>0</v>
      </c>
      <c r="J31" s="7">
        <v>0</v>
      </c>
      <c r="K31" s="7">
        <v>1</v>
      </c>
    </row>
    <row r="32" spans="1:11">
      <c r="A32" s="21" t="s">
        <v>35</v>
      </c>
      <c r="B32" s="21" t="s">
        <v>64</v>
      </c>
      <c r="C32" s="7">
        <v>0</v>
      </c>
      <c r="D32" s="22">
        <v>221.53</v>
      </c>
      <c r="E32" s="23">
        <v>4704</v>
      </c>
      <c r="F32" s="23">
        <v>4816</v>
      </c>
      <c r="G32" s="11">
        <f t="shared" si="0"/>
        <v>97.6744186046512</v>
      </c>
      <c r="H32" s="7">
        <v>0</v>
      </c>
      <c r="I32" s="7">
        <v>0</v>
      </c>
      <c r="J32" s="7">
        <v>0</v>
      </c>
      <c r="K32" s="7">
        <v>4</v>
      </c>
    </row>
    <row r="33" spans="1:11">
      <c r="A33" s="21" t="s">
        <v>35</v>
      </c>
      <c r="B33" s="21" t="s">
        <v>65</v>
      </c>
      <c r="C33" s="7">
        <v>0</v>
      </c>
      <c r="D33" s="22">
        <v>83.79</v>
      </c>
      <c r="E33" s="23">
        <v>3231</v>
      </c>
      <c r="F33" s="23">
        <v>3398</v>
      </c>
      <c r="G33" s="11">
        <f t="shared" si="0"/>
        <v>95.0853443201883</v>
      </c>
      <c r="H33" s="7">
        <v>2</v>
      </c>
      <c r="I33" s="7">
        <v>0</v>
      </c>
      <c r="J33" s="7">
        <v>2</v>
      </c>
      <c r="K33" s="7">
        <v>2</v>
      </c>
    </row>
    <row r="34" spans="1:11">
      <c r="A34" s="21" t="s">
        <v>35</v>
      </c>
      <c r="B34" s="21" t="s">
        <v>66</v>
      </c>
      <c r="C34" s="7">
        <v>0</v>
      </c>
      <c r="D34" s="22">
        <v>32.24</v>
      </c>
      <c r="E34" s="23">
        <v>2763</v>
      </c>
      <c r="F34" s="23">
        <v>2763</v>
      </c>
      <c r="G34" s="11">
        <f t="shared" si="0"/>
        <v>100</v>
      </c>
      <c r="H34" s="7">
        <v>0</v>
      </c>
      <c r="I34" s="7">
        <v>0</v>
      </c>
      <c r="J34" s="7">
        <v>0</v>
      </c>
      <c r="K34" s="7">
        <v>0</v>
      </c>
    </row>
    <row r="35" spans="1:11">
      <c r="A35" s="21" t="s">
        <v>35</v>
      </c>
      <c r="B35" s="21" t="s">
        <v>67</v>
      </c>
      <c r="C35" s="7">
        <v>0</v>
      </c>
      <c r="D35" s="22">
        <v>57.22</v>
      </c>
      <c r="E35" s="23">
        <v>2689</v>
      </c>
      <c r="F35" s="23">
        <v>2689</v>
      </c>
      <c r="G35" s="11">
        <f t="shared" si="0"/>
        <v>100</v>
      </c>
      <c r="H35" s="7">
        <v>0</v>
      </c>
      <c r="I35" s="7">
        <v>0</v>
      </c>
      <c r="J35" s="7">
        <v>0</v>
      </c>
      <c r="K35" s="7">
        <v>0</v>
      </c>
    </row>
    <row r="36" spans="1:11">
      <c r="A36" s="21" t="s">
        <v>35</v>
      </c>
      <c r="B36" s="21" t="s">
        <v>68</v>
      </c>
      <c r="C36" s="7">
        <v>0</v>
      </c>
      <c r="D36" s="22">
        <v>47.38</v>
      </c>
      <c r="E36" s="23">
        <v>2383</v>
      </c>
      <c r="F36" s="23">
        <v>2397</v>
      </c>
      <c r="G36" s="11">
        <f t="shared" si="0"/>
        <v>99.4159365874009</v>
      </c>
      <c r="H36" s="7">
        <v>0</v>
      </c>
      <c r="I36" s="7">
        <v>0</v>
      </c>
      <c r="J36" s="7">
        <v>0</v>
      </c>
      <c r="K36" s="7">
        <v>0</v>
      </c>
    </row>
    <row r="37" spans="1:11">
      <c r="A37" s="21" t="s">
        <v>35</v>
      </c>
      <c r="B37" s="21" t="s">
        <v>69</v>
      </c>
      <c r="C37" s="7">
        <v>0</v>
      </c>
      <c r="D37" s="22">
        <v>11.84</v>
      </c>
      <c r="E37" s="23">
        <v>737</v>
      </c>
      <c r="F37" s="23">
        <v>789</v>
      </c>
      <c r="G37" s="11">
        <f t="shared" si="0"/>
        <v>93.4093789607098</v>
      </c>
      <c r="H37" s="7">
        <v>0</v>
      </c>
      <c r="I37" s="7">
        <v>0</v>
      </c>
      <c r="J37" s="7">
        <v>0</v>
      </c>
      <c r="K37" s="7">
        <v>0</v>
      </c>
    </row>
    <row r="38" spans="1:11">
      <c r="A38" s="21" t="s">
        <v>35</v>
      </c>
      <c r="B38" s="21" t="s">
        <v>70</v>
      </c>
      <c r="C38" s="7">
        <v>0</v>
      </c>
      <c r="D38" s="22">
        <v>9.64</v>
      </c>
      <c r="E38" s="23">
        <v>652</v>
      </c>
      <c r="F38" s="23">
        <v>664</v>
      </c>
      <c r="G38" s="11">
        <f t="shared" si="0"/>
        <v>98.1927710843374</v>
      </c>
      <c r="H38" s="7">
        <v>0</v>
      </c>
      <c r="I38" s="7">
        <v>0</v>
      </c>
      <c r="J38" s="7">
        <v>0</v>
      </c>
      <c r="K38" s="7">
        <v>0</v>
      </c>
    </row>
    <row r="39" spans="1:11">
      <c r="A39" s="21" t="s">
        <v>35</v>
      </c>
      <c r="B39" s="21" t="s">
        <v>71</v>
      </c>
      <c r="C39" s="7">
        <v>0</v>
      </c>
      <c r="D39" s="22">
        <v>0.06</v>
      </c>
      <c r="E39" s="23">
        <v>53</v>
      </c>
      <c r="F39" s="23">
        <v>75</v>
      </c>
      <c r="G39" s="11">
        <f t="shared" si="0"/>
        <v>70.6666666666667</v>
      </c>
      <c r="H39" s="7">
        <v>0</v>
      </c>
      <c r="I39" s="7">
        <v>0</v>
      </c>
      <c r="J39" s="7">
        <v>0</v>
      </c>
      <c r="K39" s="7">
        <v>0</v>
      </c>
    </row>
    <row r="40" spans="1:11">
      <c r="A40" s="21" t="s">
        <v>35</v>
      </c>
      <c r="B40" s="21" t="s">
        <v>72</v>
      </c>
      <c r="C40" s="7">
        <v>0</v>
      </c>
      <c r="D40" s="22">
        <v>160.41</v>
      </c>
      <c r="E40" s="23">
        <v>0</v>
      </c>
      <c r="F40" s="23">
        <v>53</v>
      </c>
      <c r="G40" s="11">
        <f t="shared" si="0"/>
        <v>0</v>
      </c>
      <c r="H40" s="7">
        <v>0</v>
      </c>
      <c r="I40" s="7">
        <v>0</v>
      </c>
      <c r="J40" s="7">
        <v>0</v>
      </c>
      <c r="K40" s="7">
        <v>0</v>
      </c>
    </row>
    <row r="41" spans="1:11">
      <c r="A41" s="21" t="s">
        <v>35</v>
      </c>
      <c r="B41" s="21" t="s">
        <v>73</v>
      </c>
      <c r="C41" s="7">
        <v>0</v>
      </c>
      <c r="D41" s="22">
        <v>100.51</v>
      </c>
      <c r="E41" s="23">
        <v>0</v>
      </c>
      <c r="F41" s="23">
        <v>32</v>
      </c>
      <c r="G41" s="11">
        <f t="shared" si="0"/>
        <v>0</v>
      </c>
      <c r="H41" s="7">
        <v>0</v>
      </c>
      <c r="I41" s="7">
        <v>0</v>
      </c>
      <c r="J41" s="7">
        <v>0</v>
      </c>
      <c r="K41" s="7">
        <v>0</v>
      </c>
    </row>
    <row r="42" spans="1:11">
      <c r="A42" s="21" t="s">
        <v>35</v>
      </c>
      <c r="B42" s="21" t="s">
        <v>74</v>
      </c>
      <c r="C42" s="7">
        <v>0</v>
      </c>
      <c r="D42" s="22">
        <v>12.84</v>
      </c>
      <c r="E42" s="23">
        <v>0</v>
      </c>
      <c r="F42" s="23">
        <v>22</v>
      </c>
      <c r="G42" s="11">
        <f t="shared" si="0"/>
        <v>0</v>
      </c>
      <c r="H42" s="7">
        <v>0</v>
      </c>
      <c r="I42" s="7">
        <v>0</v>
      </c>
      <c r="J42" s="7">
        <v>0</v>
      </c>
      <c r="K42" s="7">
        <v>0</v>
      </c>
    </row>
    <row r="43" spans="1:11">
      <c r="A43" s="24" t="s">
        <v>35</v>
      </c>
      <c r="B43" s="24" t="s">
        <v>75</v>
      </c>
      <c r="C43" s="25">
        <f>SUM(C4:C42)</f>
        <v>7</v>
      </c>
      <c r="D43" s="26">
        <f>SUM(D4:D42)</f>
        <v>10161.12</v>
      </c>
      <c r="E43" s="27">
        <f>SUM(E4:E42)</f>
        <v>441070</v>
      </c>
      <c r="F43" s="27">
        <f>SUM(F4:F42)</f>
        <v>460850</v>
      </c>
      <c r="G43" s="28">
        <f t="shared" si="0"/>
        <v>95.7079309970706</v>
      </c>
      <c r="H43" s="25">
        <f>SUM(H4:H42)</f>
        <v>5</v>
      </c>
      <c r="I43" s="25">
        <f>SUM(I4:I42)</f>
        <v>0</v>
      </c>
      <c r="J43" s="25">
        <f>SUM(J4:J42)</f>
        <v>5</v>
      </c>
      <c r="K43" s="25">
        <f>SUM(K4:K42)</f>
        <v>99</v>
      </c>
    </row>
    <row r="44" spans="1:11">
      <c r="A44" s="21" t="s">
        <v>76</v>
      </c>
      <c r="B44" s="21" t="s">
        <v>77</v>
      </c>
      <c r="C44" s="7">
        <v>1</v>
      </c>
      <c r="D44" s="22">
        <v>543.91</v>
      </c>
      <c r="E44" s="23">
        <v>35692</v>
      </c>
      <c r="F44" s="23">
        <v>36053</v>
      </c>
      <c r="G44" s="11">
        <f t="shared" si="0"/>
        <v>98.9986963636868</v>
      </c>
      <c r="H44" s="7">
        <v>1</v>
      </c>
      <c r="I44" s="7">
        <v>1</v>
      </c>
      <c r="J44" s="7">
        <v>0</v>
      </c>
      <c r="K44" s="7">
        <v>10</v>
      </c>
    </row>
    <row r="45" spans="1:11">
      <c r="A45" s="21" t="s">
        <v>76</v>
      </c>
      <c r="B45" s="21" t="s">
        <v>78</v>
      </c>
      <c r="C45" s="7">
        <v>1</v>
      </c>
      <c r="D45" s="22">
        <v>541.51</v>
      </c>
      <c r="E45" s="23">
        <v>22637</v>
      </c>
      <c r="F45" s="23">
        <v>22946</v>
      </c>
      <c r="G45" s="11">
        <f t="shared" si="0"/>
        <v>98.653360062756</v>
      </c>
      <c r="H45" s="7">
        <v>0</v>
      </c>
      <c r="I45" s="7">
        <v>0</v>
      </c>
      <c r="J45" s="7">
        <v>0</v>
      </c>
      <c r="K45" s="7">
        <v>11</v>
      </c>
    </row>
    <row r="46" spans="1:11">
      <c r="A46" s="21" t="s">
        <v>76</v>
      </c>
      <c r="B46" s="21" t="s">
        <v>79</v>
      </c>
      <c r="C46" s="7">
        <v>1</v>
      </c>
      <c r="D46" s="22">
        <v>543.37</v>
      </c>
      <c r="E46" s="23">
        <v>19044</v>
      </c>
      <c r="F46" s="23">
        <v>19360</v>
      </c>
      <c r="G46" s="11">
        <f t="shared" si="0"/>
        <v>98.3677685950413</v>
      </c>
      <c r="H46" s="7">
        <v>0</v>
      </c>
      <c r="I46" s="7">
        <v>0</v>
      </c>
      <c r="J46" s="7">
        <v>0</v>
      </c>
      <c r="K46" s="7">
        <v>6</v>
      </c>
    </row>
    <row r="47" spans="1:11">
      <c r="A47" s="21" t="s">
        <v>76</v>
      </c>
      <c r="B47" s="21" t="s">
        <v>80</v>
      </c>
      <c r="C47" s="7">
        <v>0</v>
      </c>
      <c r="D47" s="22">
        <v>330.52</v>
      </c>
      <c r="E47" s="23">
        <v>28607</v>
      </c>
      <c r="F47" s="23">
        <v>29039</v>
      </c>
      <c r="G47" s="11">
        <f t="shared" si="0"/>
        <v>98.5123454664417</v>
      </c>
      <c r="H47" s="7">
        <v>0</v>
      </c>
      <c r="I47" s="7">
        <v>0</v>
      </c>
      <c r="J47" s="7">
        <v>0</v>
      </c>
      <c r="K47" s="7">
        <v>9</v>
      </c>
    </row>
    <row r="48" spans="1:11">
      <c r="A48" s="21" t="s">
        <v>76</v>
      </c>
      <c r="B48" s="21" t="s">
        <v>59</v>
      </c>
      <c r="C48" s="7">
        <v>0</v>
      </c>
      <c r="D48" s="22">
        <v>461.59</v>
      </c>
      <c r="E48" s="23">
        <v>25261</v>
      </c>
      <c r="F48" s="23">
        <v>25557</v>
      </c>
      <c r="G48" s="11">
        <f t="shared" si="0"/>
        <v>98.8418045936534</v>
      </c>
      <c r="H48" s="7">
        <v>1</v>
      </c>
      <c r="I48" s="7">
        <v>0</v>
      </c>
      <c r="J48" s="7">
        <v>1</v>
      </c>
      <c r="K48" s="7">
        <v>7</v>
      </c>
    </row>
    <row r="49" spans="1:11">
      <c r="A49" s="21" t="s">
        <v>76</v>
      </c>
      <c r="B49" s="21" t="s">
        <v>52</v>
      </c>
      <c r="C49" s="7">
        <v>0</v>
      </c>
      <c r="D49" s="22">
        <v>321.5</v>
      </c>
      <c r="E49" s="23">
        <v>22176</v>
      </c>
      <c r="F49" s="23">
        <v>22324</v>
      </c>
      <c r="G49" s="11">
        <f t="shared" si="0"/>
        <v>99.3370363734098</v>
      </c>
      <c r="H49" s="7">
        <v>0</v>
      </c>
      <c r="I49" s="7">
        <v>0</v>
      </c>
      <c r="J49" s="7">
        <v>0</v>
      </c>
      <c r="K49" s="7">
        <v>8</v>
      </c>
    </row>
    <row r="50" spans="1:11">
      <c r="A50" s="21" t="s">
        <v>76</v>
      </c>
      <c r="B50" s="21" t="s">
        <v>66</v>
      </c>
      <c r="C50" s="7">
        <v>0</v>
      </c>
      <c r="D50" s="22">
        <v>480.38</v>
      </c>
      <c r="E50" s="23">
        <v>20731</v>
      </c>
      <c r="F50" s="23">
        <v>20999</v>
      </c>
      <c r="G50" s="11">
        <f t="shared" si="0"/>
        <v>98.7237487499405</v>
      </c>
      <c r="H50" s="7">
        <v>0</v>
      </c>
      <c r="I50" s="7">
        <v>0</v>
      </c>
      <c r="J50" s="7">
        <v>0</v>
      </c>
      <c r="K50" s="7">
        <v>6</v>
      </c>
    </row>
    <row r="51" spans="1:11">
      <c r="A51" s="21" t="s">
        <v>76</v>
      </c>
      <c r="B51" s="21" t="s">
        <v>81</v>
      </c>
      <c r="C51" s="7">
        <v>0</v>
      </c>
      <c r="D51" s="22">
        <v>250.87</v>
      </c>
      <c r="E51" s="23">
        <v>19862</v>
      </c>
      <c r="F51" s="23">
        <v>19921</v>
      </c>
      <c r="G51" s="11">
        <f t="shared" si="0"/>
        <v>99.7038301290096</v>
      </c>
      <c r="H51" s="7">
        <v>0</v>
      </c>
      <c r="I51" s="7">
        <v>0</v>
      </c>
      <c r="J51" s="7">
        <v>0</v>
      </c>
      <c r="K51" s="7">
        <v>0</v>
      </c>
    </row>
    <row r="52" spans="1:11">
      <c r="A52" s="21" t="s">
        <v>76</v>
      </c>
      <c r="B52" s="21" t="s">
        <v>44</v>
      </c>
      <c r="C52" s="7">
        <v>0</v>
      </c>
      <c r="D52" s="22">
        <v>251.85</v>
      </c>
      <c r="E52" s="23">
        <v>16275</v>
      </c>
      <c r="F52" s="23">
        <v>16545</v>
      </c>
      <c r="G52" s="11">
        <f t="shared" si="0"/>
        <v>98.3680870353581</v>
      </c>
      <c r="H52" s="7">
        <v>0</v>
      </c>
      <c r="I52" s="7">
        <v>0</v>
      </c>
      <c r="J52" s="7">
        <v>0</v>
      </c>
      <c r="K52" s="7">
        <v>1</v>
      </c>
    </row>
    <row r="53" spans="1:11">
      <c r="A53" s="21" t="s">
        <v>76</v>
      </c>
      <c r="B53" s="21" t="s">
        <v>82</v>
      </c>
      <c r="C53" s="7">
        <v>0</v>
      </c>
      <c r="D53" s="22">
        <v>336.5</v>
      </c>
      <c r="E53" s="23">
        <v>14838</v>
      </c>
      <c r="F53" s="23">
        <v>15235</v>
      </c>
      <c r="G53" s="11">
        <f t="shared" si="0"/>
        <v>97.394158188382</v>
      </c>
      <c r="H53" s="7">
        <v>0</v>
      </c>
      <c r="I53" s="7">
        <v>0</v>
      </c>
      <c r="J53" s="7">
        <v>0</v>
      </c>
      <c r="K53" s="7">
        <v>5</v>
      </c>
    </row>
    <row r="54" spans="1:11">
      <c r="A54" s="21" t="s">
        <v>76</v>
      </c>
      <c r="B54" s="21" t="s">
        <v>83</v>
      </c>
      <c r="C54" s="7">
        <v>0</v>
      </c>
      <c r="D54" s="22">
        <v>235.58</v>
      </c>
      <c r="E54" s="23">
        <v>14459</v>
      </c>
      <c r="F54" s="23">
        <v>14502</v>
      </c>
      <c r="G54" s="11">
        <f t="shared" si="0"/>
        <v>99.703489173907</v>
      </c>
      <c r="H54" s="7">
        <v>0</v>
      </c>
      <c r="I54" s="7">
        <v>0</v>
      </c>
      <c r="J54" s="7">
        <v>0</v>
      </c>
      <c r="K54" s="7">
        <v>1</v>
      </c>
    </row>
    <row r="55" spans="1:11">
      <c r="A55" s="21" t="s">
        <v>76</v>
      </c>
      <c r="B55" s="21" t="s">
        <v>60</v>
      </c>
      <c r="C55" s="7">
        <v>0</v>
      </c>
      <c r="D55" s="22">
        <v>362.28</v>
      </c>
      <c r="E55" s="23">
        <v>13970</v>
      </c>
      <c r="F55" s="23">
        <v>13970</v>
      </c>
      <c r="G55" s="11">
        <f t="shared" si="0"/>
        <v>100</v>
      </c>
      <c r="H55" s="7">
        <v>0</v>
      </c>
      <c r="I55" s="7">
        <v>0</v>
      </c>
      <c r="J55" s="7">
        <v>0</v>
      </c>
      <c r="K55" s="7">
        <v>0</v>
      </c>
    </row>
    <row r="56" spans="1:11">
      <c r="A56" s="21" t="s">
        <v>76</v>
      </c>
      <c r="B56" s="21" t="s">
        <v>84</v>
      </c>
      <c r="C56" s="7">
        <v>0</v>
      </c>
      <c r="D56" s="22">
        <v>324.06</v>
      </c>
      <c r="E56" s="23">
        <v>13321</v>
      </c>
      <c r="F56" s="23">
        <v>13463</v>
      </c>
      <c r="G56" s="11">
        <f t="shared" si="0"/>
        <v>98.9452573720567</v>
      </c>
      <c r="H56" s="7">
        <v>0</v>
      </c>
      <c r="I56" s="7">
        <v>0</v>
      </c>
      <c r="J56" s="7">
        <v>0</v>
      </c>
      <c r="K56" s="7">
        <v>2</v>
      </c>
    </row>
    <row r="57" spans="1:11">
      <c r="A57" s="21" t="s">
        <v>76</v>
      </c>
      <c r="B57" s="21" t="s">
        <v>61</v>
      </c>
      <c r="C57" s="7">
        <v>0</v>
      </c>
      <c r="D57" s="22">
        <v>108.52</v>
      </c>
      <c r="E57" s="23">
        <v>13141</v>
      </c>
      <c r="F57" s="23">
        <v>13428</v>
      </c>
      <c r="G57" s="11">
        <f t="shared" si="0"/>
        <v>97.8626750074471</v>
      </c>
      <c r="H57" s="7">
        <v>0</v>
      </c>
      <c r="I57" s="7">
        <v>0</v>
      </c>
      <c r="J57" s="7">
        <v>0</v>
      </c>
      <c r="K57" s="7">
        <v>7</v>
      </c>
    </row>
    <row r="58" spans="1:11">
      <c r="A58" s="21" t="s">
        <v>76</v>
      </c>
      <c r="B58" s="21" t="s">
        <v>85</v>
      </c>
      <c r="C58" s="7">
        <v>0</v>
      </c>
      <c r="D58" s="22">
        <v>298.37</v>
      </c>
      <c r="E58" s="23">
        <v>12822</v>
      </c>
      <c r="F58" s="23">
        <v>13122</v>
      </c>
      <c r="G58" s="11">
        <f t="shared" si="0"/>
        <v>97.7137631458619</v>
      </c>
      <c r="H58" s="7">
        <v>0</v>
      </c>
      <c r="I58" s="7">
        <v>0</v>
      </c>
      <c r="J58" s="7">
        <v>0</v>
      </c>
      <c r="K58" s="7">
        <v>3</v>
      </c>
    </row>
    <row r="59" spans="1:11">
      <c r="A59" s="21" t="s">
        <v>76</v>
      </c>
      <c r="B59" s="21" t="s">
        <v>43</v>
      </c>
      <c r="C59" s="7">
        <v>0</v>
      </c>
      <c r="D59" s="22">
        <v>196.88</v>
      </c>
      <c r="E59" s="23">
        <v>12547</v>
      </c>
      <c r="F59" s="23">
        <v>12567</v>
      </c>
      <c r="G59" s="11">
        <f t="shared" si="0"/>
        <v>99.8408530277711</v>
      </c>
      <c r="H59" s="7">
        <v>0</v>
      </c>
      <c r="I59" s="7">
        <v>0</v>
      </c>
      <c r="J59" s="7">
        <v>0</v>
      </c>
      <c r="K59" s="7">
        <v>0</v>
      </c>
    </row>
    <row r="60" spans="1:11">
      <c r="A60" s="21" t="s">
        <v>76</v>
      </c>
      <c r="B60" s="21" t="s">
        <v>68</v>
      </c>
      <c r="C60" s="7">
        <v>0</v>
      </c>
      <c r="D60" s="22">
        <v>318.81</v>
      </c>
      <c r="E60" s="23">
        <v>11851</v>
      </c>
      <c r="F60" s="23">
        <v>12292</v>
      </c>
      <c r="G60" s="11">
        <f t="shared" si="0"/>
        <v>96.4123006833713</v>
      </c>
      <c r="H60" s="7">
        <v>0</v>
      </c>
      <c r="I60" s="7">
        <v>0</v>
      </c>
      <c r="J60" s="7">
        <v>0</v>
      </c>
      <c r="K60" s="7">
        <v>7</v>
      </c>
    </row>
    <row r="61" spans="1:11">
      <c r="A61" s="21" t="s">
        <v>76</v>
      </c>
      <c r="B61" s="21" t="s">
        <v>86</v>
      </c>
      <c r="C61" s="7">
        <v>0</v>
      </c>
      <c r="D61" s="22">
        <v>321.72</v>
      </c>
      <c r="E61" s="23">
        <v>11025</v>
      </c>
      <c r="F61" s="23">
        <v>11373</v>
      </c>
      <c r="G61" s="11">
        <f t="shared" si="0"/>
        <v>96.9401213400158</v>
      </c>
      <c r="H61" s="7">
        <v>0</v>
      </c>
      <c r="I61" s="7">
        <v>0</v>
      </c>
      <c r="J61" s="7">
        <v>0</v>
      </c>
      <c r="K61" s="7">
        <v>5</v>
      </c>
    </row>
    <row r="62" spans="1:11">
      <c r="A62" s="21" t="s">
        <v>76</v>
      </c>
      <c r="B62" s="21" t="s">
        <v>87</v>
      </c>
      <c r="C62" s="7">
        <v>0</v>
      </c>
      <c r="D62" s="22">
        <v>173.39</v>
      </c>
      <c r="E62" s="23">
        <v>11011</v>
      </c>
      <c r="F62" s="23">
        <v>11320</v>
      </c>
      <c r="G62" s="11">
        <f t="shared" si="0"/>
        <v>97.2703180212014</v>
      </c>
      <c r="H62" s="7">
        <v>0</v>
      </c>
      <c r="I62" s="7">
        <v>0</v>
      </c>
      <c r="J62" s="7">
        <v>0</v>
      </c>
      <c r="K62" s="7">
        <v>2</v>
      </c>
    </row>
    <row r="63" spans="1:11">
      <c r="A63" s="21" t="s">
        <v>76</v>
      </c>
      <c r="B63" s="21" t="s">
        <v>56</v>
      </c>
      <c r="C63" s="7">
        <v>0</v>
      </c>
      <c r="D63" s="22">
        <v>318.54</v>
      </c>
      <c r="E63" s="23">
        <v>10690</v>
      </c>
      <c r="F63" s="23">
        <v>10775</v>
      </c>
      <c r="G63" s="11">
        <f t="shared" si="0"/>
        <v>99.2111368909513</v>
      </c>
      <c r="H63" s="7">
        <v>0</v>
      </c>
      <c r="I63" s="7">
        <v>0</v>
      </c>
      <c r="J63" s="7">
        <v>0</v>
      </c>
      <c r="K63" s="7">
        <v>2</v>
      </c>
    </row>
    <row r="64" spans="1:11">
      <c r="A64" s="21" t="s">
        <v>76</v>
      </c>
      <c r="B64" s="21" t="s">
        <v>70</v>
      </c>
      <c r="C64" s="7">
        <v>0</v>
      </c>
      <c r="D64" s="22">
        <v>108.65</v>
      </c>
      <c r="E64" s="23">
        <v>10361</v>
      </c>
      <c r="F64" s="23">
        <v>10421</v>
      </c>
      <c r="G64" s="11">
        <f t="shared" si="0"/>
        <v>99.4242395163612</v>
      </c>
      <c r="H64" s="7">
        <v>0</v>
      </c>
      <c r="I64" s="7">
        <v>0</v>
      </c>
      <c r="J64" s="7">
        <v>0</v>
      </c>
      <c r="K64" s="7">
        <v>0</v>
      </c>
    </row>
    <row r="65" spans="1:11">
      <c r="A65" s="21" t="s">
        <v>76</v>
      </c>
      <c r="B65" s="21" t="s">
        <v>40</v>
      </c>
      <c r="C65" s="7">
        <v>0</v>
      </c>
      <c r="D65" s="22">
        <v>218.76</v>
      </c>
      <c r="E65" s="23">
        <v>9337</v>
      </c>
      <c r="F65" s="23">
        <v>9337</v>
      </c>
      <c r="G65" s="11">
        <f t="shared" si="0"/>
        <v>100</v>
      </c>
      <c r="H65" s="7">
        <v>0</v>
      </c>
      <c r="I65" s="7">
        <v>0</v>
      </c>
      <c r="J65" s="7">
        <v>0</v>
      </c>
      <c r="K65" s="7">
        <v>0</v>
      </c>
    </row>
    <row r="66" spans="1:11">
      <c r="A66" s="21" t="s">
        <v>76</v>
      </c>
      <c r="B66" s="21" t="s">
        <v>88</v>
      </c>
      <c r="C66" s="7">
        <v>0</v>
      </c>
      <c r="D66" s="22">
        <v>251.66</v>
      </c>
      <c r="E66" s="23">
        <v>9217</v>
      </c>
      <c r="F66" s="23">
        <v>9275</v>
      </c>
      <c r="G66" s="11">
        <f t="shared" si="0"/>
        <v>99.3746630727763</v>
      </c>
      <c r="H66" s="7">
        <v>0</v>
      </c>
      <c r="I66" s="7">
        <v>0</v>
      </c>
      <c r="J66" s="7">
        <v>0</v>
      </c>
      <c r="K66" s="7">
        <v>1</v>
      </c>
    </row>
    <row r="67" spans="1:11">
      <c r="A67" s="21" t="s">
        <v>76</v>
      </c>
      <c r="B67" s="21" t="s">
        <v>89</v>
      </c>
      <c r="C67" s="7">
        <v>0</v>
      </c>
      <c r="D67" s="22">
        <v>184.8</v>
      </c>
      <c r="E67" s="23">
        <v>8509</v>
      </c>
      <c r="F67" s="23">
        <v>8644</v>
      </c>
      <c r="G67" s="11">
        <f t="shared" si="0"/>
        <v>98.4382230448866</v>
      </c>
      <c r="H67" s="7">
        <v>1</v>
      </c>
      <c r="I67" s="7">
        <v>0</v>
      </c>
      <c r="J67" s="7">
        <v>1</v>
      </c>
      <c r="K67" s="7">
        <v>2</v>
      </c>
    </row>
    <row r="68" spans="1:11">
      <c r="A68" s="21" t="s">
        <v>76</v>
      </c>
      <c r="B68" s="21" t="s">
        <v>90</v>
      </c>
      <c r="C68" s="7">
        <v>0</v>
      </c>
      <c r="D68" s="22">
        <v>221.56</v>
      </c>
      <c r="E68" s="23">
        <v>6925</v>
      </c>
      <c r="F68" s="23">
        <v>6930</v>
      </c>
      <c r="G68" s="11">
        <f t="shared" ref="G68:G131" si="1">IF(F68=0,0,E68/F68*100)</f>
        <v>99.9278499278499</v>
      </c>
      <c r="H68" s="7">
        <v>0</v>
      </c>
      <c r="I68" s="7">
        <v>0</v>
      </c>
      <c r="J68" s="7">
        <v>0</v>
      </c>
      <c r="K68" s="7">
        <v>0</v>
      </c>
    </row>
    <row r="69" spans="1:11">
      <c r="A69" s="21" t="s">
        <v>76</v>
      </c>
      <c r="B69" s="21" t="s">
        <v>63</v>
      </c>
      <c r="C69" s="7">
        <v>0</v>
      </c>
      <c r="D69" s="22">
        <v>302.37</v>
      </c>
      <c r="E69" s="23">
        <v>6810</v>
      </c>
      <c r="F69" s="23">
        <v>6920</v>
      </c>
      <c r="G69" s="11">
        <f t="shared" si="1"/>
        <v>98.4104046242775</v>
      </c>
      <c r="H69" s="7">
        <v>0</v>
      </c>
      <c r="I69" s="7">
        <v>0</v>
      </c>
      <c r="J69" s="7">
        <v>0</v>
      </c>
      <c r="K69" s="7">
        <v>5</v>
      </c>
    </row>
    <row r="70" spans="1:11">
      <c r="A70" s="21" t="s">
        <v>76</v>
      </c>
      <c r="B70" s="21" t="s">
        <v>91</v>
      </c>
      <c r="C70" s="7">
        <v>0</v>
      </c>
      <c r="D70" s="22">
        <v>107.53</v>
      </c>
      <c r="E70" s="23">
        <v>4497</v>
      </c>
      <c r="F70" s="23">
        <v>4543</v>
      </c>
      <c r="G70" s="11">
        <f t="shared" si="1"/>
        <v>98.9874532247414</v>
      </c>
      <c r="H70" s="7">
        <v>0</v>
      </c>
      <c r="I70" s="7">
        <v>0</v>
      </c>
      <c r="J70" s="7">
        <v>0</v>
      </c>
      <c r="K70" s="7">
        <v>0</v>
      </c>
    </row>
    <row r="71" spans="1:11">
      <c r="A71" s="21" t="s">
        <v>76</v>
      </c>
      <c r="B71" s="21" t="s">
        <v>92</v>
      </c>
      <c r="C71" s="7">
        <v>0</v>
      </c>
      <c r="D71" s="22">
        <v>107.54</v>
      </c>
      <c r="E71" s="23">
        <v>4155</v>
      </c>
      <c r="F71" s="23">
        <v>4409</v>
      </c>
      <c r="G71" s="11">
        <f t="shared" si="1"/>
        <v>94.2390564753913</v>
      </c>
      <c r="H71" s="7">
        <v>1</v>
      </c>
      <c r="I71" s="7">
        <v>0</v>
      </c>
      <c r="J71" s="7">
        <v>1</v>
      </c>
      <c r="K71" s="7">
        <v>8</v>
      </c>
    </row>
    <row r="72" spans="1:11">
      <c r="A72" s="21" t="s">
        <v>76</v>
      </c>
      <c r="B72" s="21" t="s">
        <v>37</v>
      </c>
      <c r="C72" s="7">
        <v>0</v>
      </c>
      <c r="D72" s="22">
        <v>37.45</v>
      </c>
      <c r="E72" s="23">
        <v>3608</v>
      </c>
      <c r="F72" s="23">
        <v>3687</v>
      </c>
      <c r="G72" s="11">
        <f t="shared" si="1"/>
        <v>97.8573365880119</v>
      </c>
      <c r="H72" s="7">
        <v>0</v>
      </c>
      <c r="I72" s="7">
        <v>0</v>
      </c>
      <c r="J72" s="7">
        <v>0</v>
      </c>
      <c r="K72" s="7">
        <v>0</v>
      </c>
    </row>
    <row r="73" spans="1:11">
      <c r="A73" s="21" t="s">
        <v>76</v>
      </c>
      <c r="B73" s="21" t="s">
        <v>93</v>
      </c>
      <c r="C73" s="7">
        <v>0</v>
      </c>
      <c r="D73" s="22">
        <v>80.78</v>
      </c>
      <c r="E73" s="23">
        <v>3480</v>
      </c>
      <c r="F73" s="23">
        <v>3551</v>
      </c>
      <c r="G73" s="11">
        <f t="shared" si="1"/>
        <v>98.0005632216277</v>
      </c>
      <c r="H73" s="7">
        <v>0</v>
      </c>
      <c r="I73" s="7">
        <v>0</v>
      </c>
      <c r="J73" s="7">
        <v>0</v>
      </c>
      <c r="K73" s="7">
        <v>1</v>
      </c>
    </row>
    <row r="74" spans="1:11">
      <c r="A74" s="21" t="s">
        <v>76</v>
      </c>
      <c r="B74" s="21" t="s">
        <v>94</v>
      </c>
      <c r="C74" s="7">
        <v>0</v>
      </c>
      <c r="D74" s="22">
        <v>47.99</v>
      </c>
      <c r="E74" s="23">
        <v>2537</v>
      </c>
      <c r="F74" s="23">
        <v>2551</v>
      </c>
      <c r="G74" s="11">
        <f t="shared" si="1"/>
        <v>99.4511956095649</v>
      </c>
      <c r="H74" s="7">
        <v>0</v>
      </c>
      <c r="I74" s="7">
        <v>0</v>
      </c>
      <c r="J74" s="7">
        <v>0</v>
      </c>
      <c r="K74" s="7">
        <v>0</v>
      </c>
    </row>
    <row r="75" spans="1:11">
      <c r="A75" s="21" t="s">
        <v>76</v>
      </c>
      <c r="B75" s="21" t="s">
        <v>95</v>
      </c>
      <c r="C75" s="7">
        <v>0</v>
      </c>
      <c r="D75" s="22">
        <v>107.52</v>
      </c>
      <c r="E75" s="23">
        <v>0</v>
      </c>
      <c r="F75" s="23">
        <v>2305</v>
      </c>
      <c r="G75" s="11">
        <f t="shared" si="1"/>
        <v>0</v>
      </c>
      <c r="H75" s="7">
        <v>0</v>
      </c>
      <c r="I75" s="7">
        <v>0</v>
      </c>
      <c r="J75" s="7">
        <v>0</v>
      </c>
      <c r="K75" s="7">
        <v>0</v>
      </c>
    </row>
    <row r="76" spans="1:11">
      <c r="A76" s="21" t="s">
        <v>76</v>
      </c>
      <c r="B76" s="21" t="s">
        <v>36</v>
      </c>
      <c r="C76" s="7">
        <v>0</v>
      </c>
      <c r="D76" s="22">
        <v>41.91</v>
      </c>
      <c r="E76" s="23">
        <v>1903</v>
      </c>
      <c r="F76" s="23">
        <v>1903</v>
      </c>
      <c r="G76" s="11">
        <f t="shared" si="1"/>
        <v>100</v>
      </c>
      <c r="H76" s="7">
        <v>0</v>
      </c>
      <c r="I76" s="7">
        <v>0</v>
      </c>
      <c r="J76" s="7">
        <v>0</v>
      </c>
      <c r="K76" s="7">
        <v>0</v>
      </c>
    </row>
    <row r="77" spans="1:11">
      <c r="A77" s="21" t="s">
        <v>76</v>
      </c>
      <c r="B77" s="21" t="s">
        <v>50</v>
      </c>
      <c r="C77" s="7">
        <v>0</v>
      </c>
      <c r="D77" s="22">
        <v>11.29</v>
      </c>
      <c r="E77" s="23">
        <v>548</v>
      </c>
      <c r="F77" s="23">
        <v>737</v>
      </c>
      <c r="G77" s="11">
        <f t="shared" si="1"/>
        <v>74.3554952510176</v>
      </c>
      <c r="H77" s="7">
        <v>0</v>
      </c>
      <c r="I77" s="7">
        <v>0</v>
      </c>
      <c r="J77" s="7">
        <v>0</v>
      </c>
      <c r="K77" s="7">
        <v>2</v>
      </c>
    </row>
    <row r="78" spans="1:11">
      <c r="A78" s="21" t="s">
        <v>76</v>
      </c>
      <c r="B78" s="21" t="s">
        <v>96</v>
      </c>
      <c r="C78" s="7">
        <v>0</v>
      </c>
      <c r="D78" s="22">
        <v>56.78</v>
      </c>
      <c r="E78" s="23">
        <v>271</v>
      </c>
      <c r="F78" s="23">
        <v>287</v>
      </c>
      <c r="G78" s="11">
        <f t="shared" si="1"/>
        <v>94.4250871080139</v>
      </c>
      <c r="H78" s="7">
        <v>0</v>
      </c>
      <c r="I78" s="7">
        <v>0</v>
      </c>
      <c r="J78" s="7">
        <v>0</v>
      </c>
      <c r="K78" s="7">
        <v>1</v>
      </c>
    </row>
    <row r="79" spans="1:11">
      <c r="A79" s="21" t="s">
        <v>76</v>
      </c>
      <c r="B79" s="21" t="s">
        <v>74</v>
      </c>
      <c r="C79" s="7">
        <v>0</v>
      </c>
      <c r="D79" s="22">
        <v>319.52</v>
      </c>
      <c r="E79" s="23">
        <v>0</v>
      </c>
      <c r="F79" s="23">
        <v>210</v>
      </c>
      <c r="G79" s="11">
        <f t="shared" si="1"/>
        <v>0</v>
      </c>
      <c r="H79" s="7">
        <v>0</v>
      </c>
      <c r="I79" s="7">
        <v>0</v>
      </c>
      <c r="J79" s="7">
        <v>0</v>
      </c>
      <c r="K79" s="7">
        <v>0</v>
      </c>
    </row>
    <row r="80" spans="1:11">
      <c r="A80" s="21" t="s">
        <v>76</v>
      </c>
      <c r="B80" s="21" t="s">
        <v>72</v>
      </c>
      <c r="C80" s="7">
        <v>0</v>
      </c>
      <c r="D80" s="22">
        <v>164.85</v>
      </c>
      <c r="E80" s="23">
        <v>0</v>
      </c>
      <c r="F80" s="23">
        <v>80</v>
      </c>
      <c r="G80" s="11">
        <f t="shared" si="1"/>
        <v>0</v>
      </c>
      <c r="H80" s="7">
        <v>0</v>
      </c>
      <c r="I80" s="7">
        <v>0</v>
      </c>
      <c r="J80" s="7">
        <v>0</v>
      </c>
      <c r="K80" s="7">
        <v>0</v>
      </c>
    </row>
    <row r="81" spans="1:11">
      <c r="A81" s="24" t="s">
        <v>76</v>
      </c>
      <c r="B81" s="24" t="s">
        <v>75</v>
      </c>
      <c r="C81" s="25">
        <f>SUM(C44:C80)</f>
        <v>3</v>
      </c>
      <c r="D81" s="26">
        <f>SUM(D44:D80)</f>
        <v>9091.11000000001</v>
      </c>
      <c r="E81" s="27">
        <f>SUM(E44:E80)</f>
        <v>422118</v>
      </c>
      <c r="F81" s="27">
        <f>SUM(F44:F80)</f>
        <v>430581</v>
      </c>
      <c r="G81" s="28">
        <f t="shared" si="1"/>
        <v>98.034516153755</v>
      </c>
      <c r="H81" s="25">
        <f>SUM(H44:H80)</f>
        <v>4</v>
      </c>
      <c r="I81" s="25">
        <f>SUM(I44:I80)</f>
        <v>1</v>
      </c>
      <c r="J81" s="25">
        <f>SUM(J44:J80)</f>
        <v>3</v>
      </c>
      <c r="K81" s="25">
        <f>SUM(K44:K80)</f>
        <v>112</v>
      </c>
    </row>
    <row r="82" spans="1:11">
      <c r="A82" s="21" t="s">
        <v>97</v>
      </c>
      <c r="B82" s="21" t="s">
        <v>36</v>
      </c>
      <c r="C82" s="7">
        <v>2</v>
      </c>
      <c r="D82" s="22">
        <v>543.86</v>
      </c>
      <c r="E82" s="23">
        <v>37041</v>
      </c>
      <c r="F82" s="23">
        <v>37375</v>
      </c>
      <c r="G82" s="11">
        <f t="shared" si="1"/>
        <v>99.1063545150502</v>
      </c>
      <c r="H82" s="7">
        <v>0</v>
      </c>
      <c r="I82" s="7">
        <v>0</v>
      </c>
      <c r="J82" s="7">
        <v>0</v>
      </c>
      <c r="K82" s="7">
        <v>12</v>
      </c>
    </row>
    <row r="83" spans="1:11">
      <c r="A83" s="21" t="s">
        <v>97</v>
      </c>
      <c r="B83" s="21" t="s">
        <v>98</v>
      </c>
      <c r="C83" s="7">
        <v>1</v>
      </c>
      <c r="D83" s="22">
        <v>543.86</v>
      </c>
      <c r="E83" s="23">
        <v>36879</v>
      </c>
      <c r="F83" s="23">
        <v>37257</v>
      </c>
      <c r="G83" s="11">
        <f t="shared" si="1"/>
        <v>98.9854255576133</v>
      </c>
      <c r="H83" s="7">
        <v>0</v>
      </c>
      <c r="I83" s="7">
        <v>0</v>
      </c>
      <c r="J83" s="7">
        <v>0</v>
      </c>
      <c r="K83" s="7">
        <v>9</v>
      </c>
    </row>
    <row r="84" spans="1:11">
      <c r="A84" s="21" t="s">
        <v>97</v>
      </c>
      <c r="B84" s="21" t="s">
        <v>99</v>
      </c>
      <c r="C84" s="7">
        <v>1</v>
      </c>
      <c r="D84" s="22">
        <v>541.65</v>
      </c>
      <c r="E84" s="23">
        <v>30338</v>
      </c>
      <c r="F84" s="23">
        <v>30489</v>
      </c>
      <c r="G84" s="11">
        <f t="shared" si="1"/>
        <v>99.504739414215</v>
      </c>
      <c r="H84" s="7">
        <v>0</v>
      </c>
      <c r="I84" s="7">
        <v>0</v>
      </c>
      <c r="J84" s="7">
        <v>0</v>
      </c>
      <c r="K84" s="7">
        <v>3</v>
      </c>
    </row>
    <row r="85" spans="1:11">
      <c r="A85" s="21" t="s">
        <v>97</v>
      </c>
      <c r="B85" s="21" t="s">
        <v>39</v>
      </c>
      <c r="C85" s="7">
        <v>1</v>
      </c>
      <c r="D85" s="22">
        <v>543.84</v>
      </c>
      <c r="E85" s="23">
        <v>23976</v>
      </c>
      <c r="F85" s="23">
        <v>24539</v>
      </c>
      <c r="G85" s="11">
        <f t="shared" si="1"/>
        <v>97.705692978524</v>
      </c>
      <c r="H85" s="7">
        <v>0</v>
      </c>
      <c r="I85" s="7">
        <v>0</v>
      </c>
      <c r="J85" s="7">
        <v>0</v>
      </c>
      <c r="K85" s="7">
        <v>8</v>
      </c>
    </row>
    <row r="86" spans="1:11">
      <c r="A86" s="21" t="s">
        <v>97</v>
      </c>
      <c r="B86" s="21" t="s">
        <v>78</v>
      </c>
      <c r="C86" s="7">
        <v>1</v>
      </c>
      <c r="D86" s="22">
        <v>543.65</v>
      </c>
      <c r="E86" s="23">
        <v>19816</v>
      </c>
      <c r="F86" s="23">
        <v>20051</v>
      </c>
      <c r="G86" s="11">
        <f t="shared" si="1"/>
        <v>98.8279886289961</v>
      </c>
      <c r="H86" s="7">
        <v>0</v>
      </c>
      <c r="I86" s="7">
        <v>0</v>
      </c>
      <c r="J86" s="7">
        <v>0</v>
      </c>
      <c r="K86" s="7">
        <v>4</v>
      </c>
    </row>
    <row r="87" spans="1:11">
      <c r="A87" s="21" t="s">
        <v>97</v>
      </c>
      <c r="B87" s="21" t="s">
        <v>54</v>
      </c>
      <c r="C87" s="7">
        <v>1</v>
      </c>
      <c r="D87" s="22">
        <v>543.88</v>
      </c>
      <c r="E87" s="23">
        <v>19399</v>
      </c>
      <c r="F87" s="23">
        <v>19721</v>
      </c>
      <c r="G87" s="11">
        <f t="shared" si="1"/>
        <v>98.3672227574666</v>
      </c>
      <c r="H87" s="7">
        <v>0</v>
      </c>
      <c r="I87" s="7">
        <v>0</v>
      </c>
      <c r="J87" s="7">
        <v>0</v>
      </c>
      <c r="K87" s="7">
        <v>7</v>
      </c>
    </row>
    <row r="88" spans="1:11">
      <c r="A88" s="21" t="s">
        <v>97</v>
      </c>
      <c r="B88" s="21" t="s">
        <v>100</v>
      </c>
      <c r="C88" s="7">
        <v>1</v>
      </c>
      <c r="D88" s="22">
        <v>543.64</v>
      </c>
      <c r="E88" s="23">
        <v>18880</v>
      </c>
      <c r="F88" s="23">
        <v>18944</v>
      </c>
      <c r="G88" s="11">
        <f t="shared" si="1"/>
        <v>99.6621621621622</v>
      </c>
      <c r="H88" s="7">
        <v>0</v>
      </c>
      <c r="I88" s="7">
        <v>0</v>
      </c>
      <c r="J88" s="7">
        <v>0</v>
      </c>
      <c r="K88" s="7">
        <v>5</v>
      </c>
    </row>
    <row r="89" spans="1:11">
      <c r="A89" s="21" t="s">
        <v>97</v>
      </c>
      <c r="B89" s="21" t="s">
        <v>63</v>
      </c>
      <c r="C89" s="7">
        <v>1</v>
      </c>
      <c r="D89" s="22">
        <v>542.91</v>
      </c>
      <c r="E89" s="23">
        <v>17643</v>
      </c>
      <c r="F89" s="23">
        <v>17831</v>
      </c>
      <c r="G89" s="11">
        <f t="shared" si="1"/>
        <v>98.9456564410297</v>
      </c>
      <c r="H89" s="7">
        <v>0</v>
      </c>
      <c r="I89" s="7">
        <v>0</v>
      </c>
      <c r="J89" s="7">
        <v>0</v>
      </c>
      <c r="K89" s="7">
        <v>6</v>
      </c>
    </row>
    <row r="90" spans="1:11">
      <c r="A90" s="21" t="s">
        <v>97</v>
      </c>
      <c r="B90" s="21" t="s">
        <v>87</v>
      </c>
      <c r="C90" s="7">
        <v>0</v>
      </c>
      <c r="D90" s="22">
        <v>254.25</v>
      </c>
      <c r="E90" s="23">
        <v>37425</v>
      </c>
      <c r="F90" s="23">
        <v>38999</v>
      </c>
      <c r="G90" s="11">
        <f t="shared" si="1"/>
        <v>95.9639990768994</v>
      </c>
      <c r="H90" s="7">
        <v>0</v>
      </c>
      <c r="I90" s="7">
        <v>0</v>
      </c>
      <c r="J90" s="7">
        <v>0</v>
      </c>
      <c r="K90" s="7">
        <v>5</v>
      </c>
    </row>
    <row r="91" spans="1:11">
      <c r="A91" s="21" t="s">
        <v>97</v>
      </c>
      <c r="B91" s="21" t="s">
        <v>37</v>
      </c>
      <c r="C91" s="7">
        <v>0</v>
      </c>
      <c r="D91" s="22">
        <v>506.55</v>
      </c>
      <c r="E91" s="23">
        <v>25857</v>
      </c>
      <c r="F91" s="23">
        <v>26111</v>
      </c>
      <c r="G91" s="11">
        <f t="shared" si="1"/>
        <v>99.027229903106</v>
      </c>
      <c r="H91" s="7">
        <v>0</v>
      </c>
      <c r="I91" s="7">
        <v>0</v>
      </c>
      <c r="J91" s="7">
        <v>0</v>
      </c>
      <c r="K91" s="7">
        <v>7</v>
      </c>
    </row>
    <row r="92" spans="1:11">
      <c r="A92" s="21" t="s">
        <v>97</v>
      </c>
      <c r="B92" s="21" t="s">
        <v>101</v>
      </c>
      <c r="C92" s="7">
        <v>0</v>
      </c>
      <c r="D92" s="22">
        <v>432.42</v>
      </c>
      <c r="E92" s="23">
        <v>24614</v>
      </c>
      <c r="F92" s="23">
        <v>24812</v>
      </c>
      <c r="G92" s="11">
        <f t="shared" si="1"/>
        <v>99.2019990327261</v>
      </c>
      <c r="H92" s="7">
        <v>0</v>
      </c>
      <c r="I92" s="7">
        <v>0</v>
      </c>
      <c r="J92" s="7">
        <v>0</v>
      </c>
      <c r="K92" s="7">
        <v>4</v>
      </c>
    </row>
    <row r="93" spans="1:11">
      <c r="A93" s="21" t="s">
        <v>97</v>
      </c>
      <c r="B93" s="21" t="s">
        <v>52</v>
      </c>
      <c r="C93" s="7">
        <v>0</v>
      </c>
      <c r="D93" s="22">
        <v>322.46</v>
      </c>
      <c r="E93" s="23">
        <v>24134</v>
      </c>
      <c r="F93" s="23">
        <v>24773</v>
      </c>
      <c r="G93" s="11">
        <f t="shared" si="1"/>
        <v>97.4205788560126</v>
      </c>
      <c r="H93" s="7">
        <v>0</v>
      </c>
      <c r="I93" s="7">
        <v>0</v>
      </c>
      <c r="J93" s="7">
        <v>0</v>
      </c>
      <c r="K93" s="7">
        <v>10</v>
      </c>
    </row>
    <row r="94" spans="1:11">
      <c r="A94" s="21" t="s">
        <v>97</v>
      </c>
      <c r="B94" s="21" t="s">
        <v>102</v>
      </c>
      <c r="C94" s="7">
        <v>0</v>
      </c>
      <c r="D94" s="22">
        <v>250.82</v>
      </c>
      <c r="E94" s="23">
        <v>19405</v>
      </c>
      <c r="F94" s="23">
        <v>20034</v>
      </c>
      <c r="G94" s="11">
        <f t="shared" si="1"/>
        <v>96.8603374263752</v>
      </c>
      <c r="H94" s="7">
        <v>0</v>
      </c>
      <c r="I94" s="7">
        <v>0</v>
      </c>
      <c r="J94" s="7">
        <v>0</v>
      </c>
      <c r="K94" s="7">
        <v>9</v>
      </c>
    </row>
    <row r="95" spans="1:11">
      <c r="A95" s="21" t="s">
        <v>97</v>
      </c>
      <c r="B95" s="21" t="s">
        <v>94</v>
      </c>
      <c r="C95" s="7">
        <v>0</v>
      </c>
      <c r="D95" s="22">
        <v>492.49</v>
      </c>
      <c r="E95" s="23">
        <v>18374</v>
      </c>
      <c r="F95" s="23">
        <v>18640</v>
      </c>
      <c r="G95" s="11">
        <f t="shared" si="1"/>
        <v>98.5729613733906</v>
      </c>
      <c r="H95" s="7">
        <v>0</v>
      </c>
      <c r="I95" s="7">
        <v>0</v>
      </c>
      <c r="J95" s="7">
        <v>0</v>
      </c>
      <c r="K95" s="7">
        <v>4</v>
      </c>
    </row>
    <row r="96" spans="1:11">
      <c r="A96" s="21" t="s">
        <v>97</v>
      </c>
      <c r="B96" s="21" t="s">
        <v>46</v>
      </c>
      <c r="C96" s="7">
        <v>0</v>
      </c>
      <c r="D96" s="22">
        <v>329.81</v>
      </c>
      <c r="E96" s="23">
        <v>18247</v>
      </c>
      <c r="F96" s="23">
        <v>18462</v>
      </c>
      <c r="G96" s="11">
        <f t="shared" si="1"/>
        <v>98.8354457805222</v>
      </c>
      <c r="H96" s="7">
        <v>0</v>
      </c>
      <c r="I96" s="7">
        <v>0</v>
      </c>
      <c r="J96" s="7">
        <v>0</v>
      </c>
      <c r="K96" s="7">
        <v>4</v>
      </c>
    </row>
    <row r="97" spans="1:11">
      <c r="A97" s="21" t="s">
        <v>97</v>
      </c>
      <c r="B97" s="21" t="s">
        <v>93</v>
      </c>
      <c r="C97" s="7">
        <v>0</v>
      </c>
      <c r="D97" s="22">
        <v>460.82</v>
      </c>
      <c r="E97" s="23">
        <v>16538</v>
      </c>
      <c r="F97" s="23">
        <v>16809</v>
      </c>
      <c r="G97" s="11">
        <f t="shared" si="1"/>
        <v>98.387768457374</v>
      </c>
      <c r="H97" s="7">
        <v>0</v>
      </c>
      <c r="I97" s="7">
        <v>0</v>
      </c>
      <c r="J97" s="7">
        <v>0</v>
      </c>
      <c r="K97" s="7">
        <v>4</v>
      </c>
    </row>
    <row r="98" spans="1:11">
      <c r="A98" s="21" t="s">
        <v>97</v>
      </c>
      <c r="B98" s="21" t="s">
        <v>80</v>
      </c>
      <c r="C98" s="7">
        <v>0</v>
      </c>
      <c r="D98" s="22">
        <v>329.84</v>
      </c>
      <c r="E98" s="23">
        <v>14710</v>
      </c>
      <c r="F98" s="23">
        <v>15754</v>
      </c>
      <c r="G98" s="11">
        <f t="shared" si="1"/>
        <v>93.3731115907071</v>
      </c>
      <c r="H98" s="7">
        <v>1</v>
      </c>
      <c r="I98" s="7">
        <v>0</v>
      </c>
      <c r="J98" s="7">
        <v>1</v>
      </c>
      <c r="K98" s="7">
        <v>17</v>
      </c>
    </row>
    <row r="99" spans="1:11">
      <c r="A99" s="21" t="s">
        <v>97</v>
      </c>
      <c r="B99" s="21" t="s">
        <v>103</v>
      </c>
      <c r="C99" s="7">
        <v>0</v>
      </c>
      <c r="D99" s="22">
        <v>319.67</v>
      </c>
      <c r="E99" s="23">
        <v>13080</v>
      </c>
      <c r="F99" s="23">
        <v>13192</v>
      </c>
      <c r="G99" s="11">
        <f t="shared" si="1"/>
        <v>99.1510006064281</v>
      </c>
      <c r="H99" s="7">
        <v>0</v>
      </c>
      <c r="I99" s="7">
        <v>0</v>
      </c>
      <c r="J99" s="7">
        <v>0</v>
      </c>
      <c r="K99" s="7">
        <v>1</v>
      </c>
    </row>
    <row r="100" spans="1:11">
      <c r="A100" s="21" t="s">
        <v>97</v>
      </c>
      <c r="B100" s="21" t="s">
        <v>49</v>
      </c>
      <c r="C100" s="7">
        <v>0</v>
      </c>
      <c r="D100" s="22">
        <v>321.73</v>
      </c>
      <c r="E100" s="23">
        <v>12801</v>
      </c>
      <c r="F100" s="23">
        <v>12891</v>
      </c>
      <c r="G100" s="11">
        <f t="shared" si="1"/>
        <v>99.3018384919711</v>
      </c>
      <c r="H100" s="7">
        <v>0</v>
      </c>
      <c r="I100" s="7">
        <v>0</v>
      </c>
      <c r="J100" s="7">
        <v>0</v>
      </c>
      <c r="K100" s="7">
        <v>2</v>
      </c>
    </row>
    <row r="101" spans="1:11">
      <c r="A101" s="21" t="s">
        <v>97</v>
      </c>
      <c r="B101" s="21" t="s">
        <v>40</v>
      </c>
      <c r="C101" s="7">
        <v>0</v>
      </c>
      <c r="D101" s="22">
        <v>322.92</v>
      </c>
      <c r="E101" s="23">
        <v>12544</v>
      </c>
      <c r="F101" s="23">
        <v>12773</v>
      </c>
      <c r="G101" s="11">
        <f t="shared" si="1"/>
        <v>98.207155719095</v>
      </c>
      <c r="H101" s="7">
        <v>0</v>
      </c>
      <c r="I101" s="7">
        <v>0</v>
      </c>
      <c r="J101" s="7">
        <v>0</v>
      </c>
      <c r="K101" s="7">
        <v>4</v>
      </c>
    </row>
    <row r="102" spans="1:11">
      <c r="A102" s="21" t="s">
        <v>97</v>
      </c>
      <c r="B102" s="21" t="s">
        <v>81</v>
      </c>
      <c r="C102" s="7">
        <v>0</v>
      </c>
      <c r="D102" s="22">
        <v>193.13</v>
      </c>
      <c r="E102" s="23">
        <v>12352</v>
      </c>
      <c r="F102" s="23">
        <v>12542</v>
      </c>
      <c r="G102" s="11">
        <f t="shared" si="1"/>
        <v>98.4850900972732</v>
      </c>
      <c r="H102" s="7">
        <v>0</v>
      </c>
      <c r="I102" s="7">
        <v>0</v>
      </c>
      <c r="J102" s="7">
        <v>0</v>
      </c>
      <c r="K102" s="7">
        <v>2</v>
      </c>
    </row>
    <row r="103" spans="1:11">
      <c r="A103" s="21" t="s">
        <v>97</v>
      </c>
      <c r="B103" s="21" t="s">
        <v>86</v>
      </c>
      <c r="C103" s="7">
        <v>0</v>
      </c>
      <c r="D103" s="22">
        <v>318.8</v>
      </c>
      <c r="E103" s="23">
        <v>11318</v>
      </c>
      <c r="F103" s="23">
        <v>11437</v>
      </c>
      <c r="G103" s="11">
        <f t="shared" si="1"/>
        <v>98.95951735595</v>
      </c>
      <c r="H103" s="7">
        <v>0</v>
      </c>
      <c r="I103" s="7">
        <v>0</v>
      </c>
      <c r="J103" s="7">
        <v>0</v>
      </c>
      <c r="K103" s="7">
        <v>1</v>
      </c>
    </row>
    <row r="104" spans="1:11">
      <c r="A104" s="21" t="s">
        <v>97</v>
      </c>
      <c r="B104" s="21" t="s">
        <v>104</v>
      </c>
      <c r="C104" s="7">
        <v>0</v>
      </c>
      <c r="D104" s="22">
        <v>229.31</v>
      </c>
      <c r="E104" s="23">
        <v>10353</v>
      </c>
      <c r="F104" s="23">
        <v>10810</v>
      </c>
      <c r="G104" s="11">
        <f t="shared" si="1"/>
        <v>95.7724329324699</v>
      </c>
      <c r="H104" s="7">
        <v>0</v>
      </c>
      <c r="I104" s="7">
        <v>0</v>
      </c>
      <c r="J104" s="7">
        <v>0</v>
      </c>
      <c r="K104" s="7">
        <v>7</v>
      </c>
    </row>
    <row r="105" spans="1:11">
      <c r="A105" s="21" t="s">
        <v>97</v>
      </c>
      <c r="B105" s="21" t="s">
        <v>88</v>
      </c>
      <c r="C105" s="7">
        <v>0</v>
      </c>
      <c r="D105" s="22">
        <v>267.18</v>
      </c>
      <c r="E105" s="23">
        <v>10431</v>
      </c>
      <c r="F105" s="23">
        <v>10473</v>
      </c>
      <c r="G105" s="11">
        <f t="shared" si="1"/>
        <v>99.5989687768548</v>
      </c>
      <c r="H105" s="7">
        <v>0</v>
      </c>
      <c r="I105" s="7">
        <v>0</v>
      </c>
      <c r="J105" s="7">
        <v>0</v>
      </c>
      <c r="K105" s="7">
        <v>0</v>
      </c>
    </row>
    <row r="106" spans="1:11">
      <c r="A106" s="21" t="s">
        <v>97</v>
      </c>
      <c r="B106" s="21" t="s">
        <v>84</v>
      </c>
      <c r="C106" s="7">
        <v>0</v>
      </c>
      <c r="D106" s="22">
        <v>226.98</v>
      </c>
      <c r="E106" s="23">
        <v>10259</v>
      </c>
      <c r="F106" s="23">
        <v>10259</v>
      </c>
      <c r="G106" s="11">
        <f t="shared" si="1"/>
        <v>100</v>
      </c>
      <c r="H106" s="7">
        <v>0</v>
      </c>
      <c r="I106" s="7">
        <v>0</v>
      </c>
      <c r="J106" s="7">
        <v>0</v>
      </c>
      <c r="K106" s="7">
        <v>0</v>
      </c>
    </row>
    <row r="107" spans="1:11">
      <c r="A107" s="21" t="s">
        <v>97</v>
      </c>
      <c r="B107" s="21" t="s">
        <v>83</v>
      </c>
      <c r="C107" s="7">
        <v>0</v>
      </c>
      <c r="D107" s="22">
        <v>167.14</v>
      </c>
      <c r="E107" s="23">
        <v>9980</v>
      </c>
      <c r="F107" s="23">
        <v>10037</v>
      </c>
      <c r="G107" s="11">
        <f t="shared" si="1"/>
        <v>99.4321012254658</v>
      </c>
      <c r="H107" s="7">
        <v>0</v>
      </c>
      <c r="I107" s="7">
        <v>0</v>
      </c>
      <c r="J107" s="7">
        <v>0</v>
      </c>
      <c r="K107" s="7">
        <v>3</v>
      </c>
    </row>
    <row r="108" spans="1:11">
      <c r="A108" s="21" t="s">
        <v>97</v>
      </c>
      <c r="B108" s="21" t="s">
        <v>105</v>
      </c>
      <c r="C108" s="7">
        <v>0</v>
      </c>
      <c r="D108" s="22">
        <v>214.42</v>
      </c>
      <c r="E108" s="23">
        <v>0</v>
      </c>
      <c r="F108" s="23">
        <v>9799</v>
      </c>
      <c r="G108" s="11">
        <f t="shared" si="1"/>
        <v>0</v>
      </c>
      <c r="H108" s="7">
        <v>0</v>
      </c>
      <c r="I108" s="7">
        <v>0</v>
      </c>
      <c r="J108" s="7">
        <v>0</v>
      </c>
      <c r="K108" s="7">
        <v>0</v>
      </c>
    </row>
    <row r="109" spans="1:11">
      <c r="A109" s="21" t="s">
        <v>97</v>
      </c>
      <c r="B109" s="21" t="s">
        <v>106</v>
      </c>
      <c r="C109" s="7">
        <v>0</v>
      </c>
      <c r="D109" s="22">
        <v>227.88</v>
      </c>
      <c r="E109" s="23">
        <v>9187</v>
      </c>
      <c r="F109" s="23">
        <v>9273</v>
      </c>
      <c r="G109" s="11">
        <f t="shared" si="1"/>
        <v>99.0725762967756</v>
      </c>
      <c r="H109" s="7">
        <v>2</v>
      </c>
      <c r="I109" s="7">
        <v>0</v>
      </c>
      <c r="J109" s="7">
        <v>2</v>
      </c>
      <c r="K109" s="7">
        <v>1</v>
      </c>
    </row>
    <row r="110" spans="1:11">
      <c r="A110" s="21" t="s">
        <v>97</v>
      </c>
      <c r="B110" s="21" t="s">
        <v>82</v>
      </c>
      <c r="C110" s="7">
        <v>0</v>
      </c>
      <c r="D110" s="22">
        <v>207.49</v>
      </c>
      <c r="E110" s="23">
        <v>9201</v>
      </c>
      <c r="F110" s="23">
        <v>9201</v>
      </c>
      <c r="G110" s="11">
        <f t="shared" si="1"/>
        <v>100</v>
      </c>
      <c r="H110" s="7">
        <v>0</v>
      </c>
      <c r="I110" s="7">
        <v>0</v>
      </c>
      <c r="J110" s="7">
        <v>0</v>
      </c>
      <c r="K110" s="7">
        <v>0</v>
      </c>
    </row>
    <row r="111" spans="1:11">
      <c r="A111" s="21" t="s">
        <v>97</v>
      </c>
      <c r="B111" s="21" t="s">
        <v>53</v>
      </c>
      <c r="C111" s="7">
        <v>0</v>
      </c>
      <c r="D111" s="22">
        <v>221.5</v>
      </c>
      <c r="E111" s="23">
        <v>9114</v>
      </c>
      <c r="F111" s="23">
        <v>9128</v>
      </c>
      <c r="G111" s="11">
        <f t="shared" si="1"/>
        <v>99.8466257668712</v>
      </c>
      <c r="H111" s="7">
        <v>0</v>
      </c>
      <c r="I111" s="7">
        <v>0</v>
      </c>
      <c r="J111" s="7">
        <v>0</v>
      </c>
      <c r="K111" s="7">
        <v>0</v>
      </c>
    </row>
    <row r="112" spans="1:11">
      <c r="A112" s="21" t="s">
        <v>97</v>
      </c>
      <c r="B112" s="21" t="s">
        <v>85</v>
      </c>
      <c r="C112" s="7">
        <v>0</v>
      </c>
      <c r="D112" s="22">
        <v>175.11</v>
      </c>
      <c r="E112" s="23">
        <v>7741</v>
      </c>
      <c r="F112" s="23">
        <v>7741</v>
      </c>
      <c r="G112" s="11">
        <f t="shared" si="1"/>
        <v>100</v>
      </c>
      <c r="H112" s="7">
        <v>0</v>
      </c>
      <c r="I112" s="7">
        <v>0</v>
      </c>
      <c r="J112" s="7">
        <v>0</v>
      </c>
      <c r="K112" s="7">
        <v>0</v>
      </c>
    </row>
    <row r="113" spans="1:11">
      <c r="A113" s="21" t="s">
        <v>97</v>
      </c>
      <c r="B113" s="21" t="s">
        <v>77</v>
      </c>
      <c r="C113" s="7">
        <v>0</v>
      </c>
      <c r="D113" s="22">
        <v>104.47</v>
      </c>
      <c r="E113" s="23">
        <v>6911</v>
      </c>
      <c r="F113" s="23">
        <v>7004</v>
      </c>
      <c r="G113" s="11">
        <f t="shared" si="1"/>
        <v>98.6721873215306</v>
      </c>
      <c r="H113" s="7">
        <v>0</v>
      </c>
      <c r="I113" s="7">
        <v>0</v>
      </c>
      <c r="J113" s="7">
        <v>0</v>
      </c>
      <c r="K113" s="7">
        <v>1</v>
      </c>
    </row>
    <row r="114" spans="1:11">
      <c r="A114" s="21" t="s">
        <v>97</v>
      </c>
      <c r="B114" s="21" t="s">
        <v>61</v>
      </c>
      <c r="C114" s="7">
        <v>0</v>
      </c>
      <c r="D114" s="22">
        <v>107.95</v>
      </c>
      <c r="E114" s="23">
        <v>6439</v>
      </c>
      <c r="F114" s="23">
        <v>6737</v>
      </c>
      <c r="G114" s="11">
        <f t="shared" si="1"/>
        <v>95.5766661718866</v>
      </c>
      <c r="H114" s="7">
        <v>0</v>
      </c>
      <c r="I114" s="7">
        <v>0</v>
      </c>
      <c r="J114" s="7">
        <v>0</v>
      </c>
      <c r="K114" s="7">
        <v>2</v>
      </c>
    </row>
    <row r="115" spans="1:11">
      <c r="A115" s="21" t="s">
        <v>97</v>
      </c>
      <c r="B115" s="21" t="s">
        <v>107</v>
      </c>
      <c r="C115" s="7">
        <v>0</v>
      </c>
      <c r="D115" s="22">
        <v>108.54</v>
      </c>
      <c r="E115" s="23">
        <v>4779</v>
      </c>
      <c r="F115" s="23">
        <v>4907</v>
      </c>
      <c r="G115" s="11">
        <f t="shared" si="1"/>
        <v>97.3914815569594</v>
      </c>
      <c r="H115" s="7">
        <v>0</v>
      </c>
      <c r="I115" s="7">
        <v>0</v>
      </c>
      <c r="J115" s="7">
        <v>0</v>
      </c>
      <c r="K115" s="7">
        <v>1</v>
      </c>
    </row>
    <row r="116" spans="1:11">
      <c r="A116" s="21" t="s">
        <v>97</v>
      </c>
      <c r="B116" s="21" t="s">
        <v>50</v>
      </c>
      <c r="C116" s="7">
        <v>0</v>
      </c>
      <c r="D116" s="22">
        <v>96.06</v>
      </c>
      <c r="E116" s="23">
        <v>4220</v>
      </c>
      <c r="F116" s="23">
        <v>4312</v>
      </c>
      <c r="G116" s="11">
        <f t="shared" si="1"/>
        <v>97.8664192949907</v>
      </c>
      <c r="H116" s="7">
        <v>0</v>
      </c>
      <c r="I116" s="7">
        <v>0</v>
      </c>
      <c r="J116" s="7">
        <v>0</v>
      </c>
      <c r="K116" s="7">
        <v>0</v>
      </c>
    </row>
    <row r="117" spans="1:11">
      <c r="A117" s="21" t="s">
        <v>97</v>
      </c>
      <c r="B117" s="21" t="s">
        <v>108</v>
      </c>
      <c r="C117" s="7">
        <v>0</v>
      </c>
      <c r="D117" s="22">
        <v>12.86</v>
      </c>
      <c r="E117" s="23">
        <v>2197</v>
      </c>
      <c r="F117" s="23">
        <v>2784</v>
      </c>
      <c r="G117" s="11">
        <f t="shared" si="1"/>
        <v>78.9152298850575</v>
      </c>
      <c r="H117" s="7">
        <v>0</v>
      </c>
      <c r="I117" s="7">
        <v>0</v>
      </c>
      <c r="J117" s="7">
        <v>0</v>
      </c>
      <c r="K117" s="7">
        <v>0</v>
      </c>
    </row>
    <row r="118" spans="1:11">
      <c r="A118" s="21" t="s">
        <v>97</v>
      </c>
      <c r="B118" s="21" t="s">
        <v>96</v>
      </c>
      <c r="C118" s="7">
        <v>0</v>
      </c>
      <c r="D118" s="22">
        <v>187.2</v>
      </c>
      <c r="E118" s="23">
        <v>2238</v>
      </c>
      <c r="F118" s="23">
        <v>2487</v>
      </c>
      <c r="G118" s="11">
        <f t="shared" si="1"/>
        <v>89.9879372738239</v>
      </c>
      <c r="H118" s="7">
        <v>0</v>
      </c>
      <c r="I118" s="7">
        <v>0</v>
      </c>
      <c r="J118" s="7">
        <v>0</v>
      </c>
      <c r="K118" s="7">
        <v>2</v>
      </c>
    </row>
    <row r="119" spans="1:11">
      <c r="A119" s="21" t="s">
        <v>97</v>
      </c>
      <c r="B119" s="21" t="s">
        <v>66</v>
      </c>
      <c r="C119" s="7">
        <v>0</v>
      </c>
      <c r="D119" s="22">
        <v>51.37</v>
      </c>
      <c r="E119" s="23">
        <v>2125</v>
      </c>
      <c r="F119" s="23">
        <v>2131</v>
      </c>
      <c r="G119" s="11">
        <f t="shared" si="1"/>
        <v>99.7184420459878</v>
      </c>
      <c r="H119" s="7">
        <v>0</v>
      </c>
      <c r="I119" s="7">
        <v>0</v>
      </c>
      <c r="J119" s="7">
        <v>0</v>
      </c>
      <c r="K119" s="7">
        <v>1</v>
      </c>
    </row>
    <row r="120" spans="1:11">
      <c r="A120" s="21" t="s">
        <v>97</v>
      </c>
      <c r="B120" s="21" t="s">
        <v>109</v>
      </c>
      <c r="C120" s="7">
        <v>0</v>
      </c>
      <c r="D120" s="22">
        <v>2.14</v>
      </c>
      <c r="E120" s="23">
        <v>1847</v>
      </c>
      <c r="F120" s="23">
        <v>2022</v>
      </c>
      <c r="G120" s="11">
        <f t="shared" si="1"/>
        <v>91.3452027695351</v>
      </c>
      <c r="H120" s="7">
        <v>0</v>
      </c>
      <c r="I120" s="7">
        <v>0</v>
      </c>
      <c r="J120" s="7">
        <v>0</v>
      </c>
      <c r="K120" s="7">
        <v>8</v>
      </c>
    </row>
    <row r="121" spans="1:11">
      <c r="A121" s="21" t="s">
        <v>97</v>
      </c>
      <c r="B121" s="21" t="s">
        <v>110</v>
      </c>
      <c r="C121" s="7">
        <v>0</v>
      </c>
      <c r="D121" s="22">
        <v>25.96</v>
      </c>
      <c r="E121" s="23">
        <v>1415</v>
      </c>
      <c r="F121" s="23">
        <v>1547</v>
      </c>
      <c r="G121" s="11">
        <f t="shared" si="1"/>
        <v>91.4673561732385</v>
      </c>
      <c r="H121" s="7">
        <v>0</v>
      </c>
      <c r="I121" s="7">
        <v>0</v>
      </c>
      <c r="J121" s="7">
        <v>0</v>
      </c>
      <c r="K121" s="7">
        <v>1</v>
      </c>
    </row>
    <row r="122" spans="1:11">
      <c r="A122" s="21" t="s">
        <v>97</v>
      </c>
      <c r="B122" s="21" t="s">
        <v>111</v>
      </c>
      <c r="C122" s="7">
        <v>0</v>
      </c>
      <c r="D122" s="22">
        <v>1.84</v>
      </c>
      <c r="E122" s="23">
        <v>152</v>
      </c>
      <c r="F122" s="23">
        <v>244</v>
      </c>
      <c r="G122" s="11">
        <f t="shared" si="1"/>
        <v>62.2950819672131</v>
      </c>
      <c r="H122" s="7">
        <v>2</v>
      </c>
      <c r="I122" s="7">
        <v>0</v>
      </c>
      <c r="J122" s="7">
        <v>2</v>
      </c>
      <c r="K122" s="7">
        <v>1</v>
      </c>
    </row>
    <row r="123" spans="1:11">
      <c r="A123" s="21" t="s">
        <v>97</v>
      </c>
      <c r="B123" s="21" t="s">
        <v>112</v>
      </c>
      <c r="C123" s="7">
        <v>0</v>
      </c>
      <c r="D123" s="22">
        <v>34.62</v>
      </c>
      <c r="E123" s="23">
        <v>0</v>
      </c>
      <c r="F123" s="23">
        <v>7</v>
      </c>
      <c r="G123" s="11">
        <f t="shared" si="1"/>
        <v>0</v>
      </c>
      <c r="H123" s="7">
        <v>0</v>
      </c>
      <c r="I123" s="7">
        <v>0</v>
      </c>
      <c r="J123" s="7">
        <v>0</v>
      </c>
      <c r="K123" s="7">
        <v>0</v>
      </c>
    </row>
    <row r="124" spans="1:11">
      <c r="A124" s="24" t="s">
        <v>97</v>
      </c>
      <c r="B124" s="24" t="s">
        <v>75</v>
      </c>
      <c r="C124" s="25">
        <f>SUM(C82:C123)</f>
        <v>9</v>
      </c>
      <c r="D124" s="26">
        <f>SUM(D82:D123)</f>
        <v>11873.02</v>
      </c>
      <c r="E124" s="27">
        <f>SUM(E82:E123)</f>
        <v>573960</v>
      </c>
      <c r="F124" s="27">
        <f>SUM(F82:F123)</f>
        <v>594339</v>
      </c>
      <c r="G124" s="28">
        <f t="shared" si="1"/>
        <v>96.5711487888225</v>
      </c>
      <c r="H124" s="25">
        <f>SUM(H82:H123)</f>
        <v>5</v>
      </c>
      <c r="I124" s="25">
        <f>SUM(I82:I123)</f>
        <v>0</v>
      </c>
      <c r="J124" s="25">
        <f>SUM(J82:J123)</f>
        <v>5</v>
      </c>
      <c r="K124" s="25">
        <f>SUM(K82:K123)</f>
        <v>156</v>
      </c>
    </row>
    <row r="125" spans="1:11">
      <c r="A125" s="21" t="s">
        <v>113</v>
      </c>
      <c r="B125" s="21" t="s">
        <v>114</v>
      </c>
      <c r="C125" s="7">
        <v>1</v>
      </c>
      <c r="D125" s="22">
        <v>543.86</v>
      </c>
      <c r="E125" s="23">
        <v>28424</v>
      </c>
      <c r="F125" s="23">
        <v>28784</v>
      </c>
      <c r="G125" s="11">
        <f t="shared" si="1"/>
        <v>98.7493051695386</v>
      </c>
      <c r="H125" s="7">
        <v>0</v>
      </c>
      <c r="I125" s="7">
        <v>0</v>
      </c>
      <c r="J125" s="7">
        <v>0</v>
      </c>
      <c r="K125" s="7">
        <v>9</v>
      </c>
    </row>
    <row r="126" spans="1:11">
      <c r="A126" s="21" t="s">
        <v>113</v>
      </c>
      <c r="B126" s="21" t="s">
        <v>94</v>
      </c>
      <c r="C126" s="7">
        <v>1</v>
      </c>
      <c r="D126" s="22">
        <v>543.89</v>
      </c>
      <c r="E126" s="23">
        <v>21485</v>
      </c>
      <c r="F126" s="23">
        <v>21552</v>
      </c>
      <c r="G126" s="11">
        <f t="shared" si="1"/>
        <v>99.6891239792131</v>
      </c>
      <c r="H126" s="7">
        <v>0</v>
      </c>
      <c r="I126" s="7">
        <v>0</v>
      </c>
      <c r="J126" s="7">
        <v>0</v>
      </c>
      <c r="K126" s="7">
        <v>5</v>
      </c>
    </row>
    <row r="127" spans="1:11">
      <c r="A127" s="21" t="s">
        <v>113</v>
      </c>
      <c r="B127" s="21" t="s">
        <v>54</v>
      </c>
      <c r="C127" s="7">
        <v>1</v>
      </c>
      <c r="D127" s="22">
        <v>541.64</v>
      </c>
      <c r="E127" s="23">
        <v>21120</v>
      </c>
      <c r="F127" s="23">
        <v>21218</v>
      </c>
      <c r="G127" s="11">
        <f t="shared" si="1"/>
        <v>99.5381280045245</v>
      </c>
      <c r="H127" s="7">
        <v>0</v>
      </c>
      <c r="I127" s="7">
        <v>0</v>
      </c>
      <c r="J127" s="7">
        <v>0</v>
      </c>
      <c r="K127" s="7">
        <v>4</v>
      </c>
    </row>
    <row r="128" spans="1:11">
      <c r="A128" s="21" t="s">
        <v>113</v>
      </c>
      <c r="B128" s="21" t="s">
        <v>87</v>
      </c>
      <c r="C128" s="7">
        <v>0</v>
      </c>
      <c r="D128" s="22">
        <v>251.84</v>
      </c>
      <c r="E128" s="23">
        <v>31191</v>
      </c>
      <c r="F128" s="23">
        <v>31694</v>
      </c>
      <c r="G128" s="11">
        <f t="shared" si="1"/>
        <v>98.4129488231211</v>
      </c>
      <c r="H128" s="7">
        <v>0</v>
      </c>
      <c r="I128" s="7">
        <v>0</v>
      </c>
      <c r="J128" s="7">
        <v>0</v>
      </c>
      <c r="K128" s="7">
        <v>11</v>
      </c>
    </row>
    <row r="129" spans="1:11">
      <c r="A129" s="21" t="s">
        <v>113</v>
      </c>
      <c r="B129" s="21" t="s">
        <v>83</v>
      </c>
      <c r="C129" s="7">
        <v>0</v>
      </c>
      <c r="D129" s="22">
        <v>376.68</v>
      </c>
      <c r="E129" s="23">
        <v>23062</v>
      </c>
      <c r="F129" s="23">
        <v>23062</v>
      </c>
      <c r="G129" s="11">
        <f t="shared" si="1"/>
        <v>100</v>
      </c>
      <c r="H129" s="7">
        <v>0</v>
      </c>
      <c r="I129" s="7">
        <v>0</v>
      </c>
      <c r="J129" s="7">
        <v>0</v>
      </c>
      <c r="K129" s="7">
        <v>0</v>
      </c>
    </row>
    <row r="130" spans="1:11">
      <c r="A130" s="21" t="s">
        <v>113</v>
      </c>
      <c r="B130" s="21" t="s">
        <v>52</v>
      </c>
      <c r="C130" s="7">
        <v>0</v>
      </c>
      <c r="D130" s="22">
        <v>322.44</v>
      </c>
      <c r="E130" s="23">
        <v>22434</v>
      </c>
      <c r="F130" s="23">
        <v>22599</v>
      </c>
      <c r="G130" s="11">
        <f t="shared" si="1"/>
        <v>99.2698791981946</v>
      </c>
      <c r="H130" s="7">
        <v>0</v>
      </c>
      <c r="I130" s="7">
        <v>0</v>
      </c>
      <c r="J130" s="7">
        <v>0</v>
      </c>
      <c r="K130" s="7">
        <v>3</v>
      </c>
    </row>
    <row r="131" spans="1:11">
      <c r="A131" s="21" t="s">
        <v>113</v>
      </c>
      <c r="B131" s="21" t="s">
        <v>49</v>
      </c>
      <c r="C131" s="7">
        <v>0</v>
      </c>
      <c r="D131" s="22">
        <v>320.16</v>
      </c>
      <c r="E131" s="23">
        <v>22088</v>
      </c>
      <c r="F131" s="23">
        <v>22190</v>
      </c>
      <c r="G131" s="11">
        <f t="shared" si="1"/>
        <v>99.5403334835512</v>
      </c>
      <c r="H131" s="7">
        <v>0</v>
      </c>
      <c r="I131" s="7">
        <v>0</v>
      </c>
      <c r="J131" s="7">
        <v>0</v>
      </c>
      <c r="K131" s="7">
        <v>1</v>
      </c>
    </row>
    <row r="132" spans="1:11">
      <c r="A132" s="21" t="s">
        <v>113</v>
      </c>
      <c r="B132" s="21" t="s">
        <v>45</v>
      </c>
      <c r="C132" s="7">
        <v>0</v>
      </c>
      <c r="D132" s="22">
        <v>473.45</v>
      </c>
      <c r="E132" s="23">
        <v>22026</v>
      </c>
      <c r="F132" s="23">
        <v>22138</v>
      </c>
      <c r="G132" s="11">
        <f t="shared" ref="G132:G195" si="2">IF(F132=0,0,E132/F132*100)</f>
        <v>99.4940825729515</v>
      </c>
      <c r="H132" s="7">
        <v>0</v>
      </c>
      <c r="I132" s="7">
        <v>0</v>
      </c>
      <c r="J132" s="7">
        <v>0</v>
      </c>
      <c r="K132" s="7">
        <v>3</v>
      </c>
    </row>
    <row r="133" spans="1:11">
      <c r="A133" s="21" t="s">
        <v>113</v>
      </c>
      <c r="B133" s="21" t="s">
        <v>82</v>
      </c>
      <c r="C133" s="7">
        <v>0</v>
      </c>
      <c r="D133" s="22">
        <v>470.64</v>
      </c>
      <c r="E133" s="23">
        <v>20888</v>
      </c>
      <c r="F133" s="23">
        <v>21265</v>
      </c>
      <c r="G133" s="11">
        <f t="shared" si="2"/>
        <v>98.2271337879144</v>
      </c>
      <c r="H133" s="7">
        <v>3</v>
      </c>
      <c r="I133" s="7">
        <v>0</v>
      </c>
      <c r="J133" s="7">
        <v>3</v>
      </c>
      <c r="K133" s="7">
        <v>5</v>
      </c>
    </row>
    <row r="134" spans="1:11">
      <c r="A134" s="21" t="s">
        <v>113</v>
      </c>
      <c r="B134" s="21" t="s">
        <v>115</v>
      </c>
      <c r="C134" s="7">
        <v>0</v>
      </c>
      <c r="D134" s="22">
        <v>322.11</v>
      </c>
      <c r="E134" s="23">
        <v>20854</v>
      </c>
      <c r="F134" s="23">
        <v>21256</v>
      </c>
      <c r="G134" s="11">
        <f t="shared" si="2"/>
        <v>98.1087692886714</v>
      </c>
      <c r="H134" s="7">
        <v>0</v>
      </c>
      <c r="I134" s="7">
        <v>0</v>
      </c>
      <c r="J134" s="7">
        <v>0</v>
      </c>
      <c r="K134" s="7">
        <v>10</v>
      </c>
    </row>
    <row r="135" spans="1:11">
      <c r="A135" s="21" t="s">
        <v>113</v>
      </c>
      <c r="B135" s="21" t="s">
        <v>44</v>
      </c>
      <c r="C135" s="7">
        <v>0</v>
      </c>
      <c r="D135" s="22">
        <v>251.19</v>
      </c>
      <c r="E135" s="23">
        <v>20498</v>
      </c>
      <c r="F135" s="23">
        <v>20586</v>
      </c>
      <c r="G135" s="11">
        <f t="shared" si="2"/>
        <v>99.5725250170019</v>
      </c>
      <c r="H135" s="7">
        <v>0</v>
      </c>
      <c r="I135" s="7">
        <v>0</v>
      </c>
      <c r="J135" s="7">
        <v>0</v>
      </c>
      <c r="K135" s="7">
        <v>3</v>
      </c>
    </row>
    <row r="136" spans="1:11">
      <c r="A136" s="21" t="s">
        <v>113</v>
      </c>
      <c r="B136" s="21" t="s">
        <v>37</v>
      </c>
      <c r="C136" s="7">
        <v>0</v>
      </c>
      <c r="D136" s="22">
        <v>512.53</v>
      </c>
      <c r="E136" s="23">
        <v>19188</v>
      </c>
      <c r="F136" s="23">
        <v>19330</v>
      </c>
      <c r="G136" s="11">
        <f t="shared" si="2"/>
        <v>99.2653905845835</v>
      </c>
      <c r="H136" s="7">
        <v>0</v>
      </c>
      <c r="I136" s="7">
        <v>0</v>
      </c>
      <c r="J136" s="7">
        <v>0</v>
      </c>
      <c r="K136" s="7">
        <v>7</v>
      </c>
    </row>
    <row r="137" spans="1:11">
      <c r="A137" s="21" t="s">
        <v>113</v>
      </c>
      <c r="B137" s="21" t="s">
        <v>66</v>
      </c>
      <c r="C137" s="7">
        <v>0</v>
      </c>
      <c r="D137" s="22">
        <v>462.52</v>
      </c>
      <c r="E137" s="23">
        <v>17556</v>
      </c>
      <c r="F137" s="23">
        <v>17557</v>
      </c>
      <c r="G137" s="11">
        <f t="shared" si="2"/>
        <v>99.9943042661047</v>
      </c>
      <c r="H137" s="7">
        <v>0</v>
      </c>
      <c r="I137" s="7">
        <v>0</v>
      </c>
      <c r="J137" s="7">
        <v>0</v>
      </c>
      <c r="K137" s="7">
        <v>0</v>
      </c>
    </row>
    <row r="138" spans="1:11">
      <c r="A138" s="21" t="s">
        <v>113</v>
      </c>
      <c r="B138" s="21" t="s">
        <v>116</v>
      </c>
      <c r="C138" s="7">
        <v>0</v>
      </c>
      <c r="D138" s="22">
        <v>308.94</v>
      </c>
      <c r="E138" s="23">
        <v>16725</v>
      </c>
      <c r="F138" s="23">
        <v>16975</v>
      </c>
      <c r="G138" s="11">
        <f t="shared" si="2"/>
        <v>98.5272459499264</v>
      </c>
      <c r="H138" s="7">
        <v>0</v>
      </c>
      <c r="I138" s="7">
        <v>0</v>
      </c>
      <c r="J138" s="7">
        <v>0</v>
      </c>
      <c r="K138" s="7">
        <v>1</v>
      </c>
    </row>
    <row r="139" spans="1:11">
      <c r="A139" s="21" t="s">
        <v>113</v>
      </c>
      <c r="B139" s="21" t="s">
        <v>61</v>
      </c>
      <c r="C139" s="7">
        <v>0</v>
      </c>
      <c r="D139" s="22">
        <v>184.41</v>
      </c>
      <c r="E139" s="23">
        <v>16504</v>
      </c>
      <c r="F139" s="23">
        <v>16964</v>
      </c>
      <c r="G139" s="11">
        <f t="shared" si="2"/>
        <v>97.2883753831644</v>
      </c>
      <c r="H139" s="7">
        <v>0</v>
      </c>
      <c r="I139" s="7">
        <v>0</v>
      </c>
      <c r="J139" s="7">
        <v>0</v>
      </c>
      <c r="K139" s="7">
        <v>7</v>
      </c>
    </row>
    <row r="140" spans="1:11">
      <c r="A140" s="21" t="s">
        <v>113</v>
      </c>
      <c r="B140" s="21" t="s">
        <v>102</v>
      </c>
      <c r="C140" s="7">
        <v>0</v>
      </c>
      <c r="D140" s="22">
        <v>178.71</v>
      </c>
      <c r="E140" s="23">
        <v>12355</v>
      </c>
      <c r="F140" s="23">
        <v>12363</v>
      </c>
      <c r="G140" s="11">
        <f t="shared" si="2"/>
        <v>99.9352907870258</v>
      </c>
      <c r="H140" s="7">
        <v>0</v>
      </c>
      <c r="I140" s="7">
        <v>0</v>
      </c>
      <c r="J140" s="7">
        <v>0</v>
      </c>
      <c r="K140" s="7">
        <v>3</v>
      </c>
    </row>
    <row r="141" spans="1:11">
      <c r="A141" s="21" t="s">
        <v>113</v>
      </c>
      <c r="B141" s="21" t="s">
        <v>68</v>
      </c>
      <c r="C141" s="7">
        <v>0</v>
      </c>
      <c r="D141" s="22">
        <v>321.72</v>
      </c>
      <c r="E141" s="23">
        <v>11764</v>
      </c>
      <c r="F141" s="23">
        <v>12033</v>
      </c>
      <c r="G141" s="11">
        <f t="shared" si="2"/>
        <v>97.7644810105543</v>
      </c>
      <c r="H141" s="7">
        <v>0</v>
      </c>
      <c r="I141" s="7">
        <v>0</v>
      </c>
      <c r="J141" s="7">
        <v>0</v>
      </c>
      <c r="K141" s="7">
        <v>0</v>
      </c>
    </row>
    <row r="142" spans="1:11">
      <c r="A142" s="21" t="s">
        <v>113</v>
      </c>
      <c r="B142" s="21" t="s">
        <v>117</v>
      </c>
      <c r="C142" s="7">
        <v>0</v>
      </c>
      <c r="D142" s="22">
        <v>329.49</v>
      </c>
      <c r="E142" s="23">
        <v>10338</v>
      </c>
      <c r="F142" s="23">
        <v>11170</v>
      </c>
      <c r="G142" s="11">
        <f t="shared" si="2"/>
        <v>92.5514771709937</v>
      </c>
      <c r="H142" s="7">
        <v>1</v>
      </c>
      <c r="I142" s="7">
        <v>0</v>
      </c>
      <c r="J142" s="7">
        <v>1</v>
      </c>
      <c r="K142" s="7">
        <v>5</v>
      </c>
    </row>
    <row r="143" spans="1:11">
      <c r="A143" s="21" t="s">
        <v>113</v>
      </c>
      <c r="B143" s="21" t="s">
        <v>84</v>
      </c>
      <c r="C143" s="7">
        <v>0</v>
      </c>
      <c r="D143" s="22">
        <v>314.65</v>
      </c>
      <c r="E143" s="23">
        <v>9849</v>
      </c>
      <c r="F143" s="23">
        <v>9927</v>
      </c>
      <c r="G143" s="11">
        <f t="shared" si="2"/>
        <v>99.2142641281354</v>
      </c>
      <c r="H143" s="7">
        <v>0</v>
      </c>
      <c r="I143" s="7">
        <v>0</v>
      </c>
      <c r="J143" s="7">
        <v>0</v>
      </c>
      <c r="K143" s="7">
        <v>1</v>
      </c>
    </row>
    <row r="144" spans="1:11">
      <c r="A144" s="21" t="s">
        <v>113</v>
      </c>
      <c r="B144" s="21" t="s">
        <v>118</v>
      </c>
      <c r="C144" s="7">
        <v>0</v>
      </c>
      <c r="D144" s="22">
        <v>221.53</v>
      </c>
      <c r="E144" s="23">
        <v>8002</v>
      </c>
      <c r="F144" s="23">
        <v>8126</v>
      </c>
      <c r="G144" s="11">
        <f t="shared" si="2"/>
        <v>98.4740339650505</v>
      </c>
      <c r="H144" s="7">
        <v>0</v>
      </c>
      <c r="I144" s="7">
        <v>0</v>
      </c>
      <c r="J144" s="7">
        <v>0</v>
      </c>
      <c r="K144" s="7">
        <v>0</v>
      </c>
    </row>
    <row r="145" spans="1:11">
      <c r="A145" s="21" t="s">
        <v>113</v>
      </c>
      <c r="B145" s="21" t="s">
        <v>119</v>
      </c>
      <c r="C145" s="7">
        <v>0</v>
      </c>
      <c r="D145" s="22">
        <v>189.53</v>
      </c>
      <c r="E145" s="23">
        <v>6379</v>
      </c>
      <c r="F145" s="23">
        <v>6379</v>
      </c>
      <c r="G145" s="11">
        <f t="shared" si="2"/>
        <v>100</v>
      </c>
      <c r="H145" s="7">
        <v>0</v>
      </c>
      <c r="I145" s="7">
        <v>0</v>
      </c>
      <c r="J145" s="7">
        <v>0</v>
      </c>
      <c r="K145" s="7">
        <v>0</v>
      </c>
    </row>
    <row r="146" spans="1:11">
      <c r="A146" s="21" t="s">
        <v>113</v>
      </c>
      <c r="B146" s="21" t="s">
        <v>88</v>
      </c>
      <c r="C146" s="7">
        <v>0</v>
      </c>
      <c r="D146" s="22">
        <v>125.59</v>
      </c>
      <c r="E146" s="23">
        <v>6157</v>
      </c>
      <c r="F146" s="23">
        <v>6157</v>
      </c>
      <c r="G146" s="11">
        <f t="shared" si="2"/>
        <v>100</v>
      </c>
      <c r="H146" s="7">
        <v>0</v>
      </c>
      <c r="I146" s="7">
        <v>0</v>
      </c>
      <c r="J146" s="7">
        <v>0</v>
      </c>
      <c r="K146" s="7">
        <v>0</v>
      </c>
    </row>
    <row r="147" spans="1:11">
      <c r="A147" s="21" t="s">
        <v>113</v>
      </c>
      <c r="B147" s="21" t="s">
        <v>63</v>
      </c>
      <c r="C147" s="7">
        <v>0</v>
      </c>
      <c r="D147" s="22">
        <v>319.32</v>
      </c>
      <c r="E147" s="23">
        <v>6060</v>
      </c>
      <c r="F147" s="23">
        <v>6104</v>
      </c>
      <c r="G147" s="11">
        <f t="shared" si="2"/>
        <v>99.2791612057667</v>
      </c>
      <c r="H147" s="7">
        <v>0</v>
      </c>
      <c r="I147" s="7">
        <v>0</v>
      </c>
      <c r="J147" s="7">
        <v>0</v>
      </c>
      <c r="K147" s="7">
        <v>3</v>
      </c>
    </row>
    <row r="148" spans="1:11">
      <c r="A148" s="21" t="s">
        <v>113</v>
      </c>
      <c r="B148" s="21" t="s">
        <v>42</v>
      </c>
      <c r="C148" s="7">
        <v>0</v>
      </c>
      <c r="D148" s="22">
        <v>319.22</v>
      </c>
      <c r="E148" s="23">
        <v>0</v>
      </c>
      <c r="F148" s="23">
        <v>5296</v>
      </c>
      <c r="G148" s="11">
        <f t="shared" si="2"/>
        <v>0</v>
      </c>
      <c r="H148" s="7">
        <v>0</v>
      </c>
      <c r="I148" s="7">
        <v>0</v>
      </c>
      <c r="J148" s="7">
        <v>0</v>
      </c>
      <c r="K148" s="7">
        <v>0</v>
      </c>
    </row>
    <row r="149" spans="1:11">
      <c r="A149" s="21" t="s">
        <v>113</v>
      </c>
      <c r="B149" s="21" t="s">
        <v>101</v>
      </c>
      <c r="C149" s="7">
        <v>0</v>
      </c>
      <c r="D149" s="22">
        <v>109.37</v>
      </c>
      <c r="E149" s="23">
        <v>5102</v>
      </c>
      <c r="F149" s="23">
        <v>5199</v>
      </c>
      <c r="G149" s="11">
        <f t="shared" si="2"/>
        <v>98.1342565878053</v>
      </c>
      <c r="H149" s="7">
        <v>0</v>
      </c>
      <c r="I149" s="7">
        <v>0</v>
      </c>
      <c r="J149" s="7">
        <v>0</v>
      </c>
      <c r="K149" s="7">
        <v>3</v>
      </c>
    </row>
    <row r="150" spans="1:11">
      <c r="A150" s="21" t="s">
        <v>113</v>
      </c>
      <c r="B150" s="21" t="s">
        <v>107</v>
      </c>
      <c r="C150" s="7">
        <v>0</v>
      </c>
      <c r="D150" s="22">
        <v>108.52</v>
      </c>
      <c r="E150" s="23">
        <v>4192</v>
      </c>
      <c r="F150" s="23">
        <v>4339</v>
      </c>
      <c r="G150" s="11">
        <f t="shared" si="2"/>
        <v>96.6121226088961</v>
      </c>
      <c r="H150" s="7">
        <v>0</v>
      </c>
      <c r="I150" s="7">
        <v>0</v>
      </c>
      <c r="J150" s="7">
        <v>0</v>
      </c>
      <c r="K150" s="7">
        <v>3</v>
      </c>
    </row>
    <row r="151" spans="1:11">
      <c r="A151" s="21" t="s">
        <v>113</v>
      </c>
      <c r="B151" s="21" t="s">
        <v>120</v>
      </c>
      <c r="C151" s="7">
        <v>0</v>
      </c>
      <c r="D151" s="22">
        <v>15.45</v>
      </c>
      <c r="E151" s="23">
        <v>0</v>
      </c>
      <c r="F151" s="23">
        <v>2489</v>
      </c>
      <c r="G151" s="11">
        <f t="shared" si="2"/>
        <v>0</v>
      </c>
      <c r="H151" s="7">
        <v>0</v>
      </c>
      <c r="I151" s="7">
        <v>0</v>
      </c>
      <c r="J151" s="7">
        <v>0</v>
      </c>
      <c r="K151" s="7">
        <v>0</v>
      </c>
    </row>
    <row r="152" spans="1:11">
      <c r="A152" s="21" t="s">
        <v>113</v>
      </c>
      <c r="B152" s="21" t="s">
        <v>98</v>
      </c>
      <c r="C152" s="7">
        <v>0</v>
      </c>
      <c r="D152" s="22">
        <v>49.26</v>
      </c>
      <c r="E152" s="23">
        <v>2328</v>
      </c>
      <c r="F152" s="23">
        <v>2328</v>
      </c>
      <c r="G152" s="11">
        <f t="shared" si="2"/>
        <v>100</v>
      </c>
      <c r="H152" s="7">
        <v>0</v>
      </c>
      <c r="I152" s="7">
        <v>0</v>
      </c>
      <c r="J152" s="7">
        <v>0</v>
      </c>
      <c r="K152" s="7">
        <v>0</v>
      </c>
    </row>
    <row r="153" spans="1:11">
      <c r="A153" s="21" t="s">
        <v>113</v>
      </c>
      <c r="B153" s="21" t="s">
        <v>121</v>
      </c>
      <c r="C153" s="7">
        <v>0</v>
      </c>
      <c r="D153" s="22">
        <v>107.67</v>
      </c>
      <c r="E153" s="23">
        <v>0</v>
      </c>
      <c r="F153" s="23">
        <v>1167</v>
      </c>
      <c r="G153" s="11">
        <f t="shared" si="2"/>
        <v>0</v>
      </c>
      <c r="H153" s="7">
        <v>0</v>
      </c>
      <c r="I153" s="7">
        <v>0</v>
      </c>
      <c r="J153" s="7">
        <v>0</v>
      </c>
      <c r="K153" s="7">
        <v>0</v>
      </c>
    </row>
    <row r="154" spans="1:11">
      <c r="A154" s="21" t="s">
        <v>113</v>
      </c>
      <c r="B154" s="21" t="s">
        <v>90</v>
      </c>
      <c r="C154" s="7">
        <v>0</v>
      </c>
      <c r="D154" s="22">
        <v>456.37</v>
      </c>
      <c r="E154" s="23">
        <v>0</v>
      </c>
      <c r="F154" s="23">
        <v>142</v>
      </c>
      <c r="G154" s="11">
        <f t="shared" si="2"/>
        <v>0</v>
      </c>
      <c r="H154" s="7">
        <v>0</v>
      </c>
      <c r="I154" s="7">
        <v>0</v>
      </c>
      <c r="J154" s="7">
        <v>0</v>
      </c>
      <c r="K154" s="7">
        <v>0</v>
      </c>
    </row>
    <row r="155" spans="1:11">
      <c r="A155" s="24" t="s">
        <v>113</v>
      </c>
      <c r="B155" s="24" t="s">
        <v>75</v>
      </c>
      <c r="C155" s="25">
        <f>SUM(C125:C154)</f>
        <v>3</v>
      </c>
      <c r="D155" s="26">
        <f>SUM(D125:D154)</f>
        <v>9052.7</v>
      </c>
      <c r="E155" s="27">
        <f>SUM(E125:E154)</f>
        <v>406569</v>
      </c>
      <c r="F155" s="27">
        <f>SUM(F125:F154)</f>
        <v>420389</v>
      </c>
      <c r="G155" s="28">
        <f t="shared" si="2"/>
        <v>96.7125685971802</v>
      </c>
      <c r="H155" s="25">
        <f>SUM(H125:H154)</f>
        <v>4</v>
      </c>
      <c r="I155" s="25">
        <f>SUM(I125:I154)</f>
        <v>0</v>
      </c>
      <c r="J155" s="25">
        <f>SUM(J125:J154)</f>
        <v>4</v>
      </c>
      <c r="K155" s="25">
        <f>SUM(K125:K154)</f>
        <v>87</v>
      </c>
    </row>
    <row r="156" spans="1:11">
      <c r="A156" s="21" t="s">
        <v>122</v>
      </c>
      <c r="B156" s="21" t="s">
        <v>123</v>
      </c>
      <c r="C156" s="7">
        <v>1</v>
      </c>
      <c r="D156" s="22">
        <v>543.89</v>
      </c>
      <c r="E156" s="23">
        <v>35194</v>
      </c>
      <c r="F156" s="23">
        <v>36534</v>
      </c>
      <c r="G156" s="11">
        <f t="shared" si="2"/>
        <v>96.3321837192752</v>
      </c>
      <c r="H156" s="7">
        <v>0</v>
      </c>
      <c r="I156" s="7">
        <v>0</v>
      </c>
      <c r="J156" s="7">
        <v>0</v>
      </c>
      <c r="K156" s="7">
        <v>29</v>
      </c>
    </row>
    <row r="157" spans="1:11">
      <c r="A157" s="21" t="s">
        <v>122</v>
      </c>
      <c r="B157" s="21" t="s">
        <v>124</v>
      </c>
      <c r="C157" s="7">
        <v>1</v>
      </c>
      <c r="D157" s="22">
        <v>543.84</v>
      </c>
      <c r="E157" s="23">
        <v>22286</v>
      </c>
      <c r="F157" s="23">
        <v>23055</v>
      </c>
      <c r="G157" s="11">
        <f t="shared" si="2"/>
        <v>96.6644979397094</v>
      </c>
      <c r="H157" s="7">
        <v>0</v>
      </c>
      <c r="I157" s="7">
        <v>0</v>
      </c>
      <c r="J157" s="7">
        <v>0</v>
      </c>
      <c r="K157" s="7">
        <v>9</v>
      </c>
    </row>
    <row r="158" spans="1:11">
      <c r="A158" s="21" t="s">
        <v>122</v>
      </c>
      <c r="B158" s="21" t="s">
        <v>125</v>
      </c>
      <c r="C158" s="7">
        <v>1</v>
      </c>
      <c r="D158" s="22">
        <v>541.59</v>
      </c>
      <c r="E158" s="23">
        <v>20242</v>
      </c>
      <c r="F158" s="23">
        <v>20473</v>
      </c>
      <c r="G158" s="11">
        <f t="shared" si="2"/>
        <v>98.871684657842</v>
      </c>
      <c r="H158" s="7">
        <v>0</v>
      </c>
      <c r="I158" s="7">
        <v>0</v>
      </c>
      <c r="J158" s="7">
        <v>0</v>
      </c>
      <c r="K158" s="7">
        <v>3</v>
      </c>
    </row>
    <row r="159" spans="1:11">
      <c r="A159" s="21" t="s">
        <v>122</v>
      </c>
      <c r="B159" s="21" t="s">
        <v>126</v>
      </c>
      <c r="C159" s="7">
        <v>1</v>
      </c>
      <c r="D159" s="22">
        <v>543.62</v>
      </c>
      <c r="E159" s="23">
        <v>18077</v>
      </c>
      <c r="F159" s="23">
        <v>18344</v>
      </c>
      <c r="G159" s="11">
        <f t="shared" si="2"/>
        <v>98.5444832097689</v>
      </c>
      <c r="H159" s="7">
        <v>0</v>
      </c>
      <c r="I159" s="7">
        <v>0</v>
      </c>
      <c r="J159" s="7">
        <v>0</v>
      </c>
      <c r="K159" s="7">
        <v>6</v>
      </c>
    </row>
    <row r="160" spans="1:11">
      <c r="A160" s="21" t="s">
        <v>122</v>
      </c>
      <c r="B160" s="21" t="s">
        <v>127</v>
      </c>
      <c r="C160" s="7">
        <v>0</v>
      </c>
      <c r="D160" s="22">
        <v>329.84</v>
      </c>
      <c r="E160" s="23">
        <v>28769</v>
      </c>
      <c r="F160" s="23">
        <v>29301</v>
      </c>
      <c r="G160" s="11">
        <f t="shared" si="2"/>
        <v>98.1843623084536</v>
      </c>
      <c r="H160" s="7">
        <v>0</v>
      </c>
      <c r="I160" s="7">
        <v>0</v>
      </c>
      <c r="J160" s="7">
        <v>0</v>
      </c>
      <c r="K160" s="7">
        <v>5</v>
      </c>
    </row>
    <row r="161" spans="1:11">
      <c r="A161" s="21" t="s">
        <v>122</v>
      </c>
      <c r="B161" s="21" t="s">
        <v>128</v>
      </c>
      <c r="C161" s="7">
        <v>0</v>
      </c>
      <c r="D161" s="22">
        <v>380.57</v>
      </c>
      <c r="E161" s="23">
        <v>27828</v>
      </c>
      <c r="F161" s="23">
        <v>28125</v>
      </c>
      <c r="G161" s="11">
        <f t="shared" si="2"/>
        <v>98.944</v>
      </c>
      <c r="H161" s="7">
        <v>0</v>
      </c>
      <c r="I161" s="7">
        <v>0</v>
      </c>
      <c r="J161" s="7">
        <v>0</v>
      </c>
      <c r="K161" s="7">
        <v>8</v>
      </c>
    </row>
    <row r="162" spans="1:11">
      <c r="A162" s="21" t="s">
        <v>122</v>
      </c>
      <c r="B162" s="21" t="s">
        <v>87</v>
      </c>
      <c r="C162" s="7">
        <v>0</v>
      </c>
      <c r="D162" s="22">
        <v>251.81</v>
      </c>
      <c r="E162" s="23">
        <v>26265</v>
      </c>
      <c r="F162" s="23">
        <v>27032</v>
      </c>
      <c r="G162" s="11">
        <f t="shared" si="2"/>
        <v>97.1626220775377</v>
      </c>
      <c r="H162" s="7">
        <v>1</v>
      </c>
      <c r="I162" s="7">
        <v>0</v>
      </c>
      <c r="J162" s="7">
        <v>1</v>
      </c>
      <c r="K162" s="7">
        <v>6</v>
      </c>
    </row>
    <row r="163" spans="1:11">
      <c r="A163" s="21" t="s">
        <v>122</v>
      </c>
      <c r="B163" s="21" t="s">
        <v>60</v>
      </c>
      <c r="C163" s="7">
        <v>0</v>
      </c>
      <c r="D163" s="22">
        <v>470.59</v>
      </c>
      <c r="E163" s="23">
        <v>22173</v>
      </c>
      <c r="F163" s="23">
        <v>22256</v>
      </c>
      <c r="G163" s="11">
        <f t="shared" si="2"/>
        <v>99.6270668583753</v>
      </c>
      <c r="H163" s="7">
        <v>0</v>
      </c>
      <c r="I163" s="7">
        <v>0</v>
      </c>
      <c r="J163" s="7">
        <v>0</v>
      </c>
      <c r="K163" s="7">
        <v>3</v>
      </c>
    </row>
    <row r="164" spans="1:11">
      <c r="A164" s="21" t="s">
        <v>122</v>
      </c>
      <c r="B164" s="21" t="s">
        <v>116</v>
      </c>
      <c r="C164" s="7">
        <v>0</v>
      </c>
      <c r="D164" s="22">
        <v>321.49</v>
      </c>
      <c r="E164" s="23">
        <v>21027</v>
      </c>
      <c r="F164" s="23">
        <v>21310</v>
      </c>
      <c r="G164" s="11">
        <f t="shared" si="2"/>
        <v>98.6719849835758</v>
      </c>
      <c r="H164" s="7">
        <v>0</v>
      </c>
      <c r="I164" s="7">
        <v>0</v>
      </c>
      <c r="J164" s="7">
        <v>0</v>
      </c>
      <c r="K164" s="7">
        <v>5</v>
      </c>
    </row>
    <row r="165" spans="1:11">
      <c r="A165" s="21" t="s">
        <v>122</v>
      </c>
      <c r="B165" s="21" t="s">
        <v>104</v>
      </c>
      <c r="C165" s="7">
        <v>0</v>
      </c>
      <c r="D165" s="22">
        <v>471.68</v>
      </c>
      <c r="E165" s="23">
        <v>20450</v>
      </c>
      <c r="F165" s="23">
        <v>20997</v>
      </c>
      <c r="G165" s="11">
        <f t="shared" si="2"/>
        <v>97.3948659332286</v>
      </c>
      <c r="H165" s="7">
        <v>0</v>
      </c>
      <c r="I165" s="7">
        <v>0</v>
      </c>
      <c r="J165" s="7">
        <v>0</v>
      </c>
      <c r="K165" s="7">
        <v>0</v>
      </c>
    </row>
    <row r="166" spans="1:11">
      <c r="A166" s="21" t="s">
        <v>122</v>
      </c>
      <c r="B166" s="21" t="s">
        <v>43</v>
      </c>
      <c r="C166" s="7">
        <v>0</v>
      </c>
      <c r="D166" s="22">
        <v>250.82</v>
      </c>
      <c r="E166" s="23">
        <v>19194</v>
      </c>
      <c r="F166" s="23">
        <v>19758</v>
      </c>
      <c r="G166" s="11">
        <f t="shared" si="2"/>
        <v>97.1454600668084</v>
      </c>
      <c r="H166" s="7">
        <v>0</v>
      </c>
      <c r="I166" s="7">
        <v>0</v>
      </c>
      <c r="J166" s="7">
        <v>0</v>
      </c>
      <c r="K166" s="7">
        <v>6</v>
      </c>
    </row>
    <row r="167" spans="1:11">
      <c r="A167" s="21" t="s">
        <v>122</v>
      </c>
      <c r="B167" s="21" t="s">
        <v>83</v>
      </c>
      <c r="C167" s="7">
        <v>0</v>
      </c>
      <c r="D167" s="22">
        <v>512.53</v>
      </c>
      <c r="E167" s="23">
        <v>19323</v>
      </c>
      <c r="F167" s="23">
        <v>19538</v>
      </c>
      <c r="G167" s="11">
        <f t="shared" si="2"/>
        <v>98.8995803050466</v>
      </c>
      <c r="H167" s="7">
        <v>0</v>
      </c>
      <c r="I167" s="7">
        <v>0</v>
      </c>
      <c r="J167" s="7">
        <v>0</v>
      </c>
      <c r="K167" s="7">
        <v>3</v>
      </c>
    </row>
    <row r="168" spans="1:11">
      <c r="A168" s="21" t="s">
        <v>122</v>
      </c>
      <c r="B168" s="21" t="s">
        <v>129</v>
      </c>
      <c r="C168" s="7">
        <v>0</v>
      </c>
      <c r="D168" s="22">
        <v>464.71</v>
      </c>
      <c r="E168" s="23">
        <v>19187</v>
      </c>
      <c r="F168" s="23">
        <v>19349</v>
      </c>
      <c r="G168" s="11">
        <f t="shared" si="2"/>
        <v>99.1627474288077</v>
      </c>
      <c r="H168" s="7">
        <v>0</v>
      </c>
      <c r="I168" s="7">
        <v>0</v>
      </c>
      <c r="J168" s="7">
        <v>0</v>
      </c>
      <c r="K168" s="7">
        <v>2</v>
      </c>
    </row>
    <row r="169" spans="1:11">
      <c r="A169" s="21" t="s">
        <v>122</v>
      </c>
      <c r="B169" s="21" t="s">
        <v>130</v>
      </c>
      <c r="C169" s="7">
        <v>0</v>
      </c>
      <c r="D169" s="22">
        <v>469.93</v>
      </c>
      <c r="E169" s="23">
        <v>18020</v>
      </c>
      <c r="F169" s="23">
        <v>18241</v>
      </c>
      <c r="G169" s="11">
        <f t="shared" si="2"/>
        <v>98.7884436160298</v>
      </c>
      <c r="H169" s="7">
        <v>0</v>
      </c>
      <c r="I169" s="7">
        <v>0</v>
      </c>
      <c r="J169" s="7">
        <v>0</v>
      </c>
      <c r="K169" s="7">
        <v>13</v>
      </c>
    </row>
    <row r="170" spans="1:11">
      <c r="A170" s="21" t="s">
        <v>122</v>
      </c>
      <c r="B170" s="21" t="s">
        <v>44</v>
      </c>
      <c r="C170" s="7">
        <v>0</v>
      </c>
      <c r="D170" s="22">
        <v>187.13</v>
      </c>
      <c r="E170" s="23">
        <v>12253</v>
      </c>
      <c r="F170" s="23">
        <v>12462</v>
      </c>
      <c r="G170" s="11">
        <f t="shared" si="2"/>
        <v>98.3229016209276</v>
      </c>
      <c r="H170" s="7">
        <v>0</v>
      </c>
      <c r="I170" s="7">
        <v>0</v>
      </c>
      <c r="J170" s="7">
        <v>0</v>
      </c>
      <c r="K170" s="7">
        <v>4</v>
      </c>
    </row>
    <row r="171" spans="1:11">
      <c r="A171" s="21" t="s">
        <v>122</v>
      </c>
      <c r="B171" s="21" t="s">
        <v>106</v>
      </c>
      <c r="C171" s="7">
        <v>0</v>
      </c>
      <c r="D171" s="22">
        <v>329.32</v>
      </c>
      <c r="E171" s="23">
        <v>11620</v>
      </c>
      <c r="F171" s="23">
        <v>11884</v>
      </c>
      <c r="G171" s="11">
        <f t="shared" si="2"/>
        <v>97.7785257489061</v>
      </c>
      <c r="H171" s="7">
        <v>0</v>
      </c>
      <c r="I171" s="7">
        <v>0</v>
      </c>
      <c r="J171" s="7">
        <v>0</v>
      </c>
      <c r="K171" s="7">
        <v>3</v>
      </c>
    </row>
    <row r="172" spans="1:11">
      <c r="A172" s="21" t="s">
        <v>122</v>
      </c>
      <c r="B172" s="21" t="s">
        <v>86</v>
      </c>
      <c r="C172" s="7">
        <v>0</v>
      </c>
      <c r="D172" s="22">
        <v>321.7</v>
      </c>
      <c r="E172" s="23">
        <v>11193</v>
      </c>
      <c r="F172" s="23">
        <v>11397</v>
      </c>
      <c r="G172" s="11">
        <f t="shared" si="2"/>
        <v>98.2100552777047</v>
      </c>
      <c r="H172" s="7">
        <v>0</v>
      </c>
      <c r="I172" s="7">
        <v>0</v>
      </c>
      <c r="J172" s="7">
        <v>0</v>
      </c>
      <c r="K172" s="7">
        <v>4</v>
      </c>
    </row>
    <row r="173" spans="1:11">
      <c r="A173" s="21" t="s">
        <v>122</v>
      </c>
      <c r="B173" s="21" t="s">
        <v>68</v>
      </c>
      <c r="C173" s="7">
        <v>0</v>
      </c>
      <c r="D173" s="22">
        <v>318.81</v>
      </c>
      <c r="E173" s="23">
        <v>11202</v>
      </c>
      <c r="F173" s="23">
        <v>11251</v>
      </c>
      <c r="G173" s="11">
        <f t="shared" si="2"/>
        <v>99.5644831570527</v>
      </c>
      <c r="H173" s="7">
        <v>0</v>
      </c>
      <c r="I173" s="7">
        <v>0</v>
      </c>
      <c r="J173" s="7">
        <v>0</v>
      </c>
      <c r="K173" s="7">
        <v>1</v>
      </c>
    </row>
    <row r="174" spans="1:11">
      <c r="A174" s="21" t="s">
        <v>122</v>
      </c>
      <c r="B174" s="21" t="s">
        <v>70</v>
      </c>
      <c r="C174" s="7">
        <v>0</v>
      </c>
      <c r="D174" s="22">
        <v>108.54</v>
      </c>
      <c r="E174" s="23">
        <v>9821</v>
      </c>
      <c r="F174" s="23">
        <v>10196</v>
      </c>
      <c r="G174" s="11">
        <f t="shared" si="2"/>
        <v>96.3220870929776</v>
      </c>
      <c r="H174" s="7">
        <v>0</v>
      </c>
      <c r="I174" s="7">
        <v>0</v>
      </c>
      <c r="J174" s="7">
        <v>0</v>
      </c>
      <c r="K174" s="7">
        <v>6</v>
      </c>
    </row>
    <row r="175" spans="1:11">
      <c r="A175" s="21" t="s">
        <v>122</v>
      </c>
      <c r="B175" s="21" t="s">
        <v>119</v>
      </c>
      <c r="C175" s="7">
        <v>0</v>
      </c>
      <c r="D175" s="22">
        <v>317.69</v>
      </c>
      <c r="E175" s="23">
        <v>9904</v>
      </c>
      <c r="F175" s="23">
        <v>10130</v>
      </c>
      <c r="G175" s="11">
        <f t="shared" si="2"/>
        <v>97.7690029615005</v>
      </c>
      <c r="H175" s="7">
        <v>0</v>
      </c>
      <c r="I175" s="7">
        <v>0</v>
      </c>
      <c r="J175" s="7">
        <v>0</v>
      </c>
      <c r="K175" s="7">
        <v>4</v>
      </c>
    </row>
    <row r="176" spans="1:11">
      <c r="A176" s="21" t="s">
        <v>122</v>
      </c>
      <c r="B176" s="21" t="s">
        <v>61</v>
      </c>
      <c r="C176" s="7">
        <v>0</v>
      </c>
      <c r="D176" s="22">
        <v>108.67</v>
      </c>
      <c r="E176" s="23">
        <v>9433</v>
      </c>
      <c r="F176" s="23">
        <v>9664</v>
      </c>
      <c r="G176" s="11">
        <f t="shared" si="2"/>
        <v>97.6096854304636</v>
      </c>
      <c r="H176" s="7">
        <v>0</v>
      </c>
      <c r="I176" s="7">
        <v>0</v>
      </c>
      <c r="J176" s="7">
        <v>0</v>
      </c>
      <c r="K176" s="7">
        <v>4</v>
      </c>
    </row>
    <row r="177" spans="1:11">
      <c r="A177" s="21" t="s">
        <v>122</v>
      </c>
      <c r="B177" s="21" t="s">
        <v>131</v>
      </c>
      <c r="C177" s="7">
        <v>0</v>
      </c>
      <c r="D177" s="22">
        <v>222.25</v>
      </c>
      <c r="E177" s="23">
        <v>9005</v>
      </c>
      <c r="F177" s="23">
        <v>9024</v>
      </c>
      <c r="G177" s="11">
        <f t="shared" si="2"/>
        <v>99.7894503546099</v>
      </c>
      <c r="H177" s="7">
        <v>0</v>
      </c>
      <c r="I177" s="7">
        <v>0</v>
      </c>
      <c r="J177" s="7">
        <v>0</v>
      </c>
      <c r="K177" s="7">
        <v>3</v>
      </c>
    </row>
    <row r="178" spans="1:11">
      <c r="A178" s="21" t="s">
        <v>122</v>
      </c>
      <c r="B178" s="21" t="s">
        <v>114</v>
      </c>
      <c r="C178" s="7">
        <v>0</v>
      </c>
      <c r="D178" s="22">
        <v>198.03</v>
      </c>
      <c r="E178" s="23">
        <v>6969</v>
      </c>
      <c r="F178" s="23">
        <v>6969</v>
      </c>
      <c r="G178" s="11">
        <f t="shared" si="2"/>
        <v>100</v>
      </c>
      <c r="H178" s="7">
        <v>0</v>
      </c>
      <c r="I178" s="7">
        <v>0</v>
      </c>
      <c r="J178" s="7">
        <v>0</v>
      </c>
      <c r="K178" s="7">
        <v>0</v>
      </c>
    </row>
    <row r="179" spans="1:11">
      <c r="A179" s="21" t="s">
        <v>122</v>
      </c>
      <c r="B179" s="21" t="s">
        <v>52</v>
      </c>
      <c r="C179" s="7">
        <v>0</v>
      </c>
      <c r="D179" s="22">
        <v>39.55</v>
      </c>
      <c r="E179" s="23">
        <v>1869</v>
      </c>
      <c r="F179" s="23">
        <v>1869</v>
      </c>
      <c r="G179" s="11">
        <f t="shared" si="2"/>
        <v>100</v>
      </c>
      <c r="H179" s="7">
        <v>0</v>
      </c>
      <c r="I179" s="7">
        <v>0</v>
      </c>
      <c r="J179" s="7">
        <v>0</v>
      </c>
      <c r="K179" s="7">
        <v>0</v>
      </c>
    </row>
    <row r="180" spans="1:11">
      <c r="A180" s="21" t="s">
        <v>122</v>
      </c>
      <c r="B180" s="21" t="s">
        <v>132</v>
      </c>
      <c r="C180" s="7">
        <v>0</v>
      </c>
      <c r="D180" s="22">
        <v>12.14</v>
      </c>
      <c r="E180" s="23">
        <v>1515</v>
      </c>
      <c r="F180" s="23">
        <v>1727</v>
      </c>
      <c r="G180" s="11">
        <f t="shared" si="2"/>
        <v>87.7243775332947</v>
      </c>
      <c r="H180" s="7">
        <v>0</v>
      </c>
      <c r="I180" s="7">
        <v>0</v>
      </c>
      <c r="J180" s="7">
        <v>0</v>
      </c>
      <c r="K180" s="7">
        <v>0</v>
      </c>
    </row>
    <row r="181" spans="1:11">
      <c r="A181" s="21" t="s">
        <v>122</v>
      </c>
      <c r="B181" s="21" t="s">
        <v>133</v>
      </c>
      <c r="C181" s="7">
        <v>0</v>
      </c>
      <c r="D181" s="22">
        <v>14.27</v>
      </c>
      <c r="E181" s="23">
        <v>299</v>
      </c>
      <c r="F181" s="23">
        <v>384</v>
      </c>
      <c r="G181" s="11">
        <f t="shared" si="2"/>
        <v>77.8645833333333</v>
      </c>
      <c r="H181" s="7">
        <v>0</v>
      </c>
      <c r="I181" s="7">
        <v>0</v>
      </c>
      <c r="J181" s="7">
        <v>0</v>
      </c>
      <c r="K181" s="7">
        <v>2</v>
      </c>
    </row>
    <row r="182" spans="1:11">
      <c r="A182" s="21" t="s">
        <v>122</v>
      </c>
      <c r="B182" s="21" t="s">
        <v>134</v>
      </c>
      <c r="C182" s="7">
        <v>0</v>
      </c>
      <c r="D182" s="22">
        <v>328.65</v>
      </c>
      <c r="E182" s="23">
        <v>0</v>
      </c>
      <c r="F182" s="23">
        <v>324</v>
      </c>
      <c r="G182" s="11">
        <f t="shared" si="2"/>
        <v>0</v>
      </c>
      <c r="H182" s="7">
        <v>0</v>
      </c>
      <c r="I182" s="7">
        <v>0</v>
      </c>
      <c r="J182" s="7">
        <v>0</v>
      </c>
      <c r="K182" s="7">
        <v>0</v>
      </c>
    </row>
    <row r="183" spans="1:11">
      <c r="A183" s="21" t="s">
        <v>122</v>
      </c>
      <c r="B183" s="21" t="s">
        <v>135</v>
      </c>
      <c r="C183" s="7">
        <v>0</v>
      </c>
      <c r="D183" s="22">
        <v>11.02</v>
      </c>
      <c r="E183" s="23">
        <v>101</v>
      </c>
      <c r="F183" s="23">
        <v>213</v>
      </c>
      <c r="G183" s="11">
        <f t="shared" si="2"/>
        <v>47.4178403755869</v>
      </c>
      <c r="H183" s="7">
        <v>0</v>
      </c>
      <c r="I183" s="7">
        <v>0</v>
      </c>
      <c r="J183" s="7">
        <v>0</v>
      </c>
      <c r="K183" s="7">
        <v>1</v>
      </c>
    </row>
    <row r="184" spans="1:11">
      <c r="A184" s="21" t="s">
        <v>122</v>
      </c>
      <c r="B184" s="21" t="s">
        <v>92</v>
      </c>
      <c r="C184" s="7">
        <v>0</v>
      </c>
      <c r="D184" s="22">
        <v>5.84</v>
      </c>
      <c r="E184" s="23">
        <v>157</v>
      </c>
      <c r="F184" s="23">
        <v>175</v>
      </c>
      <c r="G184" s="11">
        <f t="shared" si="2"/>
        <v>89.7142857142857</v>
      </c>
      <c r="H184" s="7">
        <v>0</v>
      </c>
      <c r="I184" s="7">
        <v>0</v>
      </c>
      <c r="J184" s="7">
        <v>0</v>
      </c>
      <c r="K184" s="7">
        <v>0</v>
      </c>
    </row>
    <row r="185" spans="1:11">
      <c r="A185" s="21" t="s">
        <v>122</v>
      </c>
      <c r="B185" s="21" t="s">
        <v>136</v>
      </c>
      <c r="C185" s="7">
        <v>0</v>
      </c>
      <c r="D185" s="22">
        <v>11.85</v>
      </c>
      <c r="E185" s="23">
        <v>142</v>
      </c>
      <c r="F185" s="23">
        <v>142</v>
      </c>
      <c r="G185" s="11">
        <f t="shared" si="2"/>
        <v>100</v>
      </c>
      <c r="H185" s="7">
        <v>0</v>
      </c>
      <c r="I185" s="7">
        <v>0</v>
      </c>
      <c r="J185" s="7">
        <v>0</v>
      </c>
      <c r="K185" s="7">
        <v>0</v>
      </c>
    </row>
    <row r="186" spans="1:11">
      <c r="A186" s="21" t="s">
        <v>122</v>
      </c>
      <c r="B186" s="21" t="s">
        <v>137</v>
      </c>
      <c r="C186" s="7">
        <v>0</v>
      </c>
      <c r="D186" s="22">
        <v>0.67</v>
      </c>
      <c r="E186" s="23">
        <v>0</v>
      </c>
      <c r="F186" s="23">
        <v>115</v>
      </c>
      <c r="G186" s="11">
        <f t="shared" si="2"/>
        <v>0</v>
      </c>
      <c r="H186" s="7">
        <v>0</v>
      </c>
      <c r="I186" s="7">
        <v>0</v>
      </c>
      <c r="J186" s="7">
        <v>0</v>
      </c>
      <c r="K186" s="7">
        <v>0</v>
      </c>
    </row>
    <row r="187" spans="1:11">
      <c r="A187" s="21" t="s">
        <v>122</v>
      </c>
      <c r="B187" s="21" t="s">
        <v>138</v>
      </c>
      <c r="C187" s="7">
        <v>0</v>
      </c>
      <c r="D187" s="22">
        <v>0.06</v>
      </c>
      <c r="E187" s="23">
        <v>0</v>
      </c>
      <c r="F187" s="23">
        <v>65</v>
      </c>
      <c r="G187" s="11">
        <f t="shared" si="2"/>
        <v>0</v>
      </c>
      <c r="H187" s="7">
        <v>0</v>
      </c>
      <c r="I187" s="7">
        <v>0</v>
      </c>
      <c r="J187" s="7">
        <v>0</v>
      </c>
      <c r="K187" s="7">
        <v>0</v>
      </c>
    </row>
    <row r="188" spans="1:11">
      <c r="A188" s="24" t="s">
        <v>122</v>
      </c>
      <c r="B188" s="24" t="s">
        <v>75</v>
      </c>
      <c r="C188" s="25">
        <f>SUM(C156:C187)</f>
        <v>4</v>
      </c>
      <c r="D188" s="26">
        <f>SUM(D156:D187)</f>
        <v>8633.1</v>
      </c>
      <c r="E188" s="27">
        <f>SUM(E156:E187)</f>
        <v>413518</v>
      </c>
      <c r="F188" s="27">
        <f>SUM(F156:F187)</f>
        <v>422304</v>
      </c>
      <c r="G188" s="28">
        <f t="shared" si="2"/>
        <v>97.9195082215655</v>
      </c>
      <c r="H188" s="25">
        <f>SUM(H156:H187)</f>
        <v>1</v>
      </c>
      <c r="I188" s="25">
        <f>SUM(I156:I187)</f>
        <v>0</v>
      </c>
      <c r="J188" s="25">
        <f>SUM(J156:J187)</f>
        <v>1</v>
      </c>
      <c r="K188" s="25">
        <f>SUM(K156:K187)</f>
        <v>130</v>
      </c>
    </row>
    <row r="189" spans="1:11">
      <c r="A189" s="21" t="s">
        <v>139</v>
      </c>
      <c r="B189" s="21" t="s">
        <v>140</v>
      </c>
      <c r="C189" s="7">
        <v>1</v>
      </c>
      <c r="D189" s="22">
        <v>543.9</v>
      </c>
      <c r="E189" s="23">
        <v>34333</v>
      </c>
      <c r="F189" s="23">
        <v>34542</v>
      </c>
      <c r="G189" s="11">
        <f t="shared" si="2"/>
        <v>99.3949394939494</v>
      </c>
      <c r="H189" s="7">
        <v>0</v>
      </c>
      <c r="I189" s="7">
        <v>0</v>
      </c>
      <c r="J189" s="7">
        <v>0</v>
      </c>
      <c r="K189" s="7">
        <v>8</v>
      </c>
    </row>
    <row r="190" spans="1:11">
      <c r="A190" s="21" t="s">
        <v>139</v>
      </c>
      <c r="B190" s="21" t="s">
        <v>39</v>
      </c>
      <c r="C190" s="7">
        <v>1</v>
      </c>
      <c r="D190" s="22">
        <v>541.64</v>
      </c>
      <c r="E190" s="23">
        <v>28894</v>
      </c>
      <c r="F190" s="23">
        <v>30018</v>
      </c>
      <c r="G190" s="11">
        <f t="shared" si="2"/>
        <v>96.2555799853421</v>
      </c>
      <c r="H190" s="7">
        <v>0</v>
      </c>
      <c r="I190" s="7">
        <v>0</v>
      </c>
      <c r="J190" s="7">
        <v>0</v>
      </c>
      <c r="K190" s="7">
        <v>8</v>
      </c>
    </row>
    <row r="191" spans="1:11">
      <c r="A191" s="21" t="s">
        <v>139</v>
      </c>
      <c r="B191" s="21" t="s">
        <v>38</v>
      </c>
      <c r="C191" s="7">
        <v>1</v>
      </c>
      <c r="D191" s="22">
        <v>543.89</v>
      </c>
      <c r="E191" s="23">
        <v>24754</v>
      </c>
      <c r="F191" s="23">
        <v>24915</v>
      </c>
      <c r="G191" s="11">
        <f t="shared" si="2"/>
        <v>99.3538029299619</v>
      </c>
      <c r="H191" s="7">
        <v>0</v>
      </c>
      <c r="I191" s="7">
        <v>0</v>
      </c>
      <c r="J191" s="7">
        <v>0</v>
      </c>
      <c r="K191" s="7">
        <v>4</v>
      </c>
    </row>
    <row r="192" spans="1:11">
      <c r="A192" s="21" t="s">
        <v>139</v>
      </c>
      <c r="B192" s="21" t="s">
        <v>54</v>
      </c>
      <c r="C192" s="7">
        <v>1</v>
      </c>
      <c r="D192" s="22">
        <v>543.89</v>
      </c>
      <c r="E192" s="23">
        <v>22830</v>
      </c>
      <c r="F192" s="23">
        <v>23020</v>
      </c>
      <c r="G192" s="11">
        <f t="shared" si="2"/>
        <v>99.1746307558645</v>
      </c>
      <c r="H192" s="7">
        <v>0</v>
      </c>
      <c r="I192" s="7">
        <v>0</v>
      </c>
      <c r="J192" s="7">
        <v>0</v>
      </c>
      <c r="K192" s="7">
        <v>5</v>
      </c>
    </row>
    <row r="193" spans="1:11">
      <c r="A193" s="21" t="s">
        <v>139</v>
      </c>
      <c r="B193" s="21" t="s">
        <v>42</v>
      </c>
      <c r="C193" s="7">
        <v>1</v>
      </c>
      <c r="D193" s="22">
        <v>543.65</v>
      </c>
      <c r="E193" s="23">
        <v>0</v>
      </c>
      <c r="F193" s="23">
        <v>11831</v>
      </c>
      <c r="G193" s="11">
        <f t="shared" si="2"/>
        <v>0</v>
      </c>
      <c r="H193" s="7">
        <v>0</v>
      </c>
      <c r="I193" s="7">
        <v>0</v>
      </c>
      <c r="J193" s="7">
        <v>0</v>
      </c>
      <c r="K193" s="7">
        <v>0</v>
      </c>
    </row>
    <row r="194" spans="1:11">
      <c r="A194" s="21" t="s">
        <v>139</v>
      </c>
      <c r="B194" s="21" t="s">
        <v>43</v>
      </c>
      <c r="C194" s="7">
        <v>0</v>
      </c>
      <c r="D194" s="22">
        <v>251.91</v>
      </c>
      <c r="E194" s="23">
        <v>32959</v>
      </c>
      <c r="F194" s="23">
        <v>33036</v>
      </c>
      <c r="G194" s="11">
        <f t="shared" si="2"/>
        <v>99.7669209347379</v>
      </c>
      <c r="H194" s="7">
        <v>0</v>
      </c>
      <c r="I194" s="7">
        <v>0</v>
      </c>
      <c r="J194" s="7">
        <v>0</v>
      </c>
      <c r="K194" s="7">
        <v>0</v>
      </c>
    </row>
    <row r="195" spans="1:11">
      <c r="A195" s="21" t="s">
        <v>139</v>
      </c>
      <c r="B195" s="21" t="s">
        <v>117</v>
      </c>
      <c r="C195" s="7">
        <v>0</v>
      </c>
      <c r="D195" s="22">
        <v>329.83</v>
      </c>
      <c r="E195" s="23">
        <v>26996</v>
      </c>
      <c r="F195" s="23">
        <v>27778</v>
      </c>
      <c r="G195" s="11">
        <f t="shared" si="2"/>
        <v>97.1848225214198</v>
      </c>
      <c r="H195" s="7">
        <v>0</v>
      </c>
      <c r="I195" s="7">
        <v>0</v>
      </c>
      <c r="J195" s="7">
        <v>0</v>
      </c>
      <c r="K195" s="7">
        <v>8</v>
      </c>
    </row>
    <row r="196" spans="1:11">
      <c r="A196" s="21" t="s">
        <v>139</v>
      </c>
      <c r="B196" s="21" t="s">
        <v>127</v>
      </c>
      <c r="C196" s="7">
        <v>0</v>
      </c>
      <c r="D196" s="22">
        <v>329.85</v>
      </c>
      <c r="E196" s="23">
        <v>23649</v>
      </c>
      <c r="F196" s="23">
        <v>24179</v>
      </c>
      <c r="G196" s="11">
        <f t="shared" ref="G196:G259" si="3">IF(F196=0,0,E196/F196*100)</f>
        <v>97.8080152198189</v>
      </c>
      <c r="H196" s="7">
        <v>0</v>
      </c>
      <c r="I196" s="7">
        <v>0</v>
      </c>
      <c r="J196" s="7">
        <v>0</v>
      </c>
      <c r="K196" s="7">
        <v>9</v>
      </c>
    </row>
    <row r="197" spans="1:11">
      <c r="A197" s="21" t="s">
        <v>139</v>
      </c>
      <c r="B197" s="21" t="s">
        <v>87</v>
      </c>
      <c r="C197" s="7">
        <v>0</v>
      </c>
      <c r="D197" s="22">
        <v>251.82</v>
      </c>
      <c r="E197" s="23">
        <v>21727</v>
      </c>
      <c r="F197" s="23">
        <v>21862</v>
      </c>
      <c r="G197" s="11">
        <f t="shared" si="3"/>
        <v>99.3824901655841</v>
      </c>
      <c r="H197" s="7">
        <v>0</v>
      </c>
      <c r="I197" s="7">
        <v>0</v>
      </c>
      <c r="J197" s="7">
        <v>0</v>
      </c>
      <c r="K197" s="7">
        <v>3</v>
      </c>
    </row>
    <row r="198" spans="1:11">
      <c r="A198" s="21" t="s">
        <v>139</v>
      </c>
      <c r="B198" s="21" t="s">
        <v>37</v>
      </c>
      <c r="C198" s="7">
        <v>0</v>
      </c>
      <c r="D198" s="22">
        <v>513.87</v>
      </c>
      <c r="E198" s="23">
        <v>20193</v>
      </c>
      <c r="F198" s="23">
        <v>20197</v>
      </c>
      <c r="G198" s="11">
        <f t="shared" si="3"/>
        <v>99.980195078477</v>
      </c>
      <c r="H198" s="7">
        <v>0</v>
      </c>
      <c r="I198" s="7">
        <v>0</v>
      </c>
      <c r="J198" s="7">
        <v>0</v>
      </c>
      <c r="K198" s="7">
        <v>0</v>
      </c>
    </row>
    <row r="199" spans="1:11">
      <c r="A199" s="21" t="s">
        <v>139</v>
      </c>
      <c r="B199" s="21" t="s">
        <v>101</v>
      </c>
      <c r="C199" s="7">
        <v>0</v>
      </c>
      <c r="D199" s="22">
        <v>322.43</v>
      </c>
      <c r="E199" s="23">
        <v>13017</v>
      </c>
      <c r="F199" s="23">
        <v>15659</v>
      </c>
      <c r="G199" s="11">
        <f t="shared" si="3"/>
        <v>83.1279136598761</v>
      </c>
      <c r="H199" s="7">
        <v>0</v>
      </c>
      <c r="I199" s="7">
        <v>0</v>
      </c>
      <c r="J199" s="7">
        <v>0</v>
      </c>
      <c r="K199" s="7">
        <v>0</v>
      </c>
    </row>
    <row r="200" spans="1:11">
      <c r="A200" s="21" t="s">
        <v>139</v>
      </c>
      <c r="B200" s="21" t="s">
        <v>116</v>
      </c>
      <c r="C200" s="7">
        <v>0</v>
      </c>
      <c r="D200" s="22">
        <v>320.17</v>
      </c>
      <c r="E200" s="23">
        <v>14903</v>
      </c>
      <c r="F200" s="23">
        <v>15073</v>
      </c>
      <c r="G200" s="11">
        <f t="shared" si="3"/>
        <v>98.872155509852</v>
      </c>
      <c r="H200" s="7">
        <v>0</v>
      </c>
      <c r="I200" s="7">
        <v>0</v>
      </c>
      <c r="J200" s="7">
        <v>0</v>
      </c>
      <c r="K200" s="7">
        <v>1</v>
      </c>
    </row>
    <row r="201" spans="1:11">
      <c r="A201" s="21" t="s">
        <v>139</v>
      </c>
      <c r="B201" s="21" t="s">
        <v>86</v>
      </c>
      <c r="C201" s="7">
        <v>0</v>
      </c>
      <c r="D201" s="22">
        <v>318.79</v>
      </c>
      <c r="E201" s="23">
        <v>12025</v>
      </c>
      <c r="F201" s="23">
        <v>12097</v>
      </c>
      <c r="G201" s="11">
        <f t="shared" si="3"/>
        <v>99.4048111101926</v>
      </c>
      <c r="H201" s="7">
        <v>0</v>
      </c>
      <c r="I201" s="7">
        <v>0</v>
      </c>
      <c r="J201" s="7">
        <v>0</v>
      </c>
      <c r="K201" s="7">
        <v>2</v>
      </c>
    </row>
    <row r="202" spans="1:11">
      <c r="A202" s="21" t="s">
        <v>139</v>
      </c>
      <c r="B202" s="21" t="s">
        <v>49</v>
      </c>
      <c r="C202" s="7">
        <v>0</v>
      </c>
      <c r="D202" s="22">
        <v>321.74</v>
      </c>
      <c r="E202" s="23">
        <v>11926</v>
      </c>
      <c r="F202" s="23">
        <v>12023</v>
      </c>
      <c r="G202" s="11">
        <f t="shared" si="3"/>
        <v>99.1932130084006</v>
      </c>
      <c r="H202" s="7">
        <v>0</v>
      </c>
      <c r="I202" s="7">
        <v>0</v>
      </c>
      <c r="J202" s="7">
        <v>0</v>
      </c>
      <c r="K202" s="7">
        <v>1</v>
      </c>
    </row>
    <row r="203" spans="1:11">
      <c r="A203" s="21" t="s">
        <v>139</v>
      </c>
      <c r="B203" s="21" t="s">
        <v>52</v>
      </c>
      <c r="C203" s="7">
        <v>0</v>
      </c>
      <c r="D203" s="22">
        <v>108.57</v>
      </c>
      <c r="E203" s="23">
        <v>10943</v>
      </c>
      <c r="F203" s="23">
        <v>10988</v>
      </c>
      <c r="G203" s="11">
        <f t="shared" si="3"/>
        <v>99.5904623225337</v>
      </c>
      <c r="H203" s="7">
        <v>0</v>
      </c>
      <c r="I203" s="7">
        <v>0</v>
      </c>
      <c r="J203" s="7">
        <v>0</v>
      </c>
      <c r="K203" s="7">
        <v>0</v>
      </c>
    </row>
    <row r="204" spans="1:11">
      <c r="A204" s="21" t="s">
        <v>139</v>
      </c>
      <c r="B204" s="21" t="s">
        <v>92</v>
      </c>
      <c r="C204" s="7">
        <v>0</v>
      </c>
      <c r="D204" s="22">
        <v>271.65</v>
      </c>
      <c r="E204" s="23">
        <v>9847</v>
      </c>
      <c r="F204" s="23">
        <v>9852</v>
      </c>
      <c r="G204" s="11">
        <f t="shared" si="3"/>
        <v>99.9492488834754</v>
      </c>
      <c r="H204" s="7">
        <v>0</v>
      </c>
      <c r="I204" s="7">
        <v>0</v>
      </c>
      <c r="J204" s="7">
        <v>0</v>
      </c>
      <c r="K204" s="7">
        <v>0</v>
      </c>
    </row>
    <row r="205" spans="1:11">
      <c r="A205" s="21" t="s">
        <v>139</v>
      </c>
      <c r="B205" s="21" t="s">
        <v>131</v>
      </c>
      <c r="C205" s="7">
        <v>0</v>
      </c>
      <c r="D205" s="22">
        <v>207.02</v>
      </c>
      <c r="E205" s="23">
        <v>7525</v>
      </c>
      <c r="F205" s="23">
        <v>7600</v>
      </c>
      <c r="G205" s="11">
        <f t="shared" si="3"/>
        <v>99.0131578947368</v>
      </c>
      <c r="H205" s="7">
        <v>0</v>
      </c>
      <c r="I205" s="7">
        <v>0</v>
      </c>
      <c r="J205" s="7">
        <v>0</v>
      </c>
      <c r="K205" s="7">
        <v>2</v>
      </c>
    </row>
    <row r="206" spans="1:11">
      <c r="A206" s="21" t="s">
        <v>139</v>
      </c>
      <c r="B206" s="21" t="s">
        <v>141</v>
      </c>
      <c r="C206" s="7">
        <v>0</v>
      </c>
      <c r="D206" s="22">
        <v>470.56</v>
      </c>
      <c r="E206" s="23">
        <v>6671</v>
      </c>
      <c r="F206" s="23">
        <v>7001</v>
      </c>
      <c r="G206" s="11">
        <f t="shared" si="3"/>
        <v>95.2863876589059</v>
      </c>
      <c r="H206" s="7">
        <v>3</v>
      </c>
      <c r="I206" s="7">
        <v>0</v>
      </c>
      <c r="J206" s="7">
        <v>3</v>
      </c>
      <c r="K206" s="7">
        <v>9</v>
      </c>
    </row>
    <row r="207" spans="1:11">
      <c r="A207" s="21" t="s">
        <v>139</v>
      </c>
      <c r="B207" s="21" t="s">
        <v>107</v>
      </c>
      <c r="C207" s="7">
        <v>0</v>
      </c>
      <c r="D207" s="22">
        <v>319.23</v>
      </c>
      <c r="E207" s="23">
        <v>6468</v>
      </c>
      <c r="F207" s="23">
        <v>6509</v>
      </c>
      <c r="G207" s="11">
        <f t="shared" si="3"/>
        <v>99.3701029343985</v>
      </c>
      <c r="H207" s="7">
        <v>0</v>
      </c>
      <c r="I207" s="7">
        <v>0</v>
      </c>
      <c r="J207" s="7">
        <v>0</v>
      </c>
      <c r="K207" s="7">
        <v>2</v>
      </c>
    </row>
    <row r="208" spans="1:11">
      <c r="A208" s="21" t="s">
        <v>139</v>
      </c>
      <c r="B208" s="21" t="s">
        <v>123</v>
      </c>
      <c r="C208" s="7">
        <v>0</v>
      </c>
      <c r="D208" s="22">
        <v>100.71</v>
      </c>
      <c r="E208" s="23">
        <v>6304</v>
      </c>
      <c r="F208" s="23">
        <v>6468</v>
      </c>
      <c r="G208" s="11">
        <f t="shared" si="3"/>
        <v>97.4644403215832</v>
      </c>
      <c r="H208" s="7">
        <v>0</v>
      </c>
      <c r="I208" s="7">
        <v>0</v>
      </c>
      <c r="J208" s="7">
        <v>0</v>
      </c>
      <c r="K208" s="7">
        <v>2</v>
      </c>
    </row>
    <row r="209" spans="1:11">
      <c r="A209" s="21" t="s">
        <v>139</v>
      </c>
      <c r="B209" s="21" t="s">
        <v>142</v>
      </c>
      <c r="C209" s="7">
        <v>0</v>
      </c>
      <c r="D209" s="22">
        <v>170.68</v>
      </c>
      <c r="E209" s="23">
        <v>5302</v>
      </c>
      <c r="F209" s="23">
        <v>5312</v>
      </c>
      <c r="G209" s="11">
        <f t="shared" si="3"/>
        <v>99.8117469879518</v>
      </c>
      <c r="H209" s="7">
        <v>0</v>
      </c>
      <c r="I209" s="7">
        <v>0</v>
      </c>
      <c r="J209" s="7">
        <v>0</v>
      </c>
      <c r="K209" s="7">
        <v>1</v>
      </c>
    </row>
    <row r="210" spans="1:11">
      <c r="A210" s="21" t="s">
        <v>139</v>
      </c>
      <c r="B210" s="21" t="s">
        <v>61</v>
      </c>
      <c r="C210" s="7">
        <v>0</v>
      </c>
      <c r="D210" s="22">
        <v>107.52</v>
      </c>
      <c r="E210" s="23">
        <v>4353</v>
      </c>
      <c r="F210" s="23">
        <v>4400</v>
      </c>
      <c r="G210" s="11">
        <f t="shared" si="3"/>
        <v>98.9318181818182</v>
      </c>
      <c r="H210" s="7">
        <v>0</v>
      </c>
      <c r="I210" s="7">
        <v>0</v>
      </c>
      <c r="J210" s="7">
        <v>0</v>
      </c>
      <c r="K210" s="7">
        <v>0</v>
      </c>
    </row>
    <row r="211" spans="1:11">
      <c r="A211" s="21" t="s">
        <v>139</v>
      </c>
      <c r="B211" s="21" t="s">
        <v>134</v>
      </c>
      <c r="C211" s="7">
        <v>0</v>
      </c>
      <c r="D211" s="22">
        <v>114.86</v>
      </c>
      <c r="E211" s="23">
        <v>3839</v>
      </c>
      <c r="F211" s="23">
        <v>4137</v>
      </c>
      <c r="G211" s="11">
        <f t="shared" si="3"/>
        <v>92.7967125936669</v>
      </c>
      <c r="H211" s="7">
        <v>0</v>
      </c>
      <c r="I211" s="7">
        <v>0</v>
      </c>
      <c r="J211" s="7">
        <v>0</v>
      </c>
      <c r="K211" s="7">
        <v>0</v>
      </c>
    </row>
    <row r="212" spans="1:11">
      <c r="A212" s="21" t="s">
        <v>139</v>
      </c>
      <c r="B212" s="21" t="s">
        <v>128</v>
      </c>
      <c r="C212" s="7">
        <v>0</v>
      </c>
      <c r="D212" s="22">
        <v>75.98</v>
      </c>
      <c r="E212" s="23">
        <v>3426</v>
      </c>
      <c r="F212" s="23">
        <v>3426</v>
      </c>
      <c r="G212" s="11">
        <f t="shared" si="3"/>
        <v>100</v>
      </c>
      <c r="H212" s="7">
        <v>0</v>
      </c>
      <c r="I212" s="7">
        <v>0</v>
      </c>
      <c r="J212" s="7">
        <v>0</v>
      </c>
      <c r="K212" s="7">
        <v>0</v>
      </c>
    </row>
    <row r="213" spans="1:11">
      <c r="A213" s="21" t="s">
        <v>139</v>
      </c>
      <c r="B213" s="21" t="s">
        <v>143</v>
      </c>
      <c r="C213" s="7">
        <v>0</v>
      </c>
      <c r="D213" s="22">
        <v>17.54</v>
      </c>
      <c r="E213" s="23">
        <v>1048</v>
      </c>
      <c r="F213" s="23">
        <v>2505</v>
      </c>
      <c r="G213" s="11">
        <f t="shared" si="3"/>
        <v>41.8363273453094</v>
      </c>
      <c r="H213" s="7">
        <v>0</v>
      </c>
      <c r="I213" s="7">
        <v>0</v>
      </c>
      <c r="J213" s="7">
        <v>0</v>
      </c>
      <c r="K213" s="7">
        <v>1</v>
      </c>
    </row>
    <row r="214" spans="1:11">
      <c r="A214" s="21" t="s">
        <v>139</v>
      </c>
      <c r="B214" s="21" t="s">
        <v>144</v>
      </c>
      <c r="C214" s="7">
        <v>0</v>
      </c>
      <c r="D214" s="22">
        <v>2.37</v>
      </c>
      <c r="E214" s="23">
        <v>1248</v>
      </c>
      <c r="F214" s="23">
        <v>1267</v>
      </c>
      <c r="G214" s="11">
        <f t="shared" si="3"/>
        <v>98.5003946329913</v>
      </c>
      <c r="H214" s="7">
        <v>0</v>
      </c>
      <c r="I214" s="7">
        <v>0</v>
      </c>
      <c r="J214" s="7">
        <v>0</v>
      </c>
      <c r="K214" s="7">
        <v>1</v>
      </c>
    </row>
    <row r="215" spans="1:11">
      <c r="A215" s="21" t="s">
        <v>139</v>
      </c>
      <c r="B215" s="21" t="s">
        <v>145</v>
      </c>
      <c r="C215" s="7">
        <v>0</v>
      </c>
      <c r="D215" s="22">
        <v>316.64</v>
      </c>
      <c r="E215" s="23">
        <v>0</v>
      </c>
      <c r="F215" s="23">
        <v>125</v>
      </c>
      <c r="G215" s="11">
        <f t="shared" si="3"/>
        <v>0</v>
      </c>
      <c r="H215" s="7">
        <v>0</v>
      </c>
      <c r="I215" s="7">
        <v>0</v>
      </c>
      <c r="J215" s="7">
        <v>0</v>
      </c>
      <c r="K215" s="7">
        <v>0</v>
      </c>
    </row>
    <row r="216" spans="1:11">
      <c r="A216" s="21" t="s">
        <v>139</v>
      </c>
      <c r="B216" s="21" t="s">
        <v>146</v>
      </c>
      <c r="C216" s="7">
        <v>0</v>
      </c>
      <c r="D216" s="22">
        <v>29.38</v>
      </c>
      <c r="E216" s="23">
        <v>0</v>
      </c>
      <c r="F216" s="23">
        <v>85</v>
      </c>
      <c r="G216" s="11">
        <f t="shared" si="3"/>
        <v>0</v>
      </c>
      <c r="H216" s="7">
        <v>0</v>
      </c>
      <c r="I216" s="7">
        <v>0</v>
      </c>
      <c r="J216" s="7">
        <v>0</v>
      </c>
      <c r="K216" s="7">
        <v>0</v>
      </c>
    </row>
    <row r="217" spans="1:11">
      <c r="A217" s="21" t="s">
        <v>139</v>
      </c>
      <c r="B217" s="21" t="s">
        <v>147</v>
      </c>
      <c r="C217" s="7">
        <v>0</v>
      </c>
      <c r="D217" s="22">
        <v>103.1</v>
      </c>
      <c r="E217" s="23">
        <v>0</v>
      </c>
      <c r="F217" s="23">
        <v>10</v>
      </c>
      <c r="G217" s="11">
        <f t="shared" si="3"/>
        <v>0</v>
      </c>
      <c r="H217" s="7">
        <v>0</v>
      </c>
      <c r="I217" s="7">
        <v>0</v>
      </c>
      <c r="J217" s="7">
        <v>0</v>
      </c>
      <c r="K217" s="7">
        <v>0</v>
      </c>
    </row>
    <row r="218" spans="1:11">
      <c r="A218" s="21" t="s">
        <v>139</v>
      </c>
      <c r="B218" s="21" t="s">
        <v>148</v>
      </c>
      <c r="C218" s="7">
        <v>0</v>
      </c>
      <c r="D218" s="22">
        <v>2.68</v>
      </c>
      <c r="E218" s="23">
        <v>0</v>
      </c>
      <c r="F218" s="23">
        <v>6</v>
      </c>
      <c r="G218" s="11">
        <f t="shared" si="3"/>
        <v>0</v>
      </c>
      <c r="H218" s="7">
        <v>0</v>
      </c>
      <c r="I218" s="7">
        <v>0</v>
      </c>
      <c r="J218" s="7">
        <v>0</v>
      </c>
      <c r="K218" s="7">
        <v>0</v>
      </c>
    </row>
    <row r="219" spans="1:11">
      <c r="A219" s="24" t="s">
        <v>139</v>
      </c>
      <c r="B219" s="24" t="s">
        <v>75</v>
      </c>
      <c r="C219" s="25">
        <f>SUM(C189:C218)</f>
        <v>5</v>
      </c>
      <c r="D219" s="26">
        <f>SUM(D189:D218)</f>
        <v>8095.87</v>
      </c>
      <c r="E219" s="27">
        <f>SUM(E189:E218)</f>
        <v>355180</v>
      </c>
      <c r="F219" s="27">
        <f>SUM(F189:F218)</f>
        <v>375921</v>
      </c>
      <c r="G219" s="28">
        <f t="shared" si="3"/>
        <v>94.4826173584344</v>
      </c>
      <c r="H219" s="25">
        <f>SUM(H189:H218)</f>
        <v>3</v>
      </c>
      <c r="I219" s="25">
        <f>SUM(I189:I218)</f>
        <v>0</v>
      </c>
      <c r="J219" s="25">
        <f>SUM(J189:J218)</f>
        <v>3</v>
      </c>
      <c r="K219" s="25">
        <f>SUM(K189:K218)</f>
        <v>67</v>
      </c>
    </row>
    <row r="220" spans="1:11">
      <c r="A220" s="21" t="s">
        <v>149</v>
      </c>
      <c r="B220" s="21" t="s">
        <v>128</v>
      </c>
      <c r="C220" s="7">
        <v>1</v>
      </c>
      <c r="D220" s="22">
        <v>543.85</v>
      </c>
      <c r="E220" s="23">
        <v>37003</v>
      </c>
      <c r="F220" s="23">
        <v>37177</v>
      </c>
      <c r="G220" s="11">
        <f t="shared" si="3"/>
        <v>99.5319686903193</v>
      </c>
      <c r="H220" s="7">
        <v>0</v>
      </c>
      <c r="I220" s="7">
        <v>0</v>
      </c>
      <c r="J220" s="7">
        <v>0</v>
      </c>
      <c r="K220" s="7">
        <v>8</v>
      </c>
    </row>
    <row r="221" spans="1:11">
      <c r="A221" s="21" t="s">
        <v>149</v>
      </c>
      <c r="B221" s="21" t="s">
        <v>150</v>
      </c>
      <c r="C221" s="7">
        <v>1</v>
      </c>
      <c r="D221" s="22">
        <v>543.85</v>
      </c>
      <c r="E221" s="23">
        <v>34666</v>
      </c>
      <c r="F221" s="23">
        <v>34860</v>
      </c>
      <c r="G221" s="11">
        <f t="shared" si="3"/>
        <v>99.443488238669</v>
      </c>
      <c r="H221" s="7">
        <v>0</v>
      </c>
      <c r="I221" s="7">
        <v>0</v>
      </c>
      <c r="J221" s="7">
        <v>0</v>
      </c>
      <c r="K221" s="7">
        <v>10</v>
      </c>
    </row>
    <row r="222" spans="1:11">
      <c r="A222" s="21" t="s">
        <v>149</v>
      </c>
      <c r="B222" s="21" t="s">
        <v>151</v>
      </c>
      <c r="C222" s="7">
        <v>1</v>
      </c>
      <c r="D222" s="22">
        <v>543.61</v>
      </c>
      <c r="E222" s="23">
        <v>20687</v>
      </c>
      <c r="F222" s="23">
        <v>20746</v>
      </c>
      <c r="G222" s="11">
        <f t="shared" si="3"/>
        <v>99.715607828015</v>
      </c>
      <c r="H222" s="7">
        <v>0</v>
      </c>
      <c r="I222" s="7">
        <v>0</v>
      </c>
      <c r="J222" s="7">
        <v>0</v>
      </c>
      <c r="K222" s="7">
        <v>2</v>
      </c>
    </row>
    <row r="223" spans="1:11">
      <c r="A223" s="21" t="s">
        <v>149</v>
      </c>
      <c r="B223" s="21" t="s">
        <v>152</v>
      </c>
      <c r="C223" s="7">
        <v>1</v>
      </c>
      <c r="D223" s="22">
        <v>543.65</v>
      </c>
      <c r="E223" s="23">
        <v>18497</v>
      </c>
      <c r="F223" s="23">
        <v>18548</v>
      </c>
      <c r="G223" s="11">
        <f t="shared" si="3"/>
        <v>99.7250377399181</v>
      </c>
      <c r="H223" s="7">
        <v>0</v>
      </c>
      <c r="I223" s="7">
        <v>0</v>
      </c>
      <c r="J223" s="7">
        <v>0</v>
      </c>
      <c r="K223" s="7">
        <v>2</v>
      </c>
    </row>
    <row r="224" spans="1:11">
      <c r="A224" s="21" t="s">
        <v>149</v>
      </c>
      <c r="B224" s="21" t="s">
        <v>43</v>
      </c>
      <c r="C224" s="7">
        <v>0</v>
      </c>
      <c r="D224" s="22">
        <v>251.82</v>
      </c>
      <c r="E224" s="23">
        <v>31666</v>
      </c>
      <c r="F224" s="23">
        <v>31925</v>
      </c>
      <c r="G224" s="11">
        <f t="shared" si="3"/>
        <v>99.1887235708692</v>
      </c>
      <c r="H224" s="7">
        <v>0</v>
      </c>
      <c r="I224" s="7">
        <v>0</v>
      </c>
      <c r="J224" s="7">
        <v>0</v>
      </c>
      <c r="K224" s="7">
        <v>2</v>
      </c>
    </row>
    <row r="225" spans="1:11">
      <c r="A225" s="21" t="s">
        <v>149</v>
      </c>
      <c r="B225" s="21" t="s">
        <v>85</v>
      </c>
      <c r="C225" s="7">
        <v>0</v>
      </c>
      <c r="D225" s="22">
        <v>474.07</v>
      </c>
      <c r="E225" s="23">
        <v>21393</v>
      </c>
      <c r="F225" s="23">
        <v>21540</v>
      </c>
      <c r="G225" s="11">
        <f t="shared" si="3"/>
        <v>99.3175487465181</v>
      </c>
      <c r="H225" s="7">
        <v>0</v>
      </c>
      <c r="I225" s="7">
        <v>0</v>
      </c>
      <c r="J225" s="7">
        <v>0</v>
      </c>
      <c r="K225" s="7">
        <v>10</v>
      </c>
    </row>
    <row r="226" spans="1:11">
      <c r="A226" s="21" t="s">
        <v>149</v>
      </c>
      <c r="B226" s="21" t="s">
        <v>92</v>
      </c>
      <c r="C226" s="7">
        <v>0</v>
      </c>
      <c r="D226" s="22">
        <v>329.85</v>
      </c>
      <c r="E226" s="23">
        <v>20712</v>
      </c>
      <c r="F226" s="23">
        <v>20811</v>
      </c>
      <c r="G226" s="11">
        <f t="shared" si="3"/>
        <v>99.5242900389217</v>
      </c>
      <c r="H226" s="7">
        <v>2</v>
      </c>
      <c r="I226" s="7">
        <v>0</v>
      </c>
      <c r="J226" s="7">
        <v>2</v>
      </c>
      <c r="K226" s="7">
        <v>3</v>
      </c>
    </row>
    <row r="227" spans="1:11">
      <c r="A227" s="21" t="s">
        <v>149</v>
      </c>
      <c r="B227" s="21" t="s">
        <v>129</v>
      </c>
      <c r="C227" s="7">
        <v>0</v>
      </c>
      <c r="D227" s="22">
        <v>473.46</v>
      </c>
      <c r="E227" s="23">
        <v>20668</v>
      </c>
      <c r="F227" s="23">
        <v>20675</v>
      </c>
      <c r="G227" s="11">
        <f t="shared" si="3"/>
        <v>99.9661426844014</v>
      </c>
      <c r="H227" s="7">
        <v>0</v>
      </c>
      <c r="I227" s="7">
        <v>0</v>
      </c>
      <c r="J227" s="7">
        <v>0</v>
      </c>
      <c r="K227" s="7">
        <v>0</v>
      </c>
    </row>
    <row r="228" spans="1:11">
      <c r="A228" s="21" t="s">
        <v>149</v>
      </c>
      <c r="B228" s="21" t="s">
        <v>124</v>
      </c>
      <c r="C228" s="7">
        <v>0</v>
      </c>
      <c r="D228" s="22">
        <v>453.19</v>
      </c>
      <c r="E228" s="23">
        <v>20357</v>
      </c>
      <c r="F228" s="23">
        <v>20494</v>
      </c>
      <c r="G228" s="11">
        <f t="shared" si="3"/>
        <v>99.3315116619498</v>
      </c>
      <c r="H228" s="7">
        <v>1</v>
      </c>
      <c r="I228" s="7">
        <v>0</v>
      </c>
      <c r="J228" s="7">
        <v>1</v>
      </c>
      <c r="K228" s="7">
        <v>6</v>
      </c>
    </row>
    <row r="229" spans="1:11">
      <c r="A229" s="21" t="s">
        <v>149</v>
      </c>
      <c r="B229" s="21" t="s">
        <v>52</v>
      </c>
      <c r="C229" s="7">
        <v>0</v>
      </c>
      <c r="D229" s="22">
        <v>321.48</v>
      </c>
      <c r="E229" s="23">
        <v>19929</v>
      </c>
      <c r="F229" s="23">
        <v>20059</v>
      </c>
      <c r="G229" s="11">
        <f t="shared" si="3"/>
        <v>99.351911860013</v>
      </c>
      <c r="H229" s="7">
        <v>0</v>
      </c>
      <c r="I229" s="7">
        <v>0</v>
      </c>
      <c r="J229" s="7">
        <v>0</v>
      </c>
      <c r="K229" s="7">
        <v>5</v>
      </c>
    </row>
    <row r="230" spans="1:11">
      <c r="A230" s="21" t="s">
        <v>149</v>
      </c>
      <c r="B230" s="21" t="s">
        <v>153</v>
      </c>
      <c r="C230" s="7">
        <v>0</v>
      </c>
      <c r="D230" s="22">
        <v>470.61</v>
      </c>
      <c r="E230" s="23">
        <v>18895</v>
      </c>
      <c r="F230" s="23">
        <v>18975</v>
      </c>
      <c r="G230" s="11">
        <f t="shared" si="3"/>
        <v>99.5783926218709</v>
      </c>
      <c r="H230" s="7">
        <v>0</v>
      </c>
      <c r="I230" s="7">
        <v>0</v>
      </c>
      <c r="J230" s="7">
        <v>0</v>
      </c>
      <c r="K230" s="7">
        <v>1</v>
      </c>
    </row>
    <row r="231" spans="1:11">
      <c r="A231" s="21" t="s">
        <v>149</v>
      </c>
      <c r="B231" s="21" t="s">
        <v>37</v>
      </c>
      <c r="C231" s="7">
        <v>0</v>
      </c>
      <c r="D231" s="22">
        <v>512.54</v>
      </c>
      <c r="E231" s="23">
        <v>18194</v>
      </c>
      <c r="F231" s="23">
        <v>18199</v>
      </c>
      <c r="G231" s="11">
        <f t="shared" si="3"/>
        <v>99.972525962965</v>
      </c>
      <c r="H231" s="7">
        <v>0</v>
      </c>
      <c r="I231" s="7">
        <v>0</v>
      </c>
      <c r="J231" s="7">
        <v>0</v>
      </c>
      <c r="K231" s="7">
        <v>0</v>
      </c>
    </row>
    <row r="232" spans="1:11">
      <c r="A232" s="21" t="s">
        <v>149</v>
      </c>
      <c r="B232" s="21" t="s">
        <v>142</v>
      </c>
      <c r="C232" s="7">
        <v>0</v>
      </c>
      <c r="D232" s="22">
        <v>248.88</v>
      </c>
      <c r="E232" s="23">
        <v>17875</v>
      </c>
      <c r="F232" s="23">
        <v>17931</v>
      </c>
      <c r="G232" s="11">
        <f t="shared" si="3"/>
        <v>99.6876917070994</v>
      </c>
      <c r="H232" s="7">
        <v>0</v>
      </c>
      <c r="I232" s="7">
        <v>0</v>
      </c>
      <c r="J232" s="7">
        <v>0</v>
      </c>
      <c r="K232" s="7">
        <v>0</v>
      </c>
    </row>
    <row r="233" spans="1:11">
      <c r="A233" s="21" t="s">
        <v>149</v>
      </c>
      <c r="B233" s="21" t="s">
        <v>123</v>
      </c>
      <c r="C233" s="7">
        <v>0</v>
      </c>
      <c r="D233" s="22">
        <v>527.13</v>
      </c>
      <c r="E233" s="23">
        <v>17407</v>
      </c>
      <c r="F233" s="23">
        <v>17407</v>
      </c>
      <c r="G233" s="11">
        <f t="shared" si="3"/>
        <v>100</v>
      </c>
      <c r="H233" s="7">
        <v>0</v>
      </c>
      <c r="I233" s="7">
        <v>0</v>
      </c>
      <c r="J233" s="7">
        <v>0</v>
      </c>
      <c r="K233" s="7">
        <v>0</v>
      </c>
    </row>
    <row r="234" spans="1:11">
      <c r="A234" s="21" t="s">
        <v>149</v>
      </c>
      <c r="B234" s="21" t="s">
        <v>154</v>
      </c>
      <c r="C234" s="7">
        <v>0</v>
      </c>
      <c r="D234" s="22">
        <v>329.4</v>
      </c>
      <c r="E234" s="23">
        <v>14344</v>
      </c>
      <c r="F234" s="23">
        <v>14579</v>
      </c>
      <c r="G234" s="11">
        <f t="shared" si="3"/>
        <v>98.3880924617601</v>
      </c>
      <c r="H234" s="7">
        <v>0</v>
      </c>
      <c r="I234" s="7">
        <v>0</v>
      </c>
      <c r="J234" s="7">
        <v>0</v>
      </c>
      <c r="K234" s="7">
        <v>0</v>
      </c>
    </row>
    <row r="235" spans="1:11">
      <c r="A235" s="21" t="s">
        <v>149</v>
      </c>
      <c r="B235" s="21" t="s">
        <v>50</v>
      </c>
      <c r="C235" s="7">
        <v>0</v>
      </c>
      <c r="D235" s="22">
        <v>319.23</v>
      </c>
      <c r="E235" s="23">
        <v>13724</v>
      </c>
      <c r="F235" s="23">
        <v>13958</v>
      </c>
      <c r="G235" s="11">
        <f t="shared" si="3"/>
        <v>98.3235420547356</v>
      </c>
      <c r="H235" s="7">
        <v>0</v>
      </c>
      <c r="I235" s="7">
        <v>0</v>
      </c>
      <c r="J235" s="7">
        <v>0</v>
      </c>
      <c r="K235" s="7">
        <v>2</v>
      </c>
    </row>
    <row r="236" spans="1:11">
      <c r="A236" s="21" t="s">
        <v>149</v>
      </c>
      <c r="B236" s="21" t="s">
        <v>155</v>
      </c>
      <c r="C236" s="7">
        <v>0</v>
      </c>
      <c r="D236" s="22">
        <v>329.67</v>
      </c>
      <c r="E236" s="23">
        <v>13204</v>
      </c>
      <c r="F236" s="23">
        <v>13500</v>
      </c>
      <c r="G236" s="11">
        <f t="shared" si="3"/>
        <v>97.8074074074074</v>
      </c>
      <c r="H236" s="7">
        <v>0</v>
      </c>
      <c r="I236" s="7">
        <v>0</v>
      </c>
      <c r="J236" s="7">
        <v>0</v>
      </c>
      <c r="K236" s="7">
        <v>0</v>
      </c>
    </row>
    <row r="237" spans="1:11">
      <c r="A237" s="21" t="s">
        <v>149</v>
      </c>
      <c r="B237" s="21" t="s">
        <v>68</v>
      </c>
      <c r="C237" s="7">
        <v>0</v>
      </c>
      <c r="D237" s="22">
        <v>321.72</v>
      </c>
      <c r="E237" s="23">
        <v>12260</v>
      </c>
      <c r="F237" s="23">
        <v>12304</v>
      </c>
      <c r="G237" s="11">
        <f t="shared" si="3"/>
        <v>99.6423927178153</v>
      </c>
      <c r="H237" s="7">
        <v>0</v>
      </c>
      <c r="I237" s="7">
        <v>0</v>
      </c>
      <c r="J237" s="7">
        <v>0</v>
      </c>
      <c r="K237" s="7">
        <v>1</v>
      </c>
    </row>
    <row r="238" spans="1:11">
      <c r="A238" s="21" t="s">
        <v>149</v>
      </c>
      <c r="B238" s="21" t="s">
        <v>49</v>
      </c>
      <c r="C238" s="7">
        <v>0</v>
      </c>
      <c r="D238" s="22">
        <v>318.79</v>
      </c>
      <c r="E238" s="23">
        <v>11152</v>
      </c>
      <c r="F238" s="23">
        <v>11207</v>
      </c>
      <c r="G238" s="11">
        <f t="shared" si="3"/>
        <v>99.5092352993665</v>
      </c>
      <c r="H238" s="7">
        <v>0</v>
      </c>
      <c r="I238" s="7">
        <v>0</v>
      </c>
      <c r="J238" s="7">
        <v>0</v>
      </c>
      <c r="K238" s="7">
        <v>2</v>
      </c>
    </row>
    <row r="239" spans="1:11">
      <c r="A239" s="21" t="s">
        <v>149</v>
      </c>
      <c r="B239" s="21" t="s">
        <v>81</v>
      </c>
      <c r="C239" s="7">
        <v>0</v>
      </c>
      <c r="D239" s="22">
        <v>170.69</v>
      </c>
      <c r="E239" s="23">
        <v>10481</v>
      </c>
      <c r="F239" s="23">
        <v>10491</v>
      </c>
      <c r="G239" s="11">
        <f t="shared" si="3"/>
        <v>99.904680202078</v>
      </c>
      <c r="H239" s="7">
        <v>0</v>
      </c>
      <c r="I239" s="7">
        <v>0</v>
      </c>
      <c r="J239" s="7">
        <v>0</v>
      </c>
      <c r="K239" s="7">
        <v>0</v>
      </c>
    </row>
    <row r="240" spans="1:11">
      <c r="A240" s="21" t="s">
        <v>149</v>
      </c>
      <c r="B240" s="21" t="s">
        <v>39</v>
      </c>
      <c r="C240" s="7">
        <v>0</v>
      </c>
      <c r="D240" s="22">
        <v>150.48</v>
      </c>
      <c r="E240" s="23">
        <v>10005</v>
      </c>
      <c r="F240" s="23">
        <v>10097</v>
      </c>
      <c r="G240" s="11">
        <f t="shared" si="3"/>
        <v>99.0888382687927</v>
      </c>
      <c r="H240" s="7">
        <v>0</v>
      </c>
      <c r="I240" s="7">
        <v>0</v>
      </c>
      <c r="J240" s="7">
        <v>0</v>
      </c>
      <c r="K240" s="7">
        <v>2</v>
      </c>
    </row>
    <row r="241" spans="1:11">
      <c r="A241" s="21" t="s">
        <v>149</v>
      </c>
      <c r="B241" s="21" t="s">
        <v>156</v>
      </c>
      <c r="C241" s="7">
        <v>0</v>
      </c>
      <c r="D241" s="22">
        <v>108.53</v>
      </c>
      <c r="E241" s="23">
        <v>9304</v>
      </c>
      <c r="F241" s="23">
        <v>9424</v>
      </c>
      <c r="G241" s="11">
        <f t="shared" si="3"/>
        <v>98.7266553480475</v>
      </c>
      <c r="H241" s="7">
        <v>0</v>
      </c>
      <c r="I241" s="7">
        <v>0</v>
      </c>
      <c r="J241" s="7">
        <v>0</v>
      </c>
      <c r="K241" s="7">
        <v>3</v>
      </c>
    </row>
    <row r="242" spans="1:11">
      <c r="A242" s="21" t="s">
        <v>149</v>
      </c>
      <c r="B242" s="21" t="s">
        <v>134</v>
      </c>
      <c r="C242" s="7">
        <v>0</v>
      </c>
      <c r="D242" s="22">
        <v>166.57</v>
      </c>
      <c r="E242" s="23">
        <v>6845</v>
      </c>
      <c r="F242" s="23">
        <v>6938</v>
      </c>
      <c r="G242" s="11">
        <f t="shared" si="3"/>
        <v>98.6595560680311</v>
      </c>
      <c r="H242" s="7">
        <v>0</v>
      </c>
      <c r="I242" s="7">
        <v>0</v>
      </c>
      <c r="J242" s="7">
        <v>0</v>
      </c>
      <c r="K242" s="7">
        <v>2</v>
      </c>
    </row>
    <row r="243" spans="1:11">
      <c r="A243" s="21" t="s">
        <v>149</v>
      </c>
      <c r="B243" s="21" t="s">
        <v>157</v>
      </c>
      <c r="C243" s="7">
        <v>0</v>
      </c>
      <c r="D243" s="22">
        <v>167.13</v>
      </c>
      <c r="E243" s="23">
        <v>6642</v>
      </c>
      <c r="F243" s="23">
        <v>6683</v>
      </c>
      <c r="G243" s="11">
        <f t="shared" si="3"/>
        <v>99.3865030674847</v>
      </c>
      <c r="H243" s="7">
        <v>0</v>
      </c>
      <c r="I243" s="7">
        <v>0</v>
      </c>
      <c r="J243" s="7">
        <v>0</v>
      </c>
      <c r="K243" s="7">
        <v>4</v>
      </c>
    </row>
    <row r="244" spans="1:11">
      <c r="A244" s="21" t="s">
        <v>149</v>
      </c>
      <c r="B244" s="21" t="s">
        <v>140</v>
      </c>
      <c r="C244" s="7">
        <v>0</v>
      </c>
      <c r="D244" s="22">
        <v>97.17</v>
      </c>
      <c r="E244" s="23">
        <v>6002</v>
      </c>
      <c r="F244" s="23">
        <v>6074</v>
      </c>
      <c r="G244" s="11">
        <f t="shared" si="3"/>
        <v>98.814619690484</v>
      </c>
      <c r="H244" s="7">
        <v>0</v>
      </c>
      <c r="I244" s="7">
        <v>0</v>
      </c>
      <c r="J244" s="7">
        <v>0</v>
      </c>
      <c r="K244" s="7">
        <v>2</v>
      </c>
    </row>
    <row r="245" spans="1:11">
      <c r="A245" s="21" t="s">
        <v>149</v>
      </c>
      <c r="B245" s="21" t="s">
        <v>158</v>
      </c>
      <c r="C245" s="7">
        <v>0</v>
      </c>
      <c r="D245" s="22">
        <v>283.67</v>
      </c>
      <c r="E245" s="23">
        <v>0</v>
      </c>
      <c r="F245" s="23">
        <v>4871</v>
      </c>
      <c r="G245" s="11">
        <f t="shared" si="3"/>
        <v>0</v>
      </c>
      <c r="H245" s="7">
        <v>0</v>
      </c>
      <c r="I245" s="7">
        <v>0</v>
      </c>
      <c r="J245" s="7">
        <v>0</v>
      </c>
      <c r="K245" s="7">
        <v>0</v>
      </c>
    </row>
    <row r="246" spans="1:11">
      <c r="A246" s="21" t="s">
        <v>149</v>
      </c>
      <c r="B246" s="21" t="s">
        <v>96</v>
      </c>
      <c r="C246" s="7">
        <v>0</v>
      </c>
      <c r="D246" s="22">
        <v>100.22</v>
      </c>
      <c r="E246" s="23">
        <v>3477</v>
      </c>
      <c r="F246" s="23">
        <v>4031</v>
      </c>
      <c r="G246" s="11">
        <f t="shared" si="3"/>
        <v>86.2565120317539</v>
      </c>
      <c r="H246" s="7">
        <v>0</v>
      </c>
      <c r="I246" s="7">
        <v>0</v>
      </c>
      <c r="J246" s="7">
        <v>0</v>
      </c>
      <c r="K246" s="7">
        <v>3</v>
      </c>
    </row>
    <row r="247" spans="1:11">
      <c r="A247" s="21" t="s">
        <v>149</v>
      </c>
      <c r="B247" s="21" t="s">
        <v>159</v>
      </c>
      <c r="C247" s="7">
        <v>0</v>
      </c>
      <c r="D247" s="22">
        <v>166.01</v>
      </c>
      <c r="E247" s="23">
        <v>3563</v>
      </c>
      <c r="F247" s="23">
        <v>3829</v>
      </c>
      <c r="G247" s="11">
        <f t="shared" si="3"/>
        <v>93.0530164533821</v>
      </c>
      <c r="H247" s="7">
        <v>0</v>
      </c>
      <c r="I247" s="7">
        <v>0</v>
      </c>
      <c r="J247" s="7">
        <v>0</v>
      </c>
      <c r="K247" s="7">
        <v>3</v>
      </c>
    </row>
    <row r="248" spans="1:11">
      <c r="A248" s="21" t="s">
        <v>149</v>
      </c>
      <c r="B248" s="21" t="s">
        <v>160</v>
      </c>
      <c r="C248" s="7">
        <v>0</v>
      </c>
      <c r="D248" s="22">
        <v>89.63</v>
      </c>
      <c r="E248" s="23">
        <v>1961</v>
      </c>
      <c r="F248" s="23">
        <v>2884</v>
      </c>
      <c r="G248" s="11">
        <f t="shared" si="3"/>
        <v>67.995839112344</v>
      </c>
      <c r="H248" s="7">
        <v>0</v>
      </c>
      <c r="I248" s="7">
        <v>0</v>
      </c>
      <c r="J248" s="7">
        <v>0</v>
      </c>
      <c r="K248" s="7">
        <v>0</v>
      </c>
    </row>
    <row r="249" spans="1:11">
      <c r="A249" s="21" t="s">
        <v>149</v>
      </c>
      <c r="B249" s="21" t="s">
        <v>161</v>
      </c>
      <c r="C249" s="7">
        <v>0</v>
      </c>
      <c r="D249" s="22">
        <v>14.38</v>
      </c>
      <c r="E249" s="23">
        <v>2315</v>
      </c>
      <c r="F249" s="23">
        <v>2732</v>
      </c>
      <c r="G249" s="11">
        <f t="shared" si="3"/>
        <v>84.7364568081991</v>
      </c>
      <c r="H249" s="7">
        <v>0</v>
      </c>
      <c r="I249" s="7">
        <v>0</v>
      </c>
      <c r="J249" s="7">
        <v>0</v>
      </c>
      <c r="K249" s="7">
        <v>0</v>
      </c>
    </row>
    <row r="250" spans="1:11">
      <c r="A250" s="21" t="s">
        <v>149</v>
      </c>
      <c r="B250" s="21" t="s">
        <v>162</v>
      </c>
      <c r="C250" s="7">
        <v>0</v>
      </c>
      <c r="D250" s="22">
        <v>14.78</v>
      </c>
      <c r="E250" s="23">
        <v>654</v>
      </c>
      <c r="F250" s="23">
        <v>2553</v>
      </c>
      <c r="G250" s="11">
        <f t="shared" si="3"/>
        <v>25.6169212690952</v>
      </c>
      <c r="H250" s="7">
        <v>0</v>
      </c>
      <c r="I250" s="7">
        <v>0</v>
      </c>
      <c r="J250" s="7">
        <v>0</v>
      </c>
      <c r="K250" s="7">
        <v>0</v>
      </c>
    </row>
    <row r="251" spans="1:11">
      <c r="A251" s="21" t="s">
        <v>149</v>
      </c>
      <c r="B251" s="21" t="s">
        <v>163</v>
      </c>
      <c r="C251" s="7">
        <v>0</v>
      </c>
      <c r="D251" s="22">
        <v>105.22</v>
      </c>
      <c r="E251" s="23">
        <v>0</v>
      </c>
      <c r="F251" s="23">
        <v>2437</v>
      </c>
      <c r="G251" s="11">
        <f t="shared" si="3"/>
        <v>0</v>
      </c>
      <c r="H251" s="7">
        <v>0</v>
      </c>
      <c r="I251" s="7">
        <v>0</v>
      </c>
      <c r="J251" s="7">
        <v>0</v>
      </c>
      <c r="K251" s="7">
        <v>0</v>
      </c>
    </row>
    <row r="252" spans="1:11">
      <c r="A252" s="21" t="s">
        <v>149</v>
      </c>
      <c r="B252" s="21" t="s">
        <v>164</v>
      </c>
      <c r="C252" s="7">
        <v>0</v>
      </c>
      <c r="D252" s="22">
        <v>31.24</v>
      </c>
      <c r="E252" s="23">
        <v>243</v>
      </c>
      <c r="F252" s="23">
        <v>1514</v>
      </c>
      <c r="G252" s="11">
        <f t="shared" si="3"/>
        <v>16.0501981505945</v>
      </c>
      <c r="H252" s="7">
        <v>0</v>
      </c>
      <c r="I252" s="7">
        <v>0</v>
      </c>
      <c r="J252" s="7">
        <v>0</v>
      </c>
      <c r="K252" s="7">
        <v>0</v>
      </c>
    </row>
    <row r="253" spans="1:11">
      <c r="A253" s="21" t="s">
        <v>149</v>
      </c>
      <c r="B253" s="21" t="s">
        <v>165</v>
      </c>
      <c r="C253" s="7">
        <v>0</v>
      </c>
      <c r="D253" s="22">
        <v>2.31</v>
      </c>
      <c r="E253" s="23">
        <v>554</v>
      </c>
      <c r="F253" s="23">
        <v>1467</v>
      </c>
      <c r="G253" s="11">
        <f t="shared" si="3"/>
        <v>37.7641445126108</v>
      </c>
      <c r="H253" s="7">
        <v>0</v>
      </c>
      <c r="I253" s="7">
        <v>0</v>
      </c>
      <c r="J253" s="7">
        <v>0</v>
      </c>
      <c r="K253" s="7">
        <v>2</v>
      </c>
    </row>
    <row r="254" spans="1:11">
      <c r="A254" s="21" t="s">
        <v>149</v>
      </c>
      <c r="B254" s="21" t="s">
        <v>40</v>
      </c>
      <c r="C254" s="7">
        <v>0</v>
      </c>
      <c r="D254" s="22">
        <v>30.46</v>
      </c>
      <c r="E254" s="23">
        <v>1129</v>
      </c>
      <c r="F254" s="23">
        <v>1163</v>
      </c>
      <c r="G254" s="11">
        <f t="shared" si="3"/>
        <v>97.0765262252795</v>
      </c>
      <c r="H254" s="7">
        <v>0</v>
      </c>
      <c r="I254" s="7">
        <v>0</v>
      </c>
      <c r="J254" s="7">
        <v>0</v>
      </c>
      <c r="K254" s="7">
        <v>0</v>
      </c>
    </row>
    <row r="255" spans="1:11">
      <c r="A255" s="21" t="s">
        <v>149</v>
      </c>
      <c r="B255" s="21" t="s">
        <v>166</v>
      </c>
      <c r="C255" s="7">
        <v>0</v>
      </c>
      <c r="D255" s="22">
        <v>29.9</v>
      </c>
      <c r="E255" s="23">
        <v>315</v>
      </c>
      <c r="F255" s="23">
        <v>355</v>
      </c>
      <c r="G255" s="11">
        <f t="shared" si="3"/>
        <v>88.7323943661972</v>
      </c>
      <c r="H255" s="7">
        <v>0</v>
      </c>
      <c r="I255" s="7">
        <v>0</v>
      </c>
      <c r="J255" s="7">
        <v>0</v>
      </c>
      <c r="K255" s="7">
        <v>0</v>
      </c>
    </row>
    <row r="256" spans="1:11">
      <c r="A256" s="21" t="s">
        <v>149</v>
      </c>
      <c r="B256" s="21" t="s">
        <v>117</v>
      </c>
      <c r="C256" s="7">
        <v>0</v>
      </c>
      <c r="D256" s="22">
        <v>327.47</v>
      </c>
      <c r="E256" s="23">
        <v>0</v>
      </c>
      <c r="F256" s="23">
        <v>253</v>
      </c>
      <c r="G256" s="11">
        <f t="shared" si="3"/>
        <v>0</v>
      </c>
      <c r="H256" s="7">
        <v>0</v>
      </c>
      <c r="I256" s="7">
        <v>0</v>
      </c>
      <c r="J256" s="7">
        <v>0</v>
      </c>
      <c r="K256" s="7">
        <v>0</v>
      </c>
    </row>
    <row r="257" spans="1:11">
      <c r="A257" s="21" t="s">
        <v>149</v>
      </c>
      <c r="B257" s="21" t="s">
        <v>167</v>
      </c>
      <c r="C257" s="7">
        <v>0</v>
      </c>
      <c r="D257" s="22">
        <v>79.23</v>
      </c>
      <c r="E257" s="23">
        <v>0</v>
      </c>
      <c r="F257" s="23">
        <v>87</v>
      </c>
      <c r="G257" s="11">
        <f t="shared" si="3"/>
        <v>0</v>
      </c>
      <c r="H257" s="7">
        <v>0</v>
      </c>
      <c r="I257" s="7">
        <v>0</v>
      </c>
      <c r="J257" s="7">
        <v>0</v>
      </c>
      <c r="K257" s="7">
        <v>0</v>
      </c>
    </row>
    <row r="258" spans="1:11">
      <c r="A258" s="21" t="s">
        <v>149</v>
      </c>
      <c r="B258" s="21" t="s">
        <v>168</v>
      </c>
      <c r="C258" s="7">
        <v>0</v>
      </c>
      <c r="D258" s="22">
        <v>72.78</v>
      </c>
      <c r="E258" s="23">
        <v>0</v>
      </c>
      <c r="F258" s="23">
        <v>49</v>
      </c>
      <c r="G258" s="11">
        <f t="shared" si="3"/>
        <v>0</v>
      </c>
      <c r="H258" s="7">
        <v>0</v>
      </c>
      <c r="I258" s="7">
        <v>0</v>
      </c>
      <c r="J258" s="7">
        <v>0</v>
      </c>
      <c r="K258" s="7">
        <v>0</v>
      </c>
    </row>
    <row r="259" spans="1:11">
      <c r="A259" s="21" t="s">
        <v>149</v>
      </c>
      <c r="B259" s="21" t="s">
        <v>169</v>
      </c>
      <c r="C259" s="7">
        <v>0</v>
      </c>
      <c r="D259" s="22">
        <v>6.44</v>
      </c>
      <c r="E259" s="23">
        <v>0</v>
      </c>
      <c r="F259" s="23">
        <v>33</v>
      </c>
      <c r="G259" s="11">
        <f t="shared" si="3"/>
        <v>0</v>
      </c>
      <c r="H259" s="7">
        <v>0</v>
      </c>
      <c r="I259" s="7">
        <v>0</v>
      </c>
      <c r="J259" s="7">
        <v>0</v>
      </c>
      <c r="K259" s="7">
        <v>0</v>
      </c>
    </row>
    <row r="260" spans="1:11">
      <c r="A260" s="24" t="s">
        <v>149</v>
      </c>
      <c r="B260" s="24" t="s">
        <v>75</v>
      </c>
      <c r="C260" s="25">
        <f>SUM(C220:C259)</f>
        <v>4</v>
      </c>
      <c r="D260" s="26">
        <f>SUM(D220:D259)</f>
        <v>10071.11</v>
      </c>
      <c r="E260" s="27">
        <f>SUM(E220:E259)</f>
        <v>446123</v>
      </c>
      <c r="F260" s="27">
        <f>SUM(F220:F259)</f>
        <v>462860</v>
      </c>
      <c r="G260" s="28">
        <f>IF(F260=0,0,E260/F260*100)</f>
        <v>96.3840038024457</v>
      </c>
      <c r="H260" s="25">
        <f>SUM(H220:H259)</f>
        <v>3</v>
      </c>
      <c r="I260" s="25">
        <f>SUM(I220:I259)</f>
        <v>0</v>
      </c>
      <c r="J260" s="25">
        <f>SUM(J220:J259)</f>
        <v>3</v>
      </c>
      <c r="K260" s="25">
        <f>SUM(K220:K259)</f>
        <v>75</v>
      </c>
    </row>
    <row r="261" spans="1:11">
      <c r="A261" s="29" t="s">
        <v>170</v>
      </c>
      <c r="B261" s="29"/>
      <c r="C261" s="30">
        <f>C43+C81+C124+C155+C188+C219+C260</f>
        <v>35</v>
      </c>
      <c r="D261" s="31">
        <f>D43+D81+D124+D155+D188+D219+D260</f>
        <v>66978.03</v>
      </c>
      <c r="E261" s="32">
        <f>E43+E81+E124+E155+E188+E219+E260</f>
        <v>3058538</v>
      </c>
      <c r="F261" s="32">
        <f>F43+F81+F124+F155+F188+F219+F260</f>
        <v>3167244</v>
      </c>
      <c r="G261" s="33">
        <f>IF(F261=0,0,E261/F261*100)</f>
        <v>96.5678046907659</v>
      </c>
      <c r="H261" s="30">
        <f>H43+H81+H124+H155+H188+H219+H260</f>
        <v>25</v>
      </c>
      <c r="I261" s="30">
        <f>I43+I81+I124+I155+I188+I219+I260</f>
        <v>1</v>
      </c>
      <c r="J261" s="30">
        <f>J43+J81+J124+J155+J188+J219+J260</f>
        <v>24</v>
      </c>
      <c r="K261" s="30">
        <f>K43+K81+K124+K155+K188+K219+K260</f>
        <v>726</v>
      </c>
    </row>
  </sheetData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workbookViewId="0">
      <pane ySplit="5" topLeftCell="A6" activePane="bottomLeft" state="frozen"/>
      <selection/>
      <selection pane="bottomLeft" activeCell="A1" sqref="A1:P1"/>
    </sheetView>
  </sheetViews>
  <sheetFormatPr defaultColWidth="9" defaultRowHeight="14.5"/>
  <cols>
    <col min="1" max="11" width="13" customWidth="1"/>
    <col min="12" max="12" width="22" customWidth="1"/>
    <col min="13" max="13" width="56" customWidth="1"/>
    <col min="14" max="14" width="26" customWidth="1"/>
    <col min="15" max="15" width="13" customWidth="1"/>
    <col min="16" max="16" width="46" customWidth="1"/>
  </cols>
  <sheetData>
    <row r="1" ht="16.5" spans="1:1">
      <c r="A1" s="4" t="s">
        <v>171</v>
      </c>
    </row>
    <row r="3" spans="1:1">
      <c r="A3" s="15" t="s">
        <v>172</v>
      </c>
    </row>
    <row r="5" ht="34" customHeight="1" spans="1:16">
      <c r="A5" s="6" t="s">
        <v>26</v>
      </c>
      <c r="B5" s="6" t="s">
        <v>27</v>
      </c>
      <c r="C5" s="6" t="s">
        <v>173</v>
      </c>
      <c r="D5" s="6" t="s">
        <v>174</v>
      </c>
      <c r="E5" s="6" t="s">
        <v>175</v>
      </c>
      <c r="F5" s="6" t="s">
        <v>176</v>
      </c>
      <c r="G5" s="6" t="s">
        <v>177</v>
      </c>
      <c r="H5" s="6" t="s">
        <v>178</v>
      </c>
      <c r="I5" s="6" t="s">
        <v>179</v>
      </c>
      <c r="J5" s="6" t="s">
        <v>180</v>
      </c>
      <c r="K5" s="6" t="s">
        <v>181</v>
      </c>
      <c r="L5" s="6" t="s">
        <v>182</v>
      </c>
      <c r="M5" s="6" t="s">
        <v>183</v>
      </c>
      <c r="N5" s="6" t="s">
        <v>184</v>
      </c>
      <c r="O5" s="6" t="s">
        <v>185</v>
      </c>
      <c r="P5" s="6" t="s">
        <v>186</v>
      </c>
    </row>
    <row r="6" spans="1:16">
      <c r="A6" s="9" t="s">
        <v>35</v>
      </c>
      <c r="B6" s="9" t="s">
        <v>65</v>
      </c>
      <c r="C6" s="9" t="s">
        <v>187</v>
      </c>
      <c r="D6" s="9" t="s">
        <v>188</v>
      </c>
      <c r="E6" s="9" t="s">
        <v>189</v>
      </c>
      <c r="F6" s="9">
        <v>14</v>
      </c>
      <c r="G6" s="9">
        <v>8</v>
      </c>
      <c r="H6" s="9">
        <v>27</v>
      </c>
      <c r="I6" s="9" t="s">
        <v>190</v>
      </c>
      <c r="J6" s="16">
        <v>1169.95</v>
      </c>
      <c r="K6" s="9" t="s">
        <v>191</v>
      </c>
      <c r="L6" s="9" t="s">
        <v>192</v>
      </c>
      <c r="M6" s="17" t="s">
        <v>193</v>
      </c>
      <c r="N6" s="17" t="s">
        <v>194</v>
      </c>
      <c r="O6" s="9" t="s">
        <v>195</v>
      </c>
      <c r="P6" s="18" t="s">
        <v>196</v>
      </c>
    </row>
    <row r="7" spans="1:16">
      <c r="A7" s="9" t="s">
        <v>35</v>
      </c>
      <c r="B7" s="9" t="s">
        <v>65</v>
      </c>
      <c r="C7" s="9" t="s">
        <v>187</v>
      </c>
      <c r="D7" s="9" t="s">
        <v>197</v>
      </c>
      <c r="E7" s="9" t="s">
        <v>198</v>
      </c>
      <c r="F7" s="9">
        <v>50</v>
      </c>
      <c r="G7" s="9">
        <v>26</v>
      </c>
      <c r="H7" s="9">
        <v>130</v>
      </c>
      <c r="I7" s="9" t="s">
        <v>190</v>
      </c>
      <c r="J7" s="16">
        <v>1189.76</v>
      </c>
      <c r="K7" s="9" t="s">
        <v>191</v>
      </c>
      <c r="L7" s="9" t="s">
        <v>199</v>
      </c>
      <c r="M7" s="17" t="s">
        <v>200</v>
      </c>
      <c r="N7" s="17" t="s">
        <v>201</v>
      </c>
      <c r="O7" s="9" t="s">
        <v>195</v>
      </c>
      <c r="P7" s="18" t="s">
        <v>196</v>
      </c>
    </row>
    <row r="8" spans="1:16">
      <c r="A8" s="9" t="s">
        <v>35</v>
      </c>
      <c r="B8" s="9" t="s">
        <v>62</v>
      </c>
      <c r="C8" s="9" t="s">
        <v>187</v>
      </c>
      <c r="D8" s="9" t="s">
        <v>202</v>
      </c>
      <c r="E8" s="9" t="s">
        <v>203</v>
      </c>
      <c r="F8" s="9">
        <v>16</v>
      </c>
      <c r="G8" s="9">
        <v>5</v>
      </c>
      <c r="H8" s="9">
        <v>77</v>
      </c>
      <c r="I8" s="9" t="s">
        <v>190</v>
      </c>
      <c r="J8" s="16">
        <v>946.89</v>
      </c>
      <c r="K8" s="9" t="s">
        <v>204</v>
      </c>
      <c r="L8" s="9" t="s">
        <v>205</v>
      </c>
      <c r="M8" s="17" t="s">
        <v>206</v>
      </c>
      <c r="N8" s="17" t="s">
        <v>207</v>
      </c>
      <c r="O8" s="9" t="s">
        <v>195</v>
      </c>
      <c r="P8" s="18" t="s">
        <v>196</v>
      </c>
    </row>
    <row r="9" ht="34" customHeight="1" spans="1:16">
      <c r="A9" s="9" t="s">
        <v>35</v>
      </c>
      <c r="B9" s="9" t="s">
        <v>48</v>
      </c>
      <c r="C9" s="9" t="s">
        <v>187</v>
      </c>
      <c r="D9" s="9" t="s">
        <v>208</v>
      </c>
      <c r="E9" s="9" t="s">
        <v>209</v>
      </c>
      <c r="F9" s="9">
        <v>60</v>
      </c>
      <c r="G9" s="9">
        <v>31</v>
      </c>
      <c r="H9" s="9">
        <v>5</v>
      </c>
      <c r="I9" s="9" t="s">
        <v>210</v>
      </c>
      <c r="J9" s="16">
        <v>1091.17</v>
      </c>
      <c r="K9" s="9" t="s">
        <v>204</v>
      </c>
      <c r="L9" s="9" t="s">
        <v>211</v>
      </c>
      <c r="M9" s="17" t="s">
        <v>212</v>
      </c>
      <c r="N9" s="17" t="s">
        <v>213</v>
      </c>
      <c r="O9" s="9" t="s">
        <v>195</v>
      </c>
      <c r="P9" s="18" t="s">
        <v>214</v>
      </c>
    </row>
    <row r="10" spans="1:16">
      <c r="A10" s="9" t="s">
        <v>35</v>
      </c>
      <c r="B10" s="9" t="s">
        <v>53</v>
      </c>
      <c r="C10" s="9" t="s">
        <v>187</v>
      </c>
      <c r="D10" s="9" t="s">
        <v>215</v>
      </c>
      <c r="E10" s="9" t="s">
        <v>216</v>
      </c>
      <c r="F10" s="9">
        <v>268</v>
      </c>
      <c r="G10" s="9">
        <v>132</v>
      </c>
      <c r="H10" s="9">
        <v>92</v>
      </c>
      <c r="I10" s="9" t="s">
        <v>217</v>
      </c>
      <c r="J10" s="16">
        <v>944.08</v>
      </c>
      <c r="K10" s="9" t="s">
        <v>204</v>
      </c>
      <c r="L10" s="9" t="s">
        <v>218</v>
      </c>
      <c r="M10" s="17" t="s">
        <v>219</v>
      </c>
      <c r="N10" s="17" t="s">
        <v>207</v>
      </c>
      <c r="O10" s="9" t="s">
        <v>195</v>
      </c>
      <c r="P10" s="18" t="s">
        <v>220</v>
      </c>
    </row>
    <row r="11" ht="34" customHeight="1" spans="1:16">
      <c r="A11" s="9" t="s">
        <v>76</v>
      </c>
      <c r="B11" s="9" t="s">
        <v>59</v>
      </c>
      <c r="C11" s="9" t="s">
        <v>187</v>
      </c>
      <c r="D11" s="9" t="s">
        <v>221</v>
      </c>
      <c r="E11" s="9" t="s">
        <v>222</v>
      </c>
      <c r="F11" s="9">
        <v>30</v>
      </c>
      <c r="G11" s="9">
        <v>16</v>
      </c>
      <c r="H11" s="9">
        <v>28</v>
      </c>
      <c r="I11" s="9" t="s">
        <v>210</v>
      </c>
      <c r="J11" s="16">
        <v>857.88</v>
      </c>
      <c r="K11" s="9" t="s">
        <v>223</v>
      </c>
      <c r="L11" s="9" t="s">
        <v>224</v>
      </c>
      <c r="M11" s="17" t="s">
        <v>225</v>
      </c>
      <c r="N11" s="17" t="s">
        <v>226</v>
      </c>
      <c r="O11" s="9" t="s">
        <v>195</v>
      </c>
      <c r="P11" s="18" t="s">
        <v>214</v>
      </c>
    </row>
    <row r="12" spans="1:16">
      <c r="A12" s="7" t="s">
        <v>76</v>
      </c>
      <c r="B12" s="7" t="s">
        <v>77</v>
      </c>
      <c r="C12" s="7" t="s">
        <v>227</v>
      </c>
      <c r="D12" s="7" t="s">
        <v>228</v>
      </c>
      <c r="E12" s="7" t="s">
        <v>229</v>
      </c>
      <c r="F12" s="7">
        <v>8</v>
      </c>
      <c r="G12" s="7">
        <v>5</v>
      </c>
      <c r="H12" s="7">
        <v>71</v>
      </c>
      <c r="I12" s="7" t="s">
        <v>230</v>
      </c>
      <c r="J12" s="19">
        <v>867.24</v>
      </c>
      <c r="K12" s="7" t="s">
        <v>223</v>
      </c>
      <c r="L12" s="7" t="s">
        <v>231</v>
      </c>
      <c r="M12" s="20" t="s">
        <v>232</v>
      </c>
      <c r="N12" s="20" t="s">
        <v>233</v>
      </c>
      <c r="O12" s="7" t="s">
        <v>195</v>
      </c>
      <c r="P12" s="20" t="s">
        <v>195</v>
      </c>
    </row>
    <row r="13" spans="1:16">
      <c r="A13" s="9" t="s">
        <v>76</v>
      </c>
      <c r="B13" s="9" t="s">
        <v>89</v>
      </c>
      <c r="C13" s="9" t="s">
        <v>187</v>
      </c>
      <c r="D13" s="9" t="s">
        <v>234</v>
      </c>
      <c r="E13" s="9" t="s">
        <v>235</v>
      </c>
      <c r="F13" s="9">
        <v>10</v>
      </c>
      <c r="G13" s="9">
        <v>6</v>
      </c>
      <c r="H13" s="9">
        <v>27</v>
      </c>
      <c r="I13" s="9" t="s">
        <v>190</v>
      </c>
      <c r="J13" s="16">
        <v>797.41</v>
      </c>
      <c r="K13" s="9" t="s">
        <v>191</v>
      </c>
      <c r="L13" s="9" t="s">
        <v>236</v>
      </c>
      <c r="M13" s="17" t="s">
        <v>193</v>
      </c>
      <c r="N13" s="17" t="s">
        <v>237</v>
      </c>
      <c r="O13" s="9" t="s">
        <v>195</v>
      </c>
      <c r="P13" s="18" t="s">
        <v>196</v>
      </c>
    </row>
    <row r="14" spans="1:16">
      <c r="A14" s="9" t="s">
        <v>76</v>
      </c>
      <c r="B14" s="9" t="s">
        <v>92</v>
      </c>
      <c r="C14" s="9" t="s">
        <v>187</v>
      </c>
      <c r="D14" s="9" t="s">
        <v>238</v>
      </c>
      <c r="E14" s="9" t="s">
        <v>238</v>
      </c>
      <c r="F14" s="9">
        <v>0</v>
      </c>
      <c r="G14" s="9">
        <v>1</v>
      </c>
      <c r="H14" s="9">
        <v>128</v>
      </c>
      <c r="I14" s="9" t="s">
        <v>239</v>
      </c>
      <c r="J14" s="16">
        <v>1015.25</v>
      </c>
      <c r="K14" s="9" t="s">
        <v>204</v>
      </c>
      <c r="L14" s="9" t="s">
        <v>240</v>
      </c>
      <c r="M14" s="17" t="s">
        <v>241</v>
      </c>
      <c r="N14" s="17" t="s">
        <v>242</v>
      </c>
      <c r="O14" s="9" t="s">
        <v>195</v>
      </c>
      <c r="P14" s="17" t="s">
        <v>195</v>
      </c>
    </row>
    <row r="15" ht="25" spans="1:16">
      <c r="A15" s="9" t="s">
        <v>97</v>
      </c>
      <c r="B15" s="9" t="s">
        <v>111</v>
      </c>
      <c r="C15" s="9" t="s">
        <v>187</v>
      </c>
      <c r="D15" s="9" t="s">
        <v>243</v>
      </c>
      <c r="E15" s="9" t="s">
        <v>244</v>
      </c>
      <c r="F15" s="9">
        <v>82</v>
      </c>
      <c r="G15" s="9">
        <v>40</v>
      </c>
      <c r="H15" s="9">
        <v>62</v>
      </c>
      <c r="I15" s="9" t="s">
        <v>239</v>
      </c>
      <c r="J15" s="16">
        <v>919.01</v>
      </c>
      <c r="K15" s="9" t="s">
        <v>223</v>
      </c>
      <c r="L15" s="9" t="s">
        <v>245</v>
      </c>
      <c r="M15" s="17" t="s">
        <v>246</v>
      </c>
      <c r="N15" s="17" t="s">
        <v>207</v>
      </c>
      <c r="O15" s="9" t="s">
        <v>195</v>
      </c>
      <c r="P15" s="18" t="s">
        <v>220</v>
      </c>
    </row>
    <row r="16" spans="1:16">
      <c r="A16" s="9" t="s">
        <v>97</v>
      </c>
      <c r="B16" s="9" t="s">
        <v>111</v>
      </c>
      <c r="C16" s="9" t="s">
        <v>187</v>
      </c>
      <c r="D16" s="9" t="s">
        <v>247</v>
      </c>
      <c r="E16" s="9" t="s">
        <v>247</v>
      </c>
      <c r="F16" s="9">
        <v>0</v>
      </c>
      <c r="G16" s="9">
        <v>1</v>
      </c>
      <c r="H16" s="9">
        <v>0</v>
      </c>
      <c r="I16" s="9" t="s">
        <v>248</v>
      </c>
      <c r="J16" s="16">
        <v>918.78</v>
      </c>
      <c r="K16" s="9" t="s">
        <v>223</v>
      </c>
      <c r="L16" s="9" t="s">
        <v>249</v>
      </c>
      <c r="M16" s="17" t="s">
        <v>250</v>
      </c>
      <c r="N16" s="17" t="s">
        <v>251</v>
      </c>
      <c r="O16" s="9" t="s">
        <v>252</v>
      </c>
      <c r="P16" s="18" t="s">
        <v>253</v>
      </c>
    </row>
    <row r="17" spans="1:16">
      <c r="A17" s="9" t="s">
        <v>97</v>
      </c>
      <c r="B17" s="9" t="s">
        <v>106</v>
      </c>
      <c r="C17" s="9" t="s">
        <v>187</v>
      </c>
      <c r="D17" s="9" t="s">
        <v>254</v>
      </c>
      <c r="E17" s="9" t="s">
        <v>255</v>
      </c>
      <c r="F17" s="9">
        <v>6</v>
      </c>
      <c r="G17" s="9">
        <v>4</v>
      </c>
      <c r="H17" s="9">
        <v>10</v>
      </c>
      <c r="I17" s="9" t="s">
        <v>239</v>
      </c>
      <c r="J17" s="16">
        <v>926.95</v>
      </c>
      <c r="K17" s="9" t="s">
        <v>204</v>
      </c>
      <c r="L17" s="9" t="s">
        <v>256</v>
      </c>
      <c r="M17" s="17" t="s">
        <v>257</v>
      </c>
      <c r="N17" s="17" t="s">
        <v>207</v>
      </c>
      <c r="O17" s="9" t="s">
        <v>195</v>
      </c>
      <c r="P17" s="17" t="s">
        <v>195</v>
      </c>
    </row>
    <row r="18" spans="1:16">
      <c r="A18" s="9" t="s">
        <v>97</v>
      </c>
      <c r="B18" s="9" t="s">
        <v>106</v>
      </c>
      <c r="C18" s="9" t="s">
        <v>187</v>
      </c>
      <c r="D18" s="9" t="s">
        <v>258</v>
      </c>
      <c r="E18" s="9" t="s">
        <v>259</v>
      </c>
      <c r="F18" s="9">
        <v>2</v>
      </c>
      <c r="G18" s="9">
        <v>2</v>
      </c>
      <c r="H18" s="9">
        <v>1</v>
      </c>
      <c r="I18" s="9" t="s">
        <v>210</v>
      </c>
      <c r="J18" s="16">
        <v>926.97</v>
      </c>
      <c r="K18" s="9" t="s">
        <v>204</v>
      </c>
      <c r="L18" s="9" t="s">
        <v>256</v>
      </c>
      <c r="M18" s="17" t="s">
        <v>260</v>
      </c>
      <c r="N18" s="17" t="s">
        <v>207</v>
      </c>
      <c r="O18" s="9" t="s">
        <v>195</v>
      </c>
      <c r="P18" s="18" t="s">
        <v>261</v>
      </c>
    </row>
    <row r="19" spans="1:16">
      <c r="A19" s="9" t="s">
        <v>97</v>
      </c>
      <c r="B19" s="9" t="s">
        <v>80</v>
      </c>
      <c r="C19" s="9" t="s">
        <v>187</v>
      </c>
      <c r="D19" s="9" t="s">
        <v>262</v>
      </c>
      <c r="E19" s="9" t="s">
        <v>263</v>
      </c>
      <c r="F19" s="9">
        <v>24</v>
      </c>
      <c r="G19" s="9">
        <v>13</v>
      </c>
      <c r="H19" s="9">
        <v>10</v>
      </c>
      <c r="I19" s="9" t="s">
        <v>210</v>
      </c>
      <c r="J19" s="16">
        <v>926.97</v>
      </c>
      <c r="K19" s="9" t="s">
        <v>204</v>
      </c>
      <c r="L19" s="9" t="s">
        <v>256</v>
      </c>
      <c r="M19" s="17" t="s">
        <v>257</v>
      </c>
      <c r="N19" s="17" t="s">
        <v>264</v>
      </c>
      <c r="O19" s="9" t="s">
        <v>195</v>
      </c>
      <c r="P19" s="18" t="s">
        <v>265</v>
      </c>
    </row>
    <row r="20" spans="1:16">
      <c r="A20" s="9" t="s">
        <v>113</v>
      </c>
      <c r="B20" s="9" t="s">
        <v>82</v>
      </c>
      <c r="C20" s="9" t="s">
        <v>187</v>
      </c>
      <c r="D20" s="9" t="s">
        <v>266</v>
      </c>
      <c r="E20" s="9" t="s">
        <v>267</v>
      </c>
      <c r="F20" s="9">
        <v>46</v>
      </c>
      <c r="G20" s="9">
        <v>24</v>
      </c>
      <c r="H20" s="9">
        <v>28</v>
      </c>
      <c r="I20" s="9" t="s">
        <v>239</v>
      </c>
      <c r="J20" s="16">
        <v>911.03</v>
      </c>
      <c r="K20" s="9" t="s">
        <v>204</v>
      </c>
      <c r="L20" s="9" t="s">
        <v>268</v>
      </c>
      <c r="M20" s="17" t="s">
        <v>225</v>
      </c>
      <c r="N20" s="17" t="s">
        <v>269</v>
      </c>
      <c r="O20" s="9" t="s">
        <v>195</v>
      </c>
      <c r="P20" s="17" t="s">
        <v>195</v>
      </c>
    </row>
    <row r="21" spans="1:16">
      <c r="A21" s="9" t="s">
        <v>113</v>
      </c>
      <c r="B21" s="9" t="s">
        <v>82</v>
      </c>
      <c r="C21" s="9" t="s">
        <v>187</v>
      </c>
      <c r="D21" s="9" t="s">
        <v>270</v>
      </c>
      <c r="E21" s="9" t="s">
        <v>271</v>
      </c>
      <c r="F21" s="9">
        <v>2</v>
      </c>
      <c r="G21" s="9">
        <v>2</v>
      </c>
      <c r="H21" s="9">
        <v>0</v>
      </c>
      <c r="I21" s="9" t="s">
        <v>248</v>
      </c>
      <c r="J21" s="16">
        <v>911.07</v>
      </c>
      <c r="K21" s="9" t="s">
        <v>204</v>
      </c>
      <c r="L21" s="9" t="s">
        <v>268</v>
      </c>
      <c r="M21" s="17" t="s">
        <v>250</v>
      </c>
      <c r="N21" s="17" t="s">
        <v>251</v>
      </c>
      <c r="O21" s="9" t="s">
        <v>195</v>
      </c>
      <c r="P21" s="18" t="s">
        <v>272</v>
      </c>
    </row>
    <row r="22" spans="1:16">
      <c r="A22" s="9" t="s">
        <v>113</v>
      </c>
      <c r="B22" s="9" t="s">
        <v>82</v>
      </c>
      <c r="C22" s="9" t="s">
        <v>187</v>
      </c>
      <c r="D22" s="9" t="s">
        <v>273</v>
      </c>
      <c r="E22" s="9" t="s">
        <v>274</v>
      </c>
      <c r="F22" s="9">
        <v>2</v>
      </c>
      <c r="G22" s="9">
        <v>2</v>
      </c>
      <c r="H22" s="9">
        <v>0</v>
      </c>
      <c r="I22" s="9" t="s">
        <v>248</v>
      </c>
      <c r="J22" s="16">
        <v>911.07</v>
      </c>
      <c r="K22" s="9" t="s">
        <v>204</v>
      </c>
      <c r="L22" s="9" t="s">
        <v>268</v>
      </c>
      <c r="M22" s="17" t="s">
        <v>250</v>
      </c>
      <c r="N22" s="17" t="s">
        <v>251</v>
      </c>
      <c r="O22" s="9" t="s">
        <v>195</v>
      </c>
      <c r="P22" s="18" t="s">
        <v>272</v>
      </c>
    </row>
    <row r="23" ht="25" spans="1:16">
      <c r="A23" s="9" t="s">
        <v>113</v>
      </c>
      <c r="B23" s="9" t="s">
        <v>117</v>
      </c>
      <c r="C23" s="9" t="s">
        <v>187</v>
      </c>
      <c r="D23" s="9" t="s">
        <v>275</v>
      </c>
      <c r="E23" s="9" t="s">
        <v>276</v>
      </c>
      <c r="F23" s="9">
        <v>116</v>
      </c>
      <c r="G23" s="9">
        <v>37</v>
      </c>
      <c r="H23" s="9">
        <v>54</v>
      </c>
      <c r="I23" s="9" t="s">
        <v>217</v>
      </c>
      <c r="J23" s="16">
        <v>918.96</v>
      </c>
      <c r="K23" s="9" t="s">
        <v>223</v>
      </c>
      <c r="L23" s="9" t="s">
        <v>245</v>
      </c>
      <c r="M23" s="17" t="s">
        <v>277</v>
      </c>
      <c r="N23" s="17" t="s">
        <v>207</v>
      </c>
      <c r="O23" s="9" t="s">
        <v>195</v>
      </c>
      <c r="P23" s="17" t="s">
        <v>195</v>
      </c>
    </row>
    <row r="24" spans="1:16">
      <c r="A24" s="9" t="s">
        <v>122</v>
      </c>
      <c r="B24" s="9" t="s">
        <v>87</v>
      </c>
      <c r="C24" s="9" t="s">
        <v>187</v>
      </c>
      <c r="D24" s="9" t="s">
        <v>278</v>
      </c>
      <c r="E24" s="9" t="s">
        <v>279</v>
      </c>
      <c r="F24" s="9">
        <v>124</v>
      </c>
      <c r="G24" s="9">
        <v>62</v>
      </c>
      <c r="H24" s="9">
        <v>8</v>
      </c>
      <c r="I24" s="9" t="s">
        <v>210</v>
      </c>
      <c r="J24" s="16">
        <v>924.66</v>
      </c>
      <c r="K24" s="9" t="s">
        <v>204</v>
      </c>
      <c r="L24" s="9" t="s">
        <v>256</v>
      </c>
      <c r="M24" s="17" t="s">
        <v>280</v>
      </c>
      <c r="N24" s="17" t="s">
        <v>281</v>
      </c>
      <c r="O24" s="9" t="s">
        <v>195</v>
      </c>
      <c r="P24" s="18" t="s">
        <v>265</v>
      </c>
    </row>
    <row r="25" spans="1:16">
      <c r="A25" s="9" t="s">
        <v>139</v>
      </c>
      <c r="B25" s="9" t="s">
        <v>141</v>
      </c>
      <c r="C25" s="9" t="s">
        <v>187</v>
      </c>
      <c r="D25" s="9" t="s">
        <v>282</v>
      </c>
      <c r="E25" s="9" t="s">
        <v>282</v>
      </c>
      <c r="F25" s="9">
        <v>0</v>
      </c>
      <c r="G25" s="9">
        <v>1</v>
      </c>
      <c r="H25" s="9">
        <v>125</v>
      </c>
      <c r="I25" s="9" t="s">
        <v>239</v>
      </c>
      <c r="J25" s="16">
        <v>803.64</v>
      </c>
      <c r="K25" s="9" t="s">
        <v>204</v>
      </c>
      <c r="L25" s="9" t="s">
        <v>283</v>
      </c>
      <c r="M25" s="17" t="s">
        <v>284</v>
      </c>
      <c r="N25" s="17" t="s">
        <v>285</v>
      </c>
      <c r="O25" s="9" t="s">
        <v>195</v>
      </c>
      <c r="P25" s="17" t="s">
        <v>195</v>
      </c>
    </row>
    <row r="26" spans="1:16">
      <c r="A26" s="9" t="s">
        <v>139</v>
      </c>
      <c r="B26" s="9" t="s">
        <v>141</v>
      </c>
      <c r="C26" s="9" t="s">
        <v>187</v>
      </c>
      <c r="D26" s="9" t="s">
        <v>286</v>
      </c>
      <c r="E26" s="9" t="s">
        <v>287</v>
      </c>
      <c r="F26" s="9">
        <v>48</v>
      </c>
      <c r="G26" s="9">
        <v>12</v>
      </c>
      <c r="H26" s="9">
        <v>127</v>
      </c>
      <c r="I26" s="9" t="s">
        <v>288</v>
      </c>
      <c r="J26" s="16">
        <v>1017.92</v>
      </c>
      <c r="K26" s="9" t="s">
        <v>204</v>
      </c>
      <c r="L26" s="9" t="s">
        <v>289</v>
      </c>
      <c r="M26" s="17" t="s">
        <v>290</v>
      </c>
      <c r="N26" s="17" t="s">
        <v>291</v>
      </c>
      <c r="O26" s="9" t="s">
        <v>195</v>
      </c>
      <c r="P26" s="18" t="s">
        <v>292</v>
      </c>
    </row>
    <row r="27" spans="1:16">
      <c r="A27" s="9" t="s">
        <v>139</v>
      </c>
      <c r="B27" s="9" t="s">
        <v>141</v>
      </c>
      <c r="C27" s="9" t="s">
        <v>187</v>
      </c>
      <c r="D27" s="9" t="s">
        <v>293</v>
      </c>
      <c r="E27" s="9" t="s">
        <v>294</v>
      </c>
      <c r="F27" s="9">
        <v>36</v>
      </c>
      <c r="G27" s="9">
        <v>10</v>
      </c>
      <c r="H27" s="9">
        <v>102</v>
      </c>
      <c r="I27" s="9" t="s">
        <v>288</v>
      </c>
      <c r="J27" s="16">
        <v>1058.72</v>
      </c>
      <c r="K27" s="9" t="s">
        <v>204</v>
      </c>
      <c r="L27" s="9" t="s">
        <v>295</v>
      </c>
      <c r="M27" s="17" t="s">
        <v>296</v>
      </c>
      <c r="N27" s="17" t="s">
        <v>297</v>
      </c>
      <c r="O27" s="9" t="s">
        <v>195</v>
      </c>
      <c r="P27" s="18" t="s">
        <v>292</v>
      </c>
    </row>
    <row r="28" ht="34" customHeight="1" spans="1:16">
      <c r="A28" s="9" t="s">
        <v>149</v>
      </c>
      <c r="B28" s="9" t="s">
        <v>124</v>
      </c>
      <c r="C28" s="9" t="s">
        <v>187</v>
      </c>
      <c r="D28" s="9" t="s">
        <v>298</v>
      </c>
      <c r="E28" s="9" t="s">
        <v>299</v>
      </c>
      <c r="F28" s="9">
        <v>58</v>
      </c>
      <c r="G28" s="9">
        <v>26</v>
      </c>
      <c r="H28" s="9">
        <v>4</v>
      </c>
      <c r="I28" s="9" t="s">
        <v>210</v>
      </c>
      <c r="J28" s="16">
        <v>1091.17</v>
      </c>
      <c r="K28" s="9" t="s">
        <v>204</v>
      </c>
      <c r="L28" s="9" t="s">
        <v>211</v>
      </c>
      <c r="M28" s="17" t="s">
        <v>300</v>
      </c>
      <c r="N28" s="17" t="s">
        <v>213</v>
      </c>
      <c r="O28" s="9" t="s">
        <v>195</v>
      </c>
      <c r="P28" s="18" t="s">
        <v>214</v>
      </c>
    </row>
    <row r="29" spans="1:16">
      <c r="A29" s="9" t="s">
        <v>149</v>
      </c>
      <c r="B29" s="9" t="s">
        <v>92</v>
      </c>
      <c r="C29" s="9" t="s">
        <v>187</v>
      </c>
      <c r="D29" s="9" t="s">
        <v>301</v>
      </c>
      <c r="E29" s="9" t="s">
        <v>302</v>
      </c>
      <c r="F29" s="9">
        <v>6</v>
      </c>
      <c r="G29" s="9">
        <v>4</v>
      </c>
      <c r="H29" s="9">
        <v>9</v>
      </c>
      <c r="I29" s="9" t="s">
        <v>239</v>
      </c>
      <c r="J29" s="16">
        <v>1028.91</v>
      </c>
      <c r="K29" s="9" t="s">
        <v>204</v>
      </c>
      <c r="L29" s="9" t="s">
        <v>303</v>
      </c>
      <c r="M29" s="17" t="s">
        <v>304</v>
      </c>
      <c r="N29" s="17" t="s">
        <v>207</v>
      </c>
      <c r="O29" s="9" t="s">
        <v>195</v>
      </c>
      <c r="P29" s="17" t="s">
        <v>195</v>
      </c>
    </row>
    <row r="30" spans="1:16">
      <c r="A30" s="9" t="s">
        <v>149</v>
      </c>
      <c r="B30" s="9" t="s">
        <v>92</v>
      </c>
      <c r="C30" s="9" t="s">
        <v>187</v>
      </c>
      <c r="D30" s="9" t="s">
        <v>305</v>
      </c>
      <c r="E30" s="9" t="s">
        <v>306</v>
      </c>
      <c r="F30" s="9">
        <v>4</v>
      </c>
      <c r="G30" s="9">
        <v>3</v>
      </c>
      <c r="H30" s="9">
        <v>2</v>
      </c>
      <c r="I30" s="9" t="s">
        <v>248</v>
      </c>
      <c r="J30" s="16">
        <v>1028.93</v>
      </c>
      <c r="K30" s="9" t="s">
        <v>204</v>
      </c>
      <c r="L30" s="9" t="s">
        <v>303</v>
      </c>
      <c r="M30" s="17" t="s">
        <v>260</v>
      </c>
      <c r="N30" s="17" t="s">
        <v>207</v>
      </c>
      <c r="O30" s="9" t="s">
        <v>195</v>
      </c>
      <c r="P30" s="18" t="s">
        <v>272</v>
      </c>
    </row>
  </sheetData>
  <mergeCells count="2">
    <mergeCell ref="A1:P1"/>
    <mergeCell ref="A3:P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7"/>
  <sheetViews>
    <sheetView showGridLines="0" workbookViewId="0">
      <pane ySplit="4" topLeftCell="A5" activePane="bottomLeft" state="frozen"/>
      <selection/>
      <selection pane="bottomLeft" activeCell="A1" sqref="A1:M1"/>
    </sheetView>
  </sheetViews>
  <sheetFormatPr defaultColWidth="9" defaultRowHeight="14.5"/>
  <cols>
    <col min="1" max="1" width="8" customWidth="1"/>
    <col min="2" max="2" width="9" customWidth="1"/>
    <col min="3" max="3" width="10" customWidth="1"/>
    <col min="4" max="5" width="13" customWidth="1"/>
    <col min="6" max="7" width="12" customWidth="1"/>
    <col min="8" max="9" width="13" customWidth="1"/>
    <col min="10" max="10" width="19" customWidth="1"/>
    <col min="11" max="11" width="10" customWidth="1"/>
    <col min="12" max="12" width="15" customWidth="1"/>
    <col min="13" max="13" width="60" customWidth="1"/>
  </cols>
  <sheetData>
    <row r="1" ht="16.5" spans="1:1">
      <c r="A1" s="4" t="s">
        <v>307</v>
      </c>
    </row>
    <row r="2" spans="1:1">
      <c r="A2" s="5" t="s">
        <v>308</v>
      </c>
    </row>
    <row r="4" ht="34" customHeight="1" spans="1:13">
      <c r="A4" s="6" t="s">
        <v>26</v>
      </c>
      <c r="B4" s="6" t="s">
        <v>27</v>
      </c>
      <c r="C4" s="6" t="s">
        <v>31</v>
      </c>
      <c r="D4" s="6" t="s">
        <v>309</v>
      </c>
      <c r="E4" s="6" t="s">
        <v>310</v>
      </c>
      <c r="F4" s="6" t="s">
        <v>311</v>
      </c>
      <c r="G4" s="6" t="s">
        <v>312</v>
      </c>
      <c r="H4" s="6" t="s">
        <v>313</v>
      </c>
      <c r="I4" s="6" t="s">
        <v>314</v>
      </c>
      <c r="J4" s="6" t="s">
        <v>315</v>
      </c>
      <c r="K4" s="6" t="s">
        <v>316</v>
      </c>
      <c r="L4" s="6" t="s">
        <v>317</v>
      </c>
      <c r="M4" s="6" t="s">
        <v>318</v>
      </c>
    </row>
    <row r="5" spans="1:13">
      <c r="A5" s="7" t="s">
        <v>35</v>
      </c>
      <c r="B5" s="7" t="s">
        <v>40</v>
      </c>
      <c r="C5" s="7">
        <v>21203</v>
      </c>
      <c r="D5" s="7">
        <v>21166</v>
      </c>
      <c r="E5" s="7">
        <v>19521</v>
      </c>
      <c r="F5" s="8">
        <v>662971</v>
      </c>
      <c r="G5" s="8">
        <v>1411337</v>
      </c>
      <c r="H5" s="8">
        <v>699097</v>
      </c>
      <c r="I5" s="8">
        <v>1242984</v>
      </c>
      <c r="J5" s="11">
        <f t="shared" ref="J5:J43" si="0">(I5-H5)/1000</f>
        <v>543.887</v>
      </c>
      <c r="K5" s="7" t="s">
        <v>319</v>
      </c>
      <c r="L5" s="7">
        <v>124</v>
      </c>
      <c r="M5" s="12" t="s">
        <v>320</v>
      </c>
    </row>
    <row r="6" spans="1:13">
      <c r="A6" s="7" t="s">
        <v>35</v>
      </c>
      <c r="B6" s="7" t="s">
        <v>38</v>
      </c>
      <c r="C6" s="7">
        <v>25894</v>
      </c>
      <c r="D6" s="7">
        <v>25662</v>
      </c>
      <c r="E6" s="7">
        <v>24651</v>
      </c>
      <c r="F6" s="8">
        <v>695673</v>
      </c>
      <c r="G6" s="8">
        <v>1436296</v>
      </c>
      <c r="H6" s="8">
        <v>699083</v>
      </c>
      <c r="I6" s="8">
        <v>1242965</v>
      </c>
      <c r="J6" s="11">
        <f t="shared" si="0"/>
        <v>543.882</v>
      </c>
      <c r="K6" s="7" t="s">
        <v>319</v>
      </c>
      <c r="L6" s="7">
        <v>124</v>
      </c>
      <c r="M6" s="12" t="s">
        <v>320</v>
      </c>
    </row>
    <row r="7" spans="1:13">
      <c r="A7" s="7" t="s">
        <v>35</v>
      </c>
      <c r="B7" s="7" t="s">
        <v>36</v>
      </c>
      <c r="C7" s="7">
        <v>36260</v>
      </c>
      <c r="D7" s="7">
        <v>36015</v>
      </c>
      <c r="E7" s="7">
        <v>33853</v>
      </c>
      <c r="F7" s="8">
        <v>656299</v>
      </c>
      <c r="G7" s="8">
        <v>1437074</v>
      </c>
      <c r="H7" s="8">
        <v>699099</v>
      </c>
      <c r="I7" s="8">
        <v>1242964</v>
      </c>
      <c r="J7" s="11">
        <f t="shared" si="0"/>
        <v>543.865</v>
      </c>
      <c r="K7" s="7" t="s">
        <v>319</v>
      </c>
      <c r="L7" s="7">
        <v>124</v>
      </c>
      <c r="M7" s="12" t="s">
        <v>320</v>
      </c>
    </row>
    <row r="8" spans="1:13">
      <c r="A8" s="7" t="s">
        <v>35</v>
      </c>
      <c r="B8" s="7" t="s">
        <v>41</v>
      </c>
      <c r="C8" s="7">
        <v>17768</v>
      </c>
      <c r="D8" s="7">
        <v>17755</v>
      </c>
      <c r="E8" s="7">
        <v>17130</v>
      </c>
      <c r="F8" s="8">
        <v>695677</v>
      </c>
      <c r="G8" s="8">
        <v>1436278</v>
      </c>
      <c r="H8" s="8">
        <v>699075</v>
      </c>
      <c r="I8" s="8">
        <v>1242710</v>
      </c>
      <c r="J8" s="11">
        <f t="shared" si="0"/>
        <v>543.635</v>
      </c>
      <c r="K8" s="7" t="s">
        <v>319</v>
      </c>
      <c r="L8" s="7">
        <v>124</v>
      </c>
      <c r="M8" s="12" t="s">
        <v>320</v>
      </c>
    </row>
    <row r="9" spans="1:13">
      <c r="A9" s="7" t="s">
        <v>35</v>
      </c>
      <c r="B9" s="7" t="s">
        <v>42</v>
      </c>
      <c r="C9" s="7">
        <v>11754</v>
      </c>
      <c r="D9" s="7">
        <v>11706</v>
      </c>
      <c r="E9" s="7">
        <v>10301</v>
      </c>
      <c r="F9" s="8">
        <v>661144</v>
      </c>
      <c r="G9" s="8">
        <v>1436865</v>
      </c>
      <c r="H9" s="8">
        <v>699104</v>
      </c>
      <c r="I9" s="8">
        <v>1242725</v>
      </c>
      <c r="J9" s="11">
        <f t="shared" si="0"/>
        <v>543.621</v>
      </c>
      <c r="K9" s="7" t="s">
        <v>319</v>
      </c>
      <c r="L9" s="7">
        <v>124</v>
      </c>
      <c r="M9" s="12" t="s">
        <v>320</v>
      </c>
    </row>
    <row r="10" spans="1:13">
      <c r="A10" s="7" t="s">
        <v>35</v>
      </c>
      <c r="B10" s="7" t="s">
        <v>39</v>
      </c>
      <c r="C10" s="7">
        <v>22658</v>
      </c>
      <c r="D10" s="7">
        <v>22601</v>
      </c>
      <c r="E10" s="7">
        <v>20952</v>
      </c>
      <c r="F10" s="8">
        <v>656355</v>
      </c>
      <c r="G10" s="8">
        <v>1426506</v>
      </c>
      <c r="H10" s="8">
        <v>699074</v>
      </c>
      <c r="I10" s="8">
        <v>1240729</v>
      </c>
      <c r="J10" s="11">
        <f t="shared" si="0"/>
        <v>541.655</v>
      </c>
      <c r="K10" s="7" t="s">
        <v>319</v>
      </c>
      <c r="L10" s="7">
        <v>124</v>
      </c>
      <c r="M10" s="12" t="s">
        <v>320</v>
      </c>
    </row>
    <row r="11" spans="1:13">
      <c r="A11" s="7" t="s">
        <v>35</v>
      </c>
      <c r="B11" s="7" t="s">
        <v>37</v>
      </c>
      <c r="C11" s="7">
        <v>29242</v>
      </c>
      <c r="D11" s="7">
        <v>29232</v>
      </c>
      <c r="E11" s="7">
        <v>28991</v>
      </c>
      <c r="F11" s="8">
        <v>696243</v>
      </c>
      <c r="G11" s="8">
        <v>1240705</v>
      </c>
      <c r="H11" s="8">
        <v>699086</v>
      </c>
      <c r="I11" s="8">
        <v>1240705</v>
      </c>
      <c r="J11" s="11">
        <f t="shared" si="0"/>
        <v>541.619</v>
      </c>
      <c r="K11" s="7" t="s">
        <v>319</v>
      </c>
      <c r="L11" s="7">
        <v>124</v>
      </c>
      <c r="M11" s="12" t="s">
        <v>320</v>
      </c>
    </row>
    <row r="12" ht="64" customHeight="1" spans="1:13">
      <c r="A12" s="7" t="s">
        <v>35</v>
      </c>
      <c r="B12" s="7" t="s">
        <v>45</v>
      </c>
      <c r="C12" s="7">
        <v>22443</v>
      </c>
      <c r="D12" s="7">
        <v>22410</v>
      </c>
      <c r="E12" s="7">
        <v>20912</v>
      </c>
      <c r="F12" s="8">
        <v>656333</v>
      </c>
      <c r="G12" s="8">
        <v>1169665</v>
      </c>
      <c r="H12" s="8">
        <v>699077</v>
      </c>
      <c r="I12" s="8">
        <v>1169665</v>
      </c>
      <c r="J12" s="11">
        <f t="shared" si="0"/>
        <v>470.588</v>
      </c>
      <c r="K12" s="7" t="s">
        <v>319</v>
      </c>
      <c r="L12" s="7">
        <v>108</v>
      </c>
      <c r="M12" s="12" t="s">
        <v>321</v>
      </c>
    </row>
    <row r="13" ht="64" customHeight="1" spans="1:13">
      <c r="A13" s="7" t="s">
        <v>35</v>
      </c>
      <c r="B13" s="7" t="s">
        <v>46</v>
      </c>
      <c r="C13" s="7">
        <v>21815</v>
      </c>
      <c r="D13" s="7">
        <v>21795</v>
      </c>
      <c r="E13" s="7">
        <v>20356</v>
      </c>
      <c r="F13" s="8">
        <v>659950</v>
      </c>
      <c r="G13" s="8">
        <v>1169016</v>
      </c>
      <c r="H13" s="8">
        <v>699100</v>
      </c>
      <c r="I13" s="8">
        <v>1169016</v>
      </c>
      <c r="J13" s="11">
        <f t="shared" si="0"/>
        <v>469.916</v>
      </c>
      <c r="K13" s="7" t="s">
        <v>319</v>
      </c>
      <c r="L13" s="7">
        <v>108</v>
      </c>
      <c r="M13" s="12" t="s">
        <v>321</v>
      </c>
    </row>
    <row r="14" ht="79" customHeight="1" spans="1:13">
      <c r="A14" s="7" t="s">
        <v>35</v>
      </c>
      <c r="B14" s="7" t="s">
        <v>48</v>
      </c>
      <c r="C14" s="7">
        <v>16146</v>
      </c>
      <c r="D14" s="7">
        <v>15810</v>
      </c>
      <c r="E14" s="7">
        <v>15637</v>
      </c>
      <c r="F14" s="8">
        <v>787542</v>
      </c>
      <c r="G14" s="8">
        <v>1424809</v>
      </c>
      <c r="H14" s="8">
        <v>787542</v>
      </c>
      <c r="I14" s="8">
        <v>1240725</v>
      </c>
      <c r="J14" s="11">
        <f t="shared" si="0"/>
        <v>453.183</v>
      </c>
      <c r="K14" s="7" t="s">
        <v>319</v>
      </c>
      <c r="L14" s="7">
        <v>104</v>
      </c>
      <c r="M14" s="12" t="s">
        <v>322</v>
      </c>
    </row>
    <row r="15" ht="184" customHeight="1" spans="1:13">
      <c r="A15" s="7" t="s">
        <v>35</v>
      </c>
      <c r="B15" s="7" t="s">
        <v>52</v>
      </c>
      <c r="C15" s="7">
        <v>11779</v>
      </c>
      <c r="D15" s="7">
        <v>11743</v>
      </c>
      <c r="E15" s="7">
        <v>11604</v>
      </c>
      <c r="F15" s="8">
        <v>921256</v>
      </c>
      <c r="G15" s="8">
        <v>1416644</v>
      </c>
      <c r="H15" s="8">
        <v>921256</v>
      </c>
      <c r="I15" s="8">
        <v>1242950</v>
      </c>
      <c r="J15" s="11">
        <f t="shared" si="0"/>
        <v>321.694</v>
      </c>
      <c r="K15" s="7" t="s">
        <v>319</v>
      </c>
      <c r="L15" s="7">
        <v>78</v>
      </c>
      <c r="M15" s="12" t="s">
        <v>323</v>
      </c>
    </row>
    <row r="16" ht="184" customHeight="1" spans="1:13">
      <c r="A16" s="7" t="s">
        <v>35</v>
      </c>
      <c r="B16" s="7" t="s">
        <v>50</v>
      </c>
      <c r="C16" s="7">
        <v>12056</v>
      </c>
      <c r="D16" s="7">
        <v>12030</v>
      </c>
      <c r="E16" s="7">
        <v>11899</v>
      </c>
      <c r="F16" s="8">
        <v>921484</v>
      </c>
      <c r="G16" s="8">
        <v>1423211</v>
      </c>
      <c r="H16" s="8">
        <v>921484</v>
      </c>
      <c r="I16" s="8">
        <v>1240714</v>
      </c>
      <c r="J16" s="11">
        <f t="shared" si="0"/>
        <v>319.23</v>
      </c>
      <c r="K16" s="7" t="s">
        <v>319</v>
      </c>
      <c r="L16" s="7">
        <v>78</v>
      </c>
      <c r="M16" s="12" t="s">
        <v>323</v>
      </c>
    </row>
    <row r="17" ht="184" customHeight="1" spans="1:13">
      <c r="A17" s="7" t="s">
        <v>35</v>
      </c>
      <c r="B17" s="7" t="s">
        <v>57</v>
      </c>
      <c r="C17" s="7">
        <v>9991</v>
      </c>
      <c r="D17" s="7">
        <v>9983</v>
      </c>
      <c r="E17" s="7">
        <v>9707</v>
      </c>
      <c r="F17" s="8">
        <v>921485</v>
      </c>
      <c r="G17" s="8">
        <v>1436130</v>
      </c>
      <c r="H17" s="8">
        <v>921485</v>
      </c>
      <c r="I17" s="8">
        <v>1240714</v>
      </c>
      <c r="J17" s="11">
        <f t="shared" si="0"/>
        <v>319.229</v>
      </c>
      <c r="K17" s="7" t="s">
        <v>319</v>
      </c>
      <c r="L17" s="7">
        <v>78</v>
      </c>
      <c r="M17" s="12" t="s">
        <v>323</v>
      </c>
    </row>
    <row r="18" ht="184" customHeight="1" spans="1:13">
      <c r="A18" s="7" t="s">
        <v>35</v>
      </c>
      <c r="B18" s="7" t="s">
        <v>51</v>
      </c>
      <c r="C18" s="7">
        <v>11920</v>
      </c>
      <c r="D18" s="7">
        <v>11909</v>
      </c>
      <c r="E18" s="7">
        <v>11571</v>
      </c>
      <c r="F18" s="8">
        <v>921484</v>
      </c>
      <c r="G18" s="8">
        <v>1446914</v>
      </c>
      <c r="H18" s="8">
        <v>921484</v>
      </c>
      <c r="I18" s="8">
        <v>1240712</v>
      </c>
      <c r="J18" s="11">
        <f t="shared" si="0"/>
        <v>319.228</v>
      </c>
      <c r="K18" s="7" t="s">
        <v>319</v>
      </c>
      <c r="L18" s="7">
        <v>78</v>
      </c>
      <c r="M18" s="12" t="s">
        <v>323</v>
      </c>
    </row>
    <row r="19" ht="184" customHeight="1" spans="1:13">
      <c r="A19" s="7" t="s">
        <v>35</v>
      </c>
      <c r="B19" s="7" t="s">
        <v>49</v>
      </c>
      <c r="C19" s="7">
        <v>12431</v>
      </c>
      <c r="D19" s="7">
        <v>12419</v>
      </c>
      <c r="E19" s="7">
        <v>11327</v>
      </c>
      <c r="F19" s="8">
        <v>921754</v>
      </c>
      <c r="G19" s="8">
        <v>1473534</v>
      </c>
      <c r="H19" s="8">
        <v>921754</v>
      </c>
      <c r="I19" s="8">
        <v>1240567</v>
      </c>
      <c r="J19" s="11">
        <f t="shared" si="0"/>
        <v>318.813</v>
      </c>
      <c r="K19" s="7" t="s">
        <v>319</v>
      </c>
      <c r="L19" s="7">
        <v>78</v>
      </c>
      <c r="M19" s="12" t="s">
        <v>323</v>
      </c>
    </row>
    <row r="20" ht="184" customHeight="1" spans="1:13">
      <c r="A20" s="7" t="s">
        <v>35</v>
      </c>
      <c r="B20" s="7" t="s">
        <v>54</v>
      </c>
      <c r="C20" s="7">
        <v>10733</v>
      </c>
      <c r="D20" s="7">
        <v>10731</v>
      </c>
      <c r="E20" s="7">
        <v>9818</v>
      </c>
      <c r="F20" s="8">
        <v>928723</v>
      </c>
      <c r="G20" s="8">
        <v>1473357</v>
      </c>
      <c r="H20" s="8">
        <v>928723</v>
      </c>
      <c r="I20" s="8">
        <v>1240697</v>
      </c>
      <c r="J20" s="11">
        <f t="shared" si="0"/>
        <v>311.974</v>
      </c>
      <c r="K20" s="7" t="s">
        <v>319</v>
      </c>
      <c r="L20" s="7">
        <v>75</v>
      </c>
      <c r="M20" s="12" t="s">
        <v>324</v>
      </c>
    </row>
    <row r="21" ht="184" customHeight="1" spans="1:13">
      <c r="A21" s="7" t="s">
        <v>35</v>
      </c>
      <c r="B21" s="7" t="s">
        <v>62</v>
      </c>
      <c r="C21" s="7">
        <v>6364</v>
      </c>
      <c r="D21" s="7">
        <v>6354</v>
      </c>
      <c r="E21" s="7">
        <v>6354</v>
      </c>
      <c r="F21" s="8">
        <v>735394</v>
      </c>
      <c r="G21" s="8">
        <v>1028911</v>
      </c>
      <c r="H21" s="8">
        <v>735394</v>
      </c>
      <c r="I21" s="8">
        <v>1028911</v>
      </c>
      <c r="J21" s="11">
        <f t="shared" si="0"/>
        <v>293.517</v>
      </c>
      <c r="K21" s="7" t="s">
        <v>319</v>
      </c>
      <c r="L21" s="7">
        <v>69</v>
      </c>
      <c r="M21" s="12" t="s">
        <v>325</v>
      </c>
    </row>
    <row r="22" ht="199" customHeight="1" spans="1:13">
      <c r="A22" s="7" t="s">
        <v>35</v>
      </c>
      <c r="B22" s="7" t="s">
        <v>44</v>
      </c>
      <c r="C22" s="7">
        <v>23989</v>
      </c>
      <c r="D22" s="7">
        <v>23974</v>
      </c>
      <c r="E22" s="7">
        <v>23974</v>
      </c>
      <c r="F22" s="8">
        <v>920821</v>
      </c>
      <c r="G22" s="8">
        <v>1172908</v>
      </c>
      <c r="H22" s="8">
        <v>920821</v>
      </c>
      <c r="I22" s="8">
        <v>1172908</v>
      </c>
      <c r="J22" s="11">
        <f t="shared" si="0"/>
        <v>252.087</v>
      </c>
      <c r="K22" s="7" t="s">
        <v>319</v>
      </c>
      <c r="L22" s="7">
        <v>63</v>
      </c>
      <c r="M22" s="12" t="s">
        <v>326</v>
      </c>
    </row>
    <row r="23" ht="199" customHeight="1" spans="1:13">
      <c r="A23" s="7" t="s">
        <v>35</v>
      </c>
      <c r="B23" s="7" t="s">
        <v>43</v>
      </c>
      <c r="C23" s="7">
        <v>32786</v>
      </c>
      <c r="D23" s="7">
        <v>32018</v>
      </c>
      <c r="E23" s="7">
        <v>32018</v>
      </c>
      <c r="F23" s="8">
        <v>920759</v>
      </c>
      <c r="G23" s="8">
        <v>1172539</v>
      </c>
      <c r="H23" s="8">
        <v>920759</v>
      </c>
      <c r="I23" s="8">
        <v>1172539</v>
      </c>
      <c r="J23" s="11">
        <f t="shared" si="0"/>
        <v>251.78</v>
      </c>
      <c r="K23" s="7" t="s">
        <v>319</v>
      </c>
      <c r="L23" s="7">
        <v>62</v>
      </c>
      <c r="M23" s="12" t="s">
        <v>327</v>
      </c>
    </row>
    <row r="24" ht="184" customHeight="1" spans="1:13">
      <c r="A24" s="7" t="s">
        <v>35</v>
      </c>
      <c r="B24" s="7" t="s">
        <v>53</v>
      </c>
      <c r="C24" s="7">
        <v>10833</v>
      </c>
      <c r="D24" s="7">
        <v>10817</v>
      </c>
      <c r="E24" s="7">
        <v>9545</v>
      </c>
      <c r="F24" s="8">
        <v>657195</v>
      </c>
      <c r="G24" s="8">
        <v>944501</v>
      </c>
      <c r="H24" s="8">
        <v>699081</v>
      </c>
      <c r="I24" s="8">
        <v>944501</v>
      </c>
      <c r="J24" s="11">
        <f t="shared" si="0"/>
        <v>245.42</v>
      </c>
      <c r="K24" s="7" t="s">
        <v>319</v>
      </c>
      <c r="L24" s="7">
        <v>55</v>
      </c>
      <c r="M24" s="12" t="s">
        <v>328</v>
      </c>
    </row>
    <row r="25" ht="184" customHeight="1" spans="1:13">
      <c r="A25" s="7" t="s">
        <v>35</v>
      </c>
      <c r="B25" s="7" t="s">
        <v>63</v>
      </c>
      <c r="C25" s="7">
        <v>5654</v>
      </c>
      <c r="D25" s="7">
        <v>5649</v>
      </c>
      <c r="E25" s="7">
        <v>5521</v>
      </c>
      <c r="F25" s="8">
        <v>696239</v>
      </c>
      <c r="G25" s="8">
        <v>940678</v>
      </c>
      <c r="H25" s="8">
        <v>699090</v>
      </c>
      <c r="I25" s="8">
        <v>940678</v>
      </c>
      <c r="J25" s="11">
        <f t="shared" si="0"/>
        <v>241.588</v>
      </c>
      <c r="K25" s="7" t="s">
        <v>319</v>
      </c>
      <c r="L25" s="7">
        <v>53</v>
      </c>
      <c r="M25" s="12" t="s">
        <v>329</v>
      </c>
    </row>
    <row r="26" ht="184" customHeight="1" spans="1:13">
      <c r="A26" s="7" t="s">
        <v>35</v>
      </c>
      <c r="B26" s="7" t="s">
        <v>56</v>
      </c>
      <c r="C26" s="7">
        <v>10321</v>
      </c>
      <c r="D26" s="7">
        <v>10321</v>
      </c>
      <c r="E26" s="7">
        <v>9044</v>
      </c>
      <c r="F26" s="8">
        <v>656347</v>
      </c>
      <c r="G26" s="8">
        <v>922202</v>
      </c>
      <c r="H26" s="8">
        <v>699074</v>
      </c>
      <c r="I26" s="8">
        <v>922202</v>
      </c>
      <c r="J26" s="11">
        <f t="shared" si="0"/>
        <v>223.128</v>
      </c>
      <c r="K26" s="7" t="s">
        <v>319</v>
      </c>
      <c r="L26" s="7">
        <v>48</v>
      </c>
      <c r="M26" s="12" t="s">
        <v>330</v>
      </c>
    </row>
    <row r="27" ht="184" customHeight="1" spans="1:13">
      <c r="A27" s="7" t="s">
        <v>35</v>
      </c>
      <c r="B27" s="7" t="s">
        <v>64</v>
      </c>
      <c r="C27" s="7">
        <v>4816</v>
      </c>
      <c r="D27" s="7">
        <v>4797</v>
      </c>
      <c r="E27" s="7">
        <v>4097</v>
      </c>
      <c r="F27" s="8">
        <v>656356</v>
      </c>
      <c r="G27" s="8">
        <v>920623</v>
      </c>
      <c r="H27" s="8">
        <v>699096</v>
      </c>
      <c r="I27" s="8">
        <v>920623</v>
      </c>
      <c r="J27" s="11">
        <f t="shared" si="0"/>
        <v>221.527</v>
      </c>
      <c r="K27" s="7" t="s">
        <v>319</v>
      </c>
      <c r="L27" s="7">
        <v>47</v>
      </c>
      <c r="M27" s="12" t="s">
        <v>331</v>
      </c>
    </row>
    <row r="28" ht="184" customHeight="1" spans="1:13">
      <c r="A28" s="7" t="s">
        <v>35</v>
      </c>
      <c r="B28" s="7" t="s">
        <v>47</v>
      </c>
      <c r="C28" s="7">
        <v>16490</v>
      </c>
      <c r="D28" s="7">
        <v>16490</v>
      </c>
      <c r="E28" s="7">
        <v>15563</v>
      </c>
      <c r="F28" s="8">
        <v>661171</v>
      </c>
      <c r="G28" s="8">
        <v>920244</v>
      </c>
      <c r="H28" s="8">
        <v>699072</v>
      </c>
      <c r="I28" s="8">
        <v>920244</v>
      </c>
      <c r="J28" s="11">
        <f t="shared" si="0"/>
        <v>221.172</v>
      </c>
      <c r="K28" s="7" t="s">
        <v>319</v>
      </c>
      <c r="L28" s="7">
        <v>47</v>
      </c>
      <c r="M28" s="12" t="s">
        <v>331</v>
      </c>
    </row>
    <row r="29" ht="184" customHeight="1" spans="1:13">
      <c r="A29" s="7" t="s">
        <v>35</v>
      </c>
      <c r="B29" s="7" t="s">
        <v>60</v>
      </c>
      <c r="C29" s="7">
        <v>8252</v>
      </c>
      <c r="D29" s="7">
        <v>8237</v>
      </c>
      <c r="E29" s="7">
        <v>7464</v>
      </c>
      <c r="F29" s="8">
        <v>1061305</v>
      </c>
      <c r="G29" s="8">
        <v>1444243</v>
      </c>
      <c r="H29" s="8">
        <v>1061305</v>
      </c>
      <c r="I29" s="8">
        <v>1242971</v>
      </c>
      <c r="J29" s="11">
        <f t="shared" si="0"/>
        <v>181.666</v>
      </c>
      <c r="K29" s="7" t="s">
        <v>319</v>
      </c>
      <c r="L29" s="7">
        <v>41</v>
      </c>
      <c r="M29" s="12" t="s">
        <v>332</v>
      </c>
    </row>
    <row r="30" ht="184" customHeight="1" spans="1:13">
      <c r="A30" s="7" t="s">
        <v>35</v>
      </c>
      <c r="B30" s="7" t="s">
        <v>72</v>
      </c>
      <c r="C30" s="7">
        <v>53</v>
      </c>
      <c r="D30" s="7">
        <v>53</v>
      </c>
      <c r="E30" s="7">
        <v>53</v>
      </c>
      <c r="F30" s="8">
        <v>865955</v>
      </c>
      <c r="G30" s="8">
        <v>1026366</v>
      </c>
      <c r="H30" s="8">
        <v>865955</v>
      </c>
      <c r="I30" s="8">
        <v>1026366</v>
      </c>
      <c r="J30" s="11">
        <f t="shared" si="0"/>
        <v>160.411</v>
      </c>
      <c r="K30" s="7" t="s">
        <v>319</v>
      </c>
      <c r="L30" s="7">
        <v>42</v>
      </c>
      <c r="M30" s="12" t="s">
        <v>333</v>
      </c>
    </row>
    <row r="31" ht="184" customHeight="1" spans="1:13">
      <c r="A31" s="7" t="s">
        <v>35</v>
      </c>
      <c r="B31" s="7" t="s">
        <v>58</v>
      </c>
      <c r="C31" s="7">
        <v>8775</v>
      </c>
      <c r="D31" s="7">
        <v>8735</v>
      </c>
      <c r="E31" s="7">
        <v>8735</v>
      </c>
      <c r="F31" s="8">
        <v>920377</v>
      </c>
      <c r="G31" s="8">
        <v>1029028</v>
      </c>
      <c r="H31" s="8">
        <v>920377</v>
      </c>
      <c r="I31" s="8">
        <v>1029028</v>
      </c>
      <c r="J31" s="11">
        <f t="shared" si="0"/>
        <v>108.651</v>
      </c>
      <c r="K31" s="7" t="s">
        <v>319</v>
      </c>
      <c r="L31" s="7">
        <v>31</v>
      </c>
      <c r="M31" s="12" t="s">
        <v>334</v>
      </c>
    </row>
    <row r="32" ht="184" customHeight="1" spans="1:13">
      <c r="A32" s="7" t="s">
        <v>35</v>
      </c>
      <c r="B32" s="7" t="s">
        <v>55</v>
      </c>
      <c r="C32" s="7">
        <v>10554</v>
      </c>
      <c r="D32" s="7">
        <v>10495</v>
      </c>
      <c r="E32" s="7">
        <v>10495</v>
      </c>
      <c r="F32" s="8">
        <v>920372</v>
      </c>
      <c r="G32" s="8">
        <v>1028912</v>
      </c>
      <c r="H32" s="8">
        <v>920372</v>
      </c>
      <c r="I32" s="8">
        <v>1028912</v>
      </c>
      <c r="J32" s="11">
        <f t="shared" si="0"/>
        <v>108.54</v>
      </c>
      <c r="K32" s="7" t="s">
        <v>319</v>
      </c>
      <c r="L32" s="7">
        <v>31</v>
      </c>
      <c r="M32" s="12" t="s">
        <v>334</v>
      </c>
    </row>
    <row r="33" ht="184" customHeight="1" spans="1:13">
      <c r="A33" s="7" t="s">
        <v>35</v>
      </c>
      <c r="B33" s="7" t="s">
        <v>61</v>
      </c>
      <c r="C33" s="7">
        <v>6742</v>
      </c>
      <c r="D33" s="7">
        <v>6689</v>
      </c>
      <c r="E33" s="7">
        <v>6689</v>
      </c>
      <c r="F33" s="8">
        <v>921046</v>
      </c>
      <c r="G33" s="8">
        <v>1029022</v>
      </c>
      <c r="H33" s="8">
        <v>921046</v>
      </c>
      <c r="I33" s="8">
        <v>1029022</v>
      </c>
      <c r="J33" s="11">
        <f t="shared" si="0"/>
        <v>107.976</v>
      </c>
      <c r="K33" s="7" t="s">
        <v>319</v>
      </c>
      <c r="L33" s="7">
        <v>31</v>
      </c>
      <c r="M33" s="12" t="s">
        <v>334</v>
      </c>
    </row>
    <row r="34" ht="184" customHeight="1" spans="1:13">
      <c r="A34" s="7" t="s">
        <v>35</v>
      </c>
      <c r="B34" s="7" t="s">
        <v>73</v>
      </c>
      <c r="C34" s="7">
        <v>32</v>
      </c>
      <c r="D34" s="7">
        <v>31</v>
      </c>
      <c r="E34" s="7">
        <v>27</v>
      </c>
      <c r="F34" s="8">
        <v>1611</v>
      </c>
      <c r="G34" s="8">
        <v>1023771</v>
      </c>
      <c r="H34" s="8">
        <v>923263</v>
      </c>
      <c r="I34" s="8">
        <v>1023771</v>
      </c>
      <c r="J34" s="11">
        <f t="shared" si="0"/>
        <v>100.508</v>
      </c>
      <c r="K34" s="7" t="s">
        <v>319</v>
      </c>
      <c r="L34" s="7">
        <v>29</v>
      </c>
      <c r="M34" s="12" t="s">
        <v>335</v>
      </c>
    </row>
    <row r="35" ht="184" customHeight="1" spans="1:13">
      <c r="A35" s="7" t="s">
        <v>35</v>
      </c>
      <c r="B35" s="7" t="s">
        <v>65</v>
      </c>
      <c r="C35" s="7">
        <v>3398</v>
      </c>
      <c r="D35" s="7">
        <v>3252</v>
      </c>
      <c r="E35" s="7">
        <v>2994</v>
      </c>
      <c r="F35" s="8">
        <v>1105972</v>
      </c>
      <c r="G35" s="8">
        <v>1484452</v>
      </c>
      <c r="H35" s="8">
        <v>1105972</v>
      </c>
      <c r="I35" s="8">
        <v>1189760</v>
      </c>
      <c r="J35" s="11">
        <f t="shared" si="0"/>
        <v>83.788</v>
      </c>
      <c r="K35" s="7" t="s">
        <v>319</v>
      </c>
      <c r="L35" s="7">
        <v>20</v>
      </c>
      <c r="M35" s="12" t="s">
        <v>336</v>
      </c>
    </row>
    <row r="36" ht="184" customHeight="1" spans="1:13">
      <c r="A36" s="7" t="s">
        <v>35</v>
      </c>
      <c r="B36" s="7" t="s">
        <v>59</v>
      </c>
      <c r="C36" s="7">
        <v>8299</v>
      </c>
      <c r="D36" s="7">
        <v>8278</v>
      </c>
      <c r="E36" s="7">
        <v>4114</v>
      </c>
      <c r="F36" s="8">
        <v>1160857</v>
      </c>
      <c r="G36" s="8">
        <v>1484782</v>
      </c>
      <c r="H36" s="8">
        <v>1160857</v>
      </c>
      <c r="I36" s="8">
        <v>1242964</v>
      </c>
      <c r="J36" s="11">
        <f t="shared" si="0"/>
        <v>82.107</v>
      </c>
      <c r="K36" s="7" t="s">
        <v>319</v>
      </c>
      <c r="L36" s="7">
        <v>21</v>
      </c>
      <c r="M36" s="12" t="s">
        <v>337</v>
      </c>
    </row>
    <row r="37" ht="184" customHeight="1" spans="1:13">
      <c r="A37" s="7" t="s">
        <v>35</v>
      </c>
      <c r="B37" s="7" t="s">
        <v>67</v>
      </c>
      <c r="C37" s="7">
        <v>2689</v>
      </c>
      <c r="D37" s="7">
        <v>2689</v>
      </c>
      <c r="E37" s="7">
        <v>1727</v>
      </c>
      <c r="F37" s="8">
        <v>657181</v>
      </c>
      <c r="G37" s="8">
        <v>756290</v>
      </c>
      <c r="H37" s="8">
        <v>699072</v>
      </c>
      <c r="I37" s="8">
        <v>756290</v>
      </c>
      <c r="J37" s="11">
        <f t="shared" si="0"/>
        <v>57.218</v>
      </c>
      <c r="K37" s="7" t="s">
        <v>319</v>
      </c>
      <c r="L37" s="7">
        <v>15</v>
      </c>
      <c r="M37" s="12" t="s">
        <v>338</v>
      </c>
    </row>
    <row r="38" ht="184" customHeight="1" spans="1:13">
      <c r="A38" s="7" t="s">
        <v>35</v>
      </c>
      <c r="B38" s="7" t="s">
        <v>68</v>
      </c>
      <c r="C38" s="7">
        <v>2397</v>
      </c>
      <c r="D38" s="7">
        <v>2392</v>
      </c>
      <c r="E38" s="7">
        <v>2392</v>
      </c>
      <c r="F38" s="8">
        <v>920532</v>
      </c>
      <c r="G38" s="8">
        <v>967911</v>
      </c>
      <c r="H38" s="8">
        <v>920532</v>
      </c>
      <c r="I38" s="8">
        <v>967911</v>
      </c>
      <c r="J38" s="11">
        <f t="shared" si="0"/>
        <v>47.379</v>
      </c>
      <c r="K38" s="7" t="s">
        <v>319</v>
      </c>
      <c r="L38" s="7">
        <v>16</v>
      </c>
      <c r="M38" s="12" t="s">
        <v>339</v>
      </c>
    </row>
    <row r="39" ht="184" customHeight="1" spans="1:13">
      <c r="A39" s="7" t="s">
        <v>35</v>
      </c>
      <c r="B39" s="7" t="s">
        <v>66</v>
      </c>
      <c r="C39" s="7">
        <v>2763</v>
      </c>
      <c r="D39" s="7">
        <v>2763</v>
      </c>
      <c r="E39" s="7">
        <v>1173</v>
      </c>
      <c r="F39" s="8">
        <v>657067</v>
      </c>
      <c r="G39" s="8">
        <v>731316</v>
      </c>
      <c r="H39" s="8">
        <v>699072</v>
      </c>
      <c r="I39" s="8">
        <v>731316</v>
      </c>
      <c r="J39" s="11">
        <f t="shared" si="0"/>
        <v>32.244</v>
      </c>
      <c r="K39" s="7" t="s">
        <v>319</v>
      </c>
      <c r="L39" s="7">
        <v>8</v>
      </c>
      <c r="M39" s="12" t="s">
        <v>340</v>
      </c>
    </row>
    <row r="40" ht="184" customHeight="1" spans="1:13">
      <c r="A40" s="7" t="s">
        <v>35</v>
      </c>
      <c r="B40" s="7" t="s">
        <v>74</v>
      </c>
      <c r="C40" s="7">
        <v>22</v>
      </c>
      <c r="D40" s="7">
        <v>22</v>
      </c>
      <c r="E40" s="7">
        <v>13</v>
      </c>
      <c r="F40" s="8">
        <v>1227294</v>
      </c>
      <c r="G40" s="8">
        <v>1422649</v>
      </c>
      <c r="H40" s="8">
        <v>1227294</v>
      </c>
      <c r="I40" s="8">
        <v>1240131</v>
      </c>
      <c r="J40" s="11">
        <f t="shared" si="0"/>
        <v>12.837</v>
      </c>
      <c r="K40" s="7" t="s">
        <v>319</v>
      </c>
      <c r="L40" s="7">
        <v>4</v>
      </c>
      <c r="M40" s="12" t="s">
        <v>341</v>
      </c>
    </row>
    <row r="41" ht="184" customHeight="1" spans="1:13">
      <c r="A41" s="7" t="s">
        <v>35</v>
      </c>
      <c r="B41" s="7" t="s">
        <v>69</v>
      </c>
      <c r="C41" s="7">
        <v>789</v>
      </c>
      <c r="D41" s="7">
        <v>787</v>
      </c>
      <c r="E41" s="7">
        <v>40</v>
      </c>
      <c r="F41" s="8">
        <v>1231390</v>
      </c>
      <c r="G41" s="8">
        <v>1474419</v>
      </c>
      <c r="H41" s="8">
        <v>1231390</v>
      </c>
      <c r="I41" s="8">
        <v>1243233</v>
      </c>
      <c r="J41" s="11">
        <f t="shared" si="0"/>
        <v>11.843</v>
      </c>
      <c r="K41" s="7" t="s">
        <v>319</v>
      </c>
      <c r="L41" s="7">
        <v>3</v>
      </c>
      <c r="M41" s="12" t="s">
        <v>342</v>
      </c>
    </row>
    <row r="42" ht="184" customHeight="1" spans="1:13">
      <c r="A42" s="7" t="s">
        <v>35</v>
      </c>
      <c r="B42" s="7" t="s">
        <v>70</v>
      </c>
      <c r="C42" s="7">
        <v>664</v>
      </c>
      <c r="D42" s="7">
        <v>656</v>
      </c>
      <c r="E42" s="7">
        <v>656</v>
      </c>
      <c r="F42" s="8">
        <v>921756</v>
      </c>
      <c r="G42" s="8">
        <v>931399</v>
      </c>
      <c r="H42" s="8">
        <v>921756</v>
      </c>
      <c r="I42" s="8">
        <v>931399</v>
      </c>
      <c r="J42" s="11">
        <f t="shared" si="0"/>
        <v>9.643</v>
      </c>
      <c r="K42" s="7" t="s">
        <v>319</v>
      </c>
      <c r="L42" s="7">
        <v>5</v>
      </c>
      <c r="M42" s="12" t="s">
        <v>343</v>
      </c>
    </row>
    <row r="43" ht="184" customHeight="1" spans="1:13">
      <c r="A43" s="7" t="s">
        <v>35</v>
      </c>
      <c r="B43" s="7" t="s">
        <v>71</v>
      </c>
      <c r="C43" s="7">
        <v>75</v>
      </c>
      <c r="D43" s="7">
        <v>56</v>
      </c>
      <c r="E43" s="7">
        <v>56</v>
      </c>
      <c r="F43" s="8">
        <v>1211513</v>
      </c>
      <c r="G43" s="8">
        <v>1211570</v>
      </c>
      <c r="H43" s="8">
        <v>1211513</v>
      </c>
      <c r="I43" s="8">
        <v>1211570</v>
      </c>
      <c r="J43" s="11">
        <f t="shared" si="0"/>
        <v>0.057</v>
      </c>
      <c r="K43" s="7" t="s">
        <v>319</v>
      </c>
      <c r="L43" s="7">
        <v>1</v>
      </c>
      <c r="M43" s="12" t="s">
        <v>344</v>
      </c>
    </row>
    <row r="44" ht="184" customHeight="1" spans="1:13">
      <c r="A44" s="9" t="s">
        <v>35</v>
      </c>
      <c r="B44" s="9" t="s">
        <v>169</v>
      </c>
      <c r="C44" s="9">
        <v>595</v>
      </c>
      <c r="D44" s="9">
        <v>595</v>
      </c>
      <c r="E44" s="9">
        <v>0</v>
      </c>
      <c r="F44" s="10">
        <v>1401566</v>
      </c>
      <c r="G44" s="10">
        <v>1435360</v>
      </c>
      <c r="H44" s="10" t="s">
        <v>195</v>
      </c>
      <c r="I44" s="10" t="s">
        <v>195</v>
      </c>
      <c r="J44" s="13">
        <v>0</v>
      </c>
      <c r="K44" s="9" t="s">
        <v>345</v>
      </c>
      <c r="L44" s="9">
        <v>0</v>
      </c>
      <c r="M44" s="14" t="s">
        <v>346</v>
      </c>
    </row>
    <row r="45" ht="184" customHeight="1" spans="1:13">
      <c r="A45" s="9" t="s">
        <v>35</v>
      </c>
      <c r="B45" s="9" t="s">
        <v>347</v>
      </c>
      <c r="C45" s="9">
        <v>844</v>
      </c>
      <c r="D45" s="9">
        <v>842</v>
      </c>
      <c r="E45" s="9">
        <v>0</v>
      </c>
      <c r="F45" s="10">
        <v>1401680</v>
      </c>
      <c r="G45" s="10">
        <v>1438423</v>
      </c>
      <c r="H45" s="10" t="s">
        <v>195</v>
      </c>
      <c r="I45" s="10" t="s">
        <v>195</v>
      </c>
      <c r="J45" s="13">
        <v>0</v>
      </c>
      <c r="K45" s="9" t="s">
        <v>345</v>
      </c>
      <c r="L45" s="9">
        <v>0</v>
      </c>
      <c r="M45" s="14" t="s">
        <v>346</v>
      </c>
    </row>
    <row r="46" ht="184" customHeight="1" spans="1:13">
      <c r="A46" s="9" t="s">
        <v>35</v>
      </c>
      <c r="B46" s="9" t="s">
        <v>348</v>
      </c>
      <c r="C46" s="9">
        <v>290</v>
      </c>
      <c r="D46" s="9">
        <v>290</v>
      </c>
      <c r="E46" s="9">
        <v>0</v>
      </c>
      <c r="F46" s="10">
        <v>1401409</v>
      </c>
      <c r="G46" s="10">
        <v>1422939</v>
      </c>
      <c r="H46" s="10" t="s">
        <v>195</v>
      </c>
      <c r="I46" s="10" t="s">
        <v>195</v>
      </c>
      <c r="J46" s="13">
        <v>0</v>
      </c>
      <c r="K46" s="9" t="s">
        <v>345</v>
      </c>
      <c r="L46" s="9">
        <v>0</v>
      </c>
      <c r="M46" s="14" t="s">
        <v>346</v>
      </c>
    </row>
    <row r="47" ht="184" customHeight="1" spans="1:13">
      <c r="A47" s="9" t="s">
        <v>35</v>
      </c>
      <c r="B47" s="9" t="s">
        <v>349</v>
      </c>
      <c r="C47" s="9">
        <v>542</v>
      </c>
      <c r="D47" s="9">
        <v>541</v>
      </c>
      <c r="E47" s="9">
        <v>0</v>
      </c>
      <c r="F47" s="10">
        <v>1401375</v>
      </c>
      <c r="G47" s="10">
        <v>1436390</v>
      </c>
      <c r="H47" s="10" t="s">
        <v>195</v>
      </c>
      <c r="I47" s="10" t="s">
        <v>195</v>
      </c>
      <c r="J47" s="13">
        <v>0</v>
      </c>
      <c r="K47" s="9" t="s">
        <v>345</v>
      </c>
      <c r="L47" s="9">
        <v>0</v>
      </c>
      <c r="M47" s="14" t="s">
        <v>346</v>
      </c>
    </row>
    <row r="48" ht="184" customHeight="1" spans="1:13">
      <c r="A48" s="9" t="s">
        <v>35</v>
      </c>
      <c r="B48" s="9" t="s">
        <v>108</v>
      </c>
      <c r="C48" s="9">
        <v>1127</v>
      </c>
      <c r="D48" s="9">
        <v>1126</v>
      </c>
      <c r="E48" s="9">
        <v>0</v>
      </c>
      <c r="F48" s="10">
        <v>1401357</v>
      </c>
      <c r="G48" s="10">
        <v>1444143</v>
      </c>
      <c r="H48" s="10" t="s">
        <v>195</v>
      </c>
      <c r="I48" s="10" t="s">
        <v>195</v>
      </c>
      <c r="J48" s="13">
        <v>0</v>
      </c>
      <c r="K48" s="9" t="s">
        <v>345</v>
      </c>
      <c r="L48" s="9">
        <v>0</v>
      </c>
      <c r="M48" s="14" t="s">
        <v>346</v>
      </c>
    </row>
    <row r="49" ht="184" customHeight="1" spans="1:13">
      <c r="A49" s="9" t="s">
        <v>35</v>
      </c>
      <c r="B49" s="9" t="s">
        <v>350</v>
      </c>
      <c r="C49" s="9">
        <v>737</v>
      </c>
      <c r="D49" s="9">
        <v>737</v>
      </c>
      <c r="E49" s="9">
        <v>0</v>
      </c>
      <c r="F49" s="10">
        <v>1401325</v>
      </c>
      <c r="G49" s="10">
        <v>1436374</v>
      </c>
      <c r="H49" s="10" t="s">
        <v>195</v>
      </c>
      <c r="I49" s="10" t="s">
        <v>195</v>
      </c>
      <c r="J49" s="13">
        <v>0</v>
      </c>
      <c r="K49" s="9" t="s">
        <v>345</v>
      </c>
      <c r="L49" s="9">
        <v>0</v>
      </c>
      <c r="M49" s="14" t="s">
        <v>346</v>
      </c>
    </row>
    <row r="50" ht="184" customHeight="1" spans="1:13">
      <c r="A50" s="9" t="s">
        <v>35</v>
      </c>
      <c r="B50" s="9" t="s">
        <v>351</v>
      </c>
      <c r="C50" s="9">
        <v>293</v>
      </c>
      <c r="D50" s="9">
        <v>293</v>
      </c>
      <c r="E50" s="9">
        <v>0</v>
      </c>
      <c r="F50" s="10">
        <v>1297236</v>
      </c>
      <c r="G50" s="10">
        <v>1347019</v>
      </c>
      <c r="H50" s="10" t="s">
        <v>195</v>
      </c>
      <c r="I50" s="10" t="s">
        <v>195</v>
      </c>
      <c r="J50" s="13">
        <v>0</v>
      </c>
      <c r="K50" s="9" t="s">
        <v>345</v>
      </c>
      <c r="L50" s="9">
        <v>0</v>
      </c>
      <c r="M50" s="14" t="s">
        <v>346</v>
      </c>
    </row>
    <row r="51" ht="184" customHeight="1" spans="1:13">
      <c r="A51" s="9" t="s">
        <v>35</v>
      </c>
      <c r="B51" s="9" t="s">
        <v>352</v>
      </c>
      <c r="C51" s="9">
        <v>275</v>
      </c>
      <c r="D51" s="9">
        <v>275</v>
      </c>
      <c r="E51" s="9">
        <v>0</v>
      </c>
      <c r="F51" s="10">
        <v>1401737</v>
      </c>
      <c r="G51" s="10">
        <v>1435607</v>
      </c>
      <c r="H51" s="10" t="s">
        <v>195</v>
      </c>
      <c r="I51" s="10" t="s">
        <v>195</v>
      </c>
      <c r="J51" s="13">
        <v>0</v>
      </c>
      <c r="K51" s="9" t="s">
        <v>345</v>
      </c>
      <c r="L51" s="9">
        <v>0</v>
      </c>
      <c r="M51" s="14" t="s">
        <v>346</v>
      </c>
    </row>
    <row r="52" ht="184" customHeight="1" spans="1:13">
      <c r="A52" s="9" t="s">
        <v>35</v>
      </c>
      <c r="B52" s="9" t="s">
        <v>353</v>
      </c>
      <c r="C52" s="9">
        <v>828</v>
      </c>
      <c r="D52" s="9">
        <v>828</v>
      </c>
      <c r="E52" s="9">
        <v>0</v>
      </c>
      <c r="F52" s="10">
        <v>657571</v>
      </c>
      <c r="G52" s="10">
        <v>695495</v>
      </c>
      <c r="H52" s="10" t="s">
        <v>195</v>
      </c>
      <c r="I52" s="10" t="s">
        <v>195</v>
      </c>
      <c r="J52" s="13">
        <v>0</v>
      </c>
      <c r="K52" s="9" t="s">
        <v>345</v>
      </c>
      <c r="L52" s="9">
        <v>0</v>
      </c>
      <c r="M52" s="14" t="s">
        <v>346</v>
      </c>
    </row>
    <row r="53" ht="184" customHeight="1" spans="1:13">
      <c r="A53" s="9" t="s">
        <v>35</v>
      </c>
      <c r="B53" s="9" t="s">
        <v>354</v>
      </c>
      <c r="C53" s="9">
        <v>345</v>
      </c>
      <c r="D53" s="9">
        <v>345</v>
      </c>
      <c r="E53" s="9">
        <v>0</v>
      </c>
      <c r="F53" s="10">
        <v>1401763</v>
      </c>
      <c r="G53" s="10">
        <v>1447996</v>
      </c>
      <c r="H53" s="10" t="s">
        <v>195</v>
      </c>
      <c r="I53" s="10" t="s">
        <v>195</v>
      </c>
      <c r="J53" s="13">
        <v>0</v>
      </c>
      <c r="K53" s="9" t="s">
        <v>345</v>
      </c>
      <c r="L53" s="9">
        <v>0</v>
      </c>
      <c r="M53" s="14" t="s">
        <v>346</v>
      </c>
    </row>
    <row r="54" ht="184" customHeight="1" spans="1:13">
      <c r="A54" s="9" t="s">
        <v>35</v>
      </c>
      <c r="B54" s="9" t="s">
        <v>355</v>
      </c>
      <c r="C54" s="9">
        <v>7</v>
      </c>
      <c r="D54" s="9">
        <v>7</v>
      </c>
      <c r="E54" s="9">
        <v>0</v>
      </c>
      <c r="F54" s="10">
        <v>1281518</v>
      </c>
      <c r="G54" s="10">
        <v>1286208</v>
      </c>
      <c r="H54" s="10" t="s">
        <v>195</v>
      </c>
      <c r="I54" s="10" t="s">
        <v>195</v>
      </c>
      <c r="J54" s="13">
        <v>0</v>
      </c>
      <c r="K54" s="9" t="s">
        <v>345</v>
      </c>
      <c r="L54" s="9">
        <v>0</v>
      </c>
      <c r="M54" s="14" t="s">
        <v>346</v>
      </c>
    </row>
    <row r="55" ht="184" customHeight="1" spans="1:13">
      <c r="A55" s="9" t="s">
        <v>35</v>
      </c>
      <c r="B55" s="9" t="s">
        <v>356</v>
      </c>
      <c r="C55" s="9">
        <v>530</v>
      </c>
      <c r="D55" s="9">
        <v>529</v>
      </c>
      <c r="E55" s="9">
        <v>0</v>
      </c>
      <c r="F55" s="10">
        <v>1401349</v>
      </c>
      <c r="G55" s="10">
        <v>1436355</v>
      </c>
      <c r="H55" s="10" t="s">
        <v>195</v>
      </c>
      <c r="I55" s="10" t="s">
        <v>195</v>
      </c>
      <c r="J55" s="13">
        <v>0</v>
      </c>
      <c r="K55" s="9" t="s">
        <v>345</v>
      </c>
      <c r="L55" s="9">
        <v>0</v>
      </c>
      <c r="M55" s="14" t="s">
        <v>346</v>
      </c>
    </row>
    <row r="56" ht="184" customHeight="1" spans="1:13">
      <c r="A56" s="9" t="s">
        <v>35</v>
      </c>
      <c r="B56" s="9" t="s">
        <v>357</v>
      </c>
      <c r="C56" s="9">
        <v>26</v>
      </c>
      <c r="D56" s="9">
        <v>0</v>
      </c>
      <c r="E56" s="9">
        <v>0</v>
      </c>
      <c r="F56" s="10" t="s">
        <v>195</v>
      </c>
      <c r="G56" s="10" t="s">
        <v>195</v>
      </c>
      <c r="H56" s="10" t="s">
        <v>195</v>
      </c>
      <c r="I56" s="10" t="s">
        <v>195</v>
      </c>
      <c r="J56" s="13">
        <v>0</v>
      </c>
      <c r="K56" s="9" t="s">
        <v>345</v>
      </c>
      <c r="L56" s="9">
        <v>0</v>
      </c>
      <c r="M56" s="14" t="s">
        <v>346</v>
      </c>
    </row>
    <row r="57" ht="184" customHeight="1" spans="1:13">
      <c r="A57" s="9" t="s">
        <v>35</v>
      </c>
      <c r="B57" s="9" t="s">
        <v>358</v>
      </c>
      <c r="C57" s="9">
        <v>289</v>
      </c>
      <c r="D57" s="9">
        <v>286</v>
      </c>
      <c r="E57" s="9">
        <v>0</v>
      </c>
      <c r="F57" s="10">
        <v>1401689</v>
      </c>
      <c r="G57" s="10">
        <v>1426151</v>
      </c>
      <c r="H57" s="10" t="s">
        <v>195</v>
      </c>
      <c r="I57" s="10" t="s">
        <v>195</v>
      </c>
      <c r="J57" s="13">
        <v>0</v>
      </c>
      <c r="K57" s="9" t="s">
        <v>345</v>
      </c>
      <c r="L57" s="9">
        <v>0</v>
      </c>
      <c r="M57" s="14" t="s">
        <v>346</v>
      </c>
    </row>
    <row r="58" ht="184" customHeight="1" spans="1:13">
      <c r="A58" s="9" t="s">
        <v>35</v>
      </c>
      <c r="B58" s="9" t="s">
        <v>359</v>
      </c>
      <c r="C58" s="9">
        <v>574</v>
      </c>
      <c r="D58" s="9">
        <v>572</v>
      </c>
      <c r="E58" s="9">
        <v>0</v>
      </c>
      <c r="F58" s="10">
        <v>1401713</v>
      </c>
      <c r="G58" s="10">
        <v>1440626</v>
      </c>
      <c r="H58" s="10" t="s">
        <v>195</v>
      </c>
      <c r="I58" s="10" t="s">
        <v>195</v>
      </c>
      <c r="J58" s="13">
        <v>0</v>
      </c>
      <c r="K58" s="9" t="s">
        <v>345</v>
      </c>
      <c r="L58" s="9">
        <v>0</v>
      </c>
      <c r="M58" s="14" t="s">
        <v>346</v>
      </c>
    </row>
    <row r="59" ht="184" customHeight="1" spans="1:13">
      <c r="A59" s="9" t="s">
        <v>35</v>
      </c>
      <c r="B59" s="9" t="s">
        <v>360</v>
      </c>
      <c r="C59" s="9">
        <v>1658</v>
      </c>
      <c r="D59" s="9">
        <v>1658</v>
      </c>
      <c r="E59" s="9">
        <v>0</v>
      </c>
      <c r="F59" s="10">
        <v>1401358</v>
      </c>
      <c r="G59" s="10">
        <v>1483757</v>
      </c>
      <c r="H59" s="10" t="s">
        <v>195</v>
      </c>
      <c r="I59" s="10" t="s">
        <v>195</v>
      </c>
      <c r="J59" s="13">
        <v>0</v>
      </c>
      <c r="K59" s="9" t="s">
        <v>345</v>
      </c>
      <c r="L59" s="9">
        <v>0</v>
      </c>
      <c r="M59" s="14" t="s">
        <v>346</v>
      </c>
    </row>
    <row r="60" ht="184" customHeight="1" spans="1:13">
      <c r="A60" s="9" t="s">
        <v>35</v>
      </c>
      <c r="B60" s="9" t="s">
        <v>361</v>
      </c>
      <c r="C60" s="9">
        <v>272</v>
      </c>
      <c r="D60" s="9">
        <v>271</v>
      </c>
      <c r="E60" s="9">
        <v>0</v>
      </c>
      <c r="F60" s="10">
        <v>1401680</v>
      </c>
      <c r="G60" s="10">
        <v>1436601</v>
      </c>
      <c r="H60" s="10" t="s">
        <v>195</v>
      </c>
      <c r="I60" s="10" t="s">
        <v>195</v>
      </c>
      <c r="J60" s="13">
        <v>0</v>
      </c>
      <c r="K60" s="9" t="s">
        <v>345</v>
      </c>
      <c r="L60" s="9">
        <v>0</v>
      </c>
      <c r="M60" s="14" t="s">
        <v>346</v>
      </c>
    </row>
    <row r="61" ht="184" customHeight="1" spans="1:13">
      <c r="A61" s="9" t="s">
        <v>35</v>
      </c>
      <c r="B61" s="9" t="s">
        <v>362</v>
      </c>
      <c r="C61" s="9">
        <v>808</v>
      </c>
      <c r="D61" s="9">
        <v>808</v>
      </c>
      <c r="E61" s="9">
        <v>0</v>
      </c>
      <c r="F61" s="10">
        <v>657003</v>
      </c>
      <c r="G61" s="10">
        <v>695573</v>
      </c>
      <c r="H61" s="10" t="s">
        <v>195</v>
      </c>
      <c r="I61" s="10" t="s">
        <v>195</v>
      </c>
      <c r="J61" s="13">
        <v>0</v>
      </c>
      <c r="K61" s="9" t="s">
        <v>345</v>
      </c>
      <c r="L61" s="9">
        <v>0</v>
      </c>
      <c r="M61" s="14" t="s">
        <v>346</v>
      </c>
    </row>
    <row r="62" ht="184" customHeight="1" spans="1:13">
      <c r="A62" s="9" t="s">
        <v>35</v>
      </c>
      <c r="B62" s="9" t="s">
        <v>363</v>
      </c>
      <c r="C62" s="9">
        <v>1092</v>
      </c>
      <c r="D62" s="9">
        <v>1089</v>
      </c>
      <c r="E62" s="9">
        <v>0</v>
      </c>
      <c r="F62" s="10">
        <v>1275157</v>
      </c>
      <c r="G62" s="10">
        <v>1448942</v>
      </c>
      <c r="H62" s="10" t="s">
        <v>195</v>
      </c>
      <c r="I62" s="10" t="s">
        <v>195</v>
      </c>
      <c r="J62" s="13">
        <v>0</v>
      </c>
      <c r="K62" s="9" t="s">
        <v>345</v>
      </c>
      <c r="L62" s="9">
        <v>0</v>
      </c>
      <c r="M62" s="14" t="s">
        <v>346</v>
      </c>
    </row>
    <row r="63" ht="184" customHeight="1" spans="1:13">
      <c r="A63" s="9" t="s">
        <v>35</v>
      </c>
      <c r="B63" s="9" t="s">
        <v>364</v>
      </c>
      <c r="C63" s="9">
        <v>1449</v>
      </c>
      <c r="D63" s="9">
        <v>1447</v>
      </c>
      <c r="E63" s="9">
        <v>0</v>
      </c>
      <c r="F63" s="10">
        <v>1401735</v>
      </c>
      <c r="G63" s="10">
        <v>1476354</v>
      </c>
      <c r="H63" s="10" t="s">
        <v>195</v>
      </c>
      <c r="I63" s="10" t="s">
        <v>195</v>
      </c>
      <c r="J63" s="13">
        <v>0</v>
      </c>
      <c r="K63" s="9" t="s">
        <v>345</v>
      </c>
      <c r="L63" s="9">
        <v>0</v>
      </c>
      <c r="M63" s="14" t="s">
        <v>346</v>
      </c>
    </row>
    <row r="64" ht="184" customHeight="1" spans="1:13">
      <c r="A64" s="9" t="s">
        <v>35</v>
      </c>
      <c r="B64" s="9" t="s">
        <v>365</v>
      </c>
      <c r="C64" s="9">
        <v>5866</v>
      </c>
      <c r="D64" s="9">
        <v>5772</v>
      </c>
      <c r="E64" s="9">
        <v>0</v>
      </c>
      <c r="F64" s="10">
        <v>143307</v>
      </c>
      <c r="G64" s="10">
        <v>155184</v>
      </c>
      <c r="H64" s="10" t="s">
        <v>195</v>
      </c>
      <c r="I64" s="10" t="s">
        <v>195</v>
      </c>
      <c r="J64" s="13">
        <v>0</v>
      </c>
      <c r="K64" s="9" t="s">
        <v>345</v>
      </c>
      <c r="L64" s="9">
        <v>0</v>
      </c>
      <c r="M64" s="14" t="s">
        <v>346</v>
      </c>
    </row>
    <row r="65" spans="1:13">
      <c r="A65" s="7" t="s">
        <v>76</v>
      </c>
      <c r="B65" s="7" t="s">
        <v>77</v>
      </c>
      <c r="C65" s="7">
        <v>36053</v>
      </c>
      <c r="D65" s="7">
        <v>35975</v>
      </c>
      <c r="E65" s="7">
        <v>33868</v>
      </c>
      <c r="F65" s="8">
        <v>695668</v>
      </c>
      <c r="G65" s="8">
        <v>1476790</v>
      </c>
      <c r="H65" s="8">
        <v>699076</v>
      </c>
      <c r="I65" s="8">
        <v>1242984</v>
      </c>
      <c r="J65" s="11">
        <f t="shared" ref="J65:J101" si="1">(I65-H65)/1000</f>
        <v>543.908</v>
      </c>
      <c r="K65" s="7" t="s">
        <v>319</v>
      </c>
      <c r="L65" s="7">
        <v>124</v>
      </c>
      <c r="M65" s="12" t="s">
        <v>320</v>
      </c>
    </row>
    <row r="66" spans="1:13">
      <c r="A66" s="7" t="s">
        <v>76</v>
      </c>
      <c r="B66" s="7" t="s">
        <v>79</v>
      </c>
      <c r="C66" s="7">
        <v>19360</v>
      </c>
      <c r="D66" s="7">
        <v>19321</v>
      </c>
      <c r="E66" s="7">
        <v>17158</v>
      </c>
      <c r="F66" s="8">
        <v>661915</v>
      </c>
      <c r="G66" s="8">
        <v>1469224</v>
      </c>
      <c r="H66" s="8">
        <v>699347</v>
      </c>
      <c r="I66" s="8">
        <v>1242712</v>
      </c>
      <c r="J66" s="11">
        <f t="shared" si="1"/>
        <v>543.365</v>
      </c>
      <c r="K66" s="7" t="s">
        <v>319</v>
      </c>
      <c r="L66" s="7">
        <v>124</v>
      </c>
      <c r="M66" s="12" t="s">
        <v>320</v>
      </c>
    </row>
    <row r="67" spans="1:13">
      <c r="A67" s="7" t="s">
        <v>76</v>
      </c>
      <c r="B67" s="7" t="s">
        <v>78</v>
      </c>
      <c r="C67" s="7">
        <v>22946</v>
      </c>
      <c r="D67" s="7">
        <v>22917</v>
      </c>
      <c r="E67" s="7">
        <v>18979</v>
      </c>
      <c r="F67" s="8">
        <v>657138</v>
      </c>
      <c r="G67" s="8">
        <v>1498928</v>
      </c>
      <c r="H67" s="8">
        <v>699092</v>
      </c>
      <c r="I67" s="8">
        <v>1240604</v>
      </c>
      <c r="J67" s="11">
        <f t="shared" si="1"/>
        <v>541.512</v>
      </c>
      <c r="K67" s="7" t="s">
        <v>319</v>
      </c>
      <c r="L67" s="7">
        <v>124</v>
      </c>
      <c r="M67" s="12" t="s">
        <v>320</v>
      </c>
    </row>
    <row r="68" ht="64" customHeight="1" spans="1:13">
      <c r="A68" s="7" t="s">
        <v>76</v>
      </c>
      <c r="B68" s="7" t="s">
        <v>66</v>
      </c>
      <c r="C68" s="7">
        <v>20999</v>
      </c>
      <c r="D68" s="7">
        <v>20946</v>
      </c>
      <c r="E68" s="7">
        <v>20946</v>
      </c>
      <c r="F68" s="8">
        <v>731233</v>
      </c>
      <c r="G68" s="8">
        <v>1211618</v>
      </c>
      <c r="H68" s="8">
        <v>731233</v>
      </c>
      <c r="I68" s="8">
        <v>1211618</v>
      </c>
      <c r="J68" s="11">
        <f t="shared" si="1"/>
        <v>480.385</v>
      </c>
      <c r="K68" s="7" t="s">
        <v>319</v>
      </c>
      <c r="L68" s="7">
        <v>111</v>
      </c>
      <c r="M68" s="12" t="s">
        <v>366</v>
      </c>
    </row>
    <row r="69" ht="79" customHeight="1" spans="1:13">
      <c r="A69" s="7" t="s">
        <v>76</v>
      </c>
      <c r="B69" s="7" t="s">
        <v>59</v>
      </c>
      <c r="C69" s="7">
        <v>25557</v>
      </c>
      <c r="D69" s="7">
        <v>25453</v>
      </c>
      <c r="E69" s="7">
        <v>23913</v>
      </c>
      <c r="F69" s="8">
        <v>657153</v>
      </c>
      <c r="G69" s="8">
        <v>1160672</v>
      </c>
      <c r="H69" s="8">
        <v>699081</v>
      </c>
      <c r="I69" s="8">
        <v>1160672</v>
      </c>
      <c r="J69" s="11">
        <f t="shared" si="1"/>
        <v>461.591</v>
      </c>
      <c r="K69" s="7" t="s">
        <v>319</v>
      </c>
      <c r="L69" s="7">
        <v>104</v>
      </c>
      <c r="M69" s="12" t="s">
        <v>367</v>
      </c>
    </row>
    <row r="70" ht="139" customHeight="1" spans="1:13">
      <c r="A70" s="7" t="s">
        <v>76</v>
      </c>
      <c r="B70" s="7" t="s">
        <v>60</v>
      </c>
      <c r="C70" s="7">
        <v>13970</v>
      </c>
      <c r="D70" s="7">
        <v>13970</v>
      </c>
      <c r="E70" s="7">
        <v>12830</v>
      </c>
      <c r="F70" s="8">
        <v>657158</v>
      </c>
      <c r="G70" s="8">
        <v>1061363</v>
      </c>
      <c r="H70" s="8">
        <v>699079</v>
      </c>
      <c r="I70" s="8">
        <v>1061363</v>
      </c>
      <c r="J70" s="11">
        <f t="shared" si="1"/>
        <v>362.284</v>
      </c>
      <c r="K70" s="7" t="s">
        <v>319</v>
      </c>
      <c r="L70" s="7">
        <v>85</v>
      </c>
      <c r="M70" s="12" t="s">
        <v>368</v>
      </c>
    </row>
    <row r="71" ht="169" customHeight="1" spans="1:13">
      <c r="A71" s="7" t="s">
        <v>76</v>
      </c>
      <c r="B71" s="7" t="s">
        <v>82</v>
      </c>
      <c r="C71" s="7">
        <v>15235</v>
      </c>
      <c r="D71" s="7">
        <v>15193</v>
      </c>
      <c r="E71" s="7">
        <v>14104</v>
      </c>
      <c r="F71" s="8">
        <v>906468</v>
      </c>
      <c r="G71" s="8">
        <v>1455547</v>
      </c>
      <c r="H71" s="8">
        <v>906468</v>
      </c>
      <c r="I71" s="8">
        <v>1242970</v>
      </c>
      <c r="J71" s="11">
        <f t="shared" si="1"/>
        <v>336.502</v>
      </c>
      <c r="K71" s="7" t="s">
        <v>319</v>
      </c>
      <c r="L71" s="7">
        <v>81</v>
      </c>
      <c r="M71" s="12" t="s">
        <v>369</v>
      </c>
    </row>
    <row r="72" ht="169" customHeight="1" spans="1:13">
      <c r="A72" s="7" t="s">
        <v>76</v>
      </c>
      <c r="B72" s="7" t="s">
        <v>80</v>
      </c>
      <c r="C72" s="7">
        <v>29039</v>
      </c>
      <c r="D72" s="7">
        <v>28945</v>
      </c>
      <c r="E72" s="7">
        <v>27898</v>
      </c>
      <c r="F72" s="8">
        <v>657175</v>
      </c>
      <c r="G72" s="8">
        <v>1029599</v>
      </c>
      <c r="H72" s="8">
        <v>699081</v>
      </c>
      <c r="I72" s="8">
        <v>1029599</v>
      </c>
      <c r="J72" s="11">
        <f t="shared" si="1"/>
        <v>330.518</v>
      </c>
      <c r="K72" s="7" t="s">
        <v>319</v>
      </c>
      <c r="L72" s="7">
        <v>77</v>
      </c>
      <c r="M72" s="12" t="s">
        <v>370</v>
      </c>
    </row>
    <row r="73" ht="169" customHeight="1" spans="1:13">
      <c r="A73" s="7" t="s">
        <v>76</v>
      </c>
      <c r="B73" s="7" t="s">
        <v>84</v>
      </c>
      <c r="C73" s="7">
        <v>13463</v>
      </c>
      <c r="D73" s="7">
        <v>13339</v>
      </c>
      <c r="E73" s="7">
        <v>11833</v>
      </c>
      <c r="F73" s="8">
        <v>918903</v>
      </c>
      <c r="G73" s="8">
        <v>1476764</v>
      </c>
      <c r="H73" s="8">
        <v>918903</v>
      </c>
      <c r="I73" s="8">
        <v>1242965</v>
      </c>
      <c r="J73" s="11">
        <f t="shared" si="1"/>
        <v>324.062</v>
      </c>
      <c r="K73" s="7" t="s">
        <v>319</v>
      </c>
      <c r="L73" s="7">
        <v>79</v>
      </c>
      <c r="M73" s="12" t="s">
        <v>371</v>
      </c>
    </row>
    <row r="74" ht="184" customHeight="1" spans="1:13">
      <c r="A74" s="7" t="s">
        <v>76</v>
      </c>
      <c r="B74" s="7" t="s">
        <v>86</v>
      </c>
      <c r="C74" s="7">
        <v>11373</v>
      </c>
      <c r="D74" s="7">
        <v>11333</v>
      </c>
      <c r="E74" s="7">
        <v>11333</v>
      </c>
      <c r="F74" s="8">
        <v>921250</v>
      </c>
      <c r="G74" s="8">
        <v>1242966</v>
      </c>
      <c r="H74" s="8">
        <v>921250</v>
      </c>
      <c r="I74" s="8">
        <v>1242966</v>
      </c>
      <c r="J74" s="11">
        <f t="shared" si="1"/>
        <v>321.716</v>
      </c>
      <c r="K74" s="7" t="s">
        <v>319</v>
      </c>
      <c r="L74" s="7">
        <v>78</v>
      </c>
      <c r="M74" s="12" t="s">
        <v>323</v>
      </c>
    </row>
    <row r="75" ht="184" customHeight="1" spans="1:13">
      <c r="A75" s="7" t="s">
        <v>76</v>
      </c>
      <c r="B75" s="7" t="s">
        <v>52</v>
      </c>
      <c r="C75" s="7">
        <v>22324</v>
      </c>
      <c r="D75" s="7">
        <v>22275</v>
      </c>
      <c r="E75" s="7">
        <v>21904</v>
      </c>
      <c r="F75" s="8">
        <v>921485</v>
      </c>
      <c r="G75" s="8">
        <v>1447755</v>
      </c>
      <c r="H75" s="8">
        <v>921485</v>
      </c>
      <c r="I75" s="8">
        <v>1242984</v>
      </c>
      <c r="J75" s="11">
        <f t="shared" si="1"/>
        <v>321.499</v>
      </c>
      <c r="K75" s="7" t="s">
        <v>319</v>
      </c>
      <c r="L75" s="7">
        <v>78</v>
      </c>
      <c r="M75" s="12" t="s">
        <v>323</v>
      </c>
    </row>
    <row r="76" ht="184" customHeight="1" spans="1:13">
      <c r="A76" s="7" t="s">
        <v>76</v>
      </c>
      <c r="B76" s="7" t="s">
        <v>74</v>
      </c>
      <c r="C76" s="7">
        <v>210</v>
      </c>
      <c r="D76" s="7">
        <v>163</v>
      </c>
      <c r="E76" s="7">
        <v>154</v>
      </c>
      <c r="F76" s="8">
        <v>920482</v>
      </c>
      <c r="G76" s="8">
        <v>1423832</v>
      </c>
      <c r="H76" s="8">
        <v>920482</v>
      </c>
      <c r="I76" s="8">
        <v>1239999</v>
      </c>
      <c r="J76" s="11">
        <f t="shared" si="1"/>
        <v>319.517</v>
      </c>
      <c r="K76" s="7" t="s">
        <v>319</v>
      </c>
      <c r="L76" s="7">
        <v>78</v>
      </c>
      <c r="M76" s="12" t="s">
        <v>323</v>
      </c>
    </row>
    <row r="77" ht="184" customHeight="1" spans="1:13">
      <c r="A77" s="7" t="s">
        <v>76</v>
      </c>
      <c r="B77" s="7" t="s">
        <v>68</v>
      </c>
      <c r="C77" s="7">
        <v>12292</v>
      </c>
      <c r="D77" s="7">
        <v>12281</v>
      </c>
      <c r="E77" s="7">
        <v>11747</v>
      </c>
      <c r="F77" s="8">
        <v>921755</v>
      </c>
      <c r="G77" s="8">
        <v>1474567</v>
      </c>
      <c r="H77" s="8">
        <v>921755</v>
      </c>
      <c r="I77" s="8">
        <v>1240566</v>
      </c>
      <c r="J77" s="11">
        <f t="shared" si="1"/>
        <v>318.811</v>
      </c>
      <c r="K77" s="7" t="s">
        <v>319</v>
      </c>
      <c r="L77" s="7">
        <v>78</v>
      </c>
      <c r="M77" s="12" t="s">
        <v>323</v>
      </c>
    </row>
    <row r="78" ht="184" customHeight="1" spans="1:13">
      <c r="A78" s="7" t="s">
        <v>76</v>
      </c>
      <c r="B78" s="7" t="s">
        <v>56</v>
      </c>
      <c r="C78" s="7">
        <v>10775</v>
      </c>
      <c r="D78" s="7">
        <v>10772</v>
      </c>
      <c r="E78" s="7">
        <v>10532</v>
      </c>
      <c r="F78" s="8">
        <v>922191</v>
      </c>
      <c r="G78" s="8">
        <v>1468654</v>
      </c>
      <c r="H78" s="8">
        <v>922191</v>
      </c>
      <c r="I78" s="8">
        <v>1240734</v>
      </c>
      <c r="J78" s="11">
        <f t="shared" si="1"/>
        <v>318.543</v>
      </c>
      <c r="K78" s="7" t="s">
        <v>319</v>
      </c>
      <c r="L78" s="7">
        <v>78</v>
      </c>
      <c r="M78" s="12" t="s">
        <v>323</v>
      </c>
    </row>
    <row r="79" ht="199" customHeight="1" spans="1:13">
      <c r="A79" s="7" t="s">
        <v>76</v>
      </c>
      <c r="B79" s="7" t="s">
        <v>63</v>
      </c>
      <c r="C79" s="7">
        <v>6920</v>
      </c>
      <c r="D79" s="7">
        <v>6892</v>
      </c>
      <c r="E79" s="7">
        <v>5788</v>
      </c>
      <c r="F79" s="8">
        <v>940574</v>
      </c>
      <c r="G79" s="8">
        <v>1473288</v>
      </c>
      <c r="H79" s="8">
        <v>940574</v>
      </c>
      <c r="I79" s="8">
        <v>1242944</v>
      </c>
      <c r="J79" s="11">
        <f t="shared" si="1"/>
        <v>302.37</v>
      </c>
      <c r="K79" s="7" t="s">
        <v>319</v>
      </c>
      <c r="L79" s="7">
        <v>72</v>
      </c>
      <c r="M79" s="12" t="s">
        <v>372</v>
      </c>
    </row>
    <row r="80" ht="199" customHeight="1" spans="1:13">
      <c r="A80" s="7" t="s">
        <v>76</v>
      </c>
      <c r="B80" s="7" t="s">
        <v>85</v>
      </c>
      <c r="C80" s="7">
        <v>13122</v>
      </c>
      <c r="D80" s="7">
        <v>13122</v>
      </c>
      <c r="E80" s="7">
        <v>13122</v>
      </c>
      <c r="F80" s="8">
        <v>874153</v>
      </c>
      <c r="G80" s="8">
        <v>1172527</v>
      </c>
      <c r="H80" s="8">
        <v>874153</v>
      </c>
      <c r="I80" s="8">
        <v>1172527</v>
      </c>
      <c r="J80" s="11">
        <f t="shared" si="1"/>
        <v>298.374</v>
      </c>
      <c r="K80" s="7" t="s">
        <v>319</v>
      </c>
      <c r="L80" s="7">
        <v>71</v>
      </c>
      <c r="M80" s="12" t="s">
        <v>373</v>
      </c>
    </row>
    <row r="81" ht="199" customHeight="1" spans="1:13">
      <c r="A81" s="7" t="s">
        <v>76</v>
      </c>
      <c r="B81" s="7" t="s">
        <v>44</v>
      </c>
      <c r="C81" s="7">
        <v>16545</v>
      </c>
      <c r="D81" s="7">
        <v>16543</v>
      </c>
      <c r="E81" s="7">
        <v>16543</v>
      </c>
      <c r="F81" s="8">
        <v>920731</v>
      </c>
      <c r="G81" s="8">
        <v>1172585</v>
      </c>
      <c r="H81" s="8">
        <v>920731</v>
      </c>
      <c r="I81" s="8">
        <v>1172585</v>
      </c>
      <c r="J81" s="11">
        <f t="shared" si="1"/>
        <v>251.854</v>
      </c>
      <c r="K81" s="7" t="s">
        <v>319</v>
      </c>
      <c r="L81" s="7">
        <v>62</v>
      </c>
      <c r="M81" s="12" t="s">
        <v>327</v>
      </c>
    </row>
    <row r="82" ht="199" customHeight="1" spans="1:13">
      <c r="A82" s="7" t="s">
        <v>76</v>
      </c>
      <c r="B82" s="7" t="s">
        <v>88</v>
      </c>
      <c r="C82" s="7">
        <v>9275</v>
      </c>
      <c r="D82" s="7">
        <v>9256</v>
      </c>
      <c r="E82" s="7">
        <v>9256</v>
      </c>
      <c r="F82" s="8">
        <v>921481</v>
      </c>
      <c r="G82" s="8">
        <v>1173139</v>
      </c>
      <c r="H82" s="8">
        <v>921481</v>
      </c>
      <c r="I82" s="8">
        <v>1173139</v>
      </c>
      <c r="J82" s="11">
        <f t="shared" si="1"/>
        <v>251.658</v>
      </c>
      <c r="K82" s="7" t="s">
        <v>319</v>
      </c>
      <c r="L82" s="7">
        <v>63</v>
      </c>
      <c r="M82" s="12" t="s">
        <v>326</v>
      </c>
    </row>
    <row r="83" ht="199" customHeight="1" spans="1:13">
      <c r="A83" s="7" t="s">
        <v>76</v>
      </c>
      <c r="B83" s="7" t="s">
        <v>81</v>
      </c>
      <c r="C83" s="7">
        <v>19921</v>
      </c>
      <c r="D83" s="7">
        <v>19873</v>
      </c>
      <c r="E83" s="7">
        <v>19873</v>
      </c>
      <c r="F83" s="8">
        <v>921717</v>
      </c>
      <c r="G83" s="8">
        <v>1172585</v>
      </c>
      <c r="H83" s="8">
        <v>921717</v>
      </c>
      <c r="I83" s="8">
        <v>1172585</v>
      </c>
      <c r="J83" s="11">
        <f t="shared" si="1"/>
        <v>250.868</v>
      </c>
      <c r="K83" s="7" t="s">
        <v>319</v>
      </c>
      <c r="L83" s="7">
        <v>62</v>
      </c>
      <c r="M83" s="12" t="s">
        <v>327</v>
      </c>
    </row>
    <row r="84" ht="184" customHeight="1" spans="1:13">
      <c r="A84" s="7" t="s">
        <v>76</v>
      </c>
      <c r="B84" s="7" t="s">
        <v>83</v>
      </c>
      <c r="C84" s="7">
        <v>14502</v>
      </c>
      <c r="D84" s="7">
        <v>14485</v>
      </c>
      <c r="E84" s="7">
        <v>12982</v>
      </c>
      <c r="F84" s="8">
        <v>656337</v>
      </c>
      <c r="G84" s="8">
        <v>934654</v>
      </c>
      <c r="H84" s="8">
        <v>699074</v>
      </c>
      <c r="I84" s="8">
        <v>934654</v>
      </c>
      <c r="J84" s="11">
        <f t="shared" si="1"/>
        <v>235.58</v>
      </c>
      <c r="K84" s="7" t="s">
        <v>319</v>
      </c>
      <c r="L84" s="7">
        <v>51</v>
      </c>
      <c r="M84" s="12" t="s">
        <v>374</v>
      </c>
    </row>
    <row r="85" ht="184" customHeight="1" spans="1:13">
      <c r="A85" s="7" t="s">
        <v>76</v>
      </c>
      <c r="B85" s="7" t="s">
        <v>90</v>
      </c>
      <c r="C85" s="7">
        <v>6930</v>
      </c>
      <c r="D85" s="7">
        <v>6930</v>
      </c>
      <c r="E85" s="7">
        <v>6841</v>
      </c>
      <c r="F85" s="8">
        <v>695668</v>
      </c>
      <c r="G85" s="8">
        <v>920628</v>
      </c>
      <c r="H85" s="8">
        <v>699072</v>
      </c>
      <c r="I85" s="8">
        <v>920628</v>
      </c>
      <c r="J85" s="11">
        <f t="shared" si="1"/>
        <v>221.556</v>
      </c>
      <c r="K85" s="7" t="s">
        <v>319</v>
      </c>
      <c r="L85" s="7">
        <v>47</v>
      </c>
      <c r="M85" s="12" t="s">
        <v>331</v>
      </c>
    </row>
    <row r="86" ht="184" customHeight="1" spans="1:13">
      <c r="A86" s="7" t="s">
        <v>76</v>
      </c>
      <c r="B86" s="7" t="s">
        <v>40</v>
      </c>
      <c r="C86" s="7">
        <v>9337</v>
      </c>
      <c r="D86" s="7">
        <v>9337</v>
      </c>
      <c r="E86" s="7">
        <v>8173</v>
      </c>
      <c r="F86" s="8">
        <v>661289</v>
      </c>
      <c r="G86" s="8">
        <v>917846</v>
      </c>
      <c r="H86" s="8">
        <v>699084</v>
      </c>
      <c r="I86" s="8">
        <v>917846</v>
      </c>
      <c r="J86" s="11">
        <f t="shared" si="1"/>
        <v>218.762</v>
      </c>
      <c r="K86" s="7" t="s">
        <v>319</v>
      </c>
      <c r="L86" s="7">
        <v>46</v>
      </c>
      <c r="M86" s="12" t="s">
        <v>375</v>
      </c>
    </row>
    <row r="87" ht="199" customHeight="1" spans="1:13">
      <c r="A87" s="7" t="s">
        <v>76</v>
      </c>
      <c r="B87" s="7" t="s">
        <v>43</v>
      </c>
      <c r="C87" s="7">
        <v>12567</v>
      </c>
      <c r="D87" s="7">
        <v>12562</v>
      </c>
      <c r="E87" s="7">
        <v>12562</v>
      </c>
      <c r="F87" s="8">
        <v>920756</v>
      </c>
      <c r="G87" s="8">
        <v>1117636</v>
      </c>
      <c r="H87" s="8">
        <v>920756</v>
      </c>
      <c r="I87" s="8">
        <v>1117636</v>
      </c>
      <c r="J87" s="11">
        <f t="shared" si="1"/>
        <v>196.88</v>
      </c>
      <c r="K87" s="7" t="s">
        <v>319</v>
      </c>
      <c r="L87" s="7">
        <v>50</v>
      </c>
      <c r="M87" s="12" t="s">
        <v>376</v>
      </c>
    </row>
    <row r="88" ht="184" customHeight="1" spans="1:13">
      <c r="A88" s="7" t="s">
        <v>76</v>
      </c>
      <c r="B88" s="7" t="s">
        <v>89</v>
      </c>
      <c r="C88" s="7">
        <v>8644</v>
      </c>
      <c r="D88" s="7">
        <v>8623</v>
      </c>
      <c r="E88" s="7">
        <v>8623</v>
      </c>
      <c r="F88" s="8">
        <v>735571</v>
      </c>
      <c r="G88" s="8">
        <v>920369</v>
      </c>
      <c r="H88" s="8">
        <v>735571</v>
      </c>
      <c r="I88" s="8">
        <v>920369</v>
      </c>
      <c r="J88" s="11">
        <f t="shared" si="1"/>
        <v>184.798</v>
      </c>
      <c r="K88" s="7" t="s">
        <v>319</v>
      </c>
      <c r="L88" s="7">
        <v>39</v>
      </c>
      <c r="M88" s="12" t="s">
        <v>377</v>
      </c>
    </row>
    <row r="89" ht="184" customHeight="1" spans="1:13">
      <c r="A89" s="7" t="s">
        <v>76</v>
      </c>
      <c r="B89" s="7" t="s">
        <v>87</v>
      </c>
      <c r="C89" s="7">
        <v>11320</v>
      </c>
      <c r="D89" s="7">
        <v>11303</v>
      </c>
      <c r="E89" s="7">
        <v>11303</v>
      </c>
      <c r="F89" s="8">
        <v>921767</v>
      </c>
      <c r="G89" s="8">
        <v>1095160</v>
      </c>
      <c r="H89" s="8">
        <v>921767</v>
      </c>
      <c r="I89" s="8">
        <v>1095160</v>
      </c>
      <c r="J89" s="11">
        <f t="shared" si="1"/>
        <v>173.393</v>
      </c>
      <c r="K89" s="7" t="s">
        <v>319</v>
      </c>
      <c r="L89" s="7">
        <v>45</v>
      </c>
      <c r="M89" s="12" t="s">
        <v>378</v>
      </c>
    </row>
    <row r="90" ht="184" customHeight="1" spans="1:13">
      <c r="A90" s="7" t="s">
        <v>76</v>
      </c>
      <c r="B90" s="7" t="s">
        <v>72</v>
      </c>
      <c r="C90" s="7">
        <v>80</v>
      </c>
      <c r="D90" s="7">
        <v>80</v>
      </c>
      <c r="E90" s="7">
        <v>73</v>
      </c>
      <c r="F90" s="8">
        <v>695665</v>
      </c>
      <c r="G90" s="8">
        <v>865206</v>
      </c>
      <c r="H90" s="8">
        <v>700357</v>
      </c>
      <c r="I90" s="8">
        <v>865206</v>
      </c>
      <c r="J90" s="11">
        <f t="shared" si="1"/>
        <v>164.849</v>
      </c>
      <c r="K90" s="7" t="s">
        <v>319</v>
      </c>
      <c r="L90" s="7">
        <v>36</v>
      </c>
      <c r="M90" s="12" t="s">
        <v>379</v>
      </c>
    </row>
    <row r="91" ht="184" customHeight="1" spans="1:13">
      <c r="A91" s="7" t="s">
        <v>76</v>
      </c>
      <c r="B91" s="7" t="s">
        <v>70</v>
      </c>
      <c r="C91" s="7">
        <v>10421</v>
      </c>
      <c r="D91" s="7">
        <v>10364</v>
      </c>
      <c r="E91" s="7">
        <v>10364</v>
      </c>
      <c r="F91" s="8">
        <v>920372</v>
      </c>
      <c r="G91" s="8">
        <v>1029020</v>
      </c>
      <c r="H91" s="8">
        <v>920372</v>
      </c>
      <c r="I91" s="8">
        <v>1029020</v>
      </c>
      <c r="J91" s="11">
        <f t="shared" si="1"/>
        <v>108.648</v>
      </c>
      <c r="K91" s="7" t="s">
        <v>319</v>
      </c>
      <c r="L91" s="7">
        <v>31</v>
      </c>
      <c r="M91" s="12" t="s">
        <v>334</v>
      </c>
    </row>
    <row r="92" ht="184" customHeight="1" spans="1:13">
      <c r="A92" s="7" t="s">
        <v>76</v>
      </c>
      <c r="B92" s="7" t="s">
        <v>61</v>
      </c>
      <c r="C92" s="7">
        <v>13428</v>
      </c>
      <c r="D92" s="7">
        <v>13406</v>
      </c>
      <c r="E92" s="7">
        <v>13406</v>
      </c>
      <c r="F92" s="8">
        <v>920463</v>
      </c>
      <c r="G92" s="8">
        <v>1028983</v>
      </c>
      <c r="H92" s="8">
        <v>920463</v>
      </c>
      <c r="I92" s="8">
        <v>1028983</v>
      </c>
      <c r="J92" s="11">
        <f t="shared" si="1"/>
        <v>108.52</v>
      </c>
      <c r="K92" s="7" t="s">
        <v>319</v>
      </c>
      <c r="L92" s="7">
        <v>31</v>
      </c>
      <c r="M92" s="12" t="s">
        <v>334</v>
      </c>
    </row>
    <row r="93" ht="184" customHeight="1" spans="1:13">
      <c r="A93" s="7" t="s">
        <v>76</v>
      </c>
      <c r="B93" s="7" t="s">
        <v>92</v>
      </c>
      <c r="C93" s="7">
        <v>4409</v>
      </c>
      <c r="D93" s="7">
        <v>4398</v>
      </c>
      <c r="E93" s="7">
        <v>4398</v>
      </c>
      <c r="F93" s="8">
        <v>921481</v>
      </c>
      <c r="G93" s="8">
        <v>1029021</v>
      </c>
      <c r="H93" s="8">
        <v>921481</v>
      </c>
      <c r="I93" s="8">
        <v>1029021</v>
      </c>
      <c r="J93" s="11">
        <f t="shared" si="1"/>
        <v>107.54</v>
      </c>
      <c r="K93" s="7" t="s">
        <v>319</v>
      </c>
      <c r="L93" s="7">
        <v>31</v>
      </c>
      <c r="M93" s="12" t="s">
        <v>334</v>
      </c>
    </row>
    <row r="94" ht="184" customHeight="1" spans="1:13">
      <c r="A94" s="7" t="s">
        <v>76</v>
      </c>
      <c r="B94" s="7" t="s">
        <v>91</v>
      </c>
      <c r="C94" s="7">
        <v>4543</v>
      </c>
      <c r="D94" s="7">
        <v>4501</v>
      </c>
      <c r="E94" s="7">
        <v>4501</v>
      </c>
      <c r="F94" s="8">
        <v>920366</v>
      </c>
      <c r="G94" s="8">
        <v>1027896</v>
      </c>
      <c r="H94" s="8">
        <v>920366</v>
      </c>
      <c r="I94" s="8">
        <v>1027896</v>
      </c>
      <c r="J94" s="11">
        <f t="shared" si="1"/>
        <v>107.53</v>
      </c>
      <c r="K94" s="7" t="s">
        <v>319</v>
      </c>
      <c r="L94" s="7">
        <v>31</v>
      </c>
      <c r="M94" s="12" t="s">
        <v>334</v>
      </c>
    </row>
    <row r="95" ht="184" customHeight="1" spans="1:13">
      <c r="A95" s="7" t="s">
        <v>76</v>
      </c>
      <c r="B95" s="7" t="s">
        <v>95</v>
      </c>
      <c r="C95" s="7">
        <v>2305</v>
      </c>
      <c r="D95" s="7">
        <v>2270</v>
      </c>
      <c r="E95" s="7">
        <v>2270</v>
      </c>
      <c r="F95" s="8">
        <v>920375</v>
      </c>
      <c r="G95" s="8">
        <v>1027890</v>
      </c>
      <c r="H95" s="8">
        <v>920375</v>
      </c>
      <c r="I95" s="8">
        <v>1027890</v>
      </c>
      <c r="J95" s="11">
        <f t="shared" si="1"/>
        <v>107.515</v>
      </c>
      <c r="K95" s="7" t="s">
        <v>319</v>
      </c>
      <c r="L95" s="7">
        <v>31</v>
      </c>
      <c r="M95" s="12" t="s">
        <v>334</v>
      </c>
    </row>
    <row r="96" ht="184" customHeight="1" spans="1:13">
      <c r="A96" s="7" t="s">
        <v>76</v>
      </c>
      <c r="B96" s="7" t="s">
        <v>93</v>
      </c>
      <c r="C96" s="7">
        <v>3551</v>
      </c>
      <c r="D96" s="7">
        <v>3534</v>
      </c>
      <c r="E96" s="7">
        <v>2545</v>
      </c>
      <c r="F96" s="8">
        <v>657196</v>
      </c>
      <c r="G96" s="8">
        <v>779866</v>
      </c>
      <c r="H96" s="8">
        <v>699089</v>
      </c>
      <c r="I96" s="8">
        <v>779866</v>
      </c>
      <c r="J96" s="11">
        <f t="shared" si="1"/>
        <v>80.777</v>
      </c>
      <c r="K96" s="7" t="s">
        <v>319</v>
      </c>
      <c r="L96" s="7">
        <v>19</v>
      </c>
      <c r="M96" s="12" t="s">
        <v>380</v>
      </c>
    </row>
    <row r="97" ht="184" customHeight="1" spans="1:13">
      <c r="A97" s="7" t="s">
        <v>76</v>
      </c>
      <c r="B97" s="7" t="s">
        <v>96</v>
      </c>
      <c r="C97" s="7">
        <v>287</v>
      </c>
      <c r="D97" s="7">
        <v>287</v>
      </c>
      <c r="E97" s="7">
        <v>134</v>
      </c>
      <c r="F97" s="8">
        <v>1186966</v>
      </c>
      <c r="G97" s="8">
        <v>1314707</v>
      </c>
      <c r="H97" s="8">
        <v>1186966</v>
      </c>
      <c r="I97" s="8">
        <v>1243744</v>
      </c>
      <c r="J97" s="11">
        <f t="shared" si="1"/>
        <v>56.778</v>
      </c>
      <c r="K97" s="7" t="s">
        <v>319</v>
      </c>
      <c r="L97" s="7">
        <v>13</v>
      </c>
      <c r="M97" s="12" t="s">
        <v>381</v>
      </c>
    </row>
    <row r="98" ht="184" customHeight="1" spans="1:13">
      <c r="A98" s="7" t="s">
        <v>76</v>
      </c>
      <c r="B98" s="7" t="s">
        <v>94</v>
      </c>
      <c r="C98" s="7">
        <v>2551</v>
      </c>
      <c r="D98" s="7">
        <v>2537</v>
      </c>
      <c r="E98" s="7">
        <v>1516</v>
      </c>
      <c r="F98" s="8">
        <v>657171</v>
      </c>
      <c r="G98" s="8">
        <v>747088</v>
      </c>
      <c r="H98" s="8">
        <v>699095</v>
      </c>
      <c r="I98" s="8">
        <v>747088</v>
      </c>
      <c r="J98" s="11">
        <f t="shared" si="1"/>
        <v>47.993</v>
      </c>
      <c r="K98" s="7" t="s">
        <v>319</v>
      </c>
      <c r="L98" s="7">
        <v>12</v>
      </c>
      <c r="M98" s="12" t="s">
        <v>382</v>
      </c>
    </row>
    <row r="99" ht="184" customHeight="1" spans="1:13">
      <c r="A99" s="7" t="s">
        <v>76</v>
      </c>
      <c r="B99" s="7" t="s">
        <v>36</v>
      </c>
      <c r="C99" s="7">
        <v>1903</v>
      </c>
      <c r="D99" s="7">
        <v>1903</v>
      </c>
      <c r="E99" s="7">
        <v>1130</v>
      </c>
      <c r="F99" s="8">
        <v>657114</v>
      </c>
      <c r="G99" s="8">
        <v>741000</v>
      </c>
      <c r="H99" s="8">
        <v>699089</v>
      </c>
      <c r="I99" s="8">
        <v>741000</v>
      </c>
      <c r="J99" s="11">
        <f t="shared" si="1"/>
        <v>41.911</v>
      </c>
      <c r="K99" s="7" t="s">
        <v>319</v>
      </c>
      <c r="L99" s="7">
        <v>10</v>
      </c>
      <c r="M99" s="12" t="s">
        <v>383</v>
      </c>
    </row>
    <row r="100" ht="184" customHeight="1" spans="1:13">
      <c r="A100" s="7" t="s">
        <v>76</v>
      </c>
      <c r="B100" s="7" t="s">
        <v>37</v>
      </c>
      <c r="C100" s="7">
        <v>3687</v>
      </c>
      <c r="D100" s="7">
        <v>3639</v>
      </c>
      <c r="E100" s="7">
        <v>1806</v>
      </c>
      <c r="F100" s="8">
        <v>1205520</v>
      </c>
      <c r="G100" s="8">
        <v>1458003</v>
      </c>
      <c r="H100" s="8">
        <v>1205520</v>
      </c>
      <c r="I100" s="8">
        <v>1242975</v>
      </c>
      <c r="J100" s="11">
        <f t="shared" si="1"/>
        <v>37.455</v>
      </c>
      <c r="K100" s="7" t="s">
        <v>319</v>
      </c>
      <c r="L100" s="7">
        <v>8</v>
      </c>
      <c r="M100" s="12" t="s">
        <v>384</v>
      </c>
    </row>
    <row r="101" ht="184" customHeight="1" spans="1:13">
      <c r="A101" s="7" t="s">
        <v>76</v>
      </c>
      <c r="B101" s="7" t="s">
        <v>50</v>
      </c>
      <c r="C101" s="7">
        <v>737</v>
      </c>
      <c r="D101" s="7">
        <v>732</v>
      </c>
      <c r="E101" s="7">
        <v>732</v>
      </c>
      <c r="F101" s="8">
        <v>921754</v>
      </c>
      <c r="G101" s="8">
        <v>933047</v>
      </c>
      <c r="H101" s="8">
        <v>921754</v>
      </c>
      <c r="I101" s="8">
        <v>933047</v>
      </c>
      <c r="J101" s="11">
        <f t="shared" si="1"/>
        <v>11.293</v>
      </c>
      <c r="K101" s="7" t="s">
        <v>319</v>
      </c>
      <c r="L101" s="7">
        <v>5</v>
      </c>
      <c r="M101" s="12" t="s">
        <v>343</v>
      </c>
    </row>
    <row r="102" ht="184" customHeight="1" spans="1:13">
      <c r="A102" s="9" t="s">
        <v>76</v>
      </c>
      <c r="B102" s="9" t="s">
        <v>169</v>
      </c>
      <c r="C102" s="9">
        <v>852</v>
      </c>
      <c r="D102" s="9">
        <v>852</v>
      </c>
      <c r="E102" s="9">
        <v>0</v>
      </c>
      <c r="F102" s="10">
        <v>1401567</v>
      </c>
      <c r="G102" s="10">
        <v>1449009</v>
      </c>
      <c r="H102" s="10" t="s">
        <v>195</v>
      </c>
      <c r="I102" s="10" t="s">
        <v>195</v>
      </c>
      <c r="J102" s="13">
        <v>0</v>
      </c>
      <c r="K102" s="9" t="s">
        <v>345</v>
      </c>
      <c r="L102" s="9">
        <v>0</v>
      </c>
      <c r="M102" s="14" t="s">
        <v>346</v>
      </c>
    </row>
    <row r="103" ht="184" customHeight="1" spans="1:13">
      <c r="A103" s="9" t="s">
        <v>76</v>
      </c>
      <c r="B103" s="9" t="s">
        <v>385</v>
      </c>
      <c r="C103" s="9">
        <v>779</v>
      </c>
      <c r="D103" s="9">
        <v>779</v>
      </c>
      <c r="E103" s="9">
        <v>0</v>
      </c>
      <c r="F103" s="10">
        <v>1401732</v>
      </c>
      <c r="G103" s="10">
        <v>1449058</v>
      </c>
      <c r="H103" s="10" t="s">
        <v>195</v>
      </c>
      <c r="I103" s="10" t="s">
        <v>195</v>
      </c>
      <c r="J103" s="13">
        <v>0</v>
      </c>
      <c r="K103" s="9" t="s">
        <v>345</v>
      </c>
      <c r="L103" s="9">
        <v>0</v>
      </c>
      <c r="M103" s="14" t="s">
        <v>346</v>
      </c>
    </row>
    <row r="104" ht="184" customHeight="1" spans="1:13">
      <c r="A104" s="9" t="s">
        <v>76</v>
      </c>
      <c r="B104" s="9" t="s">
        <v>386</v>
      </c>
      <c r="C104" s="9">
        <v>11</v>
      </c>
      <c r="D104" s="9">
        <v>11</v>
      </c>
      <c r="E104" s="9">
        <v>0</v>
      </c>
      <c r="F104" s="10">
        <v>662794</v>
      </c>
      <c r="G104" s="10">
        <v>695109</v>
      </c>
      <c r="H104" s="10" t="s">
        <v>195</v>
      </c>
      <c r="I104" s="10" t="s">
        <v>195</v>
      </c>
      <c r="J104" s="13">
        <v>0</v>
      </c>
      <c r="K104" s="9" t="s">
        <v>345</v>
      </c>
      <c r="L104" s="9">
        <v>0</v>
      </c>
      <c r="M104" s="14" t="s">
        <v>346</v>
      </c>
    </row>
    <row r="105" ht="184" customHeight="1" spans="1:13">
      <c r="A105" s="9" t="s">
        <v>76</v>
      </c>
      <c r="B105" s="9" t="s">
        <v>109</v>
      </c>
      <c r="C105" s="9">
        <v>4074</v>
      </c>
      <c r="D105" s="9">
        <v>4074</v>
      </c>
      <c r="E105" s="9">
        <v>0</v>
      </c>
      <c r="F105" s="10">
        <v>144081</v>
      </c>
      <c r="G105" s="10">
        <v>145880</v>
      </c>
      <c r="H105" s="10" t="s">
        <v>195</v>
      </c>
      <c r="I105" s="10" t="s">
        <v>195</v>
      </c>
      <c r="J105" s="13">
        <v>0</v>
      </c>
      <c r="K105" s="9" t="s">
        <v>345</v>
      </c>
      <c r="L105" s="9">
        <v>0</v>
      </c>
      <c r="M105" s="14" t="s">
        <v>346</v>
      </c>
    </row>
    <row r="106" ht="184" customHeight="1" spans="1:13">
      <c r="A106" s="9" t="s">
        <v>76</v>
      </c>
      <c r="B106" s="9" t="s">
        <v>387</v>
      </c>
      <c r="C106" s="9">
        <v>3</v>
      </c>
      <c r="D106" s="9">
        <v>0</v>
      </c>
      <c r="E106" s="9">
        <v>0</v>
      </c>
      <c r="F106" s="10" t="s">
        <v>195</v>
      </c>
      <c r="G106" s="10" t="s">
        <v>195</v>
      </c>
      <c r="H106" s="10" t="s">
        <v>195</v>
      </c>
      <c r="I106" s="10" t="s">
        <v>195</v>
      </c>
      <c r="J106" s="13">
        <v>0</v>
      </c>
      <c r="K106" s="9" t="s">
        <v>345</v>
      </c>
      <c r="L106" s="9">
        <v>0</v>
      </c>
      <c r="M106" s="14" t="s">
        <v>346</v>
      </c>
    </row>
    <row r="107" ht="184" customHeight="1" spans="1:13">
      <c r="A107" s="9" t="s">
        <v>76</v>
      </c>
      <c r="B107" s="9" t="s">
        <v>388</v>
      </c>
      <c r="C107" s="9">
        <v>560</v>
      </c>
      <c r="D107" s="9">
        <v>555</v>
      </c>
      <c r="E107" s="9">
        <v>0</v>
      </c>
      <c r="F107" s="10">
        <v>1401386</v>
      </c>
      <c r="G107" s="10">
        <v>1436353</v>
      </c>
      <c r="H107" s="10" t="s">
        <v>195</v>
      </c>
      <c r="I107" s="10" t="s">
        <v>195</v>
      </c>
      <c r="J107" s="13">
        <v>0</v>
      </c>
      <c r="K107" s="9" t="s">
        <v>345</v>
      </c>
      <c r="L107" s="9">
        <v>0</v>
      </c>
      <c r="M107" s="14" t="s">
        <v>346</v>
      </c>
    </row>
    <row r="108" ht="184" customHeight="1" spans="1:13">
      <c r="A108" s="9" t="s">
        <v>76</v>
      </c>
      <c r="B108" s="9" t="s">
        <v>389</v>
      </c>
      <c r="C108" s="9">
        <v>613</v>
      </c>
      <c r="D108" s="9">
        <v>612</v>
      </c>
      <c r="E108" s="9">
        <v>0</v>
      </c>
      <c r="F108" s="10">
        <v>1401708</v>
      </c>
      <c r="G108" s="10">
        <v>1436824</v>
      </c>
      <c r="H108" s="10" t="s">
        <v>195</v>
      </c>
      <c r="I108" s="10" t="s">
        <v>195</v>
      </c>
      <c r="J108" s="13">
        <v>0</v>
      </c>
      <c r="K108" s="9" t="s">
        <v>345</v>
      </c>
      <c r="L108" s="9">
        <v>0</v>
      </c>
      <c r="M108" s="14" t="s">
        <v>346</v>
      </c>
    </row>
    <row r="109" ht="184" customHeight="1" spans="1:13">
      <c r="A109" s="9" t="s">
        <v>76</v>
      </c>
      <c r="B109" s="9" t="s">
        <v>390</v>
      </c>
      <c r="C109" s="9">
        <v>299</v>
      </c>
      <c r="D109" s="9">
        <v>299</v>
      </c>
      <c r="E109" s="9">
        <v>0</v>
      </c>
      <c r="F109" s="10">
        <v>1401358</v>
      </c>
      <c r="G109" s="10">
        <v>1436118</v>
      </c>
      <c r="H109" s="10" t="s">
        <v>195</v>
      </c>
      <c r="I109" s="10" t="s">
        <v>195</v>
      </c>
      <c r="J109" s="13">
        <v>0</v>
      </c>
      <c r="K109" s="9" t="s">
        <v>345</v>
      </c>
      <c r="L109" s="9">
        <v>0</v>
      </c>
      <c r="M109" s="14" t="s">
        <v>346</v>
      </c>
    </row>
    <row r="110" ht="184" customHeight="1" spans="1:13">
      <c r="A110" s="9" t="s">
        <v>76</v>
      </c>
      <c r="B110" s="9" t="s">
        <v>54</v>
      </c>
      <c r="C110" s="9">
        <v>1489</v>
      </c>
      <c r="D110" s="9">
        <v>1489</v>
      </c>
      <c r="E110" s="9">
        <v>0</v>
      </c>
      <c r="F110" s="10">
        <v>1401341</v>
      </c>
      <c r="G110" s="10">
        <v>1469455</v>
      </c>
      <c r="H110" s="10" t="s">
        <v>195</v>
      </c>
      <c r="I110" s="10" t="s">
        <v>195</v>
      </c>
      <c r="J110" s="13">
        <v>0</v>
      </c>
      <c r="K110" s="9" t="s">
        <v>345</v>
      </c>
      <c r="L110" s="9">
        <v>0</v>
      </c>
      <c r="M110" s="14" t="s">
        <v>346</v>
      </c>
    </row>
    <row r="111" ht="184" customHeight="1" spans="1:13">
      <c r="A111" s="9" t="s">
        <v>76</v>
      </c>
      <c r="B111" s="9" t="s">
        <v>65</v>
      </c>
      <c r="C111" s="9">
        <v>1981</v>
      </c>
      <c r="D111" s="9">
        <v>1980</v>
      </c>
      <c r="E111" s="9">
        <v>0</v>
      </c>
      <c r="F111" s="10">
        <v>1401353</v>
      </c>
      <c r="G111" s="10">
        <v>1454154</v>
      </c>
      <c r="H111" s="10" t="s">
        <v>195</v>
      </c>
      <c r="I111" s="10" t="s">
        <v>195</v>
      </c>
      <c r="J111" s="13">
        <v>0</v>
      </c>
      <c r="K111" s="9" t="s">
        <v>345</v>
      </c>
      <c r="L111" s="9">
        <v>0</v>
      </c>
      <c r="M111" s="14" t="s">
        <v>346</v>
      </c>
    </row>
    <row r="112" ht="184" customHeight="1" spans="1:13">
      <c r="A112" s="9" t="s">
        <v>76</v>
      </c>
      <c r="B112" s="9" t="s">
        <v>108</v>
      </c>
      <c r="C112" s="9">
        <v>1</v>
      </c>
      <c r="D112" s="9">
        <v>0</v>
      </c>
      <c r="E112" s="9">
        <v>0</v>
      </c>
      <c r="F112" s="10" t="s">
        <v>195</v>
      </c>
      <c r="G112" s="10" t="s">
        <v>195</v>
      </c>
      <c r="H112" s="10" t="s">
        <v>195</v>
      </c>
      <c r="I112" s="10" t="s">
        <v>195</v>
      </c>
      <c r="J112" s="13">
        <v>0</v>
      </c>
      <c r="K112" s="9" t="s">
        <v>345</v>
      </c>
      <c r="L112" s="9">
        <v>0</v>
      </c>
      <c r="M112" s="14" t="s">
        <v>346</v>
      </c>
    </row>
    <row r="113" ht="184" customHeight="1" spans="1:13">
      <c r="A113" s="9" t="s">
        <v>76</v>
      </c>
      <c r="B113" s="9" t="s">
        <v>391</v>
      </c>
      <c r="C113" s="9">
        <v>764</v>
      </c>
      <c r="D113" s="9">
        <v>762</v>
      </c>
      <c r="E113" s="9">
        <v>0</v>
      </c>
      <c r="F113" s="10">
        <v>1401712</v>
      </c>
      <c r="G113" s="10">
        <v>1438357</v>
      </c>
      <c r="H113" s="10" t="s">
        <v>195</v>
      </c>
      <c r="I113" s="10" t="s">
        <v>195</v>
      </c>
      <c r="J113" s="13">
        <v>0</v>
      </c>
      <c r="K113" s="9" t="s">
        <v>345</v>
      </c>
      <c r="L113" s="9">
        <v>0</v>
      </c>
      <c r="M113" s="14" t="s">
        <v>346</v>
      </c>
    </row>
    <row r="114" ht="184" customHeight="1" spans="1:13">
      <c r="A114" s="9" t="s">
        <v>76</v>
      </c>
      <c r="B114" s="9" t="s">
        <v>69</v>
      </c>
      <c r="C114" s="9">
        <v>25</v>
      </c>
      <c r="D114" s="9">
        <v>0</v>
      </c>
      <c r="E114" s="9">
        <v>0</v>
      </c>
      <c r="F114" s="10" t="s">
        <v>195</v>
      </c>
      <c r="G114" s="10" t="s">
        <v>195</v>
      </c>
      <c r="H114" s="10" t="s">
        <v>195</v>
      </c>
      <c r="I114" s="10" t="s">
        <v>195</v>
      </c>
      <c r="J114" s="13">
        <v>0</v>
      </c>
      <c r="K114" s="9" t="s">
        <v>345</v>
      </c>
      <c r="L114" s="9">
        <v>0</v>
      </c>
      <c r="M114" s="14" t="s">
        <v>346</v>
      </c>
    </row>
    <row r="115" ht="184" customHeight="1" spans="1:13">
      <c r="A115" s="9" t="s">
        <v>76</v>
      </c>
      <c r="B115" s="9" t="s">
        <v>146</v>
      </c>
      <c r="C115" s="9">
        <v>29</v>
      </c>
      <c r="D115" s="9">
        <v>0</v>
      </c>
      <c r="E115" s="9">
        <v>0</v>
      </c>
      <c r="F115" s="10" t="s">
        <v>195</v>
      </c>
      <c r="G115" s="10" t="s">
        <v>195</v>
      </c>
      <c r="H115" s="10" t="s">
        <v>195</v>
      </c>
      <c r="I115" s="10" t="s">
        <v>195</v>
      </c>
      <c r="J115" s="13">
        <v>0</v>
      </c>
      <c r="K115" s="9" t="s">
        <v>345</v>
      </c>
      <c r="L115" s="9">
        <v>0</v>
      </c>
      <c r="M115" s="14" t="s">
        <v>346</v>
      </c>
    </row>
    <row r="116" ht="184" customHeight="1" spans="1:13">
      <c r="A116" s="9" t="s">
        <v>76</v>
      </c>
      <c r="B116" s="9" t="s">
        <v>392</v>
      </c>
      <c r="C116" s="9">
        <v>1025</v>
      </c>
      <c r="D116" s="9">
        <v>1007</v>
      </c>
      <c r="E116" s="9">
        <v>0</v>
      </c>
      <c r="F116" s="10">
        <v>672430</v>
      </c>
      <c r="G116" s="10">
        <v>695386</v>
      </c>
      <c r="H116" s="10" t="s">
        <v>195</v>
      </c>
      <c r="I116" s="10" t="s">
        <v>195</v>
      </c>
      <c r="J116" s="13">
        <v>0</v>
      </c>
      <c r="K116" s="9" t="s">
        <v>345</v>
      </c>
      <c r="L116" s="9">
        <v>0</v>
      </c>
      <c r="M116" s="14" t="s">
        <v>346</v>
      </c>
    </row>
    <row r="117" ht="184" customHeight="1" spans="1:13">
      <c r="A117" s="9" t="s">
        <v>76</v>
      </c>
      <c r="B117" s="9" t="s">
        <v>393</v>
      </c>
      <c r="C117" s="9">
        <v>1585</v>
      </c>
      <c r="D117" s="9">
        <v>1585</v>
      </c>
      <c r="E117" s="9">
        <v>0</v>
      </c>
      <c r="F117" s="10">
        <v>1401564</v>
      </c>
      <c r="G117" s="10">
        <v>1473287</v>
      </c>
      <c r="H117" s="10" t="s">
        <v>195</v>
      </c>
      <c r="I117" s="10" t="s">
        <v>195</v>
      </c>
      <c r="J117" s="13">
        <v>0</v>
      </c>
      <c r="K117" s="9" t="s">
        <v>345</v>
      </c>
      <c r="L117" s="9">
        <v>0</v>
      </c>
      <c r="M117" s="14" t="s">
        <v>346</v>
      </c>
    </row>
    <row r="118" ht="184" customHeight="1" spans="1:13">
      <c r="A118" s="9" t="s">
        <v>76</v>
      </c>
      <c r="B118" s="9" t="s">
        <v>394</v>
      </c>
      <c r="C118" s="9">
        <v>1302</v>
      </c>
      <c r="D118" s="9">
        <v>1302</v>
      </c>
      <c r="E118" s="9">
        <v>0</v>
      </c>
      <c r="F118" s="10">
        <v>1401732</v>
      </c>
      <c r="G118" s="10">
        <v>1469461</v>
      </c>
      <c r="H118" s="10" t="s">
        <v>195</v>
      </c>
      <c r="I118" s="10" t="s">
        <v>195</v>
      </c>
      <c r="J118" s="13">
        <v>0</v>
      </c>
      <c r="K118" s="9" t="s">
        <v>345</v>
      </c>
      <c r="L118" s="9">
        <v>0</v>
      </c>
      <c r="M118" s="14" t="s">
        <v>346</v>
      </c>
    </row>
    <row r="119" ht="184" customHeight="1" spans="1:13">
      <c r="A119" s="9" t="s">
        <v>76</v>
      </c>
      <c r="B119" s="9" t="s">
        <v>395</v>
      </c>
      <c r="C119" s="9">
        <v>2</v>
      </c>
      <c r="D119" s="9">
        <v>0</v>
      </c>
      <c r="E119" s="9">
        <v>0</v>
      </c>
      <c r="F119" s="10" t="s">
        <v>195</v>
      </c>
      <c r="G119" s="10" t="s">
        <v>195</v>
      </c>
      <c r="H119" s="10" t="s">
        <v>195</v>
      </c>
      <c r="I119" s="10" t="s">
        <v>195</v>
      </c>
      <c r="J119" s="13">
        <v>0</v>
      </c>
      <c r="K119" s="9" t="s">
        <v>345</v>
      </c>
      <c r="L119" s="9">
        <v>0</v>
      </c>
      <c r="M119" s="14" t="s">
        <v>346</v>
      </c>
    </row>
    <row r="120" ht="184" customHeight="1" spans="1:13">
      <c r="A120" s="9" t="s">
        <v>76</v>
      </c>
      <c r="B120" s="9" t="s">
        <v>396</v>
      </c>
      <c r="C120" s="9">
        <v>235</v>
      </c>
      <c r="D120" s="9">
        <v>230</v>
      </c>
      <c r="E120" s="9">
        <v>0</v>
      </c>
      <c r="F120" s="10">
        <v>1401739</v>
      </c>
      <c r="G120" s="10">
        <v>1410925</v>
      </c>
      <c r="H120" s="10" t="s">
        <v>195</v>
      </c>
      <c r="I120" s="10" t="s">
        <v>195</v>
      </c>
      <c r="J120" s="13">
        <v>0</v>
      </c>
      <c r="K120" s="9" t="s">
        <v>345</v>
      </c>
      <c r="L120" s="9">
        <v>0</v>
      </c>
      <c r="M120" s="14" t="s">
        <v>346</v>
      </c>
    </row>
    <row r="121" ht="184" customHeight="1" spans="1:13">
      <c r="A121" s="9" t="s">
        <v>76</v>
      </c>
      <c r="B121" s="9" t="s">
        <v>352</v>
      </c>
      <c r="C121" s="9">
        <v>1895</v>
      </c>
      <c r="D121" s="9">
        <v>1894</v>
      </c>
      <c r="E121" s="9">
        <v>0</v>
      </c>
      <c r="F121" s="10">
        <v>1401345</v>
      </c>
      <c r="G121" s="10">
        <v>1474543</v>
      </c>
      <c r="H121" s="10" t="s">
        <v>195</v>
      </c>
      <c r="I121" s="10" t="s">
        <v>195</v>
      </c>
      <c r="J121" s="13">
        <v>0</v>
      </c>
      <c r="K121" s="9" t="s">
        <v>345</v>
      </c>
      <c r="L121" s="9">
        <v>0</v>
      </c>
      <c r="M121" s="14" t="s">
        <v>346</v>
      </c>
    </row>
    <row r="122" ht="184" customHeight="1" spans="1:13">
      <c r="A122" s="9" t="s">
        <v>76</v>
      </c>
      <c r="B122" s="9" t="s">
        <v>397</v>
      </c>
      <c r="C122" s="9">
        <v>929</v>
      </c>
      <c r="D122" s="9">
        <v>814</v>
      </c>
      <c r="E122" s="9">
        <v>0</v>
      </c>
      <c r="F122" s="10">
        <v>661164</v>
      </c>
      <c r="G122" s="10">
        <v>696370</v>
      </c>
      <c r="H122" s="10" t="s">
        <v>195</v>
      </c>
      <c r="I122" s="10" t="s">
        <v>195</v>
      </c>
      <c r="J122" s="13">
        <v>0</v>
      </c>
      <c r="K122" s="9" t="s">
        <v>345</v>
      </c>
      <c r="L122" s="9">
        <v>0</v>
      </c>
      <c r="M122" s="14" t="s">
        <v>346</v>
      </c>
    </row>
    <row r="123" ht="184" customHeight="1" spans="1:13">
      <c r="A123" s="9" t="s">
        <v>76</v>
      </c>
      <c r="B123" s="9" t="s">
        <v>133</v>
      </c>
      <c r="C123" s="9">
        <v>1</v>
      </c>
      <c r="D123" s="9">
        <v>1</v>
      </c>
      <c r="E123" s="9">
        <v>0</v>
      </c>
      <c r="F123" s="10">
        <v>1265544</v>
      </c>
      <c r="G123" s="10">
        <v>1265544</v>
      </c>
      <c r="H123" s="10" t="s">
        <v>195</v>
      </c>
      <c r="I123" s="10" t="s">
        <v>195</v>
      </c>
      <c r="J123" s="13">
        <v>0</v>
      </c>
      <c r="K123" s="9" t="s">
        <v>345</v>
      </c>
      <c r="L123" s="9">
        <v>0</v>
      </c>
      <c r="M123" s="14" t="s">
        <v>346</v>
      </c>
    </row>
    <row r="124" ht="184" customHeight="1" spans="1:13">
      <c r="A124" s="9" t="s">
        <v>76</v>
      </c>
      <c r="B124" s="9" t="s">
        <v>398</v>
      </c>
      <c r="C124" s="9">
        <v>529</v>
      </c>
      <c r="D124" s="9">
        <v>529</v>
      </c>
      <c r="E124" s="9">
        <v>0</v>
      </c>
      <c r="F124" s="10">
        <v>1249547</v>
      </c>
      <c r="G124" s="10">
        <v>1373519</v>
      </c>
      <c r="H124" s="10" t="s">
        <v>195</v>
      </c>
      <c r="I124" s="10" t="s">
        <v>195</v>
      </c>
      <c r="J124" s="13">
        <v>0</v>
      </c>
      <c r="K124" s="9" t="s">
        <v>345</v>
      </c>
      <c r="L124" s="9">
        <v>0</v>
      </c>
      <c r="M124" s="14" t="s">
        <v>346</v>
      </c>
    </row>
    <row r="125" ht="184" customHeight="1" spans="1:13">
      <c r="A125" s="9" t="s">
        <v>76</v>
      </c>
      <c r="B125" s="9" t="s">
        <v>399</v>
      </c>
      <c r="C125" s="9">
        <v>981</v>
      </c>
      <c r="D125" s="9">
        <v>981</v>
      </c>
      <c r="E125" s="9">
        <v>0</v>
      </c>
      <c r="F125" s="10">
        <v>657172</v>
      </c>
      <c r="G125" s="10">
        <v>695318</v>
      </c>
      <c r="H125" s="10" t="s">
        <v>195</v>
      </c>
      <c r="I125" s="10" t="s">
        <v>195</v>
      </c>
      <c r="J125" s="13">
        <v>0</v>
      </c>
      <c r="K125" s="9" t="s">
        <v>345</v>
      </c>
      <c r="L125" s="9">
        <v>0</v>
      </c>
      <c r="M125" s="14" t="s">
        <v>346</v>
      </c>
    </row>
    <row r="126" ht="184" customHeight="1" spans="1:13">
      <c r="A126" s="9" t="s">
        <v>76</v>
      </c>
      <c r="B126" s="9" t="s">
        <v>41</v>
      </c>
      <c r="C126" s="9">
        <v>533</v>
      </c>
      <c r="D126" s="9">
        <v>533</v>
      </c>
      <c r="E126" s="9">
        <v>0</v>
      </c>
      <c r="F126" s="10">
        <v>661663</v>
      </c>
      <c r="G126" s="10">
        <v>695516</v>
      </c>
      <c r="H126" s="10" t="s">
        <v>195</v>
      </c>
      <c r="I126" s="10" t="s">
        <v>195</v>
      </c>
      <c r="J126" s="13">
        <v>0</v>
      </c>
      <c r="K126" s="9" t="s">
        <v>345</v>
      </c>
      <c r="L126" s="9">
        <v>0</v>
      </c>
      <c r="M126" s="14" t="s">
        <v>346</v>
      </c>
    </row>
    <row r="127" ht="184" customHeight="1" spans="1:13">
      <c r="A127" s="9" t="s">
        <v>76</v>
      </c>
      <c r="B127" s="9" t="s">
        <v>110</v>
      </c>
      <c r="C127" s="9">
        <v>152</v>
      </c>
      <c r="D127" s="9">
        <v>136</v>
      </c>
      <c r="E127" s="9">
        <v>0</v>
      </c>
      <c r="F127" s="10">
        <v>696418</v>
      </c>
      <c r="G127" s="10">
        <v>697005</v>
      </c>
      <c r="H127" s="10" t="s">
        <v>195</v>
      </c>
      <c r="I127" s="10" t="s">
        <v>195</v>
      </c>
      <c r="J127" s="13">
        <v>0</v>
      </c>
      <c r="K127" s="9" t="s">
        <v>345</v>
      </c>
      <c r="L127" s="9">
        <v>0</v>
      </c>
      <c r="M127" s="14" t="s">
        <v>346</v>
      </c>
    </row>
    <row r="128" ht="184" customHeight="1" spans="1:13">
      <c r="A128" s="9" t="s">
        <v>76</v>
      </c>
      <c r="B128" s="9" t="s">
        <v>400</v>
      </c>
      <c r="C128" s="9">
        <v>101</v>
      </c>
      <c r="D128" s="9">
        <v>99</v>
      </c>
      <c r="E128" s="9">
        <v>0</v>
      </c>
      <c r="F128" s="10">
        <v>1257601</v>
      </c>
      <c r="G128" s="10">
        <v>1276973</v>
      </c>
      <c r="H128" s="10" t="s">
        <v>195</v>
      </c>
      <c r="I128" s="10" t="s">
        <v>195</v>
      </c>
      <c r="J128" s="13">
        <v>0</v>
      </c>
      <c r="K128" s="9" t="s">
        <v>345</v>
      </c>
      <c r="L128" s="9">
        <v>0</v>
      </c>
      <c r="M128" s="14" t="s">
        <v>346</v>
      </c>
    </row>
    <row r="129" ht="184" customHeight="1" spans="1:13">
      <c r="A129" s="9" t="s">
        <v>76</v>
      </c>
      <c r="B129" s="9" t="s">
        <v>401</v>
      </c>
      <c r="C129" s="9">
        <v>360</v>
      </c>
      <c r="D129" s="9">
        <v>360</v>
      </c>
      <c r="E129" s="9">
        <v>0</v>
      </c>
      <c r="F129" s="10">
        <v>1401372</v>
      </c>
      <c r="G129" s="10">
        <v>1437239</v>
      </c>
      <c r="H129" s="10" t="s">
        <v>195</v>
      </c>
      <c r="I129" s="10" t="s">
        <v>195</v>
      </c>
      <c r="J129" s="13">
        <v>0</v>
      </c>
      <c r="K129" s="9" t="s">
        <v>345</v>
      </c>
      <c r="L129" s="9">
        <v>0</v>
      </c>
      <c r="M129" s="14" t="s">
        <v>346</v>
      </c>
    </row>
    <row r="130" ht="184" customHeight="1" spans="1:13">
      <c r="A130" s="9" t="s">
        <v>76</v>
      </c>
      <c r="B130" s="9" t="s">
        <v>144</v>
      </c>
      <c r="C130" s="9">
        <v>1335</v>
      </c>
      <c r="D130" s="9">
        <v>1334</v>
      </c>
      <c r="E130" s="9">
        <v>0</v>
      </c>
      <c r="F130" s="10">
        <v>1401335</v>
      </c>
      <c r="G130" s="10">
        <v>1436893</v>
      </c>
      <c r="H130" s="10" t="s">
        <v>195</v>
      </c>
      <c r="I130" s="10" t="s">
        <v>195</v>
      </c>
      <c r="J130" s="13">
        <v>0</v>
      </c>
      <c r="K130" s="9" t="s">
        <v>345</v>
      </c>
      <c r="L130" s="9">
        <v>0</v>
      </c>
      <c r="M130" s="14" t="s">
        <v>346</v>
      </c>
    </row>
    <row r="131" ht="184" customHeight="1" spans="1:13">
      <c r="A131" s="9" t="s">
        <v>76</v>
      </c>
      <c r="B131" s="9" t="s">
        <v>402</v>
      </c>
      <c r="C131" s="9">
        <v>515</v>
      </c>
      <c r="D131" s="9">
        <v>514</v>
      </c>
      <c r="E131" s="9">
        <v>0</v>
      </c>
      <c r="F131" s="10">
        <v>1401428</v>
      </c>
      <c r="G131" s="10">
        <v>1437188</v>
      </c>
      <c r="H131" s="10" t="s">
        <v>195</v>
      </c>
      <c r="I131" s="10" t="s">
        <v>195</v>
      </c>
      <c r="J131" s="13">
        <v>0</v>
      </c>
      <c r="K131" s="9" t="s">
        <v>345</v>
      </c>
      <c r="L131" s="9">
        <v>0</v>
      </c>
      <c r="M131" s="14" t="s">
        <v>346</v>
      </c>
    </row>
    <row r="132" ht="184" customHeight="1" spans="1:13">
      <c r="A132" s="9" t="s">
        <v>76</v>
      </c>
      <c r="B132" s="9" t="s">
        <v>403</v>
      </c>
      <c r="C132" s="9">
        <v>611</v>
      </c>
      <c r="D132" s="9">
        <v>610</v>
      </c>
      <c r="E132" s="9">
        <v>0</v>
      </c>
      <c r="F132" s="10">
        <v>1401688</v>
      </c>
      <c r="G132" s="10">
        <v>1468581</v>
      </c>
      <c r="H132" s="10" t="s">
        <v>195</v>
      </c>
      <c r="I132" s="10" t="s">
        <v>195</v>
      </c>
      <c r="J132" s="13">
        <v>0</v>
      </c>
      <c r="K132" s="9" t="s">
        <v>345</v>
      </c>
      <c r="L132" s="9">
        <v>0</v>
      </c>
      <c r="M132" s="14" t="s">
        <v>346</v>
      </c>
    </row>
    <row r="133" ht="184" customHeight="1" spans="1:13">
      <c r="A133" s="9" t="s">
        <v>76</v>
      </c>
      <c r="B133" s="9" t="s">
        <v>404</v>
      </c>
      <c r="C133" s="9">
        <v>262</v>
      </c>
      <c r="D133" s="9">
        <v>259</v>
      </c>
      <c r="E133" s="9">
        <v>0</v>
      </c>
      <c r="F133" s="10">
        <v>1401712</v>
      </c>
      <c r="G133" s="10">
        <v>1436160</v>
      </c>
      <c r="H133" s="10" t="s">
        <v>195</v>
      </c>
      <c r="I133" s="10" t="s">
        <v>195</v>
      </c>
      <c r="J133" s="13">
        <v>0</v>
      </c>
      <c r="K133" s="9" t="s">
        <v>345</v>
      </c>
      <c r="L133" s="9">
        <v>0</v>
      </c>
      <c r="M133" s="14" t="s">
        <v>346</v>
      </c>
    </row>
    <row r="134" ht="184" customHeight="1" spans="1:13">
      <c r="A134" s="9" t="s">
        <v>76</v>
      </c>
      <c r="B134" s="9" t="s">
        <v>166</v>
      </c>
      <c r="C134" s="9">
        <v>1355</v>
      </c>
      <c r="D134" s="9">
        <v>1353</v>
      </c>
      <c r="E134" s="9">
        <v>0</v>
      </c>
      <c r="F134" s="10">
        <v>1401729</v>
      </c>
      <c r="G134" s="10">
        <v>1461421</v>
      </c>
      <c r="H134" s="10" t="s">
        <v>195</v>
      </c>
      <c r="I134" s="10" t="s">
        <v>195</v>
      </c>
      <c r="J134" s="13">
        <v>0</v>
      </c>
      <c r="K134" s="9" t="s">
        <v>345</v>
      </c>
      <c r="L134" s="9">
        <v>0</v>
      </c>
      <c r="M134" s="14" t="s">
        <v>346</v>
      </c>
    </row>
    <row r="135" ht="184" customHeight="1" spans="1:13">
      <c r="A135" s="9" t="s">
        <v>76</v>
      </c>
      <c r="B135" s="9" t="s">
        <v>405</v>
      </c>
      <c r="C135" s="9">
        <v>885</v>
      </c>
      <c r="D135" s="9">
        <v>885</v>
      </c>
      <c r="E135" s="9">
        <v>0</v>
      </c>
      <c r="F135" s="10">
        <v>1401758</v>
      </c>
      <c r="G135" s="10">
        <v>1458254</v>
      </c>
      <c r="H135" s="10" t="s">
        <v>195</v>
      </c>
      <c r="I135" s="10" t="s">
        <v>195</v>
      </c>
      <c r="J135" s="13">
        <v>0</v>
      </c>
      <c r="K135" s="9" t="s">
        <v>345</v>
      </c>
      <c r="L135" s="9">
        <v>0</v>
      </c>
      <c r="M135" s="14" t="s">
        <v>346</v>
      </c>
    </row>
    <row r="136" ht="184" customHeight="1" spans="1:13">
      <c r="A136" s="9" t="s">
        <v>76</v>
      </c>
      <c r="B136" s="9" t="s">
        <v>406</v>
      </c>
      <c r="C136" s="9">
        <v>295</v>
      </c>
      <c r="D136" s="9">
        <v>295</v>
      </c>
      <c r="E136" s="9">
        <v>0</v>
      </c>
      <c r="F136" s="10">
        <v>1401361</v>
      </c>
      <c r="G136" s="10">
        <v>1422031</v>
      </c>
      <c r="H136" s="10" t="s">
        <v>195</v>
      </c>
      <c r="I136" s="10" t="s">
        <v>195</v>
      </c>
      <c r="J136" s="13">
        <v>0</v>
      </c>
      <c r="K136" s="9" t="s">
        <v>345</v>
      </c>
      <c r="L136" s="9">
        <v>0</v>
      </c>
      <c r="M136" s="14" t="s">
        <v>346</v>
      </c>
    </row>
    <row r="137" ht="184" customHeight="1" spans="1:13">
      <c r="A137" s="9" t="s">
        <v>76</v>
      </c>
      <c r="B137" s="9" t="s">
        <v>407</v>
      </c>
      <c r="C137" s="9">
        <v>1396</v>
      </c>
      <c r="D137" s="9">
        <v>1395</v>
      </c>
      <c r="E137" s="9">
        <v>0</v>
      </c>
      <c r="F137" s="10">
        <v>1401347</v>
      </c>
      <c r="G137" s="10">
        <v>1467082</v>
      </c>
      <c r="H137" s="10" t="s">
        <v>195</v>
      </c>
      <c r="I137" s="10" t="s">
        <v>195</v>
      </c>
      <c r="J137" s="13">
        <v>0</v>
      </c>
      <c r="K137" s="9" t="s">
        <v>345</v>
      </c>
      <c r="L137" s="9">
        <v>0</v>
      </c>
      <c r="M137" s="14" t="s">
        <v>346</v>
      </c>
    </row>
    <row r="138" ht="184" customHeight="1" spans="1:13">
      <c r="A138" s="9" t="s">
        <v>76</v>
      </c>
      <c r="B138" s="9" t="s">
        <v>365</v>
      </c>
      <c r="C138" s="9">
        <v>5138</v>
      </c>
      <c r="D138" s="9">
        <v>5090</v>
      </c>
      <c r="E138" s="9">
        <v>0</v>
      </c>
      <c r="F138" s="10">
        <v>143307</v>
      </c>
      <c r="G138" s="10">
        <v>152938</v>
      </c>
      <c r="H138" s="10" t="s">
        <v>195</v>
      </c>
      <c r="I138" s="10" t="s">
        <v>195</v>
      </c>
      <c r="J138" s="13">
        <v>0</v>
      </c>
      <c r="K138" s="9" t="s">
        <v>345</v>
      </c>
      <c r="L138" s="9">
        <v>0</v>
      </c>
      <c r="M138" s="14" t="s">
        <v>346</v>
      </c>
    </row>
    <row r="139" spans="1:13">
      <c r="A139" s="7" t="s">
        <v>97</v>
      </c>
      <c r="B139" s="7" t="s">
        <v>54</v>
      </c>
      <c r="C139" s="7">
        <v>19721</v>
      </c>
      <c r="D139" s="7">
        <v>19657</v>
      </c>
      <c r="E139" s="7">
        <v>18567</v>
      </c>
      <c r="F139" s="8">
        <v>658474</v>
      </c>
      <c r="G139" s="8">
        <v>1242978</v>
      </c>
      <c r="H139" s="8">
        <v>699097</v>
      </c>
      <c r="I139" s="8">
        <v>1242978</v>
      </c>
      <c r="J139" s="11">
        <f t="shared" ref="J139:J180" si="2">(I139-H139)/1000</f>
        <v>543.881</v>
      </c>
      <c r="K139" s="7" t="s">
        <v>319</v>
      </c>
      <c r="L139" s="7">
        <v>124</v>
      </c>
      <c r="M139" s="12" t="s">
        <v>320</v>
      </c>
    </row>
    <row r="140" spans="1:13">
      <c r="A140" s="7" t="s">
        <v>97</v>
      </c>
      <c r="B140" s="7" t="s">
        <v>98</v>
      </c>
      <c r="C140" s="7">
        <v>37257</v>
      </c>
      <c r="D140" s="7">
        <v>37206</v>
      </c>
      <c r="E140" s="7">
        <v>34414</v>
      </c>
      <c r="F140" s="8">
        <v>656328</v>
      </c>
      <c r="G140" s="8">
        <v>1437058</v>
      </c>
      <c r="H140" s="8">
        <v>699092</v>
      </c>
      <c r="I140" s="8">
        <v>1242951</v>
      </c>
      <c r="J140" s="11">
        <f t="shared" si="2"/>
        <v>543.859</v>
      </c>
      <c r="K140" s="7" t="s">
        <v>319</v>
      </c>
      <c r="L140" s="7">
        <v>124</v>
      </c>
      <c r="M140" s="12" t="s">
        <v>320</v>
      </c>
    </row>
    <row r="141" spans="1:13">
      <c r="A141" s="7" t="s">
        <v>97</v>
      </c>
      <c r="B141" s="7" t="s">
        <v>36</v>
      </c>
      <c r="C141" s="7">
        <v>37375</v>
      </c>
      <c r="D141" s="7">
        <v>37336</v>
      </c>
      <c r="E141" s="7">
        <v>34553</v>
      </c>
      <c r="F141" s="8">
        <v>657360</v>
      </c>
      <c r="G141" s="8">
        <v>1453268</v>
      </c>
      <c r="H141" s="8">
        <v>699079</v>
      </c>
      <c r="I141" s="8">
        <v>1242938</v>
      </c>
      <c r="J141" s="11">
        <f t="shared" si="2"/>
        <v>543.859</v>
      </c>
      <c r="K141" s="7" t="s">
        <v>319</v>
      </c>
      <c r="L141" s="7">
        <v>124</v>
      </c>
      <c r="M141" s="12" t="s">
        <v>320</v>
      </c>
    </row>
    <row r="142" spans="1:13">
      <c r="A142" s="7" t="s">
        <v>97</v>
      </c>
      <c r="B142" s="7" t="s">
        <v>39</v>
      </c>
      <c r="C142" s="7">
        <v>24539</v>
      </c>
      <c r="D142" s="7">
        <v>24190</v>
      </c>
      <c r="E142" s="7">
        <v>21073</v>
      </c>
      <c r="F142" s="8">
        <v>661626</v>
      </c>
      <c r="G142" s="8">
        <v>1499163</v>
      </c>
      <c r="H142" s="8">
        <v>699096</v>
      </c>
      <c r="I142" s="8">
        <v>1242938</v>
      </c>
      <c r="J142" s="11">
        <f t="shared" si="2"/>
        <v>543.842</v>
      </c>
      <c r="K142" s="7" t="s">
        <v>319</v>
      </c>
      <c r="L142" s="7">
        <v>124</v>
      </c>
      <c r="M142" s="12" t="s">
        <v>320</v>
      </c>
    </row>
    <row r="143" spans="1:13">
      <c r="A143" s="7" t="s">
        <v>97</v>
      </c>
      <c r="B143" s="7" t="s">
        <v>78</v>
      </c>
      <c r="C143" s="7">
        <v>20051</v>
      </c>
      <c r="D143" s="7">
        <v>20038</v>
      </c>
      <c r="E143" s="7">
        <v>19114</v>
      </c>
      <c r="F143" s="8">
        <v>661455</v>
      </c>
      <c r="G143" s="8">
        <v>1242719</v>
      </c>
      <c r="H143" s="8">
        <v>699072</v>
      </c>
      <c r="I143" s="8">
        <v>1242719</v>
      </c>
      <c r="J143" s="11">
        <f t="shared" si="2"/>
        <v>543.647</v>
      </c>
      <c r="K143" s="7" t="s">
        <v>319</v>
      </c>
      <c r="L143" s="7">
        <v>124</v>
      </c>
      <c r="M143" s="12" t="s">
        <v>320</v>
      </c>
    </row>
    <row r="144" spans="1:13">
      <c r="A144" s="7" t="s">
        <v>97</v>
      </c>
      <c r="B144" s="7" t="s">
        <v>100</v>
      </c>
      <c r="C144" s="7">
        <v>18944</v>
      </c>
      <c r="D144" s="7">
        <v>18918</v>
      </c>
      <c r="E144" s="7">
        <v>17621</v>
      </c>
      <c r="F144" s="8">
        <v>658772</v>
      </c>
      <c r="G144" s="8">
        <v>1436311</v>
      </c>
      <c r="H144" s="8">
        <v>699099</v>
      </c>
      <c r="I144" s="8">
        <v>1242744</v>
      </c>
      <c r="J144" s="11">
        <f t="shared" si="2"/>
        <v>543.645</v>
      </c>
      <c r="K144" s="7" t="s">
        <v>319</v>
      </c>
      <c r="L144" s="7">
        <v>124</v>
      </c>
      <c r="M144" s="12" t="s">
        <v>320</v>
      </c>
    </row>
    <row r="145" spans="1:13">
      <c r="A145" s="7" t="s">
        <v>97</v>
      </c>
      <c r="B145" s="7" t="s">
        <v>63</v>
      </c>
      <c r="C145" s="7">
        <v>17831</v>
      </c>
      <c r="D145" s="7">
        <v>17824</v>
      </c>
      <c r="E145" s="7">
        <v>17585</v>
      </c>
      <c r="F145" s="8">
        <v>695661</v>
      </c>
      <c r="G145" s="8">
        <v>1241996</v>
      </c>
      <c r="H145" s="8">
        <v>699089</v>
      </c>
      <c r="I145" s="8">
        <v>1241996</v>
      </c>
      <c r="J145" s="11">
        <f t="shared" si="2"/>
        <v>542.907</v>
      </c>
      <c r="K145" s="7" t="s">
        <v>319</v>
      </c>
      <c r="L145" s="7">
        <v>124</v>
      </c>
      <c r="M145" s="12" t="s">
        <v>320</v>
      </c>
    </row>
    <row r="146" spans="1:13">
      <c r="A146" s="7" t="s">
        <v>97</v>
      </c>
      <c r="B146" s="7" t="s">
        <v>99</v>
      </c>
      <c r="C146" s="7">
        <v>30489</v>
      </c>
      <c r="D146" s="7">
        <v>30452</v>
      </c>
      <c r="E146" s="7">
        <v>28965</v>
      </c>
      <c r="F146" s="8">
        <v>657172</v>
      </c>
      <c r="G146" s="8">
        <v>1240727</v>
      </c>
      <c r="H146" s="8">
        <v>699078</v>
      </c>
      <c r="I146" s="8">
        <v>1240727</v>
      </c>
      <c r="J146" s="11">
        <f t="shared" si="2"/>
        <v>541.649</v>
      </c>
      <c r="K146" s="7" t="s">
        <v>319</v>
      </c>
      <c r="L146" s="7">
        <v>124</v>
      </c>
      <c r="M146" s="12" t="s">
        <v>320</v>
      </c>
    </row>
    <row r="147" ht="34" customHeight="1" spans="1:13">
      <c r="A147" s="7" t="s">
        <v>97</v>
      </c>
      <c r="B147" s="7" t="s">
        <v>37</v>
      </c>
      <c r="C147" s="7">
        <v>26111</v>
      </c>
      <c r="D147" s="7">
        <v>26111</v>
      </c>
      <c r="E147" s="7">
        <v>24933</v>
      </c>
      <c r="F147" s="8">
        <v>672434</v>
      </c>
      <c r="G147" s="8">
        <v>1205640</v>
      </c>
      <c r="H147" s="8">
        <v>699086</v>
      </c>
      <c r="I147" s="8">
        <v>1205640</v>
      </c>
      <c r="J147" s="11">
        <f t="shared" si="2"/>
        <v>506.554</v>
      </c>
      <c r="K147" s="7" t="s">
        <v>319</v>
      </c>
      <c r="L147" s="7">
        <v>117</v>
      </c>
      <c r="M147" s="12" t="s">
        <v>408</v>
      </c>
    </row>
    <row r="148" ht="49" customHeight="1" spans="1:13">
      <c r="A148" s="7" t="s">
        <v>97</v>
      </c>
      <c r="B148" s="7" t="s">
        <v>94</v>
      </c>
      <c r="C148" s="7">
        <v>18640</v>
      </c>
      <c r="D148" s="7">
        <v>18633</v>
      </c>
      <c r="E148" s="7">
        <v>17888</v>
      </c>
      <c r="F148" s="8">
        <v>748231</v>
      </c>
      <c r="G148" s="8">
        <v>1493669</v>
      </c>
      <c r="H148" s="8">
        <v>748231</v>
      </c>
      <c r="I148" s="8">
        <v>1240722</v>
      </c>
      <c r="J148" s="11">
        <f t="shared" si="2"/>
        <v>492.491</v>
      </c>
      <c r="K148" s="7" t="s">
        <v>319</v>
      </c>
      <c r="L148" s="7">
        <v>113</v>
      </c>
      <c r="M148" s="12" t="s">
        <v>409</v>
      </c>
    </row>
    <row r="149" ht="64" customHeight="1" spans="1:13">
      <c r="A149" s="7" t="s">
        <v>97</v>
      </c>
      <c r="B149" s="7" t="s">
        <v>93</v>
      </c>
      <c r="C149" s="7">
        <v>16809</v>
      </c>
      <c r="D149" s="7">
        <v>16768</v>
      </c>
      <c r="E149" s="7">
        <v>14921</v>
      </c>
      <c r="F149" s="8">
        <v>779842</v>
      </c>
      <c r="G149" s="8">
        <v>1484547</v>
      </c>
      <c r="H149" s="8">
        <v>779842</v>
      </c>
      <c r="I149" s="8">
        <v>1240664</v>
      </c>
      <c r="J149" s="11">
        <f t="shared" si="2"/>
        <v>460.822</v>
      </c>
      <c r="K149" s="7" t="s">
        <v>319</v>
      </c>
      <c r="L149" s="7">
        <v>106</v>
      </c>
      <c r="M149" s="12" t="s">
        <v>410</v>
      </c>
    </row>
    <row r="150" ht="94" customHeight="1" spans="1:13">
      <c r="A150" s="7" t="s">
        <v>97</v>
      </c>
      <c r="B150" s="7" t="s">
        <v>101</v>
      </c>
      <c r="C150" s="7">
        <v>24812</v>
      </c>
      <c r="D150" s="7">
        <v>24663</v>
      </c>
      <c r="E150" s="7">
        <v>23732</v>
      </c>
      <c r="F150" s="8">
        <v>695604</v>
      </c>
      <c r="G150" s="8">
        <v>1131494</v>
      </c>
      <c r="H150" s="8">
        <v>699078</v>
      </c>
      <c r="I150" s="8">
        <v>1131494</v>
      </c>
      <c r="J150" s="11">
        <f t="shared" si="2"/>
        <v>432.416</v>
      </c>
      <c r="K150" s="7" t="s">
        <v>319</v>
      </c>
      <c r="L150" s="7">
        <v>98</v>
      </c>
      <c r="M150" s="12" t="s">
        <v>411</v>
      </c>
    </row>
    <row r="151" ht="169" customHeight="1" spans="1:13">
      <c r="A151" s="7" t="s">
        <v>97</v>
      </c>
      <c r="B151" s="7" t="s">
        <v>80</v>
      </c>
      <c r="C151" s="7">
        <v>15754</v>
      </c>
      <c r="D151" s="7">
        <v>15508</v>
      </c>
      <c r="E151" s="7">
        <v>15098</v>
      </c>
      <c r="F151" s="8">
        <v>4605</v>
      </c>
      <c r="G151" s="8">
        <v>1028913</v>
      </c>
      <c r="H151" s="8">
        <v>699074</v>
      </c>
      <c r="I151" s="8">
        <v>1028913</v>
      </c>
      <c r="J151" s="11">
        <f t="shared" si="2"/>
        <v>329.839</v>
      </c>
      <c r="K151" s="7" t="s">
        <v>319</v>
      </c>
      <c r="L151" s="7">
        <v>77</v>
      </c>
      <c r="M151" s="12" t="s">
        <v>370</v>
      </c>
    </row>
    <row r="152" ht="169" customHeight="1" spans="1:13">
      <c r="A152" s="7" t="s">
        <v>97</v>
      </c>
      <c r="B152" s="7" t="s">
        <v>46</v>
      </c>
      <c r="C152" s="7">
        <v>18462</v>
      </c>
      <c r="D152" s="7">
        <v>18439</v>
      </c>
      <c r="E152" s="7">
        <v>16966</v>
      </c>
      <c r="F152" s="8">
        <v>657191</v>
      </c>
      <c r="G152" s="8">
        <v>1028882</v>
      </c>
      <c r="H152" s="8">
        <v>699077</v>
      </c>
      <c r="I152" s="8">
        <v>1028882</v>
      </c>
      <c r="J152" s="11">
        <f t="shared" si="2"/>
        <v>329.805</v>
      </c>
      <c r="K152" s="7" t="s">
        <v>319</v>
      </c>
      <c r="L152" s="7">
        <v>77</v>
      </c>
      <c r="M152" s="12" t="s">
        <v>370</v>
      </c>
    </row>
    <row r="153" ht="169" customHeight="1" spans="1:13">
      <c r="A153" s="7" t="s">
        <v>97</v>
      </c>
      <c r="B153" s="7" t="s">
        <v>40</v>
      </c>
      <c r="C153" s="7">
        <v>12773</v>
      </c>
      <c r="D153" s="7">
        <v>12771</v>
      </c>
      <c r="E153" s="7">
        <v>11160</v>
      </c>
      <c r="F153" s="8">
        <v>917770</v>
      </c>
      <c r="G153" s="8">
        <v>1494757</v>
      </c>
      <c r="H153" s="8">
        <v>917770</v>
      </c>
      <c r="I153" s="8">
        <v>1240694</v>
      </c>
      <c r="J153" s="11">
        <f t="shared" si="2"/>
        <v>322.924</v>
      </c>
      <c r="K153" s="7" t="s">
        <v>319</v>
      </c>
      <c r="L153" s="7">
        <v>79</v>
      </c>
      <c r="M153" s="12" t="s">
        <v>371</v>
      </c>
    </row>
    <row r="154" ht="184" customHeight="1" spans="1:13">
      <c r="A154" s="7" t="s">
        <v>97</v>
      </c>
      <c r="B154" s="7" t="s">
        <v>52</v>
      </c>
      <c r="C154" s="7">
        <v>24773</v>
      </c>
      <c r="D154" s="7">
        <v>24712</v>
      </c>
      <c r="E154" s="7">
        <v>24387</v>
      </c>
      <c r="F154" s="8">
        <v>920520</v>
      </c>
      <c r="G154" s="8">
        <v>1436372</v>
      </c>
      <c r="H154" s="8">
        <v>920520</v>
      </c>
      <c r="I154" s="8">
        <v>1242984</v>
      </c>
      <c r="J154" s="11">
        <f t="shared" si="2"/>
        <v>322.464</v>
      </c>
      <c r="K154" s="7" t="s">
        <v>319</v>
      </c>
      <c r="L154" s="7">
        <v>78</v>
      </c>
      <c r="M154" s="12" t="s">
        <v>323</v>
      </c>
    </row>
    <row r="155" ht="184" customHeight="1" spans="1:13">
      <c r="A155" s="7" t="s">
        <v>97</v>
      </c>
      <c r="B155" s="7" t="s">
        <v>49</v>
      </c>
      <c r="C155" s="7">
        <v>12891</v>
      </c>
      <c r="D155" s="7">
        <v>12829</v>
      </c>
      <c r="E155" s="7">
        <v>11644</v>
      </c>
      <c r="F155" s="8">
        <v>921251</v>
      </c>
      <c r="G155" s="8">
        <v>1448985</v>
      </c>
      <c r="H155" s="8">
        <v>921251</v>
      </c>
      <c r="I155" s="8">
        <v>1242984</v>
      </c>
      <c r="J155" s="11">
        <f t="shared" si="2"/>
        <v>321.733</v>
      </c>
      <c r="K155" s="7" t="s">
        <v>319</v>
      </c>
      <c r="L155" s="7">
        <v>78</v>
      </c>
      <c r="M155" s="12" t="s">
        <v>323</v>
      </c>
    </row>
    <row r="156" ht="184" customHeight="1" spans="1:13">
      <c r="A156" s="7" t="s">
        <v>97</v>
      </c>
      <c r="B156" s="7" t="s">
        <v>103</v>
      </c>
      <c r="C156" s="7">
        <v>13192</v>
      </c>
      <c r="D156" s="7">
        <v>13178</v>
      </c>
      <c r="E156" s="7">
        <v>13178</v>
      </c>
      <c r="F156" s="8">
        <v>921046</v>
      </c>
      <c r="G156" s="8">
        <v>1240715</v>
      </c>
      <c r="H156" s="8">
        <v>921046</v>
      </c>
      <c r="I156" s="8">
        <v>1240715</v>
      </c>
      <c r="J156" s="11">
        <f t="shared" si="2"/>
        <v>319.669</v>
      </c>
      <c r="K156" s="7" t="s">
        <v>319</v>
      </c>
      <c r="L156" s="7">
        <v>78</v>
      </c>
      <c r="M156" s="12" t="s">
        <v>323</v>
      </c>
    </row>
    <row r="157" ht="184" customHeight="1" spans="1:13">
      <c r="A157" s="7" t="s">
        <v>97</v>
      </c>
      <c r="B157" s="7" t="s">
        <v>86</v>
      </c>
      <c r="C157" s="7">
        <v>11437</v>
      </c>
      <c r="D157" s="7">
        <v>11425</v>
      </c>
      <c r="E157" s="7">
        <v>10773</v>
      </c>
      <c r="F157" s="8">
        <v>921756</v>
      </c>
      <c r="G157" s="8">
        <v>1448374</v>
      </c>
      <c r="H157" s="8">
        <v>921756</v>
      </c>
      <c r="I157" s="8">
        <v>1240552</v>
      </c>
      <c r="J157" s="11">
        <f t="shared" si="2"/>
        <v>318.796</v>
      </c>
      <c r="K157" s="7" t="s">
        <v>319</v>
      </c>
      <c r="L157" s="7">
        <v>78</v>
      </c>
      <c r="M157" s="12" t="s">
        <v>323</v>
      </c>
    </row>
    <row r="158" ht="184" customHeight="1" spans="1:13">
      <c r="A158" s="7" t="s">
        <v>97</v>
      </c>
      <c r="B158" s="7" t="s">
        <v>88</v>
      </c>
      <c r="C158" s="7">
        <v>10473</v>
      </c>
      <c r="D158" s="7">
        <v>10433</v>
      </c>
      <c r="E158" s="7">
        <v>10433</v>
      </c>
      <c r="F158" s="8">
        <v>824625</v>
      </c>
      <c r="G158" s="8">
        <v>1091805</v>
      </c>
      <c r="H158" s="8">
        <v>824625</v>
      </c>
      <c r="I158" s="8">
        <v>1091805</v>
      </c>
      <c r="J158" s="11">
        <f t="shared" si="2"/>
        <v>267.18</v>
      </c>
      <c r="K158" s="7" t="s">
        <v>319</v>
      </c>
      <c r="L158" s="7">
        <v>64</v>
      </c>
      <c r="M158" s="12" t="s">
        <v>412</v>
      </c>
    </row>
    <row r="159" ht="199" customHeight="1" spans="1:13">
      <c r="A159" s="7" t="s">
        <v>97</v>
      </c>
      <c r="B159" s="7" t="s">
        <v>87</v>
      </c>
      <c r="C159" s="7">
        <v>38999</v>
      </c>
      <c r="D159" s="7">
        <v>37551</v>
      </c>
      <c r="E159" s="7">
        <v>37551</v>
      </c>
      <c r="F159" s="8">
        <v>920270</v>
      </c>
      <c r="G159" s="8">
        <v>1174516</v>
      </c>
      <c r="H159" s="8">
        <v>920270</v>
      </c>
      <c r="I159" s="8">
        <v>1174516</v>
      </c>
      <c r="J159" s="11">
        <f t="shared" si="2"/>
        <v>254.246</v>
      </c>
      <c r="K159" s="7" t="s">
        <v>319</v>
      </c>
      <c r="L159" s="7">
        <v>63</v>
      </c>
      <c r="M159" s="12" t="s">
        <v>326</v>
      </c>
    </row>
    <row r="160" ht="199" customHeight="1" spans="1:13">
      <c r="A160" s="7" t="s">
        <v>97</v>
      </c>
      <c r="B160" s="7" t="s">
        <v>102</v>
      </c>
      <c r="C160" s="7">
        <v>20034</v>
      </c>
      <c r="D160" s="7">
        <v>19986</v>
      </c>
      <c r="E160" s="7">
        <v>19986</v>
      </c>
      <c r="F160" s="8">
        <v>921720</v>
      </c>
      <c r="G160" s="8">
        <v>1172539</v>
      </c>
      <c r="H160" s="8">
        <v>921720</v>
      </c>
      <c r="I160" s="8">
        <v>1172539</v>
      </c>
      <c r="J160" s="11">
        <f t="shared" si="2"/>
        <v>250.819</v>
      </c>
      <c r="K160" s="7" t="s">
        <v>319</v>
      </c>
      <c r="L160" s="7">
        <v>62</v>
      </c>
      <c r="M160" s="12" t="s">
        <v>327</v>
      </c>
    </row>
    <row r="161" ht="184" customHeight="1" spans="1:13">
      <c r="A161" s="7" t="s">
        <v>97</v>
      </c>
      <c r="B161" s="7" t="s">
        <v>104</v>
      </c>
      <c r="C161" s="7">
        <v>10810</v>
      </c>
      <c r="D161" s="7">
        <v>10793</v>
      </c>
      <c r="E161" s="7">
        <v>9707</v>
      </c>
      <c r="F161" s="8">
        <v>657316</v>
      </c>
      <c r="G161" s="8">
        <v>928399</v>
      </c>
      <c r="H161" s="8">
        <v>699089</v>
      </c>
      <c r="I161" s="8">
        <v>928399</v>
      </c>
      <c r="J161" s="11">
        <f t="shared" si="2"/>
        <v>229.31</v>
      </c>
      <c r="K161" s="7" t="s">
        <v>319</v>
      </c>
      <c r="L161" s="7">
        <v>49</v>
      </c>
      <c r="M161" s="12" t="s">
        <v>413</v>
      </c>
    </row>
    <row r="162" ht="184" customHeight="1" spans="1:13">
      <c r="A162" s="7" t="s">
        <v>97</v>
      </c>
      <c r="B162" s="7" t="s">
        <v>106</v>
      </c>
      <c r="C162" s="7">
        <v>9273</v>
      </c>
      <c r="D162" s="7">
        <v>9269</v>
      </c>
      <c r="E162" s="7">
        <v>8315</v>
      </c>
      <c r="F162" s="8">
        <v>657175</v>
      </c>
      <c r="G162" s="8">
        <v>926966</v>
      </c>
      <c r="H162" s="8">
        <v>699088</v>
      </c>
      <c r="I162" s="8">
        <v>926966</v>
      </c>
      <c r="J162" s="11">
        <f t="shared" si="2"/>
        <v>227.878</v>
      </c>
      <c r="K162" s="7" t="s">
        <v>319</v>
      </c>
      <c r="L162" s="7">
        <v>49</v>
      </c>
      <c r="M162" s="12" t="s">
        <v>413</v>
      </c>
    </row>
    <row r="163" ht="184" customHeight="1" spans="1:13">
      <c r="A163" s="7" t="s">
        <v>97</v>
      </c>
      <c r="B163" s="7" t="s">
        <v>84</v>
      </c>
      <c r="C163" s="7">
        <v>10259</v>
      </c>
      <c r="D163" s="7">
        <v>10259</v>
      </c>
      <c r="E163" s="7">
        <v>9134</v>
      </c>
      <c r="F163" s="8">
        <v>657307</v>
      </c>
      <c r="G163" s="8">
        <v>926069</v>
      </c>
      <c r="H163" s="8">
        <v>699089</v>
      </c>
      <c r="I163" s="8">
        <v>926069</v>
      </c>
      <c r="J163" s="11">
        <f t="shared" si="2"/>
        <v>226.98</v>
      </c>
      <c r="K163" s="7" t="s">
        <v>319</v>
      </c>
      <c r="L163" s="7">
        <v>49</v>
      </c>
      <c r="M163" s="12" t="s">
        <v>413</v>
      </c>
    </row>
    <row r="164" ht="184" customHeight="1" spans="1:13">
      <c r="A164" s="7" t="s">
        <v>97</v>
      </c>
      <c r="B164" s="7" t="s">
        <v>53</v>
      </c>
      <c r="C164" s="7">
        <v>9128</v>
      </c>
      <c r="D164" s="7">
        <v>9128</v>
      </c>
      <c r="E164" s="7">
        <v>8052</v>
      </c>
      <c r="F164" s="8">
        <v>657189</v>
      </c>
      <c r="G164" s="8">
        <v>920599</v>
      </c>
      <c r="H164" s="8">
        <v>699104</v>
      </c>
      <c r="I164" s="8">
        <v>920599</v>
      </c>
      <c r="J164" s="11">
        <f t="shared" si="2"/>
        <v>221.495</v>
      </c>
      <c r="K164" s="7" t="s">
        <v>319</v>
      </c>
      <c r="L164" s="7">
        <v>47</v>
      </c>
      <c r="M164" s="12" t="s">
        <v>331</v>
      </c>
    </row>
    <row r="165" ht="199" customHeight="1" spans="1:13">
      <c r="A165" s="7" t="s">
        <v>97</v>
      </c>
      <c r="B165" s="7" t="s">
        <v>105</v>
      </c>
      <c r="C165" s="7">
        <v>9799</v>
      </c>
      <c r="D165" s="7">
        <v>9745</v>
      </c>
      <c r="E165" s="7">
        <v>9745</v>
      </c>
      <c r="F165" s="8">
        <v>1028537</v>
      </c>
      <c r="G165" s="8">
        <v>1242957</v>
      </c>
      <c r="H165" s="8">
        <v>1028537</v>
      </c>
      <c r="I165" s="8">
        <v>1242957</v>
      </c>
      <c r="J165" s="11">
        <f t="shared" si="2"/>
        <v>214.42</v>
      </c>
      <c r="K165" s="7" t="s">
        <v>319</v>
      </c>
      <c r="L165" s="7">
        <v>48</v>
      </c>
      <c r="M165" s="12" t="s">
        <v>414</v>
      </c>
    </row>
    <row r="166" ht="184" customHeight="1" spans="1:13">
      <c r="A166" s="7" t="s">
        <v>97</v>
      </c>
      <c r="B166" s="7" t="s">
        <v>82</v>
      </c>
      <c r="C166" s="7">
        <v>9201</v>
      </c>
      <c r="D166" s="7">
        <v>9201</v>
      </c>
      <c r="E166" s="7">
        <v>8077</v>
      </c>
      <c r="F166" s="8">
        <v>661484</v>
      </c>
      <c r="G166" s="8">
        <v>906591</v>
      </c>
      <c r="H166" s="8">
        <v>699098</v>
      </c>
      <c r="I166" s="8">
        <v>906591</v>
      </c>
      <c r="J166" s="11">
        <f t="shared" si="2"/>
        <v>207.493</v>
      </c>
      <c r="K166" s="7" t="s">
        <v>319</v>
      </c>
      <c r="L166" s="7">
        <v>44</v>
      </c>
      <c r="M166" s="12" t="s">
        <v>415</v>
      </c>
    </row>
    <row r="167" ht="184" customHeight="1" spans="1:13">
      <c r="A167" s="7" t="s">
        <v>97</v>
      </c>
      <c r="B167" s="7" t="s">
        <v>81</v>
      </c>
      <c r="C167" s="7">
        <v>12542</v>
      </c>
      <c r="D167" s="7">
        <v>12539</v>
      </c>
      <c r="E167" s="7">
        <v>12539</v>
      </c>
      <c r="F167" s="8">
        <v>920694</v>
      </c>
      <c r="G167" s="8">
        <v>1113821</v>
      </c>
      <c r="H167" s="8">
        <v>920694</v>
      </c>
      <c r="I167" s="8">
        <v>1113821</v>
      </c>
      <c r="J167" s="11">
        <f t="shared" si="2"/>
        <v>193.127</v>
      </c>
      <c r="K167" s="7" t="s">
        <v>319</v>
      </c>
      <c r="L167" s="7">
        <v>49</v>
      </c>
      <c r="M167" s="12" t="s">
        <v>416</v>
      </c>
    </row>
    <row r="168" ht="184" customHeight="1" spans="1:13">
      <c r="A168" s="7" t="s">
        <v>97</v>
      </c>
      <c r="B168" s="7" t="s">
        <v>96</v>
      </c>
      <c r="C168" s="7">
        <v>2487</v>
      </c>
      <c r="D168" s="7">
        <v>2486</v>
      </c>
      <c r="E168" s="7">
        <v>471</v>
      </c>
      <c r="F168" s="8">
        <v>1054308</v>
      </c>
      <c r="G168" s="8">
        <v>1376308</v>
      </c>
      <c r="H168" s="8">
        <v>1054308</v>
      </c>
      <c r="I168" s="8">
        <v>1241512</v>
      </c>
      <c r="J168" s="11">
        <f t="shared" si="2"/>
        <v>187.204</v>
      </c>
      <c r="K168" s="7" t="s">
        <v>319</v>
      </c>
      <c r="L168" s="7">
        <v>42</v>
      </c>
      <c r="M168" s="12" t="s">
        <v>417</v>
      </c>
    </row>
    <row r="169" ht="184" customHeight="1" spans="1:13">
      <c r="A169" s="7" t="s">
        <v>97</v>
      </c>
      <c r="B169" s="7" t="s">
        <v>85</v>
      </c>
      <c r="C169" s="7">
        <v>7741</v>
      </c>
      <c r="D169" s="7">
        <v>7741</v>
      </c>
      <c r="E169" s="7">
        <v>7131</v>
      </c>
      <c r="F169" s="8">
        <v>657190</v>
      </c>
      <c r="G169" s="8">
        <v>874184</v>
      </c>
      <c r="H169" s="8">
        <v>699078</v>
      </c>
      <c r="I169" s="8">
        <v>874184</v>
      </c>
      <c r="J169" s="11">
        <f t="shared" si="2"/>
        <v>175.106</v>
      </c>
      <c r="K169" s="7" t="s">
        <v>319</v>
      </c>
      <c r="L169" s="7">
        <v>38</v>
      </c>
      <c r="M169" s="12" t="s">
        <v>418</v>
      </c>
    </row>
    <row r="170" ht="184" customHeight="1" spans="1:13">
      <c r="A170" s="7" t="s">
        <v>97</v>
      </c>
      <c r="B170" s="7" t="s">
        <v>83</v>
      </c>
      <c r="C170" s="7">
        <v>10037</v>
      </c>
      <c r="D170" s="7">
        <v>10021</v>
      </c>
      <c r="E170" s="7">
        <v>7833</v>
      </c>
      <c r="F170" s="8">
        <v>1075790</v>
      </c>
      <c r="G170" s="8">
        <v>1484403</v>
      </c>
      <c r="H170" s="8">
        <v>1075790</v>
      </c>
      <c r="I170" s="8">
        <v>1242929</v>
      </c>
      <c r="J170" s="11">
        <f t="shared" si="2"/>
        <v>167.139</v>
      </c>
      <c r="K170" s="7" t="s">
        <v>319</v>
      </c>
      <c r="L170" s="7">
        <v>37</v>
      </c>
      <c r="M170" s="12" t="s">
        <v>419</v>
      </c>
    </row>
    <row r="171" ht="184" customHeight="1" spans="1:13">
      <c r="A171" s="7" t="s">
        <v>97</v>
      </c>
      <c r="B171" s="7" t="s">
        <v>107</v>
      </c>
      <c r="C171" s="7">
        <v>4907</v>
      </c>
      <c r="D171" s="7">
        <v>4880</v>
      </c>
      <c r="E171" s="7">
        <v>4880</v>
      </c>
      <c r="F171" s="8">
        <v>920358</v>
      </c>
      <c r="G171" s="8">
        <v>1028897</v>
      </c>
      <c r="H171" s="8">
        <v>920358</v>
      </c>
      <c r="I171" s="8">
        <v>1028897</v>
      </c>
      <c r="J171" s="11">
        <f t="shared" si="2"/>
        <v>108.539</v>
      </c>
      <c r="K171" s="7" t="s">
        <v>319</v>
      </c>
      <c r="L171" s="7">
        <v>31</v>
      </c>
      <c r="M171" s="12" t="s">
        <v>334</v>
      </c>
    </row>
    <row r="172" ht="184" customHeight="1" spans="1:13">
      <c r="A172" s="7" t="s">
        <v>97</v>
      </c>
      <c r="B172" s="7" t="s">
        <v>61</v>
      </c>
      <c r="C172" s="7">
        <v>6737</v>
      </c>
      <c r="D172" s="7">
        <v>6727</v>
      </c>
      <c r="E172" s="7">
        <v>6727</v>
      </c>
      <c r="F172" s="8">
        <v>921048</v>
      </c>
      <c r="G172" s="8">
        <v>1028995</v>
      </c>
      <c r="H172" s="8">
        <v>921048</v>
      </c>
      <c r="I172" s="8">
        <v>1028995</v>
      </c>
      <c r="J172" s="11">
        <f t="shared" si="2"/>
        <v>107.947</v>
      </c>
      <c r="K172" s="7" t="s">
        <v>319</v>
      </c>
      <c r="L172" s="7">
        <v>31</v>
      </c>
      <c r="M172" s="12" t="s">
        <v>334</v>
      </c>
    </row>
    <row r="173" ht="184" customHeight="1" spans="1:13">
      <c r="A173" s="7" t="s">
        <v>97</v>
      </c>
      <c r="B173" s="7" t="s">
        <v>77</v>
      </c>
      <c r="C173" s="7">
        <v>7004</v>
      </c>
      <c r="D173" s="7">
        <v>7000</v>
      </c>
      <c r="E173" s="7">
        <v>4263</v>
      </c>
      <c r="F173" s="8">
        <v>1136217</v>
      </c>
      <c r="G173" s="8">
        <v>1498928</v>
      </c>
      <c r="H173" s="8">
        <v>1136217</v>
      </c>
      <c r="I173" s="8">
        <v>1240684</v>
      </c>
      <c r="J173" s="11">
        <f t="shared" si="2"/>
        <v>104.467</v>
      </c>
      <c r="K173" s="7" t="s">
        <v>319</v>
      </c>
      <c r="L173" s="7">
        <v>25</v>
      </c>
      <c r="M173" s="12" t="s">
        <v>420</v>
      </c>
    </row>
    <row r="174" ht="184" customHeight="1" spans="1:13">
      <c r="A174" s="7" t="s">
        <v>97</v>
      </c>
      <c r="B174" s="7" t="s">
        <v>50</v>
      </c>
      <c r="C174" s="7">
        <v>4312</v>
      </c>
      <c r="D174" s="7">
        <v>4220</v>
      </c>
      <c r="E174" s="7">
        <v>4220</v>
      </c>
      <c r="F174" s="8">
        <v>932974</v>
      </c>
      <c r="G174" s="8">
        <v>1029032</v>
      </c>
      <c r="H174" s="8">
        <v>932974</v>
      </c>
      <c r="I174" s="8">
        <v>1029032</v>
      </c>
      <c r="J174" s="11">
        <f t="shared" si="2"/>
        <v>96.058</v>
      </c>
      <c r="K174" s="7" t="s">
        <v>319</v>
      </c>
      <c r="L174" s="7">
        <v>27</v>
      </c>
      <c r="M174" s="12" t="s">
        <v>421</v>
      </c>
    </row>
    <row r="175" ht="199" customHeight="1" spans="1:13">
      <c r="A175" s="7" t="s">
        <v>97</v>
      </c>
      <c r="B175" s="7" t="s">
        <v>66</v>
      </c>
      <c r="C175" s="7">
        <v>2131</v>
      </c>
      <c r="D175" s="7">
        <v>2131</v>
      </c>
      <c r="E175" s="7">
        <v>2131</v>
      </c>
      <c r="F175" s="8">
        <v>1161561</v>
      </c>
      <c r="G175" s="8">
        <v>1212930</v>
      </c>
      <c r="H175" s="8">
        <v>1161561</v>
      </c>
      <c r="I175" s="8">
        <v>1212930</v>
      </c>
      <c r="J175" s="11">
        <f t="shared" si="2"/>
        <v>51.369</v>
      </c>
      <c r="K175" s="7" t="s">
        <v>319</v>
      </c>
      <c r="L175" s="7">
        <v>15</v>
      </c>
      <c r="M175" s="12" t="s">
        <v>422</v>
      </c>
    </row>
    <row r="176" ht="199" customHeight="1" spans="1:13">
      <c r="A176" s="7" t="s">
        <v>97</v>
      </c>
      <c r="B176" s="7" t="s">
        <v>112</v>
      </c>
      <c r="C176" s="7">
        <v>7</v>
      </c>
      <c r="D176" s="7">
        <v>7</v>
      </c>
      <c r="E176" s="7">
        <v>7</v>
      </c>
      <c r="F176" s="8">
        <v>1174915</v>
      </c>
      <c r="G176" s="8">
        <v>1209533</v>
      </c>
      <c r="H176" s="8">
        <v>1174915</v>
      </c>
      <c r="I176" s="8">
        <v>1209533</v>
      </c>
      <c r="J176" s="11">
        <f t="shared" si="2"/>
        <v>34.618</v>
      </c>
      <c r="K176" s="7" t="s">
        <v>319</v>
      </c>
      <c r="L176" s="7">
        <v>10</v>
      </c>
      <c r="M176" s="12" t="s">
        <v>423</v>
      </c>
    </row>
    <row r="177" ht="184" customHeight="1" spans="1:13">
      <c r="A177" s="7" t="s">
        <v>97</v>
      </c>
      <c r="B177" s="7" t="s">
        <v>110</v>
      </c>
      <c r="C177" s="7">
        <v>1547</v>
      </c>
      <c r="D177" s="7">
        <v>1427</v>
      </c>
      <c r="E177" s="7">
        <v>1152</v>
      </c>
      <c r="F177" s="8">
        <v>696991</v>
      </c>
      <c r="G177" s="8">
        <v>725038</v>
      </c>
      <c r="H177" s="8">
        <v>699082</v>
      </c>
      <c r="I177" s="8">
        <v>725038</v>
      </c>
      <c r="J177" s="11">
        <f t="shared" si="2"/>
        <v>25.956</v>
      </c>
      <c r="K177" s="7" t="s">
        <v>319</v>
      </c>
      <c r="L177" s="7">
        <v>7</v>
      </c>
      <c r="M177" s="12" t="s">
        <v>424</v>
      </c>
    </row>
    <row r="178" ht="184" customHeight="1" spans="1:13">
      <c r="A178" s="7" t="s">
        <v>97</v>
      </c>
      <c r="B178" s="7" t="s">
        <v>108</v>
      </c>
      <c r="C178" s="7">
        <v>2784</v>
      </c>
      <c r="D178" s="7">
        <v>2577</v>
      </c>
      <c r="E178" s="7">
        <v>86</v>
      </c>
      <c r="F178" s="8">
        <v>1230882</v>
      </c>
      <c r="G178" s="8">
        <v>1506546</v>
      </c>
      <c r="H178" s="8">
        <v>1230882</v>
      </c>
      <c r="I178" s="8">
        <v>1243746</v>
      </c>
      <c r="J178" s="11">
        <f t="shared" si="2"/>
        <v>12.864</v>
      </c>
      <c r="K178" s="7" t="s">
        <v>319</v>
      </c>
      <c r="L178" s="7">
        <v>3</v>
      </c>
      <c r="M178" s="12" t="s">
        <v>342</v>
      </c>
    </row>
    <row r="179" ht="184" customHeight="1" spans="1:13">
      <c r="A179" s="7" t="s">
        <v>97</v>
      </c>
      <c r="B179" s="7" t="s">
        <v>109</v>
      </c>
      <c r="C179" s="7">
        <v>2022</v>
      </c>
      <c r="D179" s="7">
        <v>1978</v>
      </c>
      <c r="E179" s="7">
        <v>1978</v>
      </c>
      <c r="F179" s="8">
        <v>928470</v>
      </c>
      <c r="G179" s="8">
        <v>930612</v>
      </c>
      <c r="H179" s="8">
        <v>928470</v>
      </c>
      <c r="I179" s="8">
        <v>930612</v>
      </c>
      <c r="J179" s="11">
        <f t="shared" si="2"/>
        <v>2.142</v>
      </c>
      <c r="K179" s="7" t="s">
        <v>319</v>
      </c>
      <c r="L179" s="7">
        <v>3</v>
      </c>
      <c r="M179" s="12" t="s">
        <v>425</v>
      </c>
    </row>
    <row r="180" ht="184" customHeight="1" spans="1:13">
      <c r="A180" s="7" t="s">
        <v>97</v>
      </c>
      <c r="B180" s="7" t="s">
        <v>111</v>
      </c>
      <c r="C180" s="7">
        <v>244</v>
      </c>
      <c r="D180" s="7">
        <v>244</v>
      </c>
      <c r="E180" s="7">
        <v>244</v>
      </c>
      <c r="F180" s="8">
        <v>918779</v>
      </c>
      <c r="G180" s="8">
        <v>920617</v>
      </c>
      <c r="H180" s="8">
        <v>918779</v>
      </c>
      <c r="I180" s="8">
        <v>920617</v>
      </c>
      <c r="J180" s="11">
        <f t="shared" si="2"/>
        <v>1.838</v>
      </c>
      <c r="K180" s="7" t="s">
        <v>319</v>
      </c>
      <c r="L180" s="7">
        <v>2</v>
      </c>
      <c r="M180" s="12" t="s">
        <v>426</v>
      </c>
    </row>
    <row r="181" ht="184" customHeight="1" spans="1:13">
      <c r="A181" s="9" t="s">
        <v>97</v>
      </c>
      <c r="B181" s="9" t="s">
        <v>385</v>
      </c>
      <c r="C181" s="9">
        <v>1316</v>
      </c>
      <c r="D181" s="9">
        <v>1316</v>
      </c>
      <c r="E181" s="9">
        <v>0</v>
      </c>
      <c r="F181" s="10">
        <v>1401349</v>
      </c>
      <c r="G181" s="10">
        <v>1474588</v>
      </c>
      <c r="H181" s="10" t="s">
        <v>195</v>
      </c>
      <c r="I181" s="10" t="s">
        <v>195</v>
      </c>
      <c r="J181" s="13">
        <v>0</v>
      </c>
      <c r="K181" s="9" t="s">
        <v>345</v>
      </c>
      <c r="L181" s="9">
        <v>0</v>
      </c>
      <c r="M181" s="14" t="s">
        <v>346</v>
      </c>
    </row>
    <row r="182" ht="184" customHeight="1" spans="1:13">
      <c r="A182" s="9" t="s">
        <v>97</v>
      </c>
      <c r="B182" s="9" t="s">
        <v>347</v>
      </c>
      <c r="C182" s="9">
        <v>1810</v>
      </c>
      <c r="D182" s="9">
        <v>1794</v>
      </c>
      <c r="E182" s="9">
        <v>0</v>
      </c>
      <c r="F182" s="10">
        <v>1401706</v>
      </c>
      <c r="G182" s="10">
        <v>1498924</v>
      </c>
      <c r="H182" s="10" t="s">
        <v>195</v>
      </c>
      <c r="I182" s="10" t="s">
        <v>195</v>
      </c>
      <c r="J182" s="13">
        <v>0</v>
      </c>
      <c r="K182" s="9" t="s">
        <v>345</v>
      </c>
      <c r="L182" s="9">
        <v>0</v>
      </c>
      <c r="M182" s="14" t="s">
        <v>346</v>
      </c>
    </row>
    <row r="183" ht="184" customHeight="1" spans="1:13">
      <c r="A183" s="9" t="s">
        <v>97</v>
      </c>
      <c r="B183" s="9" t="s">
        <v>427</v>
      </c>
      <c r="C183" s="9">
        <v>464</v>
      </c>
      <c r="D183" s="9">
        <v>464</v>
      </c>
      <c r="E183" s="9">
        <v>0</v>
      </c>
      <c r="F183" s="10">
        <v>1401406</v>
      </c>
      <c r="G183" s="10">
        <v>1435666</v>
      </c>
      <c r="H183" s="10" t="s">
        <v>195</v>
      </c>
      <c r="I183" s="10" t="s">
        <v>195</v>
      </c>
      <c r="J183" s="13">
        <v>0</v>
      </c>
      <c r="K183" s="9" t="s">
        <v>345</v>
      </c>
      <c r="L183" s="9">
        <v>0</v>
      </c>
      <c r="M183" s="14" t="s">
        <v>346</v>
      </c>
    </row>
    <row r="184" ht="184" customHeight="1" spans="1:13">
      <c r="A184" s="9" t="s">
        <v>97</v>
      </c>
      <c r="B184" s="9" t="s">
        <v>428</v>
      </c>
      <c r="C184" s="9">
        <v>212</v>
      </c>
      <c r="D184" s="9">
        <v>212</v>
      </c>
      <c r="E184" s="9">
        <v>0</v>
      </c>
      <c r="F184" s="10">
        <v>1401602</v>
      </c>
      <c r="G184" s="10">
        <v>1416496</v>
      </c>
      <c r="H184" s="10" t="s">
        <v>195</v>
      </c>
      <c r="I184" s="10" t="s">
        <v>195</v>
      </c>
      <c r="J184" s="13">
        <v>0</v>
      </c>
      <c r="K184" s="9" t="s">
        <v>345</v>
      </c>
      <c r="L184" s="9">
        <v>0</v>
      </c>
      <c r="M184" s="14" t="s">
        <v>346</v>
      </c>
    </row>
    <row r="185" ht="184" customHeight="1" spans="1:13">
      <c r="A185" s="9" t="s">
        <v>97</v>
      </c>
      <c r="B185" s="9" t="s">
        <v>429</v>
      </c>
      <c r="C185" s="9">
        <v>263</v>
      </c>
      <c r="D185" s="9">
        <v>262</v>
      </c>
      <c r="E185" s="9">
        <v>0</v>
      </c>
      <c r="F185" s="10">
        <v>1401680</v>
      </c>
      <c r="G185" s="10">
        <v>1425328</v>
      </c>
      <c r="H185" s="10" t="s">
        <v>195</v>
      </c>
      <c r="I185" s="10" t="s">
        <v>195</v>
      </c>
      <c r="J185" s="13">
        <v>0</v>
      </c>
      <c r="K185" s="9" t="s">
        <v>345</v>
      </c>
      <c r="L185" s="9">
        <v>0</v>
      </c>
      <c r="M185" s="14" t="s">
        <v>346</v>
      </c>
    </row>
    <row r="186" ht="184" customHeight="1" spans="1:13">
      <c r="A186" s="9" t="s">
        <v>97</v>
      </c>
      <c r="B186" s="9" t="s">
        <v>430</v>
      </c>
      <c r="C186" s="9">
        <v>312</v>
      </c>
      <c r="D186" s="9">
        <v>312</v>
      </c>
      <c r="E186" s="9">
        <v>0</v>
      </c>
      <c r="F186" s="10">
        <v>1401758</v>
      </c>
      <c r="G186" s="10">
        <v>1430481</v>
      </c>
      <c r="H186" s="10" t="s">
        <v>195</v>
      </c>
      <c r="I186" s="10" t="s">
        <v>195</v>
      </c>
      <c r="J186" s="13">
        <v>0</v>
      </c>
      <c r="K186" s="9" t="s">
        <v>345</v>
      </c>
      <c r="L186" s="9">
        <v>0</v>
      </c>
      <c r="M186" s="14" t="s">
        <v>346</v>
      </c>
    </row>
    <row r="187" ht="184" customHeight="1" spans="1:13">
      <c r="A187" s="9" t="s">
        <v>97</v>
      </c>
      <c r="B187" s="9" t="s">
        <v>164</v>
      </c>
      <c r="C187" s="9">
        <v>234</v>
      </c>
      <c r="D187" s="9">
        <v>232</v>
      </c>
      <c r="E187" s="9">
        <v>0</v>
      </c>
      <c r="F187" s="10">
        <v>1401708</v>
      </c>
      <c r="G187" s="10">
        <v>1425364</v>
      </c>
      <c r="H187" s="10" t="s">
        <v>195</v>
      </c>
      <c r="I187" s="10" t="s">
        <v>195</v>
      </c>
      <c r="J187" s="13">
        <v>0</v>
      </c>
      <c r="K187" s="9" t="s">
        <v>345</v>
      </c>
      <c r="L187" s="9">
        <v>0</v>
      </c>
      <c r="M187" s="14" t="s">
        <v>346</v>
      </c>
    </row>
    <row r="188" ht="184" customHeight="1" spans="1:13">
      <c r="A188" s="9" t="s">
        <v>97</v>
      </c>
      <c r="B188" s="9" t="s">
        <v>351</v>
      </c>
      <c r="C188" s="9">
        <v>467</v>
      </c>
      <c r="D188" s="9">
        <v>455</v>
      </c>
      <c r="E188" s="9">
        <v>0</v>
      </c>
      <c r="F188" s="10">
        <v>1264953</v>
      </c>
      <c r="G188" s="10">
        <v>1369194</v>
      </c>
      <c r="H188" s="10" t="s">
        <v>195</v>
      </c>
      <c r="I188" s="10" t="s">
        <v>195</v>
      </c>
      <c r="J188" s="13">
        <v>0</v>
      </c>
      <c r="K188" s="9" t="s">
        <v>345</v>
      </c>
      <c r="L188" s="9">
        <v>0</v>
      </c>
      <c r="M188" s="14" t="s">
        <v>346</v>
      </c>
    </row>
    <row r="189" ht="184" customHeight="1" spans="1:13">
      <c r="A189" s="9" t="s">
        <v>97</v>
      </c>
      <c r="B189" s="9" t="s">
        <v>157</v>
      </c>
      <c r="C189" s="9">
        <v>1410</v>
      </c>
      <c r="D189" s="9">
        <v>1409</v>
      </c>
      <c r="E189" s="9">
        <v>0</v>
      </c>
      <c r="F189" s="10">
        <v>1401356</v>
      </c>
      <c r="G189" s="10">
        <v>1476189</v>
      </c>
      <c r="H189" s="10" t="s">
        <v>195</v>
      </c>
      <c r="I189" s="10" t="s">
        <v>195</v>
      </c>
      <c r="J189" s="13">
        <v>0</v>
      </c>
      <c r="K189" s="9" t="s">
        <v>345</v>
      </c>
      <c r="L189" s="9">
        <v>0</v>
      </c>
      <c r="M189" s="14" t="s">
        <v>346</v>
      </c>
    </row>
    <row r="190" ht="184" customHeight="1" spans="1:13">
      <c r="A190" s="9" t="s">
        <v>97</v>
      </c>
      <c r="B190" s="9" t="s">
        <v>431</v>
      </c>
      <c r="C190" s="9">
        <v>2021</v>
      </c>
      <c r="D190" s="9">
        <v>2019</v>
      </c>
      <c r="E190" s="9">
        <v>0</v>
      </c>
      <c r="F190" s="10">
        <v>1401604</v>
      </c>
      <c r="G190" s="10">
        <v>1484961</v>
      </c>
      <c r="H190" s="10" t="s">
        <v>195</v>
      </c>
      <c r="I190" s="10" t="s">
        <v>195</v>
      </c>
      <c r="J190" s="13">
        <v>0</v>
      </c>
      <c r="K190" s="9" t="s">
        <v>345</v>
      </c>
      <c r="L190" s="9">
        <v>0</v>
      </c>
      <c r="M190" s="14" t="s">
        <v>346</v>
      </c>
    </row>
    <row r="191" ht="184" customHeight="1" spans="1:13">
      <c r="A191" s="9" t="s">
        <v>97</v>
      </c>
      <c r="B191" s="9" t="s">
        <v>432</v>
      </c>
      <c r="C191" s="9">
        <v>1</v>
      </c>
      <c r="D191" s="9">
        <v>1</v>
      </c>
      <c r="E191" s="9">
        <v>0</v>
      </c>
      <c r="F191" s="10">
        <v>607955</v>
      </c>
      <c r="G191" s="10">
        <v>607955</v>
      </c>
      <c r="H191" s="10" t="s">
        <v>195</v>
      </c>
      <c r="I191" s="10" t="s">
        <v>195</v>
      </c>
      <c r="J191" s="13">
        <v>0</v>
      </c>
      <c r="K191" s="9" t="s">
        <v>345</v>
      </c>
      <c r="L191" s="9">
        <v>0</v>
      </c>
      <c r="M191" s="14" t="s">
        <v>346</v>
      </c>
    </row>
    <row r="192" ht="184" customHeight="1" spans="1:13">
      <c r="A192" s="9" t="s">
        <v>97</v>
      </c>
      <c r="B192" s="9" t="s">
        <v>90</v>
      </c>
      <c r="C192" s="9">
        <v>563</v>
      </c>
      <c r="D192" s="9">
        <v>563</v>
      </c>
      <c r="E192" s="9">
        <v>0</v>
      </c>
      <c r="F192" s="10">
        <v>660681</v>
      </c>
      <c r="G192" s="10">
        <v>695587</v>
      </c>
      <c r="H192" s="10" t="s">
        <v>195</v>
      </c>
      <c r="I192" s="10" t="s">
        <v>195</v>
      </c>
      <c r="J192" s="13">
        <v>0</v>
      </c>
      <c r="K192" s="9" t="s">
        <v>345</v>
      </c>
      <c r="L192" s="9">
        <v>0</v>
      </c>
      <c r="M192" s="14" t="s">
        <v>346</v>
      </c>
    </row>
    <row r="193" ht="184" customHeight="1" spans="1:13">
      <c r="A193" s="9" t="s">
        <v>97</v>
      </c>
      <c r="B193" s="9" t="s">
        <v>433</v>
      </c>
      <c r="C193" s="9">
        <v>1465</v>
      </c>
      <c r="D193" s="9">
        <v>1465</v>
      </c>
      <c r="E193" s="9">
        <v>0</v>
      </c>
      <c r="F193" s="10">
        <v>1401313</v>
      </c>
      <c r="G193" s="10">
        <v>1474590</v>
      </c>
      <c r="H193" s="10" t="s">
        <v>195</v>
      </c>
      <c r="I193" s="10" t="s">
        <v>195</v>
      </c>
      <c r="J193" s="13">
        <v>0</v>
      </c>
      <c r="K193" s="9" t="s">
        <v>345</v>
      </c>
      <c r="L193" s="9">
        <v>0</v>
      </c>
      <c r="M193" s="14" t="s">
        <v>346</v>
      </c>
    </row>
    <row r="194" ht="184" customHeight="1" spans="1:13">
      <c r="A194" s="9" t="s">
        <v>97</v>
      </c>
      <c r="B194" s="9" t="s">
        <v>359</v>
      </c>
      <c r="C194" s="9">
        <v>480</v>
      </c>
      <c r="D194" s="9">
        <v>480</v>
      </c>
      <c r="E194" s="9">
        <v>0</v>
      </c>
      <c r="F194" s="10">
        <v>1401391</v>
      </c>
      <c r="G194" s="10">
        <v>1436388</v>
      </c>
      <c r="H194" s="10" t="s">
        <v>195</v>
      </c>
      <c r="I194" s="10" t="s">
        <v>195</v>
      </c>
      <c r="J194" s="13">
        <v>0</v>
      </c>
      <c r="K194" s="9" t="s">
        <v>345</v>
      </c>
      <c r="L194" s="9">
        <v>0</v>
      </c>
      <c r="M194" s="14" t="s">
        <v>346</v>
      </c>
    </row>
    <row r="195" ht="184" customHeight="1" spans="1:13">
      <c r="A195" s="9" t="s">
        <v>97</v>
      </c>
      <c r="B195" s="9" t="s">
        <v>400</v>
      </c>
      <c r="C195" s="9">
        <v>1592</v>
      </c>
      <c r="D195" s="9">
        <v>1590</v>
      </c>
      <c r="E195" s="9">
        <v>0</v>
      </c>
      <c r="F195" s="10">
        <v>1401680</v>
      </c>
      <c r="G195" s="10">
        <v>1497591</v>
      </c>
      <c r="H195" s="10" t="s">
        <v>195</v>
      </c>
      <c r="I195" s="10" t="s">
        <v>195</v>
      </c>
      <c r="J195" s="13">
        <v>0</v>
      </c>
      <c r="K195" s="9" t="s">
        <v>345</v>
      </c>
      <c r="L195" s="9">
        <v>0</v>
      </c>
      <c r="M195" s="14" t="s">
        <v>346</v>
      </c>
    </row>
    <row r="196" ht="184" customHeight="1" spans="1:13">
      <c r="A196" s="9" t="s">
        <v>97</v>
      </c>
      <c r="B196" s="9" t="s">
        <v>434</v>
      </c>
      <c r="C196" s="9">
        <v>611</v>
      </c>
      <c r="D196" s="9">
        <v>611</v>
      </c>
      <c r="E196" s="9">
        <v>0</v>
      </c>
      <c r="F196" s="10">
        <v>1401322</v>
      </c>
      <c r="G196" s="10">
        <v>1436658</v>
      </c>
      <c r="H196" s="10" t="s">
        <v>195</v>
      </c>
      <c r="I196" s="10" t="s">
        <v>195</v>
      </c>
      <c r="J196" s="13">
        <v>0</v>
      </c>
      <c r="K196" s="9" t="s">
        <v>345</v>
      </c>
      <c r="L196" s="9">
        <v>0</v>
      </c>
      <c r="M196" s="14" t="s">
        <v>346</v>
      </c>
    </row>
    <row r="197" ht="184" customHeight="1" spans="1:13">
      <c r="A197" s="9" t="s">
        <v>97</v>
      </c>
      <c r="B197" s="9" t="s">
        <v>435</v>
      </c>
      <c r="C197" s="9">
        <v>281</v>
      </c>
      <c r="D197" s="9">
        <v>281</v>
      </c>
      <c r="E197" s="9">
        <v>1</v>
      </c>
      <c r="F197" s="10">
        <v>1242468</v>
      </c>
      <c r="G197" s="10">
        <v>1404130</v>
      </c>
      <c r="H197" s="10" t="s">
        <v>195</v>
      </c>
      <c r="I197" s="10" t="s">
        <v>195</v>
      </c>
      <c r="J197" s="13">
        <v>0</v>
      </c>
      <c r="K197" s="9" t="s">
        <v>345</v>
      </c>
      <c r="L197" s="9">
        <v>1</v>
      </c>
      <c r="M197" s="14" t="s">
        <v>436</v>
      </c>
    </row>
    <row r="198" ht="184" customHeight="1" spans="1:13">
      <c r="A198" s="9" t="s">
        <v>97</v>
      </c>
      <c r="B198" s="9" t="s">
        <v>437</v>
      </c>
      <c r="C198" s="9">
        <v>273</v>
      </c>
      <c r="D198" s="9">
        <v>273</v>
      </c>
      <c r="E198" s="9">
        <v>0</v>
      </c>
      <c r="F198" s="10">
        <v>1401766</v>
      </c>
      <c r="G198" s="10">
        <v>1435848</v>
      </c>
      <c r="H198" s="10" t="s">
        <v>195</v>
      </c>
      <c r="I198" s="10" t="s">
        <v>195</v>
      </c>
      <c r="J198" s="13">
        <v>0</v>
      </c>
      <c r="K198" s="9" t="s">
        <v>345</v>
      </c>
      <c r="L198" s="9">
        <v>0</v>
      </c>
      <c r="M198" s="14" t="s">
        <v>346</v>
      </c>
    </row>
    <row r="199" ht="184" customHeight="1" spans="1:13">
      <c r="A199" s="9" t="s">
        <v>97</v>
      </c>
      <c r="B199" s="9" t="s">
        <v>365</v>
      </c>
      <c r="C199" s="9">
        <v>8900</v>
      </c>
      <c r="D199" s="9">
        <v>8726</v>
      </c>
      <c r="E199" s="9">
        <v>0</v>
      </c>
      <c r="F199" s="10">
        <v>143308</v>
      </c>
      <c r="G199" s="10">
        <v>152938</v>
      </c>
      <c r="H199" s="10" t="s">
        <v>195</v>
      </c>
      <c r="I199" s="10" t="s">
        <v>195</v>
      </c>
      <c r="J199" s="13">
        <v>0</v>
      </c>
      <c r="K199" s="9" t="s">
        <v>345</v>
      </c>
      <c r="L199" s="9">
        <v>0</v>
      </c>
      <c r="M199" s="14" t="s">
        <v>346</v>
      </c>
    </row>
    <row r="200" spans="1:13">
      <c r="A200" s="7" t="s">
        <v>113</v>
      </c>
      <c r="B200" s="7" t="s">
        <v>94</v>
      </c>
      <c r="C200" s="7">
        <v>21552</v>
      </c>
      <c r="D200" s="7">
        <v>21539</v>
      </c>
      <c r="E200" s="7">
        <v>19124</v>
      </c>
      <c r="F200" s="8">
        <v>657217</v>
      </c>
      <c r="G200" s="8">
        <v>1484978</v>
      </c>
      <c r="H200" s="8">
        <v>699073</v>
      </c>
      <c r="I200" s="8">
        <v>1242959</v>
      </c>
      <c r="J200" s="11">
        <f t="shared" ref="J200:J229" si="3">(I200-H200)/1000</f>
        <v>543.886</v>
      </c>
      <c r="K200" s="7" t="s">
        <v>319</v>
      </c>
      <c r="L200" s="7">
        <v>124</v>
      </c>
      <c r="M200" s="12" t="s">
        <v>320</v>
      </c>
    </row>
    <row r="201" spans="1:13">
      <c r="A201" s="7" t="s">
        <v>113</v>
      </c>
      <c r="B201" s="7" t="s">
        <v>114</v>
      </c>
      <c r="C201" s="7">
        <v>28784</v>
      </c>
      <c r="D201" s="7">
        <v>28731</v>
      </c>
      <c r="E201" s="7">
        <v>26741</v>
      </c>
      <c r="F201" s="8">
        <v>657196</v>
      </c>
      <c r="G201" s="8">
        <v>1436473</v>
      </c>
      <c r="H201" s="8">
        <v>699087</v>
      </c>
      <c r="I201" s="8">
        <v>1242948</v>
      </c>
      <c r="J201" s="11">
        <f t="shared" si="3"/>
        <v>543.861</v>
      </c>
      <c r="K201" s="7" t="s">
        <v>319</v>
      </c>
      <c r="L201" s="7">
        <v>124</v>
      </c>
      <c r="M201" s="12" t="s">
        <v>320</v>
      </c>
    </row>
    <row r="202" spans="1:13">
      <c r="A202" s="7" t="s">
        <v>113</v>
      </c>
      <c r="B202" s="7" t="s">
        <v>54</v>
      </c>
      <c r="C202" s="7">
        <v>21218</v>
      </c>
      <c r="D202" s="7">
        <v>21208</v>
      </c>
      <c r="E202" s="7">
        <v>20775</v>
      </c>
      <c r="F202" s="8">
        <v>696239</v>
      </c>
      <c r="G202" s="8">
        <v>1425477</v>
      </c>
      <c r="H202" s="8">
        <v>699076</v>
      </c>
      <c r="I202" s="8">
        <v>1240713</v>
      </c>
      <c r="J202" s="11">
        <f t="shared" si="3"/>
        <v>541.637</v>
      </c>
      <c r="K202" s="7" t="s">
        <v>319</v>
      </c>
      <c r="L202" s="7">
        <v>124</v>
      </c>
      <c r="M202" s="12" t="s">
        <v>320</v>
      </c>
    </row>
    <row r="203" ht="34" customHeight="1" spans="1:13">
      <c r="A203" s="7" t="s">
        <v>113</v>
      </c>
      <c r="B203" s="7" t="s">
        <v>37</v>
      </c>
      <c r="C203" s="7">
        <v>19330</v>
      </c>
      <c r="D203" s="7">
        <v>19325</v>
      </c>
      <c r="E203" s="7">
        <v>17884</v>
      </c>
      <c r="F203" s="8">
        <v>662309</v>
      </c>
      <c r="G203" s="8">
        <v>1211608</v>
      </c>
      <c r="H203" s="8">
        <v>699074</v>
      </c>
      <c r="I203" s="8">
        <v>1211608</v>
      </c>
      <c r="J203" s="11">
        <f t="shared" si="3"/>
        <v>512.534</v>
      </c>
      <c r="K203" s="7" t="s">
        <v>319</v>
      </c>
      <c r="L203" s="7">
        <v>118</v>
      </c>
      <c r="M203" s="12" t="s">
        <v>438</v>
      </c>
    </row>
    <row r="204" ht="64" customHeight="1" spans="1:13">
      <c r="A204" s="7" t="s">
        <v>113</v>
      </c>
      <c r="B204" s="7" t="s">
        <v>45</v>
      </c>
      <c r="C204" s="7">
        <v>22138</v>
      </c>
      <c r="D204" s="7">
        <v>22138</v>
      </c>
      <c r="E204" s="7">
        <v>21103</v>
      </c>
      <c r="F204" s="8">
        <v>657214</v>
      </c>
      <c r="G204" s="8">
        <v>1172525</v>
      </c>
      <c r="H204" s="8">
        <v>699076</v>
      </c>
      <c r="I204" s="8">
        <v>1172525</v>
      </c>
      <c r="J204" s="11">
        <f t="shared" si="3"/>
        <v>473.449</v>
      </c>
      <c r="K204" s="7" t="s">
        <v>319</v>
      </c>
      <c r="L204" s="7">
        <v>108</v>
      </c>
      <c r="M204" s="12" t="s">
        <v>321</v>
      </c>
    </row>
    <row r="205" ht="64" customHeight="1" spans="1:13">
      <c r="A205" s="7" t="s">
        <v>113</v>
      </c>
      <c r="B205" s="7" t="s">
        <v>82</v>
      </c>
      <c r="C205" s="7">
        <v>21265</v>
      </c>
      <c r="D205" s="7">
        <v>21229</v>
      </c>
      <c r="E205" s="7">
        <v>19753</v>
      </c>
      <c r="F205" s="8">
        <v>661555</v>
      </c>
      <c r="G205" s="8">
        <v>1169715</v>
      </c>
      <c r="H205" s="8">
        <v>699079</v>
      </c>
      <c r="I205" s="8">
        <v>1169715</v>
      </c>
      <c r="J205" s="11">
        <f t="shared" si="3"/>
        <v>470.636</v>
      </c>
      <c r="K205" s="7" t="s">
        <v>319</v>
      </c>
      <c r="L205" s="7">
        <v>108</v>
      </c>
      <c r="M205" s="12" t="s">
        <v>321</v>
      </c>
    </row>
    <row r="206" ht="79" customHeight="1" spans="1:13">
      <c r="A206" s="7" t="s">
        <v>113</v>
      </c>
      <c r="B206" s="7" t="s">
        <v>66</v>
      </c>
      <c r="C206" s="7">
        <v>17557</v>
      </c>
      <c r="D206" s="7">
        <v>17557</v>
      </c>
      <c r="E206" s="7">
        <v>16608</v>
      </c>
      <c r="F206" s="8">
        <v>657113</v>
      </c>
      <c r="G206" s="8">
        <v>1161616</v>
      </c>
      <c r="H206" s="8">
        <v>699094</v>
      </c>
      <c r="I206" s="8">
        <v>1161616</v>
      </c>
      <c r="J206" s="11">
        <f t="shared" si="3"/>
        <v>462.522</v>
      </c>
      <c r="K206" s="7" t="s">
        <v>319</v>
      </c>
      <c r="L206" s="7">
        <v>104</v>
      </c>
      <c r="M206" s="12" t="s">
        <v>367</v>
      </c>
    </row>
    <row r="207" ht="79" customHeight="1" spans="1:13">
      <c r="A207" s="7" t="s">
        <v>113</v>
      </c>
      <c r="B207" s="7" t="s">
        <v>90</v>
      </c>
      <c r="C207" s="7">
        <v>142</v>
      </c>
      <c r="D207" s="7">
        <v>142</v>
      </c>
      <c r="E207" s="7">
        <v>133</v>
      </c>
      <c r="F207" s="8">
        <v>783495</v>
      </c>
      <c r="G207" s="8">
        <v>1419072</v>
      </c>
      <c r="H207" s="8">
        <v>783495</v>
      </c>
      <c r="I207" s="8">
        <v>1239868</v>
      </c>
      <c r="J207" s="11">
        <f t="shared" si="3"/>
        <v>456.373</v>
      </c>
      <c r="K207" s="7" t="s">
        <v>319</v>
      </c>
      <c r="L207" s="7">
        <v>105</v>
      </c>
      <c r="M207" s="12" t="s">
        <v>439</v>
      </c>
    </row>
    <row r="208" ht="139" customHeight="1" spans="1:13">
      <c r="A208" s="7" t="s">
        <v>113</v>
      </c>
      <c r="B208" s="7" t="s">
        <v>83</v>
      </c>
      <c r="C208" s="7">
        <v>23062</v>
      </c>
      <c r="D208" s="7">
        <v>23062</v>
      </c>
      <c r="E208" s="7">
        <v>21715</v>
      </c>
      <c r="F208" s="8">
        <v>657188</v>
      </c>
      <c r="G208" s="8">
        <v>1075766</v>
      </c>
      <c r="H208" s="8">
        <v>699082</v>
      </c>
      <c r="I208" s="8">
        <v>1075766</v>
      </c>
      <c r="J208" s="11">
        <f t="shared" si="3"/>
        <v>376.684</v>
      </c>
      <c r="K208" s="7" t="s">
        <v>319</v>
      </c>
      <c r="L208" s="7">
        <v>88</v>
      </c>
      <c r="M208" s="12" t="s">
        <v>440</v>
      </c>
    </row>
    <row r="209" ht="169" customHeight="1" spans="1:13">
      <c r="A209" s="7" t="s">
        <v>113</v>
      </c>
      <c r="B209" s="7" t="s">
        <v>117</v>
      </c>
      <c r="C209" s="7">
        <v>11170</v>
      </c>
      <c r="D209" s="7">
        <v>10809</v>
      </c>
      <c r="E209" s="7">
        <v>10034</v>
      </c>
      <c r="F209" s="8">
        <v>659994</v>
      </c>
      <c r="G209" s="8">
        <v>1028562</v>
      </c>
      <c r="H209" s="8">
        <v>699075</v>
      </c>
      <c r="I209" s="8">
        <v>1028562</v>
      </c>
      <c r="J209" s="11">
        <f t="shared" si="3"/>
        <v>329.487</v>
      </c>
      <c r="K209" s="7" t="s">
        <v>319</v>
      </c>
      <c r="L209" s="7">
        <v>77</v>
      </c>
      <c r="M209" s="12" t="s">
        <v>370</v>
      </c>
    </row>
    <row r="210" ht="184" customHeight="1" spans="1:13">
      <c r="A210" s="7" t="s">
        <v>113</v>
      </c>
      <c r="B210" s="7" t="s">
        <v>52</v>
      </c>
      <c r="C210" s="7">
        <v>22599</v>
      </c>
      <c r="D210" s="7">
        <v>22536</v>
      </c>
      <c r="E210" s="7">
        <v>22279</v>
      </c>
      <c r="F210" s="8">
        <v>920540</v>
      </c>
      <c r="G210" s="8">
        <v>1416448</v>
      </c>
      <c r="H210" s="8">
        <v>920540</v>
      </c>
      <c r="I210" s="8">
        <v>1242981</v>
      </c>
      <c r="J210" s="11">
        <f t="shared" si="3"/>
        <v>322.441</v>
      </c>
      <c r="K210" s="7" t="s">
        <v>319</v>
      </c>
      <c r="L210" s="7">
        <v>78</v>
      </c>
      <c r="M210" s="12" t="s">
        <v>323</v>
      </c>
    </row>
    <row r="211" ht="184" customHeight="1" spans="1:13">
      <c r="A211" s="7" t="s">
        <v>113</v>
      </c>
      <c r="B211" s="7" t="s">
        <v>115</v>
      </c>
      <c r="C211" s="7">
        <v>21256</v>
      </c>
      <c r="D211" s="7">
        <v>21212</v>
      </c>
      <c r="E211" s="7">
        <v>20328</v>
      </c>
      <c r="F211" s="8">
        <v>920811</v>
      </c>
      <c r="G211" s="8">
        <v>1436940</v>
      </c>
      <c r="H211" s="8">
        <v>920811</v>
      </c>
      <c r="I211" s="8">
        <v>1242922</v>
      </c>
      <c r="J211" s="11">
        <f t="shared" si="3"/>
        <v>322.111</v>
      </c>
      <c r="K211" s="7" t="s">
        <v>319</v>
      </c>
      <c r="L211" s="7">
        <v>78</v>
      </c>
      <c r="M211" s="12" t="s">
        <v>323</v>
      </c>
    </row>
    <row r="212" ht="184" customHeight="1" spans="1:13">
      <c r="A212" s="7" t="s">
        <v>113</v>
      </c>
      <c r="B212" s="7" t="s">
        <v>68</v>
      </c>
      <c r="C212" s="7">
        <v>12033</v>
      </c>
      <c r="D212" s="7">
        <v>11998</v>
      </c>
      <c r="E212" s="7">
        <v>11998</v>
      </c>
      <c r="F212" s="8">
        <v>921248</v>
      </c>
      <c r="G212" s="8">
        <v>1242966</v>
      </c>
      <c r="H212" s="8">
        <v>921248</v>
      </c>
      <c r="I212" s="8">
        <v>1242966</v>
      </c>
      <c r="J212" s="11">
        <f t="shared" si="3"/>
        <v>321.718</v>
      </c>
      <c r="K212" s="7" t="s">
        <v>319</v>
      </c>
      <c r="L212" s="7">
        <v>78</v>
      </c>
      <c r="M212" s="12" t="s">
        <v>323</v>
      </c>
    </row>
    <row r="213" ht="184" customHeight="1" spans="1:13">
      <c r="A213" s="7" t="s">
        <v>113</v>
      </c>
      <c r="B213" s="7" t="s">
        <v>49</v>
      </c>
      <c r="C213" s="7">
        <v>22190</v>
      </c>
      <c r="D213" s="7">
        <v>22140</v>
      </c>
      <c r="E213" s="7">
        <v>21422</v>
      </c>
      <c r="F213" s="8">
        <v>920369</v>
      </c>
      <c r="G213" s="8">
        <v>1455121</v>
      </c>
      <c r="H213" s="8">
        <v>920369</v>
      </c>
      <c r="I213" s="8">
        <v>1240525</v>
      </c>
      <c r="J213" s="11">
        <f t="shared" si="3"/>
        <v>320.156</v>
      </c>
      <c r="K213" s="7" t="s">
        <v>319</v>
      </c>
      <c r="L213" s="7">
        <v>78</v>
      </c>
      <c r="M213" s="12" t="s">
        <v>323</v>
      </c>
    </row>
    <row r="214" ht="184" customHeight="1" spans="1:13">
      <c r="A214" s="7" t="s">
        <v>113</v>
      </c>
      <c r="B214" s="7" t="s">
        <v>63</v>
      </c>
      <c r="C214" s="7">
        <v>6104</v>
      </c>
      <c r="D214" s="7">
        <v>6101</v>
      </c>
      <c r="E214" s="7">
        <v>5976</v>
      </c>
      <c r="F214" s="8">
        <v>921394</v>
      </c>
      <c r="G214" s="8">
        <v>1422996</v>
      </c>
      <c r="H214" s="8">
        <v>921394</v>
      </c>
      <c r="I214" s="8">
        <v>1240713</v>
      </c>
      <c r="J214" s="11">
        <f t="shared" si="3"/>
        <v>319.319</v>
      </c>
      <c r="K214" s="7" t="s">
        <v>319</v>
      </c>
      <c r="L214" s="7">
        <v>78</v>
      </c>
      <c r="M214" s="12" t="s">
        <v>323</v>
      </c>
    </row>
    <row r="215" ht="184" customHeight="1" spans="1:13">
      <c r="A215" s="7" t="s">
        <v>113</v>
      </c>
      <c r="B215" s="7" t="s">
        <v>42</v>
      </c>
      <c r="C215" s="7">
        <v>5296</v>
      </c>
      <c r="D215" s="7">
        <v>5172</v>
      </c>
      <c r="E215" s="7">
        <v>5172</v>
      </c>
      <c r="F215" s="8">
        <v>921487</v>
      </c>
      <c r="G215" s="8">
        <v>1240706</v>
      </c>
      <c r="H215" s="8">
        <v>921487</v>
      </c>
      <c r="I215" s="8">
        <v>1240706</v>
      </c>
      <c r="J215" s="11">
        <f t="shared" si="3"/>
        <v>319.219</v>
      </c>
      <c r="K215" s="7" t="s">
        <v>319</v>
      </c>
      <c r="L215" s="7">
        <v>78</v>
      </c>
      <c r="M215" s="12" t="s">
        <v>323</v>
      </c>
    </row>
    <row r="216" ht="184" customHeight="1" spans="1:13">
      <c r="A216" s="7" t="s">
        <v>113</v>
      </c>
      <c r="B216" s="7" t="s">
        <v>84</v>
      </c>
      <c r="C216" s="7">
        <v>9927</v>
      </c>
      <c r="D216" s="7">
        <v>9925</v>
      </c>
      <c r="E216" s="7">
        <v>9730</v>
      </c>
      <c r="F216" s="8">
        <v>926069</v>
      </c>
      <c r="G216" s="8">
        <v>1430448</v>
      </c>
      <c r="H216" s="8">
        <v>926069</v>
      </c>
      <c r="I216" s="8">
        <v>1240718</v>
      </c>
      <c r="J216" s="11">
        <f t="shared" si="3"/>
        <v>314.649</v>
      </c>
      <c r="K216" s="7" t="s">
        <v>319</v>
      </c>
      <c r="L216" s="7">
        <v>76</v>
      </c>
      <c r="M216" s="12" t="s">
        <v>441</v>
      </c>
    </row>
    <row r="217" ht="199" customHeight="1" spans="1:13">
      <c r="A217" s="7" t="s">
        <v>113</v>
      </c>
      <c r="B217" s="7" t="s">
        <v>116</v>
      </c>
      <c r="C217" s="7">
        <v>16975</v>
      </c>
      <c r="D217" s="7">
        <v>16915</v>
      </c>
      <c r="E217" s="7">
        <v>16055</v>
      </c>
      <c r="F217" s="8">
        <v>934043</v>
      </c>
      <c r="G217" s="8">
        <v>1438309</v>
      </c>
      <c r="H217" s="8">
        <v>934043</v>
      </c>
      <c r="I217" s="8">
        <v>1242980</v>
      </c>
      <c r="J217" s="11">
        <f t="shared" si="3"/>
        <v>308.937</v>
      </c>
      <c r="K217" s="7" t="s">
        <v>319</v>
      </c>
      <c r="L217" s="7">
        <v>74</v>
      </c>
      <c r="M217" s="12" t="s">
        <v>442</v>
      </c>
    </row>
    <row r="218" ht="199" customHeight="1" spans="1:13">
      <c r="A218" s="7" t="s">
        <v>113</v>
      </c>
      <c r="B218" s="7" t="s">
        <v>87</v>
      </c>
      <c r="C218" s="7">
        <v>31694</v>
      </c>
      <c r="D218" s="7">
        <v>31520</v>
      </c>
      <c r="E218" s="7">
        <v>31520</v>
      </c>
      <c r="F218" s="8">
        <v>920690</v>
      </c>
      <c r="G218" s="8">
        <v>1172530</v>
      </c>
      <c r="H218" s="8">
        <v>920690</v>
      </c>
      <c r="I218" s="8">
        <v>1172530</v>
      </c>
      <c r="J218" s="11">
        <f t="shared" si="3"/>
        <v>251.84</v>
      </c>
      <c r="K218" s="7" t="s">
        <v>319</v>
      </c>
      <c r="L218" s="7">
        <v>62</v>
      </c>
      <c r="M218" s="12" t="s">
        <v>327</v>
      </c>
    </row>
    <row r="219" ht="199" customHeight="1" spans="1:13">
      <c r="A219" s="7" t="s">
        <v>113</v>
      </c>
      <c r="B219" s="7" t="s">
        <v>44</v>
      </c>
      <c r="C219" s="7">
        <v>20586</v>
      </c>
      <c r="D219" s="7">
        <v>20527</v>
      </c>
      <c r="E219" s="7">
        <v>20527</v>
      </c>
      <c r="F219" s="8">
        <v>921719</v>
      </c>
      <c r="G219" s="8">
        <v>1172914</v>
      </c>
      <c r="H219" s="8">
        <v>921719</v>
      </c>
      <c r="I219" s="8">
        <v>1172914</v>
      </c>
      <c r="J219" s="11">
        <f t="shared" si="3"/>
        <v>251.195</v>
      </c>
      <c r="K219" s="7" t="s">
        <v>319</v>
      </c>
      <c r="L219" s="7">
        <v>63</v>
      </c>
      <c r="M219" s="12" t="s">
        <v>326</v>
      </c>
    </row>
    <row r="220" ht="184" customHeight="1" spans="1:13">
      <c r="A220" s="7" t="s">
        <v>113</v>
      </c>
      <c r="B220" s="7" t="s">
        <v>118</v>
      </c>
      <c r="C220" s="7">
        <v>8126</v>
      </c>
      <c r="D220" s="7">
        <v>8010</v>
      </c>
      <c r="E220" s="7">
        <v>7297</v>
      </c>
      <c r="F220" s="8">
        <v>665491</v>
      </c>
      <c r="G220" s="8">
        <v>1425734</v>
      </c>
      <c r="H220" s="8">
        <v>699110</v>
      </c>
      <c r="I220" s="8">
        <v>920636</v>
      </c>
      <c r="J220" s="11">
        <f t="shared" si="3"/>
        <v>221.526</v>
      </c>
      <c r="K220" s="7" t="s">
        <v>319</v>
      </c>
      <c r="L220" s="7">
        <v>47</v>
      </c>
      <c r="M220" s="12" t="s">
        <v>331</v>
      </c>
    </row>
    <row r="221" ht="184" customHeight="1" spans="1:13">
      <c r="A221" s="7" t="s">
        <v>113</v>
      </c>
      <c r="B221" s="7" t="s">
        <v>119</v>
      </c>
      <c r="C221" s="7">
        <v>6379</v>
      </c>
      <c r="D221" s="7">
        <v>6379</v>
      </c>
      <c r="E221" s="7">
        <v>5513</v>
      </c>
      <c r="F221" s="8">
        <v>657110</v>
      </c>
      <c r="G221" s="8">
        <v>888623</v>
      </c>
      <c r="H221" s="8">
        <v>699092</v>
      </c>
      <c r="I221" s="8">
        <v>888623</v>
      </c>
      <c r="J221" s="11">
        <f t="shared" si="3"/>
        <v>189.531</v>
      </c>
      <c r="K221" s="7" t="s">
        <v>319</v>
      </c>
      <c r="L221" s="7">
        <v>40</v>
      </c>
      <c r="M221" s="12" t="s">
        <v>443</v>
      </c>
    </row>
    <row r="222" ht="184" customHeight="1" spans="1:13">
      <c r="A222" s="7" t="s">
        <v>113</v>
      </c>
      <c r="B222" s="7" t="s">
        <v>61</v>
      </c>
      <c r="C222" s="7">
        <v>16964</v>
      </c>
      <c r="D222" s="7">
        <v>16915</v>
      </c>
      <c r="E222" s="7">
        <v>16915</v>
      </c>
      <c r="F222" s="8">
        <v>844630</v>
      </c>
      <c r="G222" s="8">
        <v>1029041</v>
      </c>
      <c r="H222" s="8">
        <v>844630</v>
      </c>
      <c r="I222" s="8">
        <v>1029041</v>
      </c>
      <c r="J222" s="11">
        <f t="shared" si="3"/>
        <v>184.411</v>
      </c>
      <c r="K222" s="7" t="s">
        <v>319</v>
      </c>
      <c r="L222" s="7">
        <v>47</v>
      </c>
      <c r="M222" s="12" t="s">
        <v>444</v>
      </c>
    </row>
    <row r="223" ht="184" customHeight="1" spans="1:13">
      <c r="A223" s="7" t="s">
        <v>113</v>
      </c>
      <c r="B223" s="7" t="s">
        <v>102</v>
      </c>
      <c r="C223" s="7">
        <v>12363</v>
      </c>
      <c r="D223" s="7">
        <v>12359</v>
      </c>
      <c r="E223" s="7">
        <v>12359</v>
      </c>
      <c r="F223" s="8">
        <v>920750</v>
      </c>
      <c r="G223" s="8">
        <v>1099460</v>
      </c>
      <c r="H223" s="8">
        <v>920750</v>
      </c>
      <c r="I223" s="8">
        <v>1099460</v>
      </c>
      <c r="J223" s="11">
        <f t="shared" si="3"/>
        <v>178.71</v>
      </c>
      <c r="K223" s="7" t="s">
        <v>319</v>
      </c>
      <c r="L223" s="7">
        <v>47</v>
      </c>
      <c r="M223" s="12" t="s">
        <v>445</v>
      </c>
    </row>
    <row r="224" ht="184" customHeight="1" spans="1:13">
      <c r="A224" s="7" t="s">
        <v>113</v>
      </c>
      <c r="B224" s="7" t="s">
        <v>88</v>
      </c>
      <c r="C224" s="7">
        <v>6157</v>
      </c>
      <c r="D224" s="7">
        <v>6157</v>
      </c>
      <c r="E224" s="7">
        <v>4239</v>
      </c>
      <c r="F224" s="8">
        <v>667201</v>
      </c>
      <c r="G224" s="8">
        <v>824681</v>
      </c>
      <c r="H224" s="8">
        <v>699092</v>
      </c>
      <c r="I224" s="8">
        <v>824681</v>
      </c>
      <c r="J224" s="11">
        <f t="shared" si="3"/>
        <v>125.589</v>
      </c>
      <c r="K224" s="7" t="s">
        <v>319</v>
      </c>
      <c r="L224" s="7">
        <v>28</v>
      </c>
      <c r="M224" s="12" t="s">
        <v>446</v>
      </c>
    </row>
    <row r="225" ht="184" customHeight="1" spans="1:13">
      <c r="A225" s="7" t="s">
        <v>113</v>
      </c>
      <c r="B225" s="7" t="s">
        <v>101</v>
      </c>
      <c r="C225" s="7">
        <v>5199</v>
      </c>
      <c r="D225" s="7">
        <v>5195</v>
      </c>
      <c r="E225" s="7">
        <v>4312</v>
      </c>
      <c r="F225" s="8">
        <v>1131316</v>
      </c>
      <c r="G225" s="8">
        <v>1442555</v>
      </c>
      <c r="H225" s="8">
        <v>1131316</v>
      </c>
      <c r="I225" s="8">
        <v>1240686</v>
      </c>
      <c r="J225" s="11">
        <f t="shared" si="3"/>
        <v>109.37</v>
      </c>
      <c r="K225" s="7" t="s">
        <v>319</v>
      </c>
      <c r="L225" s="7">
        <v>27</v>
      </c>
      <c r="M225" s="12" t="s">
        <v>447</v>
      </c>
    </row>
    <row r="226" ht="184" customHeight="1" spans="1:13">
      <c r="A226" s="7" t="s">
        <v>113</v>
      </c>
      <c r="B226" s="7" t="s">
        <v>107</v>
      </c>
      <c r="C226" s="7">
        <v>4339</v>
      </c>
      <c r="D226" s="7">
        <v>4305</v>
      </c>
      <c r="E226" s="7">
        <v>4305</v>
      </c>
      <c r="F226" s="8">
        <v>920367</v>
      </c>
      <c r="G226" s="8">
        <v>1028889</v>
      </c>
      <c r="H226" s="8">
        <v>920367</v>
      </c>
      <c r="I226" s="8">
        <v>1028889</v>
      </c>
      <c r="J226" s="11">
        <f t="shared" si="3"/>
        <v>108.522</v>
      </c>
      <c r="K226" s="7" t="s">
        <v>319</v>
      </c>
      <c r="L226" s="7">
        <v>31</v>
      </c>
      <c r="M226" s="12" t="s">
        <v>334</v>
      </c>
    </row>
    <row r="227" ht="184" customHeight="1" spans="1:13">
      <c r="A227" s="7" t="s">
        <v>113</v>
      </c>
      <c r="B227" s="7" t="s">
        <v>121</v>
      </c>
      <c r="C227" s="7">
        <v>1167</v>
      </c>
      <c r="D227" s="7">
        <v>881</v>
      </c>
      <c r="E227" s="7">
        <v>852</v>
      </c>
      <c r="F227" s="8">
        <v>665453</v>
      </c>
      <c r="G227" s="8">
        <v>1028471</v>
      </c>
      <c r="H227" s="8">
        <v>920804</v>
      </c>
      <c r="I227" s="8">
        <v>1028471</v>
      </c>
      <c r="J227" s="11">
        <f t="shared" si="3"/>
        <v>107.667</v>
      </c>
      <c r="K227" s="7" t="s">
        <v>319</v>
      </c>
      <c r="L227" s="7">
        <v>31</v>
      </c>
      <c r="M227" s="12" t="s">
        <v>334</v>
      </c>
    </row>
    <row r="228" ht="184" customHeight="1" spans="1:13">
      <c r="A228" s="7" t="s">
        <v>113</v>
      </c>
      <c r="B228" s="7" t="s">
        <v>98</v>
      </c>
      <c r="C228" s="7">
        <v>2328</v>
      </c>
      <c r="D228" s="7">
        <v>2328</v>
      </c>
      <c r="E228" s="7">
        <v>1568</v>
      </c>
      <c r="F228" s="8">
        <v>657188</v>
      </c>
      <c r="G228" s="8">
        <v>748372</v>
      </c>
      <c r="H228" s="8">
        <v>699112</v>
      </c>
      <c r="I228" s="8">
        <v>748372</v>
      </c>
      <c r="J228" s="11">
        <f t="shared" si="3"/>
        <v>49.26</v>
      </c>
      <c r="K228" s="7" t="s">
        <v>319</v>
      </c>
      <c r="L228" s="7">
        <v>12</v>
      </c>
      <c r="M228" s="12" t="s">
        <v>382</v>
      </c>
    </row>
    <row r="229" ht="184" customHeight="1" spans="1:13">
      <c r="A229" s="7" t="s">
        <v>113</v>
      </c>
      <c r="B229" s="7" t="s">
        <v>120</v>
      </c>
      <c r="C229" s="7">
        <v>2489</v>
      </c>
      <c r="D229" s="7">
        <v>2474</v>
      </c>
      <c r="E229" s="7">
        <v>2474</v>
      </c>
      <c r="F229" s="8">
        <v>1227475</v>
      </c>
      <c r="G229" s="8">
        <v>1242921</v>
      </c>
      <c r="H229" s="8">
        <v>1227475</v>
      </c>
      <c r="I229" s="8">
        <v>1242921</v>
      </c>
      <c r="J229" s="11">
        <f t="shared" si="3"/>
        <v>15.446</v>
      </c>
      <c r="K229" s="7" t="s">
        <v>319</v>
      </c>
      <c r="L229" s="7">
        <v>4</v>
      </c>
      <c r="M229" s="12" t="s">
        <v>341</v>
      </c>
    </row>
    <row r="230" ht="184" customHeight="1" spans="1:13">
      <c r="A230" s="9" t="s">
        <v>113</v>
      </c>
      <c r="B230" s="9" t="s">
        <v>169</v>
      </c>
      <c r="C230" s="9">
        <v>191</v>
      </c>
      <c r="D230" s="9">
        <v>191</v>
      </c>
      <c r="E230" s="9">
        <v>0</v>
      </c>
      <c r="F230" s="10">
        <v>1400626</v>
      </c>
      <c r="G230" s="10">
        <v>1425797</v>
      </c>
      <c r="H230" s="10" t="s">
        <v>195</v>
      </c>
      <c r="I230" s="10" t="s">
        <v>195</v>
      </c>
      <c r="J230" s="13">
        <v>0</v>
      </c>
      <c r="K230" s="9" t="s">
        <v>345</v>
      </c>
      <c r="L230" s="9">
        <v>0</v>
      </c>
      <c r="M230" s="14" t="s">
        <v>346</v>
      </c>
    </row>
    <row r="231" ht="184" customHeight="1" spans="1:13">
      <c r="A231" s="9" t="s">
        <v>113</v>
      </c>
      <c r="B231" s="9" t="s">
        <v>109</v>
      </c>
      <c r="C231" s="9">
        <v>1097</v>
      </c>
      <c r="D231" s="9">
        <v>1083</v>
      </c>
      <c r="E231" s="9">
        <v>0</v>
      </c>
      <c r="F231" s="10">
        <v>143307</v>
      </c>
      <c r="G231" s="10">
        <v>149885</v>
      </c>
      <c r="H231" s="10" t="s">
        <v>195</v>
      </c>
      <c r="I231" s="10" t="s">
        <v>195</v>
      </c>
      <c r="J231" s="13">
        <v>0</v>
      </c>
      <c r="K231" s="9" t="s">
        <v>345</v>
      </c>
      <c r="L231" s="9">
        <v>0</v>
      </c>
      <c r="M231" s="14" t="s">
        <v>346</v>
      </c>
    </row>
    <row r="232" ht="184" customHeight="1" spans="1:13">
      <c r="A232" s="9" t="s">
        <v>113</v>
      </c>
      <c r="B232" s="9" t="s">
        <v>448</v>
      </c>
      <c r="C232" s="9">
        <v>1</v>
      </c>
      <c r="D232" s="9">
        <v>1</v>
      </c>
      <c r="E232" s="9">
        <v>0</v>
      </c>
      <c r="F232" s="10">
        <v>1394604</v>
      </c>
      <c r="G232" s="10">
        <v>1394604</v>
      </c>
      <c r="H232" s="10" t="s">
        <v>195</v>
      </c>
      <c r="I232" s="10" t="s">
        <v>195</v>
      </c>
      <c r="J232" s="13">
        <v>0</v>
      </c>
      <c r="K232" s="9" t="s">
        <v>345</v>
      </c>
      <c r="L232" s="9">
        <v>0</v>
      </c>
      <c r="M232" s="14" t="s">
        <v>346</v>
      </c>
    </row>
    <row r="233" ht="184" customHeight="1" spans="1:13">
      <c r="A233" s="9" t="s">
        <v>113</v>
      </c>
      <c r="B233" s="9" t="s">
        <v>389</v>
      </c>
      <c r="C233" s="9">
        <v>640</v>
      </c>
      <c r="D233" s="9">
        <v>639</v>
      </c>
      <c r="E233" s="9">
        <v>0</v>
      </c>
      <c r="F233" s="10">
        <v>1401376</v>
      </c>
      <c r="G233" s="10">
        <v>1436931</v>
      </c>
      <c r="H233" s="10" t="s">
        <v>195</v>
      </c>
      <c r="I233" s="10" t="s">
        <v>195</v>
      </c>
      <c r="J233" s="13">
        <v>0</v>
      </c>
      <c r="K233" s="9" t="s">
        <v>345</v>
      </c>
      <c r="L233" s="9">
        <v>0</v>
      </c>
      <c r="M233" s="14" t="s">
        <v>346</v>
      </c>
    </row>
    <row r="234" ht="184" customHeight="1" spans="1:13">
      <c r="A234" s="9" t="s">
        <v>113</v>
      </c>
      <c r="B234" s="9" t="s">
        <v>449</v>
      </c>
      <c r="C234" s="9">
        <v>752</v>
      </c>
      <c r="D234" s="9">
        <v>751</v>
      </c>
      <c r="E234" s="9">
        <v>0</v>
      </c>
      <c r="F234" s="10">
        <v>1401350</v>
      </c>
      <c r="G234" s="10">
        <v>1437028</v>
      </c>
      <c r="H234" s="10" t="s">
        <v>195</v>
      </c>
      <c r="I234" s="10" t="s">
        <v>195</v>
      </c>
      <c r="J234" s="13">
        <v>0</v>
      </c>
      <c r="K234" s="9" t="s">
        <v>345</v>
      </c>
      <c r="L234" s="9">
        <v>0</v>
      </c>
      <c r="M234" s="14" t="s">
        <v>346</v>
      </c>
    </row>
    <row r="235" ht="184" customHeight="1" spans="1:13">
      <c r="A235" s="9" t="s">
        <v>113</v>
      </c>
      <c r="B235" s="9" t="s">
        <v>450</v>
      </c>
      <c r="C235" s="9">
        <v>435</v>
      </c>
      <c r="D235" s="9">
        <v>434</v>
      </c>
      <c r="E235" s="9">
        <v>0</v>
      </c>
      <c r="F235" s="10">
        <v>1401344</v>
      </c>
      <c r="G235" s="10">
        <v>1430731</v>
      </c>
      <c r="H235" s="10" t="s">
        <v>195</v>
      </c>
      <c r="I235" s="10" t="s">
        <v>195</v>
      </c>
      <c r="J235" s="13">
        <v>0</v>
      </c>
      <c r="K235" s="9" t="s">
        <v>345</v>
      </c>
      <c r="L235" s="9">
        <v>0</v>
      </c>
      <c r="M235" s="14" t="s">
        <v>346</v>
      </c>
    </row>
    <row r="236" ht="184" customHeight="1" spans="1:13">
      <c r="A236" s="9" t="s">
        <v>113</v>
      </c>
      <c r="B236" s="9" t="s">
        <v>349</v>
      </c>
      <c r="C236" s="9">
        <v>569</v>
      </c>
      <c r="D236" s="9">
        <v>569</v>
      </c>
      <c r="E236" s="9">
        <v>0</v>
      </c>
      <c r="F236" s="10">
        <v>1401386</v>
      </c>
      <c r="G236" s="10">
        <v>1435871</v>
      </c>
      <c r="H236" s="10" t="s">
        <v>195</v>
      </c>
      <c r="I236" s="10" t="s">
        <v>195</v>
      </c>
      <c r="J236" s="13">
        <v>0</v>
      </c>
      <c r="K236" s="9" t="s">
        <v>345</v>
      </c>
      <c r="L236" s="9">
        <v>0</v>
      </c>
      <c r="M236" s="14" t="s">
        <v>346</v>
      </c>
    </row>
    <row r="237" ht="184" customHeight="1" spans="1:13">
      <c r="A237" s="9" t="s">
        <v>113</v>
      </c>
      <c r="B237" s="9" t="s">
        <v>451</v>
      </c>
      <c r="C237" s="9">
        <v>1957</v>
      </c>
      <c r="D237" s="9">
        <v>1663</v>
      </c>
      <c r="E237" s="9">
        <v>0</v>
      </c>
      <c r="F237" s="10">
        <v>1612</v>
      </c>
      <c r="G237" s="10">
        <v>697377</v>
      </c>
      <c r="H237" s="10" t="s">
        <v>195</v>
      </c>
      <c r="I237" s="10" t="s">
        <v>195</v>
      </c>
      <c r="J237" s="13">
        <v>0</v>
      </c>
      <c r="K237" s="9" t="s">
        <v>345</v>
      </c>
      <c r="L237" s="9">
        <v>0</v>
      </c>
      <c r="M237" s="14" t="s">
        <v>346</v>
      </c>
    </row>
    <row r="238" ht="184" customHeight="1" spans="1:13">
      <c r="A238" s="9" t="s">
        <v>113</v>
      </c>
      <c r="B238" s="9" t="s">
        <v>78</v>
      </c>
      <c r="C238" s="9">
        <v>3245</v>
      </c>
      <c r="D238" s="9">
        <v>3204</v>
      </c>
      <c r="E238" s="9">
        <v>0</v>
      </c>
      <c r="F238" s="10">
        <v>1896</v>
      </c>
      <c r="G238" s="10">
        <v>697863</v>
      </c>
      <c r="H238" s="10" t="s">
        <v>195</v>
      </c>
      <c r="I238" s="10" t="s">
        <v>195</v>
      </c>
      <c r="J238" s="13">
        <v>0</v>
      </c>
      <c r="K238" s="9" t="s">
        <v>345</v>
      </c>
      <c r="L238" s="9">
        <v>0</v>
      </c>
      <c r="M238" s="14" t="s">
        <v>346</v>
      </c>
    </row>
    <row r="239" ht="184" customHeight="1" spans="1:13">
      <c r="A239" s="9" t="s">
        <v>113</v>
      </c>
      <c r="B239" s="9" t="s">
        <v>394</v>
      </c>
      <c r="C239" s="9">
        <v>825</v>
      </c>
      <c r="D239" s="9">
        <v>825</v>
      </c>
      <c r="E239" s="9">
        <v>0</v>
      </c>
      <c r="F239" s="10">
        <v>1401465</v>
      </c>
      <c r="G239" s="10">
        <v>1464780</v>
      </c>
      <c r="H239" s="10" t="s">
        <v>195</v>
      </c>
      <c r="I239" s="10" t="s">
        <v>195</v>
      </c>
      <c r="J239" s="13">
        <v>0</v>
      </c>
      <c r="K239" s="9" t="s">
        <v>345</v>
      </c>
      <c r="L239" s="9">
        <v>0</v>
      </c>
      <c r="M239" s="14" t="s">
        <v>346</v>
      </c>
    </row>
    <row r="240" ht="184" customHeight="1" spans="1:13">
      <c r="A240" s="9" t="s">
        <v>113</v>
      </c>
      <c r="B240" s="9" t="s">
        <v>452</v>
      </c>
      <c r="C240" s="9">
        <v>135</v>
      </c>
      <c r="D240" s="9">
        <v>134</v>
      </c>
      <c r="E240" s="9">
        <v>0</v>
      </c>
      <c r="F240" s="10">
        <v>1401680</v>
      </c>
      <c r="G240" s="10">
        <v>1424971</v>
      </c>
      <c r="H240" s="10" t="s">
        <v>195</v>
      </c>
      <c r="I240" s="10" t="s">
        <v>195</v>
      </c>
      <c r="J240" s="13">
        <v>0</v>
      </c>
      <c r="K240" s="9" t="s">
        <v>345</v>
      </c>
      <c r="L240" s="9">
        <v>0</v>
      </c>
      <c r="M240" s="14" t="s">
        <v>346</v>
      </c>
    </row>
    <row r="241" ht="184" customHeight="1" spans="1:13">
      <c r="A241" s="9" t="s">
        <v>113</v>
      </c>
      <c r="B241" s="9" t="s">
        <v>397</v>
      </c>
      <c r="C241" s="9">
        <v>1880</v>
      </c>
      <c r="D241" s="9">
        <v>1838</v>
      </c>
      <c r="E241" s="9">
        <v>0</v>
      </c>
      <c r="F241" s="10">
        <v>1610</v>
      </c>
      <c r="G241" s="10">
        <v>697368</v>
      </c>
      <c r="H241" s="10" t="s">
        <v>195</v>
      </c>
      <c r="I241" s="10" t="s">
        <v>195</v>
      </c>
      <c r="J241" s="13">
        <v>0</v>
      </c>
      <c r="K241" s="9" t="s">
        <v>345</v>
      </c>
      <c r="L241" s="9">
        <v>0</v>
      </c>
      <c r="M241" s="14" t="s">
        <v>346</v>
      </c>
    </row>
    <row r="242" ht="184" customHeight="1" spans="1:13">
      <c r="A242" s="9" t="s">
        <v>113</v>
      </c>
      <c r="B242" s="9" t="s">
        <v>133</v>
      </c>
      <c r="C242" s="9">
        <v>19</v>
      </c>
      <c r="D242" s="9">
        <v>19</v>
      </c>
      <c r="E242" s="9">
        <v>0</v>
      </c>
      <c r="F242" s="10">
        <v>1265384</v>
      </c>
      <c r="G242" s="10">
        <v>1356722</v>
      </c>
      <c r="H242" s="10" t="s">
        <v>195</v>
      </c>
      <c r="I242" s="10" t="s">
        <v>195</v>
      </c>
      <c r="J242" s="13">
        <v>0</v>
      </c>
      <c r="K242" s="9" t="s">
        <v>345</v>
      </c>
      <c r="L242" s="9">
        <v>0</v>
      </c>
      <c r="M242" s="14" t="s">
        <v>346</v>
      </c>
    </row>
    <row r="243" ht="184" customHeight="1" spans="1:13">
      <c r="A243" s="9" t="s">
        <v>113</v>
      </c>
      <c r="B243" s="9" t="s">
        <v>453</v>
      </c>
      <c r="C243" s="9">
        <v>158</v>
      </c>
      <c r="D243" s="9">
        <v>158</v>
      </c>
      <c r="E243" s="9">
        <v>0</v>
      </c>
      <c r="F243" s="10">
        <v>1401720</v>
      </c>
      <c r="G243" s="10">
        <v>1435557</v>
      </c>
      <c r="H243" s="10" t="s">
        <v>195</v>
      </c>
      <c r="I243" s="10" t="s">
        <v>195</v>
      </c>
      <c r="J243" s="13">
        <v>0</v>
      </c>
      <c r="K243" s="9" t="s">
        <v>345</v>
      </c>
      <c r="L243" s="9">
        <v>0</v>
      </c>
      <c r="M243" s="14" t="s">
        <v>346</v>
      </c>
    </row>
    <row r="244" ht="184" customHeight="1" spans="1:13">
      <c r="A244" s="9" t="s">
        <v>113</v>
      </c>
      <c r="B244" s="9" t="s">
        <v>36</v>
      </c>
      <c r="C244" s="9">
        <v>639</v>
      </c>
      <c r="D244" s="9">
        <v>639</v>
      </c>
      <c r="E244" s="9">
        <v>0</v>
      </c>
      <c r="F244" s="10">
        <v>657298</v>
      </c>
      <c r="G244" s="10">
        <v>695543</v>
      </c>
      <c r="H244" s="10" t="s">
        <v>195</v>
      </c>
      <c r="I244" s="10" t="s">
        <v>195</v>
      </c>
      <c r="J244" s="13">
        <v>0</v>
      </c>
      <c r="K244" s="9" t="s">
        <v>345</v>
      </c>
      <c r="L244" s="9">
        <v>0</v>
      </c>
      <c r="M244" s="14" t="s">
        <v>346</v>
      </c>
    </row>
    <row r="245" ht="184" customHeight="1" spans="1:13">
      <c r="A245" s="9" t="s">
        <v>113</v>
      </c>
      <c r="B245" s="9" t="s">
        <v>454</v>
      </c>
      <c r="C245" s="9">
        <v>386</v>
      </c>
      <c r="D245" s="9">
        <v>385</v>
      </c>
      <c r="E245" s="9">
        <v>0</v>
      </c>
      <c r="F245" s="10">
        <v>1401376</v>
      </c>
      <c r="G245" s="10">
        <v>1436271</v>
      </c>
      <c r="H245" s="10" t="s">
        <v>195</v>
      </c>
      <c r="I245" s="10" t="s">
        <v>195</v>
      </c>
      <c r="J245" s="13">
        <v>0</v>
      </c>
      <c r="K245" s="9" t="s">
        <v>345</v>
      </c>
      <c r="L245" s="9">
        <v>0</v>
      </c>
      <c r="M245" s="14" t="s">
        <v>346</v>
      </c>
    </row>
    <row r="246" ht="184" customHeight="1" spans="1:13">
      <c r="A246" s="9" t="s">
        <v>113</v>
      </c>
      <c r="B246" s="9" t="s">
        <v>455</v>
      </c>
      <c r="C246" s="9">
        <v>2</v>
      </c>
      <c r="D246" s="9">
        <v>2</v>
      </c>
      <c r="E246" s="9">
        <v>0</v>
      </c>
      <c r="F246" s="10">
        <v>1355490</v>
      </c>
      <c r="G246" s="10">
        <v>1364129</v>
      </c>
      <c r="H246" s="10" t="s">
        <v>195</v>
      </c>
      <c r="I246" s="10" t="s">
        <v>195</v>
      </c>
      <c r="J246" s="13">
        <v>0</v>
      </c>
      <c r="K246" s="9" t="s">
        <v>345</v>
      </c>
      <c r="L246" s="9">
        <v>0</v>
      </c>
      <c r="M246" s="14" t="s">
        <v>346</v>
      </c>
    </row>
    <row r="247" ht="184" customHeight="1" spans="1:13">
      <c r="A247" s="9" t="s">
        <v>113</v>
      </c>
      <c r="B247" s="9" t="s">
        <v>456</v>
      </c>
      <c r="C247" s="9">
        <v>1384</v>
      </c>
      <c r="D247" s="9">
        <v>1383</v>
      </c>
      <c r="E247" s="9">
        <v>0</v>
      </c>
      <c r="F247" s="10">
        <v>1401314</v>
      </c>
      <c r="G247" s="10">
        <v>1466439</v>
      </c>
      <c r="H247" s="10" t="s">
        <v>195</v>
      </c>
      <c r="I247" s="10" t="s">
        <v>195</v>
      </c>
      <c r="J247" s="13">
        <v>0</v>
      </c>
      <c r="K247" s="9" t="s">
        <v>345</v>
      </c>
      <c r="L247" s="9">
        <v>0</v>
      </c>
      <c r="M247" s="14" t="s">
        <v>346</v>
      </c>
    </row>
    <row r="248" ht="184" customHeight="1" spans="1:13">
      <c r="A248" s="9" t="s">
        <v>113</v>
      </c>
      <c r="B248" s="9" t="s">
        <v>99</v>
      </c>
      <c r="C248" s="9">
        <v>1389</v>
      </c>
      <c r="D248" s="9">
        <v>1389</v>
      </c>
      <c r="E248" s="9">
        <v>0</v>
      </c>
      <c r="F248" s="10">
        <v>1399297</v>
      </c>
      <c r="G248" s="10">
        <v>1450021</v>
      </c>
      <c r="H248" s="10" t="s">
        <v>195</v>
      </c>
      <c r="I248" s="10" t="s">
        <v>195</v>
      </c>
      <c r="J248" s="13">
        <v>0</v>
      </c>
      <c r="K248" s="9" t="s">
        <v>345</v>
      </c>
      <c r="L248" s="9">
        <v>0</v>
      </c>
      <c r="M248" s="14" t="s">
        <v>346</v>
      </c>
    </row>
    <row r="249" ht="184" customHeight="1" spans="1:13">
      <c r="A249" s="9" t="s">
        <v>113</v>
      </c>
      <c r="B249" s="9" t="s">
        <v>360</v>
      </c>
      <c r="C249" s="9">
        <v>745</v>
      </c>
      <c r="D249" s="9">
        <v>745</v>
      </c>
      <c r="E249" s="9">
        <v>0</v>
      </c>
      <c r="F249" s="10">
        <v>1401759</v>
      </c>
      <c r="G249" s="10">
        <v>1458495</v>
      </c>
      <c r="H249" s="10" t="s">
        <v>195</v>
      </c>
      <c r="I249" s="10" t="s">
        <v>195</v>
      </c>
      <c r="J249" s="13">
        <v>0</v>
      </c>
      <c r="K249" s="9" t="s">
        <v>345</v>
      </c>
      <c r="L249" s="9">
        <v>0</v>
      </c>
      <c r="M249" s="14" t="s">
        <v>346</v>
      </c>
    </row>
    <row r="250" ht="184" customHeight="1" spans="1:13">
      <c r="A250" s="9" t="s">
        <v>113</v>
      </c>
      <c r="B250" s="9" t="s">
        <v>400</v>
      </c>
      <c r="C250" s="9">
        <v>1734</v>
      </c>
      <c r="D250" s="9">
        <v>1730</v>
      </c>
      <c r="E250" s="9">
        <v>0</v>
      </c>
      <c r="F250" s="10">
        <v>1401336</v>
      </c>
      <c r="G250" s="10">
        <v>1472668</v>
      </c>
      <c r="H250" s="10" t="s">
        <v>195</v>
      </c>
      <c r="I250" s="10" t="s">
        <v>195</v>
      </c>
      <c r="J250" s="13">
        <v>0</v>
      </c>
      <c r="K250" s="9" t="s">
        <v>345</v>
      </c>
      <c r="L250" s="9">
        <v>0</v>
      </c>
      <c r="M250" s="14" t="s">
        <v>346</v>
      </c>
    </row>
    <row r="251" ht="184" customHeight="1" spans="1:13">
      <c r="A251" s="9" t="s">
        <v>113</v>
      </c>
      <c r="B251" s="9" t="s">
        <v>457</v>
      </c>
      <c r="C251" s="9">
        <v>1688</v>
      </c>
      <c r="D251" s="9">
        <v>1608</v>
      </c>
      <c r="E251" s="9">
        <v>0</v>
      </c>
      <c r="F251" s="10">
        <v>1900</v>
      </c>
      <c r="G251" s="10">
        <v>697882</v>
      </c>
      <c r="H251" s="10" t="s">
        <v>195</v>
      </c>
      <c r="I251" s="10" t="s">
        <v>195</v>
      </c>
      <c r="J251" s="13">
        <v>0</v>
      </c>
      <c r="K251" s="9" t="s">
        <v>345</v>
      </c>
      <c r="L251" s="9">
        <v>0</v>
      </c>
      <c r="M251" s="14" t="s">
        <v>346</v>
      </c>
    </row>
    <row r="252" ht="184" customHeight="1" spans="1:13">
      <c r="A252" s="9" t="s">
        <v>113</v>
      </c>
      <c r="B252" s="9" t="s">
        <v>458</v>
      </c>
      <c r="C252" s="9">
        <v>210</v>
      </c>
      <c r="D252" s="9">
        <v>210</v>
      </c>
      <c r="E252" s="9">
        <v>0</v>
      </c>
      <c r="F252" s="10">
        <v>1401774</v>
      </c>
      <c r="G252" s="10">
        <v>1425277</v>
      </c>
      <c r="H252" s="10" t="s">
        <v>195</v>
      </c>
      <c r="I252" s="10" t="s">
        <v>195</v>
      </c>
      <c r="J252" s="13">
        <v>0</v>
      </c>
      <c r="K252" s="9" t="s">
        <v>345</v>
      </c>
      <c r="L252" s="9">
        <v>0</v>
      </c>
      <c r="M252" s="14" t="s">
        <v>346</v>
      </c>
    </row>
    <row r="253" ht="184" customHeight="1" spans="1:13">
      <c r="A253" s="9" t="s">
        <v>113</v>
      </c>
      <c r="B253" s="9" t="s">
        <v>459</v>
      </c>
      <c r="C253" s="9">
        <v>2</v>
      </c>
      <c r="D253" s="9">
        <v>2</v>
      </c>
      <c r="E253" s="9">
        <v>0</v>
      </c>
      <c r="F253" s="10">
        <v>1476626</v>
      </c>
      <c r="G253" s="10">
        <v>1479437</v>
      </c>
      <c r="H253" s="10" t="s">
        <v>195</v>
      </c>
      <c r="I253" s="10" t="s">
        <v>195</v>
      </c>
      <c r="J253" s="13">
        <v>0</v>
      </c>
      <c r="K253" s="9" t="s">
        <v>345</v>
      </c>
      <c r="L253" s="9">
        <v>0</v>
      </c>
      <c r="M253" s="14" t="s">
        <v>346</v>
      </c>
    </row>
    <row r="254" ht="184" customHeight="1" spans="1:13">
      <c r="A254" s="9" t="s">
        <v>113</v>
      </c>
      <c r="B254" s="9" t="s">
        <v>460</v>
      </c>
      <c r="C254" s="9">
        <v>219</v>
      </c>
      <c r="D254" s="9">
        <v>219</v>
      </c>
      <c r="E254" s="9">
        <v>0</v>
      </c>
      <c r="F254" s="10">
        <v>1401710</v>
      </c>
      <c r="G254" s="10">
        <v>1436849</v>
      </c>
      <c r="H254" s="10" t="s">
        <v>195</v>
      </c>
      <c r="I254" s="10" t="s">
        <v>195</v>
      </c>
      <c r="J254" s="13">
        <v>0</v>
      </c>
      <c r="K254" s="9" t="s">
        <v>345</v>
      </c>
      <c r="L254" s="9">
        <v>0</v>
      </c>
      <c r="M254" s="14" t="s">
        <v>346</v>
      </c>
    </row>
    <row r="255" ht="184" customHeight="1" spans="1:13">
      <c r="A255" s="9" t="s">
        <v>113</v>
      </c>
      <c r="B255" s="9" t="s">
        <v>161</v>
      </c>
      <c r="C255" s="9">
        <v>570</v>
      </c>
      <c r="D255" s="9">
        <v>569</v>
      </c>
      <c r="E255" s="9">
        <v>0</v>
      </c>
      <c r="F255" s="10">
        <v>1401348</v>
      </c>
      <c r="G255" s="10">
        <v>1431231</v>
      </c>
      <c r="H255" s="10" t="s">
        <v>195</v>
      </c>
      <c r="I255" s="10" t="s">
        <v>195</v>
      </c>
      <c r="J255" s="13">
        <v>0</v>
      </c>
      <c r="K255" s="9" t="s">
        <v>345</v>
      </c>
      <c r="L255" s="9">
        <v>0</v>
      </c>
      <c r="M255" s="14" t="s">
        <v>346</v>
      </c>
    </row>
    <row r="256" ht="184" customHeight="1" spans="1:13">
      <c r="A256" s="9" t="s">
        <v>113</v>
      </c>
      <c r="B256" s="9" t="s">
        <v>365</v>
      </c>
      <c r="C256" s="9">
        <v>10440</v>
      </c>
      <c r="D256" s="9">
        <v>10354</v>
      </c>
      <c r="E256" s="9">
        <v>0</v>
      </c>
      <c r="F256" s="10">
        <v>142995</v>
      </c>
      <c r="G256" s="10">
        <v>148851</v>
      </c>
      <c r="H256" s="10" t="s">
        <v>195</v>
      </c>
      <c r="I256" s="10" t="s">
        <v>195</v>
      </c>
      <c r="J256" s="13">
        <v>0</v>
      </c>
      <c r="K256" s="9" t="s">
        <v>345</v>
      </c>
      <c r="L256" s="9">
        <v>0</v>
      </c>
      <c r="M256" s="14" t="s">
        <v>346</v>
      </c>
    </row>
    <row r="257" spans="1:13">
      <c r="A257" s="7" t="s">
        <v>122</v>
      </c>
      <c r="B257" s="7" t="s">
        <v>123</v>
      </c>
      <c r="C257" s="7">
        <v>36534</v>
      </c>
      <c r="D257" s="7">
        <v>36434</v>
      </c>
      <c r="E257" s="7">
        <v>35020</v>
      </c>
      <c r="F257" s="8">
        <v>695672</v>
      </c>
      <c r="G257" s="8">
        <v>1444136</v>
      </c>
      <c r="H257" s="8">
        <v>699081</v>
      </c>
      <c r="I257" s="8">
        <v>1242969</v>
      </c>
      <c r="J257" s="11">
        <f t="shared" ref="J257:J288" si="4">(I257-H257)/1000</f>
        <v>543.888</v>
      </c>
      <c r="K257" s="7" t="s">
        <v>319</v>
      </c>
      <c r="L257" s="7">
        <v>124</v>
      </c>
      <c r="M257" s="12" t="s">
        <v>320</v>
      </c>
    </row>
    <row r="258" spans="1:13">
      <c r="A258" s="7" t="s">
        <v>122</v>
      </c>
      <c r="B258" s="7" t="s">
        <v>124</v>
      </c>
      <c r="C258" s="7">
        <v>23055</v>
      </c>
      <c r="D258" s="7">
        <v>22536</v>
      </c>
      <c r="E258" s="7">
        <v>20712</v>
      </c>
      <c r="F258" s="8">
        <v>657270</v>
      </c>
      <c r="G258" s="8">
        <v>1437083</v>
      </c>
      <c r="H258" s="8">
        <v>699077</v>
      </c>
      <c r="I258" s="8">
        <v>1242917</v>
      </c>
      <c r="J258" s="11">
        <f t="shared" si="4"/>
        <v>543.84</v>
      </c>
      <c r="K258" s="7" t="s">
        <v>319</v>
      </c>
      <c r="L258" s="7">
        <v>124</v>
      </c>
      <c r="M258" s="12" t="s">
        <v>320</v>
      </c>
    </row>
    <row r="259" spans="1:13">
      <c r="A259" s="7" t="s">
        <v>122</v>
      </c>
      <c r="B259" s="7" t="s">
        <v>126</v>
      </c>
      <c r="C259" s="7">
        <v>18344</v>
      </c>
      <c r="D259" s="7">
        <v>18314</v>
      </c>
      <c r="E259" s="7">
        <v>17004</v>
      </c>
      <c r="F259" s="8">
        <v>665798</v>
      </c>
      <c r="G259" s="8">
        <v>1426638</v>
      </c>
      <c r="H259" s="8">
        <v>699117</v>
      </c>
      <c r="I259" s="8">
        <v>1242737</v>
      </c>
      <c r="J259" s="11">
        <f t="shared" si="4"/>
        <v>543.62</v>
      </c>
      <c r="K259" s="7" t="s">
        <v>319</v>
      </c>
      <c r="L259" s="7">
        <v>124</v>
      </c>
      <c r="M259" s="12" t="s">
        <v>320</v>
      </c>
    </row>
    <row r="260" spans="1:13">
      <c r="A260" s="7" t="s">
        <v>122</v>
      </c>
      <c r="B260" s="7" t="s">
        <v>125</v>
      </c>
      <c r="C260" s="7">
        <v>20473</v>
      </c>
      <c r="D260" s="7">
        <v>20466</v>
      </c>
      <c r="E260" s="7">
        <v>18344</v>
      </c>
      <c r="F260" s="8">
        <v>657131</v>
      </c>
      <c r="G260" s="8">
        <v>1436476</v>
      </c>
      <c r="H260" s="8">
        <v>699115</v>
      </c>
      <c r="I260" s="8">
        <v>1240700</v>
      </c>
      <c r="J260" s="11">
        <f t="shared" si="4"/>
        <v>541.585</v>
      </c>
      <c r="K260" s="7" t="s">
        <v>319</v>
      </c>
      <c r="L260" s="7">
        <v>124</v>
      </c>
      <c r="M260" s="12" t="s">
        <v>320</v>
      </c>
    </row>
    <row r="261" ht="34" customHeight="1" spans="1:13">
      <c r="A261" s="7" t="s">
        <v>122</v>
      </c>
      <c r="B261" s="7" t="s">
        <v>83</v>
      </c>
      <c r="C261" s="7">
        <v>19538</v>
      </c>
      <c r="D261" s="7">
        <v>19462</v>
      </c>
      <c r="E261" s="7">
        <v>17620</v>
      </c>
      <c r="F261" s="8">
        <v>657125</v>
      </c>
      <c r="G261" s="8">
        <v>1211615</v>
      </c>
      <c r="H261" s="8">
        <v>699086</v>
      </c>
      <c r="I261" s="8">
        <v>1211615</v>
      </c>
      <c r="J261" s="11">
        <f t="shared" si="4"/>
        <v>512.529</v>
      </c>
      <c r="K261" s="7" t="s">
        <v>319</v>
      </c>
      <c r="L261" s="7">
        <v>118</v>
      </c>
      <c r="M261" s="12" t="s">
        <v>438</v>
      </c>
    </row>
    <row r="262" ht="64" customHeight="1" spans="1:13">
      <c r="A262" s="7" t="s">
        <v>122</v>
      </c>
      <c r="B262" s="7" t="s">
        <v>104</v>
      </c>
      <c r="C262" s="7">
        <v>20997</v>
      </c>
      <c r="D262" s="7">
        <v>20457</v>
      </c>
      <c r="E262" s="7">
        <v>19531</v>
      </c>
      <c r="F262" s="8">
        <v>661293</v>
      </c>
      <c r="G262" s="8">
        <v>1170772</v>
      </c>
      <c r="H262" s="8">
        <v>699094</v>
      </c>
      <c r="I262" s="8">
        <v>1170772</v>
      </c>
      <c r="J262" s="11">
        <f t="shared" si="4"/>
        <v>471.678</v>
      </c>
      <c r="K262" s="7" t="s">
        <v>319</v>
      </c>
      <c r="L262" s="7">
        <v>108</v>
      </c>
      <c r="M262" s="12" t="s">
        <v>321</v>
      </c>
    </row>
    <row r="263" ht="64" customHeight="1" spans="1:13">
      <c r="A263" s="7" t="s">
        <v>122</v>
      </c>
      <c r="B263" s="7" t="s">
        <v>60</v>
      </c>
      <c r="C263" s="7">
        <v>22256</v>
      </c>
      <c r="D263" s="7">
        <v>22225</v>
      </c>
      <c r="E263" s="7">
        <v>20766</v>
      </c>
      <c r="F263" s="8">
        <v>656350</v>
      </c>
      <c r="G263" s="8">
        <v>1169673</v>
      </c>
      <c r="H263" s="8">
        <v>699080</v>
      </c>
      <c r="I263" s="8">
        <v>1169673</v>
      </c>
      <c r="J263" s="11">
        <f t="shared" si="4"/>
        <v>470.593</v>
      </c>
      <c r="K263" s="7" t="s">
        <v>319</v>
      </c>
      <c r="L263" s="7">
        <v>108</v>
      </c>
      <c r="M263" s="12" t="s">
        <v>321</v>
      </c>
    </row>
    <row r="264" ht="64" customHeight="1" spans="1:13">
      <c r="A264" s="7" t="s">
        <v>122</v>
      </c>
      <c r="B264" s="7" t="s">
        <v>130</v>
      </c>
      <c r="C264" s="7">
        <v>18241</v>
      </c>
      <c r="D264" s="7">
        <v>18228</v>
      </c>
      <c r="E264" s="7">
        <v>17465</v>
      </c>
      <c r="F264" s="8">
        <v>657179</v>
      </c>
      <c r="G264" s="8">
        <v>1169002</v>
      </c>
      <c r="H264" s="8">
        <v>699077</v>
      </c>
      <c r="I264" s="8">
        <v>1169002</v>
      </c>
      <c r="J264" s="11">
        <f t="shared" si="4"/>
        <v>469.925</v>
      </c>
      <c r="K264" s="7" t="s">
        <v>319</v>
      </c>
      <c r="L264" s="7">
        <v>108</v>
      </c>
      <c r="M264" s="12" t="s">
        <v>321</v>
      </c>
    </row>
    <row r="265" ht="79" customHeight="1" spans="1:13">
      <c r="A265" s="7" t="s">
        <v>122</v>
      </c>
      <c r="B265" s="7" t="s">
        <v>129</v>
      </c>
      <c r="C265" s="7">
        <v>19349</v>
      </c>
      <c r="D265" s="7">
        <v>19344</v>
      </c>
      <c r="E265" s="7">
        <v>17968</v>
      </c>
      <c r="F265" s="8">
        <v>657192</v>
      </c>
      <c r="G265" s="8">
        <v>1163787</v>
      </c>
      <c r="H265" s="8">
        <v>699077</v>
      </c>
      <c r="I265" s="8">
        <v>1163787</v>
      </c>
      <c r="J265" s="11">
        <f t="shared" si="4"/>
        <v>464.71</v>
      </c>
      <c r="K265" s="7" t="s">
        <v>319</v>
      </c>
      <c r="L265" s="7">
        <v>105</v>
      </c>
      <c r="M265" s="12" t="s">
        <v>461</v>
      </c>
    </row>
    <row r="266" ht="124" customHeight="1" spans="1:13">
      <c r="A266" s="7" t="s">
        <v>122</v>
      </c>
      <c r="B266" s="7" t="s">
        <v>128</v>
      </c>
      <c r="C266" s="7">
        <v>28125</v>
      </c>
      <c r="D266" s="7">
        <v>28105</v>
      </c>
      <c r="E266" s="7">
        <v>26984</v>
      </c>
      <c r="F266" s="8">
        <v>862377</v>
      </c>
      <c r="G266" s="8">
        <v>1437174</v>
      </c>
      <c r="H266" s="8">
        <v>862377</v>
      </c>
      <c r="I266" s="8">
        <v>1242949</v>
      </c>
      <c r="J266" s="11">
        <f t="shared" si="4"/>
        <v>380.572</v>
      </c>
      <c r="K266" s="7" t="s">
        <v>319</v>
      </c>
      <c r="L266" s="7">
        <v>90</v>
      </c>
      <c r="M266" s="12" t="s">
        <v>462</v>
      </c>
    </row>
    <row r="267" ht="169" customHeight="1" spans="1:13">
      <c r="A267" s="7" t="s">
        <v>122</v>
      </c>
      <c r="B267" s="7" t="s">
        <v>127</v>
      </c>
      <c r="C267" s="7">
        <v>29301</v>
      </c>
      <c r="D267" s="7">
        <v>29048</v>
      </c>
      <c r="E267" s="7">
        <v>27779</v>
      </c>
      <c r="F267" s="8">
        <v>656353</v>
      </c>
      <c r="G267" s="8">
        <v>1028915</v>
      </c>
      <c r="H267" s="8">
        <v>699073</v>
      </c>
      <c r="I267" s="8">
        <v>1028915</v>
      </c>
      <c r="J267" s="11">
        <f t="shared" si="4"/>
        <v>329.842</v>
      </c>
      <c r="K267" s="7" t="s">
        <v>319</v>
      </c>
      <c r="L267" s="7">
        <v>77</v>
      </c>
      <c r="M267" s="12" t="s">
        <v>370</v>
      </c>
    </row>
    <row r="268" ht="169" customHeight="1" spans="1:13">
      <c r="A268" s="7" t="s">
        <v>122</v>
      </c>
      <c r="B268" s="7" t="s">
        <v>106</v>
      </c>
      <c r="C268" s="7">
        <v>11884</v>
      </c>
      <c r="D268" s="7">
        <v>11862</v>
      </c>
      <c r="E268" s="7">
        <v>11190</v>
      </c>
      <c r="F268" s="8">
        <v>695668</v>
      </c>
      <c r="G268" s="8">
        <v>1028407</v>
      </c>
      <c r="H268" s="8">
        <v>699088</v>
      </c>
      <c r="I268" s="8">
        <v>1028407</v>
      </c>
      <c r="J268" s="11">
        <f t="shared" si="4"/>
        <v>329.319</v>
      </c>
      <c r="K268" s="7" t="s">
        <v>319</v>
      </c>
      <c r="L268" s="7">
        <v>77</v>
      </c>
      <c r="M268" s="12" t="s">
        <v>370</v>
      </c>
    </row>
    <row r="269" ht="169" customHeight="1" spans="1:13">
      <c r="A269" s="7" t="s">
        <v>122</v>
      </c>
      <c r="B269" s="7" t="s">
        <v>134</v>
      </c>
      <c r="C269" s="7">
        <v>324</v>
      </c>
      <c r="D269" s="7">
        <v>114</v>
      </c>
      <c r="E269" s="7">
        <v>111</v>
      </c>
      <c r="F269" s="8">
        <v>696847</v>
      </c>
      <c r="G269" s="8">
        <v>1028917</v>
      </c>
      <c r="H269" s="8">
        <v>700269</v>
      </c>
      <c r="I269" s="8">
        <v>1028917</v>
      </c>
      <c r="J269" s="11">
        <f t="shared" si="4"/>
        <v>328.648</v>
      </c>
      <c r="K269" s="7" t="s">
        <v>319</v>
      </c>
      <c r="L269" s="7">
        <v>77</v>
      </c>
      <c r="M269" s="12" t="s">
        <v>370</v>
      </c>
    </row>
    <row r="270" ht="184" customHeight="1" spans="1:13">
      <c r="A270" s="7" t="s">
        <v>122</v>
      </c>
      <c r="B270" s="7" t="s">
        <v>86</v>
      </c>
      <c r="C270" s="7">
        <v>11397</v>
      </c>
      <c r="D270" s="7">
        <v>11367</v>
      </c>
      <c r="E270" s="7">
        <v>11049</v>
      </c>
      <c r="F270" s="8">
        <v>921253</v>
      </c>
      <c r="G270" s="8">
        <v>1435653</v>
      </c>
      <c r="H270" s="8">
        <v>921253</v>
      </c>
      <c r="I270" s="8">
        <v>1242954</v>
      </c>
      <c r="J270" s="11">
        <f t="shared" si="4"/>
        <v>321.701</v>
      </c>
      <c r="K270" s="7" t="s">
        <v>319</v>
      </c>
      <c r="L270" s="7">
        <v>78</v>
      </c>
      <c r="M270" s="12" t="s">
        <v>323</v>
      </c>
    </row>
    <row r="271" ht="184" customHeight="1" spans="1:13">
      <c r="A271" s="7" t="s">
        <v>122</v>
      </c>
      <c r="B271" s="7" t="s">
        <v>116</v>
      </c>
      <c r="C271" s="7">
        <v>21310</v>
      </c>
      <c r="D271" s="7">
        <v>21262</v>
      </c>
      <c r="E271" s="7">
        <v>20308</v>
      </c>
      <c r="F271" s="8">
        <v>921484</v>
      </c>
      <c r="G271" s="8">
        <v>1437082</v>
      </c>
      <c r="H271" s="8">
        <v>921484</v>
      </c>
      <c r="I271" s="8">
        <v>1242972</v>
      </c>
      <c r="J271" s="11">
        <f t="shared" si="4"/>
        <v>321.488</v>
      </c>
      <c r="K271" s="7" t="s">
        <v>319</v>
      </c>
      <c r="L271" s="7">
        <v>78</v>
      </c>
      <c r="M271" s="12" t="s">
        <v>323</v>
      </c>
    </row>
    <row r="272" ht="184" customHeight="1" spans="1:13">
      <c r="A272" s="7" t="s">
        <v>122</v>
      </c>
      <c r="B272" s="7" t="s">
        <v>68</v>
      </c>
      <c r="C272" s="7">
        <v>11251</v>
      </c>
      <c r="D272" s="7">
        <v>11240</v>
      </c>
      <c r="E272" s="7">
        <v>10997</v>
      </c>
      <c r="F272" s="8">
        <v>921757</v>
      </c>
      <c r="G272" s="8">
        <v>1499858</v>
      </c>
      <c r="H272" s="8">
        <v>921757</v>
      </c>
      <c r="I272" s="8">
        <v>1240563</v>
      </c>
      <c r="J272" s="11">
        <f t="shared" si="4"/>
        <v>318.806</v>
      </c>
      <c r="K272" s="7" t="s">
        <v>319</v>
      </c>
      <c r="L272" s="7">
        <v>78</v>
      </c>
      <c r="M272" s="12" t="s">
        <v>323</v>
      </c>
    </row>
    <row r="273" ht="184" customHeight="1" spans="1:13">
      <c r="A273" s="7" t="s">
        <v>122</v>
      </c>
      <c r="B273" s="7" t="s">
        <v>119</v>
      </c>
      <c r="C273" s="7">
        <v>10130</v>
      </c>
      <c r="D273" s="7">
        <v>10123</v>
      </c>
      <c r="E273" s="7">
        <v>9805</v>
      </c>
      <c r="F273" s="8">
        <v>923007</v>
      </c>
      <c r="G273" s="8">
        <v>1436651</v>
      </c>
      <c r="H273" s="8">
        <v>923007</v>
      </c>
      <c r="I273" s="8">
        <v>1240702</v>
      </c>
      <c r="J273" s="11">
        <f t="shared" si="4"/>
        <v>317.695</v>
      </c>
      <c r="K273" s="7" t="s">
        <v>319</v>
      </c>
      <c r="L273" s="7">
        <v>77</v>
      </c>
      <c r="M273" s="12" t="s">
        <v>463</v>
      </c>
    </row>
    <row r="274" ht="199" customHeight="1" spans="1:13">
      <c r="A274" s="7" t="s">
        <v>122</v>
      </c>
      <c r="B274" s="7" t="s">
        <v>87</v>
      </c>
      <c r="C274" s="7">
        <v>27032</v>
      </c>
      <c r="D274" s="7">
        <v>26502</v>
      </c>
      <c r="E274" s="7">
        <v>26502</v>
      </c>
      <c r="F274" s="8">
        <v>920737</v>
      </c>
      <c r="G274" s="8">
        <v>1172547</v>
      </c>
      <c r="H274" s="8">
        <v>920737</v>
      </c>
      <c r="I274" s="8">
        <v>1172547</v>
      </c>
      <c r="J274" s="11">
        <f t="shared" si="4"/>
        <v>251.81</v>
      </c>
      <c r="K274" s="7" t="s">
        <v>319</v>
      </c>
      <c r="L274" s="7">
        <v>62</v>
      </c>
      <c r="M274" s="12" t="s">
        <v>327</v>
      </c>
    </row>
    <row r="275" ht="199" customHeight="1" spans="1:13">
      <c r="A275" s="7" t="s">
        <v>122</v>
      </c>
      <c r="B275" s="7" t="s">
        <v>43</v>
      </c>
      <c r="C275" s="7">
        <v>19758</v>
      </c>
      <c r="D275" s="7">
        <v>19371</v>
      </c>
      <c r="E275" s="7">
        <v>19371</v>
      </c>
      <c r="F275" s="8">
        <v>921717</v>
      </c>
      <c r="G275" s="8">
        <v>1172539</v>
      </c>
      <c r="H275" s="8">
        <v>921717</v>
      </c>
      <c r="I275" s="8">
        <v>1172539</v>
      </c>
      <c r="J275" s="11">
        <f t="shared" si="4"/>
        <v>250.822</v>
      </c>
      <c r="K275" s="7" t="s">
        <v>319</v>
      </c>
      <c r="L275" s="7">
        <v>62</v>
      </c>
      <c r="M275" s="12" t="s">
        <v>327</v>
      </c>
    </row>
    <row r="276" ht="184" customHeight="1" spans="1:13">
      <c r="A276" s="7" t="s">
        <v>122</v>
      </c>
      <c r="B276" s="7" t="s">
        <v>131</v>
      </c>
      <c r="C276" s="7">
        <v>9024</v>
      </c>
      <c r="D276" s="7">
        <v>9016</v>
      </c>
      <c r="E276" s="7">
        <v>8718</v>
      </c>
      <c r="F276" s="8">
        <v>696243</v>
      </c>
      <c r="G276" s="8">
        <v>921317</v>
      </c>
      <c r="H276" s="8">
        <v>699071</v>
      </c>
      <c r="I276" s="8">
        <v>921317</v>
      </c>
      <c r="J276" s="11">
        <f t="shared" si="4"/>
        <v>222.246</v>
      </c>
      <c r="K276" s="7" t="s">
        <v>319</v>
      </c>
      <c r="L276" s="7">
        <v>47</v>
      </c>
      <c r="M276" s="12" t="s">
        <v>331</v>
      </c>
    </row>
    <row r="277" ht="184" customHeight="1" spans="1:13">
      <c r="A277" s="7" t="s">
        <v>122</v>
      </c>
      <c r="B277" s="7" t="s">
        <v>114</v>
      </c>
      <c r="C277" s="7">
        <v>6969</v>
      </c>
      <c r="D277" s="7">
        <v>6969</v>
      </c>
      <c r="E277" s="7">
        <v>5923</v>
      </c>
      <c r="F277" s="8">
        <v>656384</v>
      </c>
      <c r="G277" s="8">
        <v>897108</v>
      </c>
      <c r="H277" s="8">
        <v>699076</v>
      </c>
      <c r="I277" s="8">
        <v>897108</v>
      </c>
      <c r="J277" s="11">
        <f t="shared" si="4"/>
        <v>198.032</v>
      </c>
      <c r="K277" s="7" t="s">
        <v>319</v>
      </c>
      <c r="L277" s="7">
        <v>42</v>
      </c>
      <c r="M277" s="12" t="s">
        <v>464</v>
      </c>
    </row>
    <row r="278" ht="184" customHeight="1" spans="1:13">
      <c r="A278" s="7" t="s">
        <v>122</v>
      </c>
      <c r="B278" s="7" t="s">
        <v>44</v>
      </c>
      <c r="C278" s="7">
        <v>12462</v>
      </c>
      <c r="D278" s="7">
        <v>12459</v>
      </c>
      <c r="E278" s="7">
        <v>12459</v>
      </c>
      <c r="F278" s="8">
        <v>920681</v>
      </c>
      <c r="G278" s="8">
        <v>1107811</v>
      </c>
      <c r="H278" s="8">
        <v>920681</v>
      </c>
      <c r="I278" s="8">
        <v>1107811</v>
      </c>
      <c r="J278" s="11">
        <f t="shared" si="4"/>
        <v>187.13</v>
      </c>
      <c r="K278" s="7" t="s">
        <v>319</v>
      </c>
      <c r="L278" s="7">
        <v>48</v>
      </c>
      <c r="M278" s="12" t="s">
        <v>465</v>
      </c>
    </row>
    <row r="279" ht="184" customHeight="1" spans="1:13">
      <c r="A279" s="7" t="s">
        <v>122</v>
      </c>
      <c r="B279" s="7" t="s">
        <v>61</v>
      </c>
      <c r="C279" s="7">
        <v>9664</v>
      </c>
      <c r="D279" s="7">
        <v>9611</v>
      </c>
      <c r="E279" s="7">
        <v>9611</v>
      </c>
      <c r="F279" s="8">
        <v>920363</v>
      </c>
      <c r="G279" s="8">
        <v>1029031</v>
      </c>
      <c r="H279" s="8">
        <v>920363</v>
      </c>
      <c r="I279" s="8">
        <v>1029031</v>
      </c>
      <c r="J279" s="11">
        <f t="shared" si="4"/>
        <v>108.668</v>
      </c>
      <c r="K279" s="7" t="s">
        <v>319</v>
      </c>
      <c r="L279" s="7">
        <v>31</v>
      </c>
      <c r="M279" s="12" t="s">
        <v>334</v>
      </c>
    </row>
    <row r="280" ht="184" customHeight="1" spans="1:13">
      <c r="A280" s="7" t="s">
        <v>122</v>
      </c>
      <c r="B280" s="7" t="s">
        <v>70</v>
      </c>
      <c r="C280" s="7">
        <v>10196</v>
      </c>
      <c r="D280" s="7">
        <v>10170</v>
      </c>
      <c r="E280" s="7">
        <v>10170</v>
      </c>
      <c r="F280" s="8">
        <v>920373</v>
      </c>
      <c r="G280" s="8">
        <v>1028910</v>
      </c>
      <c r="H280" s="8">
        <v>920373</v>
      </c>
      <c r="I280" s="8">
        <v>1028910</v>
      </c>
      <c r="J280" s="11">
        <f t="shared" si="4"/>
        <v>108.537</v>
      </c>
      <c r="K280" s="7" t="s">
        <v>319</v>
      </c>
      <c r="L280" s="7">
        <v>31</v>
      </c>
      <c r="M280" s="12" t="s">
        <v>334</v>
      </c>
    </row>
    <row r="281" ht="184" customHeight="1" spans="1:13">
      <c r="A281" s="7" t="s">
        <v>122</v>
      </c>
      <c r="B281" s="7" t="s">
        <v>52</v>
      </c>
      <c r="C281" s="7">
        <v>1869</v>
      </c>
      <c r="D281" s="7">
        <v>1869</v>
      </c>
      <c r="E281" s="7">
        <v>1869</v>
      </c>
      <c r="F281" s="8">
        <v>981286</v>
      </c>
      <c r="G281" s="8">
        <v>1020839</v>
      </c>
      <c r="H281" s="8">
        <v>981286</v>
      </c>
      <c r="I281" s="8">
        <v>1020839</v>
      </c>
      <c r="J281" s="11">
        <f t="shared" si="4"/>
        <v>39.553</v>
      </c>
      <c r="K281" s="7" t="s">
        <v>319</v>
      </c>
      <c r="L281" s="7">
        <v>11</v>
      </c>
      <c r="M281" s="12" t="s">
        <v>466</v>
      </c>
    </row>
    <row r="282" ht="184" customHeight="1" spans="1:13">
      <c r="A282" s="7" t="s">
        <v>122</v>
      </c>
      <c r="B282" s="7" t="s">
        <v>133</v>
      </c>
      <c r="C282" s="7">
        <v>384</v>
      </c>
      <c r="D282" s="7">
        <v>382</v>
      </c>
      <c r="E282" s="7">
        <v>218</v>
      </c>
      <c r="F282" s="8">
        <v>1229584</v>
      </c>
      <c r="G282" s="8">
        <v>1305870</v>
      </c>
      <c r="H282" s="8">
        <v>1229584</v>
      </c>
      <c r="I282" s="8">
        <v>1243856</v>
      </c>
      <c r="J282" s="11">
        <f t="shared" si="4"/>
        <v>14.272</v>
      </c>
      <c r="K282" s="7" t="s">
        <v>319</v>
      </c>
      <c r="L282" s="7">
        <v>4</v>
      </c>
      <c r="M282" s="12" t="s">
        <v>341</v>
      </c>
    </row>
    <row r="283" ht="184" customHeight="1" spans="1:13">
      <c r="A283" s="7" t="s">
        <v>122</v>
      </c>
      <c r="B283" s="7" t="s">
        <v>132</v>
      </c>
      <c r="C283" s="7">
        <v>1727</v>
      </c>
      <c r="D283" s="7">
        <v>1669</v>
      </c>
      <c r="E283" s="7">
        <v>38</v>
      </c>
      <c r="F283" s="8">
        <v>1231127</v>
      </c>
      <c r="G283" s="8">
        <v>1528843</v>
      </c>
      <c r="H283" s="8">
        <v>1231127</v>
      </c>
      <c r="I283" s="8">
        <v>1243268</v>
      </c>
      <c r="J283" s="11">
        <f t="shared" si="4"/>
        <v>12.141</v>
      </c>
      <c r="K283" s="7" t="s">
        <v>319</v>
      </c>
      <c r="L283" s="7">
        <v>3</v>
      </c>
      <c r="M283" s="12" t="s">
        <v>342</v>
      </c>
    </row>
    <row r="284" ht="199" customHeight="1" spans="1:13">
      <c r="A284" s="7" t="s">
        <v>122</v>
      </c>
      <c r="B284" s="7" t="s">
        <v>136</v>
      </c>
      <c r="C284" s="7">
        <v>142</v>
      </c>
      <c r="D284" s="7">
        <v>142</v>
      </c>
      <c r="E284" s="7">
        <v>142</v>
      </c>
      <c r="F284" s="8">
        <v>1159389</v>
      </c>
      <c r="G284" s="8">
        <v>1171240</v>
      </c>
      <c r="H284" s="8">
        <v>1159389</v>
      </c>
      <c r="I284" s="8">
        <v>1171240</v>
      </c>
      <c r="J284" s="11">
        <f t="shared" si="4"/>
        <v>11.851</v>
      </c>
      <c r="K284" s="7" t="s">
        <v>319</v>
      </c>
      <c r="L284" s="7">
        <v>5</v>
      </c>
      <c r="M284" s="12" t="s">
        <v>467</v>
      </c>
    </row>
    <row r="285" ht="184" customHeight="1" spans="1:13">
      <c r="A285" s="7" t="s">
        <v>122</v>
      </c>
      <c r="B285" s="7" t="s">
        <v>135</v>
      </c>
      <c r="C285" s="7">
        <v>213</v>
      </c>
      <c r="D285" s="7">
        <v>213</v>
      </c>
      <c r="E285" s="7">
        <v>72</v>
      </c>
      <c r="F285" s="8">
        <v>1232925</v>
      </c>
      <c r="G285" s="8">
        <v>1268548</v>
      </c>
      <c r="H285" s="8">
        <v>1232925</v>
      </c>
      <c r="I285" s="8">
        <v>1243946</v>
      </c>
      <c r="J285" s="11">
        <f t="shared" si="4"/>
        <v>11.021</v>
      </c>
      <c r="K285" s="7" t="s">
        <v>319</v>
      </c>
      <c r="L285" s="7">
        <v>3</v>
      </c>
      <c r="M285" s="12" t="s">
        <v>342</v>
      </c>
    </row>
    <row r="286" ht="184" customHeight="1" spans="1:13">
      <c r="A286" s="7" t="s">
        <v>122</v>
      </c>
      <c r="B286" s="7" t="s">
        <v>92</v>
      </c>
      <c r="C286" s="7">
        <v>175</v>
      </c>
      <c r="D286" s="7">
        <v>166</v>
      </c>
      <c r="E286" s="7">
        <v>166</v>
      </c>
      <c r="F286" s="8">
        <v>1022565</v>
      </c>
      <c r="G286" s="8">
        <v>1028405</v>
      </c>
      <c r="H286" s="8">
        <v>1022565</v>
      </c>
      <c r="I286" s="8">
        <v>1028405</v>
      </c>
      <c r="J286" s="11">
        <f t="shared" si="4"/>
        <v>5.84</v>
      </c>
      <c r="K286" s="7" t="s">
        <v>319</v>
      </c>
      <c r="L286" s="7">
        <v>3</v>
      </c>
      <c r="M286" s="12" t="s">
        <v>468</v>
      </c>
    </row>
    <row r="287" ht="184" customHeight="1" spans="1:13">
      <c r="A287" s="7" t="s">
        <v>122</v>
      </c>
      <c r="B287" s="7" t="s">
        <v>137</v>
      </c>
      <c r="C287" s="7">
        <v>115</v>
      </c>
      <c r="D287" s="7">
        <v>3</v>
      </c>
      <c r="E287" s="7">
        <v>3</v>
      </c>
      <c r="F287" s="8">
        <v>1027818</v>
      </c>
      <c r="G287" s="8">
        <v>1028486</v>
      </c>
      <c r="H287" s="8">
        <v>1027818</v>
      </c>
      <c r="I287" s="8">
        <v>1028486</v>
      </c>
      <c r="J287" s="11">
        <f t="shared" si="4"/>
        <v>0.668</v>
      </c>
      <c r="K287" s="7" t="s">
        <v>319</v>
      </c>
      <c r="L287" s="7">
        <v>1</v>
      </c>
      <c r="M287" s="12" t="s">
        <v>469</v>
      </c>
    </row>
    <row r="288" ht="184" customHeight="1" spans="1:13">
      <c r="A288" s="7" t="s">
        <v>122</v>
      </c>
      <c r="B288" s="7" t="s">
        <v>138</v>
      </c>
      <c r="C288" s="7">
        <v>65</v>
      </c>
      <c r="D288" s="7">
        <v>7</v>
      </c>
      <c r="E288" s="7">
        <v>7</v>
      </c>
      <c r="F288" s="8">
        <v>1027791</v>
      </c>
      <c r="G288" s="8">
        <v>1027850</v>
      </c>
      <c r="H288" s="8">
        <v>1027791</v>
      </c>
      <c r="I288" s="8">
        <v>1027850</v>
      </c>
      <c r="J288" s="11">
        <f t="shared" si="4"/>
        <v>0.059</v>
      </c>
      <c r="K288" s="7" t="s">
        <v>319</v>
      </c>
      <c r="L288" s="7">
        <v>1</v>
      </c>
      <c r="M288" s="12" t="s">
        <v>469</v>
      </c>
    </row>
    <row r="289" ht="184" customHeight="1" spans="1:13">
      <c r="A289" s="9" t="s">
        <v>122</v>
      </c>
      <c r="B289" s="9" t="s">
        <v>169</v>
      </c>
      <c r="C289" s="9">
        <v>619</v>
      </c>
      <c r="D289" s="9">
        <v>618</v>
      </c>
      <c r="E289" s="9">
        <v>0</v>
      </c>
      <c r="F289" s="10">
        <v>1401325</v>
      </c>
      <c r="G289" s="10">
        <v>1438744</v>
      </c>
      <c r="H289" s="10" t="s">
        <v>195</v>
      </c>
      <c r="I289" s="10" t="s">
        <v>195</v>
      </c>
      <c r="J289" s="13">
        <v>0</v>
      </c>
      <c r="K289" s="9" t="s">
        <v>345</v>
      </c>
      <c r="L289" s="9">
        <v>0</v>
      </c>
      <c r="M289" s="14" t="s">
        <v>346</v>
      </c>
    </row>
    <row r="290" ht="184" customHeight="1" spans="1:13">
      <c r="A290" s="9" t="s">
        <v>122</v>
      </c>
      <c r="B290" s="9" t="s">
        <v>109</v>
      </c>
      <c r="C290" s="9">
        <v>427</v>
      </c>
      <c r="D290" s="9">
        <v>426</v>
      </c>
      <c r="E290" s="9">
        <v>0</v>
      </c>
      <c r="F290" s="10">
        <v>145452</v>
      </c>
      <c r="G290" s="10">
        <v>145452</v>
      </c>
      <c r="H290" s="10" t="s">
        <v>195</v>
      </c>
      <c r="I290" s="10" t="s">
        <v>195</v>
      </c>
      <c r="J290" s="13">
        <v>0</v>
      </c>
      <c r="K290" s="9" t="s">
        <v>345</v>
      </c>
      <c r="L290" s="9">
        <v>0</v>
      </c>
      <c r="M290" s="14" t="s">
        <v>346</v>
      </c>
    </row>
    <row r="291" ht="184" customHeight="1" spans="1:13">
      <c r="A291" s="9" t="s">
        <v>122</v>
      </c>
      <c r="B291" s="9" t="s">
        <v>388</v>
      </c>
      <c r="C291" s="9">
        <v>2170</v>
      </c>
      <c r="D291" s="9">
        <v>1042</v>
      </c>
      <c r="E291" s="9">
        <v>0</v>
      </c>
      <c r="F291" s="10">
        <v>1274246</v>
      </c>
      <c r="G291" s="10">
        <v>1436517</v>
      </c>
      <c r="H291" s="10" t="s">
        <v>195</v>
      </c>
      <c r="I291" s="10" t="s">
        <v>195</v>
      </c>
      <c r="J291" s="13">
        <v>0</v>
      </c>
      <c r="K291" s="9" t="s">
        <v>345</v>
      </c>
      <c r="L291" s="9">
        <v>0</v>
      </c>
      <c r="M291" s="14" t="s">
        <v>346</v>
      </c>
    </row>
    <row r="292" ht="184" customHeight="1" spans="1:13">
      <c r="A292" s="9" t="s">
        <v>122</v>
      </c>
      <c r="B292" s="9" t="s">
        <v>448</v>
      </c>
      <c r="C292" s="9">
        <v>91</v>
      </c>
      <c r="D292" s="9">
        <v>91</v>
      </c>
      <c r="E292" s="9">
        <v>0</v>
      </c>
      <c r="F292" s="10">
        <v>1308772</v>
      </c>
      <c r="G292" s="10">
        <v>1377747</v>
      </c>
      <c r="H292" s="10" t="s">
        <v>195</v>
      </c>
      <c r="I292" s="10" t="s">
        <v>195</v>
      </c>
      <c r="J292" s="13">
        <v>0</v>
      </c>
      <c r="K292" s="9" t="s">
        <v>345</v>
      </c>
      <c r="L292" s="9">
        <v>0</v>
      </c>
      <c r="M292" s="14" t="s">
        <v>346</v>
      </c>
    </row>
    <row r="293" ht="184" customHeight="1" spans="1:13">
      <c r="A293" s="9" t="s">
        <v>122</v>
      </c>
      <c r="B293" s="9" t="s">
        <v>470</v>
      </c>
      <c r="C293" s="9">
        <v>5</v>
      </c>
      <c r="D293" s="9">
        <v>0</v>
      </c>
      <c r="E293" s="9">
        <v>0</v>
      </c>
      <c r="F293" s="10" t="s">
        <v>195</v>
      </c>
      <c r="G293" s="10" t="s">
        <v>195</v>
      </c>
      <c r="H293" s="10" t="s">
        <v>195</v>
      </c>
      <c r="I293" s="10" t="s">
        <v>195</v>
      </c>
      <c r="J293" s="13">
        <v>0</v>
      </c>
      <c r="K293" s="9" t="s">
        <v>345</v>
      </c>
      <c r="L293" s="9">
        <v>0</v>
      </c>
      <c r="M293" s="14" t="s">
        <v>346</v>
      </c>
    </row>
    <row r="294" ht="184" customHeight="1" spans="1:13">
      <c r="A294" s="9" t="s">
        <v>122</v>
      </c>
      <c r="B294" s="9" t="s">
        <v>471</v>
      </c>
      <c r="C294" s="9">
        <v>1427</v>
      </c>
      <c r="D294" s="9">
        <v>262</v>
      </c>
      <c r="E294" s="9">
        <v>1</v>
      </c>
      <c r="F294" s="10">
        <v>1235962</v>
      </c>
      <c r="G294" s="10">
        <v>1436178</v>
      </c>
      <c r="H294" s="10" t="s">
        <v>195</v>
      </c>
      <c r="I294" s="10" t="s">
        <v>195</v>
      </c>
      <c r="J294" s="13">
        <v>0</v>
      </c>
      <c r="K294" s="9" t="s">
        <v>345</v>
      </c>
      <c r="L294" s="9">
        <v>1</v>
      </c>
      <c r="M294" s="14" t="s">
        <v>472</v>
      </c>
    </row>
    <row r="295" ht="184" customHeight="1" spans="1:13">
      <c r="A295" s="9" t="s">
        <v>122</v>
      </c>
      <c r="B295" s="9" t="s">
        <v>473</v>
      </c>
      <c r="C295" s="9">
        <v>824</v>
      </c>
      <c r="D295" s="9">
        <v>823</v>
      </c>
      <c r="E295" s="9">
        <v>0</v>
      </c>
      <c r="F295" s="10">
        <v>1401337</v>
      </c>
      <c r="G295" s="10">
        <v>1436755</v>
      </c>
      <c r="H295" s="10" t="s">
        <v>195</v>
      </c>
      <c r="I295" s="10" t="s">
        <v>195</v>
      </c>
      <c r="J295" s="13">
        <v>0</v>
      </c>
      <c r="K295" s="9" t="s">
        <v>345</v>
      </c>
      <c r="L295" s="9">
        <v>0</v>
      </c>
      <c r="M295" s="14" t="s">
        <v>346</v>
      </c>
    </row>
    <row r="296" ht="184" customHeight="1" spans="1:13">
      <c r="A296" s="9" t="s">
        <v>122</v>
      </c>
      <c r="B296" s="9" t="s">
        <v>474</v>
      </c>
      <c r="C296" s="9">
        <v>5</v>
      </c>
      <c r="D296" s="9">
        <v>5</v>
      </c>
      <c r="E296" s="9">
        <v>0</v>
      </c>
      <c r="F296" s="10">
        <v>1405357</v>
      </c>
      <c r="G296" s="10">
        <v>1422658</v>
      </c>
      <c r="H296" s="10" t="s">
        <v>195</v>
      </c>
      <c r="I296" s="10" t="s">
        <v>195</v>
      </c>
      <c r="J296" s="13">
        <v>0</v>
      </c>
      <c r="K296" s="9" t="s">
        <v>345</v>
      </c>
      <c r="L296" s="9">
        <v>0</v>
      </c>
      <c r="M296" s="14" t="s">
        <v>346</v>
      </c>
    </row>
    <row r="297" ht="184" customHeight="1" spans="1:13">
      <c r="A297" s="9" t="s">
        <v>122</v>
      </c>
      <c r="B297" s="9" t="s">
        <v>475</v>
      </c>
      <c r="C297" s="9">
        <v>1564</v>
      </c>
      <c r="D297" s="9">
        <v>1547</v>
      </c>
      <c r="E297" s="9">
        <v>0</v>
      </c>
      <c r="F297" s="10">
        <v>1594</v>
      </c>
      <c r="G297" s="10">
        <v>697372</v>
      </c>
      <c r="H297" s="10" t="s">
        <v>195</v>
      </c>
      <c r="I297" s="10" t="s">
        <v>195</v>
      </c>
      <c r="J297" s="13">
        <v>0</v>
      </c>
      <c r="K297" s="9" t="s">
        <v>345</v>
      </c>
      <c r="L297" s="9">
        <v>0</v>
      </c>
      <c r="M297" s="14" t="s">
        <v>346</v>
      </c>
    </row>
    <row r="298" ht="184" customHeight="1" spans="1:13">
      <c r="A298" s="9" t="s">
        <v>122</v>
      </c>
      <c r="B298" s="9" t="s">
        <v>390</v>
      </c>
      <c r="C298" s="9">
        <v>532</v>
      </c>
      <c r="D298" s="9">
        <v>532</v>
      </c>
      <c r="E298" s="9">
        <v>0</v>
      </c>
      <c r="F298" s="10">
        <v>1401348</v>
      </c>
      <c r="G298" s="10">
        <v>1436233</v>
      </c>
      <c r="H298" s="10" t="s">
        <v>195</v>
      </c>
      <c r="I298" s="10" t="s">
        <v>195</v>
      </c>
      <c r="J298" s="13">
        <v>0</v>
      </c>
      <c r="K298" s="9" t="s">
        <v>345</v>
      </c>
      <c r="L298" s="9">
        <v>0</v>
      </c>
      <c r="M298" s="14" t="s">
        <v>346</v>
      </c>
    </row>
    <row r="299" ht="184" customHeight="1" spans="1:13">
      <c r="A299" s="9" t="s">
        <v>122</v>
      </c>
      <c r="B299" s="9" t="s">
        <v>476</v>
      </c>
      <c r="C299" s="9">
        <v>1625</v>
      </c>
      <c r="D299" s="9">
        <v>1592</v>
      </c>
      <c r="E299" s="9">
        <v>0</v>
      </c>
      <c r="F299" s="10">
        <v>1594</v>
      </c>
      <c r="G299" s="10">
        <v>697383</v>
      </c>
      <c r="H299" s="10" t="s">
        <v>195</v>
      </c>
      <c r="I299" s="10" t="s">
        <v>195</v>
      </c>
      <c r="J299" s="13">
        <v>0</v>
      </c>
      <c r="K299" s="9" t="s">
        <v>345</v>
      </c>
      <c r="L299" s="9">
        <v>0</v>
      </c>
      <c r="M299" s="14" t="s">
        <v>346</v>
      </c>
    </row>
    <row r="300" ht="184" customHeight="1" spans="1:13">
      <c r="A300" s="9" t="s">
        <v>122</v>
      </c>
      <c r="B300" s="9" t="s">
        <v>477</v>
      </c>
      <c r="C300" s="9">
        <v>68</v>
      </c>
      <c r="D300" s="9">
        <v>68</v>
      </c>
      <c r="E300" s="9">
        <v>0</v>
      </c>
      <c r="F300" s="10">
        <v>1256172</v>
      </c>
      <c r="G300" s="10">
        <v>1311489</v>
      </c>
      <c r="H300" s="10" t="s">
        <v>195</v>
      </c>
      <c r="I300" s="10" t="s">
        <v>195</v>
      </c>
      <c r="J300" s="13">
        <v>0</v>
      </c>
      <c r="K300" s="9" t="s">
        <v>345</v>
      </c>
      <c r="L300" s="9">
        <v>0</v>
      </c>
      <c r="M300" s="14" t="s">
        <v>346</v>
      </c>
    </row>
    <row r="301" ht="184" customHeight="1" spans="1:13">
      <c r="A301" s="9" t="s">
        <v>122</v>
      </c>
      <c r="B301" s="9" t="s">
        <v>478</v>
      </c>
      <c r="C301" s="9">
        <v>347</v>
      </c>
      <c r="D301" s="9">
        <v>346</v>
      </c>
      <c r="E301" s="9">
        <v>0</v>
      </c>
      <c r="F301" s="10">
        <v>1401374</v>
      </c>
      <c r="G301" s="10">
        <v>1417316</v>
      </c>
      <c r="H301" s="10" t="s">
        <v>195</v>
      </c>
      <c r="I301" s="10" t="s">
        <v>195</v>
      </c>
      <c r="J301" s="13">
        <v>0</v>
      </c>
      <c r="K301" s="9" t="s">
        <v>345</v>
      </c>
      <c r="L301" s="9">
        <v>0</v>
      </c>
      <c r="M301" s="14" t="s">
        <v>346</v>
      </c>
    </row>
    <row r="302" ht="184" customHeight="1" spans="1:13">
      <c r="A302" s="9" t="s">
        <v>122</v>
      </c>
      <c r="B302" s="9" t="s">
        <v>430</v>
      </c>
      <c r="C302" s="9">
        <v>678</v>
      </c>
      <c r="D302" s="9">
        <v>677</v>
      </c>
      <c r="E302" s="9">
        <v>0</v>
      </c>
      <c r="F302" s="10">
        <v>1401430</v>
      </c>
      <c r="G302" s="10">
        <v>1436822</v>
      </c>
      <c r="H302" s="10" t="s">
        <v>195</v>
      </c>
      <c r="I302" s="10" t="s">
        <v>195</v>
      </c>
      <c r="J302" s="13">
        <v>0</v>
      </c>
      <c r="K302" s="9" t="s">
        <v>345</v>
      </c>
      <c r="L302" s="9">
        <v>0</v>
      </c>
      <c r="M302" s="14" t="s">
        <v>346</v>
      </c>
    </row>
    <row r="303" ht="184" customHeight="1" spans="1:13">
      <c r="A303" s="9" t="s">
        <v>122</v>
      </c>
      <c r="B303" s="9" t="s">
        <v>479</v>
      </c>
      <c r="C303" s="9">
        <v>320</v>
      </c>
      <c r="D303" s="9">
        <v>319</v>
      </c>
      <c r="E303" s="9">
        <v>0</v>
      </c>
      <c r="F303" s="10">
        <v>1401437</v>
      </c>
      <c r="G303" s="10">
        <v>1427615</v>
      </c>
      <c r="H303" s="10" t="s">
        <v>195</v>
      </c>
      <c r="I303" s="10" t="s">
        <v>195</v>
      </c>
      <c r="J303" s="13">
        <v>0</v>
      </c>
      <c r="K303" s="9" t="s">
        <v>345</v>
      </c>
      <c r="L303" s="9">
        <v>0</v>
      </c>
      <c r="M303" s="14" t="s">
        <v>346</v>
      </c>
    </row>
    <row r="304" ht="184" customHeight="1" spans="1:13">
      <c r="A304" s="9" t="s">
        <v>122</v>
      </c>
      <c r="B304" s="9" t="s">
        <v>350</v>
      </c>
      <c r="C304" s="9">
        <v>462</v>
      </c>
      <c r="D304" s="9">
        <v>462</v>
      </c>
      <c r="E304" s="9">
        <v>0</v>
      </c>
      <c r="F304" s="10">
        <v>1401346</v>
      </c>
      <c r="G304" s="10">
        <v>1426356</v>
      </c>
      <c r="H304" s="10" t="s">
        <v>195</v>
      </c>
      <c r="I304" s="10" t="s">
        <v>195</v>
      </c>
      <c r="J304" s="13">
        <v>0</v>
      </c>
      <c r="K304" s="9" t="s">
        <v>345</v>
      </c>
      <c r="L304" s="9">
        <v>0</v>
      </c>
      <c r="M304" s="14" t="s">
        <v>346</v>
      </c>
    </row>
    <row r="305" ht="184" customHeight="1" spans="1:13">
      <c r="A305" s="9" t="s">
        <v>122</v>
      </c>
      <c r="B305" s="9" t="s">
        <v>93</v>
      </c>
      <c r="C305" s="9">
        <v>866</v>
      </c>
      <c r="D305" s="9">
        <v>865</v>
      </c>
      <c r="E305" s="9">
        <v>0</v>
      </c>
      <c r="F305" s="10">
        <v>1401344</v>
      </c>
      <c r="G305" s="10">
        <v>1516572</v>
      </c>
      <c r="H305" s="10" t="s">
        <v>195</v>
      </c>
      <c r="I305" s="10" t="s">
        <v>195</v>
      </c>
      <c r="J305" s="13">
        <v>0</v>
      </c>
      <c r="K305" s="9" t="s">
        <v>345</v>
      </c>
      <c r="L305" s="9">
        <v>0</v>
      </c>
      <c r="M305" s="14" t="s">
        <v>346</v>
      </c>
    </row>
    <row r="306" ht="184" customHeight="1" spans="1:13">
      <c r="A306" s="9" t="s">
        <v>122</v>
      </c>
      <c r="B306" s="9" t="s">
        <v>480</v>
      </c>
      <c r="C306" s="9">
        <v>1612</v>
      </c>
      <c r="D306" s="9">
        <v>258</v>
      </c>
      <c r="E306" s="9">
        <v>0</v>
      </c>
      <c r="F306" s="10">
        <v>1401565</v>
      </c>
      <c r="G306" s="10">
        <v>1436004</v>
      </c>
      <c r="H306" s="10" t="s">
        <v>195</v>
      </c>
      <c r="I306" s="10" t="s">
        <v>195</v>
      </c>
      <c r="J306" s="13">
        <v>0</v>
      </c>
      <c r="K306" s="9" t="s">
        <v>345</v>
      </c>
      <c r="L306" s="9">
        <v>0</v>
      </c>
      <c r="M306" s="14" t="s">
        <v>346</v>
      </c>
    </row>
    <row r="307" ht="184" customHeight="1" spans="1:13">
      <c r="A307" s="9" t="s">
        <v>122</v>
      </c>
      <c r="B307" s="9" t="s">
        <v>481</v>
      </c>
      <c r="C307" s="9">
        <v>253</v>
      </c>
      <c r="D307" s="9">
        <v>253</v>
      </c>
      <c r="E307" s="9">
        <v>0</v>
      </c>
      <c r="F307" s="10">
        <v>1401769</v>
      </c>
      <c r="G307" s="10">
        <v>1518589</v>
      </c>
      <c r="H307" s="10" t="s">
        <v>195</v>
      </c>
      <c r="I307" s="10" t="s">
        <v>195</v>
      </c>
      <c r="J307" s="13">
        <v>0</v>
      </c>
      <c r="K307" s="9" t="s">
        <v>345</v>
      </c>
      <c r="L307" s="9">
        <v>0</v>
      </c>
      <c r="M307" s="14" t="s">
        <v>346</v>
      </c>
    </row>
    <row r="308" ht="184" customHeight="1" spans="1:13">
      <c r="A308" s="9" t="s">
        <v>122</v>
      </c>
      <c r="B308" s="9" t="s">
        <v>432</v>
      </c>
      <c r="C308" s="9">
        <v>1767</v>
      </c>
      <c r="D308" s="9">
        <v>1748</v>
      </c>
      <c r="E308" s="9">
        <v>0</v>
      </c>
      <c r="F308" s="10">
        <v>1626</v>
      </c>
      <c r="G308" s="10">
        <v>697367</v>
      </c>
      <c r="H308" s="10" t="s">
        <v>195</v>
      </c>
      <c r="I308" s="10" t="s">
        <v>195</v>
      </c>
      <c r="J308" s="13">
        <v>0</v>
      </c>
      <c r="K308" s="9" t="s">
        <v>345</v>
      </c>
      <c r="L308" s="9">
        <v>0</v>
      </c>
      <c r="M308" s="14" t="s">
        <v>346</v>
      </c>
    </row>
    <row r="309" ht="184" customHeight="1" spans="1:13">
      <c r="A309" s="9" t="s">
        <v>122</v>
      </c>
      <c r="B309" s="9" t="s">
        <v>482</v>
      </c>
      <c r="C309" s="9">
        <v>1690</v>
      </c>
      <c r="D309" s="9">
        <v>1690</v>
      </c>
      <c r="E309" s="9">
        <v>0</v>
      </c>
      <c r="F309" s="10">
        <v>1355641</v>
      </c>
      <c r="G309" s="10">
        <v>1436303</v>
      </c>
      <c r="H309" s="10" t="s">
        <v>195</v>
      </c>
      <c r="I309" s="10" t="s">
        <v>195</v>
      </c>
      <c r="J309" s="13">
        <v>0</v>
      </c>
      <c r="K309" s="9" t="s">
        <v>345</v>
      </c>
      <c r="L309" s="9">
        <v>0</v>
      </c>
      <c r="M309" s="14" t="s">
        <v>346</v>
      </c>
    </row>
    <row r="310" ht="184" customHeight="1" spans="1:13">
      <c r="A310" s="9" t="s">
        <v>122</v>
      </c>
      <c r="B310" s="9" t="s">
        <v>483</v>
      </c>
      <c r="C310" s="9">
        <v>541</v>
      </c>
      <c r="D310" s="9">
        <v>491</v>
      </c>
      <c r="E310" s="9">
        <v>0</v>
      </c>
      <c r="F310" s="10">
        <v>1891</v>
      </c>
      <c r="G310" s="10">
        <v>697891</v>
      </c>
      <c r="H310" s="10" t="s">
        <v>195</v>
      </c>
      <c r="I310" s="10" t="s">
        <v>195</v>
      </c>
      <c r="J310" s="13">
        <v>0</v>
      </c>
      <c r="K310" s="9" t="s">
        <v>345</v>
      </c>
      <c r="L310" s="9">
        <v>0</v>
      </c>
      <c r="M310" s="14" t="s">
        <v>346</v>
      </c>
    </row>
    <row r="311" ht="184" customHeight="1" spans="1:13">
      <c r="A311" s="9" t="s">
        <v>122</v>
      </c>
      <c r="B311" s="9" t="s">
        <v>484</v>
      </c>
      <c r="C311" s="9">
        <v>585</v>
      </c>
      <c r="D311" s="9">
        <v>584</v>
      </c>
      <c r="E311" s="9">
        <v>0</v>
      </c>
      <c r="F311" s="10">
        <v>1401397</v>
      </c>
      <c r="G311" s="10">
        <v>1437247</v>
      </c>
      <c r="H311" s="10" t="s">
        <v>195</v>
      </c>
      <c r="I311" s="10" t="s">
        <v>195</v>
      </c>
      <c r="J311" s="13">
        <v>0</v>
      </c>
      <c r="K311" s="9" t="s">
        <v>345</v>
      </c>
      <c r="L311" s="9">
        <v>0</v>
      </c>
      <c r="M311" s="14" t="s">
        <v>346</v>
      </c>
    </row>
    <row r="312" ht="184" customHeight="1" spans="1:13">
      <c r="A312" s="9" t="s">
        <v>122</v>
      </c>
      <c r="B312" s="9" t="s">
        <v>485</v>
      </c>
      <c r="C312" s="9">
        <v>23</v>
      </c>
      <c r="D312" s="9">
        <v>23</v>
      </c>
      <c r="E312" s="9">
        <v>0</v>
      </c>
      <c r="F312" s="10">
        <v>2500320</v>
      </c>
      <c r="G312" s="10">
        <v>2500573</v>
      </c>
      <c r="H312" s="10" t="s">
        <v>195</v>
      </c>
      <c r="I312" s="10" t="s">
        <v>195</v>
      </c>
      <c r="J312" s="13">
        <v>0</v>
      </c>
      <c r="K312" s="9" t="s">
        <v>345</v>
      </c>
      <c r="L312" s="9">
        <v>0</v>
      </c>
      <c r="M312" s="14" t="s">
        <v>346</v>
      </c>
    </row>
    <row r="313" ht="184" customHeight="1" spans="1:13">
      <c r="A313" s="9" t="s">
        <v>122</v>
      </c>
      <c r="B313" s="9" t="s">
        <v>486</v>
      </c>
      <c r="C313" s="9">
        <v>337</v>
      </c>
      <c r="D313" s="9">
        <v>335</v>
      </c>
      <c r="E313" s="9">
        <v>0</v>
      </c>
      <c r="F313" s="10">
        <v>1249405</v>
      </c>
      <c r="G313" s="10">
        <v>1436976</v>
      </c>
      <c r="H313" s="10" t="s">
        <v>195</v>
      </c>
      <c r="I313" s="10" t="s">
        <v>195</v>
      </c>
      <c r="J313" s="13">
        <v>0</v>
      </c>
      <c r="K313" s="9" t="s">
        <v>345</v>
      </c>
      <c r="L313" s="9">
        <v>0</v>
      </c>
      <c r="M313" s="14" t="s">
        <v>346</v>
      </c>
    </row>
    <row r="314" ht="184" customHeight="1" spans="1:13">
      <c r="A314" s="9" t="s">
        <v>122</v>
      </c>
      <c r="B314" s="9" t="s">
        <v>487</v>
      </c>
      <c r="C314" s="9">
        <v>121</v>
      </c>
      <c r="D314" s="9">
        <v>113</v>
      </c>
      <c r="E314" s="9">
        <v>0</v>
      </c>
      <c r="F314" s="10">
        <v>1401708</v>
      </c>
      <c r="G314" s="10">
        <v>1407696</v>
      </c>
      <c r="H314" s="10" t="s">
        <v>195</v>
      </c>
      <c r="I314" s="10" t="s">
        <v>195</v>
      </c>
      <c r="J314" s="13">
        <v>0</v>
      </c>
      <c r="K314" s="9" t="s">
        <v>345</v>
      </c>
      <c r="L314" s="9">
        <v>0</v>
      </c>
      <c r="M314" s="14" t="s">
        <v>346</v>
      </c>
    </row>
    <row r="315" ht="184" customHeight="1" spans="1:13">
      <c r="A315" s="9" t="s">
        <v>122</v>
      </c>
      <c r="B315" s="9" t="s">
        <v>459</v>
      </c>
      <c r="C315" s="9">
        <v>298</v>
      </c>
      <c r="D315" s="9">
        <v>298</v>
      </c>
      <c r="E315" s="9">
        <v>0</v>
      </c>
      <c r="F315" s="10">
        <v>1435735</v>
      </c>
      <c r="G315" s="10">
        <v>1450826</v>
      </c>
      <c r="H315" s="10" t="s">
        <v>195</v>
      </c>
      <c r="I315" s="10" t="s">
        <v>195</v>
      </c>
      <c r="J315" s="13">
        <v>0</v>
      </c>
      <c r="K315" s="9" t="s">
        <v>345</v>
      </c>
      <c r="L315" s="9">
        <v>0</v>
      </c>
      <c r="M315" s="14" t="s">
        <v>346</v>
      </c>
    </row>
    <row r="316" ht="184" customHeight="1" spans="1:13">
      <c r="A316" s="9" t="s">
        <v>122</v>
      </c>
      <c r="B316" s="9" t="s">
        <v>488</v>
      </c>
      <c r="C316" s="9">
        <v>713</v>
      </c>
      <c r="D316" s="9">
        <v>712</v>
      </c>
      <c r="E316" s="9">
        <v>0</v>
      </c>
      <c r="F316" s="10">
        <v>1401346</v>
      </c>
      <c r="G316" s="10">
        <v>1437073</v>
      </c>
      <c r="H316" s="10" t="s">
        <v>195</v>
      </c>
      <c r="I316" s="10" t="s">
        <v>195</v>
      </c>
      <c r="J316" s="13">
        <v>0</v>
      </c>
      <c r="K316" s="9" t="s">
        <v>345</v>
      </c>
      <c r="L316" s="9">
        <v>0</v>
      </c>
      <c r="M316" s="14" t="s">
        <v>346</v>
      </c>
    </row>
    <row r="317" ht="184" customHeight="1" spans="1:13">
      <c r="A317" s="9" t="s">
        <v>122</v>
      </c>
      <c r="B317" s="9" t="s">
        <v>166</v>
      </c>
      <c r="C317" s="9">
        <v>298</v>
      </c>
      <c r="D317" s="9">
        <v>296</v>
      </c>
      <c r="E317" s="9">
        <v>0</v>
      </c>
      <c r="F317" s="10">
        <v>1401718</v>
      </c>
      <c r="G317" s="10">
        <v>1436883</v>
      </c>
      <c r="H317" s="10" t="s">
        <v>195</v>
      </c>
      <c r="I317" s="10" t="s">
        <v>195</v>
      </c>
      <c r="J317" s="13">
        <v>0</v>
      </c>
      <c r="K317" s="9" t="s">
        <v>345</v>
      </c>
      <c r="L317" s="9">
        <v>0</v>
      </c>
      <c r="M317" s="14" t="s">
        <v>346</v>
      </c>
    </row>
    <row r="318" ht="184" customHeight="1" spans="1:13">
      <c r="A318" s="9" t="s">
        <v>122</v>
      </c>
      <c r="B318" s="9" t="s">
        <v>167</v>
      </c>
      <c r="C318" s="9">
        <v>7</v>
      </c>
      <c r="D318" s="9">
        <v>0</v>
      </c>
      <c r="E318" s="9">
        <v>0</v>
      </c>
      <c r="F318" s="10" t="s">
        <v>195</v>
      </c>
      <c r="G318" s="10" t="s">
        <v>195</v>
      </c>
      <c r="H318" s="10" t="s">
        <v>195</v>
      </c>
      <c r="I318" s="10" t="s">
        <v>195</v>
      </c>
      <c r="J318" s="13">
        <v>0</v>
      </c>
      <c r="K318" s="9" t="s">
        <v>345</v>
      </c>
      <c r="L318" s="9">
        <v>0</v>
      </c>
      <c r="M318" s="14" t="s">
        <v>346</v>
      </c>
    </row>
    <row r="319" ht="184" customHeight="1" spans="1:13">
      <c r="A319" s="9" t="s">
        <v>122</v>
      </c>
      <c r="B319" s="9" t="s">
        <v>437</v>
      </c>
      <c r="C319" s="9">
        <v>318</v>
      </c>
      <c r="D319" s="9">
        <v>318</v>
      </c>
      <c r="E319" s="9">
        <v>0</v>
      </c>
      <c r="F319" s="10">
        <v>1401744</v>
      </c>
      <c r="G319" s="10">
        <v>1435848</v>
      </c>
      <c r="H319" s="10" t="s">
        <v>195</v>
      </c>
      <c r="I319" s="10" t="s">
        <v>195</v>
      </c>
      <c r="J319" s="13">
        <v>0</v>
      </c>
      <c r="K319" s="9" t="s">
        <v>345</v>
      </c>
      <c r="L319" s="9">
        <v>0</v>
      </c>
      <c r="M319" s="14" t="s">
        <v>346</v>
      </c>
    </row>
    <row r="320" ht="184" customHeight="1" spans="1:13">
      <c r="A320" s="9" t="s">
        <v>122</v>
      </c>
      <c r="B320" s="9" t="s">
        <v>365</v>
      </c>
      <c r="C320" s="9">
        <v>5321</v>
      </c>
      <c r="D320" s="9">
        <v>5295</v>
      </c>
      <c r="E320" s="9">
        <v>0</v>
      </c>
      <c r="F320" s="10">
        <v>143307</v>
      </c>
      <c r="G320" s="10">
        <v>154783</v>
      </c>
      <c r="H320" s="10" t="s">
        <v>195</v>
      </c>
      <c r="I320" s="10" t="s">
        <v>195</v>
      </c>
      <c r="J320" s="13">
        <v>0</v>
      </c>
      <c r="K320" s="9" t="s">
        <v>345</v>
      </c>
      <c r="L320" s="9">
        <v>0</v>
      </c>
      <c r="M320" s="14" t="s">
        <v>346</v>
      </c>
    </row>
    <row r="321" spans="1:13">
      <c r="A321" s="7" t="s">
        <v>139</v>
      </c>
      <c r="B321" s="7" t="s">
        <v>140</v>
      </c>
      <c r="C321" s="7">
        <v>34542</v>
      </c>
      <c r="D321" s="7">
        <v>34481</v>
      </c>
      <c r="E321" s="7">
        <v>33989</v>
      </c>
      <c r="F321" s="8">
        <v>695626</v>
      </c>
      <c r="G321" s="8">
        <v>1242978</v>
      </c>
      <c r="H321" s="8">
        <v>699074</v>
      </c>
      <c r="I321" s="8">
        <v>1242978</v>
      </c>
      <c r="J321" s="11">
        <f t="shared" ref="J321:J350" si="5">(I321-H321)/1000</f>
        <v>543.904</v>
      </c>
      <c r="K321" s="7" t="s">
        <v>319</v>
      </c>
      <c r="L321" s="7">
        <v>124</v>
      </c>
      <c r="M321" s="12" t="s">
        <v>320</v>
      </c>
    </row>
    <row r="322" spans="1:13">
      <c r="A322" s="7" t="s">
        <v>139</v>
      </c>
      <c r="B322" s="7" t="s">
        <v>54</v>
      </c>
      <c r="C322" s="7">
        <v>23020</v>
      </c>
      <c r="D322" s="7">
        <v>22957</v>
      </c>
      <c r="E322" s="7">
        <v>20633</v>
      </c>
      <c r="F322" s="8">
        <v>672457</v>
      </c>
      <c r="G322" s="8">
        <v>1426336</v>
      </c>
      <c r="H322" s="8">
        <v>699087</v>
      </c>
      <c r="I322" s="8">
        <v>1242974</v>
      </c>
      <c r="J322" s="11">
        <f t="shared" si="5"/>
        <v>543.887</v>
      </c>
      <c r="K322" s="7" t="s">
        <v>319</v>
      </c>
      <c r="L322" s="7">
        <v>124</v>
      </c>
      <c r="M322" s="12" t="s">
        <v>320</v>
      </c>
    </row>
    <row r="323" spans="1:13">
      <c r="A323" s="7" t="s">
        <v>139</v>
      </c>
      <c r="B323" s="7" t="s">
        <v>38</v>
      </c>
      <c r="C323" s="7">
        <v>24915</v>
      </c>
      <c r="D323" s="7">
        <v>24823</v>
      </c>
      <c r="E323" s="7">
        <v>23998</v>
      </c>
      <c r="F323" s="8">
        <v>695665</v>
      </c>
      <c r="G323" s="8">
        <v>1500726</v>
      </c>
      <c r="H323" s="8">
        <v>699092</v>
      </c>
      <c r="I323" s="8">
        <v>1242984</v>
      </c>
      <c r="J323" s="11">
        <f t="shared" si="5"/>
        <v>543.892</v>
      </c>
      <c r="K323" s="7" t="s">
        <v>319</v>
      </c>
      <c r="L323" s="7">
        <v>124</v>
      </c>
      <c r="M323" s="12" t="s">
        <v>320</v>
      </c>
    </row>
    <row r="324" spans="1:13">
      <c r="A324" s="7" t="s">
        <v>139</v>
      </c>
      <c r="B324" s="7" t="s">
        <v>42</v>
      </c>
      <c r="C324" s="7">
        <v>11831</v>
      </c>
      <c r="D324" s="7">
        <v>11783</v>
      </c>
      <c r="E324" s="7">
        <v>10052</v>
      </c>
      <c r="F324" s="8">
        <v>657184</v>
      </c>
      <c r="G324" s="8">
        <v>1503153</v>
      </c>
      <c r="H324" s="8">
        <v>699072</v>
      </c>
      <c r="I324" s="8">
        <v>1242726</v>
      </c>
      <c r="J324" s="11">
        <f t="shared" si="5"/>
        <v>543.654</v>
      </c>
      <c r="K324" s="7" t="s">
        <v>319</v>
      </c>
      <c r="L324" s="7">
        <v>124</v>
      </c>
      <c r="M324" s="12" t="s">
        <v>320</v>
      </c>
    </row>
    <row r="325" spans="1:13">
      <c r="A325" s="7" t="s">
        <v>139</v>
      </c>
      <c r="B325" s="7" t="s">
        <v>39</v>
      </c>
      <c r="C325" s="7">
        <v>30018</v>
      </c>
      <c r="D325" s="7">
        <v>29572</v>
      </c>
      <c r="E325" s="7">
        <v>27878</v>
      </c>
      <c r="F325" s="8">
        <v>656334</v>
      </c>
      <c r="G325" s="8">
        <v>1240732</v>
      </c>
      <c r="H325" s="8">
        <v>699087</v>
      </c>
      <c r="I325" s="8">
        <v>1240732</v>
      </c>
      <c r="J325" s="11">
        <f t="shared" si="5"/>
        <v>541.645</v>
      </c>
      <c r="K325" s="7" t="s">
        <v>319</v>
      </c>
      <c r="L325" s="7">
        <v>124</v>
      </c>
      <c r="M325" s="12" t="s">
        <v>320</v>
      </c>
    </row>
    <row r="326" ht="34" customHeight="1" spans="1:13">
      <c r="A326" s="7" t="s">
        <v>139</v>
      </c>
      <c r="B326" s="7" t="s">
        <v>37</v>
      </c>
      <c r="C326" s="7">
        <v>20197</v>
      </c>
      <c r="D326" s="7">
        <v>20197</v>
      </c>
      <c r="E326" s="7">
        <v>19002</v>
      </c>
      <c r="F326" s="8">
        <v>661310</v>
      </c>
      <c r="G326" s="8">
        <v>1212960</v>
      </c>
      <c r="H326" s="8">
        <v>699088</v>
      </c>
      <c r="I326" s="8">
        <v>1212960</v>
      </c>
      <c r="J326" s="11">
        <f t="shared" si="5"/>
        <v>513.872</v>
      </c>
      <c r="K326" s="7" t="s">
        <v>319</v>
      </c>
      <c r="L326" s="7">
        <v>118</v>
      </c>
      <c r="M326" s="12" t="s">
        <v>438</v>
      </c>
    </row>
    <row r="327" ht="64" customHeight="1" spans="1:13">
      <c r="A327" s="7" t="s">
        <v>139</v>
      </c>
      <c r="B327" s="7" t="s">
        <v>141</v>
      </c>
      <c r="C327" s="7">
        <v>7001</v>
      </c>
      <c r="D327" s="7">
        <v>6869</v>
      </c>
      <c r="E327" s="7">
        <v>6085</v>
      </c>
      <c r="F327" s="8">
        <v>662566</v>
      </c>
      <c r="G327" s="8">
        <v>1169669</v>
      </c>
      <c r="H327" s="8">
        <v>699110</v>
      </c>
      <c r="I327" s="8">
        <v>1169669</v>
      </c>
      <c r="J327" s="11">
        <f t="shared" si="5"/>
        <v>470.559</v>
      </c>
      <c r="K327" s="7" t="s">
        <v>319</v>
      </c>
      <c r="L327" s="7">
        <v>108</v>
      </c>
      <c r="M327" s="12" t="s">
        <v>321</v>
      </c>
    </row>
    <row r="328" ht="169" customHeight="1" spans="1:13">
      <c r="A328" s="7" t="s">
        <v>139</v>
      </c>
      <c r="B328" s="7" t="s">
        <v>127</v>
      </c>
      <c r="C328" s="7">
        <v>24179</v>
      </c>
      <c r="D328" s="7">
        <v>23811</v>
      </c>
      <c r="E328" s="7">
        <v>22524</v>
      </c>
      <c r="F328" s="8">
        <v>657199</v>
      </c>
      <c r="G328" s="8">
        <v>1028922</v>
      </c>
      <c r="H328" s="8">
        <v>699071</v>
      </c>
      <c r="I328" s="8">
        <v>1028922</v>
      </c>
      <c r="J328" s="11">
        <f t="shared" si="5"/>
        <v>329.851</v>
      </c>
      <c r="K328" s="7" t="s">
        <v>319</v>
      </c>
      <c r="L328" s="7">
        <v>77</v>
      </c>
      <c r="M328" s="12" t="s">
        <v>370</v>
      </c>
    </row>
    <row r="329" ht="169" customHeight="1" spans="1:13">
      <c r="A329" s="7" t="s">
        <v>139</v>
      </c>
      <c r="B329" s="7" t="s">
        <v>117</v>
      </c>
      <c r="C329" s="7">
        <v>27778</v>
      </c>
      <c r="D329" s="7">
        <v>27090</v>
      </c>
      <c r="E329" s="7">
        <v>26627</v>
      </c>
      <c r="F329" s="8">
        <v>695658</v>
      </c>
      <c r="G329" s="8">
        <v>1028920</v>
      </c>
      <c r="H329" s="8">
        <v>699092</v>
      </c>
      <c r="I329" s="8">
        <v>1028920</v>
      </c>
      <c r="J329" s="11">
        <f t="shared" si="5"/>
        <v>329.828</v>
      </c>
      <c r="K329" s="7" t="s">
        <v>319</v>
      </c>
      <c r="L329" s="7">
        <v>77</v>
      </c>
      <c r="M329" s="12" t="s">
        <v>370</v>
      </c>
    </row>
    <row r="330" ht="184" customHeight="1" spans="1:13">
      <c r="A330" s="7" t="s">
        <v>139</v>
      </c>
      <c r="B330" s="7" t="s">
        <v>101</v>
      </c>
      <c r="C330" s="7">
        <v>15659</v>
      </c>
      <c r="D330" s="7">
        <v>15601</v>
      </c>
      <c r="E330" s="7">
        <v>12073</v>
      </c>
      <c r="F330" s="8">
        <v>920540</v>
      </c>
      <c r="G330" s="8">
        <v>1449223</v>
      </c>
      <c r="H330" s="8">
        <v>920540</v>
      </c>
      <c r="I330" s="8">
        <v>1242965</v>
      </c>
      <c r="J330" s="11">
        <f t="shared" si="5"/>
        <v>322.425</v>
      </c>
      <c r="K330" s="7" t="s">
        <v>319</v>
      </c>
      <c r="L330" s="7">
        <v>78</v>
      </c>
      <c r="M330" s="12" t="s">
        <v>323</v>
      </c>
    </row>
    <row r="331" ht="184" customHeight="1" spans="1:13">
      <c r="A331" s="7" t="s">
        <v>139</v>
      </c>
      <c r="B331" s="7" t="s">
        <v>49</v>
      </c>
      <c r="C331" s="7">
        <v>12023</v>
      </c>
      <c r="D331" s="7">
        <v>11977</v>
      </c>
      <c r="E331" s="7">
        <v>11289</v>
      </c>
      <c r="F331" s="8">
        <v>921247</v>
      </c>
      <c r="G331" s="8">
        <v>1437283</v>
      </c>
      <c r="H331" s="8">
        <v>921247</v>
      </c>
      <c r="I331" s="8">
        <v>1242984</v>
      </c>
      <c r="J331" s="11">
        <f t="shared" si="5"/>
        <v>321.737</v>
      </c>
      <c r="K331" s="7" t="s">
        <v>319</v>
      </c>
      <c r="L331" s="7">
        <v>78</v>
      </c>
      <c r="M331" s="12" t="s">
        <v>323</v>
      </c>
    </row>
    <row r="332" ht="184" customHeight="1" spans="1:13">
      <c r="A332" s="7" t="s">
        <v>139</v>
      </c>
      <c r="B332" s="7" t="s">
        <v>116</v>
      </c>
      <c r="C332" s="7">
        <v>15073</v>
      </c>
      <c r="D332" s="7">
        <v>15053</v>
      </c>
      <c r="E332" s="7">
        <v>13465</v>
      </c>
      <c r="F332" s="8">
        <v>920545</v>
      </c>
      <c r="G332" s="8">
        <v>1503718</v>
      </c>
      <c r="H332" s="8">
        <v>920545</v>
      </c>
      <c r="I332" s="8">
        <v>1240710</v>
      </c>
      <c r="J332" s="11">
        <f t="shared" si="5"/>
        <v>320.165</v>
      </c>
      <c r="K332" s="7" t="s">
        <v>319</v>
      </c>
      <c r="L332" s="7">
        <v>78</v>
      </c>
      <c r="M332" s="12" t="s">
        <v>323</v>
      </c>
    </row>
    <row r="333" ht="184" customHeight="1" spans="1:13">
      <c r="A333" s="7" t="s">
        <v>139</v>
      </c>
      <c r="B333" s="7" t="s">
        <v>107</v>
      </c>
      <c r="C333" s="7">
        <v>6509</v>
      </c>
      <c r="D333" s="7">
        <v>6501</v>
      </c>
      <c r="E333" s="7">
        <v>6216</v>
      </c>
      <c r="F333" s="8">
        <v>921487</v>
      </c>
      <c r="G333" s="8">
        <v>1467740</v>
      </c>
      <c r="H333" s="8">
        <v>921487</v>
      </c>
      <c r="I333" s="8">
        <v>1240718</v>
      </c>
      <c r="J333" s="11">
        <f t="shared" si="5"/>
        <v>319.231</v>
      </c>
      <c r="K333" s="7" t="s">
        <v>319</v>
      </c>
      <c r="L333" s="7">
        <v>78</v>
      </c>
      <c r="M333" s="12" t="s">
        <v>323</v>
      </c>
    </row>
    <row r="334" ht="184" customHeight="1" spans="1:13">
      <c r="A334" s="7" t="s">
        <v>139</v>
      </c>
      <c r="B334" s="7" t="s">
        <v>86</v>
      </c>
      <c r="C334" s="7">
        <v>12097</v>
      </c>
      <c r="D334" s="7">
        <v>12085</v>
      </c>
      <c r="E334" s="7">
        <v>11154</v>
      </c>
      <c r="F334" s="8">
        <v>921759</v>
      </c>
      <c r="G334" s="8">
        <v>1472526</v>
      </c>
      <c r="H334" s="8">
        <v>921759</v>
      </c>
      <c r="I334" s="8">
        <v>1240548</v>
      </c>
      <c r="J334" s="11">
        <f t="shared" si="5"/>
        <v>318.789</v>
      </c>
      <c r="K334" s="7" t="s">
        <v>319</v>
      </c>
      <c r="L334" s="7">
        <v>78</v>
      </c>
      <c r="M334" s="12" t="s">
        <v>323</v>
      </c>
    </row>
    <row r="335" ht="184" customHeight="1" spans="1:13">
      <c r="A335" s="7" t="s">
        <v>139</v>
      </c>
      <c r="B335" s="7" t="s">
        <v>145</v>
      </c>
      <c r="C335" s="7">
        <v>125</v>
      </c>
      <c r="D335" s="7">
        <v>124</v>
      </c>
      <c r="E335" s="7">
        <v>111</v>
      </c>
      <c r="F335" s="8">
        <v>923338</v>
      </c>
      <c r="G335" s="8">
        <v>1436703</v>
      </c>
      <c r="H335" s="8">
        <v>923338</v>
      </c>
      <c r="I335" s="8">
        <v>1239980</v>
      </c>
      <c r="J335" s="11">
        <f t="shared" si="5"/>
        <v>316.642</v>
      </c>
      <c r="K335" s="7" t="s">
        <v>319</v>
      </c>
      <c r="L335" s="7">
        <v>77</v>
      </c>
      <c r="M335" s="12" t="s">
        <v>463</v>
      </c>
    </row>
    <row r="336" ht="184" customHeight="1" spans="1:13">
      <c r="A336" s="7" t="s">
        <v>139</v>
      </c>
      <c r="B336" s="7" t="s">
        <v>92</v>
      </c>
      <c r="C336" s="7">
        <v>9852</v>
      </c>
      <c r="D336" s="7">
        <v>9847</v>
      </c>
      <c r="E336" s="7">
        <v>9529</v>
      </c>
      <c r="F336" s="8">
        <v>695603</v>
      </c>
      <c r="G336" s="8">
        <v>970738</v>
      </c>
      <c r="H336" s="8">
        <v>699085</v>
      </c>
      <c r="I336" s="8">
        <v>970738</v>
      </c>
      <c r="J336" s="11">
        <f t="shared" si="5"/>
        <v>271.653</v>
      </c>
      <c r="K336" s="7" t="s">
        <v>319</v>
      </c>
      <c r="L336" s="7">
        <v>62</v>
      </c>
      <c r="M336" s="12" t="s">
        <v>489</v>
      </c>
    </row>
    <row r="337" ht="199" customHeight="1" spans="1:13">
      <c r="A337" s="7" t="s">
        <v>139</v>
      </c>
      <c r="B337" s="7" t="s">
        <v>43</v>
      </c>
      <c r="C337" s="7">
        <v>33036</v>
      </c>
      <c r="D337" s="7">
        <v>32975</v>
      </c>
      <c r="E337" s="7">
        <v>32975</v>
      </c>
      <c r="F337" s="8">
        <v>920680</v>
      </c>
      <c r="G337" s="8">
        <v>1172585</v>
      </c>
      <c r="H337" s="8">
        <v>920680</v>
      </c>
      <c r="I337" s="8">
        <v>1172585</v>
      </c>
      <c r="J337" s="11">
        <f t="shared" si="5"/>
        <v>251.905</v>
      </c>
      <c r="K337" s="7" t="s">
        <v>319</v>
      </c>
      <c r="L337" s="7">
        <v>62</v>
      </c>
      <c r="M337" s="12" t="s">
        <v>327</v>
      </c>
    </row>
    <row r="338" ht="199" customHeight="1" spans="1:13">
      <c r="A338" s="7" t="s">
        <v>139</v>
      </c>
      <c r="B338" s="7" t="s">
        <v>87</v>
      </c>
      <c r="C338" s="7">
        <v>21862</v>
      </c>
      <c r="D338" s="7">
        <v>21751</v>
      </c>
      <c r="E338" s="7">
        <v>21751</v>
      </c>
      <c r="F338" s="8">
        <v>920721</v>
      </c>
      <c r="G338" s="8">
        <v>1172542</v>
      </c>
      <c r="H338" s="8">
        <v>920721</v>
      </c>
      <c r="I338" s="8">
        <v>1172542</v>
      </c>
      <c r="J338" s="11">
        <f t="shared" si="5"/>
        <v>251.821</v>
      </c>
      <c r="K338" s="7" t="s">
        <v>319</v>
      </c>
      <c r="L338" s="7">
        <v>62</v>
      </c>
      <c r="M338" s="12" t="s">
        <v>327</v>
      </c>
    </row>
    <row r="339" ht="184" customHeight="1" spans="1:13">
      <c r="A339" s="7" t="s">
        <v>139</v>
      </c>
      <c r="B339" s="7" t="s">
        <v>131</v>
      </c>
      <c r="C339" s="7">
        <v>7600</v>
      </c>
      <c r="D339" s="7">
        <v>7529</v>
      </c>
      <c r="E339" s="7">
        <v>7529</v>
      </c>
      <c r="F339" s="8">
        <v>957932</v>
      </c>
      <c r="G339" s="8">
        <v>1164948</v>
      </c>
      <c r="H339" s="8">
        <v>957932</v>
      </c>
      <c r="I339" s="8">
        <v>1164948</v>
      </c>
      <c r="J339" s="11">
        <f t="shared" si="5"/>
        <v>207.016</v>
      </c>
      <c r="K339" s="7" t="s">
        <v>319</v>
      </c>
      <c r="L339" s="7">
        <v>47</v>
      </c>
      <c r="M339" s="12" t="s">
        <v>490</v>
      </c>
    </row>
    <row r="340" ht="184" customHeight="1" spans="1:13">
      <c r="A340" s="7" t="s">
        <v>139</v>
      </c>
      <c r="B340" s="7" t="s">
        <v>142</v>
      </c>
      <c r="C340" s="7">
        <v>5312</v>
      </c>
      <c r="D340" s="7">
        <v>5309</v>
      </c>
      <c r="E340" s="7">
        <v>5309</v>
      </c>
      <c r="F340" s="8">
        <v>921765</v>
      </c>
      <c r="G340" s="8">
        <v>1092448</v>
      </c>
      <c r="H340" s="8">
        <v>921765</v>
      </c>
      <c r="I340" s="8">
        <v>1092448</v>
      </c>
      <c r="J340" s="11">
        <f t="shared" si="5"/>
        <v>170.683</v>
      </c>
      <c r="K340" s="7" t="s">
        <v>319</v>
      </c>
      <c r="L340" s="7">
        <v>45</v>
      </c>
      <c r="M340" s="12" t="s">
        <v>378</v>
      </c>
    </row>
    <row r="341" ht="184" customHeight="1" spans="1:13">
      <c r="A341" s="7" t="s">
        <v>139</v>
      </c>
      <c r="B341" s="7" t="s">
        <v>134</v>
      </c>
      <c r="C341" s="7">
        <v>4137</v>
      </c>
      <c r="D341" s="7">
        <v>3857</v>
      </c>
      <c r="E341" s="7">
        <v>3857</v>
      </c>
      <c r="F341" s="8">
        <v>913643</v>
      </c>
      <c r="G341" s="8">
        <v>1028498</v>
      </c>
      <c r="H341" s="8">
        <v>913643</v>
      </c>
      <c r="I341" s="8">
        <v>1028498</v>
      </c>
      <c r="J341" s="11">
        <f t="shared" si="5"/>
        <v>114.855</v>
      </c>
      <c r="K341" s="7" t="s">
        <v>319</v>
      </c>
      <c r="L341" s="7">
        <v>33</v>
      </c>
      <c r="M341" s="12" t="s">
        <v>491</v>
      </c>
    </row>
    <row r="342" ht="184" customHeight="1" spans="1:13">
      <c r="A342" s="7" t="s">
        <v>139</v>
      </c>
      <c r="B342" s="7" t="s">
        <v>52</v>
      </c>
      <c r="C342" s="7">
        <v>10988</v>
      </c>
      <c r="D342" s="7">
        <v>10946</v>
      </c>
      <c r="E342" s="7">
        <v>10946</v>
      </c>
      <c r="F342" s="8">
        <v>920374</v>
      </c>
      <c r="G342" s="8">
        <v>1028943</v>
      </c>
      <c r="H342" s="8">
        <v>920374</v>
      </c>
      <c r="I342" s="8">
        <v>1028943</v>
      </c>
      <c r="J342" s="11">
        <f t="shared" si="5"/>
        <v>108.569</v>
      </c>
      <c r="K342" s="7" t="s">
        <v>319</v>
      </c>
      <c r="L342" s="7">
        <v>31</v>
      </c>
      <c r="M342" s="12" t="s">
        <v>334</v>
      </c>
    </row>
    <row r="343" ht="184" customHeight="1" spans="1:13">
      <c r="A343" s="7" t="s">
        <v>139</v>
      </c>
      <c r="B343" s="7" t="s">
        <v>61</v>
      </c>
      <c r="C343" s="7">
        <v>4400</v>
      </c>
      <c r="D343" s="7">
        <v>4364</v>
      </c>
      <c r="E343" s="7">
        <v>4364</v>
      </c>
      <c r="F343" s="8">
        <v>920368</v>
      </c>
      <c r="G343" s="8">
        <v>1027890</v>
      </c>
      <c r="H343" s="8">
        <v>920368</v>
      </c>
      <c r="I343" s="8">
        <v>1027890</v>
      </c>
      <c r="J343" s="11">
        <f t="shared" si="5"/>
        <v>107.522</v>
      </c>
      <c r="K343" s="7" t="s">
        <v>319</v>
      </c>
      <c r="L343" s="7">
        <v>31</v>
      </c>
      <c r="M343" s="12" t="s">
        <v>334</v>
      </c>
    </row>
    <row r="344" ht="184" customHeight="1" spans="1:13">
      <c r="A344" s="7" t="s">
        <v>139</v>
      </c>
      <c r="B344" s="7" t="s">
        <v>147</v>
      </c>
      <c r="C344" s="7">
        <v>10</v>
      </c>
      <c r="D344" s="7">
        <v>10</v>
      </c>
      <c r="E344" s="7">
        <v>3</v>
      </c>
      <c r="F344" s="8">
        <v>1138434</v>
      </c>
      <c r="G344" s="8">
        <v>1298457</v>
      </c>
      <c r="H344" s="8">
        <v>1138434</v>
      </c>
      <c r="I344" s="8">
        <v>1241536</v>
      </c>
      <c r="J344" s="11">
        <f t="shared" si="5"/>
        <v>103.102</v>
      </c>
      <c r="K344" s="7" t="s">
        <v>319</v>
      </c>
      <c r="L344" s="7">
        <v>25</v>
      </c>
      <c r="M344" s="12" t="s">
        <v>420</v>
      </c>
    </row>
    <row r="345" ht="184" customHeight="1" spans="1:13">
      <c r="A345" s="7" t="s">
        <v>139</v>
      </c>
      <c r="B345" s="7" t="s">
        <v>123</v>
      </c>
      <c r="C345" s="7">
        <v>6468</v>
      </c>
      <c r="D345" s="7">
        <v>6397</v>
      </c>
      <c r="E345" s="7">
        <v>4683</v>
      </c>
      <c r="F345" s="8">
        <v>1142026</v>
      </c>
      <c r="G345" s="8">
        <v>1476619</v>
      </c>
      <c r="H345" s="8">
        <v>1142026</v>
      </c>
      <c r="I345" s="8">
        <v>1242740</v>
      </c>
      <c r="J345" s="11">
        <f t="shared" si="5"/>
        <v>100.714</v>
      </c>
      <c r="K345" s="7" t="s">
        <v>319</v>
      </c>
      <c r="L345" s="7">
        <v>25</v>
      </c>
      <c r="M345" s="12" t="s">
        <v>420</v>
      </c>
    </row>
    <row r="346" ht="184" customHeight="1" spans="1:13">
      <c r="A346" s="7" t="s">
        <v>139</v>
      </c>
      <c r="B346" s="7" t="s">
        <v>128</v>
      </c>
      <c r="C346" s="7">
        <v>3426</v>
      </c>
      <c r="D346" s="7">
        <v>3426</v>
      </c>
      <c r="E346" s="7">
        <v>2286</v>
      </c>
      <c r="F346" s="8">
        <v>657166</v>
      </c>
      <c r="G346" s="8">
        <v>775065</v>
      </c>
      <c r="H346" s="8">
        <v>699085</v>
      </c>
      <c r="I346" s="8">
        <v>775065</v>
      </c>
      <c r="J346" s="11">
        <f t="shared" si="5"/>
        <v>75.98</v>
      </c>
      <c r="K346" s="7" t="s">
        <v>319</v>
      </c>
      <c r="L346" s="7">
        <v>18</v>
      </c>
      <c r="M346" s="12" t="s">
        <v>492</v>
      </c>
    </row>
    <row r="347" ht="184" customHeight="1" spans="1:13">
      <c r="A347" s="7" t="s">
        <v>139</v>
      </c>
      <c r="B347" s="7" t="s">
        <v>146</v>
      </c>
      <c r="C347" s="7">
        <v>85</v>
      </c>
      <c r="D347" s="7">
        <v>75</v>
      </c>
      <c r="E347" s="7">
        <v>73</v>
      </c>
      <c r="F347" s="8">
        <v>1210994</v>
      </c>
      <c r="G347" s="8">
        <v>1336747</v>
      </c>
      <c r="H347" s="8">
        <v>1210994</v>
      </c>
      <c r="I347" s="8">
        <v>1240378</v>
      </c>
      <c r="J347" s="11">
        <f t="shared" si="5"/>
        <v>29.384</v>
      </c>
      <c r="K347" s="7" t="s">
        <v>319</v>
      </c>
      <c r="L347" s="7">
        <v>7</v>
      </c>
      <c r="M347" s="12" t="s">
        <v>493</v>
      </c>
    </row>
    <row r="348" ht="184" customHeight="1" spans="1:13">
      <c r="A348" s="7" t="s">
        <v>139</v>
      </c>
      <c r="B348" s="7" t="s">
        <v>143</v>
      </c>
      <c r="C348" s="7">
        <v>2505</v>
      </c>
      <c r="D348" s="7">
        <v>2505</v>
      </c>
      <c r="E348" s="7">
        <v>3</v>
      </c>
      <c r="F348" s="8">
        <v>1213595</v>
      </c>
      <c r="G348" s="8">
        <v>1450002</v>
      </c>
      <c r="H348" s="8">
        <v>1213595</v>
      </c>
      <c r="I348" s="8">
        <v>1231134</v>
      </c>
      <c r="J348" s="11">
        <f t="shared" si="5"/>
        <v>17.539</v>
      </c>
      <c r="K348" s="7" t="s">
        <v>319</v>
      </c>
      <c r="L348" s="7">
        <v>4</v>
      </c>
      <c r="M348" s="12" t="s">
        <v>494</v>
      </c>
    </row>
    <row r="349" ht="184" customHeight="1" spans="1:13">
      <c r="A349" s="7" t="s">
        <v>139</v>
      </c>
      <c r="B349" s="7" t="s">
        <v>148</v>
      </c>
      <c r="C349" s="7">
        <v>6</v>
      </c>
      <c r="D349" s="7">
        <v>6</v>
      </c>
      <c r="E349" s="7">
        <v>6</v>
      </c>
      <c r="F349" s="8">
        <v>1229263</v>
      </c>
      <c r="G349" s="8">
        <v>1231939</v>
      </c>
      <c r="H349" s="8">
        <v>1229263</v>
      </c>
      <c r="I349" s="8">
        <v>1231939</v>
      </c>
      <c r="J349" s="11">
        <f t="shared" si="5"/>
        <v>2.676</v>
      </c>
      <c r="K349" s="7" t="s">
        <v>319</v>
      </c>
      <c r="L349" s="7">
        <v>2</v>
      </c>
      <c r="M349" s="12" t="s">
        <v>495</v>
      </c>
    </row>
    <row r="350" ht="184" customHeight="1" spans="1:13">
      <c r="A350" s="7" t="s">
        <v>139</v>
      </c>
      <c r="B350" s="7" t="s">
        <v>144</v>
      </c>
      <c r="C350" s="7">
        <v>1267</v>
      </c>
      <c r="D350" s="7">
        <v>1266</v>
      </c>
      <c r="E350" s="7">
        <v>4</v>
      </c>
      <c r="F350" s="8">
        <v>1207688</v>
      </c>
      <c r="G350" s="8">
        <v>1518732</v>
      </c>
      <c r="H350" s="8">
        <v>1207688</v>
      </c>
      <c r="I350" s="8">
        <v>1210053</v>
      </c>
      <c r="J350" s="11">
        <f t="shared" si="5"/>
        <v>2.365</v>
      </c>
      <c r="K350" s="7" t="s">
        <v>319</v>
      </c>
      <c r="L350" s="7">
        <v>2</v>
      </c>
      <c r="M350" s="12" t="s">
        <v>496</v>
      </c>
    </row>
    <row r="351" ht="184" customHeight="1" spans="1:13">
      <c r="A351" s="9" t="s">
        <v>139</v>
      </c>
      <c r="B351" s="9" t="s">
        <v>50</v>
      </c>
      <c r="C351" s="9">
        <v>12</v>
      </c>
      <c r="D351" s="9">
        <v>0</v>
      </c>
      <c r="E351" s="9">
        <v>0</v>
      </c>
      <c r="F351" s="10" t="s">
        <v>195</v>
      </c>
      <c r="G351" s="10" t="s">
        <v>195</v>
      </c>
      <c r="H351" s="10" t="s">
        <v>195</v>
      </c>
      <c r="I351" s="10" t="s">
        <v>195</v>
      </c>
      <c r="J351" s="13">
        <v>0</v>
      </c>
      <c r="K351" s="9" t="s">
        <v>345</v>
      </c>
      <c r="L351" s="9">
        <v>0</v>
      </c>
      <c r="M351" s="14" t="s">
        <v>346</v>
      </c>
    </row>
    <row r="352" ht="184" customHeight="1" spans="1:13">
      <c r="A352" s="9" t="s">
        <v>139</v>
      </c>
      <c r="B352" s="9" t="s">
        <v>497</v>
      </c>
      <c r="C352" s="9">
        <v>340</v>
      </c>
      <c r="D352" s="9">
        <v>336</v>
      </c>
      <c r="E352" s="9">
        <v>0</v>
      </c>
      <c r="F352" s="10">
        <v>1406511</v>
      </c>
      <c r="G352" s="10">
        <v>1426131</v>
      </c>
      <c r="H352" s="10" t="s">
        <v>195</v>
      </c>
      <c r="I352" s="10" t="s">
        <v>195</v>
      </c>
      <c r="J352" s="13">
        <v>0</v>
      </c>
      <c r="K352" s="9" t="s">
        <v>345</v>
      </c>
      <c r="L352" s="9">
        <v>0</v>
      </c>
      <c r="M352" s="14" t="s">
        <v>346</v>
      </c>
    </row>
    <row r="353" ht="184" customHeight="1" spans="1:13">
      <c r="A353" s="9" t="s">
        <v>139</v>
      </c>
      <c r="B353" s="9" t="s">
        <v>428</v>
      </c>
      <c r="C353" s="9">
        <v>213</v>
      </c>
      <c r="D353" s="9">
        <v>213</v>
      </c>
      <c r="E353" s="9">
        <v>0</v>
      </c>
      <c r="F353" s="10">
        <v>1401440</v>
      </c>
      <c r="G353" s="10">
        <v>1415961</v>
      </c>
      <c r="H353" s="10" t="s">
        <v>195</v>
      </c>
      <c r="I353" s="10" t="s">
        <v>195</v>
      </c>
      <c r="J353" s="13">
        <v>0</v>
      </c>
      <c r="K353" s="9" t="s">
        <v>345</v>
      </c>
      <c r="L353" s="9">
        <v>0</v>
      </c>
      <c r="M353" s="14" t="s">
        <v>346</v>
      </c>
    </row>
    <row r="354" ht="184" customHeight="1" spans="1:13">
      <c r="A354" s="9" t="s">
        <v>139</v>
      </c>
      <c r="B354" s="9" t="s">
        <v>498</v>
      </c>
      <c r="C354" s="9">
        <v>462</v>
      </c>
      <c r="D354" s="9">
        <v>462</v>
      </c>
      <c r="E354" s="9">
        <v>1</v>
      </c>
      <c r="F354" s="10">
        <v>1229792</v>
      </c>
      <c r="G354" s="10">
        <v>1333508</v>
      </c>
      <c r="H354" s="10" t="s">
        <v>195</v>
      </c>
      <c r="I354" s="10" t="s">
        <v>195</v>
      </c>
      <c r="J354" s="13">
        <v>0</v>
      </c>
      <c r="K354" s="9" t="s">
        <v>345</v>
      </c>
      <c r="L354" s="9">
        <v>2</v>
      </c>
      <c r="M354" s="14" t="s">
        <v>495</v>
      </c>
    </row>
    <row r="355" ht="184" customHeight="1" spans="1:13">
      <c r="A355" s="9" t="s">
        <v>139</v>
      </c>
      <c r="B355" s="9" t="s">
        <v>77</v>
      </c>
      <c r="C355" s="9">
        <v>1813</v>
      </c>
      <c r="D355" s="9">
        <v>1813</v>
      </c>
      <c r="E355" s="9">
        <v>0</v>
      </c>
      <c r="F355" s="10">
        <v>1401390</v>
      </c>
      <c r="G355" s="10">
        <v>1463914</v>
      </c>
      <c r="H355" s="10" t="s">
        <v>195</v>
      </c>
      <c r="I355" s="10" t="s">
        <v>195</v>
      </c>
      <c r="J355" s="13">
        <v>0</v>
      </c>
      <c r="K355" s="9" t="s">
        <v>345</v>
      </c>
      <c r="L355" s="9">
        <v>0</v>
      </c>
      <c r="M355" s="14" t="s">
        <v>346</v>
      </c>
    </row>
    <row r="356" ht="184" customHeight="1" spans="1:13">
      <c r="A356" s="9" t="s">
        <v>139</v>
      </c>
      <c r="B356" s="9" t="s">
        <v>431</v>
      </c>
      <c r="C356" s="9">
        <v>2421</v>
      </c>
      <c r="D356" s="9">
        <v>2421</v>
      </c>
      <c r="E356" s="9">
        <v>0</v>
      </c>
      <c r="F356" s="10">
        <v>1330900</v>
      </c>
      <c r="G356" s="10">
        <v>1476722</v>
      </c>
      <c r="H356" s="10" t="s">
        <v>195</v>
      </c>
      <c r="I356" s="10" t="s">
        <v>195</v>
      </c>
      <c r="J356" s="13">
        <v>0</v>
      </c>
      <c r="K356" s="9" t="s">
        <v>345</v>
      </c>
      <c r="L356" s="9">
        <v>0</v>
      </c>
      <c r="M356" s="14" t="s">
        <v>346</v>
      </c>
    </row>
    <row r="357" ht="184" customHeight="1" spans="1:13">
      <c r="A357" s="9" t="s">
        <v>139</v>
      </c>
      <c r="B357" s="9" t="s">
        <v>499</v>
      </c>
      <c r="C357" s="9">
        <v>1</v>
      </c>
      <c r="D357" s="9">
        <v>1</v>
      </c>
      <c r="E357" s="9">
        <v>0</v>
      </c>
      <c r="F357" s="10">
        <v>1266362</v>
      </c>
      <c r="G357" s="10">
        <v>1266362</v>
      </c>
      <c r="H357" s="10" t="s">
        <v>195</v>
      </c>
      <c r="I357" s="10" t="s">
        <v>195</v>
      </c>
      <c r="J357" s="13">
        <v>0</v>
      </c>
      <c r="K357" s="9" t="s">
        <v>345</v>
      </c>
      <c r="L357" s="9">
        <v>0</v>
      </c>
      <c r="M357" s="14" t="s">
        <v>346</v>
      </c>
    </row>
    <row r="358" ht="184" customHeight="1" spans="1:13">
      <c r="A358" s="9" t="s">
        <v>139</v>
      </c>
      <c r="B358" s="9" t="s">
        <v>500</v>
      </c>
      <c r="C358" s="9">
        <v>10</v>
      </c>
      <c r="D358" s="9">
        <v>0</v>
      </c>
      <c r="E358" s="9">
        <v>0</v>
      </c>
      <c r="F358" s="10" t="s">
        <v>195</v>
      </c>
      <c r="G358" s="10" t="s">
        <v>195</v>
      </c>
      <c r="H358" s="10" t="s">
        <v>195</v>
      </c>
      <c r="I358" s="10" t="s">
        <v>195</v>
      </c>
      <c r="J358" s="13">
        <v>0</v>
      </c>
      <c r="K358" s="9" t="s">
        <v>345</v>
      </c>
      <c r="L358" s="9">
        <v>0</v>
      </c>
      <c r="M358" s="14" t="s">
        <v>346</v>
      </c>
    </row>
    <row r="359" ht="184" customHeight="1" spans="1:13">
      <c r="A359" s="9" t="s">
        <v>139</v>
      </c>
      <c r="B359" s="9" t="s">
        <v>358</v>
      </c>
      <c r="C359" s="9">
        <v>161</v>
      </c>
      <c r="D359" s="9">
        <v>157</v>
      </c>
      <c r="E359" s="9">
        <v>0</v>
      </c>
      <c r="F359" s="10">
        <v>1401718</v>
      </c>
      <c r="G359" s="10">
        <v>1436194</v>
      </c>
      <c r="H359" s="10" t="s">
        <v>195</v>
      </c>
      <c r="I359" s="10" t="s">
        <v>195</v>
      </c>
      <c r="J359" s="13">
        <v>0</v>
      </c>
      <c r="K359" s="9" t="s">
        <v>345</v>
      </c>
      <c r="L359" s="9">
        <v>0</v>
      </c>
      <c r="M359" s="14" t="s">
        <v>346</v>
      </c>
    </row>
    <row r="360" ht="184" customHeight="1" spans="1:13">
      <c r="A360" s="9" t="s">
        <v>139</v>
      </c>
      <c r="B360" s="9" t="s">
        <v>501</v>
      </c>
      <c r="C360" s="9">
        <v>696</v>
      </c>
      <c r="D360" s="9">
        <v>696</v>
      </c>
      <c r="E360" s="9">
        <v>0</v>
      </c>
      <c r="F360" s="10">
        <v>1401315</v>
      </c>
      <c r="G360" s="10">
        <v>1436975</v>
      </c>
      <c r="H360" s="10" t="s">
        <v>195</v>
      </c>
      <c r="I360" s="10" t="s">
        <v>195</v>
      </c>
      <c r="J360" s="13">
        <v>0</v>
      </c>
      <c r="K360" s="9" t="s">
        <v>345</v>
      </c>
      <c r="L360" s="9">
        <v>0</v>
      </c>
      <c r="M360" s="14" t="s">
        <v>346</v>
      </c>
    </row>
    <row r="361" ht="184" customHeight="1" spans="1:13">
      <c r="A361" s="9" t="s">
        <v>139</v>
      </c>
      <c r="B361" s="9" t="s">
        <v>132</v>
      </c>
      <c r="C361" s="9">
        <v>2052</v>
      </c>
      <c r="D361" s="9">
        <v>2051</v>
      </c>
      <c r="E361" s="9">
        <v>0</v>
      </c>
      <c r="F361" s="10">
        <v>1401392</v>
      </c>
      <c r="G361" s="10">
        <v>1508621</v>
      </c>
      <c r="H361" s="10" t="s">
        <v>195</v>
      </c>
      <c r="I361" s="10" t="s">
        <v>195</v>
      </c>
      <c r="J361" s="13">
        <v>0</v>
      </c>
      <c r="K361" s="9" t="s">
        <v>345</v>
      </c>
      <c r="L361" s="9">
        <v>0</v>
      </c>
      <c r="M361" s="14" t="s">
        <v>346</v>
      </c>
    </row>
    <row r="362" ht="184" customHeight="1" spans="1:13">
      <c r="A362" s="9" t="s">
        <v>139</v>
      </c>
      <c r="B362" s="9" t="s">
        <v>400</v>
      </c>
      <c r="C362" s="9">
        <v>5376</v>
      </c>
      <c r="D362" s="9">
        <v>5376</v>
      </c>
      <c r="E362" s="9">
        <v>0</v>
      </c>
      <c r="F362" s="10">
        <v>1321801</v>
      </c>
      <c r="G362" s="10">
        <v>1462365</v>
      </c>
      <c r="H362" s="10" t="s">
        <v>195</v>
      </c>
      <c r="I362" s="10" t="s">
        <v>195</v>
      </c>
      <c r="J362" s="13">
        <v>0</v>
      </c>
      <c r="K362" s="9" t="s">
        <v>345</v>
      </c>
      <c r="L362" s="9">
        <v>0</v>
      </c>
      <c r="M362" s="14" t="s">
        <v>346</v>
      </c>
    </row>
    <row r="363" ht="184" customHeight="1" spans="1:13">
      <c r="A363" s="9" t="s">
        <v>139</v>
      </c>
      <c r="B363" s="9" t="s">
        <v>502</v>
      </c>
      <c r="C363" s="9">
        <v>623</v>
      </c>
      <c r="D363" s="9">
        <v>622</v>
      </c>
      <c r="E363" s="9">
        <v>0</v>
      </c>
      <c r="F363" s="10">
        <v>1401522</v>
      </c>
      <c r="G363" s="10">
        <v>1427291</v>
      </c>
      <c r="H363" s="10" t="s">
        <v>195</v>
      </c>
      <c r="I363" s="10" t="s">
        <v>195</v>
      </c>
      <c r="J363" s="13">
        <v>0</v>
      </c>
      <c r="K363" s="9" t="s">
        <v>345</v>
      </c>
      <c r="L363" s="9">
        <v>0</v>
      </c>
      <c r="M363" s="14" t="s">
        <v>346</v>
      </c>
    </row>
    <row r="364" ht="184" customHeight="1" spans="1:13">
      <c r="A364" s="9" t="s">
        <v>139</v>
      </c>
      <c r="B364" s="9" t="s">
        <v>503</v>
      </c>
      <c r="C364" s="9">
        <v>518</v>
      </c>
      <c r="D364" s="9">
        <v>518</v>
      </c>
      <c r="E364" s="9">
        <v>0</v>
      </c>
      <c r="F364" s="10">
        <v>1401731</v>
      </c>
      <c r="G364" s="10">
        <v>1437075</v>
      </c>
      <c r="H364" s="10" t="s">
        <v>195</v>
      </c>
      <c r="I364" s="10" t="s">
        <v>195</v>
      </c>
      <c r="J364" s="13">
        <v>0</v>
      </c>
      <c r="K364" s="9" t="s">
        <v>345</v>
      </c>
      <c r="L364" s="9">
        <v>0</v>
      </c>
      <c r="M364" s="14" t="s">
        <v>346</v>
      </c>
    </row>
    <row r="365" ht="184" customHeight="1" spans="1:13">
      <c r="A365" s="9" t="s">
        <v>139</v>
      </c>
      <c r="B365" s="9" t="s">
        <v>168</v>
      </c>
      <c r="C365" s="9">
        <v>1529</v>
      </c>
      <c r="D365" s="9">
        <v>1364</v>
      </c>
      <c r="E365" s="9">
        <v>0</v>
      </c>
      <c r="F365" s="10">
        <v>1249368</v>
      </c>
      <c r="G365" s="10">
        <v>1468550</v>
      </c>
      <c r="H365" s="10" t="s">
        <v>195</v>
      </c>
      <c r="I365" s="10" t="s">
        <v>195</v>
      </c>
      <c r="J365" s="13">
        <v>0</v>
      </c>
      <c r="K365" s="9" t="s">
        <v>345</v>
      </c>
      <c r="L365" s="9">
        <v>0</v>
      </c>
      <c r="M365" s="14" t="s">
        <v>346</v>
      </c>
    </row>
    <row r="366" ht="184" customHeight="1" spans="1:13">
      <c r="A366" s="9" t="s">
        <v>139</v>
      </c>
      <c r="B366" s="9" t="s">
        <v>487</v>
      </c>
      <c r="C366" s="9">
        <v>244</v>
      </c>
      <c r="D366" s="9">
        <v>244</v>
      </c>
      <c r="E366" s="9">
        <v>0</v>
      </c>
      <c r="F366" s="10">
        <v>1437902</v>
      </c>
      <c r="G366" s="10">
        <v>1474567</v>
      </c>
      <c r="H366" s="10" t="s">
        <v>195</v>
      </c>
      <c r="I366" s="10" t="s">
        <v>195</v>
      </c>
      <c r="J366" s="13">
        <v>0</v>
      </c>
      <c r="K366" s="9" t="s">
        <v>345</v>
      </c>
      <c r="L366" s="9">
        <v>0</v>
      </c>
      <c r="M366" s="14" t="s">
        <v>346</v>
      </c>
    </row>
    <row r="367" ht="184" customHeight="1" spans="1:13">
      <c r="A367" s="9" t="s">
        <v>139</v>
      </c>
      <c r="B367" s="9" t="s">
        <v>124</v>
      </c>
      <c r="C367" s="9">
        <v>1396</v>
      </c>
      <c r="D367" s="9">
        <v>1396</v>
      </c>
      <c r="E367" s="9">
        <v>0</v>
      </c>
      <c r="F367" s="10">
        <v>656322</v>
      </c>
      <c r="G367" s="10">
        <v>696371</v>
      </c>
      <c r="H367" s="10" t="s">
        <v>195</v>
      </c>
      <c r="I367" s="10" t="s">
        <v>195</v>
      </c>
      <c r="J367" s="13">
        <v>0</v>
      </c>
      <c r="K367" s="9" t="s">
        <v>345</v>
      </c>
      <c r="L367" s="9">
        <v>0</v>
      </c>
      <c r="M367" s="14" t="s">
        <v>346</v>
      </c>
    </row>
    <row r="368" ht="184" customHeight="1" spans="1:13">
      <c r="A368" s="9" t="s">
        <v>139</v>
      </c>
      <c r="B368" s="9" t="s">
        <v>96</v>
      </c>
      <c r="C368" s="9">
        <v>1064</v>
      </c>
      <c r="D368" s="9">
        <v>1064</v>
      </c>
      <c r="E368" s="9">
        <v>0</v>
      </c>
      <c r="F368" s="10">
        <v>1265730</v>
      </c>
      <c r="G368" s="10">
        <v>1402152</v>
      </c>
      <c r="H368" s="10" t="s">
        <v>195</v>
      </c>
      <c r="I368" s="10" t="s">
        <v>195</v>
      </c>
      <c r="J368" s="13">
        <v>0</v>
      </c>
      <c r="K368" s="9" t="s">
        <v>345</v>
      </c>
      <c r="L368" s="9">
        <v>0</v>
      </c>
      <c r="M368" s="14" t="s">
        <v>346</v>
      </c>
    </row>
    <row r="369" ht="184" customHeight="1" spans="1:13">
      <c r="A369" s="9" t="s">
        <v>139</v>
      </c>
      <c r="B369" s="9" t="s">
        <v>365</v>
      </c>
      <c r="C369" s="9">
        <v>5240</v>
      </c>
      <c r="D369" s="9">
        <v>5090</v>
      </c>
      <c r="E369" s="9">
        <v>0</v>
      </c>
      <c r="F369" s="10">
        <v>148852</v>
      </c>
      <c r="G369" s="10">
        <v>153043</v>
      </c>
      <c r="H369" s="10" t="s">
        <v>195</v>
      </c>
      <c r="I369" s="10" t="s">
        <v>195</v>
      </c>
      <c r="J369" s="13">
        <v>0</v>
      </c>
      <c r="K369" s="9" t="s">
        <v>345</v>
      </c>
      <c r="L369" s="9">
        <v>0</v>
      </c>
      <c r="M369" s="14" t="s">
        <v>346</v>
      </c>
    </row>
    <row r="370" spans="1:13">
      <c r="A370" s="7" t="s">
        <v>149</v>
      </c>
      <c r="B370" s="7" t="s">
        <v>128</v>
      </c>
      <c r="C370" s="7">
        <v>37177</v>
      </c>
      <c r="D370" s="7">
        <v>37132</v>
      </c>
      <c r="E370" s="7">
        <v>35037</v>
      </c>
      <c r="F370" s="8">
        <v>656327</v>
      </c>
      <c r="G370" s="8">
        <v>1436993</v>
      </c>
      <c r="H370" s="8">
        <v>699088</v>
      </c>
      <c r="I370" s="8">
        <v>1242938</v>
      </c>
      <c r="J370" s="11">
        <f t="shared" ref="J370:J409" si="6">(I370-H370)/1000</f>
        <v>543.85</v>
      </c>
      <c r="K370" s="7" t="s">
        <v>319</v>
      </c>
      <c r="L370" s="7">
        <v>124</v>
      </c>
      <c r="M370" s="12" t="s">
        <v>320</v>
      </c>
    </row>
    <row r="371" spans="1:13">
      <c r="A371" s="7" t="s">
        <v>149</v>
      </c>
      <c r="B371" s="7" t="s">
        <v>150</v>
      </c>
      <c r="C371" s="7">
        <v>34860</v>
      </c>
      <c r="D371" s="7">
        <v>34825</v>
      </c>
      <c r="E371" s="7">
        <v>32788</v>
      </c>
      <c r="F371" s="8">
        <v>657169</v>
      </c>
      <c r="G371" s="8">
        <v>1436957</v>
      </c>
      <c r="H371" s="8">
        <v>699086</v>
      </c>
      <c r="I371" s="8">
        <v>1242931</v>
      </c>
      <c r="J371" s="11">
        <f t="shared" si="6"/>
        <v>543.845</v>
      </c>
      <c r="K371" s="7" t="s">
        <v>319</v>
      </c>
      <c r="L371" s="7">
        <v>124</v>
      </c>
      <c r="M371" s="12" t="s">
        <v>320</v>
      </c>
    </row>
    <row r="372" spans="1:13">
      <c r="A372" s="7" t="s">
        <v>149</v>
      </c>
      <c r="B372" s="7" t="s">
        <v>152</v>
      </c>
      <c r="C372" s="7">
        <v>18548</v>
      </c>
      <c r="D372" s="7">
        <v>18524</v>
      </c>
      <c r="E372" s="7">
        <v>17072</v>
      </c>
      <c r="F372" s="8">
        <v>657176</v>
      </c>
      <c r="G372" s="8">
        <v>1436380</v>
      </c>
      <c r="H372" s="8">
        <v>699089</v>
      </c>
      <c r="I372" s="8">
        <v>1242744</v>
      </c>
      <c r="J372" s="11">
        <f t="shared" si="6"/>
        <v>543.655</v>
      </c>
      <c r="K372" s="7" t="s">
        <v>319</v>
      </c>
      <c r="L372" s="7">
        <v>124</v>
      </c>
      <c r="M372" s="12" t="s">
        <v>320</v>
      </c>
    </row>
    <row r="373" spans="1:13">
      <c r="A373" s="7" t="s">
        <v>149</v>
      </c>
      <c r="B373" s="7" t="s">
        <v>151</v>
      </c>
      <c r="C373" s="7">
        <v>20746</v>
      </c>
      <c r="D373" s="7">
        <v>20731</v>
      </c>
      <c r="E373" s="7">
        <v>18071</v>
      </c>
      <c r="F373" s="8">
        <v>657170</v>
      </c>
      <c r="G373" s="8">
        <v>1516052</v>
      </c>
      <c r="H373" s="8">
        <v>699114</v>
      </c>
      <c r="I373" s="8">
        <v>1242722</v>
      </c>
      <c r="J373" s="11">
        <f t="shared" si="6"/>
        <v>543.608</v>
      </c>
      <c r="K373" s="7" t="s">
        <v>319</v>
      </c>
      <c r="L373" s="7">
        <v>124</v>
      </c>
      <c r="M373" s="12" t="s">
        <v>320</v>
      </c>
    </row>
    <row r="374" spans="1:13">
      <c r="A374" s="7" t="s">
        <v>149</v>
      </c>
      <c r="B374" s="7" t="s">
        <v>123</v>
      </c>
      <c r="C374" s="7">
        <v>17407</v>
      </c>
      <c r="D374" s="7">
        <v>17407</v>
      </c>
      <c r="E374" s="7">
        <v>16297</v>
      </c>
      <c r="F374" s="8">
        <v>659478</v>
      </c>
      <c r="G374" s="8">
        <v>1226233</v>
      </c>
      <c r="H374" s="8">
        <v>699106</v>
      </c>
      <c r="I374" s="8">
        <v>1226233</v>
      </c>
      <c r="J374" s="11">
        <f t="shared" si="6"/>
        <v>527.127</v>
      </c>
      <c r="K374" s="7" t="s">
        <v>319</v>
      </c>
      <c r="L374" s="7">
        <v>121</v>
      </c>
      <c r="M374" s="12" t="s">
        <v>504</v>
      </c>
    </row>
    <row r="375" ht="34" customHeight="1" spans="1:13">
      <c r="A375" s="7" t="s">
        <v>149</v>
      </c>
      <c r="B375" s="7" t="s">
        <v>37</v>
      </c>
      <c r="C375" s="7">
        <v>18199</v>
      </c>
      <c r="D375" s="7">
        <v>18194</v>
      </c>
      <c r="E375" s="7">
        <v>17421</v>
      </c>
      <c r="F375" s="8">
        <v>662193</v>
      </c>
      <c r="G375" s="8">
        <v>1211614</v>
      </c>
      <c r="H375" s="8">
        <v>699070</v>
      </c>
      <c r="I375" s="8">
        <v>1211614</v>
      </c>
      <c r="J375" s="11">
        <f t="shared" si="6"/>
        <v>512.544</v>
      </c>
      <c r="K375" s="7" t="s">
        <v>319</v>
      </c>
      <c r="L375" s="7">
        <v>118</v>
      </c>
      <c r="M375" s="12" t="s">
        <v>438</v>
      </c>
    </row>
    <row r="376" ht="64" customHeight="1" spans="1:13">
      <c r="A376" s="7" t="s">
        <v>149</v>
      </c>
      <c r="B376" s="7" t="s">
        <v>85</v>
      </c>
      <c r="C376" s="7">
        <v>21540</v>
      </c>
      <c r="D376" s="7">
        <v>21518</v>
      </c>
      <c r="E376" s="7">
        <v>19958</v>
      </c>
      <c r="F376" s="8">
        <v>656328</v>
      </c>
      <c r="G376" s="8">
        <v>1173151</v>
      </c>
      <c r="H376" s="8">
        <v>699078</v>
      </c>
      <c r="I376" s="8">
        <v>1173151</v>
      </c>
      <c r="J376" s="11">
        <f t="shared" si="6"/>
        <v>474.073</v>
      </c>
      <c r="K376" s="7" t="s">
        <v>319</v>
      </c>
      <c r="L376" s="7">
        <v>109</v>
      </c>
      <c r="M376" s="12" t="s">
        <v>505</v>
      </c>
    </row>
    <row r="377" ht="64" customHeight="1" spans="1:13">
      <c r="A377" s="7" t="s">
        <v>149</v>
      </c>
      <c r="B377" s="7" t="s">
        <v>129</v>
      </c>
      <c r="C377" s="7">
        <v>20675</v>
      </c>
      <c r="D377" s="7">
        <v>20674</v>
      </c>
      <c r="E377" s="7">
        <v>19644</v>
      </c>
      <c r="F377" s="8">
        <v>661530</v>
      </c>
      <c r="G377" s="8">
        <v>1172539</v>
      </c>
      <c r="H377" s="8">
        <v>699079</v>
      </c>
      <c r="I377" s="8">
        <v>1172539</v>
      </c>
      <c r="J377" s="11">
        <f t="shared" si="6"/>
        <v>473.46</v>
      </c>
      <c r="K377" s="7" t="s">
        <v>319</v>
      </c>
      <c r="L377" s="7">
        <v>108</v>
      </c>
      <c r="M377" s="12" t="s">
        <v>321</v>
      </c>
    </row>
    <row r="378" ht="64" customHeight="1" spans="1:13">
      <c r="A378" s="7" t="s">
        <v>149</v>
      </c>
      <c r="B378" s="7" t="s">
        <v>153</v>
      </c>
      <c r="C378" s="7">
        <v>18975</v>
      </c>
      <c r="D378" s="7">
        <v>18949</v>
      </c>
      <c r="E378" s="7">
        <v>17326</v>
      </c>
      <c r="F378" s="8">
        <v>656321</v>
      </c>
      <c r="G378" s="8">
        <v>1169680</v>
      </c>
      <c r="H378" s="8">
        <v>699074</v>
      </c>
      <c r="I378" s="8">
        <v>1169680</v>
      </c>
      <c r="J378" s="11">
        <f t="shared" si="6"/>
        <v>470.606</v>
      </c>
      <c r="K378" s="7" t="s">
        <v>319</v>
      </c>
      <c r="L378" s="7">
        <v>108</v>
      </c>
      <c r="M378" s="12" t="s">
        <v>321</v>
      </c>
    </row>
    <row r="379" ht="79" customHeight="1" spans="1:13">
      <c r="A379" s="7" t="s">
        <v>149</v>
      </c>
      <c r="B379" s="7" t="s">
        <v>124</v>
      </c>
      <c r="C379" s="7">
        <v>20494</v>
      </c>
      <c r="D379" s="7">
        <v>20466</v>
      </c>
      <c r="E379" s="7">
        <v>19380</v>
      </c>
      <c r="F379" s="8">
        <v>787521</v>
      </c>
      <c r="G379" s="8">
        <v>1447658</v>
      </c>
      <c r="H379" s="8">
        <v>787521</v>
      </c>
      <c r="I379" s="8">
        <v>1240715</v>
      </c>
      <c r="J379" s="11">
        <f t="shared" si="6"/>
        <v>453.194</v>
      </c>
      <c r="K379" s="7" t="s">
        <v>319</v>
      </c>
      <c r="L379" s="7">
        <v>104</v>
      </c>
      <c r="M379" s="12" t="s">
        <v>322</v>
      </c>
    </row>
    <row r="380" ht="169" customHeight="1" spans="1:13">
      <c r="A380" s="7" t="s">
        <v>149</v>
      </c>
      <c r="B380" s="7" t="s">
        <v>92</v>
      </c>
      <c r="C380" s="7">
        <v>20811</v>
      </c>
      <c r="D380" s="7">
        <v>20745</v>
      </c>
      <c r="E380" s="7">
        <v>20380</v>
      </c>
      <c r="F380" s="8">
        <v>696329</v>
      </c>
      <c r="G380" s="8">
        <v>1028929</v>
      </c>
      <c r="H380" s="8">
        <v>699078</v>
      </c>
      <c r="I380" s="8">
        <v>1028929</v>
      </c>
      <c r="J380" s="11">
        <f t="shared" si="6"/>
        <v>329.851</v>
      </c>
      <c r="K380" s="7" t="s">
        <v>319</v>
      </c>
      <c r="L380" s="7">
        <v>77</v>
      </c>
      <c r="M380" s="12" t="s">
        <v>370</v>
      </c>
    </row>
    <row r="381" ht="169" customHeight="1" spans="1:13">
      <c r="A381" s="7" t="s">
        <v>149</v>
      </c>
      <c r="B381" s="7" t="s">
        <v>155</v>
      </c>
      <c r="C381" s="7">
        <v>13500</v>
      </c>
      <c r="D381" s="7">
        <v>13299</v>
      </c>
      <c r="E381" s="7">
        <v>12335</v>
      </c>
      <c r="F381" s="8">
        <v>658852</v>
      </c>
      <c r="G381" s="8">
        <v>1028758</v>
      </c>
      <c r="H381" s="8">
        <v>699086</v>
      </c>
      <c r="I381" s="8">
        <v>1028758</v>
      </c>
      <c r="J381" s="11">
        <f t="shared" si="6"/>
        <v>329.672</v>
      </c>
      <c r="K381" s="7" t="s">
        <v>319</v>
      </c>
      <c r="L381" s="7">
        <v>77</v>
      </c>
      <c r="M381" s="12" t="s">
        <v>370</v>
      </c>
    </row>
    <row r="382" ht="169" customHeight="1" spans="1:13">
      <c r="A382" s="7" t="s">
        <v>149</v>
      </c>
      <c r="B382" s="7" t="s">
        <v>154</v>
      </c>
      <c r="C382" s="7">
        <v>14579</v>
      </c>
      <c r="D382" s="7">
        <v>14357</v>
      </c>
      <c r="E382" s="7">
        <v>14288</v>
      </c>
      <c r="F382" s="8">
        <v>696816</v>
      </c>
      <c r="G382" s="8">
        <v>1028476</v>
      </c>
      <c r="H382" s="8">
        <v>699079</v>
      </c>
      <c r="I382" s="8">
        <v>1028476</v>
      </c>
      <c r="J382" s="11">
        <f t="shared" si="6"/>
        <v>329.397</v>
      </c>
      <c r="K382" s="7" t="s">
        <v>319</v>
      </c>
      <c r="L382" s="7">
        <v>77</v>
      </c>
      <c r="M382" s="12" t="s">
        <v>370</v>
      </c>
    </row>
    <row r="383" ht="169" customHeight="1" spans="1:13">
      <c r="A383" s="7" t="s">
        <v>149</v>
      </c>
      <c r="B383" s="7" t="s">
        <v>117</v>
      </c>
      <c r="C383" s="7">
        <v>253</v>
      </c>
      <c r="D383" s="7">
        <v>173</v>
      </c>
      <c r="E383" s="7">
        <v>145</v>
      </c>
      <c r="F383" s="8">
        <v>6089</v>
      </c>
      <c r="G383" s="8">
        <v>1029098</v>
      </c>
      <c r="H383" s="8">
        <v>701632</v>
      </c>
      <c r="I383" s="8">
        <v>1029098</v>
      </c>
      <c r="J383" s="11">
        <f t="shared" si="6"/>
        <v>327.466</v>
      </c>
      <c r="K383" s="7" t="s">
        <v>319</v>
      </c>
      <c r="L383" s="7">
        <v>77</v>
      </c>
      <c r="M383" s="12" t="s">
        <v>370</v>
      </c>
    </row>
    <row r="384" ht="184" customHeight="1" spans="1:13">
      <c r="A384" s="7" t="s">
        <v>149</v>
      </c>
      <c r="B384" s="7" t="s">
        <v>68</v>
      </c>
      <c r="C384" s="7">
        <v>12304</v>
      </c>
      <c r="D384" s="7">
        <v>12273</v>
      </c>
      <c r="E384" s="7">
        <v>11361</v>
      </c>
      <c r="F384" s="8">
        <v>921249</v>
      </c>
      <c r="G384" s="8">
        <v>1499296</v>
      </c>
      <c r="H384" s="8">
        <v>921249</v>
      </c>
      <c r="I384" s="8">
        <v>1242965</v>
      </c>
      <c r="J384" s="11">
        <f t="shared" si="6"/>
        <v>321.716</v>
      </c>
      <c r="K384" s="7" t="s">
        <v>319</v>
      </c>
      <c r="L384" s="7">
        <v>78</v>
      </c>
      <c r="M384" s="12" t="s">
        <v>323</v>
      </c>
    </row>
    <row r="385" ht="184" customHeight="1" spans="1:13">
      <c r="A385" s="7" t="s">
        <v>149</v>
      </c>
      <c r="B385" s="7" t="s">
        <v>52</v>
      </c>
      <c r="C385" s="7">
        <v>20059</v>
      </c>
      <c r="D385" s="7">
        <v>20020</v>
      </c>
      <c r="E385" s="7">
        <v>19700</v>
      </c>
      <c r="F385" s="8">
        <v>921481</v>
      </c>
      <c r="G385" s="8">
        <v>1436679</v>
      </c>
      <c r="H385" s="8">
        <v>921481</v>
      </c>
      <c r="I385" s="8">
        <v>1242965</v>
      </c>
      <c r="J385" s="11">
        <f t="shared" si="6"/>
        <v>321.484</v>
      </c>
      <c r="K385" s="7" t="s">
        <v>319</v>
      </c>
      <c r="L385" s="7">
        <v>78</v>
      </c>
      <c r="M385" s="12" t="s">
        <v>323</v>
      </c>
    </row>
    <row r="386" ht="184" customHeight="1" spans="1:13">
      <c r="A386" s="7" t="s">
        <v>149</v>
      </c>
      <c r="B386" s="7" t="s">
        <v>50</v>
      </c>
      <c r="C386" s="7">
        <v>13958</v>
      </c>
      <c r="D386" s="7">
        <v>13803</v>
      </c>
      <c r="E386" s="7">
        <v>11589</v>
      </c>
      <c r="F386" s="8">
        <v>921488</v>
      </c>
      <c r="G386" s="8">
        <v>1499333</v>
      </c>
      <c r="H386" s="8">
        <v>921488</v>
      </c>
      <c r="I386" s="8">
        <v>1240713</v>
      </c>
      <c r="J386" s="11">
        <f t="shared" si="6"/>
        <v>319.225</v>
      </c>
      <c r="K386" s="7" t="s">
        <v>319</v>
      </c>
      <c r="L386" s="7">
        <v>78</v>
      </c>
      <c r="M386" s="12" t="s">
        <v>323</v>
      </c>
    </row>
    <row r="387" ht="184" customHeight="1" spans="1:13">
      <c r="A387" s="7" t="s">
        <v>149</v>
      </c>
      <c r="B387" s="7" t="s">
        <v>49</v>
      </c>
      <c r="C387" s="7">
        <v>11207</v>
      </c>
      <c r="D387" s="7">
        <v>11196</v>
      </c>
      <c r="E387" s="7">
        <v>10714</v>
      </c>
      <c r="F387" s="8">
        <v>921757</v>
      </c>
      <c r="G387" s="8">
        <v>1448999</v>
      </c>
      <c r="H387" s="8">
        <v>921757</v>
      </c>
      <c r="I387" s="8">
        <v>1240549</v>
      </c>
      <c r="J387" s="11">
        <f t="shared" si="6"/>
        <v>318.792</v>
      </c>
      <c r="K387" s="7" t="s">
        <v>319</v>
      </c>
      <c r="L387" s="7">
        <v>78</v>
      </c>
      <c r="M387" s="12" t="s">
        <v>323</v>
      </c>
    </row>
    <row r="388" ht="184" customHeight="1" spans="1:13">
      <c r="A388" s="7" t="s">
        <v>149</v>
      </c>
      <c r="B388" s="7" t="s">
        <v>158</v>
      </c>
      <c r="C388" s="7">
        <v>4871</v>
      </c>
      <c r="D388" s="7">
        <v>4423</v>
      </c>
      <c r="E388" s="7">
        <v>4423</v>
      </c>
      <c r="F388" s="8">
        <v>745061</v>
      </c>
      <c r="G388" s="8">
        <v>1028733</v>
      </c>
      <c r="H388" s="8">
        <v>745061</v>
      </c>
      <c r="I388" s="8">
        <v>1028733</v>
      </c>
      <c r="J388" s="11">
        <f t="shared" si="6"/>
        <v>283.672</v>
      </c>
      <c r="K388" s="7" t="s">
        <v>319</v>
      </c>
      <c r="L388" s="7">
        <v>67</v>
      </c>
      <c r="M388" s="12" t="s">
        <v>506</v>
      </c>
    </row>
    <row r="389" ht="199" customHeight="1" spans="1:13">
      <c r="A389" s="7" t="s">
        <v>149</v>
      </c>
      <c r="B389" s="7" t="s">
        <v>43</v>
      </c>
      <c r="C389" s="7">
        <v>31925</v>
      </c>
      <c r="D389" s="7">
        <v>31689</v>
      </c>
      <c r="E389" s="7">
        <v>31689</v>
      </c>
      <c r="F389" s="8">
        <v>920754</v>
      </c>
      <c r="G389" s="8">
        <v>1172579</v>
      </c>
      <c r="H389" s="8">
        <v>920754</v>
      </c>
      <c r="I389" s="8">
        <v>1172579</v>
      </c>
      <c r="J389" s="11">
        <f t="shared" si="6"/>
        <v>251.825</v>
      </c>
      <c r="K389" s="7" t="s">
        <v>319</v>
      </c>
      <c r="L389" s="7">
        <v>62</v>
      </c>
      <c r="M389" s="12" t="s">
        <v>327</v>
      </c>
    </row>
    <row r="390" ht="199" customHeight="1" spans="1:13">
      <c r="A390" s="7" t="s">
        <v>149</v>
      </c>
      <c r="B390" s="7" t="s">
        <v>142</v>
      </c>
      <c r="C390" s="7">
        <v>17931</v>
      </c>
      <c r="D390" s="7">
        <v>17912</v>
      </c>
      <c r="E390" s="7">
        <v>17912</v>
      </c>
      <c r="F390" s="8">
        <v>920758</v>
      </c>
      <c r="G390" s="8">
        <v>1169643</v>
      </c>
      <c r="H390" s="8">
        <v>920758</v>
      </c>
      <c r="I390" s="8">
        <v>1169643</v>
      </c>
      <c r="J390" s="11">
        <f t="shared" si="6"/>
        <v>248.885</v>
      </c>
      <c r="K390" s="7" t="s">
        <v>319</v>
      </c>
      <c r="L390" s="7">
        <v>62</v>
      </c>
      <c r="M390" s="12" t="s">
        <v>327</v>
      </c>
    </row>
    <row r="391" ht="184" customHeight="1" spans="1:13">
      <c r="A391" s="7" t="s">
        <v>149</v>
      </c>
      <c r="B391" s="7" t="s">
        <v>81</v>
      </c>
      <c r="C391" s="7">
        <v>10491</v>
      </c>
      <c r="D391" s="7">
        <v>10486</v>
      </c>
      <c r="E391" s="7">
        <v>10486</v>
      </c>
      <c r="F391" s="8">
        <v>921758</v>
      </c>
      <c r="G391" s="8">
        <v>1092450</v>
      </c>
      <c r="H391" s="8">
        <v>921758</v>
      </c>
      <c r="I391" s="8">
        <v>1092450</v>
      </c>
      <c r="J391" s="11">
        <f t="shared" si="6"/>
        <v>170.692</v>
      </c>
      <c r="K391" s="7" t="s">
        <v>319</v>
      </c>
      <c r="L391" s="7">
        <v>45</v>
      </c>
      <c r="M391" s="12" t="s">
        <v>378</v>
      </c>
    </row>
    <row r="392" ht="184" customHeight="1" spans="1:13">
      <c r="A392" s="7" t="s">
        <v>149</v>
      </c>
      <c r="B392" s="7" t="s">
        <v>157</v>
      </c>
      <c r="C392" s="7">
        <v>6683</v>
      </c>
      <c r="D392" s="7">
        <v>6666</v>
      </c>
      <c r="E392" s="7">
        <v>5727</v>
      </c>
      <c r="F392" s="8">
        <v>661634</v>
      </c>
      <c r="G392" s="8">
        <v>866214</v>
      </c>
      <c r="H392" s="8">
        <v>699079</v>
      </c>
      <c r="I392" s="8">
        <v>866214</v>
      </c>
      <c r="J392" s="11">
        <f t="shared" si="6"/>
        <v>167.135</v>
      </c>
      <c r="K392" s="7" t="s">
        <v>319</v>
      </c>
      <c r="L392" s="7">
        <v>36</v>
      </c>
      <c r="M392" s="12" t="s">
        <v>379</v>
      </c>
    </row>
    <row r="393" ht="184" customHeight="1" spans="1:13">
      <c r="A393" s="7" t="s">
        <v>149</v>
      </c>
      <c r="B393" s="7" t="s">
        <v>134</v>
      </c>
      <c r="C393" s="7">
        <v>6938</v>
      </c>
      <c r="D393" s="7">
        <v>6924</v>
      </c>
      <c r="E393" s="7">
        <v>6805</v>
      </c>
      <c r="F393" s="8">
        <v>696818</v>
      </c>
      <c r="G393" s="8">
        <v>865644</v>
      </c>
      <c r="H393" s="8">
        <v>699076</v>
      </c>
      <c r="I393" s="8">
        <v>865644</v>
      </c>
      <c r="J393" s="11">
        <f t="shared" si="6"/>
        <v>166.568</v>
      </c>
      <c r="K393" s="7" t="s">
        <v>319</v>
      </c>
      <c r="L393" s="7">
        <v>36</v>
      </c>
      <c r="M393" s="12" t="s">
        <v>379</v>
      </c>
    </row>
    <row r="394" ht="184" customHeight="1" spans="1:13">
      <c r="A394" s="7" t="s">
        <v>149</v>
      </c>
      <c r="B394" s="7" t="s">
        <v>159</v>
      </c>
      <c r="C394" s="7">
        <v>3829</v>
      </c>
      <c r="D394" s="7">
        <v>3797</v>
      </c>
      <c r="E394" s="7">
        <v>805</v>
      </c>
      <c r="F394" s="8">
        <v>1077902</v>
      </c>
      <c r="G394" s="8">
        <v>1404179</v>
      </c>
      <c r="H394" s="8">
        <v>1077902</v>
      </c>
      <c r="I394" s="8">
        <v>1243912</v>
      </c>
      <c r="J394" s="11">
        <f t="shared" si="6"/>
        <v>166.01</v>
      </c>
      <c r="K394" s="7" t="s">
        <v>319</v>
      </c>
      <c r="L394" s="7">
        <v>37</v>
      </c>
      <c r="M394" s="12" t="s">
        <v>419</v>
      </c>
    </row>
    <row r="395" ht="184" customHeight="1" spans="1:13">
      <c r="A395" s="7" t="s">
        <v>149</v>
      </c>
      <c r="B395" s="7" t="s">
        <v>39</v>
      </c>
      <c r="C395" s="7">
        <v>10097</v>
      </c>
      <c r="D395" s="7">
        <v>10081</v>
      </c>
      <c r="E395" s="7">
        <v>6715</v>
      </c>
      <c r="F395" s="8">
        <v>1092474</v>
      </c>
      <c r="G395" s="8">
        <v>1516094</v>
      </c>
      <c r="H395" s="8">
        <v>1092474</v>
      </c>
      <c r="I395" s="8">
        <v>1242956</v>
      </c>
      <c r="J395" s="11">
        <f t="shared" si="6"/>
        <v>150.482</v>
      </c>
      <c r="K395" s="7" t="s">
        <v>319</v>
      </c>
      <c r="L395" s="7">
        <v>34</v>
      </c>
      <c r="M395" s="12" t="s">
        <v>507</v>
      </c>
    </row>
    <row r="396" ht="184" customHeight="1" spans="1:13">
      <c r="A396" s="7" t="s">
        <v>149</v>
      </c>
      <c r="B396" s="7" t="s">
        <v>156</v>
      </c>
      <c r="C396" s="7">
        <v>9424</v>
      </c>
      <c r="D396" s="7">
        <v>9353</v>
      </c>
      <c r="E396" s="7">
        <v>9353</v>
      </c>
      <c r="F396" s="8">
        <v>920371</v>
      </c>
      <c r="G396" s="8">
        <v>1028906</v>
      </c>
      <c r="H396" s="8">
        <v>920371</v>
      </c>
      <c r="I396" s="8">
        <v>1028906</v>
      </c>
      <c r="J396" s="11">
        <f t="shared" si="6"/>
        <v>108.535</v>
      </c>
      <c r="K396" s="7" t="s">
        <v>319</v>
      </c>
      <c r="L396" s="7">
        <v>31</v>
      </c>
      <c r="M396" s="12" t="s">
        <v>334</v>
      </c>
    </row>
    <row r="397" ht="184" customHeight="1" spans="1:13">
      <c r="A397" s="7" t="s">
        <v>149</v>
      </c>
      <c r="B397" s="7" t="s">
        <v>163</v>
      </c>
      <c r="C397" s="7">
        <v>2437</v>
      </c>
      <c r="D397" s="7">
        <v>2116</v>
      </c>
      <c r="E397" s="7">
        <v>1947</v>
      </c>
      <c r="F397" s="8">
        <v>851</v>
      </c>
      <c r="G397" s="8">
        <v>1027258</v>
      </c>
      <c r="H397" s="8">
        <v>922043</v>
      </c>
      <c r="I397" s="8">
        <v>1027258</v>
      </c>
      <c r="J397" s="11">
        <f t="shared" si="6"/>
        <v>105.215</v>
      </c>
      <c r="K397" s="7" t="s">
        <v>319</v>
      </c>
      <c r="L397" s="7">
        <v>31</v>
      </c>
      <c r="M397" s="12" t="s">
        <v>334</v>
      </c>
    </row>
    <row r="398" ht="184" customHeight="1" spans="1:13">
      <c r="A398" s="7" t="s">
        <v>149</v>
      </c>
      <c r="B398" s="7" t="s">
        <v>96</v>
      </c>
      <c r="C398" s="7">
        <v>4031</v>
      </c>
      <c r="D398" s="7">
        <v>4029</v>
      </c>
      <c r="E398" s="7">
        <v>1254</v>
      </c>
      <c r="F398" s="8">
        <v>1143567</v>
      </c>
      <c r="G398" s="8">
        <v>1399797</v>
      </c>
      <c r="H398" s="8">
        <v>1143567</v>
      </c>
      <c r="I398" s="8">
        <v>1243784</v>
      </c>
      <c r="J398" s="11">
        <f t="shared" si="6"/>
        <v>100.217</v>
      </c>
      <c r="K398" s="7" t="s">
        <v>319</v>
      </c>
      <c r="L398" s="7">
        <v>24</v>
      </c>
      <c r="M398" s="12" t="s">
        <v>508</v>
      </c>
    </row>
    <row r="399" ht="184" customHeight="1" spans="1:13">
      <c r="A399" s="7" t="s">
        <v>149</v>
      </c>
      <c r="B399" s="7" t="s">
        <v>140</v>
      </c>
      <c r="C399" s="7">
        <v>6074</v>
      </c>
      <c r="D399" s="7">
        <v>6067</v>
      </c>
      <c r="E399" s="7">
        <v>4257</v>
      </c>
      <c r="F399" s="8">
        <v>1143516</v>
      </c>
      <c r="G399" s="8">
        <v>1479192</v>
      </c>
      <c r="H399" s="8">
        <v>1143516</v>
      </c>
      <c r="I399" s="8">
        <v>1240688</v>
      </c>
      <c r="J399" s="11">
        <f t="shared" si="6"/>
        <v>97.172</v>
      </c>
      <c r="K399" s="7" t="s">
        <v>319</v>
      </c>
      <c r="L399" s="7">
        <v>24</v>
      </c>
      <c r="M399" s="12" t="s">
        <v>508</v>
      </c>
    </row>
    <row r="400" ht="184" customHeight="1" spans="1:13">
      <c r="A400" s="7" t="s">
        <v>149</v>
      </c>
      <c r="B400" s="7" t="s">
        <v>160</v>
      </c>
      <c r="C400" s="7">
        <v>2884</v>
      </c>
      <c r="D400" s="7">
        <v>2525</v>
      </c>
      <c r="E400" s="7">
        <v>223</v>
      </c>
      <c r="F400" s="8">
        <v>1153905</v>
      </c>
      <c r="G400" s="8">
        <v>1499124</v>
      </c>
      <c r="H400" s="8">
        <v>1153905</v>
      </c>
      <c r="I400" s="8">
        <v>1243539</v>
      </c>
      <c r="J400" s="11">
        <f t="shared" si="6"/>
        <v>89.634</v>
      </c>
      <c r="K400" s="7" t="s">
        <v>319</v>
      </c>
      <c r="L400" s="7">
        <v>22</v>
      </c>
      <c r="M400" s="12" t="s">
        <v>509</v>
      </c>
    </row>
    <row r="401" ht="184" customHeight="1" spans="1:13">
      <c r="A401" s="7" t="s">
        <v>149</v>
      </c>
      <c r="B401" s="7" t="s">
        <v>167</v>
      </c>
      <c r="C401" s="7">
        <v>87</v>
      </c>
      <c r="D401" s="7">
        <v>87</v>
      </c>
      <c r="E401" s="7">
        <v>32</v>
      </c>
      <c r="F401" s="8">
        <v>1162383</v>
      </c>
      <c r="G401" s="8">
        <v>1407437</v>
      </c>
      <c r="H401" s="8">
        <v>1162383</v>
      </c>
      <c r="I401" s="8">
        <v>1241618</v>
      </c>
      <c r="J401" s="11">
        <f t="shared" si="6"/>
        <v>79.235</v>
      </c>
      <c r="K401" s="7" t="s">
        <v>319</v>
      </c>
      <c r="L401" s="7">
        <v>21</v>
      </c>
      <c r="M401" s="12" t="s">
        <v>337</v>
      </c>
    </row>
    <row r="402" ht="184" customHeight="1" spans="1:13">
      <c r="A402" s="7" t="s">
        <v>149</v>
      </c>
      <c r="B402" s="7" t="s">
        <v>168</v>
      </c>
      <c r="C402" s="7">
        <v>49</v>
      </c>
      <c r="D402" s="7">
        <v>46</v>
      </c>
      <c r="E402" s="7">
        <v>46</v>
      </c>
      <c r="F402" s="8">
        <v>1158023</v>
      </c>
      <c r="G402" s="8">
        <v>1230805</v>
      </c>
      <c r="H402" s="8">
        <v>1158023</v>
      </c>
      <c r="I402" s="8">
        <v>1230805</v>
      </c>
      <c r="J402" s="11">
        <f t="shared" si="6"/>
        <v>72.782</v>
      </c>
      <c r="K402" s="7" t="s">
        <v>319</v>
      </c>
      <c r="L402" s="7">
        <v>19</v>
      </c>
      <c r="M402" s="12" t="s">
        <v>510</v>
      </c>
    </row>
    <row r="403" ht="184" customHeight="1" spans="1:13">
      <c r="A403" s="7" t="s">
        <v>149</v>
      </c>
      <c r="B403" s="7" t="s">
        <v>164</v>
      </c>
      <c r="C403" s="7">
        <v>1514</v>
      </c>
      <c r="D403" s="7">
        <v>1514</v>
      </c>
      <c r="E403" s="7">
        <v>108</v>
      </c>
      <c r="F403" s="8">
        <v>1211119</v>
      </c>
      <c r="G403" s="8">
        <v>1436177</v>
      </c>
      <c r="H403" s="8">
        <v>1211119</v>
      </c>
      <c r="I403" s="8">
        <v>1242362</v>
      </c>
      <c r="J403" s="11">
        <f t="shared" si="6"/>
        <v>31.243</v>
      </c>
      <c r="K403" s="7" t="s">
        <v>319</v>
      </c>
      <c r="L403" s="7">
        <v>7</v>
      </c>
      <c r="M403" s="12" t="s">
        <v>493</v>
      </c>
    </row>
    <row r="404" ht="184" customHeight="1" spans="1:13">
      <c r="A404" s="7" t="s">
        <v>149</v>
      </c>
      <c r="B404" s="7" t="s">
        <v>40</v>
      </c>
      <c r="C404" s="7">
        <v>1163</v>
      </c>
      <c r="D404" s="7">
        <v>1134</v>
      </c>
      <c r="E404" s="7">
        <v>1134</v>
      </c>
      <c r="F404" s="8">
        <v>1212521</v>
      </c>
      <c r="G404" s="8">
        <v>1242984</v>
      </c>
      <c r="H404" s="8">
        <v>1212521</v>
      </c>
      <c r="I404" s="8">
        <v>1242984</v>
      </c>
      <c r="J404" s="11">
        <f t="shared" si="6"/>
        <v>30.463</v>
      </c>
      <c r="K404" s="7" t="s">
        <v>319</v>
      </c>
      <c r="L404" s="7">
        <v>7</v>
      </c>
      <c r="M404" s="12" t="s">
        <v>493</v>
      </c>
    </row>
    <row r="405" ht="184" customHeight="1" spans="1:13">
      <c r="A405" s="7" t="s">
        <v>149</v>
      </c>
      <c r="B405" s="7" t="s">
        <v>166</v>
      </c>
      <c r="C405" s="7">
        <v>355</v>
      </c>
      <c r="D405" s="7">
        <v>351</v>
      </c>
      <c r="E405" s="7">
        <v>15</v>
      </c>
      <c r="F405" s="8">
        <v>1213339</v>
      </c>
      <c r="G405" s="8">
        <v>1437008</v>
      </c>
      <c r="H405" s="8">
        <v>1213339</v>
      </c>
      <c r="I405" s="8">
        <v>1243239</v>
      </c>
      <c r="J405" s="11">
        <f t="shared" si="6"/>
        <v>29.9</v>
      </c>
      <c r="K405" s="7" t="s">
        <v>319</v>
      </c>
      <c r="L405" s="7">
        <v>7</v>
      </c>
      <c r="M405" s="12" t="s">
        <v>493</v>
      </c>
    </row>
    <row r="406" ht="184" customHeight="1" spans="1:13">
      <c r="A406" s="7" t="s">
        <v>149</v>
      </c>
      <c r="B406" s="7" t="s">
        <v>162</v>
      </c>
      <c r="C406" s="7">
        <v>2553</v>
      </c>
      <c r="D406" s="7">
        <v>2546</v>
      </c>
      <c r="E406" s="7">
        <v>241</v>
      </c>
      <c r="F406" s="8">
        <v>1229006</v>
      </c>
      <c r="G406" s="8">
        <v>1430170</v>
      </c>
      <c r="H406" s="8">
        <v>1229006</v>
      </c>
      <c r="I406" s="8">
        <v>1243782</v>
      </c>
      <c r="J406" s="11">
        <f t="shared" si="6"/>
        <v>14.776</v>
      </c>
      <c r="K406" s="7" t="s">
        <v>319</v>
      </c>
      <c r="L406" s="7">
        <v>4</v>
      </c>
      <c r="M406" s="12" t="s">
        <v>341</v>
      </c>
    </row>
    <row r="407" ht="184" customHeight="1" spans="1:13">
      <c r="A407" s="7" t="s">
        <v>149</v>
      </c>
      <c r="B407" s="7" t="s">
        <v>161</v>
      </c>
      <c r="C407" s="7">
        <v>2732</v>
      </c>
      <c r="D407" s="7">
        <v>2725</v>
      </c>
      <c r="E407" s="7">
        <v>129</v>
      </c>
      <c r="F407" s="8">
        <v>1229417</v>
      </c>
      <c r="G407" s="8">
        <v>1496594</v>
      </c>
      <c r="H407" s="8">
        <v>1229417</v>
      </c>
      <c r="I407" s="8">
        <v>1243799</v>
      </c>
      <c r="J407" s="11">
        <f t="shared" si="6"/>
        <v>14.382</v>
      </c>
      <c r="K407" s="7" t="s">
        <v>319</v>
      </c>
      <c r="L407" s="7">
        <v>4</v>
      </c>
      <c r="M407" s="12" t="s">
        <v>341</v>
      </c>
    </row>
    <row r="408" ht="184" customHeight="1" spans="1:13">
      <c r="A408" s="7" t="s">
        <v>149</v>
      </c>
      <c r="B408" s="7" t="s">
        <v>169</v>
      </c>
      <c r="C408" s="7">
        <v>33</v>
      </c>
      <c r="D408" s="7">
        <v>28</v>
      </c>
      <c r="E408" s="7">
        <v>2</v>
      </c>
      <c r="F408" s="8">
        <v>1232069</v>
      </c>
      <c r="G408" s="8">
        <v>1516196</v>
      </c>
      <c r="H408" s="8">
        <v>1232069</v>
      </c>
      <c r="I408" s="8">
        <v>1238507</v>
      </c>
      <c r="J408" s="11">
        <f t="shared" si="6"/>
        <v>6.438</v>
      </c>
      <c r="K408" s="7" t="s">
        <v>319</v>
      </c>
      <c r="L408" s="7">
        <v>3</v>
      </c>
      <c r="M408" s="12" t="s">
        <v>342</v>
      </c>
    </row>
    <row r="409" ht="184" customHeight="1" spans="1:13">
      <c r="A409" s="7" t="s">
        <v>149</v>
      </c>
      <c r="B409" s="7" t="s">
        <v>165</v>
      </c>
      <c r="C409" s="7">
        <v>1467</v>
      </c>
      <c r="D409" s="7">
        <v>1467</v>
      </c>
      <c r="E409" s="7">
        <v>2</v>
      </c>
      <c r="F409" s="8">
        <v>1211099</v>
      </c>
      <c r="G409" s="8">
        <v>1436374</v>
      </c>
      <c r="H409" s="8">
        <v>1211099</v>
      </c>
      <c r="I409" s="8">
        <v>1213404</v>
      </c>
      <c r="J409" s="11">
        <f t="shared" si="6"/>
        <v>2.305</v>
      </c>
      <c r="K409" s="7" t="s">
        <v>319</v>
      </c>
      <c r="L409" s="7">
        <v>2</v>
      </c>
      <c r="M409" s="12" t="s">
        <v>511</v>
      </c>
    </row>
    <row r="410" ht="184" customHeight="1" spans="1:13">
      <c r="A410" s="9" t="s">
        <v>149</v>
      </c>
      <c r="B410" s="9" t="s">
        <v>512</v>
      </c>
      <c r="C410" s="9">
        <v>674</v>
      </c>
      <c r="D410" s="9">
        <v>672</v>
      </c>
      <c r="E410" s="9">
        <v>0</v>
      </c>
      <c r="F410" s="10">
        <v>1401690</v>
      </c>
      <c r="G410" s="10">
        <v>1448284</v>
      </c>
      <c r="H410" s="10" t="s">
        <v>195</v>
      </c>
      <c r="I410" s="10" t="s">
        <v>195</v>
      </c>
      <c r="J410" s="13">
        <v>0</v>
      </c>
      <c r="K410" s="9" t="s">
        <v>345</v>
      </c>
      <c r="L410" s="9">
        <v>0</v>
      </c>
      <c r="M410" s="14" t="s">
        <v>346</v>
      </c>
    </row>
    <row r="411" ht="184" customHeight="1" spans="1:13">
      <c r="A411" s="9" t="s">
        <v>149</v>
      </c>
      <c r="B411" s="9" t="s">
        <v>513</v>
      </c>
      <c r="C411" s="9">
        <v>565</v>
      </c>
      <c r="D411" s="9">
        <v>564</v>
      </c>
      <c r="E411" s="9">
        <v>0</v>
      </c>
      <c r="F411" s="10">
        <v>1401328</v>
      </c>
      <c r="G411" s="10">
        <v>1437533</v>
      </c>
      <c r="H411" s="10" t="s">
        <v>195</v>
      </c>
      <c r="I411" s="10" t="s">
        <v>195</v>
      </c>
      <c r="J411" s="13">
        <v>0</v>
      </c>
      <c r="K411" s="9" t="s">
        <v>345</v>
      </c>
      <c r="L411" s="9">
        <v>0</v>
      </c>
      <c r="M411" s="14" t="s">
        <v>346</v>
      </c>
    </row>
    <row r="412" ht="184" customHeight="1" spans="1:13">
      <c r="A412" s="9" t="s">
        <v>149</v>
      </c>
      <c r="B412" s="9" t="s">
        <v>475</v>
      </c>
      <c r="C412" s="9">
        <v>1719</v>
      </c>
      <c r="D412" s="9">
        <v>1650</v>
      </c>
      <c r="E412" s="9">
        <v>0</v>
      </c>
      <c r="F412" s="10">
        <v>1901</v>
      </c>
      <c r="G412" s="10">
        <v>697885</v>
      </c>
      <c r="H412" s="10" t="s">
        <v>195</v>
      </c>
      <c r="I412" s="10" t="s">
        <v>195</v>
      </c>
      <c r="J412" s="13">
        <v>0</v>
      </c>
      <c r="K412" s="9" t="s">
        <v>345</v>
      </c>
      <c r="L412" s="9">
        <v>0</v>
      </c>
      <c r="M412" s="14" t="s">
        <v>346</v>
      </c>
    </row>
    <row r="413" ht="184" customHeight="1" spans="1:13">
      <c r="A413" s="9" t="s">
        <v>149</v>
      </c>
      <c r="B413" s="9" t="s">
        <v>54</v>
      </c>
      <c r="C413" s="9">
        <v>1488</v>
      </c>
      <c r="D413" s="9">
        <v>1488</v>
      </c>
      <c r="E413" s="9">
        <v>0</v>
      </c>
      <c r="F413" s="10">
        <v>661560</v>
      </c>
      <c r="G413" s="10">
        <v>696501</v>
      </c>
      <c r="H413" s="10" t="s">
        <v>195</v>
      </c>
      <c r="I413" s="10" t="s">
        <v>195</v>
      </c>
      <c r="J413" s="13">
        <v>0</v>
      </c>
      <c r="K413" s="9" t="s">
        <v>345</v>
      </c>
      <c r="L413" s="9">
        <v>0</v>
      </c>
      <c r="M413" s="14" t="s">
        <v>346</v>
      </c>
    </row>
    <row r="414" ht="184" customHeight="1" spans="1:13">
      <c r="A414" s="9" t="s">
        <v>149</v>
      </c>
      <c r="B414" s="9" t="s">
        <v>498</v>
      </c>
      <c r="C414" s="9">
        <v>3518</v>
      </c>
      <c r="D414" s="9">
        <v>3518</v>
      </c>
      <c r="E414" s="9">
        <v>0</v>
      </c>
      <c r="F414" s="10">
        <v>1339768</v>
      </c>
      <c r="G414" s="10">
        <v>1498573</v>
      </c>
      <c r="H414" s="10" t="s">
        <v>195</v>
      </c>
      <c r="I414" s="10" t="s">
        <v>195</v>
      </c>
      <c r="J414" s="13">
        <v>0</v>
      </c>
      <c r="K414" s="9" t="s">
        <v>345</v>
      </c>
      <c r="L414" s="9">
        <v>0</v>
      </c>
      <c r="M414" s="14" t="s">
        <v>346</v>
      </c>
    </row>
    <row r="415" ht="184" customHeight="1" spans="1:13">
      <c r="A415" s="9" t="s">
        <v>149</v>
      </c>
      <c r="B415" s="9" t="s">
        <v>514</v>
      </c>
      <c r="C415" s="9">
        <v>1380</v>
      </c>
      <c r="D415" s="9">
        <v>1380</v>
      </c>
      <c r="E415" s="9">
        <v>0</v>
      </c>
      <c r="F415" s="10">
        <v>1355111</v>
      </c>
      <c r="G415" s="10">
        <v>1435834</v>
      </c>
      <c r="H415" s="10" t="s">
        <v>195</v>
      </c>
      <c r="I415" s="10" t="s">
        <v>195</v>
      </c>
      <c r="J415" s="13">
        <v>0</v>
      </c>
      <c r="K415" s="9" t="s">
        <v>345</v>
      </c>
      <c r="L415" s="9">
        <v>0</v>
      </c>
      <c r="M415" s="14" t="s">
        <v>346</v>
      </c>
    </row>
    <row r="416" ht="184" customHeight="1" spans="1:13">
      <c r="A416" s="9" t="s">
        <v>149</v>
      </c>
      <c r="B416" s="9" t="s">
        <v>515</v>
      </c>
      <c r="C416" s="9">
        <v>170</v>
      </c>
      <c r="D416" s="9">
        <v>170</v>
      </c>
      <c r="E416" s="9">
        <v>0</v>
      </c>
      <c r="F416" s="10">
        <v>1265885</v>
      </c>
      <c r="G416" s="10">
        <v>1314809</v>
      </c>
      <c r="H416" s="10" t="s">
        <v>195</v>
      </c>
      <c r="I416" s="10" t="s">
        <v>195</v>
      </c>
      <c r="J416" s="13">
        <v>0</v>
      </c>
      <c r="K416" s="9" t="s">
        <v>345</v>
      </c>
      <c r="L416" s="9">
        <v>0</v>
      </c>
      <c r="M416" s="14" t="s">
        <v>346</v>
      </c>
    </row>
    <row r="417" ht="184" customHeight="1" spans="1:13">
      <c r="A417" s="9" t="s">
        <v>149</v>
      </c>
      <c r="B417" s="9" t="s">
        <v>516</v>
      </c>
      <c r="C417" s="9">
        <v>2</v>
      </c>
      <c r="D417" s="9">
        <v>0</v>
      </c>
      <c r="E417" s="9">
        <v>0</v>
      </c>
      <c r="F417" s="10" t="s">
        <v>195</v>
      </c>
      <c r="G417" s="10" t="s">
        <v>195</v>
      </c>
      <c r="H417" s="10" t="s">
        <v>195</v>
      </c>
      <c r="I417" s="10" t="s">
        <v>195</v>
      </c>
      <c r="J417" s="13">
        <v>0</v>
      </c>
      <c r="K417" s="9" t="s">
        <v>345</v>
      </c>
      <c r="L417" s="9">
        <v>0</v>
      </c>
      <c r="M417" s="14" t="s">
        <v>346</v>
      </c>
    </row>
    <row r="418" ht="184" customHeight="1" spans="1:13">
      <c r="A418" s="9" t="s">
        <v>149</v>
      </c>
      <c r="B418" s="9" t="s">
        <v>433</v>
      </c>
      <c r="C418" s="9">
        <v>1464</v>
      </c>
      <c r="D418" s="9">
        <v>1463</v>
      </c>
      <c r="E418" s="9">
        <v>0</v>
      </c>
      <c r="F418" s="10">
        <v>1401314</v>
      </c>
      <c r="G418" s="10">
        <v>1449451</v>
      </c>
      <c r="H418" s="10" t="s">
        <v>195</v>
      </c>
      <c r="I418" s="10" t="s">
        <v>195</v>
      </c>
      <c r="J418" s="13">
        <v>0</v>
      </c>
      <c r="K418" s="9" t="s">
        <v>345</v>
      </c>
      <c r="L418" s="9">
        <v>0</v>
      </c>
      <c r="M418" s="14" t="s">
        <v>346</v>
      </c>
    </row>
    <row r="419" ht="184" customHeight="1" spans="1:13">
      <c r="A419" s="9" t="s">
        <v>149</v>
      </c>
      <c r="B419" s="9" t="s">
        <v>132</v>
      </c>
      <c r="C419" s="9">
        <v>1969</v>
      </c>
      <c r="D419" s="9">
        <v>1969</v>
      </c>
      <c r="E419" s="9">
        <v>0</v>
      </c>
      <c r="F419" s="10">
        <v>1401325</v>
      </c>
      <c r="G419" s="10">
        <v>1508517</v>
      </c>
      <c r="H419" s="10" t="s">
        <v>195</v>
      </c>
      <c r="I419" s="10" t="s">
        <v>195</v>
      </c>
      <c r="J419" s="13">
        <v>0</v>
      </c>
      <c r="K419" s="9" t="s">
        <v>345</v>
      </c>
      <c r="L419" s="9">
        <v>0</v>
      </c>
      <c r="M419" s="14" t="s">
        <v>346</v>
      </c>
    </row>
    <row r="420" ht="184" customHeight="1" spans="1:13">
      <c r="A420" s="9" t="s">
        <v>149</v>
      </c>
      <c r="B420" s="9" t="s">
        <v>148</v>
      </c>
      <c r="C420" s="9">
        <v>2261</v>
      </c>
      <c r="D420" s="9">
        <v>2260</v>
      </c>
      <c r="E420" s="9">
        <v>0</v>
      </c>
      <c r="F420" s="10">
        <v>1252230</v>
      </c>
      <c r="G420" s="10">
        <v>1478130</v>
      </c>
      <c r="H420" s="10" t="s">
        <v>195</v>
      </c>
      <c r="I420" s="10" t="s">
        <v>195</v>
      </c>
      <c r="J420" s="13">
        <v>0</v>
      </c>
      <c r="K420" s="9" t="s">
        <v>345</v>
      </c>
      <c r="L420" s="9">
        <v>0</v>
      </c>
      <c r="M420" s="14" t="s">
        <v>346</v>
      </c>
    </row>
    <row r="421" ht="184" customHeight="1" spans="1:13">
      <c r="A421" s="9" t="s">
        <v>149</v>
      </c>
      <c r="B421" s="9" t="s">
        <v>517</v>
      </c>
      <c r="C421" s="9">
        <v>371</v>
      </c>
      <c r="D421" s="9">
        <v>371</v>
      </c>
      <c r="E421" s="9">
        <v>0</v>
      </c>
      <c r="F421" s="10">
        <v>1401771</v>
      </c>
      <c r="G421" s="10">
        <v>1437046</v>
      </c>
      <c r="H421" s="10" t="s">
        <v>195</v>
      </c>
      <c r="I421" s="10" t="s">
        <v>195</v>
      </c>
      <c r="J421" s="13">
        <v>0</v>
      </c>
      <c r="K421" s="9" t="s">
        <v>345</v>
      </c>
      <c r="L421" s="9">
        <v>0</v>
      </c>
      <c r="M421" s="14" t="s">
        <v>346</v>
      </c>
    </row>
    <row r="422" ht="184" customHeight="1" spans="1:13">
      <c r="A422" s="9" t="s">
        <v>149</v>
      </c>
      <c r="B422" s="9" t="s">
        <v>456</v>
      </c>
      <c r="C422" s="9">
        <v>2134</v>
      </c>
      <c r="D422" s="9">
        <v>2133</v>
      </c>
      <c r="E422" s="9">
        <v>0</v>
      </c>
      <c r="F422" s="10">
        <v>1401343</v>
      </c>
      <c r="G422" s="10">
        <v>1500019</v>
      </c>
      <c r="H422" s="10" t="s">
        <v>195</v>
      </c>
      <c r="I422" s="10" t="s">
        <v>195</v>
      </c>
      <c r="J422" s="13">
        <v>0</v>
      </c>
      <c r="K422" s="9" t="s">
        <v>345</v>
      </c>
      <c r="L422" s="9">
        <v>0</v>
      </c>
      <c r="M422" s="14" t="s">
        <v>346</v>
      </c>
    </row>
    <row r="423" ht="184" customHeight="1" spans="1:13">
      <c r="A423" s="9" t="s">
        <v>149</v>
      </c>
      <c r="B423" s="9" t="s">
        <v>518</v>
      </c>
      <c r="C423" s="9">
        <v>695</v>
      </c>
      <c r="D423" s="9">
        <v>694</v>
      </c>
      <c r="E423" s="9">
        <v>0</v>
      </c>
      <c r="F423" s="10">
        <v>1401341</v>
      </c>
      <c r="G423" s="10">
        <v>1447486</v>
      </c>
      <c r="H423" s="10" t="s">
        <v>195</v>
      </c>
      <c r="I423" s="10" t="s">
        <v>195</v>
      </c>
      <c r="J423" s="13">
        <v>0</v>
      </c>
      <c r="K423" s="9" t="s">
        <v>345</v>
      </c>
      <c r="L423" s="9">
        <v>0</v>
      </c>
      <c r="M423" s="14" t="s">
        <v>346</v>
      </c>
    </row>
    <row r="424" ht="184" customHeight="1" spans="1:13">
      <c r="A424" s="9" t="s">
        <v>149</v>
      </c>
      <c r="B424" s="9" t="s">
        <v>503</v>
      </c>
      <c r="C424" s="9">
        <v>1024</v>
      </c>
      <c r="D424" s="9">
        <v>1024</v>
      </c>
      <c r="E424" s="9">
        <v>0</v>
      </c>
      <c r="F424" s="10">
        <v>1401322</v>
      </c>
      <c r="G424" s="10">
        <v>1455635</v>
      </c>
      <c r="H424" s="10" t="s">
        <v>195</v>
      </c>
      <c r="I424" s="10" t="s">
        <v>195</v>
      </c>
      <c r="J424" s="13">
        <v>0</v>
      </c>
      <c r="K424" s="9" t="s">
        <v>345</v>
      </c>
      <c r="L424" s="9">
        <v>0</v>
      </c>
      <c r="M424" s="14" t="s">
        <v>346</v>
      </c>
    </row>
    <row r="425" ht="184" customHeight="1" spans="1:13">
      <c r="A425" s="9" t="s">
        <v>149</v>
      </c>
      <c r="B425" s="9" t="s">
        <v>519</v>
      </c>
      <c r="C425" s="9">
        <v>606</v>
      </c>
      <c r="D425" s="9">
        <v>606</v>
      </c>
      <c r="E425" s="9">
        <v>0</v>
      </c>
      <c r="F425" s="10">
        <v>1401733</v>
      </c>
      <c r="G425" s="10">
        <v>1489490</v>
      </c>
      <c r="H425" s="10" t="s">
        <v>195</v>
      </c>
      <c r="I425" s="10" t="s">
        <v>195</v>
      </c>
      <c r="J425" s="13">
        <v>0</v>
      </c>
      <c r="K425" s="9" t="s">
        <v>345</v>
      </c>
      <c r="L425" s="9">
        <v>0</v>
      </c>
      <c r="M425" s="14" t="s">
        <v>346</v>
      </c>
    </row>
    <row r="426" ht="184" customHeight="1" spans="1:13">
      <c r="A426" s="9" t="s">
        <v>149</v>
      </c>
      <c r="B426" s="9" t="s">
        <v>487</v>
      </c>
      <c r="C426" s="9">
        <v>940</v>
      </c>
      <c r="D426" s="9">
        <v>931</v>
      </c>
      <c r="E426" s="9">
        <v>0</v>
      </c>
      <c r="F426" s="10">
        <v>1401420</v>
      </c>
      <c r="G426" s="10">
        <v>1427039</v>
      </c>
      <c r="H426" s="10" t="s">
        <v>195</v>
      </c>
      <c r="I426" s="10" t="s">
        <v>195</v>
      </c>
      <c r="J426" s="13">
        <v>0</v>
      </c>
      <c r="K426" s="9" t="s">
        <v>345</v>
      </c>
      <c r="L426" s="9">
        <v>0</v>
      </c>
      <c r="M426" s="14" t="s">
        <v>346</v>
      </c>
    </row>
    <row r="427" ht="184" customHeight="1" spans="1:13">
      <c r="A427" s="9" t="s">
        <v>149</v>
      </c>
      <c r="B427" s="9" t="s">
        <v>404</v>
      </c>
      <c r="C427" s="9">
        <v>823</v>
      </c>
      <c r="D427" s="9">
        <v>823</v>
      </c>
      <c r="E427" s="9">
        <v>0</v>
      </c>
      <c r="F427" s="10">
        <v>1273885</v>
      </c>
      <c r="G427" s="10">
        <v>1436502</v>
      </c>
      <c r="H427" s="10" t="s">
        <v>195</v>
      </c>
      <c r="I427" s="10" t="s">
        <v>195</v>
      </c>
      <c r="J427" s="13">
        <v>0</v>
      </c>
      <c r="K427" s="9" t="s">
        <v>345</v>
      </c>
      <c r="L427" s="9">
        <v>0</v>
      </c>
      <c r="M427" s="14" t="s">
        <v>346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0"/>
  <sheetViews>
    <sheetView showGridLines="0" workbookViewId="0">
      <selection activeCell="A1" sqref="A1"/>
    </sheetView>
  </sheetViews>
  <sheetFormatPr defaultColWidth="9" defaultRowHeight="14.5" outlineLevelCol="2"/>
  <cols>
    <col min="1" max="1" width="3" customWidth="1"/>
    <col min="2" max="2" width="22" customWidth="1"/>
    <col min="3" max="3" width="96" customWidth="1"/>
  </cols>
  <sheetData>
    <row r="1" ht="20" spans="2:2">
      <c r="B1" s="1" t="s">
        <v>520</v>
      </c>
    </row>
    <row r="3" ht="34" customHeight="1" spans="2:3">
      <c r="B3" s="2" t="s">
        <v>521</v>
      </c>
      <c r="C3" s="3" t="s">
        <v>522</v>
      </c>
    </row>
    <row r="4" ht="49" customHeight="1" spans="2:3">
      <c r="B4" s="2" t="s">
        <v>28</v>
      </c>
      <c r="C4" s="3" t="s">
        <v>523</v>
      </c>
    </row>
    <row r="5" ht="49" customHeight="1" spans="2:3">
      <c r="B5" s="2" t="s">
        <v>524</v>
      </c>
      <c r="C5" s="3" t="s">
        <v>525</v>
      </c>
    </row>
    <row r="6" spans="2:3">
      <c r="B6" s="2" t="s">
        <v>7</v>
      </c>
      <c r="C6" s="3" t="s">
        <v>526</v>
      </c>
    </row>
    <row r="7" ht="34" customHeight="1" spans="2:3">
      <c r="B7" s="2" t="s">
        <v>8</v>
      </c>
      <c r="C7" s="3" t="s">
        <v>527</v>
      </c>
    </row>
    <row r="8" ht="34" customHeight="1" spans="2:3">
      <c r="B8" s="2" t="s">
        <v>34</v>
      </c>
      <c r="C8" s="3" t="s">
        <v>528</v>
      </c>
    </row>
    <row r="9" ht="49" customHeight="1" spans="2:3">
      <c r="B9" s="2" t="s">
        <v>529</v>
      </c>
      <c r="C9" s="3" t="s">
        <v>530</v>
      </c>
    </row>
    <row r="10" ht="34" customHeight="1" spans="2:3">
      <c r="B10" s="2" t="s">
        <v>531</v>
      </c>
      <c r="C10" s="3" t="s">
        <v>532</v>
      </c>
    </row>
  </sheetData>
  <mergeCells count="1">
    <mergeCell ref="B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Unified KPI</vt:lpstr>
      <vt:lpstr>Daily Breakdown</vt:lpstr>
      <vt:lpstr>EB Detail</vt:lpstr>
      <vt:lpstr>KM Verification</vt:lpstr>
      <vt:lpstr>Methodology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Vishwanath M</cp:lastModifiedBy>
  <dcterms:created xsi:type="dcterms:W3CDTF">2026-06-24T04:09:00Z</dcterms:created>
  <dcterms:modified xsi:type="dcterms:W3CDTF">2026-06-24T04:10:33Z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8B8C3029681041D88CDB58F09C804864</vt:lpwstr>
  </property>
  <property fmtid="{D5CDD505-2E9C-101B-9397-08002B2CF9AE}" pid="3" name="KSOProductBuildVer">
    <vt:lpwstr>1033-11.2.0.11042</vt:lpwstr>
  </property>
</Properties>
</file>
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KPI" sheetId="1" state="visible" r:id="rId1"/>
    <sheet xmlns:r="http://schemas.openxmlformats.org/officeDocument/2006/relationships" name="Daily Breakdown" sheetId="2" state="visible" r:id="rId2"/>
    <sheet xmlns:r="http://schemas.openxmlformats.org/officeDocument/2006/relationships" name="EB Detail" sheetId="3" state="visible" r:id="rId3"/>
    <sheet xmlns:r="http://schemas.openxmlformats.org/officeDocument/2006/relationships" name="KM Verification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0.000"/>
    <numFmt numFmtId="167" formatCode="#,##0.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2" fillId="0" borderId="0" pivotButton="0" quotePrefix="0" xfId="0"/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9" customWidth="1" min="10" max="10"/>
    <col width="19" customWidth="1" min="11" max="11"/>
    <col width="23" customWidth="1" min="12" max="12"/>
    <col width="29" customWidth="1" min="13" max="13"/>
    <col width="17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WCR — Kavach Unified KPI</t>
        </is>
      </c>
    </row>
    <row r="2">
      <c r="A2" s="2" t="inlineStr">
        <is>
          <t>Period: Jun1 - Jun7 (custom)  ·  all locomotives  ·  one combined row</t>
        </is>
      </c>
    </row>
    <row r="3"/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34" customHeight="1">
      <c r="A5" s="4" t="inlineStr">
        <is>
          <t>Jun1 - Jun7 (custom)</t>
        </is>
      </c>
      <c r="B5" s="4" t="inlineStr">
        <is>
          <t>WCR</t>
        </is>
      </c>
      <c r="C5" s="4" t="inlineStr">
        <is>
          <t>33001_IBH-265 to 33132_IBH_1</t>
        </is>
      </c>
      <c r="D5" s="5">
        <f>'Daily Breakdown'!C253</f>
        <v/>
      </c>
      <c r="E5" s="6">
        <f>'Daily Breakdown'!D253</f>
        <v/>
      </c>
      <c r="F5" s="7">
        <f>'Daily Breakdown'!G253</f>
        <v/>
      </c>
      <c r="G5" s="5">
        <f>'Daily Breakdown'!H253</f>
        <v/>
      </c>
      <c r="H5" s="8">
        <f>'Daily Breakdown'!I253</f>
        <v/>
      </c>
      <c r="I5" s="8">
        <f>'Daily Breakdown'!J253</f>
        <v/>
      </c>
      <c r="J5" s="46">
        <f>IFERROR(G5/D5,0)</f>
        <v/>
      </c>
      <c r="K5" s="47">
        <f>IFERROR(G5/E5,0)</f>
        <v/>
      </c>
      <c r="L5" s="48">
        <f>IFERROR(G5/E5*100,0)</f>
        <v/>
      </c>
      <c r="M5" s="47">
        <f>IFERROR(G5/(D5*E5/1000),0)</f>
        <v/>
      </c>
      <c r="N5" s="5">
        <f>'Daily Breakdown'!K253</f>
        <v/>
      </c>
      <c r="O5" s="46">
        <f>IFERROR(N5/D5,0)</f>
        <v/>
      </c>
      <c r="P5" s="47">
        <f>IFERROR(N5/E5,0)</f>
        <v/>
      </c>
      <c r="Q5" s="47">
        <f>IFERROR(N5/(D5*E5/100),0)</f>
        <v/>
      </c>
      <c r="R5" s="48">
        <f>IFERROR(N5/E5*100,0)</f>
        <v/>
      </c>
      <c r="S5" s="8" t="n">
        <v>29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4" customWidth="1" min="3" max="3"/>
    <col width="34" customWidth="1" min="4" max="4"/>
    <col width="34" customWidth="1" min="5" max="5"/>
    <col width="34" customWidth="1" min="6" max="6"/>
    <col width="29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3" t="inlineStr">
        <is>
          <t>Daily Breakdown — by day and locomotive (all locos)</t>
        </is>
      </c>
    </row>
    <row r="3">
      <c r="A3" s="14" t="inlineStr">
        <is>
          <t>Date</t>
        </is>
      </c>
      <c r="B3" s="14" t="inlineStr">
        <is>
          <t>Loco ID</t>
        </is>
      </c>
      <c r="C3" s="14" t="inlineStr">
        <is>
          <t>No of Trips</t>
        </is>
      </c>
      <c r="D3" s="14" t="inlineStr">
        <is>
          <t>Total KMs</t>
        </is>
      </c>
      <c r="E3" s="14" t="inlineStr">
        <is>
          <t>FS+OS pkts</t>
        </is>
      </c>
      <c r="F3" s="14" t="inlineStr">
        <is>
          <t>Total pkts</t>
        </is>
      </c>
      <c r="G3" s="14" t="inlineStr">
        <is>
          <t>Availability (FS+OS)</t>
        </is>
      </c>
      <c r="H3" s="14" t="inlineStr">
        <is>
          <t>Total EB</t>
        </is>
      </c>
      <c r="I3" s="14" t="inlineStr">
        <is>
          <t>EB (Valid)</t>
        </is>
      </c>
      <c r="J3" s="14" t="inlineStr">
        <is>
          <t>EB (Non-Valid)</t>
        </is>
      </c>
      <c r="K3" s="14" t="inlineStr">
        <is>
          <t>Mode Degradation</t>
        </is>
      </c>
    </row>
    <row r="4">
      <c r="A4" s="15" t="inlineStr">
        <is>
          <t>1 Jun</t>
        </is>
      </c>
      <c r="B4" s="15" t="inlineStr">
        <is>
          <t>39328</t>
        </is>
      </c>
      <c r="C4" s="16" t="n">
        <v>2</v>
      </c>
      <c r="D4" s="49" t="n">
        <v>543.9</v>
      </c>
      <c r="E4" s="18" t="n">
        <v>38544</v>
      </c>
      <c r="F4" s="18" t="n">
        <v>38762</v>
      </c>
      <c r="G4" s="19">
        <f>IF(F4=0,0,E4/F4*100)</f>
        <v/>
      </c>
      <c r="H4" s="16" t="n">
        <v>0</v>
      </c>
      <c r="I4" s="16" t="n">
        <v>0</v>
      </c>
      <c r="J4" s="16" t="n">
        <v>0</v>
      </c>
      <c r="K4" s="16" t="n">
        <v>9</v>
      </c>
    </row>
    <row r="5">
      <c r="A5" s="15" t="inlineStr">
        <is>
          <t>1 Jun</t>
        </is>
      </c>
      <c r="B5" s="15" t="inlineStr">
        <is>
          <t>39078</t>
        </is>
      </c>
      <c r="C5" s="16" t="n">
        <v>2</v>
      </c>
      <c r="D5" s="49" t="n">
        <v>541.66</v>
      </c>
      <c r="E5" s="18" t="n">
        <v>16502</v>
      </c>
      <c r="F5" s="18" t="n">
        <v>17323</v>
      </c>
      <c r="G5" s="19">
        <f>IF(F5=0,0,E5/F5*100)</f>
        <v/>
      </c>
      <c r="H5" s="16" t="n">
        <v>0</v>
      </c>
      <c r="I5" s="16" t="n">
        <v>0</v>
      </c>
      <c r="J5" s="16" t="n">
        <v>0</v>
      </c>
      <c r="K5" s="16" t="n">
        <v>4</v>
      </c>
    </row>
    <row r="6">
      <c r="A6" s="15" t="inlineStr">
        <is>
          <t>1 Jun</t>
        </is>
      </c>
      <c r="B6" s="15" t="inlineStr">
        <is>
          <t>43821</t>
        </is>
      </c>
      <c r="C6" s="16" t="n">
        <v>1</v>
      </c>
      <c r="D6" s="49" t="n">
        <v>543.88</v>
      </c>
      <c r="E6" s="18" t="n">
        <v>40345</v>
      </c>
      <c r="F6" s="18" t="n">
        <v>40523</v>
      </c>
      <c r="G6" s="19">
        <f>IF(F6=0,0,E6/F6*100)</f>
        <v/>
      </c>
      <c r="H6" s="16" t="n">
        <v>0</v>
      </c>
      <c r="I6" s="16" t="n">
        <v>0</v>
      </c>
      <c r="J6" s="16" t="n">
        <v>0</v>
      </c>
      <c r="K6" s="16" t="n">
        <v>2</v>
      </c>
    </row>
    <row r="7">
      <c r="A7" s="15" t="inlineStr">
        <is>
          <t>1 Jun</t>
        </is>
      </c>
      <c r="B7" s="15" t="inlineStr">
        <is>
          <t>39340</t>
        </is>
      </c>
      <c r="C7" s="16" t="n">
        <v>1</v>
      </c>
      <c r="D7" s="49" t="n">
        <v>543.61</v>
      </c>
      <c r="E7" s="18" t="n">
        <v>19641</v>
      </c>
      <c r="F7" s="18" t="n">
        <v>19835</v>
      </c>
      <c r="G7" s="19">
        <f>IF(F7=0,0,E7/F7*100)</f>
        <v/>
      </c>
      <c r="H7" s="16" t="n">
        <v>0</v>
      </c>
      <c r="I7" s="16" t="n">
        <v>0</v>
      </c>
      <c r="J7" s="16" t="n">
        <v>0</v>
      </c>
      <c r="K7" s="16" t="n">
        <v>7</v>
      </c>
    </row>
    <row r="8">
      <c r="A8" s="15" t="inlineStr">
        <is>
          <t>1 Jun</t>
        </is>
      </c>
      <c r="B8" s="15" t="inlineStr">
        <is>
          <t>39374</t>
        </is>
      </c>
      <c r="C8" s="16" t="n">
        <v>1</v>
      </c>
      <c r="D8" s="49" t="n">
        <v>541.62</v>
      </c>
      <c r="E8" s="18" t="n">
        <v>15884</v>
      </c>
      <c r="F8" s="18" t="n">
        <v>15981</v>
      </c>
      <c r="G8" s="19">
        <f>IF(F8=0,0,E8/F8*100)</f>
        <v/>
      </c>
      <c r="H8" s="16" t="n">
        <v>0</v>
      </c>
      <c r="I8" s="16" t="n">
        <v>0</v>
      </c>
      <c r="J8" s="16" t="n">
        <v>0</v>
      </c>
      <c r="K8" s="16" t="n">
        <v>3</v>
      </c>
    </row>
    <row r="9">
      <c r="A9" s="15" t="inlineStr">
        <is>
          <t>1 Jun</t>
        </is>
      </c>
      <c r="B9" s="15" t="inlineStr">
        <is>
          <t>30176</t>
        </is>
      </c>
      <c r="C9" s="16" t="n">
        <v>0</v>
      </c>
      <c r="D9" s="49" t="n">
        <v>251.78</v>
      </c>
      <c r="E9" s="18" t="n">
        <v>32671</v>
      </c>
      <c r="F9" s="18" t="n">
        <v>33011</v>
      </c>
      <c r="G9" s="19">
        <f>IF(F9=0,0,E9/F9*100)</f>
        <v/>
      </c>
      <c r="H9" s="16" t="n">
        <v>0</v>
      </c>
      <c r="I9" s="16" t="n">
        <v>0</v>
      </c>
      <c r="J9" s="16" t="n">
        <v>0</v>
      </c>
      <c r="K9" s="16" t="n">
        <v>7</v>
      </c>
    </row>
    <row r="10">
      <c r="A10" s="15" t="inlineStr">
        <is>
          <t>1 Jun</t>
        </is>
      </c>
      <c r="B10" s="15" t="inlineStr">
        <is>
          <t>37366</t>
        </is>
      </c>
      <c r="C10" s="16" t="n">
        <v>0</v>
      </c>
      <c r="D10" s="49" t="n">
        <v>251.84</v>
      </c>
      <c r="E10" s="18" t="n">
        <v>32362</v>
      </c>
      <c r="F10" s="18" t="n">
        <v>32434</v>
      </c>
      <c r="G10" s="19">
        <f>IF(F10=0,0,E10/F10*100)</f>
        <v/>
      </c>
      <c r="H10" s="16" t="n">
        <v>0</v>
      </c>
      <c r="I10" s="16" t="n">
        <v>0</v>
      </c>
      <c r="J10" s="16" t="n">
        <v>0</v>
      </c>
      <c r="K10" s="16" t="n">
        <v>0</v>
      </c>
    </row>
    <row r="11">
      <c r="A11" s="15" t="inlineStr">
        <is>
          <t>1 Jun</t>
        </is>
      </c>
      <c r="B11" s="15" t="inlineStr">
        <is>
          <t>30339</t>
        </is>
      </c>
      <c r="C11" s="16" t="n">
        <v>0</v>
      </c>
      <c r="D11" s="49" t="n">
        <v>322.32</v>
      </c>
      <c r="E11" s="18" t="n">
        <v>23385</v>
      </c>
      <c r="F11" s="18" t="n">
        <v>23521</v>
      </c>
      <c r="G11" s="19">
        <f>IF(F11=0,0,E11/F11*100)</f>
        <v/>
      </c>
      <c r="H11" s="16" t="n">
        <v>0</v>
      </c>
      <c r="I11" s="16" t="n">
        <v>0</v>
      </c>
      <c r="J11" s="16" t="n">
        <v>0</v>
      </c>
      <c r="K11" s="16" t="n">
        <v>2</v>
      </c>
    </row>
    <row r="12">
      <c r="A12" s="15" t="inlineStr">
        <is>
          <t>1 Jun</t>
        </is>
      </c>
      <c r="B12" s="15" t="inlineStr">
        <is>
          <t>30466</t>
        </is>
      </c>
      <c r="C12" s="16" t="n">
        <v>0</v>
      </c>
      <c r="D12" s="49" t="n">
        <v>321.48</v>
      </c>
      <c r="E12" s="18" t="n">
        <v>22815</v>
      </c>
      <c r="F12" s="18" t="n">
        <v>22974</v>
      </c>
      <c r="G12" s="19">
        <f>IF(F12=0,0,E12/F12*100)</f>
        <v/>
      </c>
      <c r="H12" s="16" t="n">
        <v>0</v>
      </c>
      <c r="I12" s="16" t="n">
        <v>0</v>
      </c>
      <c r="J12" s="16" t="n">
        <v>0</v>
      </c>
      <c r="K12" s="16" t="n">
        <v>4</v>
      </c>
    </row>
    <row r="13">
      <c r="A13" s="15" t="inlineStr">
        <is>
          <t>1 Jun</t>
        </is>
      </c>
      <c r="B13" s="15" t="inlineStr">
        <is>
          <t>30770</t>
        </is>
      </c>
      <c r="C13" s="16" t="n">
        <v>0</v>
      </c>
      <c r="D13" s="49" t="n">
        <v>388.48</v>
      </c>
      <c r="E13" s="18" t="n">
        <v>22043</v>
      </c>
      <c r="F13" s="18" t="n">
        <v>22081</v>
      </c>
      <c r="G13" s="19">
        <f>IF(F13=0,0,E13/F13*100)</f>
        <v/>
      </c>
      <c r="H13" s="16" t="n">
        <v>0</v>
      </c>
      <c r="I13" s="16" t="n">
        <v>0</v>
      </c>
      <c r="J13" s="16" t="n">
        <v>0</v>
      </c>
      <c r="K13" s="16" t="n">
        <v>2</v>
      </c>
    </row>
    <row r="14">
      <c r="A14" s="15" t="inlineStr">
        <is>
          <t>1 Jun</t>
        </is>
      </c>
      <c r="B14" s="15" t="inlineStr">
        <is>
          <t>37816</t>
        </is>
      </c>
      <c r="C14" s="16" t="n">
        <v>0</v>
      </c>
      <c r="D14" s="49" t="n">
        <v>454.04</v>
      </c>
      <c r="E14" s="18" t="n">
        <v>20911</v>
      </c>
      <c r="F14" s="18" t="n">
        <v>21078</v>
      </c>
      <c r="G14" s="19">
        <f>IF(F14=0,0,E14/F14*100)</f>
        <v/>
      </c>
      <c r="H14" s="16" t="n">
        <v>0</v>
      </c>
      <c r="I14" s="16" t="n">
        <v>0</v>
      </c>
      <c r="J14" s="16" t="n">
        <v>0</v>
      </c>
      <c r="K14" s="16" t="n">
        <v>2</v>
      </c>
    </row>
    <row r="15">
      <c r="A15" s="15" t="inlineStr">
        <is>
          <t>1 Jun</t>
        </is>
      </c>
      <c r="B15" s="15" t="inlineStr">
        <is>
          <t>30791</t>
        </is>
      </c>
      <c r="C15" s="16" t="n">
        <v>0</v>
      </c>
      <c r="D15" s="49" t="n">
        <v>470.6</v>
      </c>
      <c r="E15" s="18" t="n">
        <v>18945</v>
      </c>
      <c r="F15" s="18" t="n">
        <v>19091</v>
      </c>
      <c r="G15" s="19">
        <f>IF(F15=0,0,E15/F15*100)</f>
        <v/>
      </c>
      <c r="H15" s="16" t="n">
        <v>0</v>
      </c>
      <c r="I15" s="16" t="n">
        <v>0</v>
      </c>
      <c r="J15" s="16" t="n">
        <v>0</v>
      </c>
      <c r="K15" s="16" t="n">
        <v>2</v>
      </c>
    </row>
    <row r="16">
      <c r="A16" s="15" t="inlineStr">
        <is>
          <t>1 Jun</t>
        </is>
      </c>
      <c r="B16" s="15" t="inlineStr">
        <is>
          <t>37275</t>
        </is>
      </c>
      <c r="C16" s="16" t="n">
        <v>0</v>
      </c>
      <c r="D16" s="49" t="n">
        <v>346.04</v>
      </c>
      <c r="E16" s="18" t="n">
        <v>17473</v>
      </c>
      <c r="F16" s="18" t="n">
        <v>17676</v>
      </c>
      <c r="G16" s="19">
        <f>IF(F16=0,0,E16/F16*100)</f>
        <v/>
      </c>
      <c r="H16" s="16" t="n">
        <v>0</v>
      </c>
      <c r="I16" s="16" t="n">
        <v>0</v>
      </c>
      <c r="J16" s="16" t="n">
        <v>0</v>
      </c>
      <c r="K16" s="16" t="n">
        <v>3</v>
      </c>
    </row>
    <row r="17">
      <c r="A17" s="15" t="inlineStr">
        <is>
          <t>1 Jun</t>
        </is>
      </c>
      <c r="B17" s="15" t="inlineStr">
        <is>
          <t>30733</t>
        </is>
      </c>
      <c r="C17" s="16" t="n">
        <v>0</v>
      </c>
      <c r="D17" s="49" t="n">
        <v>330.73</v>
      </c>
      <c r="E17" s="18" t="n">
        <v>12761</v>
      </c>
      <c r="F17" s="18" t="n">
        <v>13034</v>
      </c>
      <c r="G17" s="19">
        <f>IF(F17=0,0,E17/F17*100)</f>
        <v/>
      </c>
      <c r="H17" s="16" t="n">
        <v>0</v>
      </c>
      <c r="I17" s="16" t="n">
        <v>0</v>
      </c>
      <c r="J17" s="16" t="n">
        <v>0</v>
      </c>
      <c r="K17" s="16" t="n">
        <v>7</v>
      </c>
    </row>
    <row r="18">
      <c r="A18" s="15" t="inlineStr">
        <is>
          <t>1 Jun</t>
        </is>
      </c>
      <c r="B18" s="15" t="inlineStr">
        <is>
          <t>39108</t>
        </is>
      </c>
      <c r="C18" s="16" t="n">
        <v>0</v>
      </c>
      <c r="D18" s="49" t="n">
        <v>108.66</v>
      </c>
      <c r="E18" s="18" t="n">
        <v>11551</v>
      </c>
      <c r="F18" s="18" t="n">
        <v>11660</v>
      </c>
      <c r="G18" s="19">
        <f>IF(F18=0,0,E18/F18*100)</f>
        <v/>
      </c>
      <c r="H18" s="16" t="n">
        <v>0</v>
      </c>
      <c r="I18" s="16" t="n">
        <v>0</v>
      </c>
      <c r="J18" s="16" t="n">
        <v>0</v>
      </c>
      <c r="K18" s="16" t="n">
        <v>0</v>
      </c>
    </row>
    <row r="19">
      <c r="A19" s="15" t="inlineStr">
        <is>
          <t>1 Jun</t>
        </is>
      </c>
      <c r="B19" s="15" t="inlineStr">
        <is>
          <t>30460</t>
        </is>
      </c>
      <c r="C19" s="16" t="n">
        <v>0</v>
      </c>
      <c r="D19" s="49" t="n">
        <v>235.98</v>
      </c>
      <c r="E19" s="18" t="n">
        <v>10817</v>
      </c>
      <c r="F19" s="18" t="n">
        <v>10817</v>
      </c>
      <c r="G19" s="19">
        <f>IF(F19=0,0,E19/F19*100)</f>
        <v/>
      </c>
      <c r="H19" s="16" t="n">
        <v>0</v>
      </c>
      <c r="I19" s="16" t="n">
        <v>0</v>
      </c>
      <c r="J19" s="16" t="n">
        <v>0</v>
      </c>
      <c r="K19" s="16" t="n">
        <v>0</v>
      </c>
    </row>
    <row r="20">
      <c r="A20" s="15" t="inlineStr">
        <is>
          <t>1 Jun</t>
        </is>
      </c>
      <c r="B20" s="15" t="inlineStr">
        <is>
          <t>30340</t>
        </is>
      </c>
      <c r="C20" s="16" t="n">
        <v>0</v>
      </c>
      <c r="D20" s="49" t="n">
        <v>319.21</v>
      </c>
      <c r="E20" s="18" t="n">
        <v>10004</v>
      </c>
      <c r="F20" s="18" t="n">
        <v>10103</v>
      </c>
      <c r="G20" s="19">
        <f>IF(F20=0,0,E20/F20*100)</f>
        <v/>
      </c>
      <c r="H20" s="16" t="n">
        <v>0</v>
      </c>
      <c r="I20" s="16" t="n">
        <v>0</v>
      </c>
      <c r="J20" s="16" t="n">
        <v>0</v>
      </c>
      <c r="K20" s="16" t="n">
        <v>2</v>
      </c>
    </row>
    <row r="21">
      <c r="A21" s="15" t="inlineStr">
        <is>
          <t>1 Jun</t>
        </is>
      </c>
      <c r="B21" s="15" t="inlineStr">
        <is>
          <t>39046</t>
        </is>
      </c>
      <c r="C21" s="16" t="n">
        <v>0</v>
      </c>
      <c r="D21" s="49" t="n">
        <v>319.25</v>
      </c>
      <c r="E21" s="18" t="n">
        <v>9976</v>
      </c>
      <c r="F21" s="18" t="n">
        <v>10098</v>
      </c>
      <c r="G21" s="19">
        <f>IF(F21=0,0,E21/F21*100)</f>
        <v/>
      </c>
      <c r="H21" s="16" t="n">
        <v>0</v>
      </c>
      <c r="I21" s="16" t="n">
        <v>0</v>
      </c>
      <c r="J21" s="16" t="n">
        <v>0</v>
      </c>
      <c r="K21" s="16" t="n">
        <v>4</v>
      </c>
    </row>
    <row r="22">
      <c r="A22" s="15" t="inlineStr">
        <is>
          <t>1 Jun</t>
        </is>
      </c>
      <c r="B22" s="15" t="inlineStr">
        <is>
          <t>30752</t>
        </is>
      </c>
      <c r="C22" s="16" t="n">
        <v>0</v>
      </c>
      <c r="D22" s="49" t="n">
        <v>108.53</v>
      </c>
      <c r="E22" s="18" t="n">
        <v>10010</v>
      </c>
      <c r="F22" s="18" t="n">
        <v>10094</v>
      </c>
      <c r="G22" s="19">
        <f>IF(F22=0,0,E22/F22*100)</f>
        <v/>
      </c>
      <c r="H22" s="16" t="n">
        <v>0</v>
      </c>
      <c r="I22" s="16" t="n">
        <v>0</v>
      </c>
      <c r="J22" s="16" t="n">
        <v>0</v>
      </c>
      <c r="K22" s="16" t="n">
        <v>0</v>
      </c>
    </row>
    <row r="23">
      <c r="A23" s="15" t="inlineStr">
        <is>
          <t>1 Jun</t>
        </is>
      </c>
      <c r="B23" s="15" t="inlineStr">
        <is>
          <t>37324</t>
        </is>
      </c>
      <c r="C23" s="16" t="n">
        <v>0</v>
      </c>
      <c r="D23" s="49" t="n">
        <v>319.23</v>
      </c>
      <c r="E23" s="18" t="n">
        <v>9817</v>
      </c>
      <c r="F23" s="18" t="n">
        <v>9981</v>
      </c>
      <c r="G23" s="19">
        <f>IF(F23=0,0,E23/F23*100)</f>
        <v/>
      </c>
      <c r="H23" s="16" t="n">
        <v>0</v>
      </c>
      <c r="I23" s="16" t="n">
        <v>0</v>
      </c>
      <c r="J23" s="16" t="n">
        <v>0</v>
      </c>
      <c r="K23" s="16" t="n">
        <v>2</v>
      </c>
    </row>
    <row r="24">
      <c r="A24" s="15" t="inlineStr">
        <is>
          <t>1 Jun</t>
        </is>
      </c>
      <c r="B24" s="15" t="inlineStr">
        <is>
          <t>30779</t>
        </is>
      </c>
      <c r="C24" s="16" t="n">
        <v>0</v>
      </c>
      <c r="D24" s="49" t="n">
        <v>251.19</v>
      </c>
      <c r="E24" s="18" t="n">
        <v>9320</v>
      </c>
      <c r="F24" s="18" t="n">
        <v>9335</v>
      </c>
      <c r="G24" s="19">
        <f>IF(F24=0,0,E24/F24*100)</f>
        <v/>
      </c>
      <c r="H24" s="16" t="n">
        <v>0</v>
      </c>
      <c r="I24" s="16" t="n">
        <v>0</v>
      </c>
      <c r="J24" s="16" t="n">
        <v>0</v>
      </c>
      <c r="K24" s="16" t="n">
        <v>0</v>
      </c>
    </row>
    <row r="25">
      <c r="A25" s="15" t="inlineStr">
        <is>
          <t>1 Jun</t>
        </is>
      </c>
      <c r="B25" s="15" t="inlineStr">
        <is>
          <t>30822</t>
        </is>
      </c>
      <c r="C25" s="16" t="n">
        <v>0</v>
      </c>
      <c r="D25" s="49" t="n">
        <v>150.97</v>
      </c>
      <c r="E25" s="18" t="n">
        <v>8637</v>
      </c>
      <c r="F25" s="18" t="n">
        <v>8695</v>
      </c>
      <c r="G25" s="19">
        <f>IF(F25=0,0,E25/F25*100)</f>
        <v/>
      </c>
      <c r="H25" s="16" t="n">
        <v>0</v>
      </c>
      <c r="I25" s="16" t="n">
        <v>0</v>
      </c>
      <c r="J25" s="16" t="n">
        <v>0</v>
      </c>
      <c r="K25" s="16" t="n">
        <v>3</v>
      </c>
    </row>
    <row r="26">
      <c r="A26" s="15" t="inlineStr">
        <is>
          <t>1 Jun</t>
        </is>
      </c>
      <c r="B26" s="15" t="inlineStr">
        <is>
          <t>39259</t>
        </is>
      </c>
      <c r="C26" s="16" t="n">
        <v>0</v>
      </c>
      <c r="D26" s="49" t="n">
        <v>217.38</v>
      </c>
      <c r="E26" s="18" t="n">
        <v>7880</v>
      </c>
      <c r="F26" s="18" t="n">
        <v>7880</v>
      </c>
      <c r="G26" s="19">
        <f>IF(F26=0,0,E26/F26*100)</f>
        <v/>
      </c>
      <c r="H26" s="16" t="n">
        <v>0</v>
      </c>
      <c r="I26" s="16" t="n">
        <v>0</v>
      </c>
      <c r="J26" s="16" t="n">
        <v>0</v>
      </c>
      <c r="K26" s="16" t="n">
        <v>0</v>
      </c>
    </row>
    <row r="27">
      <c r="A27" s="15" t="inlineStr">
        <is>
          <t>1 Jun</t>
        </is>
      </c>
      <c r="B27" s="15" t="inlineStr">
        <is>
          <t>30739</t>
        </is>
      </c>
      <c r="C27" s="16" t="n">
        <v>0</v>
      </c>
      <c r="D27" s="49" t="n">
        <v>307.65</v>
      </c>
      <c r="E27" s="18" t="n">
        <v>6394</v>
      </c>
      <c r="F27" s="18" t="n">
        <v>6476</v>
      </c>
      <c r="G27" s="19">
        <f>IF(F27=0,0,E27/F27*100)</f>
        <v/>
      </c>
      <c r="H27" s="16" t="n">
        <v>0</v>
      </c>
      <c r="I27" s="16" t="n">
        <v>0</v>
      </c>
      <c r="J27" s="16" t="n">
        <v>0</v>
      </c>
      <c r="K27" s="16" t="n">
        <v>4</v>
      </c>
    </row>
    <row r="28">
      <c r="A28" s="15" t="inlineStr">
        <is>
          <t>1 Jun</t>
        </is>
      </c>
      <c r="B28" s="15" t="inlineStr">
        <is>
          <t>37639</t>
        </is>
      </c>
      <c r="C28" s="16" t="n">
        <v>0</v>
      </c>
      <c r="D28" s="49" t="n">
        <v>87.36</v>
      </c>
      <c r="E28" s="18" t="n">
        <v>5049</v>
      </c>
      <c r="F28" s="18" t="n">
        <v>5056</v>
      </c>
      <c r="G28" s="19">
        <f>IF(F28=0,0,E28/F28*100)</f>
        <v/>
      </c>
      <c r="H28" s="16" t="n">
        <v>0</v>
      </c>
      <c r="I28" s="16" t="n">
        <v>0</v>
      </c>
      <c r="J28" s="16" t="n">
        <v>0</v>
      </c>
      <c r="K28" s="16" t="n">
        <v>0</v>
      </c>
    </row>
    <row r="29">
      <c r="A29" s="15" t="inlineStr">
        <is>
          <t>1 Jun</t>
        </is>
      </c>
      <c r="B29" s="15" t="inlineStr">
        <is>
          <t>39465</t>
        </is>
      </c>
      <c r="C29" s="16" t="n">
        <v>0</v>
      </c>
      <c r="D29" s="49" t="n">
        <v>26.91</v>
      </c>
      <c r="E29" s="18" t="n">
        <v>3001</v>
      </c>
      <c r="F29" s="18" t="n">
        <v>3001</v>
      </c>
      <c r="G29" s="19">
        <f>IF(F29=0,0,E29/F29*100)</f>
        <v/>
      </c>
      <c r="H29" s="16" t="n">
        <v>0</v>
      </c>
      <c r="I29" s="16" t="n">
        <v>0</v>
      </c>
      <c r="J29" s="16" t="n">
        <v>0</v>
      </c>
      <c r="K29" s="16" t="n">
        <v>0</v>
      </c>
    </row>
    <row r="30">
      <c r="A30" s="15" t="inlineStr">
        <is>
          <t>1 Jun</t>
        </is>
      </c>
      <c r="B30" s="15" t="inlineStr">
        <is>
          <t>37163</t>
        </is>
      </c>
      <c r="C30" s="16" t="n">
        <v>0</v>
      </c>
      <c r="D30" s="49" t="n">
        <v>53.57</v>
      </c>
      <c r="E30" s="18" t="n">
        <v>2539</v>
      </c>
      <c r="F30" s="18" t="n">
        <v>2617</v>
      </c>
      <c r="G30" s="19">
        <f>IF(F30=0,0,E30/F30*100)</f>
        <v/>
      </c>
      <c r="H30" s="16" t="n">
        <v>0</v>
      </c>
      <c r="I30" s="16" t="n">
        <v>0</v>
      </c>
      <c r="J30" s="16" t="n">
        <v>0</v>
      </c>
      <c r="K30" s="16" t="n">
        <v>0</v>
      </c>
    </row>
    <row r="31">
      <c r="A31" s="15" t="inlineStr">
        <is>
          <t>1 Jun</t>
        </is>
      </c>
      <c r="B31" s="15" t="inlineStr">
        <is>
          <t>30488</t>
        </is>
      </c>
      <c r="C31" s="16" t="n">
        <v>0</v>
      </c>
      <c r="D31" s="49" t="n">
        <v>46.88</v>
      </c>
      <c r="E31" s="18" t="n">
        <v>2500</v>
      </c>
      <c r="F31" s="18" t="n">
        <v>2505</v>
      </c>
      <c r="G31" s="19">
        <f>IF(F31=0,0,E31/F31*100)</f>
        <v/>
      </c>
      <c r="H31" s="16" t="n">
        <v>0</v>
      </c>
      <c r="I31" s="16" t="n">
        <v>0</v>
      </c>
      <c r="J31" s="16" t="n">
        <v>0</v>
      </c>
      <c r="K31" s="16" t="n">
        <v>0</v>
      </c>
    </row>
    <row r="32">
      <c r="A32" s="15" t="inlineStr">
        <is>
          <t>1 Jun</t>
        </is>
      </c>
      <c r="B32" s="15" t="inlineStr">
        <is>
          <t>41983</t>
        </is>
      </c>
      <c r="C32" s="16" t="n">
        <v>0</v>
      </c>
      <c r="D32" s="49" t="n">
        <v>222.32</v>
      </c>
      <c r="E32" s="18" t="n">
        <v>0</v>
      </c>
      <c r="F32" s="18" t="n">
        <v>2165</v>
      </c>
      <c r="G32" s="19">
        <f>IF(F32=0,0,E32/F32*100)</f>
        <v/>
      </c>
      <c r="H32" s="16" t="n">
        <v>0</v>
      </c>
      <c r="I32" s="16" t="n">
        <v>0</v>
      </c>
      <c r="J32" s="16" t="n">
        <v>0</v>
      </c>
      <c r="K32" s="16" t="n">
        <v>0</v>
      </c>
    </row>
    <row r="33">
      <c r="A33" s="15" t="inlineStr">
        <is>
          <t>1 Jun</t>
        </is>
      </c>
      <c r="B33" s="15" t="inlineStr">
        <is>
          <t>39322</t>
        </is>
      </c>
      <c r="C33" s="16" t="n">
        <v>0</v>
      </c>
      <c r="D33" s="49" t="n">
        <v>41.17</v>
      </c>
      <c r="E33" s="18" t="n">
        <v>557</v>
      </c>
      <c r="F33" s="18" t="n">
        <v>658</v>
      </c>
      <c r="G33" s="19">
        <f>IF(F33=0,0,E33/F33*100)</f>
        <v/>
      </c>
      <c r="H33" s="16" t="n">
        <v>0</v>
      </c>
      <c r="I33" s="16" t="n">
        <v>0</v>
      </c>
      <c r="J33" s="16" t="n">
        <v>0</v>
      </c>
      <c r="K33" s="16" t="n">
        <v>0</v>
      </c>
    </row>
    <row r="34">
      <c r="A34" s="15" t="inlineStr">
        <is>
          <t>1 Jun</t>
        </is>
      </c>
      <c r="B34" s="15" t="inlineStr">
        <is>
          <t>39388</t>
        </is>
      </c>
      <c r="C34" s="16" t="n">
        <v>0</v>
      </c>
      <c r="D34" s="49" t="n">
        <v>13.96</v>
      </c>
      <c r="E34" s="18" t="n">
        <v>301</v>
      </c>
      <c r="F34" s="18" t="n">
        <v>518</v>
      </c>
      <c r="G34" s="19">
        <f>IF(F34=0,0,E34/F34*100)</f>
        <v/>
      </c>
      <c r="H34" s="16" t="n">
        <v>0</v>
      </c>
      <c r="I34" s="16" t="n">
        <v>0</v>
      </c>
      <c r="J34" s="16" t="n">
        <v>0</v>
      </c>
      <c r="K34" s="16" t="n">
        <v>0</v>
      </c>
    </row>
    <row r="35">
      <c r="A35" s="15" t="inlineStr">
        <is>
          <t>1 Jun</t>
        </is>
      </c>
      <c r="B35" s="15" t="inlineStr">
        <is>
          <t>37248</t>
        </is>
      </c>
      <c r="C35" s="16" t="n">
        <v>0</v>
      </c>
      <c r="D35" s="49" t="n">
        <v>2.88</v>
      </c>
      <c r="E35" s="18" t="n">
        <v>347</v>
      </c>
      <c r="F35" s="18" t="n">
        <v>360</v>
      </c>
      <c r="G35" s="19">
        <f>IF(F35=0,0,E35/F35*100)</f>
        <v/>
      </c>
      <c r="H35" s="16" t="n">
        <v>0</v>
      </c>
      <c r="I35" s="16" t="n">
        <v>0</v>
      </c>
      <c r="J35" s="16" t="n">
        <v>0</v>
      </c>
      <c r="K35" s="16" t="n">
        <v>0</v>
      </c>
    </row>
    <row r="36">
      <c r="A36" s="15" t="inlineStr">
        <is>
          <t>1 Jun</t>
        </is>
      </c>
      <c r="B36" s="15" t="inlineStr">
        <is>
          <t>37380</t>
        </is>
      </c>
      <c r="C36" s="16" t="n">
        <v>0</v>
      </c>
      <c r="D36" s="49" t="n">
        <v>61.41</v>
      </c>
      <c r="E36" s="18" t="n">
        <v>131</v>
      </c>
      <c r="F36" s="18" t="n">
        <v>131</v>
      </c>
      <c r="G36" s="19">
        <f>IF(F36=0,0,E36/F36*100)</f>
        <v/>
      </c>
      <c r="H36" s="16" t="n">
        <v>0</v>
      </c>
      <c r="I36" s="16" t="n">
        <v>0</v>
      </c>
      <c r="J36" s="16" t="n">
        <v>0</v>
      </c>
      <c r="K36" s="16" t="n">
        <v>0</v>
      </c>
    </row>
    <row r="37">
      <c r="A37" s="15" t="inlineStr">
        <is>
          <t>1 Jun</t>
        </is>
      </c>
      <c r="B37" s="15" t="inlineStr">
        <is>
          <t>37540</t>
        </is>
      </c>
      <c r="C37" s="16" t="n">
        <v>0</v>
      </c>
      <c r="D37" s="49" t="n">
        <v>112.1</v>
      </c>
      <c r="E37" s="18" t="n">
        <v>0</v>
      </c>
      <c r="F37" s="18" t="n">
        <v>125</v>
      </c>
      <c r="G37" s="19">
        <f>IF(F37=0,0,E37/F37*100)</f>
        <v/>
      </c>
      <c r="H37" s="16" t="n">
        <v>0</v>
      </c>
      <c r="I37" s="16" t="n">
        <v>0</v>
      </c>
      <c r="J37" s="16" t="n">
        <v>0</v>
      </c>
      <c r="K37" s="16" t="n">
        <v>0</v>
      </c>
    </row>
    <row r="38">
      <c r="A38" s="15" t="inlineStr">
        <is>
          <t>1 Jun</t>
        </is>
      </c>
      <c r="B38" s="15" t="inlineStr">
        <is>
          <t>39384</t>
        </is>
      </c>
      <c r="C38" s="16" t="n">
        <v>0</v>
      </c>
      <c r="D38" s="49" t="n">
        <v>107.54</v>
      </c>
      <c r="E38" s="18" t="n">
        <v>0</v>
      </c>
      <c r="F38" s="18" t="n">
        <v>27</v>
      </c>
      <c r="G38" s="19">
        <f>IF(F38=0,0,E38/F38*100)</f>
        <v/>
      </c>
      <c r="H38" s="16" t="n">
        <v>0</v>
      </c>
      <c r="I38" s="16" t="n">
        <v>0</v>
      </c>
      <c r="J38" s="16" t="n">
        <v>0</v>
      </c>
      <c r="K38" s="16" t="n">
        <v>0</v>
      </c>
    </row>
    <row r="39">
      <c r="A39" s="20" t="inlineStr">
        <is>
          <t>1 Jun</t>
        </is>
      </c>
      <c r="B39" s="20" t="inlineStr">
        <is>
          <t>Day Total</t>
        </is>
      </c>
      <c r="C39" s="21">
        <f>SUM(C4:C38)</f>
        <v/>
      </c>
      <c r="D39" s="50">
        <f>SUM(D4:D38)</f>
        <v/>
      </c>
      <c r="E39" s="23">
        <f>SUM(E4:E38)</f>
        <v/>
      </c>
      <c r="F39" s="23">
        <f>SUM(F4:F38)</f>
        <v/>
      </c>
      <c r="G39" s="24">
        <f>IF(F39=0,0,E39/F39*100)</f>
        <v/>
      </c>
      <c r="H39" s="21">
        <f>SUM(H4:H38)</f>
        <v/>
      </c>
      <c r="I39" s="21">
        <f>SUM(I4:I38)</f>
        <v/>
      </c>
      <c r="J39" s="21">
        <f>SUM(J4:J38)</f>
        <v/>
      </c>
      <c r="K39" s="21">
        <f>SUM(K4:K38)</f>
        <v/>
      </c>
    </row>
    <row r="40">
      <c r="A40" s="15" t="inlineStr">
        <is>
          <t>2 Jun</t>
        </is>
      </c>
      <c r="B40" s="15" t="inlineStr">
        <is>
          <t>37163</t>
        </is>
      </c>
      <c r="C40" s="16" t="n">
        <v>1</v>
      </c>
      <c r="D40" s="49" t="n">
        <v>543.66</v>
      </c>
      <c r="E40" s="18" t="n">
        <v>28838</v>
      </c>
      <c r="F40" s="18" t="n">
        <v>29143</v>
      </c>
      <c r="G40" s="19">
        <f>IF(F40=0,0,E40/F40*100)</f>
        <v/>
      </c>
      <c r="H40" s="16" t="n">
        <v>0</v>
      </c>
      <c r="I40" s="16" t="n">
        <v>0</v>
      </c>
      <c r="J40" s="16" t="n">
        <v>0</v>
      </c>
      <c r="K40" s="16" t="n">
        <v>9</v>
      </c>
    </row>
    <row r="41">
      <c r="A41" s="15" t="inlineStr">
        <is>
          <t>2 Jun</t>
        </is>
      </c>
      <c r="B41" s="15" t="inlineStr">
        <is>
          <t>39364</t>
        </is>
      </c>
      <c r="C41" s="16" t="n">
        <v>1</v>
      </c>
      <c r="D41" s="49" t="n">
        <v>543.89</v>
      </c>
      <c r="E41" s="18" t="n">
        <v>26221</v>
      </c>
      <c r="F41" s="18" t="n">
        <v>26304</v>
      </c>
      <c r="G41" s="19">
        <f>IF(F41=0,0,E41/F41*100)</f>
        <v/>
      </c>
      <c r="H41" s="16" t="n">
        <v>0</v>
      </c>
      <c r="I41" s="16" t="n">
        <v>0</v>
      </c>
      <c r="J41" s="16" t="n">
        <v>0</v>
      </c>
      <c r="K41" s="16" t="n">
        <v>7</v>
      </c>
    </row>
    <row r="42">
      <c r="A42" s="15" t="inlineStr">
        <is>
          <t>2 Jun</t>
        </is>
      </c>
      <c r="B42" s="15" t="inlineStr">
        <is>
          <t>30484</t>
        </is>
      </c>
      <c r="C42" s="16" t="n">
        <v>1</v>
      </c>
      <c r="D42" s="49" t="n">
        <v>543.85</v>
      </c>
      <c r="E42" s="18" t="n">
        <v>20421</v>
      </c>
      <c r="F42" s="18" t="n">
        <v>20680</v>
      </c>
      <c r="G42" s="19">
        <f>IF(F42=0,0,E42/F42*100)</f>
        <v/>
      </c>
      <c r="H42" s="16" t="n">
        <v>0</v>
      </c>
      <c r="I42" s="16" t="n">
        <v>0</v>
      </c>
      <c r="J42" s="16" t="n">
        <v>0</v>
      </c>
      <c r="K42" s="16" t="n">
        <v>6</v>
      </c>
    </row>
    <row r="43">
      <c r="A43" s="15" t="inlineStr">
        <is>
          <t>2 Jun</t>
        </is>
      </c>
      <c r="B43" s="15" t="inlineStr">
        <is>
          <t>37366</t>
        </is>
      </c>
      <c r="C43" s="16" t="n">
        <v>0</v>
      </c>
      <c r="D43" s="49" t="n">
        <v>251.89</v>
      </c>
      <c r="E43" s="18" t="n">
        <v>32898</v>
      </c>
      <c r="F43" s="18" t="n">
        <v>33368</v>
      </c>
      <c r="G43" s="19">
        <f>IF(F43=0,0,E43/F43*100)</f>
        <v/>
      </c>
      <c r="H43" s="16" t="n">
        <v>0</v>
      </c>
      <c r="I43" s="16" t="n">
        <v>0</v>
      </c>
      <c r="J43" s="16" t="n">
        <v>0</v>
      </c>
      <c r="K43" s="16" t="n">
        <v>0</v>
      </c>
    </row>
    <row r="44">
      <c r="A44" s="15" t="inlineStr">
        <is>
          <t>2 Jun</t>
        </is>
      </c>
      <c r="B44" s="15" t="inlineStr">
        <is>
          <t>39465</t>
        </is>
      </c>
      <c r="C44" s="16" t="n">
        <v>0</v>
      </c>
      <c r="D44" s="49" t="n">
        <v>485.71</v>
      </c>
      <c r="E44" s="18" t="n">
        <v>23730</v>
      </c>
      <c r="F44" s="18" t="n">
        <v>23974</v>
      </c>
      <c r="G44" s="19">
        <f>IF(F44=0,0,E44/F44*100)</f>
        <v/>
      </c>
      <c r="H44" s="16" t="n">
        <v>0</v>
      </c>
      <c r="I44" s="16" t="n">
        <v>0</v>
      </c>
      <c r="J44" s="16" t="n">
        <v>0</v>
      </c>
      <c r="K44" s="16" t="n">
        <v>7</v>
      </c>
    </row>
    <row r="45">
      <c r="A45" s="15" t="inlineStr">
        <is>
          <t>2 Jun</t>
        </is>
      </c>
      <c r="B45" s="15" t="inlineStr">
        <is>
          <t>30822</t>
        </is>
      </c>
      <c r="C45" s="16" t="n">
        <v>0</v>
      </c>
      <c r="D45" s="49" t="n">
        <v>392.9</v>
      </c>
      <c r="E45" s="18" t="n">
        <v>22533</v>
      </c>
      <c r="F45" s="18" t="n">
        <v>22602</v>
      </c>
      <c r="G45" s="19">
        <f>IF(F45=0,0,E45/F45*100)</f>
        <v/>
      </c>
      <c r="H45" s="16" t="n">
        <v>0</v>
      </c>
      <c r="I45" s="16" t="n">
        <v>0</v>
      </c>
      <c r="J45" s="16" t="n">
        <v>0</v>
      </c>
      <c r="K45" s="16" t="n">
        <v>3</v>
      </c>
    </row>
    <row r="46">
      <c r="A46" s="15" t="inlineStr">
        <is>
          <t>2 Jun</t>
        </is>
      </c>
      <c r="B46" s="15" t="inlineStr">
        <is>
          <t>30176</t>
        </is>
      </c>
      <c r="C46" s="16" t="n">
        <v>0</v>
      </c>
      <c r="D46" s="49" t="n">
        <v>243.1</v>
      </c>
      <c r="E46" s="18" t="n">
        <v>19612</v>
      </c>
      <c r="F46" s="18" t="n">
        <v>19963</v>
      </c>
      <c r="G46" s="19">
        <f>IF(F46=0,0,E46/F46*100)</f>
        <v/>
      </c>
      <c r="H46" s="16" t="n">
        <v>3</v>
      </c>
      <c r="I46" s="16" t="n">
        <v>0</v>
      </c>
      <c r="J46" s="16" t="n">
        <v>3</v>
      </c>
      <c r="K46" s="16" t="n">
        <v>8</v>
      </c>
    </row>
    <row r="47">
      <c r="A47" s="15" t="inlineStr">
        <is>
          <t>2 Jun</t>
        </is>
      </c>
      <c r="B47" s="15" t="inlineStr">
        <is>
          <t>30435</t>
        </is>
      </c>
      <c r="C47" s="16" t="n">
        <v>0</v>
      </c>
      <c r="D47" s="49" t="n">
        <v>474.05</v>
      </c>
      <c r="E47" s="18" t="n">
        <v>10520</v>
      </c>
      <c r="F47" s="18" t="n">
        <v>17379</v>
      </c>
      <c r="G47" s="19">
        <f>IF(F47=0,0,E47/F47*100)</f>
        <v/>
      </c>
      <c r="H47" s="16" t="n">
        <v>0</v>
      </c>
      <c r="I47" s="16" t="n">
        <v>0</v>
      </c>
      <c r="J47" s="16" t="n">
        <v>0</v>
      </c>
      <c r="K47" s="16" t="n">
        <v>7</v>
      </c>
    </row>
    <row r="48">
      <c r="A48" s="15" t="inlineStr">
        <is>
          <t>2 Jun</t>
        </is>
      </c>
      <c r="B48" s="15" t="inlineStr">
        <is>
          <t>30739</t>
        </is>
      </c>
      <c r="C48" s="16" t="n">
        <v>0</v>
      </c>
      <c r="D48" s="49" t="n">
        <v>525.37</v>
      </c>
      <c r="E48" s="18" t="n">
        <v>16650</v>
      </c>
      <c r="F48" s="18" t="n">
        <v>16781</v>
      </c>
      <c r="G48" s="19">
        <f>IF(F48=0,0,E48/F48*100)</f>
        <v/>
      </c>
      <c r="H48" s="16" t="n">
        <v>0</v>
      </c>
      <c r="I48" s="16" t="n">
        <v>0</v>
      </c>
      <c r="J48" s="16" t="n">
        <v>0</v>
      </c>
      <c r="K48" s="16" t="n">
        <v>8</v>
      </c>
    </row>
    <row r="49">
      <c r="A49" s="15" t="inlineStr">
        <is>
          <t>2 Jun</t>
        </is>
      </c>
      <c r="B49" s="15" t="inlineStr">
        <is>
          <t>37816</t>
        </is>
      </c>
      <c r="C49" s="16" t="n">
        <v>0</v>
      </c>
      <c r="D49" s="49" t="n">
        <v>330.96</v>
      </c>
      <c r="E49" s="18" t="n">
        <v>14712</v>
      </c>
      <c r="F49" s="18" t="n">
        <v>14778</v>
      </c>
      <c r="G49" s="19">
        <f>IF(F49=0,0,E49/F49*100)</f>
        <v/>
      </c>
      <c r="H49" s="16" t="n">
        <v>0</v>
      </c>
      <c r="I49" s="16" t="n">
        <v>0</v>
      </c>
      <c r="J49" s="16" t="n">
        <v>0</v>
      </c>
      <c r="K49" s="16" t="n">
        <v>2</v>
      </c>
    </row>
    <row r="50">
      <c r="A50" s="15" t="inlineStr">
        <is>
          <t>2 Jun</t>
        </is>
      </c>
      <c r="B50" s="15" t="inlineStr">
        <is>
          <t>37793</t>
        </is>
      </c>
      <c r="C50" s="16" t="n">
        <v>0</v>
      </c>
      <c r="D50" s="49" t="n">
        <v>330.67</v>
      </c>
      <c r="E50" s="18" t="n">
        <v>14218</v>
      </c>
      <c r="F50" s="18" t="n">
        <v>14773</v>
      </c>
      <c r="G50" s="19">
        <f>IF(F50=0,0,E50/F50*100)</f>
        <v/>
      </c>
      <c r="H50" s="16" t="n">
        <v>0</v>
      </c>
      <c r="I50" s="16" t="n">
        <v>0</v>
      </c>
      <c r="J50" s="16" t="n">
        <v>0</v>
      </c>
      <c r="K50" s="16" t="n">
        <v>1</v>
      </c>
    </row>
    <row r="51">
      <c r="A51" s="15" t="inlineStr">
        <is>
          <t>2 Jun</t>
        </is>
      </c>
      <c r="B51" s="15" t="inlineStr">
        <is>
          <t>39336</t>
        </is>
      </c>
      <c r="C51" s="16" t="n">
        <v>0</v>
      </c>
      <c r="D51" s="49" t="n">
        <v>322.56</v>
      </c>
      <c r="E51" s="18" t="n">
        <v>13495</v>
      </c>
      <c r="F51" s="18" t="n">
        <v>13541</v>
      </c>
      <c r="G51" s="19">
        <f>IF(F51=0,0,E51/F51*100)</f>
        <v/>
      </c>
      <c r="H51" s="16" t="n">
        <v>0</v>
      </c>
      <c r="I51" s="16" t="n">
        <v>0</v>
      </c>
      <c r="J51" s="16" t="n">
        <v>0</v>
      </c>
      <c r="K51" s="16" t="n">
        <v>3</v>
      </c>
    </row>
    <row r="52">
      <c r="A52" s="15" t="inlineStr">
        <is>
          <t>2 Jun</t>
        </is>
      </c>
      <c r="B52" s="15" t="inlineStr">
        <is>
          <t>30335</t>
        </is>
      </c>
      <c r="C52" s="16" t="n">
        <v>0</v>
      </c>
      <c r="D52" s="49" t="n">
        <v>321.71</v>
      </c>
      <c r="E52" s="18" t="n">
        <v>12516</v>
      </c>
      <c r="F52" s="18" t="n">
        <v>12565</v>
      </c>
      <c r="G52" s="19">
        <f>IF(F52=0,0,E52/F52*100)</f>
        <v/>
      </c>
      <c r="H52" s="16" t="n">
        <v>0</v>
      </c>
      <c r="I52" s="16" t="n">
        <v>0</v>
      </c>
      <c r="J52" s="16" t="n">
        <v>0</v>
      </c>
      <c r="K52" s="16" t="n">
        <v>1</v>
      </c>
    </row>
    <row r="53">
      <c r="A53" s="15" t="inlineStr">
        <is>
          <t>2 Jun</t>
        </is>
      </c>
      <c r="B53" s="15" t="inlineStr">
        <is>
          <t>37431</t>
        </is>
      </c>
      <c r="C53" s="16" t="n">
        <v>0</v>
      </c>
      <c r="D53" s="49" t="n">
        <v>329.1</v>
      </c>
      <c r="E53" s="18" t="n">
        <v>11917</v>
      </c>
      <c r="F53" s="18" t="n">
        <v>11975</v>
      </c>
      <c r="G53" s="19">
        <f>IF(F53=0,0,E53/F53*100)</f>
        <v/>
      </c>
      <c r="H53" s="16" t="n">
        <v>0</v>
      </c>
      <c r="I53" s="16" t="n">
        <v>0</v>
      </c>
      <c r="J53" s="16" t="n">
        <v>0</v>
      </c>
      <c r="K53" s="16" t="n">
        <v>0</v>
      </c>
    </row>
    <row r="54">
      <c r="A54" s="15" t="inlineStr">
        <is>
          <t>2 Jun</t>
        </is>
      </c>
      <c r="B54" s="15" t="inlineStr">
        <is>
          <t>30779</t>
        </is>
      </c>
      <c r="C54" s="16" t="n">
        <v>0</v>
      </c>
      <c r="D54" s="49" t="n">
        <v>329.82</v>
      </c>
      <c r="E54" s="18" t="n">
        <v>11435</v>
      </c>
      <c r="F54" s="18" t="n">
        <v>11732</v>
      </c>
      <c r="G54" s="19">
        <f>IF(F54=0,0,E54/F54*100)</f>
        <v/>
      </c>
      <c r="H54" s="16" t="n">
        <v>0</v>
      </c>
      <c r="I54" s="16" t="n">
        <v>0</v>
      </c>
      <c r="J54" s="16" t="n">
        <v>0</v>
      </c>
      <c r="K54" s="16" t="n">
        <v>4</v>
      </c>
    </row>
    <row r="55">
      <c r="A55" s="15" t="inlineStr">
        <is>
          <t>2 Jun</t>
        </is>
      </c>
      <c r="B55" s="15" t="inlineStr">
        <is>
          <t>30488</t>
        </is>
      </c>
      <c r="C55" s="16" t="n">
        <v>0</v>
      </c>
      <c r="D55" s="49" t="n">
        <v>318.81</v>
      </c>
      <c r="E55" s="18" t="n">
        <v>11504</v>
      </c>
      <c r="F55" s="18" t="n">
        <v>11594</v>
      </c>
      <c r="G55" s="19">
        <f>IF(F55=0,0,E55/F55*100)</f>
        <v/>
      </c>
      <c r="H55" s="16" t="n">
        <v>0</v>
      </c>
      <c r="I55" s="16" t="n">
        <v>0</v>
      </c>
      <c r="J55" s="16" t="n">
        <v>0</v>
      </c>
      <c r="K55" s="16" t="n">
        <v>1</v>
      </c>
    </row>
    <row r="56">
      <c r="A56" s="15" t="inlineStr">
        <is>
          <t>2 Jun</t>
        </is>
      </c>
      <c r="B56" s="15" t="inlineStr">
        <is>
          <t>37248</t>
        </is>
      </c>
      <c r="C56" s="16" t="n">
        <v>0</v>
      </c>
      <c r="D56" s="49" t="n">
        <v>108.55</v>
      </c>
      <c r="E56" s="18" t="n">
        <v>10641</v>
      </c>
      <c r="F56" s="18" t="n">
        <v>10708</v>
      </c>
      <c r="G56" s="19">
        <f>IF(F56=0,0,E56/F56*100)</f>
        <v/>
      </c>
      <c r="H56" s="16" t="n">
        <v>0</v>
      </c>
      <c r="I56" s="16" t="n">
        <v>0</v>
      </c>
      <c r="J56" s="16" t="n">
        <v>0</v>
      </c>
      <c r="K56" s="16" t="n">
        <v>0</v>
      </c>
    </row>
    <row r="57">
      <c r="A57" s="15" t="inlineStr">
        <is>
          <t>2 Jun</t>
        </is>
      </c>
      <c r="B57" s="15" t="inlineStr">
        <is>
          <t>37275</t>
        </is>
      </c>
      <c r="C57" s="16" t="n">
        <v>0</v>
      </c>
      <c r="D57" s="49" t="n">
        <v>256.68</v>
      </c>
      <c r="E57" s="18" t="n">
        <v>10547</v>
      </c>
      <c r="F57" s="18" t="n">
        <v>10595</v>
      </c>
      <c r="G57" s="19">
        <f>IF(F57=0,0,E57/F57*100)</f>
        <v/>
      </c>
      <c r="H57" s="16" t="n">
        <v>0</v>
      </c>
      <c r="I57" s="16" t="n">
        <v>0</v>
      </c>
      <c r="J57" s="16" t="n">
        <v>0</v>
      </c>
      <c r="K57" s="16" t="n">
        <v>1</v>
      </c>
    </row>
    <row r="58">
      <c r="A58" s="15" t="inlineStr">
        <is>
          <t>2 Jun</t>
        </is>
      </c>
      <c r="B58" s="15" t="inlineStr">
        <is>
          <t>30460</t>
        </is>
      </c>
      <c r="C58" s="16" t="n">
        <v>0</v>
      </c>
      <c r="D58" s="49" t="n">
        <v>305.68</v>
      </c>
      <c r="E58" s="18" t="n">
        <v>9253</v>
      </c>
      <c r="F58" s="18" t="n">
        <v>9407</v>
      </c>
      <c r="G58" s="19">
        <f>IF(F58=0,0,E58/F58*100)</f>
        <v/>
      </c>
      <c r="H58" s="16" t="n">
        <v>0</v>
      </c>
      <c r="I58" s="16" t="n">
        <v>0</v>
      </c>
      <c r="J58" s="16" t="n">
        <v>0</v>
      </c>
      <c r="K58" s="16" t="n">
        <v>5</v>
      </c>
    </row>
    <row r="59">
      <c r="A59" s="15" t="inlineStr">
        <is>
          <t>2 Jun</t>
        </is>
      </c>
      <c r="B59" s="15" t="inlineStr">
        <is>
          <t>30451</t>
        </is>
      </c>
      <c r="C59" s="16" t="n">
        <v>0</v>
      </c>
      <c r="D59" s="49" t="n">
        <v>104.57</v>
      </c>
      <c r="E59" s="18" t="n">
        <v>3667</v>
      </c>
      <c r="F59" s="18" t="n">
        <v>3688</v>
      </c>
      <c r="G59" s="19">
        <f>IF(F59=0,0,E59/F59*100)</f>
        <v/>
      </c>
      <c r="H59" s="16" t="n">
        <v>0</v>
      </c>
      <c r="I59" s="16" t="n">
        <v>0</v>
      </c>
      <c r="J59" s="16" t="n">
        <v>0</v>
      </c>
      <c r="K59" s="16" t="n">
        <v>0</v>
      </c>
    </row>
    <row r="60">
      <c r="A60" s="15" t="inlineStr">
        <is>
          <t>2 Jun</t>
        </is>
      </c>
      <c r="B60" s="15" t="inlineStr">
        <is>
          <t>30466</t>
        </is>
      </c>
      <c r="C60" s="16" t="n">
        <v>0</v>
      </c>
      <c r="D60" s="49" t="n">
        <v>36.96</v>
      </c>
      <c r="E60" s="18" t="n">
        <v>3088</v>
      </c>
      <c r="F60" s="18" t="n">
        <v>3092</v>
      </c>
      <c r="G60" s="19">
        <f>IF(F60=0,0,E60/F60*100)</f>
        <v/>
      </c>
      <c r="H60" s="16" t="n">
        <v>0</v>
      </c>
      <c r="I60" s="16" t="n">
        <v>0</v>
      </c>
      <c r="J60" s="16" t="n">
        <v>0</v>
      </c>
      <c r="K60" s="16" t="n">
        <v>0</v>
      </c>
    </row>
    <row r="61">
      <c r="A61" s="15" t="inlineStr">
        <is>
          <t>2 Jun</t>
        </is>
      </c>
      <c r="B61" s="15" t="inlineStr">
        <is>
          <t>37885</t>
        </is>
      </c>
      <c r="C61" s="16" t="n">
        <v>0</v>
      </c>
      <c r="D61" s="49" t="n">
        <v>39.62</v>
      </c>
      <c r="E61" s="18" t="n">
        <v>2634</v>
      </c>
      <c r="F61" s="18" t="n">
        <v>2634</v>
      </c>
      <c r="G61" s="19">
        <f>IF(F61=0,0,E61/F61*100)</f>
        <v/>
      </c>
      <c r="H61" s="16" t="n">
        <v>0</v>
      </c>
      <c r="I61" s="16" t="n">
        <v>0</v>
      </c>
      <c r="J61" s="16" t="n">
        <v>0</v>
      </c>
      <c r="K61" s="16" t="n">
        <v>0</v>
      </c>
    </row>
    <row r="62">
      <c r="A62" s="15" t="inlineStr">
        <is>
          <t>2 Jun</t>
        </is>
      </c>
      <c r="B62" s="15" t="inlineStr">
        <is>
          <t>30752</t>
        </is>
      </c>
      <c r="C62" s="16" t="n">
        <v>0</v>
      </c>
      <c r="D62" s="49" t="n">
        <v>25.98</v>
      </c>
      <c r="E62" s="18" t="n">
        <v>1713</v>
      </c>
      <c r="F62" s="18" t="n">
        <v>1733</v>
      </c>
      <c r="G62" s="19">
        <f>IF(F62=0,0,E62/F62*100)</f>
        <v/>
      </c>
      <c r="H62" s="16" t="n">
        <v>0</v>
      </c>
      <c r="I62" s="16" t="n">
        <v>0</v>
      </c>
      <c r="J62" s="16" t="n">
        <v>0</v>
      </c>
      <c r="K62" s="16" t="n">
        <v>0</v>
      </c>
    </row>
    <row r="63">
      <c r="A63" s="15" t="inlineStr">
        <is>
          <t>2 Jun</t>
        </is>
      </c>
      <c r="B63" s="15" t="inlineStr">
        <is>
          <t>37131</t>
        </is>
      </c>
      <c r="C63" s="16" t="n">
        <v>0</v>
      </c>
      <c r="D63" s="49" t="n">
        <v>32.73</v>
      </c>
      <c r="E63" s="18" t="n">
        <v>1707</v>
      </c>
      <c r="F63" s="18" t="n">
        <v>1710</v>
      </c>
      <c r="G63" s="19">
        <f>IF(F63=0,0,E63/F63*100)</f>
        <v/>
      </c>
      <c r="H63" s="16" t="n">
        <v>0</v>
      </c>
      <c r="I63" s="16" t="n">
        <v>0</v>
      </c>
      <c r="J63" s="16" t="n">
        <v>0</v>
      </c>
      <c r="K63" s="16" t="n">
        <v>0</v>
      </c>
    </row>
    <row r="64">
      <c r="A64" s="15" t="inlineStr">
        <is>
          <t>2 Jun</t>
        </is>
      </c>
      <c r="B64" s="15" t="inlineStr">
        <is>
          <t>37639</t>
        </is>
      </c>
      <c r="C64" s="16" t="n">
        <v>0</v>
      </c>
      <c r="D64" s="49" t="n">
        <v>20.71</v>
      </c>
      <c r="E64" s="18" t="n">
        <v>1564</v>
      </c>
      <c r="F64" s="18" t="n">
        <v>1569</v>
      </c>
      <c r="G64" s="19">
        <f>IF(F64=0,0,E64/F64*100)</f>
        <v/>
      </c>
      <c r="H64" s="16" t="n">
        <v>0</v>
      </c>
      <c r="I64" s="16" t="n">
        <v>0</v>
      </c>
      <c r="J64" s="16" t="n">
        <v>0</v>
      </c>
      <c r="K64" s="16" t="n">
        <v>0</v>
      </c>
    </row>
    <row r="65">
      <c r="A65" s="15" t="inlineStr">
        <is>
          <t>2 Jun</t>
        </is>
      </c>
      <c r="B65" s="15" t="inlineStr">
        <is>
          <t>37584</t>
        </is>
      </c>
      <c r="C65" s="16" t="n">
        <v>0</v>
      </c>
      <c r="D65" s="49" t="n">
        <v>3.78</v>
      </c>
      <c r="E65" s="18" t="n">
        <v>653</v>
      </c>
      <c r="F65" s="18" t="n">
        <v>825</v>
      </c>
      <c r="G65" s="19">
        <f>IF(F65=0,0,E65/F65*100)</f>
        <v/>
      </c>
      <c r="H65" s="16" t="n">
        <v>0</v>
      </c>
      <c r="I65" s="16" t="n">
        <v>0</v>
      </c>
      <c r="J65" s="16" t="n">
        <v>0</v>
      </c>
      <c r="K65" s="16" t="n">
        <v>1</v>
      </c>
    </row>
    <row r="66">
      <c r="A66" s="15" t="inlineStr">
        <is>
          <t>2 Jun</t>
        </is>
      </c>
      <c r="B66" s="15" t="inlineStr">
        <is>
          <t>37458</t>
        </is>
      </c>
      <c r="C66" s="16" t="n">
        <v>0</v>
      </c>
      <c r="D66" s="49" t="n">
        <v>69.22</v>
      </c>
      <c r="E66" s="18" t="n">
        <v>491</v>
      </c>
      <c r="F66" s="18" t="n">
        <v>556</v>
      </c>
      <c r="G66" s="19">
        <f>IF(F66=0,0,E66/F66*100)</f>
        <v/>
      </c>
      <c r="H66" s="16" t="n">
        <v>0</v>
      </c>
      <c r="I66" s="16" t="n">
        <v>0</v>
      </c>
      <c r="J66" s="16" t="n">
        <v>0</v>
      </c>
      <c r="K66" s="16" t="n">
        <v>1</v>
      </c>
    </row>
    <row r="67">
      <c r="A67" s="15" t="inlineStr">
        <is>
          <t>2 Jun</t>
        </is>
      </c>
      <c r="B67" s="15" t="inlineStr">
        <is>
          <t>37903</t>
        </is>
      </c>
      <c r="C67" s="16" t="n">
        <v>0</v>
      </c>
      <c r="D67" s="49" t="n">
        <v>108.56</v>
      </c>
      <c r="E67" s="18" t="n">
        <v>0</v>
      </c>
      <c r="F67" s="18" t="n">
        <v>132</v>
      </c>
      <c r="G67" s="19">
        <f>IF(F67=0,0,E67/F67*100)</f>
        <v/>
      </c>
      <c r="H67" s="16" t="n">
        <v>0</v>
      </c>
      <c r="I67" s="16" t="n">
        <v>0</v>
      </c>
      <c r="J67" s="16" t="n">
        <v>0</v>
      </c>
      <c r="K67" s="16" t="n">
        <v>0</v>
      </c>
    </row>
    <row r="68">
      <c r="A68" s="15" t="inlineStr">
        <is>
          <t>2 Jun</t>
        </is>
      </c>
      <c r="B68" s="15" t="inlineStr">
        <is>
          <t>37847</t>
        </is>
      </c>
      <c r="C68" s="16" t="n">
        <v>0</v>
      </c>
      <c r="D68" s="49" t="n">
        <v>39.64</v>
      </c>
      <c r="E68" s="18" t="n">
        <v>0</v>
      </c>
      <c r="F68" s="18" t="n">
        <v>72</v>
      </c>
      <c r="G68" s="19">
        <f>IF(F68=0,0,E68/F68*100)</f>
        <v/>
      </c>
      <c r="H68" s="16" t="n">
        <v>0</v>
      </c>
      <c r="I68" s="16" t="n">
        <v>0</v>
      </c>
      <c r="J68" s="16" t="n">
        <v>0</v>
      </c>
      <c r="K68" s="16" t="n">
        <v>0</v>
      </c>
    </row>
    <row r="69">
      <c r="A69" s="20" t="inlineStr">
        <is>
          <t>2 Jun</t>
        </is>
      </c>
      <c r="B69" s="20" t="inlineStr">
        <is>
          <t>Day Total</t>
        </is>
      </c>
      <c r="C69" s="21">
        <f>SUM(C40:C68)</f>
        <v/>
      </c>
      <c r="D69" s="50">
        <f>SUM(D40:D68)</f>
        <v/>
      </c>
      <c r="E69" s="23">
        <f>SUM(E40:E68)</f>
        <v/>
      </c>
      <c r="F69" s="23">
        <f>SUM(F40:F68)</f>
        <v/>
      </c>
      <c r="G69" s="24">
        <f>IF(F69=0,0,E69/F69*100)</f>
        <v/>
      </c>
      <c r="H69" s="21">
        <f>SUM(H40:H68)</f>
        <v/>
      </c>
      <c r="I69" s="21">
        <f>SUM(I40:I68)</f>
        <v/>
      </c>
      <c r="J69" s="21">
        <f>SUM(J40:J68)</f>
        <v/>
      </c>
      <c r="K69" s="21">
        <f>SUM(K40:K68)</f>
        <v/>
      </c>
    </row>
    <row r="70">
      <c r="A70" s="15" t="inlineStr">
        <is>
          <t>3 Jun</t>
        </is>
      </c>
      <c r="B70" s="15" t="inlineStr">
        <is>
          <t>37780</t>
        </is>
      </c>
      <c r="C70" s="16" t="n">
        <v>1</v>
      </c>
      <c r="D70" s="49" t="n">
        <v>543.86</v>
      </c>
      <c r="E70" s="18" t="n">
        <v>24879</v>
      </c>
      <c r="F70" s="18" t="n">
        <v>24961</v>
      </c>
      <c r="G70" s="19">
        <f>IF(F70=0,0,E70/F70*100)</f>
        <v/>
      </c>
      <c r="H70" s="16" t="n">
        <v>0</v>
      </c>
      <c r="I70" s="16" t="n">
        <v>0</v>
      </c>
      <c r="J70" s="16" t="n">
        <v>0</v>
      </c>
      <c r="K70" s="16" t="n">
        <v>2</v>
      </c>
    </row>
    <row r="71">
      <c r="A71" s="15" t="inlineStr">
        <is>
          <t>3 Jun</t>
        </is>
      </c>
      <c r="B71" s="15" t="inlineStr">
        <is>
          <t>39328</t>
        </is>
      </c>
      <c r="C71" s="16" t="n">
        <v>1</v>
      </c>
      <c r="D71" s="49" t="n">
        <v>541.65</v>
      </c>
      <c r="E71" s="18" t="n">
        <v>22420</v>
      </c>
      <c r="F71" s="18" t="n">
        <v>22629</v>
      </c>
      <c r="G71" s="19">
        <f>IF(F71=0,0,E71/F71*100)</f>
        <v/>
      </c>
      <c r="H71" s="16" t="n">
        <v>0</v>
      </c>
      <c r="I71" s="16" t="n">
        <v>0</v>
      </c>
      <c r="J71" s="16" t="n">
        <v>0</v>
      </c>
      <c r="K71" s="16" t="n">
        <v>10</v>
      </c>
    </row>
    <row r="72">
      <c r="A72" s="15" t="inlineStr">
        <is>
          <t>3 Jun</t>
        </is>
      </c>
      <c r="B72" s="15" t="inlineStr">
        <is>
          <t>37934</t>
        </is>
      </c>
      <c r="C72" s="16" t="n">
        <v>1</v>
      </c>
      <c r="D72" s="49" t="n">
        <v>541.65</v>
      </c>
      <c r="E72" s="18" t="n">
        <v>19486</v>
      </c>
      <c r="F72" s="18" t="n">
        <v>19659</v>
      </c>
      <c r="G72" s="19">
        <f>IF(F72=0,0,E72/F72*100)</f>
        <v/>
      </c>
      <c r="H72" s="16" t="n">
        <v>0</v>
      </c>
      <c r="I72" s="16" t="n">
        <v>0</v>
      </c>
      <c r="J72" s="16" t="n">
        <v>0</v>
      </c>
      <c r="K72" s="16" t="n">
        <v>5</v>
      </c>
    </row>
    <row r="73">
      <c r="A73" s="15" t="inlineStr">
        <is>
          <t>3 Jun</t>
        </is>
      </c>
      <c r="B73" s="15" t="inlineStr">
        <is>
          <t>39046</t>
        </is>
      </c>
      <c r="C73" s="16" t="n">
        <v>1</v>
      </c>
      <c r="D73" s="49" t="n">
        <v>543.88</v>
      </c>
      <c r="E73" s="18" t="n">
        <v>19390</v>
      </c>
      <c r="F73" s="18" t="n">
        <v>19451</v>
      </c>
      <c r="G73" s="19">
        <f>IF(F73=0,0,E73/F73*100)</f>
        <v/>
      </c>
      <c r="H73" s="16" t="n">
        <v>0</v>
      </c>
      <c r="I73" s="16" t="n">
        <v>0</v>
      </c>
      <c r="J73" s="16" t="n">
        <v>0</v>
      </c>
      <c r="K73" s="16" t="n">
        <v>1</v>
      </c>
    </row>
    <row r="74">
      <c r="A74" s="15" t="inlineStr">
        <is>
          <t>3 Jun</t>
        </is>
      </c>
      <c r="B74" s="15" t="inlineStr">
        <is>
          <t>30340</t>
        </is>
      </c>
      <c r="C74" s="16" t="n">
        <v>1</v>
      </c>
      <c r="D74" s="49" t="n">
        <v>543.65</v>
      </c>
      <c r="E74" s="18" t="n">
        <v>19131</v>
      </c>
      <c r="F74" s="18" t="n">
        <v>19177</v>
      </c>
      <c r="G74" s="19">
        <f>IF(F74=0,0,E74/F74*100)</f>
        <v/>
      </c>
      <c r="H74" s="16" t="n">
        <v>0</v>
      </c>
      <c r="I74" s="16" t="n">
        <v>0</v>
      </c>
      <c r="J74" s="16" t="n">
        <v>0</v>
      </c>
      <c r="K74" s="16" t="n">
        <v>1</v>
      </c>
    </row>
    <row r="75">
      <c r="A75" s="15" t="inlineStr">
        <is>
          <t>3 Jun</t>
        </is>
      </c>
      <c r="B75" s="15" t="inlineStr">
        <is>
          <t>37830</t>
        </is>
      </c>
      <c r="C75" s="16" t="n">
        <v>1</v>
      </c>
      <c r="D75" s="49" t="n">
        <v>543.8200000000001</v>
      </c>
      <c r="E75" s="18" t="n">
        <v>18889</v>
      </c>
      <c r="F75" s="18" t="n">
        <v>18932</v>
      </c>
      <c r="G75" s="19">
        <f>IF(F75=0,0,E75/F75*100)</f>
        <v/>
      </c>
      <c r="H75" s="16" t="n">
        <v>0</v>
      </c>
      <c r="I75" s="16" t="n">
        <v>0</v>
      </c>
      <c r="J75" s="16" t="n">
        <v>0</v>
      </c>
      <c r="K75" s="16" t="n">
        <v>1</v>
      </c>
    </row>
    <row r="76">
      <c r="A76" s="15" t="inlineStr">
        <is>
          <t>3 Jun</t>
        </is>
      </c>
      <c r="B76" s="15" t="inlineStr">
        <is>
          <t>37366</t>
        </is>
      </c>
      <c r="C76" s="16" t="n">
        <v>0</v>
      </c>
      <c r="D76" s="49" t="n">
        <v>251.85</v>
      </c>
      <c r="E76" s="18" t="n">
        <v>31764</v>
      </c>
      <c r="F76" s="18" t="n">
        <v>31860</v>
      </c>
      <c r="G76" s="19">
        <f>IF(F76=0,0,E76/F76*100)</f>
        <v/>
      </c>
      <c r="H76" s="16" t="n">
        <v>0</v>
      </c>
      <c r="I76" s="16" t="n">
        <v>0</v>
      </c>
      <c r="J76" s="16" t="n">
        <v>0</v>
      </c>
      <c r="K76" s="16" t="n">
        <v>4</v>
      </c>
    </row>
    <row r="77">
      <c r="A77" s="15" t="inlineStr">
        <is>
          <t>3 Jun</t>
        </is>
      </c>
      <c r="B77" s="15" t="inlineStr">
        <is>
          <t>30752</t>
        </is>
      </c>
      <c r="C77" s="16" t="n">
        <v>0</v>
      </c>
      <c r="D77" s="49" t="n">
        <v>251.76</v>
      </c>
      <c r="E77" s="18" t="n">
        <v>28094</v>
      </c>
      <c r="F77" s="18" t="n">
        <v>28125</v>
      </c>
      <c r="G77" s="19">
        <f>IF(F77=0,0,E77/F77*100)</f>
        <v/>
      </c>
      <c r="H77" s="16" t="n">
        <v>0</v>
      </c>
      <c r="I77" s="16" t="n">
        <v>0</v>
      </c>
      <c r="J77" s="16" t="n">
        <v>0</v>
      </c>
      <c r="K77" s="16" t="n">
        <v>1</v>
      </c>
    </row>
    <row r="78">
      <c r="A78" s="15" t="inlineStr">
        <is>
          <t>3 Jun</t>
        </is>
      </c>
      <c r="B78" s="15" t="inlineStr">
        <is>
          <t>30466</t>
        </is>
      </c>
      <c r="C78" s="16" t="n">
        <v>0</v>
      </c>
      <c r="D78" s="49" t="n">
        <v>321.5</v>
      </c>
      <c r="E78" s="18" t="n">
        <v>23088</v>
      </c>
      <c r="F78" s="18" t="n">
        <v>23311</v>
      </c>
      <c r="G78" s="19">
        <f>IF(F78=0,0,E78/F78*100)</f>
        <v/>
      </c>
      <c r="H78" s="16" t="n">
        <v>0</v>
      </c>
      <c r="I78" s="16" t="n">
        <v>0</v>
      </c>
      <c r="J78" s="16" t="n">
        <v>0</v>
      </c>
      <c r="K78" s="16" t="n">
        <v>3</v>
      </c>
    </row>
    <row r="79">
      <c r="A79" s="15" t="inlineStr">
        <is>
          <t>3 Jun</t>
        </is>
      </c>
      <c r="B79" s="15" t="inlineStr">
        <is>
          <t>30821</t>
        </is>
      </c>
      <c r="C79" s="16" t="n">
        <v>0</v>
      </c>
      <c r="D79" s="49" t="n">
        <v>470.58</v>
      </c>
      <c r="E79" s="18" t="n">
        <v>22645</v>
      </c>
      <c r="F79" s="18" t="n">
        <v>22737</v>
      </c>
      <c r="G79" s="19">
        <f>IF(F79=0,0,E79/F79*100)</f>
        <v/>
      </c>
      <c r="H79" s="16" t="n">
        <v>0</v>
      </c>
      <c r="I79" s="16" t="n">
        <v>0</v>
      </c>
      <c r="J79" s="16" t="n">
        <v>0</v>
      </c>
      <c r="K79" s="16" t="n">
        <v>4</v>
      </c>
    </row>
    <row r="80">
      <c r="A80" s="15" t="inlineStr">
        <is>
          <t>3 Jun</t>
        </is>
      </c>
      <c r="B80" s="15" t="inlineStr">
        <is>
          <t>30484</t>
        </is>
      </c>
      <c r="C80" s="16" t="n">
        <v>0</v>
      </c>
      <c r="D80" s="49" t="n">
        <v>537.59</v>
      </c>
      <c r="E80" s="18" t="n">
        <v>20606</v>
      </c>
      <c r="F80" s="18" t="n">
        <v>20628</v>
      </c>
      <c r="G80" s="19">
        <f>IF(F80=0,0,E80/F80*100)</f>
        <v/>
      </c>
      <c r="H80" s="16" t="n">
        <v>0</v>
      </c>
      <c r="I80" s="16" t="n">
        <v>0</v>
      </c>
      <c r="J80" s="16" t="n">
        <v>0</v>
      </c>
      <c r="K80" s="16" t="n">
        <v>0</v>
      </c>
    </row>
    <row r="81">
      <c r="A81" s="15" t="inlineStr">
        <is>
          <t>3 Jun</t>
        </is>
      </c>
      <c r="B81" s="15" t="inlineStr">
        <is>
          <t>37885</t>
        </is>
      </c>
      <c r="C81" s="16" t="n">
        <v>0</v>
      </c>
      <c r="D81" s="49" t="n">
        <v>502.1</v>
      </c>
      <c r="E81" s="18" t="n">
        <v>20141</v>
      </c>
      <c r="F81" s="18" t="n">
        <v>20337</v>
      </c>
      <c r="G81" s="19">
        <f>IF(F81=0,0,E81/F81*100)</f>
        <v/>
      </c>
      <c r="H81" s="16" t="n">
        <v>0</v>
      </c>
      <c r="I81" s="16" t="n">
        <v>0</v>
      </c>
      <c r="J81" s="16" t="n">
        <v>0</v>
      </c>
      <c r="K81" s="16" t="n">
        <v>2</v>
      </c>
    </row>
    <row r="82">
      <c r="A82" s="15" t="inlineStr">
        <is>
          <t>3 Jun</t>
        </is>
      </c>
      <c r="B82" s="15" t="inlineStr">
        <is>
          <t>39336</t>
        </is>
      </c>
      <c r="C82" s="16" t="n">
        <v>0</v>
      </c>
      <c r="D82" s="49" t="n">
        <v>319.23</v>
      </c>
      <c r="E82" s="18" t="n">
        <v>14810</v>
      </c>
      <c r="F82" s="18" t="n">
        <v>15013</v>
      </c>
      <c r="G82" s="19">
        <f>IF(F82=0,0,E82/F82*100)</f>
        <v/>
      </c>
      <c r="H82" s="16" t="n">
        <v>0</v>
      </c>
      <c r="I82" s="16" t="n">
        <v>0</v>
      </c>
      <c r="J82" s="16" t="n">
        <v>0</v>
      </c>
      <c r="K82" s="16" t="n">
        <v>3</v>
      </c>
    </row>
    <row r="83">
      <c r="A83" s="15" t="inlineStr">
        <is>
          <t>3 Jun</t>
        </is>
      </c>
      <c r="B83" s="15" t="inlineStr">
        <is>
          <t>37793</t>
        </is>
      </c>
      <c r="C83" s="16" t="n">
        <v>0</v>
      </c>
      <c r="D83" s="49" t="n">
        <v>354.81</v>
      </c>
      <c r="E83" s="18" t="n">
        <v>13994</v>
      </c>
      <c r="F83" s="18" t="n">
        <v>14120</v>
      </c>
      <c r="G83" s="19">
        <f>IF(F83=0,0,E83/F83*100)</f>
        <v/>
      </c>
      <c r="H83" s="16" t="n">
        <v>0</v>
      </c>
      <c r="I83" s="16" t="n">
        <v>0</v>
      </c>
      <c r="J83" s="16" t="n">
        <v>0</v>
      </c>
      <c r="K83" s="16" t="n">
        <v>2</v>
      </c>
    </row>
    <row r="84">
      <c r="A84" s="15" t="inlineStr">
        <is>
          <t>3 Jun</t>
        </is>
      </c>
      <c r="B84" s="15" t="inlineStr">
        <is>
          <t>37491</t>
        </is>
      </c>
      <c r="C84" s="16" t="n">
        <v>0</v>
      </c>
      <c r="D84" s="49" t="n">
        <v>392.7</v>
      </c>
      <c r="E84" s="18" t="n">
        <v>13971</v>
      </c>
      <c r="F84" s="18" t="n">
        <v>13978</v>
      </c>
      <c r="G84" s="19">
        <f>IF(F84=0,0,E84/F84*100)</f>
        <v/>
      </c>
      <c r="H84" s="16" t="n">
        <v>0</v>
      </c>
      <c r="I84" s="16" t="n">
        <v>0</v>
      </c>
      <c r="J84" s="16" t="n">
        <v>0</v>
      </c>
      <c r="K84" s="16" t="n">
        <v>1</v>
      </c>
    </row>
    <row r="85">
      <c r="A85" s="15" t="inlineStr">
        <is>
          <t>3 Jun</t>
        </is>
      </c>
      <c r="B85" s="15" t="inlineStr">
        <is>
          <t>30464</t>
        </is>
      </c>
      <c r="C85" s="16" t="n">
        <v>0</v>
      </c>
      <c r="D85" s="49" t="n">
        <v>330.33</v>
      </c>
      <c r="E85" s="18" t="n">
        <v>12083</v>
      </c>
      <c r="F85" s="18" t="n">
        <v>13012</v>
      </c>
      <c r="G85" s="19">
        <f>IF(F85=0,0,E85/F85*100)</f>
        <v/>
      </c>
      <c r="H85" s="16" t="n">
        <v>2</v>
      </c>
      <c r="I85" s="16" t="n">
        <v>0</v>
      </c>
      <c r="J85" s="16" t="n">
        <v>2</v>
      </c>
      <c r="K85" s="16" t="n">
        <v>4</v>
      </c>
    </row>
    <row r="86">
      <c r="A86" s="15" t="inlineStr">
        <is>
          <t>3 Jun</t>
        </is>
      </c>
      <c r="B86" s="15" t="inlineStr">
        <is>
          <t>30335</t>
        </is>
      </c>
      <c r="C86" s="16" t="n">
        <v>0</v>
      </c>
      <c r="D86" s="49" t="n">
        <v>319.23</v>
      </c>
      <c r="E86" s="18" t="n">
        <v>12771</v>
      </c>
      <c r="F86" s="18" t="n">
        <v>12875</v>
      </c>
      <c r="G86" s="19">
        <f>IF(F86=0,0,E86/F86*100)</f>
        <v/>
      </c>
      <c r="H86" s="16" t="n">
        <v>0</v>
      </c>
      <c r="I86" s="16" t="n">
        <v>0</v>
      </c>
      <c r="J86" s="16" t="n">
        <v>0</v>
      </c>
      <c r="K86" s="16" t="n">
        <v>1</v>
      </c>
    </row>
    <row r="87">
      <c r="A87" s="15" t="inlineStr">
        <is>
          <t>3 Jun</t>
        </is>
      </c>
      <c r="B87" s="15" t="inlineStr">
        <is>
          <t>30339</t>
        </is>
      </c>
      <c r="C87" s="16" t="n">
        <v>0</v>
      </c>
      <c r="D87" s="49" t="n">
        <v>321.73</v>
      </c>
      <c r="E87" s="18" t="n">
        <v>12134</v>
      </c>
      <c r="F87" s="18" t="n">
        <v>12172</v>
      </c>
      <c r="G87" s="19">
        <f>IF(F87=0,0,E87/F87*100)</f>
        <v/>
      </c>
      <c r="H87" s="16" t="n">
        <v>0</v>
      </c>
      <c r="I87" s="16" t="n">
        <v>0</v>
      </c>
      <c r="J87" s="16" t="n">
        <v>0</v>
      </c>
      <c r="K87" s="16" t="n">
        <v>0</v>
      </c>
    </row>
    <row r="88">
      <c r="A88" s="15" t="inlineStr">
        <is>
          <t>3 Jun</t>
        </is>
      </c>
      <c r="B88" s="15" t="inlineStr">
        <is>
          <t>37816</t>
        </is>
      </c>
      <c r="C88" s="16" t="n">
        <v>0</v>
      </c>
      <c r="D88" s="49" t="n">
        <v>212.88</v>
      </c>
      <c r="E88" s="18" t="n">
        <v>11404</v>
      </c>
      <c r="F88" s="18" t="n">
        <v>11404</v>
      </c>
      <c r="G88" s="19">
        <f>IF(F88=0,0,E88/F88*100)</f>
        <v/>
      </c>
      <c r="H88" s="16" t="n">
        <v>0</v>
      </c>
      <c r="I88" s="16" t="n">
        <v>0</v>
      </c>
      <c r="J88" s="16" t="n">
        <v>0</v>
      </c>
      <c r="K88" s="16" t="n">
        <v>0</v>
      </c>
    </row>
    <row r="89">
      <c r="A89" s="15" t="inlineStr">
        <is>
          <t>3 Jun</t>
        </is>
      </c>
      <c r="B89" s="15" t="inlineStr">
        <is>
          <t>37248</t>
        </is>
      </c>
      <c r="C89" s="16" t="n">
        <v>0</v>
      </c>
      <c r="D89" s="49" t="n">
        <v>108.54</v>
      </c>
      <c r="E89" s="18" t="n">
        <v>10594</v>
      </c>
      <c r="F89" s="18" t="n">
        <v>10648</v>
      </c>
      <c r="G89" s="19">
        <f>IF(F89=0,0,E89/F89*100)</f>
        <v/>
      </c>
      <c r="H89" s="16" t="n">
        <v>0</v>
      </c>
      <c r="I89" s="16" t="n">
        <v>0</v>
      </c>
      <c r="J89" s="16" t="n">
        <v>0</v>
      </c>
      <c r="K89" s="16" t="n">
        <v>0</v>
      </c>
    </row>
    <row r="90">
      <c r="A90" s="15" t="inlineStr">
        <is>
          <t>3 Jun</t>
        </is>
      </c>
      <c r="B90" s="15" t="inlineStr">
        <is>
          <t>30791</t>
        </is>
      </c>
      <c r="C90" s="16" t="n">
        <v>0</v>
      </c>
      <c r="D90" s="49" t="n">
        <v>221.52</v>
      </c>
      <c r="E90" s="18" t="n">
        <v>9318</v>
      </c>
      <c r="F90" s="18" t="n">
        <v>9346</v>
      </c>
      <c r="G90" s="19">
        <f>IF(F90=0,0,E90/F90*100)</f>
        <v/>
      </c>
      <c r="H90" s="16" t="n">
        <v>0</v>
      </c>
      <c r="I90" s="16" t="n">
        <v>0</v>
      </c>
      <c r="J90" s="16" t="n">
        <v>0</v>
      </c>
      <c r="K90" s="16" t="n">
        <v>2</v>
      </c>
    </row>
    <row r="91">
      <c r="A91" s="15" t="inlineStr">
        <is>
          <t>3 Jun</t>
        </is>
      </c>
      <c r="B91" s="15" t="inlineStr">
        <is>
          <t>37131</t>
        </is>
      </c>
      <c r="C91" s="16" t="n">
        <v>0</v>
      </c>
      <c r="D91" s="49" t="n">
        <v>188.92</v>
      </c>
      <c r="E91" s="18" t="n">
        <v>7195</v>
      </c>
      <c r="F91" s="18" t="n">
        <v>7195</v>
      </c>
      <c r="G91" s="19">
        <f>IF(F91=0,0,E91/F91*100)</f>
        <v/>
      </c>
      <c r="H91" s="16" t="n">
        <v>0</v>
      </c>
      <c r="I91" s="16" t="n">
        <v>0</v>
      </c>
      <c r="J91" s="16" t="n">
        <v>0</v>
      </c>
      <c r="K91" s="16" t="n">
        <v>0</v>
      </c>
    </row>
    <row r="92">
      <c r="A92" s="15" t="inlineStr">
        <is>
          <t>3 Jun</t>
        </is>
      </c>
      <c r="B92" s="15" t="inlineStr">
        <is>
          <t>39364</t>
        </is>
      </c>
      <c r="C92" s="16" t="n">
        <v>0</v>
      </c>
      <c r="D92" s="49" t="n">
        <v>107.53</v>
      </c>
      <c r="E92" s="18" t="n">
        <v>6787</v>
      </c>
      <c r="F92" s="18" t="n">
        <v>6901</v>
      </c>
      <c r="G92" s="19">
        <f>IF(F92=0,0,E92/F92*100)</f>
        <v/>
      </c>
      <c r="H92" s="16" t="n">
        <v>0</v>
      </c>
      <c r="I92" s="16" t="n">
        <v>0</v>
      </c>
      <c r="J92" s="16" t="n">
        <v>0</v>
      </c>
      <c r="K92" s="16" t="n">
        <v>2</v>
      </c>
    </row>
    <row r="93">
      <c r="A93" s="15" t="inlineStr">
        <is>
          <t>3 Jun</t>
        </is>
      </c>
      <c r="B93" s="15" t="inlineStr">
        <is>
          <t>30739</t>
        </is>
      </c>
      <c r="C93" s="16" t="n">
        <v>0</v>
      </c>
      <c r="D93" s="49" t="n">
        <v>295.06</v>
      </c>
      <c r="E93" s="18" t="n">
        <v>6593</v>
      </c>
      <c r="F93" s="18" t="n">
        <v>6688</v>
      </c>
      <c r="G93" s="19">
        <f>IF(F93=0,0,E93/F93*100)</f>
        <v/>
      </c>
      <c r="H93" s="16" t="n">
        <v>0</v>
      </c>
      <c r="I93" s="16" t="n">
        <v>0</v>
      </c>
      <c r="J93" s="16" t="n">
        <v>0</v>
      </c>
      <c r="K93" s="16" t="n">
        <v>3</v>
      </c>
    </row>
    <row r="94">
      <c r="A94" s="15" t="inlineStr">
        <is>
          <t>3 Jun</t>
        </is>
      </c>
      <c r="B94" s="15" t="inlineStr">
        <is>
          <t>37584</t>
        </is>
      </c>
      <c r="C94" s="16" t="n">
        <v>0</v>
      </c>
      <c r="D94" s="49" t="n">
        <v>102.98</v>
      </c>
      <c r="E94" s="18" t="n">
        <v>3130</v>
      </c>
      <c r="F94" s="18" t="n">
        <v>3197</v>
      </c>
      <c r="G94" s="19">
        <f>IF(F94=0,0,E94/F94*100)</f>
        <v/>
      </c>
      <c r="H94" s="16" t="n">
        <v>1</v>
      </c>
      <c r="I94" s="16" t="n">
        <v>0</v>
      </c>
      <c r="J94" s="16" t="n">
        <v>1</v>
      </c>
      <c r="K94" s="16" t="n">
        <v>2</v>
      </c>
    </row>
    <row r="95">
      <c r="A95" s="15" t="inlineStr">
        <is>
          <t>3 Jun</t>
        </is>
      </c>
      <c r="B95" s="15" t="inlineStr">
        <is>
          <t>30619</t>
        </is>
      </c>
      <c r="C95" s="16" t="n">
        <v>0</v>
      </c>
      <c r="D95" s="49" t="n">
        <v>0.85</v>
      </c>
      <c r="E95" s="18" t="n">
        <v>2601</v>
      </c>
      <c r="F95" s="18" t="n">
        <v>2738</v>
      </c>
      <c r="G95" s="19">
        <f>IF(F95=0,0,E95/F95*100)</f>
        <v/>
      </c>
      <c r="H95" s="16" t="n">
        <v>0</v>
      </c>
      <c r="I95" s="16" t="n">
        <v>0</v>
      </c>
      <c r="J95" s="16" t="n">
        <v>0</v>
      </c>
      <c r="K95" s="16" t="n">
        <v>1</v>
      </c>
    </row>
    <row r="96">
      <c r="A96" s="15" t="inlineStr">
        <is>
          <t>3 Jun</t>
        </is>
      </c>
      <c r="B96" s="15" t="inlineStr">
        <is>
          <t>30680</t>
        </is>
      </c>
      <c r="C96" s="16" t="n">
        <v>0</v>
      </c>
      <c r="D96" s="49" t="n">
        <v>36.9</v>
      </c>
      <c r="E96" s="18" t="n">
        <v>1531</v>
      </c>
      <c r="F96" s="18" t="n">
        <v>1677</v>
      </c>
      <c r="G96" s="19">
        <f>IF(F96=0,0,E96/F96*100)</f>
        <v/>
      </c>
      <c r="H96" s="16" t="n">
        <v>0</v>
      </c>
      <c r="I96" s="16" t="n">
        <v>0</v>
      </c>
      <c r="J96" s="16" t="n">
        <v>0</v>
      </c>
      <c r="K96" s="16" t="n">
        <v>1</v>
      </c>
    </row>
    <row r="97">
      <c r="A97" s="15" t="inlineStr">
        <is>
          <t>3 Jun</t>
        </is>
      </c>
      <c r="B97" s="15" t="inlineStr">
        <is>
          <t>41796</t>
        </is>
      </c>
      <c r="C97" s="16" t="n">
        <v>0</v>
      </c>
      <c r="D97" s="49" t="n">
        <v>15.48</v>
      </c>
      <c r="E97" s="18" t="n">
        <v>0</v>
      </c>
      <c r="F97" s="18" t="n">
        <v>899</v>
      </c>
      <c r="G97" s="19">
        <f>IF(F97=0,0,E97/F97*100)</f>
        <v/>
      </c>
      <c r="H97" s="16" t="n">
        <v>0</v>
      </c>
      <c r="I97" s="16" t="n">
        <v>0</v>
      </c>
      <c r="J97" s="16" t="n">
        <v>0</v>
      </c>
      <c r="K97" s="16" t="n">
        <v>0</v>
      </c>
    </row>
    <row r="98">
      <c r="A98" s="15" t="inlineStr">
        <is>
          <t>3 Jun</t>
        </is>
      </c>
      <c r="B98" s="15" t="inlineStr">
        <is>
          <t>30240</t>
        </is>
      </c>
      <c r="C98" s="16" t="n">
        <v>0</v>
      </c>
      <c r="D98" s="49" t="n">
        <v>3.09</v>
      </c>
      <c r="E98" s="18" t="n">
        <v>533</v>
      </c>
      <c r="F98" s="18" t="n">
        <v>763</v>
      </c>
      <c r="G98" s="19">
        <f>IF(F98=0,0,E98/F98*100)</f>
        <v/>
      </c>
      <c r="H98" s="16" t="n">
        <v>0</v>
      </c>
      <c r="I98" s="16" t="n">
        <v>0</v>
      </c>
      <c r="J98" s="16" t="n">
        <v>0</v>
      </c>
      <c r="K98" s="16" t="n">
        <v>0</v>
      </c>
    </row>
    <row r="99">
      <c r="A99" s="15" t="inlineStr">
        <is>
          <t>3 Jun</t>
        </is>
      </c>
      <c r="B99" s="15" t="inlineStr">
        <is>
          <t>37393</t>
        </is>
      </c>
      <c r="C99" s="16" t="n">
        <v>0</v>
      </c>
      <c r="D99" s="49" t="n">
        <v>19.7</v>
      </c>
      <c r="E99" s="18" t="n">
        <v>76</v>
      </c>
      <c r="F99" s="18" t="n">
        <v>135</v>
      </c>
      <c r="G99" s="19">
        <f>IF(F99=0,0,E99/F99*100)</f>
        <v/>
      </c>
      <c r="H99" s="16" t="n">
        <v>0</v>
      </c>
      <c r="I99" s="16" t="n">
        <v>0</v>
      </c>
      <c r="J99" s="16" t="n">
        <v>0</v>
      </c>
      <c r="K99" s="16" t="n">
        <v>1</v>
      </c>
    </row>
    <row r="100">
      <c r="A100" s="15" t="inlineStr">
        <is>
          <t>3 Jun</t>
        </is>
      </c>
      <c r="B100" s="15" t="inlineStr">
        <is>
          <t>37903</t>
        </is>
      </c>
      <c r="C100" s="16" t="n">
        <v>0</v>
      </c>
      <c r="D100" s="49" t="n">
        <v>105.67</v>
      </c>
      <c r="E100" s="18" t="n">
        <v>0</v>
      </c>
      <c r="F100" s="18" t="n">
        <v>35</v>
      </c>
      <c r="G100" s="19">
        <f>IF(F100=0,0,E100/F100*100)</f>
        <v/>
      </c>
      <c r="H100" s="16" t="n">
        <v>0</v>
      </c>
      <c r="I100" s="16" t="n">
        <v>0</v>
      </c>
      <c r="J100" s="16" t="n">
        <v>0</v>
      </c>
      <c r="K100" s="16" t="n">
        <v>0</v>
      </c>
    </row>
    <row r="101">
      <c r="A101" s="20" t="inlineStr">
        <is>
          <t>3 Jun</t>
        </is>
      </c>
      <c r="B101" s="20" t="inlineStr">
        <is>
          <t>Day Total</t>
        </is>
      </c>
      <c r="C101" s="21">
        <f>SUM(C70:C100)</f>
        <v/>
      </c>
      <c r="D101" s="50">
        <f>SUM(D70:D100)</f>
        <v/>
      </c>
      <c r="E101" s="23">
        <f>SUM(E70:E100)</f>
        <v/>
      </c>
      <c r="F101" s="23">
        <f>SUM(F70:F100)</f>
        <v/>
      </c>
      <c r="G101" s="24">
        <f>IF(F101=0,0,E101/F101*100)</f>
        <v/>
      </c>
      <c r="H101" s="21">
        <f>SUM(H70:H100)</f>
        <v/>
      </c>
      <c r="I101" s="21">
        <f>SUM(I70:I100)</f>
        <v/>
      </c>
      <c r="J101" s="21">
        <f>SUM(J70:J100)</f>
        <v/>
      </c>
      <c r="K101" s="21">
        <f>SUM(K70:K100)</f>
        <v/>
      </c>
    </row>
    <row r="102">
      <c r="A102" s="15" t="inlineStr">
        <is>
          <t>4 Jun</t>
        </is>
      </c>
      <c r="B102" s="15" t="inlineStr">
        <is>
          <t>37163</t>
        </is>
      </c>
      <c r="C102" s="16" t="n">
        <v>2</v>
      </c>
      <c r="D102" s="49" t="n">
        <v>543.83</v>
      </c>
      <c r="E102" s="18" t="n">
        <v>37579</v>
      </c>
      <c r="F102" s="18" t="n">
        <v>37823</v>
      </c>
      <c r="G102" s="19">
        <f>IF(F102=0,0,E102/F102*100)</f>
        <v/>
      </c>
      <c r="H102" s="16" t="n">
        <v>0</v>
      </c>
      <c r="I102" s="16" t="n">
        <v>0</v>
      </c>
      <c r="J102" s="16" t="n">
        <v>0</v>
      </c>
      <c r="K102" s="16" t="n">
        <v>4</v>
      </c>
    </row>
    <row r="103">
      <c r="A103" s="15" t="inlineStr">
        <is>
          <t>4 Jun</t>
        </is>
      </c>
      <c r="B103" s="15" t="inlineStr">
        <is>
          <t>39514</t>
        </is>
      </c>
      <c r="C103" s="16" t="n">
        <v>1</v>
      </c>
      <c r="D103" s="49" t="n">
        <v>543.88</v>
      </c>
      <c r="E103" s="18" t="n">
        <v>24027</v>
      </c>
      <c r="F103" s="18" t="n">
        <v>24073</v>
      </c>
      <c r="G103" s="19">
        <f>IF(F103=0,0,E103/F103*100)</f>
        <v/>
      </c>
      <c r="H103" s="16" t="n">
        <v>0</v>
      </c>
      <c r="I103" s="16" t="n">
        <v>0</v>
      </c>
      <c r="J103" s="16" t="n">
        <v>0</v>
      </c>
      <c r="K103" s="16" t="n">
        <v>4</v>
      </c>
    </row>
    <row r="104">
      <c r="A104" s="15" t="inlineStr">
        <is>
          <t>4 Jun</t>
        </is>
      </c>
      <c r="B104" s="15" t="inlineStr">
        <is>
          <t>30223</t>
        </is>
      </c>
      <c r="C104" s="16" t="n">
        <v>1</v>
      </c>
      <c r="D104" s="49" t="n">
        <v>543.9</v>
      </c>
      <c r="E104" s="18" t="n">
        <v>22215</v>
      </c>
      <c r="F104" s="18" t="n">
        <v>22252</v>
      </c>
      <c r="G104" s="19">
        <f>IF(F104=0,0,E104/F104*100)</f>
        <v/>
      </c>
      <c r="H104" s="16" t="n">
        <v>0</v>
      </c>
      <c r="I104" s="16" t="n">
        <v>0</v>
      </c>
      <c r="J104" s="16" t="n">
        <v>0</v>
      </c>
      <c r="K104" s="16" t="n">
        <v>1</v>
      </c>
    </row>
    <row r="105">
      <c r="A105" s="15" t="inlineStr">
        <is>
          <t>4 Jun</t>
        </is>
      </c>
      <c r="B105" s="15" t="inlineStr">
        <is>
          <t>37816</t>
        </is>
      </c>
      <c r="C105" s="16" t="n">
        <v>1</v>
      </c>
      <c r="D105" s="49" t="n">
        <v>541.64</v>
      </c>
      <c r="E105" s="18" t="n">
        <v>21838</v>
      </c>
      <c r="F105" s="18" t="n">
        <v>22058</v>
      </c>
      <c r="G105" s="19">
        <f>IF(F105=0,0,E105/F105*100)</f>
        <v/>
      </c>
      <c r="H105" s="16" t="n">
        <v>0</v>
      </c>
      <c r="I105" s="16" t="n">
        <v>0</v>
      </c>
      <c r="J105" s="16" t="n">
        <v>0</v>
      </c>
      <c r="K105" s="16" t="n">
        <v>7</v>
      </c>
    </row>
    <row r="106">
      <c r="A106" s="15" t="inlineStr">
        <is>
          <t>4 Jun</t>
        </is>
      </c>
      <c r="B106" s="15" t="inlineStr">
        <is>
          <t>37885</t>
        </is>
      </c>
      <c r="C106" s="16" t="n">
        <v>1</v>
      </c>
      <c r="D106" s="49" t="n">
        <v>540.89</v>
      </c>
      <c r="E106" s="18" t="n">
        <v>7639</v>
      </c>
      <c r="F106" s="18" t="n">
        <v>8005</v>
      </c>
      <c r="G106" s="19">
        <f>IF(F106=0,0,E106/F106*100)</f>
        <v/>
      </c>
      <c r="H106" s="16" t="n">
        <v>0</v>
      </c>
      <c r="I106" s="16" t="n">
        <v>0</v>
      </c>
      <c r="J106" s="16" t="n">
        <v>0</v>
      </c>
      <c r="K106" s="16" t="n">
        <v>0</v>
      </c>
    </row>
    <row r="107">
      <c r="A107" s="15" t="inlineStr">
        <is>
          <t>4 Jun</t>
        </is>
      </c>
      <c r="B107" s="15" t="inlineStr">
        <is>
          <t>30752</t>
        </is>
      </c>
      <c r="C107" s="16" t="n">
        <v>0</v>
      </c>
      <c r="D107" s="49" t="n">
        <v>251.86</v>
      </c>
      <c r="E107" s="18" t="n">
        <v>32151</v>
      </c>
      <c r="F107" s="18" t="n">
        <v>32196</v>
      </c>
      <c r="G107" s="19">
        <f>IF(F107=0,0,E107/F107*100)</f>
        <v/>
      </c>
      <c r="H107" s="16" t="n">
        <v>0</v>
      </c>
      <c r="I107" s="16" t="n">
        <v>0</v>
      </c>
      <c r="J107" s="16" t="n">
        <v>0</v>
      </c>
      <c r="K107" s="16" t="n">
        <v>0</v>
      </c>
    </row>
    <row r="108">
      <c r="A108" s="15" t="inlineStr">
        <is>
          <t>4 Jun</t>
        </is>
      </c>
      <c r="B108" s="15" t="inlineStr">
        <is>
          <t>30795</t>
        </is>
      </c>
      <c r="C108" s="16" t="n">
        <v>0</v>
      </c>
      <c r="D108" s="49" t="n">
        <v>322.61</v>
      </c>
      <c r="E108" s="18" t="n">
        <v>25802</v>
      </c>
      <c r="F108" s="18" t="n">
        <v>26005</v>
      </c>
      <c r="G108" s="19">
        <f>IF(F108=0,0,E108/F108*100)</f>
        <v/>
      </c>
      <c r="H108" s="16" t="n">
        <v>0</v>
      </c>
      <c r="I108" s="16" t="n">
        <v>0</v>
      </c>
      <c r="J108" s="16" t="n">
        <v>0</v>
      </c>
      <c r="K108" s="16" t="n">
        <v>1</v>
      </c>
    </row>
    <row r="109">
      <c r="A109" s="15" t="inlineStr">
        <is>
          <t>4 Jun</t>
        </is>
      </c>
      <c r="B109" s="15" t="inlineStr">
        <is>
          <t>39046</t>
        </is>
      </c>
      <c r="C109" s="16" t="n">
        <v>0</v>
      </c>
      <c r="D109" s="49" t="n">
        <v>527.42</v>
      </c>
      <c r="E109" s="18" t="n">
        <v>23182</v>
      </c>
      <c r="F109" s="18" t="n">
        <v>23290</v>
      </c>
      <c r="G109" s="19">
        <f>IF(F109=0,0,E109/F109*100)</f>
        <v/>
      </c>
      <c r="H109" s="16" t="n">
        <v>0</v>
      </c>
      <c r="I109" s="16" t="n">
        <v>0</v>
      </c>
      <c r="J109" s="16" t="n">
        <v>0</v>
      </c>
      <c r="K109" s="16" t="n">
        <v>3</v>
      </c>
    </row>
    <row r="110">
      <c r="A110" s="15" t="inlineStr">
        <is>
          <t>4 Jun</t>
        </is>
      </c>
      <c r="B110" s="15" t="inlineStr">
        <is>
          <t>30339</t>
        </is>
      </c>
      <c r="C110" s="16" t="n">
        <v>0</v>
      </c>
      <c r="D110" s="49" t="n">
        <v>322.6</v>
      </c>
      <c r="E110" s="18" t="n">
        <v>20799</v>
      </c>
      <c r="F110" s="18" t="n">
        <v>20993</v>
      </c>
      <c r="G110" s="19">
        <f>IF(F110=0,0,E110/F110*100)</f>
        <v/>
      </c>
      <c r="H110" s="16" t="n">
        <v>0</v>
      </c>
      <c r="I110" s="16" t="n">
        <v>0</v>
      </c>
      <c r="J110" s="16" t="n">
        <v>0</v>
      </c>
      <c r="K110" s="16" t="n">
        <v>2</v>
      </c>
    </row>
    <row r="111">
      <c r="A111" s="15" t="inlineStr">
        <is>
          <t>4 Jun</t>
        </is>
      </c>
      <c r="B111" s="15" t="inlineStr">
        <is>
          <t>30177</t>
        </is>
      </c>
      <c r="C111" s="16" t="n">
        <v>0</v>
      </c>
      <c r="D111" s="49" t="n">
        <v>251.19</v>
      </c>
      <c r="E111" s="18" t="n">
        <v>20136</v>
      </c>
      <c r="F111" s="18" t="n">
        <v>20282</v>
      </c>
      <c r="G111" s="19">
        <f>IF(F111=0,0,E111/F111*100)</f>
        <v/>
      </c>
      <c r="H111" s="16" t="n">
        <v>0</v>
      </c>
      <c r="I111" s="16" t="n">
        <v>0</v>
      </c>
      <c r="J111" s="16" t="n">
        <v>0</v>
      </c>
      <c r="K111" s="16" t="n">
        <v>3</v>
      </c>
    </row>
    <row r="112">
      <c r="A112" s="15" t="inlineStr">
        <is>
          <t>4 Jun</t>
        </is>
      </c>
      <c r="B112" s="15" t="inlineStr">
        <is>
          <t>37431</t>
        </is>
      </c>
      <c r="C112" s="16" t="n">
        <v>0</v>
      </c>
      <c r="D112" s="49" t="n">
        <v>329.82</v>
      </c>
      <c r="E112" s="18" t="n">
        <v>18242</v>
      </c>
      <c r="F112" s="18" t="n">
        <v>18336</v>
      </c>
      <c r="G112" s="19">
        <f>IF(F112=0,0,E112/F112*100)</f>
        <v/>
      </c>
      <c r="H112" s="16" t="n">
        <v>0</v>
      </c>
      <c r="I112" s="16" t="n">
        <v>0</v>
      </c>
      <c r="J112" s="16" t="n">
        <v>0</v>
      </c>
      <c r="K112" s="16" t="n">
        <v>3</v>
      </c>
    </row>
    <row r="113">
      <c r="A113" s="15" t="inlineStr">
        <is>
          <t>4 Jun</t>
        </is>
      </c>
      <c r="B113" s="15" t="inlineStr">
        <is>
          <t>37793</t>
        </is>
      </c>
      <c r="C113" s="16" t="n">
        <v>0</v>
      </c>
      <c r="D113" s="49" t="n">
        <v>270.59</v>
      </c>
      <c r="E113" s="18" t="n">
        <v>17352</v>
      </c>
      <c r="F113" s="18" t="n">
        <v>17636</v>
      </c>
      <c r="G113" s="19">
        <f>IF(F113=0,0,E113/F113*100)</f>
        <v/>
      </c>
      <c r="H113" s="16" t="n">
        <v>0</v>
      </c>
      <c r="I113" s="16" t="n">
        <v>0</v>
      </c>
      <c r="J113" s="16" t="n">
        <v>0</v>
      </c>
      <c r="K113" s="16" t="n">
        <v>11</v>
      </c>
    </row>
    <row r="114">
      <c r="A114" s="15" t="inlineStr">
        <is>
          <t>4 Jun</t>
        </is>
      </c>
      <c r="B114" s="15" t="inlineStr">
        <is>
          <t>30466</t>
        </is>
      </c>
      <c r="C114" s="16" t="n">
        <v>0</v>
      </c>
      <c r="D114" s="49" t="n">
        <v>320.02</v>
      </c>
      <c r="E114" s="18" t="n">
        <v>14541</v>
      </c>
      <c r="F114" s="18" t="n">
        <v>14642</v>
      </c>
      <c r="G114" s="19">
        <f>IF(F114=0,0,E114/F114*100)</f>
        <v/>
      </c>
      <c r="H114" s="16" t="n">
        <v>0</v>
      </c>
      <c r="I114" s="16" t="n">
        <v>0</v>
      </c>
      <c r="J114" s="16" t="n">
        <v>0</v>
      </c>
      <c r="K114" s="16" t="n">
        <v>1</v>
      </c>
    </row>
    <row r="115">
      <c r="A115" s="15" t="inlineStr">
        <is>
          <t>4 Jun</t>
        </is>
      </c>
      <c r="B115" s="15" t="inlineStr">
        <is>
          <t>30488</t>
        </is>
      </c>
      <c r="C115" s="16" t="n">
        <v>0</v>
      </c>
      <c r="D115" s="49" t="n">
        <v>321.72</v>
      </c>
      <c r="E115" s="18" t="n">
        <v>12760</v>
      </c>
      <c r="F115" s="18" t="n">
        <v>12803</v>
      </c>
      <c r="G115" s="19">
        <f>IF(F115=0,0,E115/F115*100)</f>
        <v/>
      </c>
      <c r="H115" s="16" t="n">
        <v>0</v>
      </c>
      <c r="I115" s="16" t="n">
        <v>0</v>
      </c>
      <c r="J115" s="16" t="n">
        <v>0</v>
      </c>
      <c r="K115" s="16" t="n">
        <v>2</v>
      </c>
    </row>
    <row r="116">
      <c r="A116" s="15" t="inlineStr">
        <is>
          <t>4 Jun</t>
        </is>
      </c>
      <c r="B116" s="15" t="inlineStr">
        <is>
          <t>37366</t>
        </is>
      </c>
      <c r="C116" s="16" t="n">
        <v>0</v>
      </c>
      <c r="D116" s="49" t="n">
        <v>191.9</v>
      </c>
      <c r="E116" s="18" t="n">
        <v>12759</v>
      </c>
      <c r="F116" s="18" t="n">
        <v>12763</v>
      </c>
      <c r="G116" s="19">
        <f>IF(F116=0,0,E116/F116*100)</f>
        <v/>
      </c>
      <c r="H116" s="16" t="n">
        <v>0</v>
      </c>
      <c r="I116" s="16" t="n">
        <v>0</v>
      </c>
      <c r="J116" s="16" t="n">
        <v>0</v>
      </c>
      <c r="K116" s="16" t="n">
        <v>0</v>
      </c>
    </row>
    <row r="117">
      <c r="A117" s="15" t="inlineStr">
        <is>
          <t>4 Jun</t>
        </is>
      </c>
      <c r="B117" s="15" t="inlineStr">
        <is>
          <t>39252</t>
        </is>
      </c>
      <c r="C117" s="16" t="n">
        <v>0</v>
      </c>
      <c r="D117" s="49" t="n">
        <v>233.44</v>
      </c>
      <c r="E117" s="18" t="n">
        <v>11736</v>
      </c>
      <c r="F117" s="18" t="n">
        <v>11789</v>
      </c>
      <c r="G117" s="19">
        <f>IF(F117=0,0,E117/F117*100)</f>
        <v/>
      </c>
      <c r="H117" s="16" t="n">
        <v>0</v>
      </c>
      <c r="I117" s="16" t="n">
        <v>0</v>
      </c>
      <c r="J117" s="16" t="n">
        <v>0</v>
      </c>
      <c r="K117" s="16" t="n">
        <v>1</v>
      </c>
    </row>
    <row r="118">
      <c r="A118" s="15" t="inlineStr">
        <is>
          <t>4 Jun</t>
        </is>
      </c>
      <c r="B118" s="15" t="inlineStr">
        <is>
          <t>30739</t>
        </is>
      </c>
      <c r="C118" s="16" t="n">
        <v>0</v>
      </c>
      <c r="D118" s="49" t="n">
        <v>533.21</v>
      </c>
      <c r="E118" s="18" t="n">
        <v>11249</v>
      </c>
      <c r="F118" s="18" t="n">
        <v>11423</v>
      </c>
      <c r="G118" s="19">
        <f>IF(F118=0,0,E118/F118*100)</f>
        <v/>
      </c>
      <c r="H118" s="16" t="n">
        <v>4</v>
      </c>
      <c r="I118" s="16" t="n">
        <v>0</v>
      </c>
      <c r="J118" s="16" t="n">
        <v>4</v>
      </c>
      <c r="K118" s="16" t="n">
        <v>1</v>
      </c>
    </row>
    <row r="119">
      <c r="A119" s="15" t="inlineStr">
        <is>
          <t>4 Jun</t>
        </is>
      </c>
      <c r="B119" s="15" t="inlineStr">
        <is>
          <t>30680</t>
        </is>
      </c>
      <c r="C119" s="16" t="n">
        <v>0</v>
      </c>
      <c r="D119" s="49" t="n">
        <v>292.93</v>
      </c>
      <c r="E119" s="18" t="n">
        <v>11273</v>
      </c>
      <c r="F119" s="18" t="n">
        <v>11396</v>
      </c>
      <c r="G119" s="19">
        <f>IF(F119=0,0,E119/F119*100)</f>
        <v/>
      </c>
      <c r="H119" s="16" t="n">
        <v>0</v>
      </c>
      <c r="I119" s="16" t="n">
        <v>0</v>
      </c>
      <c r="J119" s="16" t="n">
        <v>0</v>
      </c>
      <c r="K119" s="16" t="n">
        <v>8</v>
      </c>
    </row>
    <row r="120">
      <c r="A120" s="15" t="inlineStr">
        <is>
          <t>4 Jun</t>
        </is>
      </c>
      <c r="B120" s="15" t="inlineStr">
        <is>
          <t>37248</t>
        </is>
      </c>
      <c r="C120" s="16" t="n">
        <v>0</v>
      </c>
      <c r="D120" s="49" t="n">
        <v>108.54</v>
      </c>
      <c r="E120" s="18" t="n">
        <v>10845</v>
      </c>
      <c r="F120" s="18" t="n">
        <v>10898</v>
      </c>
      <c r="G120" s="19">
        <f>IF(F120=0,0,E120/F120*100)</f>
        <v/>
      </c>
      <c r="H120" s="16" t="n">
        <v>0</v>
      </c>
      <c r="I120" s="16" t="n">
        <v>0</v>
      </c>
      <c r="J120" s="16" t="n">
        <v>0</v>
      </c>
      <c r="K120" s="16" t="n">
        <v>0</v>
      </c>
    </row>
    <row r="121">
      <c r="A121" s="15" t="inlineStr">
        <is>
          <t>4 Jun</t>
        </is>
      </c>
      <c r="B121" s="15" t="inlineStr">
        <is>
          <t>39565</t>
        </is>
      </c>
      <c r="C121" s="16" t="n">
        <v>0</v>
      </c>
      <c r="D121" s="49" t="n">
        <v>319.23</v>
      </c>
      <c r="E121" s="18" t="n">
        <v>10430</v>
      </c>
      <c r="F121" s="18" t="n">
        <v>10617</v>
      </c>
      <c r="G121" s="19">
        <f>IF(F121=0,0,E121/F121*100)</f>
        <v/>
      </c>
      <c r="H121" s="16" t="n">
        <v>0</v>
      </c>
      <c r="I121" s="16" t="n">
        <v>0</v>
      </c>
      <c r="J121" s="16" t="n">
        <v>0</v>
      </c>
      <c r="K121" s="16" t="n">
        <v>4</v>
      </c>
    </row>
    <row r="122">
      <c r="A122" s="15" t="inlineStr">
        <is>
          <t>4 Jun</t>
        </is>
      </c>
      <c r="B122" s="15" t="inlineStr">
        <is>
          <t>30215</t>
        </is>
      </c>
      <c r="C122" s="16" t="n">
        <v>0</v>
      </c>
      <c r="D122" s="49" t="n">
        <v>222.33</v>
      </c>
      <c r="E122" s="18" t="n">
        <v>8401</v>
      </c>
      <c r="F122" s="18" t="n">
        <v>8401</v>
      </c>
      <c r="G122" s="19">
        <f>IF(F122=0,0,E122/F122*100)</f>
        <v/>
      </c>
      <c r="H122" s="16" t="n">
        <v>0</v>
      </c>
      <c r="I122" s="16" t="n">
        <v>0</v>
      </c>
      <c r="J122" s="16" t="n">
        <v>0</v>
      </c>
      <c r="K122" s="16" t="n">
        <v>0</v>
      </c>
    </row>
    <row r="123">
      <c r="A123" s="15" t="inlineStr">
        <is>
          <t>4 Jun</t>
        </is>
      </c>
      <c r="B123" s="15" t="inlineStr">
        <is>
          <t>37361</t>
        </is>
      </c>
      <c r="C123" s="16" t="n">
        <v>0</v>
      </c>
      <c r="D123" s="49" t="n">
        <v>228.99</v>
      </c>
      <c r="E123" s="18" t="n">
        <v>7103</v>
      </c>
      <c r="F123" s="18" t="n">
        <v>7122</v>
      </c>
      <c r="G123" s="19">
        <f>IF(F123=0,0,E123/F123*100)</f>
        <v/>
      </c>
      <c r="H123" s="16" t="n">
        <v>0</v>
      </c>
      <c r="I123" s="16" t="n">
        <v>0</v>
      </c>
      <c r="J123" s="16" t="n">
        <v>0</v>
      </c>
      <c r="K123" s="16" t="n">
        <v>1</v>
      </c>
    </row>
    <row r="124">
      <c r="A124" s="15" t="inlineStr">
        <is>
          <t>4 Jun</t>
        </is>
      </c>
      <c r="B124" s="15" t="inlineStr">
        <is>
          <t>37056</t>
        </is>
      </c>
      <c r="C124" s="16" t="n">
        <v>0</v>
      </c>
      <c r="D124" s="49" t="n">
        <v>107.53</v>
      </c>
      <c r="E124" s="18" t="n">
        <v>4049</v>
      </c>
      <c r="F124" s="18" t="n">
        <v>4083</v>
      </c>
      <c r="G124" s="19">
        <f>IF(F124=0,0,E124/F124*100)</f>
        <v/>
      </c>
      <c r="H124" s="16" t="n">
        <v>0</v>
      </c>
      <c r="I124" s="16" t="n">
        <v>0</v>
      </c>
      <c r="J124" s="16" t="n">
        <v>0</v>
      </c>
      <c r="K124" s="16" t="n">
        <v>0</v>
      </c>
    </row>
    <row r="125">
      <c r="A125" s="15" t="inlineStr">
        <is>
          <t>4 Jun</t>
        </is>
      </c>
      <c r="B125" s="15" t="inlineStr">
        <is>
          <t>37229</t>
        </is>
      </c>
      <c r="C125" s="16" t="n">
        <v>0</v>
      </c>
      <c r="D125" s="49" t="n">
        <v>107.85</v>
      </c>
      <c r="E125" s="18" t="n">
        <v>3998</v>
      </c>
      <c r="F125" s="18" t="n">
        <v>4078</v>
      </c>
      <c r="G125" s="19">
        <f>IF(F125=0,0,E125/F125*100)</f>
        <v/>
      </c>
      <c r="H125" s="16" t="n">
        <v>0</v>
      </c>
      <c r="I125" s="16" t="n">
        <v>0</v>
      </c>
      <c r="J125" s="16" t="n">
        <v>0</v>
      </c>
      <c r="K125" s="16" t="n">
        <v>3</v>
      </c>
    </row>
    <row r="126">
      <c r="A126" s="15" t="inlineStr">
        <is>
          <t>4 Jun</t>
        </is>
      </c>
      <c r="B126" s="15" t="inlineStr">
        <is>
          <t>30511</t>
        </is>
      </c>
      <c r="C126" s="16" t="n">
        <v>0</v>
      </c>
      <c r="D126" s="49" t="n">
        <v>4.13</v>
      </c>
      <c r="E126" s="18" t="n">
        <v>373</v>
      </c>
      <c r="F126" s="18" t="n">
        <v>711</v>
      </c>
      <c r="G126" s="19">
        <f>IF(F126=0,0,E126/F126*100)</f>
        <v/>
      </c>
      <c r="H126" s="16" t="n">
        <v>2</v>
      </c>
      <c r="I126" s="16" t="n">
        <v>0</v>
      </c>
      <c r="J126" s="16" t="n">
        <v>2</v>
      </c>
      <c r="K126" s="16" t="n">
        <v>4</v>
      </c>
    </row>
    <row r="127">
      <c r="A127" s="15" t="inlineStr">
        <is>
          <t>4 Jun</t>
        </is>
      </c>
      <c r="B127" s="15" t="inlineStr">
        <is>
          <t>37340</t>
        </is>
      </c>
      <c r="C127" s="16" t="n">
        <v>0</v>
      </c>
      <c r="D127" s="49" t="n">
        <v>118.11</v>
      </c>
      <c r="E127" s="18" t="n">
        <v>290</v>
      </c>
      <c r="F127" s="18" t="n">
        <v>388</v>
      </c>
      <c r="G127" s="19">
        <f>IF(F127=0,0,E127/F127*100)</f>
        <v/>
      </c>
      <c r="H127" s="16" t="n">
        <v>0</v>
      </c>
      <c r="I127" s="16" t="n">
        <v>0</v>
      </c>
      <c r="J127" s="16" t="n">
        <v>0</v>
      </c>
      <c r="K127" s="16" t="n">
        <v>2</v>
      </c>
    </row>
    <row r="128">
      <c r="A128" s="15" t="inlineStr">
        <is>
          <t>4 Jun</t>
        </is>
      </c>
      <c r="B128" s="15" t="inlineStr">
        <is>
          <t>37031</t>
        </is>
      </c>
      <c r="C128" s="16" t="n">
        <v>0</v>
      </c>
      <c r="D128" s="49" t="n">
        <v>2.34</v>
      </c>
      <c r="E128" s="18" t="n">
        <v>316</v>
      </c>
      <c r="F128" s="18" t="n">
        <v>329</v>
      </c>
      <c r="G128" s="19">
        <f>IF(F128=0,0,E128/F128*100)</f>
        <v/>
      </c>
      <c r="H128" s="16" t="n">
        <v>0</v>
      </c>
      <c r="I128" s="16" t="n">
        <v>0</v>
      </c>
      <c r="J128" s="16" t="n">
        <v>0</v>
      </c>
      <c r="K128" s="16" t="n">
        <v>0</v>
      </c>
    </row>
    <row r="129">
      <c r="A129" s="15" t="inlineStr">
        <is>
          <t>4 Jun</t>
        </is>
      </c>
      <c r="B129" s="15" t="inlineStr">
        <is>
          <t>37786</t>
        </is>
      </c>
      <c r="C129" s="16" t="n">
        <v>0</v>
      </c>
      <c r="D129" s="49" t="n">
        <v>12.54</v>
      </c>
      <c r="E129" s="18" t="n">
        <v>0</v>
      </c>
      <c r="F129" s="18" t="n">
        <v>178</v>
      </c>
      <c r="G129" s="19">
        <f>IF(F129=0,0,E129/F129*100)</f>
        <v/>
      </c>
      <c r="H129" s="16" t="n">
        <v>0</v>
      </c>
      <c r="I129" s="16" t="n">
        <v>0</v>
      </c>
      <c r="J129" s="16" t="n">
        <v>0</v>
      </c>
      <c r="K129" s="16" t="n">
        <v>0</v>
      </c>
    </row>
    <row r="130">
      <c r="A130" s="15" t="inlineStr">
        <is>
          <t>4 Jun</t>
        </is>
      </c>
      <c r="B130" s="15" t="inlineStr">
        <is>
          <t>37903</t>
        </is>
      </c>
      <c r="C130" s="16" t="n">
        <v>0</v>
      </c>
      <c r="D130" s="49" t="n">
        <v>218.58</v>
      </c>
      <c r="E130" s="18" t="n">
        <v>0</v>
      </c>
      <c r="F130" s="18" t="n">
        <v>71</v>
      </c>
      <c r="G130" s="19">
        <f>IF(F130=0,0,E130/F130*100)</f>
        <v/>
      </c>
      <c r="H130" s="16" t="n">
        <v>0</v>
      </c>
      <c r="I130" s="16" t="n">
        <v>0</v>
      </c>
      <c r="J130" s="16" t="n">
        <v>0</v>
      </c>
      <c r="K130" s="16" t="n">
        <v>0</v>
      </c>
    </row>
    <row r="131">
      <c r="A131" s="15" t="inlineStr">
        <is>
          <t>4 Jun</t>
        </is>
      </c>
      <c r="B131" s="15" t="inlineStr">
        <is>
          <t>37393</t>
        </is>
      </c>
      <c r="C131" s="16" t="n">
        <v>0</v>
      </c>
      <c r="D131" s="49" t="n">
        <v>1.66</v>
      </c>
      <c r="E131" s="18" t="n">
        <v>12</v>
      </c>
      <c r="F131" s="18" t="n">
        <v>33</v>
      </c>
      <c r="G131" s="19">
        <f>IF(F131=0,0,E131/F131*100)</f>
        <v/>
      </c>
      <c r="H131" s="16" t="n">
        <v>0</v>
      </c>
      <c r="I131" s="16" t="n">
        <v>0</v>
      </c>
      <c r="J131" s="16" t="n">
        <v>0</v>
      </c>
      <c r="K131" s="16" t="n">
        <v>0</v>
      </c>
    </row>
    <row r="132">
      <c r="A132" s="20" t="inlineStr">
        <is>
          <t>4 Jun</t>
        </is>
      </c>
      <c r="B132" s="20" t="inlineStr">
        <is>
          <t>Day Total</t>
        </is>
      </c>
      <c r="C132" s="21">
        <f>SUM(C102:C131)</f>
        <v/>
      </c>
      <c r="D132" s="50">
        <f>SUM(D102:D131)</f>
        <v/>
      </c>
      <c r="E132" s="23">
        <f>SUM(E102:E131)</f>
        <v/>
      </c>
      <c r="F132" s="23">
        <f>SUM(F102:F131)</f>
        <v/>
      </c>
      <c r="G132" s="24">
        <f>IF(F132=0,0,E132/F132*100)</f>
        <v/>
      </c>
      <c r="H132" s="21">
        <f>SUM(H102:H131)</f>
        <v/>
      </c>
      <c r="I132" s="21">
        <f>SUM(I102:I131)</f>
        <v/>
      </c>
      <c r="J132" s="21">
        <f>SUM(J102:J131)</f>
        <v/>
      </c>
      <c r="K132" s="21">
        <f>SUM(K102:K131)</f>
        <v/>
      </c>
    </row>
    <row r="133">
      <c r="A133" s="15" t="inlineStr">
        <is>
          <t>5 Jun</t>
        </is>
      </c>
      <c r="B133" s="15" t="inlineStr">
        <is>
          <t>37219</t>
        </is>
      </c>
      <c r="C133" s="16" t="n">
        <v>1</v>
      </c>
      <c r="D133" s="49" t="n">
        <v>541.64</v>
      </c>
      <c r="E133" s="18" t="n">
        <v>29259</v>
      </c>
      <c r="F133" s="18" t="n">
        <v>29359</v>
      </c>
      <c r="G133" s="19">
        <f>IF(F133=0,0,E133/F133*100)</f>
        <v/>
      </c>
      <c r="H133" s="16" t="n">
        <v>0</v>
      </c>
      <c r="I133" s="16" t="n">
        <v>0</v>
      </c>
      <c r="J133" s="16" t="n">
        <v>0</v>
      </c>
      <c r="K133" s="16" t="n">
        <v>1</v>
      </c>
    </row>
    <row r="134">
      <c r="A134" s="15" t="inlineStr">
        <is>
          <t>5 Jun</t>
        </is>
      </c>
      <c r="B134" s="15" t="inlineStr">
        <is>
          <t>39328</t>
        </is>
      </c>
      <c r="C134" s="16" t="n">
        <v>1</v>
      </c>
      <c r="D134" s="49" t="n">
        <v>543.86</v>
      </c>
      <c r="E134" s="18" t="n">
        <v>24440</v>
      </c>
      <c r="F134" s="18" t="n">
        <v>24496</v>
      </c>
      <c r="G134" s="19">
        <f>IF(F134=0,0,E134/F134*100)</f>
        <v/>
      </c>
      <c r="H134" s="16" t="n">
        <v>0</v>
      </c>
      <c r="I134" s="16" t="n">
        <v>0</v>
      </c>
      <c r="J134" s="16" t="n">
        <v>0</v>
      </c>
      <c r="K134" s="16" t="n">
        <v>3</v>
      </c>
    </row>
    <row r="135">
      <c r="A135" s="15" t="inlineStr">
        <is>
          <t>5 Jun</t>
        </is>
      </c>
      <c r="B135" s="15" t="inlineStr">
        <is>
          <t>39159</t>
        </is>
      </c>
      <c r="C135" s="16" t="n">
        <v>1</v>
      </c>
      <c r="D135" s="49" t="n">
        <v>541.65</v>
      </c>
      <c r="E135" s="18" t="n">
        <v>17884</v>
      </c>
      <c r="F135" s="18" t="n">
        <v>18144</v>
      </c>
      <c r="G135" s="19">
        <f>IF(F135=0,0,E135/F135*100)</f>
        <v/>
      </c>
      <c r="H135" s="16" t="n">
        <v>0</v>
      </c>
      <c r="I135" s="16" t="n">
        <v>0</v>
      </c>
      <c r="J135" s="16" t="n">
        <v>0</v>
      </c>
      <c r="K135" s="16" t="n">
        <v>5</v>
      </c>
    </row>
    <row r="136">
      <c r="A136" s="15" t="inlineStr">
        <is>
          <t>5 Jun</t>
        </is>
      </c>
      <c r="B136" s="15" t="inlineStr">
        <is>
          <t>39466</t>
        </is>
      </c>
      <c r="C136" s="16" t="n">
        <v>1</v>
      </c>
      <c r="D136" s="49" t="n">
        <v>543.65</v>
      </c>
      <c r="E136" s="18" t="n">
        <v>18043</v>
      </c>
      <c r="F136" s="18" t="n">
        <v>18123</v>
      </c>
      <c r="G136" s="19">
        <f>IF(F136=0,0,E136/F136*100)</f>
        <v/>
      </c>
      <c r="H136" s="16" t="n">
        <v>0</v>
      </c>
      <c r="I136" s="16" t="n">
        <v>0</v>
      </c>
      <c r="J136" s="16" t="n">
        <v>0</v>
      </c>
      <c r="K136" s="16" t="n">
        <v>4</v>
      </c>
    </row>
    <row r="137">
      <c r="A137" s="15" t="inlineStr">
        <is>
          <t>5 Jun</t>
        </is>
      </c>
      <c r="B137" s="15" t="inlineStr">
        <is>
          <t>30752</t>
        </is>
      </c>
      <c r="C137" s="16" t="n">
        <v>0</v>
      </c>
      <c r="D137" s="49" t="n">
        <v>251.8</v>
      </c>
      <c r="E137" s="18" t="n">
        <v>32845</v>
      </c>
      <c r="F137" s="18" t="n">
        <v>32926</v>
      </c>
      <c r="G137" s="19">
        <f>IF(F137=0,0,E137/F137*100)</f>
        <v/>
      </c>
      <c r="H137" s="16" t="n">
        <v>0</v>
      </c>
      <c r="I137" s="16" t="n">
        <v>0</v>
      </c>
      <c r="J137" s="16" t="n">
        <v>0</v>
      </c>
      <c r="K137" s="16" t="n">
        <v>1</v>
      </c>
    </row>
    <row r="138">
      <c r="A138" s="15" t="inlineStr">
        <is>
          <t>5 Jun</t>
        </is>
      </c>
      <c r="B138" s="15" t="inlineStr">
        <is>
          <t>30177</t>
        </is>
      </c>
      <c r="C138" s="16" t="n">
        <v>0</v>
      </c>
      <c r="D138" s="49" t="n">
        <v>413.79</v>
      </c>
      <c r="E138" s="18" t="n">
        <v>28885</v>
      </c>
      <c r="F138" s="18" t="n">
        <v>29100</v>
      </c>
      <c r="G138" s="19">
        <f>IF(F138=0,0,E138/F138*100)</f>
        <v/>
      </c>
      <c r="H138" s="16" t="n">
        <v>0</v>
      </c>
      <c r="I138" s="16" t="n">
        <v>0</v>
      </c>
      <c r="J138" s="16" t="n">
        <v>0</v>
      </c>
      <c r="K138" s="16" t="n">
        <v>6</v>
      </c>
    </row>
    <row r="139">
      <c r="A139" s="15" t="inlineStr">
        <is>
          <t>5 Jun</t>
        </is>
      </c>
      <c r="B139" s="15" t="inlineStr">
        <is>
          <t>37431</t>
        </is>
      </c>
      <c r="C139" s="16" t="n">
        <v>0</v>
      </c>
      <c r="D139" s="49" t="n">
        <v>329.83</v>
      </c>
      <c r="E139" s="18" t="n">
        <v>28653</v>
      </c>
      <c r="F139" s="18" t="n">
        <v>28716</v>
      </c>
      <c r="G139" s="19">
        <f>IF(F139=0,0,E139/F139*100)</f>
        <v/>
      </c>
      <c r="H139" s="16" t="n">
        <v>0</v>
      </c>
      <c r="I139" s="16" t="n">
        <v>0</v>
      </c>
      <c r="J139" s="16" t="n">
        <v>0</v>
      </c>
      <c r="K139" s="16" t="n">
        <v>2</v>
      </c>
    </row>
    <row r="140">
      <c r="A140" s="15" t="inlineStr">
        <is>
          <t>5 Jun</t>
        </is>
      </c>
      <c r="B140" s="15" t="inlineStr">
        <is>
          <t>30488</t>
        </is>
      </c>
      <c r="C140" s="16" t="n">
        <v>0</v>
      </c>
      <c r="D140" s="49" t="n">
        <v>322.61</v>
      </c>
      <c r="E140" s="18" t="n">
        <v>24441</v>
      </c>
      <c r="F140" s="18" t="n">
        <v>24633</v>
      </c>
      <c r="G140" s="19">
        <f>IF(F140=0,0,E140/F140*100)</f>
        <v/>
      </c>
      <c r="H140" s="16" t="n">
        <v>1</v>
      </c>
      <c r="I140" s="16" t="n">
        <v>0</v>
      </c>
      <c r="J140" s="16" t="n">
        <v>1</v>
      </c>
      <c r="K140" s="16" t="n">
        <v>3</v>
      </c>
    </row>
    <row r="141">
      <c r="A141" s="15" t="inlineStr">
        <is>
          <t>5 Jun</t>
        </is>
      </c>
      <c r="B141" s="15" t="inlineStr">
        <is>
          <t>37793</t>
        </is>
      </c>
      <c r="C141" s="16" t="n">
        <v>0</v>
      </c>
      <c r="D141" s="49" t="n">
        <v>349.64</v>
      </c>
      <c r="E141" s="18" t="n">
        <v>22920</v>
      </c>
      <c r="F141" s="18" t="n">
        <v>23161</v>
      </c>
      <c r="G141" s="19">
        <f>IF(F141=0,0,E141/F141*100)</f>
        <v/>
      </c>
      <c r="H141" s="16" t="n">
        <v>1</v>
      </c>
      <c r="I141" s="16" t="n">
        <v>0</v>
      </c>
      <c r="J141" s="16" t="n">
        <v>1</v>
      </c>
      <c r="K141" s="16" t="n">
        <v>6</v>
      </c>
    </row>
    <row r="142">
      <c r="A142" s="15" t="inlineStr">
        <is>
          <t>5 Jun</t>
        </is>
      </c>
      <c r="B142" s="15" t="inlineStr">
        <is>
          <t>30339</t>
        </is>
      </c>
      <c r="C142" s="16" t="n">
        <v>0</v>
      </c>
      <c r="D142" s="49" t="n">
        <v>321.5</v>
      </c>
      <c r="E142" s="18" t="n">
        <v>22574</v>
      </c>
      <c r="F142" s="18" t="n">
        <v>22722</v>
      </c>
      <c r="G142" s="19">
        <f>IF(F142=0,0,E142/F142*100)</f>
        <v/>
      </c>
      <c r="H142" s="16" t="n">
        <v>0</v>
      </c>
      <c r="I142" s="16" t="n">
        <v>0</v>
      </c>
      <c r="J142" s="16" t="n">
        <v>0</v>
      </c>
      <c r="K142" s="16" t="n">
        <v>1</v>
      </c>
    </row>
    <row r="143">
      <c r="A143" s="15" t="inlineStr">
        <is>
          <t>5 Jun</t>
        </is>
      </c>
      <c r="B143" s="15" t="inlineStr">
        <is>
          <t>30223</t>
        </is>
      </c>
      <c r="C143" s="16" t="n">
        <v>0</v>
      </c>
      <c r="D143" s="49" t="n">
        <v>470.59</v>
      </c>
      <c r="E143" s="18" t="n">
        <v>21008</v>
      </c>
      <c r="F143" s="18" t="n">
        <v>21024</v>
      </c>
      <c r="G143" s="19">
        <f>IF(F143=0,0,E143/F143*100)</f>
        <v/>
      </c>
      <c r="H143" s="16" t="n">
        <v>0</v>
      </c>
      <c r="I143" s="16" t="n">
        <v>0</v>
      </c>
      <c r="J143" s="16" t="n">
        <v>0</v>
      </c>
      <c r="K143" s="16" t="n">
        <v>0</v>
      </c>
    </row>
    <row r="144">
      <c r="A144" s="15" t="inlineStr">
        <is>
          <t>5 Jun</t>
        </is>
      </c>
      <c r="B144" s="15" t="inlineStr">
        <is>
          <t>37257</t>
        </is>
      </c>
      <c r="C144" s="16" t="n">
        <v>0</v>
      </c>
      <c r="D144" s="49" t="n">
        <v>250.82</v>
      </c>
      <c r="E144" s="18" t="n">
        <v>19502</v>
      </c>
      <c r="F144" s="18" t="n">
        <v>19800</v>
      </c>
      <c r="G144" s="19">
        <f>IF(F144=0,0,E144/F144*100)</f>
        <v/>
      </c>
      <c r="H144" s="16" t="n">
        <v>0</v>
      </c>
      <c r="I144" s="16" t="n">
        <v>0</v>
      </c>
      <c r="J144" s="16" t="n">
        <v>0</v>
      </c>
      <c r="K144" s="16" t="n">
        <v>2</v>
      </c>
    </row>
    <row r="145">
      <c r="A145" s="15" t="inlineStr">
        <is>
          <t>5 Jun</t>
        </is>
      </c>
      <c r="B145" s="15" t="inlineStr">
        <is>
          <t>37287</t>
        </is>
      </c>
      <c r="C145" s="16" t="n">
        <v>0</v>
      </c>
      <c r="D145" s="49" t="n">
        <v>470.6</v>
      </c>
      <c r="E145" s="18" t="n">
        <v>19250</v>
      </c>
      <c r="F145" s="18" t="n">
        <v>19615</v>
      </c>
      <c r="G145" s="19">
        <f>IF(F145=0,0,E145/F145*100)</f>
        <v/>
      </c>
      <c r="H145" s="16" t="n">
        <v>0</v>
      </c>
      <c r="I145" s="16" t="n">
        <v>0</v>
      </c>
      <c r="J145" s="16" t="n">
        <v>0</v>
      </c>
      <c r="K145" s="16" t="n">
        <v>3</v>
      </c>
    </row>
    <row r="146">
      <c r="A146" s="15" t="inlineStr">
        <is>
          <t>5 Jun</t>
        </is>
      </c>
      <c r="B146" s="15" t="inlineStr">
        <is>
          <t>37627</t>
        </is>
      </c>
      <c r="C146" s="16" t="n">
        <v>0</v>
      </c>
      <c r="D146" s="49" t="n">
        <v>329.84</v>
      </c>
      <c r="E146" s="18" t="n">
        <v>13081</v>
      </c>
      <c r="F146" s="18" t="n">
        <v>13664</v>
      </c>
      <c r="G146" s="19">
        <f>IF(F146=0,0,E146/F146*100)</f>
        <v/>
      </c>
      <c r="H146" s="16" t="n">
        <v>0</v>
      </c>
      <c r="I146" s="16" t="n">
        <v>0</v>
      </c>
      <c r="J146" s="16" t="n">
        <v>0</v>
      </c>
      <c r="K146" s="16" t="n">
        <v>2</v>
      </c>
    </row>
    <row r="147">
      <c r="A147" s="15" t="inlineStr">
        <is>
          <t>5 Jun</t>
        </is>
      </c>
      <c r="B147" s="15" t="inlineStr">
        <is>
          <t>30335</t>
        </is>
      </c>
      <c r="C147" s="16" t="n">
        <v>0</v>
      </c>
      <c r="D147" s="49" t="n">
        <v>322.16</v>
      </c>
      <c r="E147" s="18" t="n">
        <v>13187</v>
      </c>
      <c r="F147" s="18" t="n">
        <v>13238</v>
      </c>
      <c r="G147" s="19">
        <f>IF(F147=0,0,E147/F147*100)</f>
        <v/>
      </c>
      <c r="H147" s="16" t="n">
        <v>0</v>
      </c>
      <c r="I147" s="16" t="n">
        <v>0</v>
      </c>
      <c r="J147" s="16" t="n">
        <v>0</v>
      </c>
      <c r="K147" s="16" t="n">
        <v>1</v>
      </c>
    </row>
    <row r="148">
      <c r="A148" s="15" t="inlineStr">
        <is>
          <t>5 Jun</t>
        </is>
      </c>
      <c r="B148" s="15" t="inlineStr">
        <is>
          <t>39501</t>
        </is>
      </c>
      <c r="C148" s="16" t="n">
        <v>0</v>
      </c>
      <c r="D148" s="49" t="n">
        <v>318.65</v>
      </c>
      <c r="E148" s="18" t="n">
        <v>12880</v>
      </c>
      <c r="F148" s="18" t="n">
        <v>13023</v>
      </c>
      <c r="G148" s="19">
        <f>IF(F148=0,0,E148/F148*100)</f>
        <v/>
      </c>
      <c r="H148" s="16" t="n">
        <v>1</v>
      </c>
      <c r="I148" s="16" t="n">
        <v>0</v>
      </c>
      <c r="J148" s="16" t="n">
        <v>1</v>
      </c>
      <c r="K148" s="16" t="n">
        <v>4</v>
      </c>
    </row>
    <row r="149">
      <c r="A149" s="15" t="inlineStr">
        <is>
          <t>5 Jun</t>
        </is>
      </c>
      <c r="B149" s="15" t="inlineStr">
        <is>
          <t>39046</t>
        </is>
      </c>
      <c r="C149" s="16" t="n">
        <v>0</v>
      </c>
      <c r="D149" s="49" t="n">
        <v>367.9</v>
      </c>
      <c r="E149" s="18" t="n">
        <v>12925</v>
      </c>
      <c r="F149" s="18" t="n">
        <v>13000</v>
      </c>
      <c r="G149" s="19">
        <f>IF(F149=0,0,E149/F149*100)</f>
        <v/>
      </c>
      <c r="H149" s="16" t="n">
        <v>0</v>
      </c>
      <c r="I149" s="16" t="n">
        <v>0</v>
      </c>
      <c r="J149" s="16" t="n">
        <v>0</v>
      </c>
      <c r="K149" s="16" t="n">
        <v>2</v>
      </c>
    </row>
    <row r="150">
      <c r="A150" s="15" t="inlineStr">
        <is>
          <t>5 Jun</t>
        </is>
      </c>
      <c r="B150" s="15" t="inlineStr">
        <is>
          <t>39331</t>
        </is>
      </c>
      <c r="C150" s="16" t="n">
        <v>0</v>
      </c>
      <c r="D150" s="49" t="n">
        <v>319.67</v>
      </c>
      <c r="E150" s="18" t="n">
        <v>12622</v>
      </c>
      <c r="F150" s="18" t="n">
        <v>12778</v>
      </c>
      <c r="G150" s="19">
        <f>IF(F150=0,0,E150/F150*100)</f>
        <v/>
      </c>
      <c r="H150" s="16" t="n">
        <v>0</v>
      </c>
      <c r="I150" s="16" t="n">
        <v>0</v>
      </c>
      <c r="J150" s="16" t="n">
        <v>0</v>
      </c>
      <c r="K150" s="16" t="n">
        <v>1</v>
      </c>
    </row>
    <row r="151">
      <c r="A151" s="15" t="inlineStr">
        <is>
          <t>5 Jun</t>
        </is>
      </c>
      <c r="B151" s="15" t="inlineStr">
        <is>
          <t>37314</t>
        </is>
      </c>
      <c r="C151" s="16" t="n">
        <v>0</v>
      </c>
      <c r="D151" s="49" t="n">
        <v>329.84</v>
      </c>
      <c r="E151" s="18" t="n">
        <v>12048</v>
      </c>
      <c r="F151" s="18" t="n">
        <v>12682</v>
      </c>
      <c r="G151" s="19">
        <f>IF(F151=0,0,E151/F151*100)</f>
        <v/>
      </c>
      <c r="H151" s="16" t="n">
        <v>0</v>
      </c>
      <c r="I151" s="16" t="n">
        <v>0</v>
      </c>
      <c r="J151" s="16" t="n">
        <v>0</v>
      </c>
      <c r="K151" s="16" t="n">
        <v>2</v>
      </c>
    </row>
    <row r="152">
      <c r="A152" s="15" t="inlineStr">
        <is>
          <t>5 Jun</t>
        </is>
      </c>
      <c r="B152" s="15" t="inlineStr">
        <is>
          <t>39243</t>
        </is>
      </c>
      <c r="C152" s="16" t="n">
        <v>0</v>
      </c>
      <c r="D152" s="49" t="n">
        <v>329.81</v>
      </c>
      <c r="E152" s="18" t="n">
        <v>12041</v>
      </c>
      <c r="F152" s="18" t="n">
        <v>12295</v>
      </c>
      <c r="G152" s="19">
        <f>IF(F152=0,0,E152/F152*100)</f>
        <v/>
      </c>
      <c r="H152" s="16" t="n">
        <v>0</v>
      </c>
      <c r="I152" s="16" t="n">
        <v>0</v>
      </c>
      <c r="J152" s="16" t="n">
        <v>0</v>
      </c>
      <c r="K152" s="16" t="n">
        <v>2</v>
      </c>
    </row>
    <row r="153">
      <c r="A153" s="15" t="inlineStr">
        <is>
          <t>5 Jun</t>
        </is>
      </c>
      <c r="B153" s="15" t="inlineStr">
        <is>
          <t>30435</t>
        </is>
      </c>
      <c r="C153" s="16" t="n">
        <v>0</v>
      </c>
      <c r="D153" s="49" t="n">
        <v>278.38</v>
      </c>
      <c r="E153" s="18" t="n">
        <v>11746</v>
      </c>
      <c r="F153" s="18" t="n">
        <v>11981</v>
      </c>
      <c r="G153" s="19">
        <f>IF(F153=0,0,E153/F153*100)</f>
        <v/>
      </c>
      <c r="H153" s="16" t="n">
        <v>3</v>
      </c>
      <c r="I153" s="16" t="n">
        <v>0</v>
      </c>
      <c r="J153" s="16" t="n">
        <v>3</v>
      </c>
      <c r="K153" s="16" t="n">
        <v>6</v>
      </c>
    </row>
    <row r="154">
      <c r="A154" s="15" t="inlineStr">
        <is>
          <t>5 Jun</t>
        </is>
      </c>
      <c r="B154" s="15" t="inlineStr">
        <is>
          <t>37031</t>
        </is>
      </c>
      <c r="C154" s="16" t="n">
        <v>0</v>
      </c>
      <c r="D154" s="49" t="n">
        <v>108.54</v>
      </c>
      <c r="E154" s="18" t="n">
        <v>11759</v>
      </c>
      <c r="F154" s="18" t="n">
        <v>11819</v>
      </c>
      <c r="G154" s="19">
        <f>IF(F154=0,0,E154/F154*100)</f>
        <v/>
      </c>
      <c r="H154" s="16" t="n">
        <v>0</v>
      </c>
      <c r="I154" s="16" t="n">
        <v>0</v>
      </c>
      <c r="J154" s="16" t="n">
        <v>0</v>
      </c>
      <c r="K154" s="16" t="n">
        <v>0</v>
      </c>
    </row>
    <row r="155">
      <c r="A155" s="15" t="inlineStr">
        <is>
          <t>5 Jun</t>
        </is>
      </c>
      <c r="B155" s="15" t="inlineStr">
        <is>
          <t>30464</t>
        </is>
      </c>
      <c r="C155" s="16" t="n">
        <v>0</v>
      </c>
      <c r="D155" s="49" t="n">
        <v>318.81</v>
      </c>
      <c r="E155" s="18" t="n">
        <v>11370</v>
      </c>
      <c r="F155" s="18" t="n">
        <v>11455</v>
      </c>
      <c r="G155" s="19">
        <f>IF(F155=0,0,E155/F155*100)</f>
        <v/>
      </c>
      <c r="H155" s="16" t="n">
        <v>0</v>
      </c>
      <c r="I155" s="16" t="n">
        <v>0</v>
      </c>
      <c r="J155" s="16" t="n">
        <v>0</v>
      </c>
      <c r="K155" s="16" t="n">
        <v>1</v>
      </c>
    </row>
    <row r="156">
      <c r="A156" s="15" t="inlineStr">
        <is>
          <t>5 Jun</t>
        </is>
      </c>
      <c r="B156" s="15" t="inlineStr">
        <is>
          <t>30215</t>
        </is>
      </c>
      <c r="C156" s="16" t="n">
        <v>0</v>
      </c>
      <c r="D156" s="49" t="n">
        <v>319.3</v>
      </c>
      <c r="E156" s="18" t="n">
        <v>10072</v>
      </c>
      <c r="F156" s="18" t="n">
        <v>10165</v>
      </c>
      <c r="G156" s="19">
        <f>IF(F156=0,0,E156/F156*100)</f>
        <v/>
      </c>
      <c r="H156" s="16" t="n">
        <v>0</v>
      </c>
      <c r="I156" s="16" t="n">
        <v>0</v>
      </c>
      <c r="J156" s="16" t="n">
        <v>0</v>
      </c>
      <c r="K156" s="16" t="n">
        <v>2</v>
      </c>
    </row>
    <row r="157">
      <c r="A157" s="15" t="inlineStr">
        <is>
          <t>5 Jun</t>
        </is>
      </c>
      <c r="B157" s="15" t="inlineStr">
        <is>
          <t>37056</t>
        </is>
      </c>
      <c r="C157" s="16" t="n">
        <v>0</v>
      </c>
      <c r="D157" s="49" t="n">
        <v>108.53</v>
      </c>
      <c r="E157" s="18" t="n">
        <v>8849</v>
      </c>
      <c r="F157" s="18" t="n">
        <v>8952</v>
      </c>
      <c r="G157" s="19">
        <f>IF(F157=0,0,E157/F157*100)</f>
        <v/>
      </c>
      <c r="H157" s="16" t="n">
        <v>0</v>
      </c>
      <c r="I157" s="16" t="n">
        <v>0</v>
      </c>
      <c r="J157" s="16" t="n">
        <v>0</v>
      </c>
      <c r="K157" s="16" t="n">
        <v>0</v>
      </c>
    </row>
    <row r="158">
      <c r="A158" s="15" t="inlineStr">
        <is>
          <t>5 Jun</t>
        </is>
      </c>
      <c r="B158" s="15" t="inlineStr">
        <is>
          <t>30680</t>
        </is>
      </c>
      <c r="C158" s="16" t="n">
        <v>0</v>
      </c>
      <c r="D158" s="49" t="n">
        <v>161.93</v>
      </c>
      <c r="E158" s="18" t="n">
        <v>6451</v>
      </c>
      <c r="F158" s="18" t="n">
        <v>6949</v>
      </c>
      <c r="G158" s="19">
        <f>IF(F158=0,0,E158/F158*100)</f>
        <v/>
      </c>
      <c r="H158" s="16" t="n">
        <v>0</v>
      </c>
      <c r="I158" s="16" t="n">
        <v>0</v>
      </c>
      <c r="J158" s="16" t="n">
        <v>0</v>
      </c>
      <c r="K158" s="16" t="n">
        <v>1</v>
      </c>
    </row>
    <row r="159">
      <c r="A159" s="15" t="inlineStr">
        <is>
          <t>5 Jun</t>
        </is>
      </c>
      <c r="B159" s="15" t="inlineStr">
        <is>
          <t>37464</t>
        </is>
      </c>
      <c r="C159" s="16" t="n">
        <v>0</v>
      </c>
      <c r="D159" s="49" t="n">
        <v>322.41</v>
      </c>
      <c r="E159" s="18" t="n">
        <v>6490</v>
      </c>
      <c r="F159" s="18" t="n">
        <v>6561</v>
      </c>
      <c r="G159" s="19">
        <f>IF(F159=0,0,E159/F159*100)</f>
        <v/>
      </c>
      <c r="H159" s="16" t="n">
        <v>1</v>
      </c>
      <c r="I159" s="16" t="n">
        <v>0</v>
      </c>
      <c r="J159" s="16" t="n">
        <v>1</v>
      </c>
      <c r="K159" s="16" t="n">
        <v>3</v>
      </c>
    </row>
    <row r="160">
      <c r="A160" s="15" t="inlineStr">
        <is>
          <t>5 Jun</t>
        </is>
      </c>
      <c r="B160" s="15" t="inlineStr">
        <is>
          <t>30739</t>
        </is>
      </c>
      <c r="C160" s="16" t="n">
        <v>0</v>
      </c>
      <c r="D160" s="49" t="n">
        <v>255.56</v>
      </c>
      <c r="E160" s="18" t="n">
        <v>5987</v>
      </c>
      <c r="F160" s="18" t="n">
        <v>6054</v>
      </c>
      <c r="G160" s="19">
        <f>IF(F160=0,0,E160/F160*100)</f>
        <v/>
      </c>
      <c r="H160" s="16" t="n">
        <v>0</v>
      </c>
      <c r="I160" s="16" t="n">
        <v>0</v>
      </c>
      <c r="J160" s="16" t="n">
        <v>0</v>
      </c>
      <c r="K160" s="16" t="n">
        <v>3</v>
      </c>
    </row>
    <row r="161">
      <c r="A161" s="15" t="inlineStr">
        <is>
          <t>5 Jun</t>
        </is>
      </c>
      <c r="B161" s="15" t="inlineStr">
        <is>
          <t>37229</t>
        </is>
      </c>
      <c r="C161" s="16" t="n">
        <v>0</v>
      </c>
      <c r="D161" s="49" t="n">
        <v>71.58</v>
      </c>
      <c r="E161" s="18" t="n">
        <v>3016</v>
      </c>
      <c r="F161" s="18" t="n">
        <v>3037</v>
      </c>
      <c r="G161" s="19">
        <f>IF(F161=0,0,E161/F161*100)</f>
        <v/>
      </c>
      <c r="H161" s="16" t="n">
        <v>0</v>
      </c>
      <c r="I161" s="16" t="n">
        <v>0</v>
      </c>
      <c r="J161" s="16" t="n">
        <v>0</v>
      </c>
      <c r="K161" s="16" t="n">
        <v>0</v>
      </c>
    </row>
    <row r="162">
      <c r="A162" s="15" t="inlineStr">
        <is>
          <t>5 Jun</t>
        </is>
      </c>
      <c r="B162" s="15" t="inlineStr">
        <is>
          <t>37923</t>
        </is>
      </c>
      <c r="C162" s="16" t="n">
        <v>0</v>
      </c>
      <c r="D162" s="49" t="n">
        <v>107.59</v>
      </c>
      <c r="E162" s="18" t="n">
        <v>0</v>
      </c>
      <c r="F162" s="18" t="n">
        <v>2121</v>
      </c>
      <c r="G162" s="19">
        <f>IF(F162=0,0,E162/F162*100)</f>
        <v/>
      </c>
      <c r="H162" s="16" t="n">
        <v>0</v>
      </c>
      <c r="I162" s="16" t="n">
        <v>0</v>
      </c>
      <c r="J162" s="16" t="n">
        <v>0</v>
      </c>
      <c r="K162" s="16" t="n">
        <v>0</v>
      </c>
    </row>
    <row r="163">
      <c r="A163" s="15" t="inlineStr">
        <is>
          <t>5 Jun</t>
        </is>
      </c>
      <c r="B163" s="15" t="inlineStr">
        <is>
          <t>30480</t>
        </is>
      </c>
      <c r="C163" s="16" t="n">
        <v>0</v>
      </c>
      <c r="D163" s="49" t="n">
        <v>220.94</v>
      </c>
      <c r="E163" s="18" t="n">
        <v>855</v>
      </c>
      <c r="F163" s="18" t="n">
        <v>1134</v>
      </c>
      <c r="G163" s="19">
        <f>IF(F163=0,0,E163/F163*100)</f>
        <v/>
      </c>
      <c r="H163" s="16" t="n">
        <v>0</v>
      </c>
      <c r="I163" s="16" t="n">
        <v>0</v>
      </c>
      <c r="J163" s="16" t="n">
        <v>0</v>
      </c>
      <c r="K163" s="16" t="n">
        <v>0</v>
      </c>
    </row>
    <row r="164">
      <c r="A164" s="15" t="inlineStr">
        <is>
          <t>5 Jun</t>
        </is>
      </c>
      <c r="B164" s="15" t="inlineStr">
        <is>
          <t>37839</t>
        </is>
      </c>
      <c r="C164" s="16" t="n">
        <v>0</v>
      </c>
      <c r="D164" s="49" t="n">
        <v>3.08</v>
      </c>
      <c r="E164" s="18" t="n">
        <v>462</v>
      </c>
      <c r="F164" s="18" t="n">
        <v>828</v>
      </c>
      <c r="G164" s="19">
        <f>IF(F164=0,0,E164/F164*100)</f>
        <v/>
      </c>
      <c r="H164" s="16" t="n">
        <v>2</v>
      </c>
      <c r="I164" s="16" t="n">
        <v>0</v>
      </c>
      <c r="J164" s="16" t="n">
        <v>2</v>
      </c>
      <c r="K164" s="16" t="n">
        <v>4</v>
      </c>
    </row>
    <row r="165">
      <c r="A165" s="15" t="inlineStr">
        <is>
          <t>5 Jun</t>
        </is>
      </c>
      <c r="B165" s="15" t="inlineStr">
        <is>
          <t>39252</t>
        </is>
      </c>
      <c r="C165" s="16" t="n">
        <v>0</v>
      </c>
      <c r="D165" s="49" t="n">
        <v>17.36</v>
      </c>
      <c r="E165" s="18" t="n">
        <v>591</v>
      </c>
      <c r="F165" s="18" t="n">
        <v>629</v>
      </c>
      <c r="G165" s="19">
        <f>IF(F165=0,0,E165/F165*100)</f>
        <v/>
      </c>
      <c r="H165" s="16" t="n">
        <v>0</v>
      </c>
      <c r="I165" s="16" t="n">
        <v>0</v>
      </c>
      <c r="J165" s="16" t="n">
        <v>0</v>
      </c>
      <c r="K165" s="16" t="n">
        <v>0</v>
      </c>
    </row>
    <row r="166">
      <c r="A166" s="15" t="inlineStr">
        <is>
          <t>5 Jun</t>
        </is>
      </c>
      <c r="B166" s="15" t="inlineStr">
        <is>
          <t>39421</t>
        </is>
      </c>
      <c r="C166" s="16" t="n">
        <v>0</v>
      </c>
      <c r="D166" s="49" t="n">
        <v>35.41</v>
      </c>
      <c r="E166" s="18" t="n">
        <v>421</v>
      </c>
      <c r="F166" s="18" t="n">
        <v>560</v>
      </c>
      <c r="G166" s="19">
        <f>IF(F166=0,0,E166/F166*100)</f>
        <v/>
      </c>
      <c r="H166" s="16" t="n">
        <v>0</v>
      </c>
      <c r="I166" s="16" t="n">
        <v>0</v>
      </c>
      <c r="J166" s="16" t="n">
        <v>0</v>
      </c>
      <c r="K166" s="16" t="n">
        <v>1</v>
      </c>
    </row>
    <row r="167">
      <c r="A167" s="15" t="inlineStr">
        <is>
          <t>5 Jun</t>
        </is>
      </c>
      <c r="B167" s="15" t="inlineStr">
        <is>
          <t>30404</t>
        </is>
      </c>
      <c r="C167" s="16" t="n">
        <v>0</v>
      </c>
      <c r="D167" s="49" t="n">
        <v>12.48</v>
      </c>
      <c r="E167" s="18" t="n">
        <v>0</v>
      </c>
      <c r="F167" s="18" t="n">
        <v>257</v>
      </c>
      <c r="G167" s="19">
        <f>IF(F167=0,0,E167/F167*100)</f>
        <v/>
      </c>
      <c r="H167" s="16" t="n">
        <v>0</v>
      </c>
      <c r="I167" s="16" t="n">
        <v>0</v>
      </c>
      <c r="J167" s="16" t="n">
        <v>0</v>
      </c>
      <c r="K167" s="16" t="n">
        <v>0</v>
      </c>
    </row>
    <row r="168">
      <c r="A168" s="15" t="inlineStr">
        <is>
          <t>5 Jun</t>
        </is>
      </c>
      <c r="B168" s="15" t="inlineStr">
        <is>
          <t>37251</t>
        </is>
      </c>
      <c r="C168" s="16" t="n">
        <v>0</v>
      </c>
      <c r="D168" s="49" t="n">
        <v>29.8</v>
      </c>
      <c r="E168" s="18" t="n">
        <v>0</v>
      </c>
      <c r="F168" s="18" t="n">
        <v>106</v>
      </c>
      <c r="G168" s="19">
        <f>IF(F168=0,0,E168/F168*100)</f>
        <v/>
      </c>
      <c r="H168" s="16" t="n">
        <v>0</v>
      </c>
      <c r="I168" s="16" t="n">
        <v>0</v>
      </c>
      <c r="J168" s="16" t="n">
        <v>0</v>
      </c>
      <c r="K168" s="16" t="n">
        <v>0</v>
      </c>
    </row>
    <row r="169">
      <c r="A169" s="15" t="inlineStr">
        <is>
          <t>5 Jun</t>
        </is>
      </c>
      <c r="B169" s="15" t="inlineStr">
        <is>
          <t>37393</t>
        </is>
      </c>
      <c r="C169" s="16" t="n">
        <v>0</v>
      </c>
      <c r="D169" s="49" t="n">
        <v>2.8</v>
      </c>
      <c r="E169" s="18" t="n">
        <v>2</v>
      </c>
      <c r="F169" s="18" t="n">
        <v>69</v>
      </c>
      <c r="G169" s="19">
        <f>IF(F169=0,0,E169/F169*100)</f>
        <v/>
      </c>
      <c r="H169" s="16" t="n">
        <v>0</v>
      </c>
      <c r="I169" s="16" t="n">
        <v>0</v>
      </c>
      <c r="J169" s="16" t="n">
        <v>0</v>
      </c>
      <c r="K169" s="16" t="n">
        <v>0</v>
      </c>
    </row>
    <row r="170">
      <c r="A170" s="15" t="inlineStr">
        <is>
          <t>5 Jun</t>
        </is>
      </c>
      <c r="B170" s="15" t="inlineStr">
        <is>
          <t>30748</t>
        </is>
      </c>
      <c r="C170" s="16" t="n">
        <v>0</v>
      </c>
      <c r="D170" s="49" t="n">
        <v>177.34</v>
      </c>
      <c r="E170" s="18" t="n">
        <v>0</v>
      </c>
      <c r="F170" s="18" t="n">
        <v>63</v>
      </c>
      <c r="G170" s="19">
        <f>IF(F170=0,0,E170/F170*100)</f>
        <v/>
      </c>
      <c r="H170" s="16" t="n">
        <v>0</v>
      </c>
      <c r="I170" s="16" t="n">
        <v>0</v>
      </c>
      <c r="J170" s="16" t="n">
        <v>0</v>
      </c>
      <c r="K170" s="16" t="n">
        <v>0</v>
      </c>
    </row>
    <row r="171">
      <c r="A171" s="20" t="inlineStr">
        <is>
          <t>5 Jun</t>
        </is>
      </c>
      <c r="B171" s="20" t="inlineStr">
        <is>
          <t>Day Total</t>
        </is>
      </c>
      <c r="C171" s="21">
        <f>SUM(C133:C170)</f>
        <v/>
      </c>
      <c r="D171" s="50">
        <f>SUM(D133:D170)</f>
        <v/>
      </c>
      <c r="E171" s="23">
        <f>SUM(E133:E170)</f>
        <v/>
      </c>
      <c r="F171" s="23">
        <f>SUM(F133:F170)</f>
        <v/>
      </c>
      <c r="G171" s="24">
        <f>IF(F171=0,0,E171/F171*100)</f>
        <v/>
      </c>
      <c r="H171" s="21">
        <f>SUM(H133:H170)</f>
        <v/>
      </c>
      <c r="I171" s="21">
        <f>SUM(I133:I170)</f>
        <v/>
      </c>
      <c r="J171" s="21">
        <f>SUM(J133:J170)</f>
        <v/>
      </c>
      <c r="K171" s="21">
        <f>SUM(K133:K170)</f>
        <v/>
      </c>
    </row>
    <row r="172">
      <c r="A172" s="15" t="inlineStr">
        <is>
          <t>6 Jun</t>
        </is>
      </c>
      <c r="B172" s="15" t="inlineStr">
        <is>
          <t>37163</t>
        </is>
      </c>
      <c r="C172" s="16" t="n">
        <v>2</v>
      </c>
      <c r="D172" s="49" t="n">
        <v>543.64</v>
      </c>
      <c r="E172" s="18" t="n">
        <v>37297</v>
      </c>
      <c r="F172" s="18" t="n">
        <v>37518</v>
      </c>
      <c r="G172" s="19">
        <f>IF(F172=0,0,E172/F172*100)</f>
        <v/>
      </c>
      <c r="H172" s="16" t="n">
        <v>0</v>
      </c>
      <c r="I172" s="16" t="n">
        <v>0</v>
      </c>
      <c r="J172" s="16" t="n">
        <v>0</v>
      </c>
      <c r="K172" s="16" t="n">
        <v>8</v>
      </c>
    </row>
    <row r="173">
      <c r="A173" s="15" t="inlineStr">
        <is>
          <t>6 Jun</t>
        </is>
      </c>
      <c r="B173" s="15" t="inlineStr">
        <is>
          <t>39014</t>
        </is>
      </c>
      <c r="C173" s="16" t="n">
        <v>1</v>
      </c>
      <c r="D173" s="49" t="n">
        <v>543.86</v>
      </c>
      <c r="E173" s="18" t="n">
        <v>28172</v>
      </c>
      <c r="F173" s="18" t="n">
        <v>28354</v>
      </c>
      <c r="G173" s="19">
        <f>IF(F173=0,0,E173/F173*100)</f>
        <v/>
      </c>
      <c r="H173" s="16" t="n">
        <v>0</v>
      </c>
      <c r="I173" s="16" t="n">
        <v>0</v>
      </c>
      <c r="J173" s="16" t="n">
        <v>0</v>
      </c>
      <c r="K173" s="16" t="n">
        <v>6</v>
      </c>
    </row>
    <row r="174">
      <c r="A174" s="15" t="inlineStr">
        <is>
          <t>6 Jun</t>
        </is>
      </c>
      <c r="B174" s="15" t="inlineStr">
        <is>
          <t>37424</t>
        </is>
      </c>
      <c r="C174" s="16" t="n">
        <v>1</v>
      </c>
      <c r="D174" s="49" t="n">
        <v>543.88</v>
      </c>
      <c r="E174" s="18" t="n">
        <v>23248</v>
      </c>
      <c r="F174" s="18" t="n">
        <v>23336</v>
      </c>
      <c r="G174" s="19">
        <f>IF(F174=0,0,E174/F174*100)</f>
        <v/>
      </c>
      <c r="H174" s="16" t="n">
        <v>0</v>
      </c>
      <c r="I174" s="16" t="n">
        <v>0</v>
      </c>
      <c r="J174" s="16" t="n">
        <v>0</v>
      </c>
      <c r="K174" s="16" t="n">
        <v>4</v>
      </c>
    </row>
    <row r="175">
      <c r="A175" s="15" t="inlineStr">
        <is>
          <t>6 Jun</t>
        </is>
      </c>
      <c r="B175" s="15" t="inlineStr">
        <is>
          <t>37397</t>
        </is>
      </c>
      <c r="C175" s="16" t="n">
        <v>1</v>
      </c>
      <c r="D175" s="49" t="n">
        <v>543.8</v>
      </c>
      <c r="E175" s="18" t="n">
        <v>19523</v>
      </c>
      <c r="F175" s="18" t="n">
        <v>20296</v>
      </c>
      <c r="G175" s="19">
        <f>IF(F175=0,0,E175/F175*100)</f>
        <v/>
      </c>
      <c r="H175" s="16" t="n">
        <v>2</v>
      </c>
      <c r="I175" s="16" t="n">
        <v>2</v>
      </c>
      <c r="J175" s="16" t="n">
        <v>0</v>
      </c>
      <c r="K175" s="16" t="n">
        <v>3</v>
      </c>
    </row>
    <row r="176">
      <c r="A176" s="15" t="inlineStr">
        <is>
          <t>6 Jun</t>
        </is>
      </c>
      <c r="B176" s="15" t="inlineStr">
        <is>
          <t>37513</t>
        </is>
      </c>
      <c r="C176" s="16" t="n">
        <v>1</v>
      </c>
      <c r="D176" s="49" t="n">
        <v>543.89</v>
      </c>
      <c r="E176" s="18" t="n">
        <v>19684</v>
      </c>
      <c r="F176" s="18" t="n">
        <v>19756</v>
      </c>
      <c r="G176" s="19">
        <f>IF(F176=0,0,E176/F176*100)</f>
        <v/>
      </c>
      <c r="H176" s="16" t="n">
        <v>0</v>
      </c>
      <c r="I176" s="16" t="n">
        <v>0</v>
      </c>
      <c r="J176" s="16" t="n">
        <v>0</v>
      </c>
      <c r="K176" s="16" t="n">
        <v>4</v>
      </c>
    </row>
    <row r="177">
      <c r="A177" s="15" t="inlineStr">
        <is>
          <t>6 Jun</t>
        </is>
      </c>
      <c r="B177" s="15" t="inlineStr">
        <is>
          <t>37834</t>
        </is>
      </c>
      <c r="C177" s="16" t="n">
        <v>1</v>
      </c>
      <c r="D177" s="49" t="n">
        <v>543.88</v>
      </c>
      <c r="E177" s="18" t="n">
        <v>19321</v>
      </c>
      <c r="F177" s="18" t="n">
        <v>19380</v>
      </c>
      <c r="G177" s="19">
        <f>IF(F177=0,0,E177/F177*100)</f>
        <v/>
      </c>
      <c r="H177" s="16" t="n">
        <v>0</v>
      </c>
      <c r="I177" s="16" t="n">
        <v>0</v>
      </c>
      <c r="J177" s="16" t="n">
        <v>0</v>
      </c>
      <c r="K177" s="16" t="n">
        <v>0</v>
      </c>
    </row>
    <row r="178">
      <c r="A178" s="15" t="inlineStr">
        <is>
          <t>6 Jun</t>
        </is>
      </c>
      <c r="B178" s="15" t="inlineStr">
        <is>
          <t>30739</t>
        </is>
      </c>
      <c r="C178" s="16" t="n">
        <v>1</v>
      </c>
      <c r="D178" s="49" t="n">
        <v>543.89</v>
      </c>
      <c r="E178" s="18" t="n">
        <v>18336</v>
      </c>
      <c r="F178" s="18" t="n">
        <v>18366</v>
      </c>
      <c r="G178" s="19">
        <f>IF(F178=0,0,E178/F178*100)</f>
        <v/>
      </c>
      <c r="H178" s="16" t="n">
        <v>0</v>
      </c>
      <c r="I178" s="16" t="n">
        <v>0</v>
      </c>
      <c r="J178" s="16" t="n">
        <v>0</v>
      </c>
      <c r="K178" s="16" t="n">
        <v>1</v>
      </c>
    </row>
    <row r="179">
      <c r="A179" s="15" t="inlineStr">
        <is>
          <t>6 Jun</t>
        </is>
      </c>
      <c r="B179" s="15" t="inlineStr">
        <is>
          <t>37257</t>
        </is>
      </c>
      <c r="C179" s="16" t="n">
        <v>0</v>
      </c>
      <c r="D179" s="49" t="n">
        <v>251.79</v>
      </c>
      <c r="E179" s="18" t="n">
        <v>34049</v>
      </c>
      <c r="F179" s="18" t="n">
        <v>34146</v>
      </c>
      <c r="G179" s="19">
        <f>IF(F179=0,0,E179/F179*100)</f>
        <v/>
      </c>
      <c r="H179" s="16" t="n">
        <v>0</v>
      </c>
      <c r="I179" s="16" t="n">
        <v>0</v>
      </c>
      <c r="J179" s="16" t="n">
        <v>0</v>
      </c>
      <c r="K179" s="16" t="n">
        <v>0</v>
      </c>
    </row>
    <row r="180">
      <c r="A180" s="15" t="inlineStr">
        <is>
          <t>6 Jun</t>
        </is>
      </c>
      <c r="B180" s="15" t="inlineStr">
        <is>
          <t>30752</t>
        </is>
      </c>
      <c r="C180" s="16" t="n">
        <v>0</v>
      </c>
      <c r="D180" s="49" t="n">
        <v>251.91</v>
      </c>
      <c r="E180" s="18" t="n">
        <v>33788</v>
      </c>
      <c r="F180" s="18" t="n">
        <v>33839</v>
      </c>
      <c r="G180" s="19">
        <f>IF(F180=0,0,E180/F180*100)</f>
        <v/>
      </c>
      <c r="H180" s="16" t="n">
        <v>0</v>
      </c>
      <c r="I180" s="16" t="n">
        <v>0</v>
      </c>
      <c r="J180" s="16" t="n">
        <v>0</v>
      </c>
      <c r="K180" s="16" t="n">
        <v>1</v>
      </c>
    </row>
    <row r="181">
      <c r="A181" s="15" t="inlineStr">
        <is>
          <t>6 Jun</t>
        </is>
      </c>
      <c r="B181" s="15" t="inlineStr">
        <is>
          <t>37627</t>
        </is>
      </c>
      <c r="C181" s="16" t="n">
        <v>0</v>
      </c>
      <c r="D181" s="49" t="n">
        <v>329.84</v>
      </c>
      <c r="E181" s="18" t="n">
        <v>25714</v>
      </c>
      <c r="F181" s="18" t="n">
        <v>26645</v>
      </c>
      <c r="G181" s="19">
        <f>IF(F181=0,0,E181/F181*100)</f>
        <v/>
      </c>
      <c r="H181" s="16" t="n">
        <v>0</v>
      </c>
      <c r="I181" s="16" t="n">
        <v>0</v>
      </c>
      <c r="J181" s="16" t="n">
        <v>0</v>
      </c>
      <c r="K181" s="16" t="n">
        <v>3</v>
      </c>
    </row>
    <row r="182">
      <c r="A182" s="15" t="inlineStr">
        <is>
          <t>6 Jun</t>
        </is>
      </c>
      <c r="B182" s="15" t="inlineStr">
        <is>
          <t>39252</t>
        </is>
      </c>
      <c r="C182" s="16" t="n">
        <v>0</v>
      </c>
      <c r="D182" s="49" t="n">
        <v>322.6</v>
      </c>
      <c r="E182" s="18" t="n">
        <v>25358</v>
      </c>
      <c r="F182" s="18" t="n">
        <v>25547</v>
      </c>
      <c r="G182" s="19">
        <f>IF(F182=0,0,E182/F182*100)</f>
        <v/>
      </c>
      <c r="H182" s="16" t="n">
        <v>0</v>
      </c>
      <c r="I182" s="16" t="n">
        <v>0</v>
      </c>
      <c r="J182" s="16" t="n">
        <v>0</v>
      </c>
      <c r="K182" s="16" t="n">
        <v>3</v>
      </c>
    </row>
    <row r="183">
      <c r="A183" s="15" t="inlineStr">
        <is>
          <t>6 Jun</t>
        </is>
      </c>
      <c r="B183" s="15" t="inlineStr">
        <is>
          <t>30821</t>
        </is>
      </c>
      <c r="C183" s="16" t="n">
        <v>0</v>
      </c>
      <c r="D183" s="49" t="n">
        <v>469.9</v>
      </c>
      <c r="E183" s="18" t="n">
        <v>22717</v>
      </c>
      <c r="F183" s="18" t="n">
        <v>22752</v>
      </c>
      <c r="G183" s="19">
        <f>IF(F183=0,0,E183/F183*100)</f>
        <v/>
      </c>
      <c r="H183" s="16" t="n">
        <v>1</v>
      </c>
      <c r="I183" s="16" t="n">
        <v>0</v>
      </c>
      <c r="J183" s="16" t="n">
        <v>1</v>
      </c>
      <c r="K183" s="16" t="n">
        <v>2</v>
      </c>
    </row>
    <row r="184">
      <c r="A184" s="15" t="inlineStr">
        <is>
          <t>6 Jun</t>
        </is>
      </c>
      <c r="B184" s="15" t="inlineStr">
        <is>
          <t>30335</t>
        </is>
      </c>
      <c r="C184" s="16" t="n">
        <v>0</v>
      </c>
      <c r="D184" s="49" t="n">
        <v>321.48</v>
      </c>
      <c r="E184" s="18" t="n">
        <v>22528</v>
      </c>
      <c r="F184" s="18" t="n">
        <v>22680</v>
      </c>
      <c r="G184" s="19">
        <f>IF(F184=0,0,E184/F184*100)</f>
        <v/>
      </c>
      <c r="H184" s="16" t="n">
        <v>0</v>
      </c>
      <c r="I184" s="16" t="n">
        <v>0</v>
      </c>
      <c r="J184" s="16" t="n">
        <v>0</v>
      </c>
      <c r="K184" s="16" t="n">
        <v>5</v>
      </c>
    </row>
    <row r="185">
      <c r="A185" s="15" t="inlineStr">
        <is>
          <t>6 Jun</t>
        </is>
      </c>
      <c r="B185" s="15" t="inlineStr">
        <is>
          <t>30496</t>
        </is>
      </c>
      <c r="C185" s="16" t="n">
        <v>0</v>
      </c>
      <c r="D185" s="49" t="n">
        <v>473.49</v>
      </c>
      <c r="E185" s="18" t="n">
        <v>20668</v>
      </c>
      <c r="F185" s="18" t="n">
        <v>20673</v>
      </c>
      <c r="G185" s="19">
        <f>IF(F185=0,0,E185/F185*100)</f>
        <v/>
      </c>
      <c r="H185" s="16" t="n">
        <v>0</v>
      </c>
      <c r="I185" s="16" t="n">
        <v>0</v>
      </c>
      <c r="J185" s="16" t="n">
        <v>0</v>
      </c>
      <c r="K185" s="16" t="n">
        <v>0</v>
      </c>
    </row>
    <row r="186">
      <c r="A186" s="15" t="inlineStr">
        <is>
          <t>6 Jun</t>
        </is>
      </c>
      <c r="B186" s="15" t="inlineStr">
        <is>
          <t>39108</t>
        </is>
      </c>
      <c r="C186" s="16" t="n">
        <v>0</v>
      </c>
      <c r="D186" s="49" t="n">
        <v>329.79</v>
      </c>
      <c r="E186" s="18" t="n">
        <v>19118</v>
      </c>
      <c r="F186" s="18" t="n">
        <v>19415</v>
      </c>
      <c r="G186" s="19">
        <f>IF(F186=0,0,E186/F186*100)</f>
        <v/>
      </c>
      <c r="H186" s="16" t="n">
        <v>0</v>
      </c>
      <c r="I186" s="16" t="n">
        <v>0</v>
      </c>
      <c r="J186" s="16" t="n">
        <v>0</v>
      </c>
      <c r="K186" s="16" t="n">
        <v>1</v>
      </c>
    </row>
    <row r="187">
      <c r="A187" s="15" t="inlineStr">
        <is>
          <t>6 Jun</t>
        </is>
      </c>
      <c r="B187" s="15" t="inlineStr">
        <is>
          <t>39334</t>
        </is>
      </c>
      <c r="C187" s="16" t="n">
        <v>0</v>
      </c>
      <c r="D187" s="49" t="n">
        <v>470.58</v>
      </c>
      <c r="E187" s="18" t="n">
        <v>18367</v>
      </c>
      <c r="F187" s="18" t="n">
        <v>18457</v>
      </c>
      <c r="G187" s="19">
        <f>IF(F187=0,0,E187/F187*100)</f>
        <v/>
      </c>
      <c r="H187" s="16" t="n">
        <v>0</v>
      </c>
      <c r="I187" s="16" t="n">
        <v>0</v>
      </c>
      <c r="J187" s="16" t="n">
        <v>0</v>
      </c>
      <c r="K187" s="16" t="n">
        <v>1</v>
      </c>
    </row>
    <row r="188">
      <c r="A188" s="15" t="inlineStr">
        <is>
          <t>6 Jun</t>
        </is>
      </c>
      <c r="B188" s="15" t="inlineStr">
        <is>
          <t>30177</t>
        </is>
      </c>
      <c r="C188" s="16" t="n">
        <v>0</v>
      </c>
      <c r="D188" s="49" t="n">
        <v>221.64</v>
      </c>
      <c r="E188" s="18" t="n">
        <v>16413</v>
      </c>
      <c r="F188" s="18" t="n">
        <v>16519</v>
      </c>
      <c r="G188" s="19">
        <f>IF(F188=0,0,E188/F188*100)</f>
        <v/>
      </c>
      <c r="H188" s="16" t="n">
        <v>0</v>
      </c>
      <c r="I188" s="16" t="n">
        <v>0</v>
      </c>
      <c r="J188" s="16" t="n">
        <v>0</v>
      </c>
      <c r="K188" s="16" t="n">
        <v>2</v>
      </c>
    </row>
    <row r="189">
      <c r="A189" s="15" t="inlineStr">
        <is>
          <t>6 Jun</t>
        </is>
      </c>
      <c r="B189" s="15" t="inlineStr">
        <is>
          <t>33672</t>
        </is>
      </c>
      <c r="C189" s="16" t="n">
        <v>0</v>
      </c>
      <c r="D189" s="49" t="n">
        <v>319.18</v>
      </c>
      <c r="E189" s="18" t="n">
        <v>16112</v>
      </c>
      <c r="F189" s="18" t="n">
        <v>16334</v>
      </c>
      <c r="G189" s="19">
        <f>IF(F189=0,0,E189/F189*100)</f>
        <v/>
      </c>
      <c r="H189" s="16" t="n">
        <v>0</v>
      </c>
      <c r="I189" s="16" t="n">
        <v>0</v>
      </c>
      <c r="J189" s="16" t="n">
        <v>0</v>
      </c>
      <c r="K189" s="16" t="n">
        <v>6</v>
      </c>
    </row>
    <row r="190">
      <c r="A190" s="15" t="inlineStr">
        <is>
          <t>6 Jun</t>
        </is>
      </c>
      <c r="B190" s="15" t="inlineStr">
        <is>
          <t>30339</t>
        </is>
      </c>
      <c r="C190" s="16" t="n">
        <v>0</v>
      </c>
      <c r="D190" s="49" t="n">
        <v>320.03</v>
      </c>
      <c r="E190" s="18" t="n">
        <v>13220</v>
      </c>
      <c r="F190" s="18" t="n">
        <v>13311</v>
      </c>
      <c r="G190" s="19">
        <f>IF(F190=0,0,E190/F190*100)</f>
        <v/>
      </c>
      <c r="H190" s="16" t="n">
        <v>0</v>
      </c>
      <c r="I190" s="16" t="n">
        <v>0</v>
      </c>
      <c r="J190" s="16" t="n">
        <v>0</v>
      </c>
      <c r="K190" s="16" t="n">
        <v>2</v>
      </c>
    </row>
    <row r="191">
      <c r="A191" s="15" t="inlineStr">
        <is>
          <t>6 Jun</t>
        </is>
      </c>
      <c r="B191" s="15" t="inlineStr">
        <is>
          <t>30466</t>
        </is>
      </c>
      <c r="C191" s="16" t="n">
        <v>0</v>
      </c>
      <c r="D191" s="49" t="n">
        <v>321.7</v>
      </c>
      <c r="E191" s="18" t="n">
        <v>12809</v>
      </c>
      <c r="F191" s="18" t="n">
        <v>12891</v>
      </c>
      <c r="G191" s="19">
        <f>IF(F191=0,0,E191/F191*100)</f>
        <v/>
      </c>
      <c r="H191" s="16" t="n">
        <v>0</v>
      </c>
      <c r="I191" s="16" t="n">
        <v>0</v>
      </c>
      <c r="J191" s="16" t="n">
        <v>0</v>
      </c>
      <c r="K191" s="16" t="n">
        <v>3</v>
      </c>
    </row>
    <row r="192">
      <c r="A192" s="15" t="inlineStr">
        <is>
          <t>6 Jun</t>
        </is>
      </c>
      <c r="B192" s="15" t="inlineStr">
        <is>
          <t>37793</t>
        </is>
      </c>
      <c r="C192" s="16" t="n">
        <v>0</v>
      </c>
      <c r="D192" s="49" t="n">
        <v>194.26</v>
      </c>
      <c r="E192" s="18" t="n">
        <v>11940</v>
      </c>
      <c r="F192" s="18" t="n">
        <v>12088</v>
      </c>
      <c r="G192" s="19">
        <f>IF(F192=0,0,E192/F192*100)</f>
        <v/>
      </c>
      <c r="H192" s="16" t="n">
        <v>0</v>
      </c>
      <c r="I192" s="16" t="n">
        <v>0</v>
      </c>
      <c r="J192" s="16" t="n">
        <v>0</v>
      </c>
      <c r="K192" s="16" t="n">
        <v>5</v>
      </c>
    </row>
    <row r="193">
      <c r="A193" s="15" t="inlineStr">
        <is>
          <t>6 Jun</t>
        </is>
      </c>
      <c r="B193" s="15" t="inlineStr">
        <is>
          <t>37031</t>
        </is>
      </c>
      <c r="C193" s="16" t="n">
        <v>0</v>
      </c>
      <c r="D193" s="49" t="n">
        <v>108.54</v>
      </c>
      <c r="E193" s="18" t="n">
        <v>10228</v>
      </c>
      <c r="F193" s="18" t="n">
        <v>10305</v>
      </c>
      <c r="G193" s="19">
        <f>IF(F193=0,0,E193/F193*100)</f>
        <v/>
      </c>
      <c r="H193" s="16" t="n">
        <v>0</v>
      </c>
      <c r="I193" s="16" t="n">
        <v>0</v>
      </c>
      <c r="J193" s="16" t="n">
        <v>0</v>
      </c>
      <c r="K193" s="16" t="n">
        <v>0</v>
      </c>
    </row>
    <row r="194">
      <c r="A194" s="15" t="inlineStr">
        <is>
          <t>6 Jun</t>
        </is>
      </c>
      <c r="B194" s="15" t="inlineStr">
        <is>
          <t>37366</t>
        </is>
      </c>
      <c r="C194" s="16" t="n">
        <v>0</v>
      </c>
      <c r="D194" s="49" t="n">
        <v>108.58</v>
      </c>
      <c r="E194" s="18" t="n">
        <v>10038</v>
      </c>
      <c r="F194" s="18" t="n">
        <v>10080</v>
      </c>
      <c r="G194" s="19">
        <f>IF(F194=0,0,E194/F194*100)</f>
        <v/>
      </c>
      <c r="H194" s="16" t="n">
        <v>0</v>
      </c>
      <c r="I194" s="16" t="n">
        <v>0</v>
      </c>
      <c r="J194" s="16" t="n">
        <v>0</v>
      </c>
      <c r="K194" s="16" t="n">
        <v>0</v>
      </c>
    </row>
    <row r="195">
      <c r="A195" s="15" t="inlineStr">
        <is>
          <t>6 Jun</t>
        </is>
      </c>
      <c r="B195" s="15" t="inlineStr">
        <is>
          <t>37219</t>
        </is>
      </c>
      <c r="C195" s="16" t="n">
        <v>0</v>
      </c>
      <c r="D195" s="49" t="n">
        <v>156.1</v>
      </c>
      <c r="E195" s="18" t="n">
        <v>9467</v>
      </c>
      <c r="F195" s="18" t="n">
        <v>9523</v>
      </c>
      <c r="G195" s="19">
        <f>IF(F195=0,0,E195/F195*100)</f>
        <v/>
      </c>
      <c r="H195" s="16" t="n">
        <v>0</v>
      </c>
      <c r="I195" s="16" t="n">
        <v>0</v>
      </c>
      <c r="J195" s="16" t="n">
        <v>0</v>
      </c>
      <c r="K195" s="16" t="n">
        <v>0</v>
      </c>
    </row>
    <row r="196">
      <c r="A196" s="15" t="inlineStr">
        <is>
          <t>6 Jun</t>
        </is>
      </c>
      <c r="B196" s="15" t="inlineStr">
        <is>
          <t>37277</t>
        </is>
      </c>
      <c r="C196" s="16" t="n">
        <v>0</v>
      </c>
      <c r="D196" s="49" t="n">
        <v>205.92</v>
      </c>
      <c r="E196" s="18" t="n">
        <v>9131</v>
      </c>
      <c r="F196" s="18" t="n">
        <v>9205</v>
      </c>
      <c r="G196" s="19">
        <f>IF(F196=0,0,E196/F196*100)</f>
        <v/>
      </c>
      <c r="H196" s="16" t="n">
        <v>0</v>
      </c>
      <c r="I196" s="16" t="n">
        <v>0</v>
      </c>
      <c r="J196" s="16" t="n">
        <v>0</v>
      </c>
      <c r="K196" s="16" t="n">
        <v>2</v>
      </c>
    </row>
    <row r="197">
      <c r="A197" s="15" t="inlineStr">
        <is>
          <t>6 Jun</t>
        </is>
      </c>
      <c r="B197" s="15" t="inlineStr">
        <is>
          <t>39243</t>
        </is>
      </c>
      <c r="C197" s="16" t="n">
        <v>0</v>
      </c>
      <c r="D197" s="49" t="n">
        <v>222.25</v>
      </c>
      <c r="E197" s="18" t="n">
        <v>8929</v>
      </c>
      <c r="F197" s="18" t="n">
        <v>9180</v>
      </c>
      <c r="G197" s="19">
        <f>IF(F197=0,0,E197/F197*100)</f>
        <v/>
      </c>
      <c r="H197" s="16" t="n">
        <v>0</v>
      </c>
      <c r="I197" s="16" t="n">
        <v>0</v>
      </c>
      <c r="J197" s="16" t="n">
        <v>0</v>
      </c>
      <c r="K197" s="16" t="n">
        <v>0</v>
      </c>
    </row>
    <row r="198">
      <c r="A198" s="15" t="inlineStr">
        <is>
          <t>6 Jun</t>
        </is>
      </c>
      <c r="B198" s="15" t="inlineStr">
        <is>
          <t>30680</t>
        </is>
      </c>
      <c r="C198" s="16" t="n">
        <v>0</v>
      </c>
      <c r="D198" s="49" t="n">
        <v>167.18</v>
      </c>
      <c r="E198" s="18" t="n">
        <v>6955</v>
      </c>
      <c r="F198" s="18" t="n">
        <v>6997</v>
      </c>
      <c r="G198" s="19">
        <f>IF(F198=0,0,E198/F198*100)</f>
        <v/>
      </c>
      <c r="H198" s="16" t="n">
        <v>0</v>
      </c>
      <c r="I198" s="16" t="n">
        <v>0</v>
      </c>
      <c r="J198" s="16" t="n">
        <v>0</v>
      </c>
      <c r="K198" s="16" t="n">
        <v>3</v>
      </c>
    </row>
    <row r="199">
      <c r="A199" s="15" t="inlineStr">
        <is>
          <t>6 Jun</t>
        </is>
      </c>
      <c r="B199" s="15" t="inlineStr">
        <is>
          <t>37314</t>
        </is>
      </c>
      <c r="C199" s="16" t="n">
        <v>0</v>
      </c>
      <c r="D199" s="49" t="n">
        <v>127.68</v>
      </c>
      <c r="E199" s="18" t="n">
        <v>4795</v>
      </c>
      <c r="F199" s="18" t="n">
        <v>5054</v>
      </c>
      <c r="G199" s="19">
        <f>IF(F199=0,0,E199/F199*100)</f>
        <v/>
      </c>
      <c r="H199" s="16" t="n">
        <v>0</v>
      </c>
      <c r="I199" s="16" t="n">
        <v>0</v>
      </c>
      <c r="J199" s="16" t="n">
        <v>0</v>
      </c>
      <c r="K199" s="16" t="n">
        <v>2</v>
      </c>
    </row>
    <row r="200">
      <c r="A200" s="15" t="inlineStr">
        <is>
          <t>6 Jun</t>
        </is>
      </c>
      <c r="B200" s="15" t="inlineStr">
        <is>
          <t>37286</t>
        </is>
      </c>
      <c r="C200" s="16" t="n">
        <v>0</v>
      </c>
      <c r="D200" s="49" t="n">
        <v>77.84999999999999</v>
      </c>
      <c r="E200" s="18" t="n">
        <v>4626</v>
      </c>
      <c r="F200" s="18" t="n">
        <v>4664</v>
      </c>
      <c r="G200" s="19">
        <f>IF(F200=0,0,E200/F200*100)</f>
        <v/>
      </c>
      <c r="H200" s="16" t="n">
        <v>0</v>
      </c>
      <c r="I200" s="16" t="n">
        <v>0</v>
      </c>
      <c r="J200" s="16" t="n">
        <v>0</v>
      </c>
      <c r="K200" s="16" t="n">
        <v>0</v>
      </c>
    </row>
    <row r="201">
      <c r="A201" s="15" t="inlineStr">
        <is>
          <t>6 Jun</t>
        </is>
      </c>
      <c r="B201" s="15" t="inlineStr">
        <is>
          <t>39017</t>
        </is>
      </c>
      <c r="C201" s="16" t="n">
        <v>0</v>
      </c>
      <c r="D201" s="49" t="n">
        <v>47.08</v>
      </c>
      <c r="E201" s="18" t="n">
        <v>2984</v>
      </c>
      <c r="F201" s="18" t="n">
        <v>3646</v>
      </c>
      <c r="G201" s="19">
        <f>IF(F201=0,0,E201/F201*100)</f>
        <v/>
      </c>
      <c r="H201" s="16" t="n">
        <v>0</v>
      </c>
      <c r="I201" s="16" t="n">
        <v>0</v>
      </c>
      <c r="J201" s="16" t="n">
        <v>0</v>
      </c>
      <c r="K201" s="16" t="n">
        <v>4</v>
      </c>
    </row>
    <row r="202">
      <c r="A202" s="15" t="inlineStr">
        <is>
          <t>6 Jun</t>
        </is>
      </c>
      <c r="B202" s="15" t="inlineStr">
        <is>
          <t>37353</t>
        </is>
      </c>
      <c r="C202" s="16" t="n">
        <v>0</v>
      </c>
      <c r="D202" s="49" t="n">
        <v>101.41</v>
      </c>
      <c r="E202" s="18" t="n">
        <v>2852</v>
      </c>
      <c r="F202" s="18" t="n">
        <v>3237</v>
      </c>
      <c r="G202" s="19">
        <f>IF(F202=0,0,E202/F202*100)</f>
        <v/>
      </c>
      <c r="H202" s="16" t="n">
        <v>0</v>
      </c>
      <c r="I202" s="16" t="n">
        <v>0</v>
      </c>
      <c r="J202" s="16" t="n">
        <v>0</v>
      </c>
      <c r="K202" s="16" t="n">
        <v>5</v>
      </c>
    </row>
    <row r="203">
      <c r="A203" s="15" t="inlineStr">
        <is>
          <t>6 Jun</t>
        </is>
      </c>
      <c r="B203" s="15" t="inlineStr">
        <is>
          <t>39565</t>
        </is>
      </c>
      <c r="C203" s="16" t="n">
        <v>0</v>
      </c>
      <c r="D203" s="49" t="n">
        <v>32.79</v>
      </c>
      <c r="E203" s="18" t="n">
        <v>1912</v>
      </c>
      <c r="F203" s="18" t="n">
        <v>2599</v>
      </c>
      <c r="G203" s="19">
        <f>IF(F203=0,0,E203/F203*100)</f>
        <v/>
      </c>
      <c r="H203" s="16" t="n">
        <v>0</v>
      </c>
      <c r="I203" s="16" t="n">
        <v>0</v>
      </c>
      <c r="J203" s="16" t="n">
        <v>0</v>
      </c>
      <c r="K203" s="16" t="n">
        <v>0</v>
      </c>
    </row>
    <row r="204">
      <c r="A204" s="15" t="inlineStr">
        <is>
          <t>6 Jun</t>
        </is>
      </c>
      <c r="B204" s="15" t="inlineStr">
        <is>
          <t>30722</t>
        </is>
      </c>
      <c r="C204" s="16" t="n">
        <v>0</v>
      </c>
      <c r="D204" s="49" t="n">
        <v>67.19</v>
      </c>
      <c r="E204" s="18" t="n">
        <v>2477</v>
      </c>
      <c r="F204" s="18" t="n">
        <v>2516</v>
      </c>
      <c r="G204" s="19">
        <f>IF(F204=0,0,E204/F204*100)</f>
        <v/>
      </c>
      <c r="H204" s="16" t="n">
        <v>0</v>
      </c>
      <c r="I204" s="16" t="n">
        <v>0</v>
      </c>
      <c r="J204" s="16" t="n">
        <v>0</v>
      </c>
      <c r="K204" s="16" t="n">
        <v>1</v>
      </c>
    </row>
    <row r="205">
      <c r="A205" s="15" t="inlineStr">
        <is>
          <t>6 Jun</t>
        </is>
      </c>
      <c r="B205" s="15" t="inlineStr">
        <is>
          <t>37677</t>
        </is>
      </c>
      <c r="C205" s="16" t="n">
        <v>0</v>
      </c>
      <c r="D205" s="49" t="n">
        <v>52.23</v>
      </c>
      <c r="E205" s="18" t="n">
        <v>831</v>
      </c>
      <c r="F205" s="18" t="n">
        <v>1778</v>
      </c>
      <c r="G205" s="19">
        <f>IF(F205=0,0,E205/F205*100)</f>
        <v/>
      </c>
      <c r="H205" s="16" t="n">
        <v>0</v>
      </c>
      <c r="I205" s="16" t="n">
        <v>0</v>
      </c>
      <c r="J205" s="16" t="n">
        <v>0</v>
      </c>
      <c r="K205" s="16" t="n">
        <v>0</v>
      </c>
    </row>
    <row r="206">
      <c r="A206" s="15" t="inlineStr">
        <is>
          <t>6 Jun</t>
        </is>
      </c>
      <c r="B206" s="15" t="inlineStr">
        <is>
          <t>30443</t>
        </is>
      </c>
      <c r="C206" s="16" t="n">
        <v>0</v>
      </c>
      <c r="D206" s="49" t="n">
        <v>12.15</v>
      </c>
      <c r="E206" s="18" t="n">
        <v>1343</v>
      </c>
      <c r="F206" s="18" t="n">
        <v>1515</v>
      </c>
      <c r="G206" s="19">
        <f>IF(F206=0,0,E206/F206*100)</f>
        <v/>
      </c>
      <c r="H206" s="16" t="n">
        <v>0</v>
      </c>
      <c r="I206" s="16" t="n">
        <v>0</v>
      </c>
      <c r="J206" s="16" t="n">
        <v>0</v>
      </c>
      <c r="K206" s="16" t="n">
        <v>0</v>
      </c>
    </row>
    <row r="207">
      <c r="A207" s="15" t="inlineStr">
        <is>
          <t>6 Jun</t>
        </is>
      </c>
      <c r="B207" s="15" t="inlineStr">
        <is>
          <t>30342</t>
        </is>
      </c>
      <c r="C207" s="16" t="n">
        <v>0</v>
      </c>
      <c r="D207" s="49" t="n">
        <v>25.67</v>
      </c>
      <c r="E207" s="18" t="n">
        <v>1015</v>
      </c>
      <c r="F207" s="18" t="n">
        <v>1318</v>
      </c>
      <c r="G207" s="19">
        <f>IF(F207=0,0,E207/F207*100)</f>
        <v/>
      </c>
      <c r="H207" s="16" t="n">
        <v>0</v>
      </c>
      <c r="I207" s="16" t="n">
        <v>0</v>
      </c>
      <c r="J207" s="16" t="n">
        <v>0</v>
      </c>
      <c r="K207" s="16" t="n">
        <v>1</v>
      </c>
    </row>
    <row r="208">
      <c r="A208" s="15" t="inlineStr">
        <is>
          <t>6 Jun</t>
        </is>
      </c>
      <c r="B208" s="15" t="inlineStr">
        <is>
          <t>37073</t>
        </is>
      </c>
      <c r="C208" s="16" t="n">
        <v>0</v>
      </c>
      <c r="D208" s="49" t="n">
        <v>72.69</v>
      </c>
      <c r="E208" s="18" t="n">
        <v>275</v>
      </c>
      <c r="F208" s="18" t="n">
        <v>864</v>
      </c>
      <c r="G208" s="19">
        <f>IF(F208=0,0,E208/F208*100)</f>
        <v/>
      </c>
      <c r="H208" s="16" t="n">
        <v>0</v>
      </c>
      <c r="I208" s="16" t="n">
        <v>0</v>
      </c>
      <c r="J208" s="16" t="n">
        <v>0</v>
      </c>
      <c r="K208" s="16" t="n">
        <v>0</v>
      </c>
    </row>
    <row r="209">
      <c r="A209" s="15" t="inlineStr">
        <is>
          <t>6 Jun</t>
        </is>
      </c>
      <c r="B209" s="15" t="inlineStr">
        <is>
          <t>37054</t>
        </is>
      </c>
      <c r="C209" s="16" t="n">
        <v>0</v>
      </c>
      <c r="D209" s="49" t="n">
        <v>62.47</v>
      </c>
      <c r="E209" s="18" t="n">
        <v>246</v>
      </c>
      <c r="F209" s="18" t="n">
        <v>283</v>
      </c>
      <c r="G209" s="19">
        <f>IF(F209=0,0,E209/F209*100)</f>
        <v/>
      </c>
      <c r="H209" s="16" t="n">
        <v>0</v>
      </c>
      <c r="I209" s="16" t="n">
        <v>0</v>
      </c>
      <c r="J209" s="16" t="n">
        <v>0</v>
      </c>
      <c r="K209" s="16" t="n">
        <v>0</v>
      </c>
    </row>
    <row r="210">
      <c r="A210" s="15" t="inlineStr">
        <is>
          <t>6 Jun</t>
        </is>
      </c>
      <c r="B210" s="15" t="inlineStr">
        <is>
          <t>30748</t>
        </is>
      </c>
      <c r="C210" s="16" t="n">
        <v>0</v>
      </c>
      <c r="D210" s="49" t="n">
        <v>139.49</v>
      </c>
      <c r="E210" s="18" t="n">
        <v>0</v>
      </c>
      <c r="F210" s="18" t="n">
        <v>70</v>
      </c>
      <c r="G210" s="19">
        <f>IF(F210=0,0,E210/F210*100)</f>
        <v/>
      </c>
      <c r="H210" s="16" t="n">
        <v>0</v>
      </c>
      <c r="I210" s="16" t="n">
        <v>0</v>
      </c>
      <c r="J210" s="16" t="n">
        <v>0</v>
      </c>
      <c r="K210" s="16" t="n">
        <v>0</v>
      </c>
    </row>
    <row r="211">
      <c r="A211" s="15" t="inlineStr">
        <is>
          <t>6 Jun</t>
        </is>
      </c>
      <c r="B211" s="15" t="inlineStr">
        <is>
          <t>39262</t>
        </is>
      </c>
      <c r="C211" s="16" t="n">
        <v>0</v>
      </c>
      <c r="D211" s="49" t="n">
        <v>28.86</v>
      </c>
      <c r="E211" s="18" t="n">
        <v>0</v>
      </c>
      <c r="F211" s="18" t="n">
        <v>5</v>
      </c>
      <c r="G211" s="19">
        <f>IF(F211=0,0,E211/F211*100)</f>
        <v/>
      </c>
      <c r="H211" s="16" t="n">
        <v>0</v>
      </c>
      <c r="I211" s="16" t="n">
        <v>0</v>
      </c>
      <c r="J211" s="16" t="n">
        <v>0</v>
      </c>
      <c r="K211" s="16" t="n">
        <v>0</v>
      </c>
    </row>
    <row r="212">
      <c r="A212" s="20" t="inlineStr">
        <is>
          <t>6 Jun</t>
        </is>
      </c>
      <c r="B212" s="20" t="inlineStr">
        <is>
          <t>Day Total</t>
        </is>
      </c>
      <c r="C212" s="21">
        <f>SUM(C172:C211)</f>
        <v/>
      </c>
      <c r="D212" s="50">
        <f>SUM(D172:D211)</f>
        <v/>
      </c>
      <c r="E212" s="23">
        <f>SUM(E172:E211)</f>
        <v/>
      </c>
      <c r="F212" s="23">
        <f>SUM(F172:F211)</f>
        <v/>
      </c>
      <c r="G212" s="24">
        <f>IF(F212=0,0,E212/F212*100)</f>
        <v/>
      </c>
      <c r="H212" s="21">
        <f>SUM(H172:H211)</f>
        <v/>
      </c>
      <c r="I212" s="21">
        <f>SUM(I172:I211)</f>
        <v/>
      </c>
      <c r="J212" s="21">
        <f>SUM(J172:J211)</f>
        <v/>
      </c>
      <c r="K212" s="21">
        <f>SUM(K172:K211)</f>
        <v/>
      </c>
    </row>
    <row r="213">
      <c r="A213" s="15" t="inlineStr">
        <is>
          <t>7 Jun</t>
        </is>
      </c>
      <c r="B213" s="15" t="inlineStr">
        <is>
          <t>30572</t>
        </is>
      </c>
      <c r="C213" s="16" t="n">
        <v>1</v>
      </c>
      <c r="D213" s="49" t="n">
        <v>543.86</v>
      </c>
      <c r="E213" s="18" t="n">
        <v>37497</v>
      </c>
      <c r="F213" s="18" t="n">
        <v>38504</v>
      </c>
      <c r="G213" s="19">
        <f>IF(F213=0,0,E213/F213*100)</f>
        <v/>
      </c>
      <c r="H213" s="16" t="n">
        <v>3</v>
      </c>
      <c r="I213" s="16" t="n">
        <v>3</v>
      </c>
      <c r="J213" s="16" t="n">
        <v>0</v>
      </c>
      <c r="K213" s="16" t="n">
        <v>9</v>
      </c>
    </row>
    <row r="214">
      <c r="A214" s="15" t="inlineStr">
        <is>
          <t>7 Jun</t>
        </is>
      </c>
      <c r="B214" s="15" t="inlineStr">
        <is>
          <t>39131</t>
        </is>
      </c>
      <c r="C214" s="16" t="n">
        <v>1</v>
      </c>
      <c r="D214" s="49" t="n">
        <v>541.65</v>
      </c>
      <c r="E214" s="18" t="n">
        <v>25713</v>
      </c>
      <c r="F214" s="18" t="n">
        <v>26189</v>
      </c>
      <c r="G214" s="19">
        <f>IF(F214=0,0,E214/F214*100)</f>
        <v/>
      </c>
      <c r="H214" s="16" t="n">
        <v>0</v>
      </c>
      <c r="I214" s="16" t="n">
        <v>0</v>
      </c>
      <c r="J214" s="16" t="n">
        <v>0</v>
      </c>
      <c r="K214" s="16" t="n">
        <v>17</v>
      </c>
    </row>
    <row r="215">
      <c r="A215" s="15" t="inlineStr">
        <is>
          <t>7 Jun</t>
        </is>
      </c>
      <c r="B215" s="15" t="inlineStr">
        <is>
          <t>33672</t>
        </is>
      </c>
      <c r="C215" s="16" t="n">
        <v>1</v>
      </c>
      <c r="D215" s="49" t="n">
        <v>543.88</v>
      </c>
      <c r="E215" s="18" t="n">
        <v>25778</v>
      </c>
      <c r="F215" s="18" t="n">
        <v>25911</v>
      </c>
      <c r="G215" s="19">
        <f>IF(F215=0,0,E215/F215*100)</f>
        <v/>
      </c>
      <c r="H215" s="16" t="n">
        <v>0</v>
      </c>
      <c r="I215" s="16" t="n">
        <v>0</v>
      </c>
      <c r="J215" s="16" t="n">
        <v>0</v>
      </c>
      <c r="K215" s="16" t="n">
        <v>4</v>
      </c>
    </row>
    <row r="216">
      <c r="A216" s="15" t="inlineStr">
        <is>
          <t>7 Jun</t>
        </is>
      </c>
      <c r="B216" s="15" t="inlineStr">
        <is>
          <t>39243</t>
        </is>
      </c>
      <c r="C216" s="16" t="n">
        <v>1</v>
      </c>
      <c r="D216" s="49" t="n">
        <v>541.65</v>
      </c>
      <c r="E216" s="18" t="n">
        <v>22577</v>
      </c>
      <c r="F216" s="18" t="n">
        <v>22764</v>
      </c>
      <c r="G216" s="19">
        <f>IF(F216=0,0,E216/F216*100)</f>
        <v/>
      </c>
      <c r="H216" s="16" t="n">
        <v>0</v>
      </c>
      <c r="I216" s="16" t="n">
        <v>0</v>
      </c>
      <c r="J216" s="16" t="n">
        <v>0</v>
      </c>
      <c r="K216" s="16" t="n">
        <v>7</v>
      </c>
    </row>
    <row r="217">
      <c r="A217" s="15" t="inlineStr">
        <is>
          <t>7 Jun</t>
        </is>
      </c>
      <c r="B217" s="15" t="inlineStr">
        <is>
          <t>30307</t>
        </is>
      </c>
      <c r="C217" s="16" t="n">
        <v>1</v>
      </c>
      <c r="D217" s="49" t="n">
        <v>543.65</v>
      </c>
      <c r="E217" s="18" t="n">
        <v>21153</v>
      </c>
      <c r="F217" s="18" t="n">
        <v>21418</v>
      </c>
      <c r="G217" s="19">
        <f>IF(F217=0,0,E217/F217*100)</f>
        <v/>
      </c>
      <c r="H217" s="16" t="n">
        <v>0</v>
      </c>
      <c r="I217" s="16" t="n">
        <v>0</v>
      </c>
      <c r="J217" s="16" t="n">
        <v>0</v>
      </c>
      <c r="K217" s="16" t="n">
        <v>4</v>
      </c>
    </row>
    <row r="218">
      <c r="A218" s="15" t="inlineStr">
        <is>
          <t>7 Jun</t>
        </is>
      </c>
      <c r="B218" s="15" t="inlineStr">
        <is>
          <t>30460</t>
        </is>
      </c>
      <c r="C218" s="16" t="n">
        <v>1</v>
      </c>
      <c r="D218" s="49" t="n">
        <v>543.89</v>
      </c>
      <c r="E218" s="18" t="n">
        <v>20709</v>
      </c>
      <c r="F218" s="18" t="n">
        <v>20785</v>
      </c>
      <c r="G218" s="19">
        <f>IF(F218=0,0,E218/F218*100)</f>
        <v/>
      </c>
      <c r="H218" s="16" t="n">
        <v>0</v>
      </c>
      <c r="I218" s="16" t="n">
        <v>0</v>
      </c>
      <c r="J218" s="16" t="n">
        <v>0</v>
      </c>
      <c r="K218" s="16" t="n">
        <v>1</v>
      </c>
    </row>
    <row r="219">
      <c r="A219" s="15" t="inlineStr">
        <is>
          <t>7 Jun</t>
        </is>
      </c>
      <c r="B219" s="15" t="inlineStr">
        <is>
          <t>37257</t>
        </is>
      </c>
      <c r="C219" s="16" t="n">
        <v>0</v>
      </c>
      <c r="D219" s="49" t="n">
        <v>251.32</v>
      </c>
      <c r="E219" s="18" t="n">
        <v>34286</v>
      </c>
      <c r="F219" s="18" t="n">
        <v>34392</v>
      </c>
      <c r="G219" s="19">
        <f>IF(F219=0,0,E219/F219*100)</f>
        <v/>
      </c>
      <c r="H219" s="16" t="n">
        <v>0</v>
      </c>
      <c r="I219" s="16" t="n">
        <v>0</v>
      </c>
      <c r="J219" s="16" t="n">
        <v>0</v>
      </c>
      <c r="K219" s="16" t="n">
        <v>5</v>
      </c>
    </row>
    <row r="220">
      <c r="A220" s="15" t="inlineStr">
        <is>
          <t>7 Jun</t>
        </is>
      </c>
      <c r="B220" s="15" t="inlineStr">
        <is>
          <t>30752</t>
        </is>
      </c>
      <c r="C220" s="16" t="n">
        <v>0</v>
      </c>
      <c r="D220" s="49" t="n">
        <v>252.05</v>
      </c>
      <c r="E220" s="18" t="n">
        <v>32949</v>
      </c>
      <c r="F220" s="18" t="n">
        <v>33133</v>
      </c>
      <c r="G220" s="19">
        <f>IF(F220=0,0,E220/F220*100)</f>
        <v/>
      </c>
      <c r="H220" s="16" t="n">
        <v>0</v>
      </c>
      <c r="I220" s="16" t="n">
        <v>0</v>
      </c>
      <c r="J220" s="16" t="n">
        <v>0</v>
      </c>
      <c r="K220" s="16" t="n">
        <v>1</v>
      </c>
    </row>
    <row r="221">
      <c r="A221" s="15" t="inlineStr">
        <is>
          <t>7 Jun</t>
        </is>
      </c>
      <c r="B221" s="15" t="inlineStr">
        <is>
          <t>30435</t>
        </is>
      </c>
      <c r="C221" s="16" t="n">
        <v>0</v>
      </c>
      <c r="D221" s="49" t="n">
        <v>515.48</v>
      </c>
      <c r="E221" s="18" t="n">
        <v>28115</v>
      </c>
      <c r="F221" s="18" t="n">
        <v>28425</v>
      </c>
      <c r="G221" s="19">
        <f>IF(F221=0,0,E221/F221*100)</f>
        <v/>
      </c>
      <c r="H221" s="16" t="n">
        <v>0</v>
      </c>
      <c r="I221" s="16" t="n">
        <v>0</v>
      </c>
      <c r="J221" s="16" t="n">
        <v>0</v>
      </c>
      <c r="K221" s="16" t="n">
        <v>17</v>
      </c>
    </row>
    <row r="222">
      <c r="A222" s="15" t="inlineStr">
        <is>
          <t>7 Jun</t>
        </is>
      </c>
      <c r="B222" s="15" t="inlineStr">
        <is>
          <t>45026</t>
        </is>
      </c>
      <c r="C222" s="16" t="n">
        <v>0</v>
      </c>
      <c r="D222" s="49" t="n">
        <v>329.84</v>
      </c>
      <c r="E222" s="18" t="n">
        <v>27016</v>
      </c>
      <c r="F222" s="18" t="n">
        <v>27083</v>
      </c>
      <c r="G222" s="19">
        <f>IF(F222=0,0,E222/F222*100)</f>
        <v/>
      </c>
      <c r="H222" s="16" t="n">
        <v>0</v>
      </c>
      <c r="I222" s="16" t="n">
        <v>0</v>
      </c>
      <c r="J222" s="16" t="n">
        <v>0</v>
      </c>
      <c r="K222" s="16" t="n">
        <v>3</v>
      </c>
    </row>
    <row r="223">
      <c r="A223" s="15" t="inlineStr">
        <is>
          <t>7 Jun</t>
        </is>
      </c>
      <c r="B223" s="15" t="inlineStr">
        <is>
          <t>37366</t>
        </is>
      </c>
      <c r="C223" s="16" t="n">
        <v>0</v>
      </c>
      <c r="D223" s="49" t="n">
        <v>184.4</v>
      </c>
      <c r="E223" s="18" t="n">
        <v>25439</v>
      </c>
      <c r="F223" s="18" t="n">
        <v>25538</v>
      </c>
      <c r="G223" s="19">
        <f>IF(F223=0,0,E223/F223*100)</f>
        <v/>
      </c>
      <c r="H223" s="16" t="n">
        <v>1</v>
      </c>
      <c r="I223" s="16" t="n">
        <v>0</v>
      </c>
      <c r="J223" s="16" t="n">
        <v>1</v>
      </c>
      <c r="K223" s="16" t="n">
        <v>0</v>
      </c>
    </row>
    <row r="224">
      <c r="A224" s="15" t="inlineStr">
        <is>
          <t>7 Jun</t>
        </is>
      </c>
      <c r="B224" s="15" t="inlineStr">
        <is>
          <t>30488</t>
        </is>
      </c>
      <c r="C224" s="16" t="n">
        <v>0</v>
      </c>
      <c r="D224" s="49" t="n">
        <v>321.5</v>
      </c>
      <c r="E224" s="18" t="n">
        <v>23589</v>
      </c>
      <c r="F224" s="18" t="n">
        <v>23753</v>
      </c>
      <c r="G224" s="19">
        <f>IF(F224=0,0,E224/F224*100)</f>
        <v/>
      </c>
      <c r="H224" s="16" t="n">
        <v>0</v>
      </c>
      <c r="I224" s="16" t="n">
        <v>0</v>
      </c>
      <c r="J224" s="16" t="n">
        <v>0</v>
      </c>
      <c r="K224" s="16" t="n">
        <v>5</v>
      </c>
    </row>
    <row r="225">
      <c r="A225" s="15" t="inlineStr">
        <is>
          <t>7 Jun</t>
        </is>
      </c>
      <c r="B225" s="15" t="inlineStr">
        <is>
          <t>37219</t>
        </is>
      </c>
      <c r="C225" s="16" t="n">
        <v>0</v>
      </c>
      <c r="D225" s="49" t="n">
        <v>387.98</v>
      </c>
      <c r="E225" s="18" t="n">
        <v>23109</v>
      </c>
      <c r="F225" s="18" t="n">
        <v>23113</v>
      </c>
      <c r="G225" s="19">
        <f>IF(F225=0,0,E225/F225*100)</f>
        <v/>
      </c>
      <c r="H225" s="16" t="n">
        <v>0</v>
      </c>
      <c r="I225" s="16" t="n">
        <v>0</v>
      </c>
      <c r="J225" s="16" t="n">
        <v>0</v>
      </c>
      <c r="K225" s="16" t="n">
        <v>3</v>
      </c>
    </row>
    <row r="226">
      <c r="A226" s="15" t="inlineStr">
        <is>
          <t>7 Jun</t>
        </is>
      </c>
      <c r="B226" s="15" t="inlineStr">
        <is>
          <t>39108</t>
        </is>
      </c>
      <c r="C226" s="16" t="n">
        <v>0</v>
      </c>
      <c r="D226" s="49" t="n">
        <v>330.17</v>
      </c>
      <c r="E226" s="18" t="n">
        <v>20147</v>
      </c>
      <c r="F226" s="18" t="n">
        <v>21046</v>
      </c>
      <c r="G226" s="19">
        <f>IF(F226=0,0,E226/F226*100)</f>
        <v/>
      </c>
      <c r="H226" s="16" t="n">
        <v>0</v>
      </c>
      <c r="I226" s="16" t="n">
        <v>0</v>
      </c>
      <c r="J226" s="16" t="n">
        <v>0</v>
      </c>
      <c r="K226" s="16" t="n">
        <v>7</v>
      </c>
    </row>
    <row r="227">
      <c r="A227" s="15" t="inlineStr">
        <is>
          <t>7 Jun</t>
        </is>
      </c>
      <c r="B227" s="15" t="inlineStr">
        <is>
          <t>37424</t>
        </is>
      </c>
      <c r="C227" s="16" t="n">
        <v>0</v>
      </c>
      <c r="D227" s="49" t="n">
        <v>513</v>
      </c>
      <c r="E227" s="18" t="n">
        <v>20719</v>
      </c>
      <c r="F227" s="18" t="n">
        <v>20786</v>
      </c>
      <c r="G227" s="19">
        <f>IF(F227=0,0,E227/F227*100)</f>
        <v/>
      </c>
      <c r="H227" s="16" t="n">
        <v>1</v>
      </c>
      <c r="I227" s="16" t="n">
        <v>0</v>
      </c>
      <c r="J227" s="16" t="n">
        <v>1</v>
      </c>
      <c r="K227" s="16" t="n">
        <v>1</v>
      </c>
    </row>
    <row r="228">
      <c r="A228" s="15" t="inlineStr">
        <is>
          <t>7 Jun</t>
        </is>
      </c>
      <c r="B228" s="15" t="inlineStr">
        <is>
          <t>37287</t>
        </is>
      </c>
      <c r="C228" s="16" t="n">
        <v>0</v>
      </c>
      <c r="D228" s="49" t="n">
        <v>473.44</v>
      </c>
      <c r="E228" s="18" t="n">
        <v>20467</v>
      </c>
      <c r="F228" s="18" t="n">
        <v>20472</v>
      </c>
      <c r="G228" s="19">
        <f>IF(F228=0,0,E228/F228*100)</f>
        <v/>
      </c>
      <c r="H228" s="16" t="n">
        <v>0</v>
      </c>
      <c r="I228" s="16" t="n">
        <v>0</v>
      </c>
      <c r="J228" s="16" t="n">
        <v>0</v>
      </c>
      <c r="K228" s="16" t="n">
        <v>0</v>
      </c>
    </row>
    <row r="229">
      <c r="A229" s="15" t="inlineStr">
        <is>
          <t>7 Jun</t>
        </is>
      </c>
      <c r="B229" s="15" t="inlineStr">
        <is>
          <t>37286</t>
        </is>
      </c>
      <c r="C229" s="16" t="n">
        <v>0</v>
      </c>
      <c r="D229" s="49" t="n">
        <v>463.93</v>
      </c>
      <c r="E229" s="18" t="n">
        <v>19931</v>
      </c>
      <c r="F229" s="18" t="n">
        <v>20058</v>
      </c>
      <c r="G229" s="19">
        <f>IF(F229=0,0,E229/F229*100)</f>
        <v/>
      </c>
      <c r="H229" s="16" t="n">
        <v>0</v>
      </c>
      <c r="I229" s="16" t="n">
        <v>0</v>
      </c>
      <c r="J229" s="16" t="n">
        <v>0</v>
      </c>
      <c r="K229" s="16" t="n">
        <v>3</v>
      </c>
    </row>
    <row r="230">
      <c r="A230" s="15" t="inlineStr">
        <is>
          <t>7 Jun</t>
        </is>
      </c>
      <c r="B230" s="15" t="inlineStr">
        <is>
          <t>37131</t>
        </is>
      </c>
      <c r="C230" s="16" t="n">
        <v>0</v>
      </c>
      <c r="D230" s="49" t="n">
        <v>486.72</v>
      </c>
      <c r="E230" s="18" t="n">
        <v>19407</v>
      </c>
      <c r="F230" s="18" t="n">
        <v>19442</v>
      </c>
      <c r="G230" s="19">
        <f>IF(F230=0,0,E230/F230*100)</f>
        <v/>
      </c>
      <c r="H230" s="16" t="n">
        <v>0</v>
      </c>
      <c r="I230" s="16" t="n">
        <v>0</v>
      </c>
      <c r="J230" s="16" t="n">
        <v>0</v>
      </c>
      <c r="K230" s="16" t="n">
        <v>3</v>
      </c>
    </row>
    <row r="231">
      <c r="A231" s="15" t="inlineStr">
        <is>
          <t>7 Jun</t>
        </is>
      </c>
      <c r="B231" s="15" t="inlineStr">
        <is>
          <t>30472</t>
        </is>
      </c>
      <c r="C231" s="16" t="n">
        <v>0</v>
      </c>
      <c r="D231" s="49" t="n">
        <v>470.58</v>
      </c>
      <c r="E231" s="18" t="n">
        <v>18433</v>
      </c>
      <c r="F231" s="18" t="n">
        <v>18711</v>
      </c>
      <c r="G231" s="19">
        <f>IF(F231=0,0,E231/F231*100)</f>
        <v/>
      </c>
      <c r="H231" s="16" t="n">
        <v>0</v>
      </c>
      <c r="I231" s="16" t="n">
        <v>0</v>
      </c>
      <c r="J231" s="16" t="n">
        <v>0</v>
      </c>
      <c r="K231" s="16" t="n">
        <v>7</v>
      </c>
    </row>
    <row r="232">
      <c r="A232" s="15" t="inlineStr">
        <is>
          <t>7 Jun</t>
        </is>
      </c>
      <c r="B232" s="15" t="inlineStr">
        <is>
          <t>37793</t>
        </is>
      </c>
      <c r="C232" s="16" t="n">
        <v>0</v>
      </c>
      <c r="D232" s="49" t="n">
        <v>454.84</v>
      </c>
      <c r="E232" s="18" t="n">
        <v>17788</v>
      </c>
      <c r="F232" s="18" t="n">
        <v>17788</v>
      </c>
      <c r="G232" s="19">
        <f>IF(F232=0,0,E232/F232*100)</f>
        <v/>
      </c>
      <c r="H232" s="16" t="n">
        <v>1</v>
      </c>
      <c r="I232" s="16" t="n">
        <v>0</v>
      </c>
      <c r="J232" s="16" t="n">
        <v>1</v>
      </c>
      <c r="K232" s="16" t="n">
        <v>0</v>
      </c>
    </row>
    <row r="233">
      <c r="A233" s="15" t="inlineStr">
        <is>
          <t>7 Jun</t>
        </is>
      </c>
      <c r="B233" s="15" t="inlineStr">
        <is>
          <t>30722</t>
        </is>
      </c>
      <c r="C233" s="16" t="n">
        <v>0</v>
      </c>
      <c r="D233" s="49" t="n">
        <v>476.45</v>
      </c>
      <c r="E233" s="18" t="n">
        <v>16303</v>
      </c>
      <c r="F233" s="18" t="n">
        <v>16332</v>
      </c>
      <c r="G233" s="19">
        <f>IF(F233=0,0,E233/F233*100)</f>
        <v/>
      </c>
      <c r="H233" s="16" t="n">
        <v>0</v>
      </c>
      <c r="I233" s="16" t="n">
        <v>0</v>
      </c>
      <c r="J233" s="16" t="n">
        <v>0</v>
      </c>
      <c r="K233" s="16" t="n">
        <v>5</v>
      </c>
    </row>
    <row r="234">
      <c r="A234" s="15" t="inlineStr">
        <is>
          <t>7 Jun</t>
        </is>
      </c>
      <c r="B234" s="15" t="inlineStr">
        <is>
          <t>30177</t>
        </is>
      </c>
      <c r="C234" s="16" t="n">
        <v>0</v>
      </c>
      <c r="D234" s="49" t="n">
        <v>219.34</v>
      </c>
      <c r="E234" s="18" t="n">
        <v>15686</v>
      </c>
      <c r="F234" s="18" t="n">
        <v>15823</v>
      </c>
      <c r="G234" s="19">
        <f>IF(F234=0,0,E234/F234*100)</f>
        <v/>
      </c>
      <c r="H234" s="16" t="n">
        <v>0</v>
      </c>
      <c r="I234" s="16" t="n">
        <v>0</v>
      </c>
      <c r="J234" s="16" t="n">
        <v>0</v>
      </c>
      <c r="K234" s="16" t="n">
        <v>4</v>
      </c>
    </row>
    <row r="235">
      <c r="A235" s="15" t="inlineStr">
        <is>
          <t>7 Jun</t>
        </is>
      </c>
      <c r="B235" s="15" t="inlineStr">
        <is>
          <t>37086</t>
        </is>
      </c>
      <c r="C235" s="16" t="n">
        <v>0</v>
      </c>
      <c r="D235" s="49" t="n">
        <v>348.76</v>
      </c>
      <c r="E235" s="18" t="n">
        <v>15325</v>
      </c>
      <c r="F235" s="18" t="n">
        <v>15351</v>
      </c>
      <c r="G235" s="19">
        <f>IF(F235=0,0,E235/F235*100)</f>
        <v/>
      </c>
      <c r="H235" s="16" t="n">
        <v>0</v>
      </c>
      <c r="I235" s="16" t="n">
        <v>0</v>
      </c>
      <c r="J235" s="16" t="n">
        <v>0</v>
      </c>
      <c r="K235" s="16" t="n">
        <v>1</v>
      </c>
    </row>
    <row r="236">
      <c r="A236" s="15" t="inlineStr">
        <is>
          <t>7 Jun</t>
        </is>
      </c>
      <c r="B236" s="15" t="inlineStr">
        <is>
          <t>30466</t>
        </is>
      </c>
      <c r="C236" s="16" t="n">
        <v>0</v>
      </c>
      <c r="D236" s="49" t="n">
        <v>318.81</v>
      </c>
      <c r="E236" s="18" t="n">
        <v>12454</v>
      </c>
      <c r="F236" s="18" t="n">
        <v>12554</v>
      </c>
      <c r="G236" s="19">
        <f>IF(F236=0,0,E236/F236*100)</f>
        <v/>
      </c>
      <c r="H236" s="16" t="n">
        <v>0</v>
      </c>
      <c r="I236" s="16" t="n">
        <v>0</v>
      </c>
      <c r="J236" s="16" t="n">
        <v>0</v>
      </c>
      <c r="K236" s="16" t="n">
        <v>3</v>
      </c>
    </row>
    <row r="237">
      <c r="A237" s="15" t="inlineStr">
        <is>
          <t>7 Jun</t>
        </is>
      </c>
      <c r="B237" s="15" t="inlineStr">
        <is>
          <t>37277</t>
        </is>
      </c>
      <c r="C237" s="16" t="n">
        <v>0</v>
      </c>
      <c r="D237" s="49" t="n">
        <v>264.61</v>
      </c>
      <c r="E237" s="18" t="n">
        <v>12358</v>
      </c>
      <c r="F237" s="18" t="n">
        <v>12430</v>
      </c>
      <c r="G237" s="19">
        <f>IF(F237=0,0,E237/F237*100)</f>
        <v/>
      </c>
      <c r="H237" s="16" t="n">
        <v>0</v>
      </c>
      <c r="I237" s="16" t="n">
        <v>0</v>
      </c>
      <c r="J237" s="16" t="n">
        <v>0</v>
      </c>
      <c r="K237" s="16" t="n">
        <v>0</v>
      </c>
    </row>
    <row r="238">
      <c r="A238" s="15" t="inlineStr">
        <is>
          <t>7 Jun</t>
        </is>
      </c>
      <c r="B238" s="15" t="inlineStr">
        <is>
          <t>37031</t>
        </is>
      </c>
      <c r="C238" s="16" t="n">
        <v>0</v>
      </c>
      <c r="D238" s="49" t="n">
        <v>108.67</v>
      </c>
      <c r="E238" s="18" t="n">
        <v>10761</v>
      </c>
      <c r="F238" s="18" t="n">
        <v>10921</v>
      </c>
      <c r="G238" s="19">
        <f>IF(F238=0,0,E238/F238*100)</f>
        <v/>
      </c>
      <c r="H238" s="16" t="n">
        <v>0</v>
      </c>
      <c r="I238" s="16" t="n">
        <v>0</v>
      </c>
      <c r="J238" s="16" t="n">
        <v>0</v>
      </c>
      <c r="K238" s="16" t="n">
        <v>1</v>
      </c>
    </row>
    <row r="239">
      <c r="A239" s="15" t="inlineStr">
        <is>
          <t>7 Jun</t>
        </is>
      </c>
      <c r="B239" s="15" t="inlineStr">
        <is>
          <t>30567</t>
        </is>
      </c>
      <c r="C239" s="16" t="n">
        <v>0</v>
      </c>
      <c r="D239" s="49" t="n">
        <v>229.72</v>
      </c>
      <c r="E239" s="18" t="n">
        <v>10787</v>
      </c>
      <c r="F239" s="18" t="n">
        <v>10787</v>
      </c>
      <c r="G239" s="19">
        <f>IF(F239=0,0,E239/F239*100)</f>
        <v/>
      </c>
      <c r="H239" s="16" t="n">
        <v>0</v>
      </c>
      <c r="I239" s="16" t="n">
        <v>0</v>
      </c>
      <c r="J239" s="16" t="n">
        <v>0</v>
      </c>
      <c r="K239" s="16" t="n">
        <v>0</v>
      </c>
    </row>
    <row r="240">
      <c r="A240" s="15" t="inlineStr">
        <is>
          <t>7 Jun</t>
        </is>
      </c>
      <c r="B240" s="15" t="inlineStr">
        <is>
          <t>30342</t>
        </is>
      </c>
      <c r="C240" s="16" t="n">
        <v>0</v>
      </c>
      <c r="D240" s="49" t="n">
        <v>304.18</v>
      </c>
      <c r="E240" s="18" t="n">
        <v>7958</v>
      </c>
      <c r="F240" s="18" t="n">
        <v>8608</v>
      </c>
      <c r="G240" s="19">
        <f>IF(F240=0,0,E240/F240*100)</f>
        <v/>
      </c>
      <c r="H240" s="16" t="n">
        <v>2</v>
      </c>
      <c r="I240" s="16" t="n">
        <v>0</v>
      </c>
      <c r="J240" s="16" t="n">
        <v>2</v>
      </c>
      <c r="K240" s="16" t="n">
        <v>6</v>
      </c>
    </row>
    <row r="241">
      <c r="A241" s="15" t="inlineStr">
        <is>
          <t>7 Jun</t>
        </is>
      </c>
      <c r="B241" s="15" t="inlineStr">
        <is>
          <t>30395</t>
        </is>
      </c>
      <c r="C241" s="16" t="n">
        <v>0</v>
      </c>
      <c r="D241" s="49" t="n">
        <v>322.63</v>
      </c>
      <c r="E241" s="18" t="n">
        <v>6562</v>
      </c>
      <c r="F241" s="18" t="n">
        <v>6594</v>
      </c>
      <c r="G241" s="19">
        <f>IF(F241=0,0,E241/F241*100)</f>
        <v/>
      </c>
      <c r="H241" s="16" t="n">
        <v>0</v>
      </c>
      <c r="I241" s="16" t="n">
        <v>0</v>
      </c>
      <c r="J241" s="16" t="n">
        <v>0</v>
      </c>
      <c r="K241" s="16" t="n">
        <v>2</v>
      </c>
    </row>
    <row r="242">
      <c r="A242" s="15" t="inlineStr">
        <is>
          <t>7 Jun</t>
        </is>
      </c>
      <c r="B242" s="15" t="inlineStr">
        <is>
          <t>30739</t>
        </is>
      </c>
      <c r="C242" s="16" t="n">
        <v>0</v>
      </c>
      <c r="D242" s="49" t="n">
        <v>313.1</v>
      </c>
      <c r="E242" s="18" t="n">
        <v>6382</v>
      </c>
      <c r="F242" s="18" t="n">
        <v>6452</v>
      </c>
      <c r="G242" s="19">
        <f>IF(F242=0,0,E242/F242*100)</f>
        <v/>
      </c>
      <c r="H242" s="16" t="n">
        <v>0</v>
      </c>
      <c r="I242" s="16" t="n">
        <v>0</v>
      </c>
      <c r="J242" s="16" t="n">
        <v>0</v>
      </c>
      <c r="K242" s="16" t="n">
        <v>5</v>
      </c>
    </row>
    <row r="243">
      <c r="A243" s="15" t="inlineStr">
        <is>
          <t>7 Jun</t>
        </is>
      </c>
      <c r="B243" s="15" t="inlineStr">
        <is>
          <t>37314</t>
        </is>
      </c>
      <c r="C243" s="16" t="n">
        <v>0</v>
      </c>
      <c r="D243" s="49" t="n">
        <v>201.72</v>
      </c>
      <c r="E243" s="18" t="n">
        <v>5377</v>
      </c>
      <c r="F243" s="18" t="n">
        <v>5626</v>
      </c>
      <c r="G243" s="19">
        <f>IF(F243=0,0,E243/F243*100)</f>
        <v/>
      </c>
      <c r="H243" s="16" t="n">
        <v>1</v>
      </c>
      <c r="I243" s="16" t="n">
        <v>0</v>
      </c>
      <c r="J243" s="16" t="n">
        <v>1</v>
      </c>
      <c r="K243" s="16" t="n">
        <v>4</v>
      </c>
    </row>
    <row r="244">
      <c r="A244" s="15" t="inlineStr">
        <is>
          <t>7 Jun</t>
        </is>
      </c>
      <c r="B244" s="15" t="inlineStr">
        <is>
          <t>37248</t>
        </is>
      </c>
      <c r="C244" s="16" t="n">
        <v>0</v>
      </c>
      <c r="D244" s="49" t="n">
        <v>108.52</v>
      </c>
      <c r="E244" s="18" t="n">
        <v>4401</v>
      </c>
      <c r="F244" s="18" t="n">
        <v>4810</v>
      </c>
      <c r="G244" s="19">
        <f>IF(F244=0,0,E244/F244*100)</f>
        <v/>
      </c>
      <c r="H244" s="16" t="n">
        <v>0</v>
      </c>
      <c r="I244" s="16" t="n">
        <v>0</v>
      </c>
      <c r="J244" s="16" t="n">
        <v>0</v>
      </c>
      <c r="K244" s="16" t="n">
        <v>0</v>
      </c>
    </row>
    <row r="245">
      <c r="A245" s="15" t="inlineStr">
        <is>
          <t>7 Jun</t>
        </is>
      </c>
      <c r="B245" s="15" t="inlineStr">
        <is>
          <t>37885</t>
        </is>
      </c>
      <c r="C245" s="16" t="n">
        <v>0</v>
      </c>
      <c r="D245" s="49" t="n">
        <v>88.45999999999999</v>
      </c>
      <c r="E245" s="18" t="n">
        <v>4576</v>
      </c>
      <c r="F245" s="18" t="n">
        <v>4618</v>
      </c>
      <c r="G245" s="19">
        <f>IF(F245=0,0,E245/F245*100)</f>
        <v/>
      </c>
      <c r="H245" s="16" t="n">
        <v>0</v>
      </c>
      <c r="I245" s="16" t="n">
        <v>0</v>
      </c>
      <c r="J245" s="16" t="n">
        <v>0</v>
      </c>
      <c r="K245" s="16" t="n">
        <v>4</v>
      </c>
    </row>
    <row r="246">
      <c r="A246" s="15" t="inlineStr">
        <is>
          <t>7 Jun</t>
        </is>
      </c>
      <c r="B246" s="15" t="inlineStr">
        <is>
          <t>37474</t>
        </is>
      </c>
      <c r="C246" s="16" t="n">
        <v>0</v>
      </c>
      <c r="D246" s="49" t="n">
        <v>189.22</v>
      </c>
      <c r="E246" s="18" t="n">
        <v>2081</v>
      </c>
      <c r="F246" s="18" t="n">
        <v>2639</v>
      </c>
      <c r="G246" s="19">
        <f>IF(F246=0,0,E246/F246*100)</f>
        <v/>
      </c>
      <c r="H246" s="16" t="n">
        <v>0</v>
      </c>
      <c r="I246" s="16" t="n">
        <v>0</v>
      </c>
      <c r="J246" s="16" t="n">
        <v>0</v>
      </c>
      <c r="K246" s="16" t="n">
        <v>9</v>
      </c>
    </row>
    <row r="247">
      <c r="A247" s="15" t="inlineStr">
        <is>
          <t>7 Jun</t>
        </is>
      </c>
      <c r="B247" s="15" t="inlineStr">
        <is>
          <t>30335</t>
        </is>
      </c>
      <c r="C247" s="16" t="n">
        <v>0</v>
      </c>
      <c r="D247" s="49" t="n">
        <v>40.28</v>
      </c>
      <c r="E247" s="18" t="n">
        <v>2437</v>
      </c>
      <c r="F247" s="18" t="n">
        <v>2442</v>
      </c>
      <c r="G247" s="19">
        <f>IF(F247=0,0,E247/F247*100)</f>
        <v/>
      </c>
      <c r="H247" s="16" t="n">
        <v>0</v>
      </c>
      <c r="I247" s="16" t="n">
        <v>0</v>
      </c>
      <c r="J247" s="16" t="n">
        <v>0</v>
      </c>
      <c r="K247" s="16" t="n">
        <v>0</v>
      </c>
    </row>
    <row r="248">
      <c r="A248" s="15" t="inlineStr">
        <is>
          <t>7 Jun</t>
        </is>
      </c>
      <c r="B248" s="15" t="inlineStr">
        <is>
          <t>32763</t>
        </is>
      </c>
      <c r="C248" s="16" t="n">
        <v>0</v>
      </c>
      <c r="D248" s="49" t="n">
        <v>77.34999999999999</v>
      </c>
      <c r="E248" s="18" t="n">
        <v>1378</v>
      </c>
      <c r="F248" s="18" t="n">
        <v>1478</v>
      </c>
      <c r="G248" s="19">
        <f>IF(F248=0,0,E248/F248*100)</f>
        <v/>
      </c>
      <c r="H248" s="16" t="n">
        <v>1</v>
      </c>
      <c r="I248" s="16" t="n">
        <v>0</v>
      </c>
      <c r="J248" s="16" t="n">
        <v>1</v>
      </c>
      <c r="K248" s="16" t="n">
        <v>1</v>
      </c>
    </row>
    <row r="249">
      <c r="A249" s="15" t="inlineStr">
        <is>
          <t>7 Jun</t>
        </is>
      </c>
      <c r="B249" s="15" t="inlineStr">
        <is>
          <t>37540</t>
        </is>
      </c>
      <c r="C249" s="16" t="n">
        <v>0</v>
      </c>
      <c r="D249" s="49" t="n">
        <v>36.32</v>
      </c>
      <c r="E249" s="18" t="n">
        <v>882</v>
      </c>
      <c r="F249" s="18" t="n">
        <v>928</v>
      </c>
      <c r="G249" s="19">
        <f>IF(F249=0,0,E249/F249*100)</f>
        <v/>
      </c>
      <c r="H249" s="16" t="n">
        <v>0</v>
      </c>
      <c r="I249" s="16" t="n">
        <v>0</v>
      </c>
      <c r="J249" s="16" t="n">
        <v>0</v>
      </c>
      <c r="K249" s="16" t="n">
        <v>1</v>
      </c>
    </row>
    <row r="250">
      <c r="A250" s="15" t="inlineStr">
        <is>
          <t>7 Jun</t>
        </is>
      </c>
      <c r="B250" s="15" t="inlineStr">
        <is>
          <t>45049</t>
        </is>
      </c>
      <c r="C250" s="16" t="n">
        <v>0</v>
      </c>
      <c r="D250" s="49" t="n">
        <v>32.74</v>
      </c>
      <c r="E250" s="18" t="n">
        <v>0</v>
      </c>
      <c r="F250" s="18" t="n">
        <v>570</v>
      </c>
      <c r="G250" s="19">
        <f>IF(F250=0,0,E250/F250*100)</f>
        <v/>
      </c>
      <c r="H250" s="16" t="n">
        <v>0</v>
      </c>
      <c r="I250" s="16" t="n">
        <v>0</v>
      </c>
      <c r="J250" s="16" t="n">
        <v>0</v>
      </c>
      <c r="K250" s="16" t="n">
        <v>0</v>
      </c>
    </row>
    <row r="251">
      <c r="A251" s="15" t="inlineStr">
        <is>
          <t>7 Jun</t>
        </is>
      </c>
      <c r="B251" s="15" t="inlineStr">
        <is>
          <t>37527</t>
        </is>
      </c>
      <c r="C251" s="16" t="n">
        <v>0</v>
      </c>
      <c r="D251" s="49" t="n">
        <v>0.22</v>
      </c>
      <c r="E251" s="18" t="n">
        <v>64</v>
      </c>
      <c r="F251" s="18" t="n">
        <v>96</v>
      </c>
      <c r="G251" s="19">
        <f>IF(F251=0,0,E251/F251*100)</f>
        <v/>
      </c>
      <c r="H251" s="16" t="n">
        <v>0</v>
      </c>
      <c r="I251" s="16" t="n">
        <v>0</v>
      </c>
      <c r="J251" s="16" t="n">
        <v>0</v>
      </c>
      <c r="K251" s="16" t="n">
        <v>0</v>
      </c>
    </row>
    <row r="252">
      <c r="A252" s="20" t="inlineStr">
        <is>
          <t>7 Jun</t>
        </is>
      </c>
      <c r="B252" s="20" t="inlineStr">
        <is>
          <t>Day Total</t>
        </is>
      </c>
      <c r="C252" s="21">
        <f>SUM(C213:C251)</f>
        <v/>
      </c>
      <c r="D252" s="50">
        <f>SUM(D213:D251)</f>
        <v/>
      </c>
      <c r="E252" s="23">
        <f>SUM(E213:E251)</f>
        <v/>
      </c>
      <c r="F252" s="23">
        <f>SUM(F213:F251)</f>
        <v/>
      </c>
      <c r="G252" s="24">
        <f>IF(F252=0,0,E252/F252*100)</f>
        <v/>
      </c>
      <c r="H252" s="21">
        <f>SUM(H213:H251)</f>
        <v/>
      </c>
      <c r="I252" s="21">
        <f>SUM(I213:I251)</f>
        <v/>
      </c>
      <c r="J252" s="21">
        <f>SUM(J213:J251)</f>
        <v/>
      </c>
      <c r="K252" s="21">
        <f>SUM(K213:K251)</f>
        <v/>
      </c>
    </row>
    <row r="253">
      <c r="A253" s="25" t="inlineStr">
        <is>
          <t>GRAND TOTAL</t>
        </is>
      </c>
      <c r="B253" s="25" t="n"/>
      <c r="C253" s="26">
        <f>C39+C69+C101+C132+C171+C212+C252</f>
        <v/>
      </c>
      <c r="D253" s="51">
        <f>D39+D69+D101+D132+D171+D212+D252</f>
        <v/>
      </c>
      <c r="E253" s="28">
        <f>E39+E69+E101+E132+E171+E212+E252</f>
        <v/>
      </c>
      <c r="F253" s="28">
        <f>F39+F69+F101+F132+F171+F212+F252</f>
        <v/>
      </c>
      <c r="G253" s="29">
        <f>IF(F253=0,0,E253/F253*100)</f>
        <v/>
      </c>
      <c r="H253" s="26">
        <f>H39+H69+H101+H132+H171+H212+H252</f>
        <v/>
      </c>
      <c r="I253" s="26">
        <f>I39+I69+I101+I132+I171+I212+I252</f>
        <v/>
      </c>
      <c r="J253" s="26">
        <f>J39+J69+J101+J132+J171+J212+J252</f>
        <v/>
      </c>
      <c r="K253" s="26">
        <f>K39+K69+K101+K132+K171+K212+K252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  <col width="56" customWidth="1" min="13" max="13"/>
    <col width="26" customWidth="1" min="14" max="14"/>
    <col width="13" customWidth="1" min="15" max="15"/>
    <col width="46" customWidth="1" min="16" max="16"/>
    <col width="20" customWidth="1" min="17" max="17"/>
    <col width="17" customWidth="1" min="18" max="18"/>
    <col width="14" customWidth="1" min="19" max="19"/>
  </cols>
  <sheetData>
    <row r="1">
      <c r="A1" s="13" t="inlineStr">
        <is>
          <t>EB Detail — every Emergency-Brake event, with speed / MA / Emergency diagnostics + undesirable classification</t>
        </is>
      </c>
    </row>
    <row r="2"/>
    <row r="3">
      <c r="A3" s="30" t="inlineStr">
        <is>
          <t>Total EB = 34   ·   Valid trips = 5   ·   Non-valid trips = 29   ·   Undesirable = 29</t>
        </is>
      </c>
    </row>
    <row r="4"/>
    <row r="5" ht="34" customHeight="1">
      <c r="A5" s="14" t="inlineStr">
        <is>
          <t>Date</t>
        </is>
      </c>
      <c r="B5" s="14" t="inlineStr">
        <is>
          <t>Loco ID</t>
        </is>
      </c>
      <c r="C5" s="14" t="inlineStr">
        <is>
          <t>Trip Type</t>
        </is>
      </c>
      <c r="D5" s="14" t="inlineStr">
        <is>
          <t>Onset</t>
        </is>
      </c>
      <c r="E5" s="14" t="inlineStr">
        <is>
          <t>End</t>
        </is>
      </c>
      <c r="F5" s="14" t="inlineStr">
        <is>
          <t>Duration (s)</t>
        </is>
      </c>
      <c r="G5" s="14" t="inlineStr">
        <is>
          <t>EB Packets</t>
        </is>
      </c>
      <c r="H5" s="14" t="inlineStr">
        <is>
          <t>Max Speed</t>
        </is>
      </c>
      <c r="I5" s="14" t="inlineStr">
        <is>
          <t>Mode @onset</t>
        </is>
      </c>
      <c r="J5" s="14" t="inlineStr">
        <is>
          <t>Location (km)</t>
        </is>
      </c>
      <c r="K5" s="14" t="inlineStr">
        <is>
          <t>Dir</t>
        </is>
      </c>
      <c r="L5" s="14" t="inlineStr">
        <is>
          <t>Station</t>
        </is>
      </c>
      <c r="M5" s="14" t="inlineStr">
        <is>
          <t>Speed at EB (PG check)</t>
        </is>
      </c>
      <c r="N5" s="14" t="inlineStr">
        <is>
          <t>MA wrt Sig</t>
        </is>
      </c>
      <c r="O5" s="14" t="inlineStr">
        <is>
          <t>Emergency (LReg)</t>
        </is>
      </c>
      <c r="P5" s="14" t="inlineStr">
        <is>
          <t>Suspected Reason (undesirable)</t>
        </is>
      </c>
      <c r="Q5" s="14" t="inlineStr">
        <is>
          <t>Points/Track condition</t>
        </is>
      </c>
      <c r="R5" s="14" t="inlineStr">
        <is>
          <t>Signal Aspect Analysis</t>
        </is>
      </c>
      <c r="S5" s="14" t="inlineStr">
        <is>
          <t>Loco Type</t>
        </is>
      </c>
    </row>
    <row r="6" ht="394" customHeight="1">
      <c r="A6" s="31" t="inlineStr">
        <is>
          <t>2 Jun</t>
        </is>
      </c>
      <c r="B6" s="31" t="inlineStr">
        <is>
          <t>30176</t>
        </is>
      </c>
      <c r="C6" s="31" t="inlineStr">
        <is>
          <t>Non-Valid</t>
        </is>
      </c>
      <c r="D6" s="31" t="inlineStr">
        <is>
          <t>15:16:58</t>
        </is>
      </c>
      <c r="E6" s="31" t="inlineStr">
        <is>
          <t>15:17:42</t>
        </is>
      </c>
      <c r="F6" s="31" t="n">
        <v>44</v>
      </c>
      <c r="G6" s="31" t="n">
        <v>23</v>
      </c>
      <c r="H6" s="31" t="n">
        <v>8</v>
      </c>
      <c r="I6" s="31" t="inlineStr">
        <is>
          <t>TRIP</t>
        </is>
      </c>
      <c r="J6" s="32" t="n">
        <v>929.42</v>
      </c>
      <c r="K6" s="31" t="inlineStr">
        <is>
          <t>R</t>
        </is>
      </c>
      <c r="L6" s="31" t="inlineStr">
        <is>
          <t>2.75 KM from GQL (LC-113)</t>
        </is>
      </c>
      <c r="M6" s="33" t="inlineStr">
        <is>
          <t>8 km/h</t>
        </is>
      </c>
      <c r="N6" s="33" t="inlineStr">
        <is>
          <t>193</t>
        </is>
      </c>
      <c r="O6" s="31" t="inlineStr">
        <is>
          <t>-</t>
        </is>
      </c>
      <c r="P6" s="34" t="inlineStr">
        <is>
          <t>Trip mode</t>
        </is>
      </c>
      <c r="Q6" s="33" t="inlineStr">
        <is>
          <t>Route: entry S46(N) → exit S50(LC112)(FES) (EntrySigId 6 / ExitSigId 7).
Condition: route clear — points P103/104; tracks LC113LXCPR, N46AXT (favourable/free).
FIU contacts: point P103/104 (c23) P→favourable; track LC113LXCPR (c30) track=P→FREE, relay=P; track N46AXT (c28) track=P→FREE, relay=P.
Loco: loco 1015 m short of S50(LC112)(FES) (sig abs 928403); EB onset 15:16:58 at 8 km/h @ abs 929418 (1015 m before S50(LC112)(FES)); halt 15:17:42 @ abs 929412 (1009 m before S50(LC112)(FES)).</t>
        </is>
      </c>
      <c r="R6" s="33" t="inlineStr">
        <is>
          <t>• At 15:11:12 on 02/06/2026, the approach signal S46(N) was showing RED (R) in the field while the ahead signal S50(LC112)(FES) was showing YELLOW (Y) — this combination is NOT among the valid combinations the control table allows for this route (valid: D-D, D-G, D-Y, G-G, M-D, M-G, M-R, M-Y, Y-D, Y-G, Y-R, Y-Y).</t>
        </is>
      </c>
      <c r="S6" s="31" t="inlineStr">
        <is>
          <t>Medha/Kernex</t>
        </is>
      </c>
    </row>
    <row r="7" ht="394" customHeight="1">
      <c r="A7" s="31" t="inlineStr">
        <is>
          <t>2 Jun</t>
        </is>
      </c>
      <c r="B7" s="31" t="inlineStr">
        <is>
          <t>30176</t>
        </is>
      </c>
      <c r="C7" s="31" t="inlineStr">
        <is>
          <t>Non-Valid</t>
        </is>
      </c>
      <c r="D7" s="31" t="inlineStr">
        <is>
          <t>15:18:16</t>
        </is>
      </c>
      <c r="E7" s="31" t="inlineStr">
        <is>
          <t>15:18:16</t>
        </is>
      </c>
      <c r="F7" s="31" t="n">
        <v>0</v>
      </c>
      <c r="G7" s="31" t="n">
        <v>1</v>
      </c>
      <c r="H7" s="31" t="n">
        <v>0</v>
      </c>
      <c r="I7" s="31" t="inlineStr">
        <is>
          <t>POSTTRIP</t>
        </is>
      </c>
      <c r="J7" s="32" t="n">
        <v>929.41</v>
      </c>
      <c r="K7" s="31" t="inlineStr">
        <is>
          <t>R</t>
        </is>
      </c>
      <c r="L7" s="31" t="inlineStr">
        <is>
          <t>2.75 KM from GQL (LC-113)</t>
        </is>
      </c>
      <c r="M7" s="33" t="inlineStr">
        <is>
          <t>0 km/h</t>
        </is>
      </c>
      <c r="N7" s="33" t="inlineStr">
        <is>
          <t>6136</t>
        </is>
      </c>
      <c r="O7" s="31" t="inlineStr">
        <is>
          <t>-</t>
        </is>
      </c>
      <c r="P7" s="34" t="inlineStr">
        <is>
          <t>EB at 0-1 km/h</t>
        </is>
      </c>
      <c r="Q7" s="33" t="inlineStr">
        <is>
          <t>Route: entry S46(N) → exit S50(LC112)(FES) (EntrySigId 6 / ExitSigId 7).
Condition: route clear — points P103/104; tracks LC113LXCPR, N46AXT (favourable/free).
FIU contacts: point P103/104 (c23) P→favourable; track LC113LXCPR (c30) track=P→FREE, relay=P; track N46AXT (c28) track=P→FREE, relay=P.
Loco: loco 1009 m short of S50(LC112)(FES) (sig abs 928403); EB onset 15:18:16 at 0 km/h @ abs 929412 (1009 m before S50(LC112)(FES)); halt 15:18:16 @ abs 929412 (1009 m before S50(LC112)(FES)).</t>
        </is>
      </c>
      <c r="R7" s="33" t="inlineStr">
        <is>
          <t>• At 15:11:12 on 02/06/2026, the approach signal S46(N) was showing RED (R) in the field while the ahead signal S50(LC112)(FES) was showing YELLOW (Y) — this combination is NOT among the valid combinations the control table allows for this route (valid: D-D, D-G, D-Y, G-G, M-D, M-G, M-R, M-Y, Y-D, Y-G, Y-R, Y-Y).</t>
        </is>
      </c>
      <c r="S7" s="31" t="inlineStr">
        <is>
          <t>Medha/Kernex</t>
        </is>
      </c>
    </row>
    <row r="8" ht="394" customHeight="1">
      <c r="A8" s="31" t="inlineStr">
        <is>
          <t>2 Jun</t>
        </is>
      </c>
      <c r="B8" s="31" t="inlineStr">
        <is>
          <t>30176</t>
        </is>
      </c>
      <c r="C8" s="31" t="inlineStr">
        <is>
          <t>Non-Valid</t>
        </is>
      </c>
      <c r="D8" s="31" t="inlineStr">
        <is>
          <t>15:18:54</t>
        </is>
      </c>
      <c r="E8" s="31" t="inlineStr">
        <is>
          <t>15:18:54</t>
        </is>
      </c>
      <c r="F8" s="31" t="n">
        <v>0</v>
      </c>
      <c r="G8" s="31" t="n">
        <v>1</v>
      </c>
      <c r="H8" s="31" t="n">
        <v>0</v>
      </c>
      <c r="I8" s="31" t="inlineStr">
        <is>
          <t>POSTTRIP</t>
        </is>
      </c>
      <c r="J8" s="32" t="n">
        <v>929.41</v>
      </c>
      <c r="K8" s="31" t="inlineStr">
        <is>
          <t>R</t>
        </is>
      </c>
      <c r="L8" s="31" t="inlineStr">
        <is>
          <t>2.75 KM from GQL (LC-113)</t>
        </is>
      </c>
      <c r="M8" s="33" t="inlineStr">
        <is>
          <t>0 km/h</t>
        </is>
      </c>
      <c r="N8" s="33" t="inlineStr">
        <is>
          <t>n/a</t>
        </is>
      </c>
      <c r="O8" s="31" t="inlineStr">
        <is>
          <t>-</t>
        </is>
      </c>
      <c r="P8" s="34" t="inlineStr">
        <is>
          <t>EB at 0-1 km/h</t>
        </is>
      </c>
      <c r="Q8" s="33" t="inlineStr">
        <is>
          <t>Route: entry S46(N) → exit S50(LC112)(FES) (EntrySigId 6 / ExitSigId 7).
Condition: route clear — points P103/104; tracks LC113LXCPR, N46AXT (favourable/free).
FIU contacts: point P103/104 (c23) P→favourable; track LC113LXCPR (c30) track=P→FREE, relay=P; track N46AXT (c28) track=P→FREE, relay=P.
Loco: loco 1009 m short of S50(LC112)(FES) (sig abs 928403); EB onset 15:18:54 at 0 km/h @ abs 929412 (1009 m before S50(LC112)(FES)); halt 15:18:54 @ abs 929412 (1009 m before S50(LC112)(FES)).</t>
        </is>
      </c>
      <c r="R8" s="33" t="inlineStr">
        <is>
          <t>• At 15:11:12 on 02/06/2026, the approach signal S46(N) was showing RED (R) in the field while the ahead signal S50(LC112)(FES) was showing YELLOW (Y) — this combination is NOT among the valid combinations the control table allows for this route (valid: D-D, D-G, D-Y, G-G, M-D, M-G, M-R, M-Y, Y-D, Y-G, Y-R, Y-Y).</t>
        </is>
      </c>
      <c r="S8" s="31" t="inlineStr">
        <is>
          <t>Medha/Kernex</t>
        </is>
      </c>
    </row>
    <row r="9" ht="184" customHeight="1">
      <c r="A9" s="31" t="inlineStr">
        <is>
          <t>3 Jun</t>
        </is>
      </c>
      <c r="B9" s="31" t="inlineStr">
        <is>
          <t>37584</t>
        </is>
      </c>
      <c r="C9" s="31" t="inlineStr">
        <is>
          <t>Non-Valid</t>
        </is>
      </c>
      <c r="D9" s="31" t="inlineStr">
        <is>
          <t>00:57:58</t>
        </is>
      </c>
      <c r="E9" s="31" t="inlineStr">
        <is>
          <t>00:58:08</t>
        </is>
      </c>
      <c r="F9" s="31" t="n">
        <v>10</v>
      </c>
      <c r="G9" s="31" t="n">
        <v>6</v>
      </c>
      <c r="H9" s="31" t="n">
        <v>30</v>
      </c>
      <c r="I9" s="31" t="inlineStr">
        <is>
          <t>SR</t>
        </is>
      </c>
      <c r="J9" s="32" t="n">
        <v>921.6799999999999</v>
      </c>
      <c r="K9" s="31" t="inlineStr">
        <is>
          <t>U</t>
        </is>
      </c>
      <c r="L9" s="31" t="inlineStr">
        <is>
          <t>Kota Jn.(KOTA) CENTRAL</t>
        </is>
      </c>
      <c r="M9" s="33" t="inlineStr">
        <is>
          <t>29 km/h</t>
        </is>
      </c>
      <c r="N9" s="33" t="inlineStr">
        <is>
          <t>0</t>
        </is>
      </c>
      <c r="O9" s="31" t="inlineStr">
        <is>
          <t>-</t>
        </is>
      </c>
      <c r="P9" s="34" t="inlineStr">
        <is>
          <t>FS-&gt;SR degradation + EB</t>
        </is>
      </c>
      <c r="Q9" s="33" t="inlineStr">
        <is>
          <t>Route: entry ? → exit S88.
Condition: no interlocked route resolved at this approach — points/tracks not determined.
Loco: loco 441 m short of S88 (sig abs 921240); EB onset 00:57:58 at 29 km/h; halt 00:58:08.</t>
        </is>
      </c>
      <c r="R9" s="33" t="inlineStr">
        <is>
          <t>• At 00:57:58 on 03/06/2026, the approach signal S88 showed RED (R) in the field / RED (R) on the DMI (field and DMI agree).</t>
        </is>
      </c>
      <c r="S9" s="31" t="inlineStr">
        <is>
          <t>HBL</t>
        </is>
      </c>
    </row>
    <row r="10" ht="259" customHeight="1">
      <c r="A10" s="31" t="inlineStr">
        <is>
          <t>3 Jun</t>
        </is>
      </c>
      <c r="B10" s="31" t="inlineStr">
        <is>
          <t>30464</t>
        </is>
      </c>
      <c r="C10" s="31" t="inlineStr">
        <is>
          <t>Non-Valid</t>
        </is>
      </c>
      <c r="D10" s="31" t="inlineStr">
        <is>
          <t>21:17:24</t>
        </is>
      </c>
      <c r="E10" s="31" t="inlineStr">
        <is>
          <t>21:17:30</t>
        </is>
      </c>
      <c r="F10" s="31" t="n">
        <v>6</v>
      </c>
      <c r="G10" s="31" t="n">
        <v>4</v>
      </c>
      <c r="H10" s="31" t="n">
        <v>83</v>
      </c>
      <c r="I10" s="31" t="inlineStr">
        <is>
          <t>StandBy</t>
        </is>
      </c>
      <c r="J10" s="32" t="n">
        <v>1024.42</v>
      </c>
      <c r="K10" s="31" t="inlineStr">
        <is>
          <t>R</t>
        </is>
      </c>
      <c r="L10" s="31" t="inlineStr">
        <is>
          <t>LC-148</t>
        </is>
      </c>
      <c r="M10" s="33" t="inlineStr">
        <is>
          <t>83 km/h</t>
        </is>
      </c>
      <c r="N10" s="33" t="inlineStr">
        <is>
          <t>7651</t>
        </is>
      </c>
      <c r="O10" s="31" t="inlineStr">
        <is>
          <t>-</t>
        </is>
      </c>
      <c r="P10" s="33" t="inlineStr">
        <is>
          <t>StandBy Mode</t>
        </is>
      </c>
      <c r="Q10" s="33" t="inlineStr">
        <is>
          <t>Route: entry ? → exit DNGATEINNDIST.
Condition: no interlocked route resolved at this approach — points/tracks not determined.
Loco: loco 1274 m short of DNGATEINNDIST (sig abs 1023149); EB onset 21:17:24 at 83 km/h @ abs 1024423 (1274 m before DNGATEINNDIST); halt 21:17:30 @ abs 1024294 (1145 m before DNGATEINNDIST).</t>
        </is>
      </c>
      <c r="R10" s="33" t="inlineStr">
        <is>
          <t>• At 21:17:04 on 03/06/2026, the approach signal DNGATEINNDIST showed GREEN (G) in the field / GREEN (G) on the DMI (field and DMI agree).</t>
        </is>
      </c>
      <c r="S10" s="31" t="inlineStr">
        <is>
          <t>HBL</t>
        </is>
      </c>
    </row>
    <row r="11" ht="259" customHeight="1">
      <c r="A11" s="31" t="inlineStr">
        <is>
          <t>3 Jun</t>
        </is>
      </c>
      <c r="B11" s="31" t="inlineStr">
        <is>
          <t>30464</t>
        </is>
      </c>
      <c r="C11" s="31" t="inlineStr">
        <is>
          <t>Non-Valid</t>
        </is>
      </c>
      <c r="D11" s="31" t="inlineStr">
        <is>
          <t>21:17:34</t>
        </is>
      </c>
      <c r="E11" s="31" t="inlineStr">
        <is>
          <t>21:17:36</t>
        </is>
      </c>
      <c r="F11" s="31" t="n">
        <v>2</v>
      </c>
      <c r="G11" s="31" t="n">
        <v>2</v>
      </c>
      <c r="H11" s="31" t="n">
        <v>59</v>
      </c>
      <c r="I11" s="31" t="inlineStr">
        <is>
          <t>StandBy</t>
        </is>
      </c>
      <c r="J11" s="32" t="n">
        <v>1024.22</v>
      </c>
      <c r="K11" s="31" t="inlineStr">
        <is>
          <t>R</t>
        </is>
      </c>
      <c r="L11" s="31" t="inlineStr">
        <is>
          <t>LC-148</t>
        </is>
      </c>
      <c r="M11" s="33" t="inlineStr">
        <is>
          <t>59 km/h</t>
        </is>
      </c>
      <c r="N11" s="33" t="inlineStr">
        <is>
          <t>n/a</t>
        </is>
      </c>
      <c r="O11" s="31" t="inlineStr">
        <is>
          <t>-</t>
        </is>
      </c>
      <c r="P11" s="33" t="inlineStr">
        <is>
          <t>StandBy Mode</t>
        </is>
      </c>
      <c r="Q11" s="33" t="inlineStr">
        <is>
          <t>Route: entry ? → exit DNGATEINNDIST.
Condition: no interlocked route resolved at this approach — points/tracks not determined.
Loco: loco 1074 m short of DNGATEINNDIST (sig abs 1023149); EB onset 21:17:34 at 59 km/h @ abs 1024223 (1074 m before DNGATEINNDIST); halt 21:17:36 @ abs 1024193 (1044 m before DNGATEINNDIST).</t>
        </is>
      </c>
      <c r="R11" s="33" t="inlineStr">
        <is>
          <t>• At 21:17:04 on 03/06/2026, the approach signal DNGATEINNDIST showed GREEN (G) in the field / GREEN (G) on the DMI (field and DMI agree).</t>
        </is>
      </c>
      <c r="S11" s="31" t="inlineStr">
        <is>
          <t>HBL</t>
        </is>
      </c>
    </row>
    <row r="12" ht="259" customHeight="1">
      <c r="A12" s="31" t="inlineStr">
        <is>
          <t>4 Jun</t>
        </is>
      </c>
      <c r="B12" s="31" t="inlineStr">
        <is>
          <t>30739</t>
        </is>
      </c>
      <c r="C12" s="31" t="inlineStr">
        <is>
          <t>Non-Valid</t>
        </is>
      </c>
      <c r="D12" s="31" t="inlineStr">
        <is>
          <t>03:14:56</t>
        </is>
      </c>
      <c r="E12" s="31" t="inlineStr">
        <is>
          <t>03:15:40</t>
        </is>
      </c>
      <c r="F12" s="31" t="n">
        <v>44</v>
      </c>
      <c r="G12" s="31" t="n">
        <v>18</v>
      </c>
      <c r="H12" s="31" t="n">
        <v>128</v>
      </c>
      <c r="I12" s="31" t="inlineStr">
        <is>
          <t>Failure</t>
        </is>
      </c>
      <c r="J12" s="32" t="n">
        <v>956.99</v>
      </c>
      <c r="K12" s="31" t="inlineStr">
        <is>
          <t>R</t>
        </is>
      </c>
      <c r="L12" s="31" t="inlineStr">
        <is>
          <t>LC-128</t>
        </is>
      </c>
      <c r="M12" s="33" t="inlineStr">
        <is>
          <t>128 km/h</t>
        </is>
      </c>
      <c r="N12" s="33" t="inlineStr">
        <is>
          <t>5398</t>
        </is>
      </c>
      <c r="O12" s="31" t="inlineStr">
        <is>
          <t>-</t>
        </is>
      </c>
      <c r="P12" s="34" t="inlineStr">
        <is>
          <t>Failure mode</t>
        </is>
      </c>
      <c r="Q12" s="33" t="inlineStr">
        <is>
          <t>Route: entry ? → exit UPINNDISTCUMS2.
Condition: no interlocked route resolved at this approach — points/tracks not determined.
Loco: loco 698 m short of UPINNDISTCUMS2 (sig abs 956288); EB onset 03:14:56 at 128 km/h @ abs 956986 (698 m before UPINNDISTCUMS2); halt 03:15:40 @ abs 956101 (187 m past UPINNDISTCUMS2).</t>
        </is>
      </c>
      <c r="R12" s="33" t="inlineStr">
        <is>
          <t>• At 03:11:35 on 04/06/2026, the approach signal UPINNDISTCUMS2 showed GREEN (G) in the field / GREEN (G) on the DMI (field and DMI agree).</t>
        </is>
      </c>
      <c r="S12" s="31" t="inlineStr">
        <is>
          <t>HBL</t>
        </is>
      </c>
    </row>
    <row r="13" ht="244" customHeight="1">
      <c r="A13" s="31" t="inlineStr">
        <is>
          <t>4 Jun</t>
        </is>
      </c>
      <c r="B13" s="31" t="inlineStr">
        <is>
          <t>30739</t>
        </is>
      </c>
      <c r="C13" s="31" t="inlineStr">
        <is>
          <t>Non-Valid</t>
        </is>
      </c>
      <c r="D13" s="31" t="inlineStr">
        <is>
          <t>03:18:32</t>
        </is>
      </c>
      <c r="E13" s="31" t="inlineStr">
        <is>
          <t>03:18:32</t>
        </is>
      </c>
      <c r="F13" s="31" t="n">
        <v>0</v>
      </c>
      <c r="G13" s="31" t="n">
        <v>1</v>
      </c>
      <c r="H13" s="31" t="n">
        <v>1</v>
      </c>
      <c r="I13" s="31" t="inlineStr">
        <is>
          <t>Failure</t>
        </is>
      </c>
      <c r="J13" s="32" t="n">
        <v>956.1</v>
      </c>
      <c r="K13" s="31" t="inlineStr">
        <is>
          <t>R</t>
        </is>
      </c>
      <c r="L13" s="31" t="inlineStr">
        <is>
          <t>LC-128</t>
        </is>
      </c>
      <c r="M13" s="33" t="inlineStr">
        <is>
          <t>1 km/h</t>
        </is>
      </c>
      <c r="N13" s="33" t="inlineStr">
        <is>
          <t>n/a</t>
        </is>
      </c>
      <c r="O13" s="31" t="inlineStr">
        <is>
          <t>-</t>
        </is>
      </c>
      <c r="P13" s="34" t="inlineStr">
        <is>
          <t>Failure mode; EB at 0-1 km/h</t>
        </is>
      </c>
      <c r="Q13" s="33" t="inlineStr">
        <is>
          <t>Route: entry ? → exit DNGATESIGS3.
Condition: no interlocked route resolved at this approach — points/tracks not determined.
Loco: loco 267 m short of DNGATESIGS3 (sig abs 955829); EB onset 03:18:32 at 1 km/h @ abs 956096 (267 m before DNGATESIGS3); halt 03:18:32 @ abs 956096 (267 m before DNGATESIGS3).</t>
        </is>
      </c>
      <c r="R13" s="33" t="inlineStr">
        <is>
          <t>• At 03:11:35 on 04/06/2026, the approach signal DNGATESIGS3 showed GREEN (G) in the field / GREEN (G) on the DMI (field and DMI agree).</t>
        </is>
      </c>
      <c r="S13" s="31" t="inlineStr">
        <is>
          <t>HBL</t>
        </is>
      </c>
    </row>
    <row r="14" ht="244" customHeight="1">
      <c r="A14" s="31" t="inlineStr">
        <is>
          <t>4 Jun</t>
        </is>
      </c>
      <c r="B14" s="31" t="inlineStr">
        <is>
          <t>30739</t>
        </is>
      </c>
      <c r="C14" s="31" t="inlineStr">
        <is>
          <t>Non-Valid</t>
        </is>
      </c>
      <c r="D14" s="31" t="inlineStr">
        <is>
          <t>03:19:52</t>
        </is>
      </c>
      <c r="E14" s="31" t="inlineStr">
        <is>
          <t>03:19:52</t>
        </is>
      </c>
      <c r="F14" s="31" t="n">
        <v>0</v>
      </c>
      <c r="G14" s="31" t="n">
        <v>1</v>
      </c>
      <c r="H14" s="31" t="n">
        <v>1</v>
      </c>
      <c r="I14" s="31" t="inlineStr">
        <is>
          <t>Failure</t>
        </is>
      </c>
      <c r="J14" s="32" t="n">
        <v>956.09</v>
      </c>
      <c r="K14" s="31" t="inlineStr">
        <is>
          <t>R</t>
        </is>
      </c>
      <c r="L14" s="31" t="inlineStr">
        <is>
          <t>LC-128</t>
        </is>
      </c>
      <c r="M14" s="33" t="inlineStr">
        <is>
          <t>1 km/h</t>
        </is>
      </c>
      <c r="N14" s="33" t="inlineStr">
        <is>
          <t>n/a</t>
        </is>
      </c>
      <c r="O14" s="31" t="inlineStr">
        <is>
          <t>-</t>
        </is>
      </c>
      <c r="P14" s="34" t="inlineStr">
        <is>
          <t>Failure mode; EB at 0-1 km/h</t>
        </is>
      </c>
      <c r="Q14" s="33" t="inlineStr">
        <is>
          <t>Route: entry ? → exit DNGATESIGS3.
Condition: no interlocked route resolved at this approach — points/tracks not determined.
Loco: loco 264 m short of DNGATESIGS3 (sig abs 955829); EB onset 03:19:52 at 1 km/h @ abs 956093 (264 m before DNGATESIGS3); halt 03:19:52 @ abs 956093 (264 m before DNGATESIGS3).</t>
        </is>
      </c>
      <c r="R14" s="33" t="inlineStr">
        <is>
          <t>• At 03:11:35 on 04/06/2026, the approach signal DNGATESIGS3 showed GREEN (G) in the field / GREEN (G) on the DMI (field and DMI agree).</t>
        </is>
      </c>
      <c r="S14" s="31" t="inlineStr">
        <is>
          <t>HBL</t>
        </is>
      </c>
    </row>
    <row r="15" ht="244" customHeight="1">
      <c r="A15" s="31" t="inlineStr">
        <is>
          <t>4 Jun</t>
        </is>
      </c>
      <c r="B15" s="31" t="inlineStr">
        <is>
          <t>30739</t>
        </is>
      </c>
      <c r="C15" s="31" t="inlineStr">
        <is>
          <t>Non-Valid</t>
        </is>
      </c>
      <c r="D15" s="31" t="inlineStr">
        <is>
          <t>03:21:16</t>
        </is>
      </c>
      <c r="E15" s="31" t="inlineStr">
        <is>
          <t>03:21:16</t>
        </is>
      </c>
      <c r="F15" s="31" t="n">
        <v>0</v>
      </c>
      <c r="G15" s="31" t="n">
        <v>1</v>
      </c>
      <c r="H15" s="31" t="n">
        <v>1</v>
      </c>
      <c r="I15" s="31" t="inlineStr">
        <is>
          <t>Failure</t>
        </is>
      </c>
      <c r="J15" s="32" t="n">
        <v>956.09</v>
      </c>
      <c r="K15" s="31" t="inlineStr">
        <is>
          <t>R</t>
        </is>
      </c>
      <c r="L15" s="31" t="inlineStr">
        <is>
          <t>LC-128</t>
        </is>
      </c>
      <c r="M15" s="33" t="inlineStr">
        <is>
          <t>1 km/h</t>
        </is>
      </c>
      <c r="N15" s="33" t="inlineStr">
        <is>
          <t>n/a</t>
        </is>
      </c>
      <c r="O15" s="31" t="inlineStr">
        <is>
          <t>-</t>
        </is>
      </c>
      <c r="P15" s="34" t="inlineStr">
        <is>
          <t>Failure mode; EB at 0-1 km/h</t>
        </is>
      </c>
      <c r="Q15" s="33" t="inlineStr">
        <is>
          <t>Route: entry ? → exit DNGATESIGS3.
Condition: no interlocked route resolved at this approach — points/tracks not determined.
Loco: loco 263 m short of DNGATESIGS3 (sig abs 955829); EB onset 03:21:16 at 1 km/h @ abs 956092 (263 m before DNGATESIGS3); halt 03:21:16 @ abs 956092 (263 m before DNGATESIGS3).</t>
        </is>
      </c>
      <c r="R15" s="33" t="inlineStr">
        <is>
          <t>• At 03:11:35 on 04/06/2026, the approach signal DNGATESIGS3 showed GREEN (G) in the field / GREEN (G) on the DMI (field and DMI agree).</t>
        </is>
      </c>
      <c r="S15" s="31" t="inlineStr">
        <is>
          <t>HBL</t>
        </is>
      </c>
    </row>
    <row r="16" ht="259" customHeight="1">
      <c r="A16" s="31" t="inlineStr">
        <is>
          <t>4 Jun</t>
        </is>
      </c>
      <c r="B16" s="31" t="inlineStr">
        <is>
          <t>30511</t>
        </is>
      </c>
      <c r="C16" s="31" t="inlineStr">
        <is>
          <t>Non-Valid</t>
        </is>
      </c>
      <c r="D16" s="31" t="inlineStr">
        <is>
          <t>09:32:50</t>
        </is>
      </c>
      <c r="E16" s="31" t="inlineStr">
        <is>
          <t>09:33:24</t>
        </is>
      </c>
      <c r="F16" s="31" t="n">
        <v>34</v>
      </c>
      <c r="G16" s="31" t="n">
        <v>18</v>
      </c>
      <c r="H16" s="31" t="n">
        <v>85</v>
      </c>
      <c r="I16" s="31" t="inlineStr">
        <is>
          <t>SR</t>
        </is>
      </c>
      <c r="J16" s="32" t="n">
        <v>925.1799999999999</v>
      </c>
      <c r="K16" s="31" t="inlineStr">
        <is>
          <t>U</t>
        </is>
      </c>
      <c r="L16" s="31" t="inlineStr">
        <is>
          <t>Gurla(GQL)</t>
        </is>
      </c>
      <c r="M16" s="33" t="inlineStr">
        <is>
          <t>85 km/h</t>
        </is>
      </c>
      <c r="N16" s="33" t="inlineStr">
        <is>
          <t>n/a</t>
        </is>
      </c>
      <c r="O16" s="31" t="inlineStr">
        <is>
          <t>-</t>
        </is>
      </c>
      <c r="P16" s="34" t="inlineStr">
        <is>
          <t>FS-&gt;SR degradation + EB</t>
        </is>
      </c>
      <c r="Q16" s="33" t="inlineStr">
        <is>
          <t>Route: entry ? → exit S1.
Condition: no interlocked route resolved at this approach — points/tracks not determined.
Loco: loco 518 m short of S1 (sig abs 924659); EB onset 09:32:50 at 85 km/h; halt 09:33:24.</t>
        </is>
      </c>
      <c r="R16" s="33" t="inlineStr">
        <is>
          <t>• At 08:43:55:262, the approach signal S1 was displaying GREEN (G) in the field but DOUBLE YELLOW (YY) on the DMI — a field/DMI aspect mismatch.
• At 09:32:30 on 04/06/2026, the approach signal S1 showed GREEN (G) in the field / GREEN (G) on the DMI (field and DMI agree).</t>
        </is>
      </c>
      <c r="S16" s="31" t="inlineStr">
        <is>
          <t>Medha/Kernex</t>
        </is>
      </c>
    </row>
    <row r="17" ht="184" customHeight="1">
      <c r="A17" s="31" t="inlineStr">
        <is>
          <t>4 Jun</t>
        </is>
      </c>
      <c r="B17" s="31" t="inlineStr">
        <is>
          <t>30511</t>
        </is>
      </c>
      <c r="C17" s="31" t="inlineStr">
        <is>
          <t>Non-Valid</t>
        </is>
      </c>
      <c r="D17" s="31" t="inlineStr">
        <is>
          <t>09:37:00</t>
        </is>
      </c>
      <c r="E17" s="31" t="inlineStr">
        <is>
          <t>09:37:26</t>
        </is>
      </c>
      <c r="F17" s="31" t="n">
        <v>26</v>
      </c>
      <c r="G17" s="31" t="n">
        <v>14</v>
      </c>
      <c r="H17" s="31" t="n">
        <v>68</v>
      </c>
      <c r="I17" s="31" t="inlineStr">
        <is>
          <t>SR</t>
        </is>
      </c>
      <c r="J17" s="32" t="n">
        <v>926.6900000000001</v>
      </c>
      <c r="K17" s="31" t="inlineStr">
        <is>
          <t>U</t>
        </is>
      </c>
      <c r="L17" s="31" t="inlineStr">
        <is>
          <t>Gurla(GQL)</t>
        </is>
      </c>
      <c r="M17" s="33" t="inlineStr">
        <is>
          <t>68 km/h</t>
        </is>
      </c>
      <c r="N17" s="33" t="inlineStr">
        <is>
          <t>n/a</t>
        </is>
      </c>
      <c r="O17" s="31" t="inlineStr">
        <is>
          <t>-</t>
        </is>
      </c>
      <c r="P17" s="34" t="inlineStr">
        <is>
          <t>FS-&gt;SR degradation + EB</t>
        </is>
      </c>
      <c r="Q17" s="33" t="inlineStr">
        <is>
          <t>Route: entry ? → exit S1.
Condition: no interlocked route resolved at this approach — points/tracks not determined.
Loco: loco 2034 m short of S1 (sig abs 924659); EB onset 09:37:00 at 68 km/h; halt 09:37:26.</t>
        </is>
      </c>
      <c r="R17" s="33" t="inlineStr">
        <is>
          <t>• At 09:34:18 on 04/06/2026, the approach signal S1 showed RED (R) in the field / RED (R) on the DMI (field and DMI agree).</t>
        </is>
      </c>
      <c r="S17" s="31" t="inlineStr">
        <is>
          <t>Medha/Kernex</t>
        </is>
      </c>
    </row>
    <row r="18" ht="244" customHeight="1">
      <c r="A18" s="31" t="inlineStr">
        <is>
          <t>5 Jun</t>
        </is>
      </c>
      <c r="B18" s="31" t="inlineStr">
        <is>
          <t>37793</t>
        </is>
      </c>
      <c r="C18" s="31" t="inlineStr">
        <is>
          <t>Non-Valid</t>
        </is>
      </c>
      <c r="D18" s="31" t="inlineStr">
        <is>
          <t>02:52:42</t>
        </is>
      </c>
      <c r="E18" s="31" t="inlineStr">
        <is>
          <t>02:54:12</t>
        </is>
      </c>
      <c r="F18" s="31" t="n">
        <v>90</v>
      </c>
      <c r="G18" s="31" t="n">
        <v>46</v>
      </c>
      <c r="H18" s="31" t="n">
        <v>6</v>
      </c>
      <c r="I18" s="31" t="inlineStr">
        <is>
          <t>TRIP</t>
        </is>
      </c>
      <c r="J18" s="32" t="n">
        <v>749.03</v>
      </c>
      <c r="K18" s="31" t="inlineStr">
        <is>
          <t>R</t>
        </is>
      </c>
      <c r="L18" s="31" t="inlineStr">
        <is>
          <t>IBH-27</t>
        </is>
      </c>
      <c r="M18" s="33" t="inlineStr">
        <is>
          <t>6 km/h</t>
        </is>
      </c>
      <c r="N18" s="33" t="inlineStr">
        <is>
          <t>n/a</t>
        </is>
      </c>
      <c r="O18" s="31" t="inlineStr">
        <is>
          <t>-</t>
        </is>
      </c>
      <c r="P18" s="34" t="inlineStr">
        <is>
          <t>Trip mode</t>
        </is>
      </c>
      <c r="Q18" s="33" t="inlineStr">
        <is>
          <t>Route: entry ? → exit DNIBSDIST.
Condition: no interlocked route resolved at this approach — points/tracks not determined.
Loco: loco 2723 m short of DNIBSDIST (sig abs 746304); EB onset 02:52:42 at 6 km/h @ abs 749027 (2723 m before DNIBSDIST); halt 02:54:12 @ abs 749021 (2717 m before DNIBSDIST).</t>
        </is>
      </c>
      <c r="R18" s="33" t="inlineStr">
        <is>
          <t>• At 02:46:46 on 05/06/2026, the approach signal DNIBSDIST showed DOUBLE YELLOW (YY) in the field / DOUBLE YELLOW (YY) on the DMI (field and DMI agree).</t>
        </is>
      </c>
      <c r="S18" s="31" t="inlineStr">
        <is>
          <t>Medha/Kernex</t>
        </is>
      </c>
    </row>
    <row r="19" ht="274" customHeight="1">
      <c r="A19" s="31" t="inlineStr">
        <is>
          <t>5 Jun</t>
        </is>
      </c>
      <c r="B19" s="31" t="inlineStr">
        <is>
          <t>30488</t>
        </is>
      </c>
      <c r="C19" s="31" t="inlineStr">
        <is>
          <t>Non-Valid</t>
        </is>
      </c>
      <c r="D19" s="31" t="inlineStr">
        <is>
          <t>03:39:48</t>
        </is>
      </c>
      <c r="E19" s="31" t="inlineStr">
        <is>
          <t>03:39:48</t>
        </is>
      </c>
      <c r="F19" s="31" t="n">
        <v>0</v>
      </c>
      <c r="G19" s="31" t="n">
        <v>1</v>
      </c>
      <c r="H19" s="31" t="n">
        <v>136</v>
      </c>
      <c r="I19" s="31" t="inlineStr">
        <is>
          <t>FS</t>
        </is>
      </c>
      <c r="J19" s="32" t="n">
        <v>1156.83</v>
      </c>
      <c r="K19" s="31" t="inlineStr">
        <is>
          <t>N</t>
        </is>
      </c>
      <c r="L19" s="31" t="inlineStr">
        <is>
          <t>IBH-211</t>
        </is>
      </c>
      <c r="M19" s="33" t="inlineStr">
        <is>
          <t>136 km/h</t>
        </is>
      </c>
      <c r="N19" s="33" t="inlineStr">
        <is>
          <t>7270</t>
        </is>
      </c>
      <c r="O19" s="31" t="inlineStr">
        <is>
          <t>-</t>
        </is>
      </c>
      <c r="P19" s="33" t="inlineStr">
        <is>
          <t>-</t>
        </is>
      </c>
      <c r="Q19" s="33" t="inlineStr">
        <is>
          <t>Route: entry ? → exit UPIBSINNDIST.
Condition: no interlocked route resolved at this approach — points/tracks not determined.
Loco: loco 1624 m short of UPIBSINNDIST (sig abs 1155202); EB onset 03:39:48 at 136 km/h @ abs 1156826 (1624 m before UPIBSINNDIST); halt 03:39:48 @ abs 1156826 (1624 m before UPIBSINNDIST).</t>
        </is>
      </c>
      <c r="R19" s="33" t="inlineStr">
        <is>
          <t>• At 02:39:06:749, the approach signal UPIBSINNDIST was displaying GREEN (G) in the field but YELLOW (Y) on the DMI — a field/DMI aspect mismatch.
• At 03:38:20 on 05/06/2026, the approach signal UPIBSINNDIST showed YELLOW (Y) in the field / YELLOW (Y) on the DMI (field and DMI agree).</t>
        </is>
      </c>
      <c r="S19" s="31" t="inlineStr">
        <is>
          <t>HBL</t>
        </is>
      </c>
    </row>
    <row r="20" ht="259" customHeight="1">
      <c r="A20" s="31" t="inlineStr">
        <is>
          <t>5 Jun</t>
        </is>
      </c>
      <c r="B20" s="31" t="inlineStr">
        <is>
          <t>37839</t>
        </is>
      </c>
      <c r="C20" s="31" t="inlineStr">
        <is>
          <t>Non-Valid</t>
        </is>
      </c>
      <c r="D20" s="31" t="inlineStr">
        <is>
          <t>09:26:14</t>
        </is>
      </c>
      <c r="E20" s="31" t="inlineStr">
        <is>
          <t>09:26:26</t>
        </is>
      </c>
      <c r="F20" s="31" t="n">
        <v>12</v>
      </c>
      <c r="G20" s="31" t="n">
        <v>7</v>
      </c>
      <c r="H20" s="31" t="n">
        <v>25</v>
      </c>
      <c r="I20" s="31" t="inlineStr">
        <is>
          <t>SR</t>
        </is>
      </c>
      <c r="J20" s="32" t="n">
        <v>924.65</v>
      </c>
      <c r="K20" s="31" t="inlineStr">
        <is>
          <t>U</t>
        </is>
      </c>
      <c r="L20" s="31" t="inlineStr">
        <is>
          <t>KOTA C</t>
        </is>
      </c>
      <c r="M20" s="33" t="inlineStr">
        <is>
          <t>25 km/h</t>
        </is>
      </c>
      <c r="N20" s="33" t="inlineStr">
        <is>
          <t>n/a</t>
        </is>
      </c>
      <c r="O20" s="31" t="inlineStr">
        <is>
          <t>-</t>
        </is>
      </c>
      <c r="P20" s="34" t="inlineStr">
        <is>
          <t>FS-&gt;SR degradation + EB</t>
        </is>
      </c>
      <c r="Q20" s="33" t="inlineStr">
        <is>
          <t>Route: entry ? → exit S127.
Condition: no interlocked route resolved at this approach — points/tracks not determined.
Loco: loco 1370 m short of S127 (sig abs 923282); EB onset 09:26:14 at 25 km/h; halt 09:26:26.</t>
        </is>
      </c>
      <c r="R20" s="33" t="inlineStr">
        <is>
          <t>• At 09:14:29:383, the approach signal S127 was displaying DOUBLE YELLOW (YY) in the field but RED (R) on the DMI — a field/DMI aspect mismatch.
• At 09:24:52 on 05/06/2026, the approach signal S127 showed RED (R) in the field / RED (R) on the DMI (field and DMI agree).</t>
        </is>
      </c>
      <c r="S20" s="31" t="inlineStr">
        <is>
          <t>Medha/Kernex</t>
        </is>
      </c>
    </row>
    <row r="21" ht="34" customHeight="1">
      <c r="A21" s="31" t="inlineStr">
        <is>
          <t>5 Jun</t>
        </is>
      </c>
      <c r="B21" s="31" t="inlineStr">
        <is>
          <t>37839</t>
        </is>
      </c>
      <c r="C21" s="31" t="inlineStr">
        <is>
          <t>Non-Valid</t>
        </is>
      </c>
      <c r="D21" s="31" t="inlineStr">
        <is>
          <t>09:29:24</t>
        </is>
      </c>
      <c r="E21" s="31" t="inlineStr">
        <is>
          <t>09:29:42</t>
        </is>
      </c>
      <c r="F21" s="31" t="n">
        <v>18</v>
      </c>
      <c r="G21" s="31" t="n">
        <v>10</v>
      </c>
      <c r="H21" s="31" t="n">
        <v>45</v>
      </c>
      <c r="I21" s="31" t="inlineStr">
        <is>
          <t>SR</t>
        </is>
      </c>
      <c r="J21" s="32" t="n">
        <v>925.63</v>
      </c>
      <c r="K21" s="31" t="inlineStr">
        <is>
          <t>U</t>
        </is>
      </c>
      <c r="L21" s="31" t="inlineStr">
        <is>
          <t>Gurla(GQL)</t>
        </is>
      </c>
      <c r="M21" s="33" t="inlineStr">
        <is>
          <t>45 km/h</t>
        </is>
      </c>
      <c r="N21" s="33" t="inlineStr">
        <is>
          <t>n/a</t>
        </is>
      </c>
      <c r="O21" s="31" t="inlineStr">
        <is>
          <t>-</t>
        </is>
      </c>
      <c r="P21" s="34" t="inlineStr">
        <is>
          <t>FS-&gt;SR degradation + EB</t>
        </is>
      </c>
      <c r="Q21" s="33" t="inlineStr">
        <is>
          <t>n/a (ahead signal not resolved)</t>
        </is>
      </c>
      <c r="R21" s="33" t="inlineStr">
        <is>
          <t>n/a</t>
        </is>
      </c>
      <c r="S21" s="31" t="inlineStr">
        <is>
          <t>Medha/Kernex</t>
        </is>
      </c>
    </row>
    <row r="22" ht="244" customHeight="1">
      <c r="A22" s="31" t="inlineStr">
        <is>
          <t>5 Jun</t>
        </is>
      </c>
      <c r="B22" s="31" t="inlineStr">
        <is>
          <t>30435</t>
        </is>
      </c>
      <c r="C22" s="31" t="inlineStr">
        <is>
          <t>Non-Valid</t>
        </is>
      </c>
      <c r="D22" s="31" t="inlineStr">
        <is>
          <t>16:46:56</t>
        </is>
      </c>
      <c r="E22" s="31" t="inlineStr">
        <is>
          <t>16:48:22</t>
        </is>
      </c>
      <c r="F22" s="31" t="n">
        <v>86</v>
      </c>
      <c r="G22" s="31" t="n">
        <v>43</v>
      </c>
      <c r="H22" s="31" t="n">
        <v>24</v>
      </c>
      <c r="I22" s="31" t="inlineStr">
        <is>
          <t>FS</t>
        </is>
      </c>
      <c r="J22" s="32" t="n">
        <v>857.88</v>
      </c>
      <c r="K22" s="31" t="inlineStr">
        <is>
          <t>R</t>
        </is>
      </c>
      <c r="L22" s="31" t="inlineStr">
        <is>
          <t>Morak(MKX)</t>
        </is>
      </c>
      <c r="M22" s="33" t="inlineStr">
        <is>
          <t>24 km/h</t>
        </is>
      </c>
      <c r="N22" s="33" t="inlineStr">
        <is>
          <t>577
MA dropped from 8859 to 577.</t>
        </is>
      </c>
      <c r="O22" s="31" t="inlineStr">
        <is>
          <t>-</t>
        </is>
      </c>
      <c r="P22" s="34" t="inlineStr">
        <is>
          <t>Sudden MA drop; Emergency: SOS</t>
        </is>
      </c>
      <c r="Q22" s="33" t="inlineStr">
        <is>
          <t>Route: entry ? → exit UPIBSDIST.
Condition: no interlocked route resolved at this approach — points/tracks not determined.
Loco: loco 3335 m short of UPIBSDIST (sig abs 854549); EB onset 16:46:56 at 24 km/h @ abs 857884 (3335 m before UPIBSDIST); halt 16:48:22 @ abs 857841 (3292 m before UPIBSDIST).</t>
        </is>
      </c>
      <c r="R22" s="33" t="inlineStr">
        <is>
          <t>• At 16:46:50 on 05/06/2026, the approach signal UPIBSDIST showed RED (R) in the field / RED (R) on the DMI (field and DMI agree).</t>
        </is>
      </c>
      <c r="S22" s="31" t="inlineStr">
        <is>
          <t>Medha/Kernex</t>
        </is>
      </c>
    </row>
    <row r="23" ht="244" customHeight="1">
      <c r="A23" s="31" t="inlineStr">
        <is>
          <t>5 Jun</t>
        </is>
      </c>
      <c r="B23" s="31" t="inlineStr">
        <is>
          <t>30435</t>
        </is>
      </c>
      <c r="C23" s="31" t="inlineStr">
        <is>
          <t>Non-Valid</t>
        </is>
      </c>
      <c r="D23" s="31" t="inlineStr">
        <is>
          <t>16:49:50</t>
        </is>
      </c>
      <c r="E23" s="31" t="inlineStr">
        <is>
          <t>16:49:52</t>
        </is>
      </c>
      <c r="F23" s="31" t="n">
        <v>2</v>
      </c>
      <c r="G23" s="31" t="n">
        <v>2</v>
      </c>
      <c r="H23" s="31" t="n">
        <v>0</v>
      </c>
      <c r="I23" s="31" t="inlineStr">
        <is>
          <t>POSTTRIP</t>
        </is>
      </c>
      <c r="J23" s="32" t="n">
        <v>857.84</v>
      </c>
      <c r="K23" s="31" t="inlineStr">
        <is>
          <t>R</t>
        </is>
      </c>
      <c r="L23" s="31" t="inlineStr">
        <is>
          <t>Morak(MKX)</t>
        </is>
      </c>
      <c r="M23" s="33" t="inlineStr">
        <is>
          <t>0 km/h</t>
        </is>
      </c>
      <c r="N23" s="33" t="inlineStr">
        <is>
          <t>524</t>
        </is>
      </c>
      <c r="O23" s="31" t="inlineStr">
        <is>
          <t>-</t>
        </is>
      </c>
      <c r="P23" s="34" t="inlineStr">
        <is>
          <t>EB at 0-1 km/h</t>
        </is>
      </c>
      <c r="Q23" s="33" t="inlineStr">
        <is>
          <t>Route: entry ? → exit UPIBSDIST.
Condition: no interlocked route resolved at this approach — points/tracks not determined.
Loco: loco 3292 m short of UPIBSDIST (sig abs 854549); EB onset 16:49:50 at 0 km/h @ abs 857841 (3292 m before UPIBSDIST); halt 16:49:52 @ abs 857841 (3292 m before UPIBSDIST).</t>
        </is>
      </c>
      <c r="R23" s="33" t="inlineStr">
        <is>
          <t>• At 16:46:50 on 05/06/2026, the approach signal UPIBSDIST showed RED (R) in the field / RED (R) on the DMI (field and DMI agree).</t>
        </is>
      </c>
      <c r="S23" s="31" t="inlineStr">
        <is>
          <t>Medha/Kernex</t>
        </is>
      </c>
    </row>
    <row r="24" ht="244" customHeight="1">
      <c r="A24" s="31" t="inlineStr">
        <is>
          <t>5 Jun</t>
        </is>
      </c>
      <c r="B24" s="31" t="inlineStr">
        <is>
          <t>30435</t>
        </is>
      </c>
      <c r="C24" s="31" t="inlineStr">
        <is>
          <t>Non-Valid</t>
        </is>
      </c>
      <c r="D24" s="31" t="inlineStr">
        <is>
          <t>16:51:12</t>
        </is>
      </c>
      <c r="E24" s="31" t="inlineStr">
        <is>
          <t>16:51:14</t>
        </is>
      </c>
      <c r="F24" s="31" t="n">
        <v>2</v>
      </c>
      <c r="G24" s="31" t="n">
        <v>2</v>
      </c>
      <c r="H24" s="31" t="n">
        <v>0</v>
      </c>
      <c r="I24" s="31" t="inlineStr">
        <is>
          <t>POSTTRIP</t>
        </is>
      </c>
      <c r="J24" s="32" t="n">
        <v>857.84</v>
      </c>
      <c r="K24" s="31" t="inlineStr">
        <is>
          <t>R</t>
        </is>
      </c>
      <c r="L24" s="31" t="inlineStr">
        <is>
          <t>Morak(MKX)</t>
        </is>
      </c>
      <c r="M24" s="33" t="inlineStr">
        <is>
          <t>0 km/h</t>
        </is>
      </c>
      <c r="N24" s="33" t="inlineStr">
        <is>
          <t>524</t>
        </is>
      </c>
      <c r="O24" s="31" t="inlineStr">
        <is>
          <t>-</t>
        </is>
      </c>
      <c r="P24" s="34" t="inlineStr">
        <is>
          <t>EB at 0-1 km/h</t>
        </is>
      </c>
      <c r="Q24" s="33" t="inlineStr">
        <is>
          <t>Route: entry ? → exit UPIBSDIST.
Condition: no interlocked route resolved at this approach — points/tracks not determined.
Loco: loco 3292 m short of UPIBSDIST (sig abs 854549); EB onset 16:51:12 at 0 km/h @ abs 857841 (3292 m before UPIBSDIST); halt 16:51:14 @ abs 857841 (3292 m before UPIBSDIST).</t>
        </is>
      </c>
      <c r="R24" s="33" t="inlineStr">
        <is>
          <t>• At 16:46:50 on 05/06/2026, the approach signal UPIBSDIST showed RED (R) in the field / RED (R) on the DMI (field and DMI agree).</t>
        </is>
      </c>
      <c r="S24" s="31" t="inlineStr">
        <is>
          <t>Medha/Kernex</t>
        </is>
      </c>
    </row>
    <row r="25" ht="229" customHeight="1">
      <c r="A25" s="31" t="inlineStr">
        <is>
          <t>5 Jun</t>
        </is>
      </c>
      <c r="B25" s="31" t="inlineStr">
        <is>
          <t>39501</t>
        </is>
      </c>
      <c r="C25" s="31" t="inlineStr">
        <is>
          <t>Non-Valid</t>
        </is>
      </c>
      <c r="D25" s="31" t="inlineStr">
        <is>
          <t>17:36:18</t>
        </is>
      </c>
      <c r="E25" s="31" t="inlineStr">
        <is>
          <t>17:36:18</t>
        </is>
      </c>
      <c r="F25" s="31" t="n">
        <v>0</v>
      </c>
      <c r="G25" s="31" t="n">
        <v>1</v>
      </c>
      <c r="H25" s="31" t="n">
        <v>34</v>
      </c>
      <c r="I25" s="31" t="inlineStr">
        <is>
          <t>FS</t>
        </is>
      </c>
      <c r="J25" s="32" t="n">
        <v>1029.22</v>
      </c>
      <c r="K25" s="31" t="inlineStr">
        <is>
          <t>N</t>
        </is>
      </c>
      <c r="L25" s="31" t="inlineStr">
        <is>
          <t>SawaiMadhopurJn(SWM)</t>
        </is>
      </c>
      <c r="M25" s="33" t="inlineStr">
        <is>
          <t>34 km/h</t>
        </is>
      </c>
      <c r="N25" s="33" t="inlineStr">
        <is>
          <t>8812</t>
        </is>
      </c>
      <c r="O25" s="31" t="inlineStr">
        <is>
          <t>-</t>
        </is>
      </c>
      <c r="P25" s="33" t="inlineStr">
        <is>
          <t>-</t>
        </is>
      </c>
      <c r="Q25" s="33" t="inlineStr">
        <is>
          <t>Route: entry ? → exit S11.
Condition: no interlocked route resolved at this approach — points/tracks not determined.
Loco: loco 640 m short of S11 (sig abs 1029865); EB onset 17:36:18 at 34 km/h @ abs 1029225 (640 m before S11); halt 17:36:18 @ abs 1029225 (640 m before S11).</t>
        </is>
      </c>
      <c r="R25" s="33" t="inlineStr">
        <is>
          <t>• At 17:35:35 on 05/06/2026, the approach signal S11 showed GREEN (G) in the field / GREEN (G) on the DMI (field and DMI agree).</t>
        </is>
      </c>
      <c r="S25" s="31" t="inlineStr">
        <is>
          <t>HBL</t>
        </is>
      </c>
    </row>
    <row r="26" ht="34" customHeight="1">
      <c r="A26" s="31" t="inlineStr">
        <is>
          <t>5 Jun</t>
        </is>
      </c>
      <c r="B26" s="31" t="inlineStr">
        <is>
          <t>37464</t>
        </is>
      </c>
      <c r="C26" s="31" t="inlineStr">
        <is>
          <t>Non-Valid</t>
        </is>
      </c>
      <c r="D26" s="31" t="inlineStr">
        <is>
          <t>20:49:18</t>
        </is>
      </c>
      <c r="E26" s="31" t="inlineStr">
        <is>
          <t>20:49:34</t>
        </is>
      </c>
      <c r="F26" s="31" t="n">
        <v>16</v>
      </c>
      <c r="G26" s="31" t="n">
        <v>5</v>
      </c>
      <c r="H26" s="31" t="n">
        <v>55</v>
      </c>
      <c r="I26" s="31" t="inlineStr">
        <is>
          <t>FS</t>
        </is>
      </c>
      <c r="J26" s="32" t="n">
        <v>1011.87</v>
      </c>
      <c r="K26" s="31" t="inlineStr">
        <is>
          <t>R</t>
        </is>
      </c>
      <c r="L26" s="31" t="inlineStr">
        <is>
          <t>RawanjnaDungar(RWJ)</t>
        </is>
      </c>
      <c r="M26" s="33" t="inlineStr">
        <is>
          <t>41 km/h</t>
        </is>
      </c>
      <c r="N26" s="33" t="inlineStr">
        <is>
          <t>12810</t>
        </is>
      </c>
      <c r="O26" s="31" t="inlineStr">
        <is>
          <t>-</t>
        </is>
      </c>
      <c r="P26" s="33" t="inlineStr">
        <is>
          <t>-</t>
        </is>
      </c>
      <c r="Q26" s="33" t="inlineStr">
        <is>
          <t>n/a (ahead signal not resolved)</t>
        </is>
      </c>
      <c r="R26" s="33" t="inlineStr">
        <is>
          <t>n/a</t>
        </is>
      </c>
      <c r="S26" s="31" t="inlineStr">
        <is>
          <t>HBL</t>
        </is>
      </c>
    </row>
    <row r="27" ht="274" customHeight="1">
      <c r="A27" s="31" t="inlineStr">
        <is>
          <t>6 Jun</t>
        </is>
      </c>
      <c r="B27" s="31" t="inlineStr">
        <is>
          <t>30821</t>
        </is>
      </c>
      <c r="C27" s="31" t="inlineStr">
        <is>
          <t>Non-Valid</t>
        </is>
      </c>
      <c r="D27" s="31" t="inlineStr">
        <is>
          <t>13:03:06</t>
        </is>
      </c>
      <c r="E27" s="31" t="inlineStr">
        <is>
          <t>13:03:08</t>
        </is>
      </c>
      <c r="F27" s="31" t="n">
        <v>2</v>
      </c>
      <c r="G27" s="31" t="n">
        <v>2</v>
      </c>
      <c r="H27" s="31" t="n">
        <v>116</v>
      </c>
      <c r="I27" s="31" t="inlineStr">
        <is>
          <t>FS</t>
        </is>
      </c>
      <c r="J27" s="32" t="n">
        <v>1056.12</v>
      </c>
      <c r="K27" s="31" t="inlineStr">
        <is>
          <t>R</t>
        </is>
      </c>
      <c r="L27" s="31" t="inlineStr">
        <is>
          <t>IBH-MXL</t>
        </is>
      </c>
      <c r="M27" s="33" t="inlineStr">
        <is>
          <t>116 km/h</t>
        </is>
      </c>
      <c r="N27" s="33" t="inlineStr">
        <is>
          <t>8213</t>
        </is>
      </c>
      <c r="O27" s="31" t="inlineStr">
        <is>
          <t>-</t>
        </is>
      </c>
      <c r="P27" s="33" t="inlineStr">
        <is>
          <t>-</t>
        </is>
      </c>
      <c r="Q27" s="33" t="inlineStr">
        <is>
          <t>Route: entry ? → exit UPIBSINNDIST.
Condition: no interlocked route resolved at this approach — points/tracks not determined.
Loco: loco 260 m short of UPIBSINNDIST (sig abs 1055864); EB onset 13:03:06 at 116 km/h @ abs 1056124 (260 m before UPIBSINNDIST); halt 13:03:08 @ abs 1056069 (205 m before UPIBSINNDIST).</t>
        </is>
      </c>
      <c r="R27" s="33" t="inlineStr">
        <is>
          <t>• At 12:24:26:298, the approach signal UPIBSINNDIST was displaying GREEN (G) in the field but YELLOW (Y) on the DMI — a field/DMI aspect mismatch.
• At 13:01:09 on 06/06/2026, the approach signal UPIBSINNDIST showed GREEN (G) in the field / GREEN (G) on the DMI (field and DMI agree).</t>
        </is>
      </c>
      <c r="S27" s="31" t="inlineStr">
        <is>
          <t>Medha/Kernex</t>
        </is>
      </c>
    </row>
    <row r="28" ht="244" customHeight="1">
      <c r="A28" s="16" t="inlineStr">
        <is>
          <t>6 Jun</t>
        </is>
      </c>
      <c r="B28" s="16" t="inlineStr">
        <is>
          <t>37397</t>
        </is>
      </c>
      <c r="C28" s="16" t="inlineStr">
        <is>
          <t>Valid</t>
        </is>
      </c>
      <c r="D28" s="16" t="inlineStr">
        <is>
          <t>13:19:24</t>
        </is>
      </c>
      <c r="E28" s="16" t="inlineStr">
        <is>
          <t>13:20:36</t>
        </is>
      </c>
      <c r="F28" s="16" t="n">
        <v>72</v>
      </c>
      <c r="G28" s="16" t="n">
        <v>35</v>
      </c>
      <c r="H28" s="16" t="n">
        <v>124</v>
      </c>
      <c r="I28" s="16" t="inlineStr">
        <is>
          <t>FS</t>
        </is>
      </c>
      <c r="J28" s="35" t="n">
        <v>837.01</v>
      </c>
      <c r="K28" s="16" t="inlineStr">
        <is>
          <t>R</t>
        </is>
      </c>
      <c r="L28" s="16" t="inlineStr">
        <is>
          <t>Jhalawar Road(JHW)</t>
        </is>
      </c>
      <c r="M28" s="36" t="inlineStr">
        <is>
          <t>124 km/h</t>
        </is>
      </c>
      <c r="N28" s="36" t="inlineStr">
        <is>
          <t>1520</t>
        </is>
      </c>
      <c r="O28" s="16" t="inlineStr">
        <is>
          <t>-</t>
        </is>
      </c>
      <c r="P28" s="36" t="inlineStr">
        <is>
          <t>-</t>
        </is>
      </c>
      <c r="Q28" s="36" t="inlineStr">
        <is>
          <t>Route: entry ? → exit S2.
Condition: no interlocked route resolved at this approach — points/tracks not determined.
Loco: loco 689 m short of S2 (sig abs 836321); EB onset 13:19:24 at 124 km/h @ abs 837010 (689 m before S2); halt 13:20:36 @ abs 836117 (204 m past S2).</t>
        </is>
      </c>
      <c r="R28" s="36" t="inlineStr">
        <is>
          <t>• At 13:12:51:372, the approach signal S2 was displaying GREEN (G) in the field but RED (R) on the DMI — a field/DMI aspect mismatch.
• At 13:19:21 on 06/06/2026, the approach signal S2 showed RED (R) in the field / RED (R) on the DMI (field and DMI agree).</t>
        </is>
      </c>
      <c r="S28" s="16" t="inlineStr">
        <is>
          <t>Medha/Kernex</t>
        </is>
      </c>
    </row>
    <row r="29" ht="34" customHeight="1">
      <c r="A29" s="16" t="inlineStr">
        <is>
          <t>6 Jun</t>
        </is>
      </c>
      <c r="B29" s="16" t="inlineStr">
        <is>
          <t>37397</t>
        </is>
      </c>
      <c r="C29" s="16" t="inlineStr">
        <is>
          <t>Valid</t>
        </is>
      </c>
      <c r="D29" s="16" t="inlineStr">
        <is>
          <t>13:42:26</t>
        </is>
      </c>
      <c r="E29" s="16" t="inlineStr">
        <is>
          <t>13:42:26</t>
        </is>
      </c>
      <c r="F29" s="16" t="n">
        <v>0</v>
      </c>
      <c r="G29" s="16" t="n">
        <v>1</v>
      </c>
      <c r="H29" s="16" t="n">
        <v>0</v>
      </c>
      <c r="I29" s="16" t="inlineStr">
        <is>
          <t>POSTTRIP</t>
        </is>
      </c>
      <c r="J29" s="35" t="n">
        <v>836.12</v>
      </c>
      <c r="K29" s="16" t="inlineStr">
        <is>
          <t>R</t>
        </is>
      </c>
      <c r="L29" s="16" t="inlineStr">
        <is>
          <t>Jhalawar Road(JHW)</t>
        </is>
      </c>
      <c r="M29" s="36" t="inlineStr">
        <is>
          <t>0 km/h</t>
        </is>
      </c>
      <c r="N29" s="36" t="inlineStr">
        <is>
          <t>n/a</t>
        </is>
      </c>
      <c r="O29" s="16" t="inlineStr">
        <is>
          <t>-</t>
        </is>
      </c>
      <c r="P29" s="34" t="inlineStr">
        <is>
          <t>EB at 0-1 km/h</t>
        </is>
      </c>
      <c r="Q29" s="36" t="inlineStr">
        <is>
          <t>n/a (ahead signal not resolved)</t>
        </is>
      </c>
      <c r="R29" s="36" t="inlineStr">
        <is>
          <t>n/a</t>
        </is>
      </c>
      <c r="S29" s="16" t="inlineStr">
        <is>
          <t>Medha/Kernex</t>
        </is>
      </c>
    </row>
    <row r="30" ht="184" customHeight="1">
      <c r="A30" s="31" t="inlineStr">
        <is>
          <t>7 Jun</t>
        </is>
      </c>
      <c r="B30" s="31" t="inlineStr">
        <is>
          <t>30342</t>
        </is>
      </c>
      <c r="C30" s="31" t="inlineStr">
        <is>
          <t>Non-Valid</t>
        </is>
      </c>
      <c r="D30" s="31" t="inlineStr">
        <is>
          <t>00:48:24</t>
        </is>
      </c>
      <c r="E30" s="31" t="inlineStr">
        <is>
          <t>00:49:08</t>
        </is>
      </c>
      <c r="F30" s="31" t="n">
        <v>44</v>
      </c>
      <c r="G30" s="31" t="n">
        <v>23</v>
      </c>
      <c r="H30" s="31" t="n">
        <v>120</v>
      </c>
      <c r="I30" s="31" t="inlineStr">
        <is>
          <t>SR</t>
        </is>
      </c>
      <c r="J30" s="32" t="n">
        <v>773.2</v>
      </c>
      <c r="K30" s="31" t="inlineStr">
        <is>
          <t>U</t>
        </is>
      </c>
      <c r="L30" s="31" t="inlineStr">
        <is>
          <t>Suwasra(SVA)</t>
        </is>
      </c>
      <c r="M30" s="33" t="inlineStr">
        <is>
          <t>120 km/h</t>
        </is>
      </c>
      <c r="N30" s="33" t="inlineStr">
        <is>
          <t>5724</t>
        </is>
      </c>
      <c r="O30" s="31" t="inlineStr">
        <is>
          <t>-</t>
        </is>
      </c>
      <c r="P30" s="34" t="inlineStr">
        <is>
          <t>FS-&gt;SR degradation + EB</t>
        </is>
      </c>
      <c r="Q30" s="33" t="inlineStr">
        <is>
          <t>Route: entry ? → exit DNDIST.
Condition: no interlocked route resolved at this approach — points/tracks not determined.
Loco: loco 2724 m short of DNDIST (sig abs 770471); EB onset 00:48:24 at 120 km/h; halt 00:49:08.</t>
        </is>
      </c>
      <c r="R30" s="33" t="inlineStr">
        <is>
          <t>• At 00:48:19 on 07/06/2026, the approach signal DNDIST showed DOUBLE YELLOW (YY) in the field / DOUBLE YELLOW (YY) on the DMI (field and DMI agree).</t>
        </is>
      </c>
      <c r="S30" s="31" t="inlineStr">
        <is>
          <t>Medha/Kernex</t>
        </is>
      </c>
    </row>
    <row r="31" ht="274" customHeight="1">
      <c r="A31" s="31" t="inlineStr">
        <is>
          <t>7 Jun</t>
        </is>
      </c>
      <c r="B31" s="31" t="inlineStr">
        <is>
          <t>37793</t>
        </is>
      </c>
      <c r="C31" s="31" t="inlineStr">
        <is>
          <t>Non-Valid</t>
        </is>
      </c>
      <c r="D31" s="31" t="inlineStr">
        <is>
          <t>00:59:50</t>
        </is>
      </c>
      <c r="E31" s="31" t="inlineStr">
        <is>
          <t>01:00:16</t>
        </is>
      </c>
      <c r="F31" s="31" t="n">
        <v>26</v>
      </c>
      <c r="G31" s="31" t="n">
        <v>14</v>
      </c>
      <c r="H31" s="31" t="n">
        <v>113</v>
      </c>
      <c r="I31" s="31" t="inlineStr">
        <is>
          <t>FS</t>
        </is>
      </c>
      <c r="J31" s="32" t="n">
        <v>1056.28</v>
      </c>
      <c r="K31" s="31" t="inlineStr">
        <is>
          <t>R</t>
        </is>
      </c>
      <c r="L31" s="31" t="inlineStr">
        <is>
          <t>IBH-MXL</t>
        </is>
      </c>
      <c r="M31" s="33" t="inlineStr">
        <is>
          <t>113 km/h</t>
        </is>
      </c>
      <c r="N31" s="33" t="inlineStr">
        <is>
          <t>8213</t>
        </is>
      </c>
      <c r="O31" s="31" t="inlineStr">
        <is>
          <t>SOS</t>
        </is>
      </c>
      <c r="P31" s="34" t="inlineStr">
        <is>
          <t>Emergency: SOS</t>
        </is>
      </c>
      <c r="Q31" s="33" t="inlineStr">
        <is>
          <t>Route: entry ? → exit UPIBSINNDIST.
Condition: no interlocked route resolved at this approach — points/tracks not determined.
Loco: loco 420 m short of UPIBSINNDIST (sig abs 1055864); EB onset 00:59:50 at 113 km/h @ abs 1056284 (420 m before UPIBSINNDIST); halt 01:00:16 @ abs 1055701 (163 m past UPIBSINNDIST).</t>
        </is>
      </c>
      <c r="R31" s="33" t="inlineStr">
        <is>
          <t>• At 00:02:45:460, the approach signal UPIBSINNDIST was displaying GREEN (G) in the field but YELLOW (Y) on the DMI — a field/DMI aspect mismatch.
• At 00:56:33 on 07/06/2026, the approach signal UPIBSINNDIST showed GREEN (G) in the field / GREEN (G) on the DMI (field and DMI agree).</t>
        </is>
      </c>
      <c r="S31" s="31" t="inlineStr">
        <is>
          <t>Medha/Kernex</t>
        </is>
      </c>
    </row>
    <row r="32" ht="229" customHeight="1">
      <c r="A32" s="31" t="inlineStr">
        <is>
          <t>7 Jun</t>
        </is>
      </c>
      <c r="B32" s="31" t="inlineStr">
        <is>
          <t>37314</t>
        </is>
      </c>
      <c r="C32" s="31" t="inlineStr">
        <is>
          <t>Non-Valid</t>
        </is>
      </c>
      <c r="D32" s="31" t="inlineStr">
        <is>
          <t>01:44:42</t>
        </is>
      </c>
      <c r="E32" s="31" t="inlineStr">
        <is>
          <t>01:45:24</t>
        </is>
      </c>
      <c r="F32" s="31" t="n">
        <v>42</v>
      </c>
      <c r="G32" s="31" t="n">
        <v>22</v>
      </c>
      <c r="H32" s="31" t="n">
        <v>112</v>
      </c>
      <c r="I32" s="31" t="inlineStr">
        <is>
          <t>Failure</t>
        </is>
      </c>
      <c r="J32" s="32" t="n">
        <v>754.08</v>
      </c>
      <c r="K32" s="31" t="inlineStr">
        <is>
          <t>R</t>
        </is>
      </c>
      <c r="L32" s="31" t="inlineStr">
        <is>
          <t>Talavli(TLZ)</t>
        </is>
      </c>
      <c r="M32" s="33" t="inlineStr">
        <is>
          <t>112 km/h</t>
        </is>
      </c>
      <c r="N32" s="33" t="inlineStr">
        <is>
          <t>4011
MA dropped from 4762 to 4011.</t>
        </is>
      </c>
      <c r="O32" s="31" t="inlineStr">
        <is>
          <t>-</t>
        </is>
      </c>
      <c r="P32" s="34" t="inlineStr">
        <is>
          <t>Sudden MA drop; Failure mode</t>
        </is>
      </c>
      <c r="Q32" s="33" t="inlineStr">
        <is>
          <t>Route: entry ? → exit S46.
Condition: no interlocked route resolved at this approach — points/tracks not determined.
Loco: loco 185 m short of S46 (sig abs 753892); EB onset 01:44:42 at 112 km/h @ abs 754077 (185 m before S46); halt 01:45:24 @ abs 753357 (535 m past S46).</t>
        </is>
      </c>
      <c r="R32" s="33" t="inlineStr">
        <is>
          <t>• At 01:31:10 on 07/06/2026, the approach signal S46 showed GREEN (G) in the field / GREEN (G) on the DMI (field and DMI agree).</t>
        </is>
      </c>
      <c r="S32" s="31" t="inlineStr">
        <is>
          <t>Medha/Kernex</t>
        </is>
      </c>
    </row>
    <row r="33" ht="244" customHeight="1">
      <c r="A33" s="31" t="inlineStr">
        <is>
          <t>7 Jun</t>
        </is>
      </c>
      <c r="B33" s="31" t="inlineStr">
        <is>
          <t>30342</t>
        </is>
      </c>
      <c r="C33" s="31" t="inlineStr">
        <is>
          <t>Non-Valid</t>
        </is>
      </c>
      <c r="D33" s="31" t="inlineStr">
        <is>
          <t>03:09:04</t>
        </is>
      </c>
      <c r="E33" s="31" t="inlineStr">
        <is>
          <t>03:09:30</t>
        </is>
      </c>
      <c r="F33" s="31" t="n">
        <v>26</v>
      </c>
      <c r="G33" s="31" t="n">
        <v>14</v>
      </c>
      <c r="H33" s="31" t="n">
        <v>73</v>
      </c>
      <c r="I33" s="31" t="inlineStr">
        <is>
          <t>SR</t>
        </is>
      </c>
      <c r="J33" s="32" t="n">
        <v>927.03</v>
      </c>
      <c r="K33" s="31" t="inlineStr">
        <is>
          <t>U</t>
        </is>
      </c>
      <c r="L33" s="31" t="inlineStr">
        <is>
          <t>Gurla(GQL)</t>
        </is>
      </c>
      <c r="M33" s="33" t="inlineStr">
        <is>
          <t>73 km/h</t>
        </is>
      </c>
      <c r="N33" s="33" t="inlineStr">
        <is>
          <t>5921</t>
        </is>
      </c>
      <c r="O33" s="31" t="inlineStr">
        <is>
          <t>-</t>
        </is>
      </c>
      <c r="P33" s="34" t="inlineStr">
        <is>
          <t>FS-&gt;SR degradation + EB</t>
        </is>
      </c>
      <c r="Q33" s="33" t="inlineStr">
        <is>
          <t>Route: entry ? → exit S1.
Condition: no interlocked route resolved at this approach — points/tracks not determined.
Loco: loco 2368 m short of S1 (sig abs 924659); EB onset 03:09:04 at 73 km/h; halt 03:09:30.</t>
        </is>
      </c>
      <c r="R33" s="33" t="inlineStr">
        <is>
          <t>• At 03:07:33:975, the approach signal S1 was displaying YELLOW (Y) in the field but RED (R) on the DMI — a field/DMI aspect mismatch.
• At 03:09:00 on 07/06/2026, the approach signal S1 showed RED (R) in the field / RED (R) on the DMI (field and DMI agree).</t>
        </is>
      </c>
      <c r="S33" s="31" t="inlineStr">
        <is>
          <t>Medha/Kernex</t>
        </is>
      </c>
    </row>
    <row r="34" ht="244" customHeight="1">
      <c r="A34" s="16" t="inlineStr">
        <is>
          <t>7 Jun</t>
        </is>
      </c>
      <c r="B34" s="16" t="inlineStr">
        <is>
          <t>30572</t>
        </is>
      </c>
      <c r="C34" s="16" t="inlineStr">
        <is>
          <t>Valid</t>
        </is>
      </c>
      <c r="D34" s="16" t="inlineStr">
        <is>
          <t>03:57:26</t>
        </is>
      </c>
      <c r="E34" s="16" t="inlineStr">
        <is>
          <t>03:57:42</t>
        </is>
      </c>
      <c r="F34" s="16" t="n">
        <v>16</v>
      </c>
      <c r="G34" s="16" t="n">
        <v>9</v>
      </c>
      <c r="H34" s="16" t="n">
        <v>27</v>
      </c>
      <c r="I34" s="16" t="inlineStr">
        <is>
          <t>SR</t>
        </is>
      </c>
      <c r="J34" s="35" t="n">
        <v>1029.26</v>
      </c>
      <c r="K34" s="16" t="inlineStr">
        <is>
          <t>U</t>
        </is>
      </c>
      <c r="L34" s="16" t="inlineStr">
        <is>
          <t>SawaiMadhopurJn(SWM)</t>
        </is>
      </c>
      <c r="M34" s="36" t="inlineStr">
        <is>
          <t>27 km/h</t>
        </is>
      </c>
      <c r="N34" s="36" t="inlineStr">
        <is>
          <t>1181</t>
        </is>
      </c>
      <c r="O34" s="16" t="inlineStr">
        <is>
          <t>-</t>
        </is>
      </c>
      <c r="P34" s="34" t="inlineStr">
        <is>
          <t>FS-&gt;SR degradation + EB</t>
        </is>
      </c>
      <c r="Q34" s="36" t="inlineStr">
        <is>
          <t>Route: entry ? → exit S39.
Condition: no interlocked route resolved at this approach — points/tracks not determined.
Loco: loco 1544 m short of S39 (sig abs 1027717); EB onset 03:57:26 at 27 km/h; halt 03:57:42.</t>
        </is>
      </c>
      <c r="R34" s="36" t="inlineStr">
        <is>
          <t>• At 03:31:14:493, the approach signal S39 was displaying GREEN (G) in the field but RED (R) on the DMI — a field/DMI aspect mismatch.
• At 03:55:54 on 07/06/2026, the approach signal S39 showed RED (R) in the field / RED (R) on the DMI (field and DMI agree).</t>
        </is>
      </c>
      <c r="S34" s="16" t="inlineStr">
        <is>
          <t>Medha/Kernex</t>
        </is>
      </c>
    </row>
    <row r="35" ht="244" customHeight="1">
      <c r="A35" s="16" t="inlineStr">
        <is>
          <t>7 Jun</t>
        </is>
      </c>
      <c r="B35" s="16" t="inlineStr">
        <is>
          <t>30572</t>
        </is>
      </c>
      <c r="C35" s="16" t="inlineStr">
        <is>
          <t>Valid</t>
        </is>
      </c>
      <c r="D35" s="16" t="inlineStr">
        <is>
          <t>05:42:56</t>
        </is>
      </c>
      <c r="E35" s="16" t="inlineStr">
        <is>
          <t>05:43:06</t>
        </is>
      </c>
      <c r="F35" s="16" t="n">
        <v>10</v>
      </c>
      <c r="G35" s="16" t="n">
        <v>6</v>
      </c>
      <c r="H35" s="16" t="n">
        <v>9</v>
      </c>
      <c r="I35" s="16" t="inlineStr">
        <is>
          <t>SR</t>
        </is>
      </c>
      <c r="J35" s="35" t="n">
        <v>920.51</v>
      </c>
      <c r="K35" s="16" t="inlineStr">
        <is>
          <t>U</t>
        </is>
      </c>
      <c r="L35" s="16" t="inlineStr">
        <is>
          <t>Kota Jn.(KOTA) CENTRAL</t>
        </is>
      </c>
      <c r="M35" s="36" t="inlineStr">
        <is>
          <t>9 km/h</t>
        </is>
      </c>
      <c r="N35" s="36" t="inlineStr">
        <is>
          <t>n/a</t>
        </is>
      </c>
      <c r="O35" s="16" t="inlineStr">
        <is>
          <t>-</t>
        </is>
      </c>
      <c r="P35" s="34" t="inlineStr">
        <is>
          <t>FS-&gt;SR degradation + EB</t>
        </is>
      </c>
      <c r="Q35" s="36" t="inlineStr">
        <is>
          <t>Route: entry ? → exit S102.
Condition: no interlocked route resolved at this approach — points/tracks not determined.
Loco: loco 1509 m short of S102 (sig abs 922017); EB onset 05:42:56 at 9 km/h; halt 05:43:06.</t>
        </is>
      </c>
      <c r="R35" s="36" t="inlineStr">
        <is>
          <t>• At 05:21:10:446, the approach signal S102 was displaying Y+1 (Y+1) in the field but RED (R) on the DMI — a field/DMI aspect mismatch.
• At 05:42:02 on 07/06/2026, the approach signal S102 showed RED (R) in the field / RED (R) on the DMI (field and DMI agree).</t>
        </is>
      </c>
      <c r="S35" s="16" t="inlineStr">
        <is>
          <t>Medha/Kernex</t>
        </is>
      </c>
    </row>
    <row r="36" ht="229" customHeight="1">
      <c r="A36" s="31" t="inlineStr">
        <is>
          <t>7 Jun</t>
        </is>
      </c>
      <c r="B36" s="31" t="inlineStr">
        <is>
          <t>37366</t>
        </is>
      </c>
      <c r="C36" s="31" t="inlineStr">
        <is>
          <t>Non-Valid</t>
        </is>
      </c>
      <c r="D36" s="31" t="inlineStr">
        <is>
          <t>05:44:58</t>
        </is>
      </c>
      <c r="E36" s="31" t="inlineStr">
        <is>
          <t>05:44:58</t>
        </is>
      </c>
      <c r="F36" s="31" t="n">
        <v>0</v>
      </c>
      <c r="G36" s="31" t="n">
        <v>1</v>
      </c>
      <c r="H36" s="31" t="n">
        <v>1</v>
      </c>
      <c r="I36" s="31" t="inlineStr">
        <is>
          <t>FS</t>
        </is>
      </c>
      <c r="J36" s="32" t="n">
        <v>1029.01</v>
      </c>
      <c r="K36" s="31" t="inlineStr">
        <is>
          <t>N</t>
        </is>
      </c>
      <c r="L36" s="31" t="inlineStr">
        <is>
          <t>SawaiMadhopurJn(SWM)</t>
        </is>
      </c>
      <c r="M36" s="33" t="inlineStr">
        <is>
          <t>1 km/h</t>
        </is>
      </c>
      <c r="N36" s="33" t="inlineStr">
        <is>
          <t>n/a</t>
        </is>
      </c>
      <c r="O36" s="31" t="inlineStr">
        <is>
          <t>-</t>
        </is>
      </c>
      <c r="P36" s="34" t="inlineStr">
        <is>
          <t>EB at 0-1 km/h</t>
        </is>
      </c>
      <c r="Q36" s="33" t="inlineStr">
        <is>
          <t>Route: entry ? → exit S9.
Condition: no interlocked route resolved at this approach — points/tracks not determined.
Loco: loco 146 m short of S9 (sig abs 1029151); EB onset 05:44:58 at 1 km/h @ abs 1029005 (146 m before S9); halt 05:44:58 @ abs 1029005 (146 m before S9).</t>
        </is>
      </c>
      <c r="R36" s="33" t="inlineStr">
        <is>
          <t>• At 05:41:29 on 07/06/2026, the approach signal S9 showed RED (R) in the field / RED (R) on the DMI (field and DMI agree).</t>
        </is>
      </c>
      <c r="S36" s="31" t="inlineStr">
        <is>
          <t>HBL</t>
        </is>
      </c>
    </row>
    <row r="37" ht="274" customHeight="1">
      <c r="A37" s="16" t="inlineStr">
        <is>
          <t>7 Jun</t>
        </is>
      </c>
      <c r="B37" s="16" t="inlineStr">
        <is>
          <t>30572</t>
        </is>
      </c>
      <c r="C37" s="16" t="inlineStr">
        <is>
          <t>Valid</t>
        </is>
      </c>
      <c r="D37" s="16" t="inlineStr">
        <is>
          <t>07:13:14</t>
        </is>
      </c>
      <c r="E37" s="16" t="inlineStr">
        <is>
          <t>07:13:52</t>
        </is>
      </c>
      <c r="F37" s="16" t="n">
        <v>38</v>
      </c>
      <c r="G37" s="16" t="n">
        <v>20</v>
      </c>
      <c r="H37" s="16" t="n">
        <v>127</v>
      </c>
      <c r="I37" s="16" t="inlineStr">
        <is>
          <t>SR</t>
        </is>
      </c>
      <c r="J37" s="35" t="n">
        <v>807.33</v>
      </c>
      <c r="K37" s="16" t="inlineStr">
        <is>
          <t>U</t>
        </is>
      </c>
      <c r="L37" s="16" t="inlineStr">
        <is>
          <t>Kurlasi(KRLS)</t>
        </is>
      </c>
      <c r="M37" s="36" t="inlineStr">
        <is>
          <t>127 km/h</t>
        </is>
      </c>
      <c r="N37" s="36" t="inlineStr">
        <is>
          <t>3400</t>
        </is>
      </c>
      <c r="O37" s="16" t="inlineStr">
        <is>
          <t>-</t>
        </is>
      </c>
      <c r="P37" s="34" t="inlineStr">
        <is>
          <t>FS-&gt;SR degradation + EB</t>
        </is>
      </c>
      <c r="Q37" s="36" t="inlineStr">
        <is>
          <t>Route: entry ? → exit S12.
Condition: no interlocked route resolved at this approach — points/tracks not determined.
Loco: loco 45 m short of S12 (sig abs 807379); EB onset 07:13:14 at 127 km/h; halt 07:13:52.</t>
        </is>
      </c>
      <c r="R37" s="36" t="inlineStr">
        <is>
          <t>• At 07:13:11:723, the approach signal S12 was displaying GREEN (G) in the field but RED (R) on the DMI — a field/DMI aspect mismatch.
• At 07:13:11 on 07/06/2026, the approach signal S12 showed GREEN (G) in the FIELD but RED (R) on the DMI — a field/DMI MISMATCH on the signal the loco was at.</t>
        </is>
      </c>
      <c r="S37" s="16" t="inlineStr">
        <is>
          <t>Medha/Kernex</t>
        </is>
      </c>
    </row>
    <row r="38" ht="184" customHeight="1">
      <c r="A38" s="31" t="inlineStr">
        <is>
          <t>7 Jun</t>
        </is>
      </c>
      <c r="B38" s="31" t="inlineStr">
        <is>
          <t>32763</t>
        </is>
      </c>
      <c r="C38" s="31" t="inlineStr">
        <is>
          <t>Non-Valid</t>
        </is>
      </c>
      <c r="D38" s="31" t="inlineStr">
        <is>
          <t>14:41:10</t>
        </is>
      </c>
      <c r="E38" s="31" t="inlineStr">
        <is>
          <t>14:41:26</t>
        </is>
      </c>
      <c r="F38" s="31" t="n">
        <v>16</v>
      </c>
      <c r="G38" s="31" t="n">
        <v>7</v>
      </c>
      <c r="H38" s="31" t="n">
        <v>56</v>
      </c>
      <c r="I38" s="31" t="inlineStr">
        <is>
          <t>SR</t>
        </is>
      </c>
      <c r="J38" s="32" t="n">
        <v>906.0700000000001</v>
      </c>
      <c r="K38" s="31" t="inlineStr">
        <is>
          <t>U</t>
        </is>
      </c>
      <c r="L38" s="31" t="inlineStr">
        <is>
          <t>Dadhdevi(DDV)</t>
        </is>
      </c>
      <c r="M38" s="33" t="inlineStr">
        <is>
          <t>56 km/h</t>
        </is>
      </c>
      <c r="N38" s="33" t="inlineStr">
        <is>
          <t>n/a</t>
        </is>
      </c>
      <c r="O38" s="31" t="inlineStr">
        <is>
          <t>-</t>
        </is>
      </c>
      <c r="P38" s="34" t="inlineStr">
        <is>
          <t>FS-&gt;SR degradation + EB</t>
        </is>
      </c>
      <c r="Q38" s="33" t="inlineStr">
        <is>
          <t>Route: entry ? → exit UD.
Condition: no interlocked route resolved at this approach — points/tracks not determined.
Loco: loco 3368 m short of UD (sig abs 902699); EB onset 14:41:10 at 56 km/h; halt 14:41:26.</t>
        </is>
      </c>
      <c r="R38" s="33" t="inlineStr">
        <is>
          <t>• At 14:40:54 on 07/06/2026, the approach signal UD showed YELLOW (Y) in the field / YELLOW (Y) on the DMI (field and DMI agree).</t>
        </is>
      </c>
      <c r="S38" s="31" t="inlineStr">
        <is>
          <t>Medha/Kernex</t>
        </is>
      </c>
    </row>
    <row r="39" ht="229" customHeight="1">
      <c r="A39" s="31" t="inlineStr">
        <is>
          <t>7 Jun</t>
        </is>
      </c>
      <c r="B39" s="31" t="inlineStr">
        <is>
          <t>37424</t>
        </is>
      </c>
      <c r="C39" s="31" t="inlineStr">
        <is>
          <t>Non-Valid</t>
        </is>
      </c>
      <c r="D39" s="31" t="inlineStr">
        <is>
          <t>21:55:42</t>
        </is>
      </c>
      <c r="E39" s="31" t="inlineStr">
        <is>
          <t>21:55:50</t>
        </is>
      </c>
      <c r="F39" s="31" t="n">
        <v>8</v>
      </c>
      <c r="G39" s="31" t="n">
        <v>5</v>
      </c>
      <c r="H39" s="31" t="n">
        <v>9</v>
      </c>
      <c r="I39" s="31" t="inlineStr">
        <is>
          <t>StandBy</t>
        </is>
      </c>
      <c r="J39" s="32" t="n">
        <v>1212.06</v>
      </c>
      <c r="K39" s="31" t="inlineStr">
        <is>
          <t>N</t>
        </is>
      </c>
      <c r="L39" s="31" t="inlineStr">
        <is>
          <t>Bharatpur Jn.(BTE)</t>
        </is>
      </c>
      <c r="M39" s="33" t="inlineStr">
        <is>
          <t>9 km/h</t>
        </is>
      </c>
      <c r="N39" s="33" t="inlineStr">
        <is>
          <t>2005</t>
        </is>
      </c>
      <c r="O39" s="31" t="inlineStr">
        <is>
          <t>-</t>
        </is>
      </c>
      <c r="P39" s="33" t="inlineStr">
        <is>
          <t>StandBy Mode</t>
        </is>
      </c>
      <c r="Q39" s="33" t="inlineStr">
        <is>
          <t>Route: entry ? → exit S98.
Condition: no interlocked route resolved at this approach — points/tracks not determined.
Loco: loco 476 m short of S98 (sig abs 1212538); EB onset 21:55:42 at 9 km/h @ abs 1212062 (476 m before S98); halt 21:55:50 @ abs 1212071 (467 m before S98).</t>
        </is>
      </c>
      <c r="R39" s="33" t="inlineStr">
        <is>
          <t>• At 21:55:16 on 07/06/2026, the approach signal S98 showed RED (R) in the field / RED (R) on the DMI (field and DMI agree).</t>
        </is>
      </c>
      <c r="S39" s="31" t="inlineStr">
        <is>
          <t>Medha/Kernex</t>
        </is>
      </c>
    </row>
  </sheetData>
  <mergeCells count="2">
    <mergeCell ref="A3:S3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9" customWidth="1" min="10" max="10"/>
    <col width="10" customWidth="1" min="11" max="11"/>
    <col width="15" customWidth="1" min="12" max="12"/>
    <col width="60" customWidth="1" min="13" max="13"/>
  </cols>
  <sheetData>
    <row r="1">
      <c r="A1" s="13" t="inlineStr">
        <is>
          <t>KM Verification  -  KM = (In-section Max Abs  -  In-section Min Abs) / 1000</t>
        </is>
      </c>
    </row>
    <row r="2">
      <c r="A2" s="37" t="inlineStr">
        <is>
          <t>Section window: abs 699070 - 1243994  (33001_IBH-265 to 33132_IBH_1).  Only positions inside this window count; 8388607 'unknown' is excluded.  'In Report'=No means no in-section travel (dropped).</t>
        </is>
      </c>
    </row>
    <row r="4" ht="34" customHeight="1">
      <c r="A4" s="14" t="inlineStr">
        <is>
          <t>Date</t>
        </is>
      </c>
      <c r="B4" s="14" t="inlineStr">
        <is>
          <t>Loco ID</t>
        </is>
      </c>
      <c r="C4" s="14" t="inlineStr">
        <is>
          <t>Total pkts</t>
        </is>
      </c>
      <c r="D4" s="14" t="inlineStr">
        <is>
          <t>Valid-abs pkts</t>
        </is>
      </c>
      <c r="E4" s="14" t="inlineStr">
        <is>
          <t>In-section pkts</t>
        </is>
      </c>
      <c r="F4" s="14" t="inlineStr">
        <is>
          <t>Raw Min Abs</t>
        </is>
      </c>
      <c r="G4" s="14" t="inlineStr">
        <is>
          <t>Raw Max Abs</t>
        </is>
      </c>
      <c r="H4" s="14" t="inlineStr">
        <is>
          <t>In-sec Min Abs</t>
        </is>
      </c>
      <c r="I4" s="14" t="inlineStr">
        <is>
          <t>In-sec Max Abs</t>
        </is>
      </c>
      <c r="J4" s="14" t="inlineStr">
        <is>
          <t>KM = (Max-Min)/1000</t>
        </is>
      </c>
      <c r="K4" s="14" t="inlineStr">
        <is>
          <t>In Report?</t>
        </is>
      </c>
      <c r="L4" s="14" t="inlineStr">
        <is>
          <t>Stations Passed (of 124)</t>
        </is>
      </c>
      <c r="M4" s="14" t="inlineStr">
        <is>
          <t>Stations Not Passed (if &lt; full trip)</t>
        </is>
      </c>
    </row>
    <row r="5">
      <c r="A5" s="16" t="inlineStr">
        <is>
          <t>1 Jun</t>
        </is>
      </c>
      <c r="B5" s="16" t="inlineStr">
        <is>
          <t>39328</t>
        </is>
      </c>
      <c r="C5" s="16" t="n">
        <v>38762</v>
      </c>
      <c r="D5" s="16" t="n">
        <v>38708</v>
      </c>
      <c r="E5" s="16" t="n">
        <v>35877</v>
      </c>
      <c r="F5" s="38" t="n">
        <v>656353</v>
      </c>
      <c r="G5" s="38" t="n">
        <v>1437034</v>
      </c>
      <c r="H5" s="38" t="n">
        <v>699075</v>
      </c>
      <c r="I5" s="38" t="n">
        <v>1242971</v>
      </c>
      <c r="J5" s="19">
        <f>(I5-H5)/1000</f>
        <v/>
      </c>
      <c r="K5" s="16" t="inlineStr">
        <is>
          <t>Yes</t>
        </is>
      </c>
      <c r="L5" s="16" t="n">
        <v>124</v>
      </c>
      <c r="M5" s="39" t="inlineStr">
        <is>
          <t>- (full trip)</t>
        </is>
      </c>
    </row>
    <row r="6">
      <c r="A6" s="16" t="inlineStr">
        <is>
          <t>1 Jun</t>
        </is>
      </c>
      <c r="B6" s="16" t="inlineStr">
        <is>
          <t>43821</t>
        </is>
      </c>
      <c r="C6" s="16" t="n">
        <v>40523</v>
      </c>
      <c r="D6" s="16" t="n">
        <v>40471</v>
      </c>
      <c r="E6" s="16" t="n">
        <v>38869</v>
      </c>
      <c r="F6" s="38" t="n">
        <v>695654</v>
      </c>
      <c r="G6" s="38" t="n">
        <v>1447324</v>
      </c>
      <c r="H6" s="38" t="n">
        <v>699101</v>
      </c>
      <c r="I6" s="38" t="n">
        <v>1242976</v>
      </c>
      <c r="J6" s="19">
        <f>(I6-H6)/1000</f>
        <v/>
      </c>
      <c r="K6" s="16" t="inlineStr">
        <is>
          <t>Yes</t>
        </is>
      </c>
      <c r="L6" s="16" t="n">
        <v>124</v>
      </c>
      <c r="M6" s="39" t="inlineStr">
        <is>
          <t>- (full trip)</t>
        </is>
      </c>
    </row>
    <row r="7">
      <c r="A7" s="16" t="inlineStr">
        <is>
          <t>1 Jun</t>
        </is>
      </c>
      <c r="B7" s="16" t="inlineStr">
        <is>
          <t>39340</t>
        </is>
      </c>
      <c r="C7" s="16" t="n">
        <v>19835</v>
      </c>
      <c r="D7" s="16" t="n">
        <v>19770</v>
      </c>
      <c r="E7" s="16" t="n">
        <v>18109</v>
      </c>
      <c r="F7" s="38" t="n">
        <v>657199</v>
      </c>
      <c r="G7" s="38" t="n">
        <v>1448089</v>
      </c>
      <c r="H7" s="38" t="n">
        <v>699115</v>
      </c>
      <c r="I7" s="38" t="n">
        <v>1242720</v>
      </c>
      <c r="J7" s="19">
        <f>(I7-H7)/1000</f>
        <v/>
      </c>
      <c r="K7" s="16" t="inlineStr">
        <is>
          <t>Yes</t>
        </is>
      </c>
      <c r="L7" s="16" t="n">
        <v>124</v>
      </c>
      <c r="M7" s="39" t="inlineStr">
        <is>
          <t>- (full trip)</t>
        </is>
      </c>
    </row>
    <row r="8">
      <c r="A8" s="16" t="inlineStr">
        <is>
          <t>1 Jun</t>
        </is>
      </c>
      <c r="B8" s="16" t="inlineStr">
        <is>
          <t>39078</t>
        </is>
      </c>
      <c r="C8" s="16" t="n">
        <v>17323</v>
      </c>
      <c r="D8" s="16" t="n">
        <v>16786</v>
      </c>
      <c r="E8" s="16" t="n">
        <v>16407</v>
      </c>
      <c r="F8" s="38" t="n">
        <v>657144</v>
      </c>
      <c r="G8" s="38" t="n">
        <v>1431121</v>
      </c>
      <c r="H8" s="38" t="n">
        <v>699072</v>
      </c>
      <c r="I8" s="38" t="n">
        <v>1240728</v>
      </c>
      <c r="J8" s="19">
        <f>(I8-H8)/1000</f>
        <v/>
      </c>
      <c r="K8" s="16" t="inlineStr">
        <is>
          <t>Yes</t>
        </is>
      </c>
      <c r="L8" s="16" t="n">
        <v>124</v>
      </c>
      <c r="M8" s="39" t="inlineStr">
        <is>
          <t>- (full trip)</t>
        </is>
      </c>
    </row>
    <row r="9">
      <c r="A9" s="16" t="inlineStr">
        <is>
          <t>1 Jun</t>
        </is>
      </c>
      <c r="B9" s="16" t="inlineStr">
        <is>
          <t>39374</t>
        </is>
      </c>
      <c r="C9" s="16" t="n">
        <v>15981</v>
      </c>
      <c r="D9" s="16" t="n">
        <v>15981</v>
      </c>
      <c r="E9" s="16" t="n">
        <v>15265</v>
      </c>
      <c r="F9" s="38" t="n">
        <v>657143</v>
      </c>
      <c r="G9" s="38" t="n">
        <v>1423110</v>
      </c>
      <c r="H9" s="38" t="n">
        <v>699070</v>
      </c>
      <c r="I9" s="38" t="n">
        <v>1240692</v>
      </c>
      <c r="J9" s="19">
        <f>(I9-H9)/1000</f>
        <v/>
      </c>
      <c r="K9" s="16" t="inlineStr">
        <is>
          <t>Yes</t>
        </is>
      </c>
      <c r="L9" s="16" t="n">
        <v>124</v>
      </c>
      <c r="M9" s="39" t="inlineStr">
        <is>
          <t>- (full trip)</t>
        </is>
      </c>
    </row>
    <row r="10" ht="64" customHeight="1">
      <c r="A10" s="16" t="inlineStr">
        <is>
          <t>1 Jun</t>
        </is>
      </c>
      <c r="B10" s="16" t="inlineStr">
        <is>
          <t>30791</t>
        </is>
      </c>
      <c r="C10" s="16" t="n">
        <v>19091</v>
      </c>
      <c r="D10" s="16" t="n">
        <v>19053</v>
      </c>
      <c r="E10" s="16" t="n">
        <v>18162</v>
      </c>
      <c r="F10" s="38" t="n">
        <v>657174</v>
      </c>
      <c r="G10" s="38" t="n">
        <v>1169672</v>
      </c>
      <c r="H10" s="38" t="n">
        <v>699072</v>
      </c>
      <c r="I10" s="38" t="n">
        <v>1169672</v>
      </c>
      <c r="J10" s="19">
        <f>(I10-H10)/1000</f>
        <v/>
      </c>
      <c r="K10" s="16" t="inlineStr">
        <is>
          <t>Yes</t>
        </is>
      </c>
      <c r="L10" s="16" t="n">
        <v>108</v>
      </c>
      <c r="M10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11" ht="79" customHeight="1">
      <c r="A11" s="16" t="inlineStr">
        <is>
          <t>1 Jun</t>
        </is>
      </c>
      <c r="B11" s="16" t="inlineStr">
        <is>
          <t>37816</t>
        </is>
      </c>
      <c r="C11" s="16" t="n">
        <v>21078</v>
      </c>
      <c r="D11" s="16" t="n">
        <v>21026</v>
      </c>
      <c r="E11" s="16" t="n">
        <v>20669</v>
      </c>
      <c r="F11" s="38" t="n">
        <v>786689</v>
      </c>
      <c r="G11" s="38" t="n">
        <v>1436967</v>
      </c>
      <c r="H11" s="38" t="n">
        <v>786689</v>
      </c>
      <c r="I11" s="38" t="n">
        <v>1240727</v>
      </c>
      <c r="J11" s="19">
        <f>(I11-H11)/1000</f>
        <v/>
      </c>
      <c r="K11" s="16" t="inlineStr">
        <is>
          <t>Yes</t>
        </is>
      </c>
      <c r="L11" s="16" t="n">
        <v>104</v>
      </c>
      <c r="M11" s="39" t="inlineStr">
        <is>
          <t>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2" ht="124" customHeight="1">
      <c r="A12" s="16" t="inlineStr">
        <is>
          <t>1 Jun</t>
        </is>
      </c>
      <c r="B12" s="16" t="inlineStr">
        <is>
          <t>30770</t>
        </is>
      </c>
      <c r="C12" s="16" t="n">
        <v>22081</v>
      </c>
      <c r="D12" s="16" t="n">
        <v>22081</v>
      </c>
      <c r="E12" s="16" t="n">
        <v>20728</v>
      </c>
      <c r="F12" s="38" t="n">
        <v>656303</v>
      </c>
      <c r="G12" s="38" t="n">
        <v>1087559</v>
      </c>
      <c r="H12" s="38" t="n">
        <v>699080</v>
      </c>
      <c r="I12" s="38" t="n">
        <v>1087559</v>
      </c>
      <c r="J12" s="19">
        <f>(I12-H12)/1000</f>
        <v/>
      </c>
      <c r="K12" s="16" t="inlineStr">
        <is>
          <t>Yes</t>
        </is>
      </c>
      <c r="L12" s="16" t="n">
        <v>90</v>
      </c>
      <c r="M1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</t>
        </is>
      </c>
    </row>
    <row r="13" ht="154" customHeight="1">
      <c r="A13" s="16" t="inlineStr">
        <is>
          <t>1 Jun</t>
        </is>
      </c>
      <c r="B13" s="16" t="inlineStr">
        <is>
          <t>37275</t>
        </is>
      </c>
      <c r="C13" s="16" t="n">
        <v>17676</v>
      </c>
      <c r="D13" s="16" t="n">
        <v>17656</v>
      </c>
      <c r="E13" s="16" t="n">
        <v>17656</v>
      </c>
      <c r="F13" s="38" t="n">
        <v>865568</v>
      </c>
      <c r="G13" s="38" t="n">
        <v>1211612</v>
      </c>
      <c r="H13" s="38" t="n">
        <v>865568</v>
      </c>
      <c r="I13" s="38" t="n">
        <v>1211612</v>
      </c>
      <c r="J13" s="19">
        <f>(I13-H13)/1000</f>
        <v/>
      </c>
      <c r="K13" s="16" t="inlineStr">
        <is>
          <t>Yes</t>
        </is>
      </c>
      <c r="L13" s="16" t="n">
        <v>83</v>
      </c>
      <c r="M13" s="39" t="inlineStr">
        <is>
          <t>IBH 265, Murhesi Rampur(MSRP), IBH/LC-258, Jajjanpatti(JJA), DhaurmuiJaghina(DUM), IBH-247,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4" ht="169" customHeight="1">
      <c r="A14" s="16" t="inlineStr">
        <is>
          <t>1 Jun</t>
        </is>
      </c>
      <c r="B14" s="16" t="inlineStr">
        <is>
          <t>30733</t>
        </is>
      </c>
      <c r="C14" s="16" t="n">
        <v>13034</v>
      </c>
      <c r="D14" s="16" t="n">
        <v>12898</v>
      </c>
      <c r="E14" s="16" t="n">
        <v>12472</v>
      </c>
      <c r="F14" s="38" t="n">
        <v>660232</v>
      </c>
      <c r="G14" s="38" t="n">
        <v>1029816</v>
      </c>
      <c r="H14" s="38" t="n">
        <v>699085</v>
      </c>
      <c r="I14" s="38" t="n">
        <v>1029816</v>
      </c>
      <c r="J14" s="19">
        <f>(I14-H14)/1000</f>
        <v/>
      </c>
      <c r="K14" s="16" t="inlineStr">
        <is>
          <t>Yes</t>
        </is>
      </c>
      <c r="L14" s="16" t="n">
        <v>77</v>
      </c>
      <c r="M1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15" ht="184" customHeight="1">
      <c r="A15" s="16" t="inlineStr">
        <is>
          <t>1 Jun</t>
        </is>
      </c>
      <c r="B15" s="16" t="inlineStr">
        <is>
          <t>30339</t>
        </is>
      </c>
      <c r="C15" s="16" t="n">
        <v>23521</v>
      </c>
      <c r="D15" s="16" t="n">
        <v>23489</v>
      </c>
      <c r="E15" s="16" t="n">
        <v>23299</v>
      </c>
      <c r="F15" s="38" t="n">
        <v>920658</v>
      </c>
      <c r="G15" s="38" t="n">
        <v>1419882</v>
      </c>
      <c r="H15" s="38" t="n">
        <v>920658</v>
      </c>
      <c r="I15" s="38" t="n">
        <v>1242975</v>
      </c>
      <c r="J15" s="19">
        <f>(I15-H15)/1000</f>
        <v/>
      </c>
      <c r="K15" s="16" t="inlineStr">
        <is>
          <t>Yes</t>
        </is>
      </c>
      <c r="L15" s="16" t="n">
        <v>78</v>
      </c>
      <c r="M15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6" ht="184" customHeight="1">
      <c r="A16" s="16" t="inlineStr">
        <is>
          <t>1 Jun</t>
        </is>
      </c>
      <c r="B16" s="16" t="inlineStr">
        <is>
          <t>30466</t>
        </is>
      </c>
      <c r="C16" s="16" t="n">
        <v>22974</v>
      </c>
      <c r="D16" s="16" t="n">
        <v>22924</v>
      </c>
      <c r="E16" s="16" t="n">
        <v>22181</v>
      </c>
      <c r="F16" s="38" t="n">
        <v>921482</v>
      </c>
      <c r="G16" s="38" t="n">
        <v>1437047</v>
      </c>
      <c r="H16" s="38" t="n">
        <v>921482</v>
      </c>
      <c r="I16" s="38" t="n">
        <v>1242962</v>
      </c>
      <c r="J16" s="19">
        <f>(I16-H16)/1000</f>
        <v/>
      </c>
      <c r="K16" s="16" t="inlineStr">
        <is>
          <t>Yes</t>
        </is>
      </c>
      <c r="L16" s="16" t="n">
        <v>78</v>
      </c>
      <c r="M16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7" ht="184" customHeight="1">
      <c r="A17" s="16" t="inlineStr">
        <is>
          <t>1 Jun</t>
        </is>
      </c>
      <c r="B17" s="16" t="inlineStr">
        <is>
          <t>39046</t>
        </is>
      </c>
      <c r="C17" s="16" t="n">
        <v>10098</v>
      </c>
      <c r="D17" s="16" t="n">
        <v>10086</v>
      </c>
      <c r="E17" s="16" t="n">
        <v>9747</v>
      </c>
      <c r="F17" s="38" t="n">
        <v>921482</v>
      </c>
      <c r="G17" s="38" t="n">
        <v>1447651</v>
      </c>
      <c r="H17" s="38" t="n">
        <v>921482</v>
      </c>
      <c r="I17" s="38" t="n">
        <v>1240734</v>
      </c>
      <c r="J17" s="19">
        <f>(I17-H17)/1000</f>
        <v/>
      </c>
      <c r="K17" s="16" t="inlineStr">
        <is>
          <t>Yes</t>
        </is>
      </c>
      <c r="L17" s="16" t="n">
        <v>78</v>
      </c>
      <c r="M17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8" ht="184" customHeight="1">
      <c r="A18" s="16" t="inlineStr">
        <is>
          <t>1 Jun</t>
        </is>
      </c>
      <c r="B18" s="16" t="inlineStr">
        <is>
          <t>37324</t>
        </is>
      </c>
      <c r="C18" s="16" t="n">
        <v>9981</v>
      </c>
      <c r="D18" s="16" t="n">
        <v>9912</v>
      </c>
      <c r="E18" s="16" t="n">
        <v>9536</v>
      </c>
      <c r="F18" s="38" t="n">
        <v>921485</v>
      </c>
      <c r="G18" s="38" t="n">
        <v>1473463</v>
      </c>
      <c r="H18" s="38" t="n">
        <v>921485</v>
      </c>
      <c r="I18" s="38" t="n">
        <v>1240715</v>
      </c>
      <c r="J18" s="19">
        <f>(I18-H18)/1000</f>
        <v/>
      </c>
      <c r="K18" s="16" t="inlineStr">
        <is>
          <t>Yes</t>
        </is>
      </c>
      <c r="L18" s="16" t="n">
        <v>78</v>
      </c>
      <c r="M18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9" ht="184" customHeight="1">
      <c r="A19" s="16" t="inlineStr">
        <is>
          <t>1 Jun</t>
        </is>
      </c>
      <c r="B19" s="16" t="inlineStr">
        <is>
          <t>30340</t>
        </is>
      </c>
      <c r="C19" s="16" t="n">
        <v>10103</v>
      </c>
      <c r="D19" s="16" t="n">
        <v>10096</v>
      </c>
      <c r="E19" s="16" t="n">
        <v>9861</v>
      </c>
      <c r="F19" s="38" t="n">
        <v>921481</v>
      </c>
      <c r="G19" s="38" t="n">
        <v>1472934</v>
      </c>
      <c r="H19" s="38" t="n">
        <v>921481</v>
      </c>
      <c r="I19" s="38" t="n">
        <v>1240691</v>
      </c>
      <c r="J19" s="19">
        <f>(I19-H19)/1000</f>
        <v/>
      </c>
      <c r="K19" s="16" t="inlineStr">
        <is>
          <t>Yes</t>
        </is>
      </c>
      <c r="L19" s="16" t="n">
        <v>78</v>
      </c>
      <c r="M19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0" ht="199" customHeight="1">
      <c r="A20" s="16" t="inlineStr">
        <is>
          <t>1 Jun</t>
        </is>
      </c>
      <c r="B20" s="16" t="inlineStr">
        <is>
          <t>30739</t>
        </is>
      </c>
      <c r="C20" s="16" t="n">
        <v>6476</v>
      </c>
      <c r="D20" s="16" t="n">
        <v>6456</v>
      </c>
      <c r="E20" s="16" t="n">
        <v>6058</v>
      </c>
      <c r="F20" s="38" t="n">
        <v>935290</v>
      </c>
      <c r="G20" s="38" t="n">
        <v>1426438</v>
      </c>
      <c r="H20" s="38" t="n">
        <v>935290</v>
      </c>
      <c r="I20" s="38" t="n">
        <v>1242936</v>
      </c>
      <c r="J20" s="19">
        <f>(I20-H20)/1000</f>
        <v/>
      </c>
      <c r="K20" s="16" t="inlineStr">
        <is>
          <t>Yes</t>
        </is>
      </c>
      <c r="L20" s="16" t="n">
        <v>74</v>
      </c>
      <c r="M20" s="39" t="inlineStr">
        <is>
          <t>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1" ht="199" customHeight="1">
      <c r="A21" s="16" t="inlineStr">
        <is>
          <t>1 Jun</t>
        </is>
      </c>
      <c r="B21" s="16" t="inlineStr">
        <is>
          <t>37366</t>
        </is>
      </c>
      <c r="C21" s="16" t="n">
        <v>32434</v>
      </c>
      <c r="D21" s="16" t="n">
        <v>32385</v>
      </c>
      <c r="E21" s="16" t="n">
        <v>32385</v>
      </c>
      <c r="F21" s="38" t="n">
        <v>920699</v>
      </c>
      <c r="G21" s="38" t="n">
        <v>1172539</v>
      </c>
      <c r="H21" s="38" t="n">
        <v>920699</v>
      </c>
      <c r="I21" s="38" t="n">
        <v>1172539</v>
      </c>
      <c r="J21" s="19">
        <f>(I21-H21)/1000</f>
        <v/>
      </c>
      <c r="K21" s="16" t="inlineStr">
        <is>
          <t>Yes</t>
        </is>
      </c>
      <c r="L21" s="16" t="n">
        <v>62</v>
      </c>
      <c r="M21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22" ht="199" customHeight="1">
      <c r="A22" s="16" t="inlineStr">
        <is>
          <t>1 Jun</t>
        </is>
      </c>
      <c r="B22" s="16" t="inlineStr">
        <is>
          <t>30176</t>
        </is>
      </c>
      <c r="C22" s="16" t="n">
        <v>33011</v>
      </c>
      <c r="D22" s="16" t="n">
        <v>32735</v>
      </c>
      <c r="E22" s="16" t="n">
        <v>32735</v>
      </c>
      <c r="F22" s="38" t="n">
        <v>920736</v>
      </c>
      <c r="G22" s="38" t="n">
        <v>1172517</v>
      </c>
      <c r="H22" s="38" t="n">
        <v>920736</v>
      </c>
      <c r="I22" s="38" t="n">
        <v>1172517</v>
      </c>
      <c r="J22" s="19">
        <f>(I22-H22)/1000</f>
        <v/>
      </c>
      <c r="K22" s="16" t="inlineStr">
        <is>
          <t>Yes</t>
        </is>
      </c>
      <c r="L22" s="16" t="n">
        <v>62</v>
      </c>
      <c r="M22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23" ht="184" customHeight="1">
      <c r="A23" s="16" t="inlineStr">
        <is>
          <t>1 Jun</t>
        </is>
      </c>
      <c r="B23" s="16" t="inlineStr">
        <is>
          <t>30779</t>
        </is>
      </c>
      <c r="C23" s="16" t="n">
        <v>9335</v>
      </c>
      <c r="D23" s="16" t="n">
        <v>9330</v>
      </c>
      <c r="E23" s="16" t="n">
        <v>8818</v>
      </c>
      <c r="F23" s="38" t="n">
        <v>695623</v>
      </c>
      <c r="G23" s="38" t="n">
        <v>950283</v>
      </c>
      <c r="H23" s="38" t="n">
        <v>699090</v>
      </c>
      <c r="I23" s="38" t="n">
        <v>950283</v>
      </c>
      <c r="J23" s="19">
        <f>(I23-H23)/1000</f>
        <v/>
      </c>
      <c r="K23" s="16" t="inlineStr">
        <is>
          <t>Yes</t>
        </is>
      </c>
      <c r="L23" s="16" t="n">
        <v>56</v>
      </c>
      <c r="M2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...(+18 more)</t>
        </is>
      </c>
    </row>
    <row r="24" ht="184" customHeight="1">
      <c r="A24" s="16" t="inlineStr">
        <is>
          <t>1 Jun</t>
        </is>
      </c>
      <c r="B24" s="16" t="inlineStr">
        <is>
          <t>30460</t>
        </is>
      </c>
      <c r="C24" s="16" t="n">
        <v>10817</v>
      </c>
      <c r="D24" s="16" t="n">
        <v>10817</v>
      </c>
      <c r="E24" s="16" t="n">
        <v>9422</v>
      </c>
      <c r="F24" s="38" t="n">
        <v>662246</v>
      </c>
      <c r="G24" s="38" t="n">
        <v>935051</v>
      </c>
      <c r="H24" s="38" t="n">
        <v>699071</v>
      </c>
      <c r="I24" s="38" t="n">
        <v>935051</v>
      </c>
      <c r="J24" s="19">
        <f>(I24-H24)/1000</f>
        <v/>
      </c>
      <c r="K24" s="16" t="inlineStr">
        <is>
          <t>Yes</t>
        </is>
      </c>
      <c r="L24" s="16" t="n">
        <v>51</v>
      </c>
      <c r="M2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...(+23 more)</t>
        </is>
      </c>
    </row>
    <row r="25" ht="184" customHeight="1">
      <c r="A25" s="16" t="inlineStr">
        <is>
          <t>1 Jun</t>
        </is>
      </c>
      <c r="B25" s="16" t="inlineStr">
        <is>
          <t>41983</t>
        </is>
      </c>
      <c r="C25" s="16" t="n">
        <v>2165</v>
      </c>
      <c r="D25" s="16" t="n">
        <v>2023</v>
      </c>
      <c r="E25" s="16" t="n">
        <v>1847</v>
      </c>
      <c r="F25" s="38" t="n">
        <v>696154</v>
      </c>
      <c r="G25" s="38" t="n">
        <v>921396</v>
      </c>
      <c r="H25" s="38" t="n">
        <v>699078</v>
      </c>
      <c r="I25" s="38" t="n">
        <v>921396</v>
      </c>
      <c r="J25" s="19">
        <f>(I25-H25)/1000</f>
        <v/>
      </c>
      <c r="K25" s="16" t="inlineStr">
        <is>
          <t>Yes</t>
        </is>
      </c>
      <c r="L25" s="16" t="n">
        <v>47</v>
      </c>
      <c r="M2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...(+27 more)</t>
        </is>
      </c>
    </row>
    <row r="26" ht="184" customHeight="1">
      <c r="A26" s="16" t="inlineStr">
        <is>
          <t>1 Jun</t>
        </is>
      </c>
      <c r="B26" s="16" t="inlineStr">
        <is>
          <t>39259</t>
        </is>
      </c>
      <c r="C26" s="16" t="n">
        <v>7880</v>
      </c>
      <c r="D26" s="16" t="n">
        <v>7880</v>
      </c>
      <c r="E26" s="16" t="n">
        <v>7088</v>
      </c>
      <c r="F26" s="38" t="n">
        <v>658795</v>
      </c>
      <c r="G26" s="38" t="n">
        <v>916459</v>
      </c>
      <c r="H26" s="38" t="n">
        <v>699081</v>
      </c>
      <c r="I26" s="38" t="n">
        <v>916459</v>
      </c>
      <c r="J26" s="19">
        <f>(I26-H26)/1000</f>
        <v/>
      </c>
      <c r="K26" s="16" t="inlineStr">
        <is>
          <t>Yes</t>
        </is>
      </c>
      <c r="L26" s="16" t="n">
        <v>46</v>
      </c>
      <c r="M2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...(+28 more)</t>
        </is>
      </c>
    </row>
    <row r="27" ht="184" customHeight="1">
      <c r="A27" s="16" t="inlineStr">
        <is>
          <t>1 Jun</t>
        </is>
      </c>
      <c r="B27" s="16" t="inlineStr">
        <is>
          <t>30822</t>
        </is>
      </c>
      <c r="C27" s="16" t="n">
        <v>8695</v>
      </c>
      <c r="D27" s="16" t="n">
        <v>8678</v>
      </c>
      <c r="E27" s="16" t="n">
        <v>7371</v>
      </c>
      <c r="F27" s="38" t="n">
        <v>1091988</v>
      </c>
      <c r="G27" s="38" t="n">
        <v>1447087</v>
      </c>
      <c r="H27" s="38" t="n">
        <v>1091988</v>
      </c>
      <c r="I27" s="38" t="n">
        <v>1242955</v>
      </c>
      <c r="J27" s="19">
        <f>(I27-H27)/1000</f>
        <v/>
      </c>
      <c r="K27" s="16" t="inlineStr">
        <is>
          <t>Yes</t>
        </is>
      </c>
      <c r="L27" s="16" t="n">
        <v>34</v>
      </c>
      <c r="M27" s="39" t="inlineStr">
        <is>
          <t>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  ...(+40 more)</t>
        </is>
      </c>
    </row>
    <row r="28" ht="184" customHeight="1">
      <c r="A28" s="16" t="inlineStr">
        <is>
          <t>1 Jun</t>
        </is>
      </c>
      <c r="B28" s="16" t="inlineStr">
        <is>
          <t>37540</t>
        </is>
      </c>
      <c r="C28" s="16" t="n">
        <v>125</v>
      </c>
      <c r="D28" s="16" t="n">
        <v>19</v>
      </c>
      <c r="E28" s="16" t="n">
        <v>19</v>
      </c>
      <c r="F28" s="38" t="n">
        <v>736563</v>
      </c>
      <c r="G28" s="38" t="n">
        <v>848665</v>
      </c>
      <c r="H28" s="38" t="n">
        <v>736563</v>
      </c>
      <c r="I28" s="38" t="n">
        <v>848665</v>
      </c>
      <c r="J28" s="19">
        <f>(I28-H28)/1000</f>
        <v/>
      </c>
      <c r="K28" s="16" t="inlineStr">
        <is>
          <t>Yes</t>
        </is>
      </c>
      <c r="L28" s="16" t="n">
        <v>24</v>
      </c>
      <c r="M2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...(+50 more)</t>
        </is>
      </c>
    </row>
    <row r="29" ht="184" customHeight="1">
      <c r="A29" s="16" t="inlineStr">
        <is>
          <t>1 Jun</t>
        </is>
      </c>
      <c r="B29" s="16" t="inlineStr">
        <is>
          <t>39108</t>
        </is>
      </c>
      <c r="C29" s="16" t="n">
        <v>11660</v>
      </c>
      <c r="D29" s="16" t="n">
        <v>11606</v>
      </c>
      <c r="E29" s="16" t="n">
        <v>11606</v>
      </c>
      <c r="F29" s="38" t="n">
        <v>920365</v>
      </c>
      <c r="G29" s="38" t="n">
        <v>1029022</v>
      </c>
      <c r="H29" s="38" t="n">
        <v>920365</v>
      </c>
      <c r="I29" s="38" t="n">
        <v>1029022</v>
      </c>
      <c r="J29" s="19">
        <f>(I29-H29)/1000</f>
        <v/>
      </c>
      <c r="K29" s="16" t="inlineStr">
        <is>
          <t>Yes</t>
        </is>
      </c>
      <c r="L29" s="16" t="n">
        <v>31</v>
      </c>
      <c r="M2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0" ht="184" customHeight="1">
      <c r="A30" s="16" t="inlineStr">
        <is>
          <t>1 Jun</t>
        </is>
      </c>
      <c r="B30" s="16" t="inlineStr">
        <is>
          <t>30752</t>
        </is>
      </c>
      <c r="C30" s="16" t="n">
        <v>10094</v>
      </c>
      <c r="D30" s="16" t="n">
        <v>10027</v>
      </c>
      <c r="E30" s="16" t="n">
        <v>10027</v>
      </c>
      <c r="F30" s="38" t="n">
        <v>920376</v>
      </c>
      <c r="G30" s="38" t="n">
        <v>1028911</v>
      </c>
      <c r="H30" s="38" t="n">
        <v>920376</v>
      </c>
      <c r="I30" s="38" t="n">
        <v>1028911</v>
      </c>
      <c r="J30" s="19">
        <f>(I30-H30)/1000</f>
        <v/>
      </c>
      <c r="K30" s="16" t="inlineStr">
        <is>
          <t>Yes</t>
        </is>
      </c>
      <c r="L30" s="16" t="n">
        <v>31</v>
      </c>
      <c r="M3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1" ht="184" customHeight="1">
      <c r="A31" s="16" t="inlineStr">
        <is>
          <t>1 Jun</t>
        </is>
      </c>
      <c r="B31" s="16" t="inlineStr">
        <is>
          <t>39384</t>
        </is>
      </c>
      <c r="C31" s="16" t="n">
        <v>27</v>
      </c>
      <c r="D31" s="16" t="n">
        <v>24</v>
      </c>
      <c r="E31" s="16" t="n">
        <v>24</v>
      </c>
      <c r="F31" s="38" t="n">
        <v>920813</v>
      </c>
      <c r="G31" s="38" t="n">
        <v>1028351</v>
      </c>
      <c r="H31" s="38" t="n">
        <v>920813</v>
      </c>
      <c r="I31" s="38" t="n">
        <v>1028351</v>
      </c>
      <c r="J31" s="19">
        <f>(I31-H31)/1000</f>
        <v/>
      </c>
      <c r="K31" s="16" t="inlineStr">
        <is>
          <t>Yes</t>
        </is>
      </c>
      <c r="L31" s="16" t="n">
        <v>31</v>
      </c>
      <c r="M3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2" ht="184" customHeight="1">
      <c r="A32" s="16" t="inlineStr">
        <is>
          <t>1 Jun</t>
        </is>
      </c>
      <c r="B32" s="16" t="inlineStr">
        <is>
          <t>37639</t>
        </is>
      </c>
      <c r="C32" s="16" t="n">
        <v>5056</v>
      </c>
      <c r="D32" s="16" t="n">
        <v>5051</v>
      </c>
      <c r="E32" s="16" t="n">
        <v>5051</v>
      </c>
      <c r="F32" s="38" t="n">
        <v>941047</v>
      </c>
      <c r="G32" s="38" t="n">
        <v>1028408</v>
      </c>
      <c r="H32" s="38" t="n">
        <v>941047</v>
      </c>
      <c r="I32" s="38" t="n">
        <v>1028408</v>
      </c>
      <c r="J32" s="19">
        <f>(I32-H32)/1000</f>
        <v/>
      </c>
      <c r="K32" s="16" t="inlineStr">
        <is>
          <t>Yes</t>
        </is>
      </c>
      <c r="L32" s="16" t="n">
        <v>25</v>
      </c>
      <c r="M3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LC-118, KeshoraiPatan(KPTN), 2.75 KM from GQL (LC-113)  ...(+49 more)</t>
        </is>
      </c>
    </row>
    <row r="33" ht="184" customHeight="1">
      <c r="A33" s="16" t="inlineStr">
        <is>
          <t>1 Jun</t>
        </is>
      </c>
      <c r="B33" s="16" t="inlineStr">
        <is>
          <t>37380</t>
        </is>
      </c>
      <c r="C33" s="16" t="n">
        <v>131</v>
      </c>
      <c r="D33" s="16" t="n">
        <v>131</v>
      </c>
      <c r="E33" s="16" t="n">
        <v>131</v>
      </c>
      <c r="F33" s="38" t="n">
        <v>1125063</v>
      </c>
      <c r="G33" s="38" t="n">
        <v>1186476</v>
      </c>
      <c r="H33" s="38" t="n">
        <v>1125063</v>
      </c>
      <c r="I33" s="38" t="n">
        <v>1186476</v>
      </c>
      <c r="J33" s="19">
        <f>(I33-H33)/1000</f>
        <v/>
      </c>
      <c r="K33" s="16" t="inlineStr">
        <is>
          <t>Yes</t>
        </is>
      </c>
      <c r="L33" s="16" t="n">
        <v>16</v>
      </c>
      <c r="M33" s="39" t="inlineStr">
        <is>
          <t>IBH 265, Murhesi Rampur(MSRP), IBH/LC-258, Jajjanpatti(JJA), DhaurmuiJaghina(DUM), IBH-247, Bharatpur Jn.(BTE), IBH-242, Sewar(SWAR), IBH-JCU, LC-232, Pingora(PNGR),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  ...(+58 more)</t>
        </is>
      </c>
    </row>
    <row r="34" ht="184" customHeight="1">
      <c r="A34" s="16" t="inlineStr">
        <is>
          <t>1 Jun</t>
        </is>
      </c>
      <c r="B34" s="16" t="inlineStr">
        <is>
          <t>37163</t>
        </is>
      </c>
      <c r="C34" s="16" t="n">
        <v>2617</v>
      </c>
      <c r="D34" s="16" t="n">
        <v>2617</v>
      </c>
      <c r="E34" s="16" t="n">
        <v>1457</v>
      </c>
      <c r="F34" s="38" t="n">
        <v>542169</v>
      </c>
      <c r="G34" s="38" t="n">
        <v>752655</v>
      </c>
      <c r="H34" s="38" t="n">
        <v>699089</v>
      </c>
      <c r="I34" s="38" t="n">
        <v>752655</v>
      </c>
      <c r="J34" s="19">
        <f>(I34-H34)/1000</f>
        <v/>
      </c>
      <c r="K34" s="16" t="inlineStr">
        <is>
          <t>Yes</t>
        </is>
      </c>
      <c r="L34" s="16" t="n">
        <v>14</v>
      </c>
      <c r="M3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...(+60 more)</t>
        </is>
      </c>
    </row>
    <row r="35" ht="184" customHeight="1">
      <c r="A35" s="16" t="inlineStr">
        <is>
          <t>1 Jun</t>
        </is>
      </c>
      <c r="B35" s="16" t="inlineStr">
        <is>
          <t>30488</t>
        </is>
      </c>
      <c r="C35" s="16" t="n">
        <v>2505</v>
      </c>
      <c r="D35" s="16" t="n">
        <v>2500</v>
      </c>
      <c r="E35" s="16" t="n">
        <v>2500</v>
      </c>
      <c r="F35" s="38" t="n">
        <v>920809</v>
      </c>
      <c r="G35" s="38" t="n">
        <v>967694</v>
      </c>
      <c r="H35" s="38" t="n">
        <v>920809</v>
      </c>
      <c r="I35" s="38" t="n">
        <v>967694</v>
      </c>
      <c r="J35" s="19">
        <f>(I35-H35)/1000</f>
        <v/>
      </c>
      <c r="K35" s="16" t="inlineStr">
        <is>
          <t>Yes</t>
        </is>
      </c>
      <c r="L35" s="16" t="n">
        <v>16</v>
      </c>
      <c r="M3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...(+58 more)</t>
        </is>
      </c>
    </row>
    <row r="36" ht="184" customHeight="1">
      <c r="A36" s="16" t="inlineStr">
        <is>
          <t>1 Jun</t>
        </is>
      </c>
      <c r="B36" s="16" t="inlineStr">
        <is>
          <t>39322</t>
        </is>
      </c>
      <c r="C36" s="16" t="n">
        <v>658</v>
      </c>
      <c r="D36" s="16" t="n">
        <v>613</v>
      </c>
      <c r="E36" s="16" t="n">
        <v>12</v>
      </c>
      <c r="F36" s="38" t="n">
        <v>1199941</v>
      </c>
      <c r="G36" s="38" t="n">
        <v>1465227</v>
      </c>
      <c r="H36" s="38" t="n">
        <v>1199941</v>
      </c>
      <c r="I36" s="38" t="n">
        <v>1241116</v>
      </c>
      <c r="J36" s="19">
        <f>(I36-H36)/1000</f>
        <v/>
      </c>
      <c r="K36" s="16" t="inlineStr">
        <is>
          <t>Yes</t>
        </is>
      </c>
      <c r="L36" s="16" t="n">
        <v>9</v>
      </c>
      <c r="M36" s="39" t="inlineStr">
        <is>
          <t>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  ...(+65 more)</t>
        </is>
      </c>
    </row>
    <row r="37" ht="184" customHeight="1">
      <c r="A37" s="16" t="inlineStr">
        <is>
          <t>1 Jun</t>
        </is>
      </c>
      <c r="B37" s="16" t="inlineStr">
        <is>
          <t>39465</t>
        </is>
      </c>
      <c r="C37" s="16" t="n">
        <v>3001</v>
      </c>
      <c r="D37" s="16" t="n">
        <v>3001</v>
      </c>
      <c r="E37" s="16" t="n">
        <v>1078</v>
      </c>
      <c r="F37" s="38" t="n">
        <v>643132</v>
      </c>
      <c r="G37" s="38" t="n">
        <v>725978</v>
      </c>
      <c r="H37" s="38" t="n">
        <v>699070</v>
      </c>
      <c r="I37" s="38" t="n">
        <v>725978</v>
      </c>
      <c r="J37" s="19">
        <f>(I37-H37)/1000</f>
        <v/>
      </c>
      <c r="K37" s="16" t="inlineStr">
        <is>
          <t>Yes</t>
        </is>
      </c>
      <c r="L37" s="16" t="n">
        <v>7</v>
      </c>
      <c r="M3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...(+67 more)</t>
        </is>
      </c>
    </row>
    <row r="38" ht="184" customHeight="1">
      <c r="A38" s="16" t="inlineStr">
        <is>
          <t>1 Jun</t>
        </is>
      </c>
      <c r="B38" s="16" t="inlineStr">
        <is>
          <t>39388</t>
        </is>
      </c>
      <c r="C38" s="16" t="n">
        <v>518</v>
      </c>
      <c r="D38" s="16" t="n">
        <v>517</v>
      </c>
      <c r="E38" s="16" t="n">
        <v>100</v>
      </c>
      <c r="F38" s="38" t="n">
        <v>1229279</v>
      </c>
      <c r="G38" s="38" t="n">
        <v>1436204</v>
      </c>
      <c r="H38" s="38" t="n">
        <v>1229279</v>
      </c>
      <c r="I38" s="38" t="n">
        <v>1243234</v>
      </c>
      <c r="J38" s="19">
        <f>(I38-H38)/1000</f>
        <v/>
      </c>
      <c r="K38" s="16" t="inlineStr">
        <is>
          <t>Yes</t>
        </is>
      </c>
      <c r="L38" s="16" t="n">
        <v>4</v>
      </c>
      <c r="M38" s="39" t="inlineStr">
        <is>
          <t>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  ...(+70 more)</t>
        </is>
      </c>
    </row>
    <row r="39" ht="184" customHeight="1">
      <c r="A39" s="16" t="inlineStr">
        <is>
          <t>1 Jun</t>
        </is>
      </c>
      <c r="B39" s="16" t="inlineStr">
        <is>
          <t>37248</t>
        </is>
      </c>
      <c r="C39" s="16" t="n">
        <v>360</v>
      </c>
      <c r="D39" s="16" t="n">
        <v>352</v>
      </c>
      <c r="E39" s="16" t="n">
        <v>352</v>
      </c>
      <c r="F39" s="38" t="n">
        <v>921754</v>
      </c>
      <c r="G39" s="38" t="n">
        <v>924632</v>
      </c>
      <c r="H39" s="38" t="n">
        <v>921754</v>
      </c>
      <c r="I39" s="38" t="n">
        <v>924632</v>
      </c>
      <c r="J39" s="19">
        <f>(I39-H39)/1000</f>
        <v/>
      </c>
      <c r="K39" s="16" t="inlineStr">
        <is>
          <t>Yes</t>
        </is>
      </c>
      <c r="L39" s="16" t="n">
        <v>2</v>
      </c>
      <c r="M3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...(+72 more)</t>
        </is>
      </c>
    </row>
    <row r="40" ht="184" customHeight="1">
      <c r="A40" s="31" t="inlineStr">
        <is>
          <t>1 Jun</t>
        </is>
      </c>
      <c r="B40" s="31" t="inlineStr">
        <is>
          <t>30086</t>
        </is>
      </c>
      <c r="C40" s="31" t="n">
        <v>994</v>
      </c>
      <c r="D40" s="31" t="n">
        <v>993</v>
      </c>
      <c r="E40" s="31" t="n">
        <v>0</v>
      </c>
      <c r="F40" s="40" t="n">
        <v>1401342</v>
      </c>
      <c r="G40" s="40" t="n">
        <v>1437042</v>
      </c>
      <c r="H40" s="40" t="inlineStr">
        <is>
          <t>-</t>
        </is>
      </c>
      <c r="I40" s="40" t="inlineStr">
        <is>
          <t>-</t>
        </is>
      </c>
      <c r="J40" s="41" t="n">
        <v>0</v>
      </c>
      <c r="K40" s="31" t="inlineStr">
        <is>
          <t>No</t>
        </is>
      </c>
      <c r="L40" s="31" t="n">
        <v>0</v>
      </c>
      <c r="M4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1" ht="184" customHeight="1">
      <c r="A41" s="31" t="inlineStr">
        <is>
          <t>1 Jun</t>
        </is>
      </c>
      <c r="B41" s="31" t="inlineStr">
        <is>
          <t>30197</t>
        </is>
      </c>
      <c r="C41" s="31" t="n">
        <v>269</v>
      </c>
      <c r="D41" s="31" t="n">
        <v>263</v>
      </c>
      <c r="E41" s="31" t="n">
        <v>0</v>
      </c>
      <c r="F41" s="40" t="n">
        <v>1180</v>
      </c>
      <c r="G41" s="40" t="n">
        <v>137905</v>
      </c>
      <c r="H41" s="40" t="inlineStr">
        <is>
          <t>-</t>
        </is>
      </c>
      <c r="I41" s="40" t="inlineStr">
        <is>
          <t>-</t>
        </is>
      </c>
      <c r="J41" s="41" t="n">
        <v>0</v>
      </c>
      <c r="K41" s="31" t="inlineStr">
        <is>
          <t>No</t>
        </is>
      </c>
      <c r="L41" s="31" t="n">
        <v>0</v>
      </c>
      <c r="M4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2" ht="184" customHeight="1">
      <c r="A42" s="31" t="inlineStr">
        <is>
          <t>1 Jun</t>
        </is>
      </c>
      <c r="B42" s="31" t="inlineStr">
        <is>
          <t>30356</t>
        </is>
      </c>
      <c r="C42" s="31" t="n">
        <v>260</v>
      </c>
      <c r="D42" s="31" t="n">
        <v>257</v>
      </c>
      <c r="E42" s="31" t="n">
        <v>0</v>
      </c>
      <c r="F42" s="40" t="n">
        <v>1276831</v>
      </c>
      <c r="G42" s="40" t="n">
        <v>1426201</v>
      </c>
      <c r="H42" s="40" t="inlineStr">
        <is>
          <t>-</t>
        </is>
      </c>
      <c r="I42" s="40" t="inlineStr">
        <is>
          <t>-</t>
        </is>
      </c>
      <c r="J42" s="41" t="n">
        <v>0</v>
      </c>
      <c r="K42" s="31" t="inlineStr">
        <is>
          <t>No</t>
        </is>
      </c>
      <c r="L42" s="31" t="n">
        <v>0</v>
      </c>
      <c r="M4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3" ht="184" customHeight="1">
      <c r="A43" s="31" t="inlineStr">
        <is>
          <t>1 Jun</t>
        </is>
      </c>
      <c r="B43" s="31" t="inlineStr">
        <is>
          <t>30451</t>
        </is>
      </c>
      <c r="C43" s="31" t="n">
        <v>429</v>
      </c>
      <c r="D43" s="31" t="n">
        <v>329</v>
      </c>
      <c r="E43" s="31" t="n">
        <v>0</v>
      </c>
      <c r="F43" s="40" t="n">
        <v>836</v>
      </c>
      <c r="G43" s="40" t="n">
        <v>2355</v>
      </c>
      <c r="H43" s="40" t="inlineStr">
        <is>
          <t>-</t>
        </is>
      </c>
      <c r="I43" s="40" t="inlineStr">
        <is>
          <t>-</t>
        </is>
      </c>
      <c r="J43" s="41" t="n">
        <v>0</v>
      </c>
      <c r="K43" s="31" t="inlineStr">
        <is>
          <t>No</t>
        </is>
      </c>
      <c r="L43" s="31" t="n">
        <v>0</v>
      </c>
      <c r="M4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4" ht="184" customHeight="1">
      <c r="A44" s="31" t="inlineStr">
        <is>
          <t>1 Jun</t>
        </is>
      </c>
      <c r="B44" s="31" t="inlineStr">
        <is>
          <t>30464</t>
        </is>
      </c>
      <c r="C44" s="31" t="n">
        <v>27</v>
      </c>
      <c r="D44" s="31" t="n">
        <v>0</v>
      </c>
      <c r="E44" s="31" t="n">
        <v>0</v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1" t="n">
        <v>0</v>
      </c>
      <c r="K44" s="31" t="inlineStr">
        <is>
          <t>No</t>
        </is>
      </c>
      <c r="L44" s="31" t="n">
        <v>0</v>
      </c>
      <c r="M4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5" ht="184" customHeight="1">
      <c r="A45" s="31" t="inlineStr">
        <is>
          <t>1 Jun</t>
        </is>
      </c>
      <c r="B45" s="31" t="inlineStr">
        <is>
          <t>30542</t>
        </is>
      </c>
      <c r="C45" s="31" t="n">
        <v>181</v>
      </c>
      <c r="D45" s="31" t="n">
        <v>181</v>
      </c>
      <c r="E45" s="31" t="n">
        <v>0</v>
      </c>
      <c r="F45" s="40" t="n">
        <v>1401381</v>
      </c>
      <c r="G45" s="40" t="n">
        <v>1416410</v>
      </c>
      <c r="H45" s="40" t="inlineStr">
        <is>
          <t>-</t>
        </is>
      </c>
      <c r="I45" s="40" t="inlineStr">
        <is>
          <t>-</t>
        </is>
      </c>
      <c r="J45" s="41" t="n">
        <v>0</v>
      </c>
      <c r="K45" s="31" t="inlineStr">
        <is>
          <t>No</t>
        </is>
      </c>
      <c r="L45" s="31" t="n">
        <v>0</v>
      </c>
      <c r="M4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6" ht="184" customHeight="1">
      <c r="A46" s="31" t="inlineStr">
        <is>
          <t>1 Jun</t>
        </is>
      </c>
      <c r="B46" s="31" t="inlineStr">
        <is>
          <t>30706</t>
        </is>
      </c>
      <c r="C46" s="31" t="n">
        <v>376</v>
      </c>
      <c r="D46" s="31" t="n">
        <v>376</v>
      </c>
      <c r="E46" s="31" t="n">
        <v>0</v>
      </c>
      <c r="F46" s="40" t="n">
        <v>1401329</v>
      </c>
      <c r="G46" s="40" t="n">
        <v>1425520</v>
      </c>
      <c r="H46" s="40" t="inlineStr">
        <is>
          <t>-</t>
        </is>
      </c>
      <c r="I46" s="40" t="inlineStr">
        <is>
          <t>-</t>
        </is>
      </c>
      <c r="J46" s="41" t="n">
        <v>0</v>
      </c>
      <c r="K46" s="31" t="inlineStr">
        <is>
          <t>No</t>
        </is>
      </c>
      <c r="L46" s="31" t="n">
        <v>0</v>
      </c>
      <c r="M4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7" ht="184" customHeight="1">
      <c r="A47" s="31" t="inlineStr">
        <is>
          <t>1 Jun</t>
        </is>
      </c>
      <c r="B47" s="31" t="inlineStr">
        <is>
          <t>30736</t>
        </is>
      </c>
      <c r="C47" s="31" t="n">
        <v>236</v>
      </c>
      <c r="D47" s="31" t="n">
        <v>236</v>
      </c>
      <c r="E47" s="31" t="n">
        <v>0</v>
      </c>
      <c r="F47" s="40" t="n">
        <v>1401685</v>
      </c>
      <c r="G47" s="40" t="n">
        <v>1437191</v>
      </c>
      <c r="H47" s="40" t="inlineStr">
        <is>
          <t>-</t>
        </is>
      </c>
      <c r="I47" s="40" t="inlineStr">
        <is>
          <t>-</t>
        </is>
      </c>
      <c r="J47" s="41" t="n">
        <v>0</v>
      </c>
      <c r="K47" s="31" t="inlineStr">
        <is>
          <t>No</t>
        </is>
      </c>
      <c r="L47" s="31" t="n">
        <v>0</v>
      </c>
      <c r="M4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8" ht="184" customHeight="1">
      <c r="A48" s="31" t="inlineStr">
        <is>
          <t>1 Jun</t>
        </is>
      </c>
      <c r="B48" s="31" t="inlineStr">
        <is>
          <t>37063</t>
        </is>
      </c>
      <c r="C48" s="31" t="n">
        <v>356</v>
      </c>
      <c r="D48" s="31" t="n">
        <v>354</v>
      </c>
      <c r="E48" s="31" t="n">
        <v>0</v>
      </c>
      <c r="F48" s="40" t="n">
        <v>1401680</v>
      </c>
      <c r="G48" s="40" t="n">
        <v>1447276</v>
      </c>
      <c r="H48" s="40" t="inlineStr">
        <is>
          <t>-</t>
        </is>
      </c>
      <c r="I48" s="40" t="inlineStr">
        <is>
          <t>-</t>
        </is>
      </c>
      <c r="J48" s="41" t="n">
        <v>0</v>
      </c>
      <c r="K48" s="31" t="inlineStr">
        <is>
          <t>No</t>
        </is>
      </c>
      <c r="L48" s="31" t="n">
        <v>0</v>
      </c>
      <c r="M4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9" ht="184" customHeight="1">
      <c r="A49" s="31" t="inlineStr">
        <is>
          <t>1 Jun</t>
        </is>
      </c>
      <c r="B49" s="31" t="inlineStr">
        <is>
          <t>37258</t>
        </is>
      </c>
      <c r="C49" s="31" t="n">
        <v>365</v>
      </c>
      <c r="D49" s="31" t="n">
        <v>363</v>
      </c>
      <c r="E49" s="31" t="n">
        <v>0</v>
      </c>
      <c r="F49" s="40" t="n">
        <v>1401689</v>
      </c>
      <c r="G49" s="40" t="n">
        <v>1436820</v>
      </c>
      <c r="H49" s="40" t="inlineStr">
        <is>
          <t>-</t>
        </is>
      </c>
      <c r="I49" s="40" t="inlineStr">
        <is>
          <t>-</t>
        </is>
      </c>
      <c r="J49" s="41" t="n">
        <v>0</v>
      </c>
      <c r="K49" s="31" t="inlineStr">
        <is>
          <t>No</t>
        </is>
      </c>
      <c r="L49" s="31" t="n">
        <v>0</v>
      </c>
      <c r="M4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0" ht="184" customHeight="1">
      <c r="A50" s="31" t="inlineStr">
        <is>
          <t>1 Jun</t>
        </is>
      </c>
      <c r="B50" s="31" t="inlineStr">
        <is>
          <t>37354</t>
        </is>
      </c>
      <c r="C50" s="31" t="n">
        <v>789</v>
      </c>
      <c r="D50" s="31" t="n">
        <v>788</v>
      </c>
      <c r="E50" s="31" t="n">
        <v>0</v>
      </c>
      <c r="F50" s="40" t="n">
        <v>1401421</v>
      </c>
      <c r="G50" s="40" t="n">
        <v>1447687</v>
      </c>
      <c r="H50" s="40" t="inlineStr">
        <is>
          <t>-</t>
        </is>
      </c>
      <c r="I50" s="40" t="inlineStr">
        <is>
          <t>-</t>
        </is>
      </c>
      <c r="J50" s="41" t="n">
        <v>0</v>
      </c>
      <c r="K50" s="31" t="inlineStr">
        <is>
          <t>No</t>
        </is>
      </c>
      <c r="L50" s="31" t="n">
        <v>0</v>
      </c>
      <c r="M5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1" ht="184" customHeight="1">
      <c r="A51" s="31" t="inlineStr">
        <is>
          <t>1 Jun</t>
        </is>
      </c>
      <c r="B51" s="31" t="inlineStr">
        <is>
          <t>37467</t>
        </is>
      </c>
      <c r="C51" s="31" t="n">
        <v>11</v>
      </c>
      <c r="D51" s="31" t="n">
        <v>11</v>
      </c>
      <c r="E51" s="31" t="n">
        <v>0</v>
      </c>
      <c r="F51" s="40" t="n">
        <v>1399207</v>
      </c>
      <c r="G51" s="40" t="n">
        <v>1425855</v>
      </c>
      <c r="H51" s="40" t="inlineStr">
        <is>
          <t>-</t>
        </is>
      </c>
      <c r="I51" s="40" t="inlineStr">
        <is>
          <t>-</t>
        </is>
      </c>
      <c r="J51" s="41" t="n">
        <v>0</v>
      </c>
      <c r="K51" s="31" t="inlineStr">
        <is>
          <t>No</t>
        </is>
      </c>
      <c r="L51" s="31" t="n">
        <v>0</v>
      </c>
      <c r="M5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2" ht="184" customHeight="1">
      <c r="A52" s="31" t="inlineStr">
        <is>
          <t>1 Jun</t>
        </is>
      </c>
      <c r="B52" s="31" t="inlineStr">
        <is>
          <t>37555</t>
        </is>
      </c>
      <c r="C52" s="31" t="n">
        <v>352</v>
      </c>
      <c r="D52" s="31" t="n">
        <v>350</v>
      </c>
      <c r="E52" s="31" t="n">
        <v>0</v>
      </c>
      <c r="F52" s="40" t="n">
        <v>1401680</v>
      </c>
      <c r="G52" s="40" t="n">
        <v>1437001</v>
      </c>
      <c r="H52" s="40" t="inlineStr">
        <is>
          <t>-</t>
        </is>
      </c>
      <c r="I52" s="40" t="inlineStr">
        <is>
          <t>-</t>
        </is>
      </c>
      <c r="J52" s="41" t="n">
        <v>0</v>
      </c>
      <c r="K52" s="31" t="inlineStr">
        <is>
          <t>No</t>
        </is>
      </c>
      <c r="L52" s="31" t="n">
        <v>0</v>
      </c>
      <c r="M5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3" ht="184" customHeight="1">
      <c r="A53" s="31" t="inlineStr">
        <is>
          <t>1 Jun</t>
        </is>
      </c>
      <c r="B53" s="31" t="inlineStr">
        <is>
          <t>37812</t>
        </is>
      </c>
      <c r="C53" s="31" t="n">
        <v>464</v>
      </c>
      <c r="D53" s="31" t="n">
        <v>464</v>
      </c>
      <c r="E53" s="31" t="n">
        <v>0</v>
      </c>
      <c r="F53" s="40" t="n">
        <v>601980</v>
      </c>
      <c r="G53" s="40" t="n">
        <v>654121</v>
      </c>
      <c r="H53" s="40" t="inlineStr">
        <is>
          <t>-</t>
        </is>
      </c>
      <c r="I53" s="40" t="inlineStr">
        <is>
          <t>-</t>
        </is>
      </c>
      <c r="J53" s="41" t="n">
        <v>0</v>
      </c>
      <c r="K53" s="31" t="inlineStr">
        <is>
          <t>No</t>
        </is>
      </c>
      <c r="L53" s="31" t="n">
        <v>0</v>
      </c>
      <c r="M5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4" ht="184" customHeight="1">
      <c r="A54" s="31" t="inlineStr">
        <is>
          <t>1 Jun</t>
        </is>
      </c>
      <c r="B54" s="31" t="inlineStr">
        <is>
          <t>37834</t>
        </is>
      </c>
      <c r="C54" s="31" t="n">
        <v>449</v>
      </c>
      <c r="D54" s="31" t="n">
        <v>449</v>
      </c>
      <c r="E54" s="31" t="n">
        <v>0</v>
      </c>
      <c r="F54" s="40" t="n">
        <v>1401358</v>
      </c>
      <c r="G54" s="40" t="n">
        <v>1469583</v>
      </c>
      <c r="H54" s="40" t="inlineStr">
        <is>
          <t>-</t>
        </is>
      </c>
      <c r="I54" s="40" t="inlineStr">
        <is>
          <t>-</t>
        </is>
      </c>
      <c r="J54" s="41" t="n">
        <v>0</v>
      </c>
      <c r="K54" s="31" t="inlineStr">
        <is>
          <t>No</t>
        </is>
      </c>
      <c r="L54" s="31" t="n">
        <v>0</v>
      </c>
      <c r="M5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5" ht="184" customHeight="1">
      <c r="A55" s="31" t="inlineStr">
        <is>
          <t>1 Jun</t>
        </is>
      </c>
      <c r="B55" s="31" t="inlineStr">
        <is>
          <t>37847</t>
        </is>
      </c>
      <c r="C55" s="31" t="n">
        <v>584</v>
      </c>
      <c r="D55" s="31" t="n">
        <v>583</v>
      </c>
      <c r="E55" s="31" t="n">
        <v>0</v>
      </c>
      <c r="F55" s="40" t="n">
        <v>1401339</v>
      </c>
      <c r="G55" s="40" t="n">
        <v>1436981</v>
      </c>
      <c r="H55" s="40" t="inlineStr">
        <is>
          <t>-</t>
        </is>
      </c>
      <c r="I55" s="40" t="inlineStr">
        <is>
          <t>-</t>
        </is>
      </c>
      <c r="J55" s="41" t="n">
        <v>0</v>
      </c>
      <c r="K55" s="31" t="inlineStr">
        <is>
          <t>No</t>
        </is>
      </c>
      <c r="L55" s="31" t="n">
        <v>0</v>
      </c>
      <c r="M5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6" ht="184" customHeight="1">
      <c r="A56" s="31" t="inlineStr">
        <is>
          <t>1 Jun</t>
        </is>
      </c>
      <c r="B56" s="31" t="inlineStr">
        <is>
          <t>37884</t>
        </is>
      </c>
      <c r="C56" s="31" t="n">
        <v>1575</v>
      </c>
      <c r="D56" s="31" t="n">
        <v>1543</v>
      </c>
      <c r="E56" s="31" t="n">
        <v>0</v>
      </c>
      <c r="F56" s="40" t="n">
        <v>1607</v>
      </c>
      <c r="G56" s="40" t="n">
        <v>697368</v>
      </c>
      <c r="H56" s="40" t="inlineStr">
        <is>
          <t>-</t>
        </is>
      </c>
      <c r="I56" s="40" t="inlineStr">
        <is>
          <t>-</t>
        </is>
      </c>
      <c r="J56" s="41" t="n">
        <v>0</v>
      </c>
      <c r="K56" s="31" t="inlineStr">
        <is>
          <t>No</t>
        </is>
      </c>
      <c r="L56" s="31" t="n">
        <v>0</v>
      </c>
      <c r="M5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7" ht="184" customHeight="1">
      <c r="A57" s="31" t="inlineStr">
        <is>
          <t>1 Jun</t>
        </is>
      </c>
      <c r="B57" s="31" t="inlineStr">
        <is>
          <t>39032</t>
        </is>
      </c>
      <c r="C57" s="31" t="n">
        <v>4</v>
      </c>
      <c r="D57" s="31" t="n">
        <v>4</v>
      </c>
      <c r="E57" s="31" t="n">
        <v>0</v>
      </c>
      <c r="F57" s="40" t="n">
        <v>1402113</v>
      </c>
      <c r="G57" s="40" t="n">
        <v>1405875</v>
      </c>
      <c r="H57" s="40" t="inlineStr">
        <is>
          <t>-</t>
        </is>
      </c>
      <c r="I57" s="40" t="inlineStr">
        <is>
          <t>-</t>
        </is>
      </c>
      <c r="J57" s="41" t="n">
        <v>0</v>
      </c>
      <c r="K57" s="31" t="inlineStr">
        <is>
          <t>No</t>
        </is>
      </c>
      <c r="L57" s="31" t="n">
        <v>0</v>
      </c>
      <c r="M5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8" ht="184" customHeight="1">
      <c r="A58" s="31" t="inlineStr">
        <is>
          <t>1 Jun</t>
        </is>
      </c>
      <c r="B58" s="31" t="inlineStr">
        <is>
          <t>39066</t>
        </is>
      </c>
      <c r="C58" s="31" t="n">
        <v>1724</v>
      </c>
      <c r="D58" s="31" t="n">
        <v>1677</v>
      </c>
      <c r="E58" s="31" t="n">
        <v>0</v>
      </c>
      <c r="F58" s="40" t="n">
        <v>1923</v>
      </c>
      <c r="G58" s="40" t="n">
        <v>697864</v>
      </c>
      <c r="H58" s="40" t="inlineStr">
        <is>
          <t>-</t>
        </is>
      </c>
      <c r="I58" s="40" t="inlineStr">
        <is>
          <t>-</t>
        </is>
      </c>
      <c r="J58" s="41" t="n">
        <v>0</v>
      </c>
      <c r="K58" s="31" t="inlineStr">
        <is>
          <t>No</t>
        </is>
      </c>
      <c r="L58" s="31" t="n">
        <v>0</v>
      </c>
      <c r="M5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9" ht="184" customHeight="1">
      <c r="A59" s="31" t="inlineStr">
        <is>
          <t>1 Jun</t>
        </is>
      </c>
      <c r="B59" s="31" t="inlineStr">
        <is>
          <t>39126</t>
        </is>
      </c>
      <c r="C59" s="31" t="n">
        <v>1929</v>
      </c>
      <c r="D59" s="31" t="n">
        <v>1871</v>
      </c>
      <c r="E59" s="31" t="n">
        <v>0</v>
      </c>
      <c r="F59" s="40" t="n">
        <v>1917</v>
      </c>
      <c r="G59" s="40" t="n">
        <v>697858</v>
      </c>
      <c r="H59" s="40" t="inlineStr">
        <is>
          <t>-</t>
        </is>
      </c>
      <c r="I59" s="40" t="inlineStr">
        <is>
          <t>-</t>
        </is>
      </c>
      <c r="J59" s="41" t="n">
        <v>0</v>
      </c>
      <c r="K59" s="31" t="inlineStr">
        <is>
          <t>No</t>
        </is>
      </c>
      <c r="L59" s="31" t="n">
        <v>0</v>
      </c>
      <c r="M5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0" ht="184" customHeight="1">
      <c r="A60" s="31" t="inlineStr">
        <is>
          <t>1 Jun</t>
        </is>
      </c>
      <c r="B60" s="31" t="inlineStr">
        <is>
          <t>39217</t>
        </is>
      </c>
      <c r="C60" s="31" t="n">
        <v>572</v>
      </c>
      <c r="D60" s="31" t="n">
        <v>572</v>
      </c>
      <c r="E60" s="31" t="n">
        <v>0</v>
      </c>
      <c r="F60" s="40" t="n">
        <v>1246415</v>
      </c>
      <c r="G60" s="40" t="n">
        <v>1426768</v>
      </c>
      <c r="H60" s="40" t="inlineStr">
        <is>
          <t>-</t>
        </is>
      </c>
      <c r="I60" s="40" t="inlineStr">
        <is>
          <t>-</t>
        </is>
      </c>
      <c r="J60" s="41" t="n">
        <v>0</v>
      </c>
      <c r="K60" s="31" t="inlineStr">
        <is>
          <t>No</t>
        </is>
      </c>
      <c r="L60" s="31" t="n">
        <v>0</v>
      </c>
      <c r="M6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1" ht="184" customHeight="1">
      <c r="A61" s="31" t="inlineStr">
        <is>
          <t>1 Jun</t>
        </is>
      </c>
      <c r="B61" s="31" t="inlineStr">
        <is>
          <t>39353</t>
        </is>
      </c>
      <c r="C61" s="31" t="n">
        <v>248</v>
      </c>
      <c r="D61" s="31" t="n">
        <v>246</v>
      </c>
      <c r="E61" s="31" t="n">
        <v>0</v>
      </c>
      <c r="F61" s="40" t="n">
        <v>1401680</v>
      </c>
      <c r="G61" s="40" t="n">
        <v>1436025</v>
      </c>
      <c r="H61" s="40" t="inlineStr">
        <is>
          <t>-</t>
        </is>
      </c>
      <c r="I61" s="40" t="inlineStr">
        <is>
          <t>-</t>
        </is>
      </c>
      <c r="J61" s="41" t="n">
        <v>0</v>
      </c>
      <c r="K61" s="31" t="inlineStr">
        <is>
          <t>No</t>
        </is>
      </c>
      <c r="L61" s="31" t="n">
        <v>0</v>
      </c>
      <c r="M6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2" ht="184" customHeight="1">
      <c r="A62" s="31" t="inlineStr">
        <is>
          <t>1 Jun</t>
        </is>
      </c>
      <c r="B62" s="31" t="inlineStr">
        <is>
          <t>39487</t>
        </is>
      </c>
      <c r="C62" s="31" t="n">
        <v>1771</v>
      </c>
      <c r="D62" s="31" t="n">
        <v>1771</v>
      </c>
      <c r="E62" s="31" t="n">
        <v>0</v>
      </c>
      <c r="F62" s="40" t="n">
        <v>3362</v>
      </c>
      <c r="G62" s="40" t="n">
        <v>696954</v>
      </c>
      <c r="H62" s="40" t="inlineStr">
        <is>
          <t>-</t>
        </is>
      </c>
      <c r="I62" s="40" t="inlineStr">
        <is>
          <t>-</t>
        </is>
      </c>
      <c r="J62" s="41" t="n">
        <v>0</v>
      </c>
      <c r="K62" s="31" t="inlineStr">
        <is>
          <t>No</t>
        </is>
      </c>
      <c r="L62" s="31" t="n">
        <v>0</v>
      </c>
      <c r="M6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3" ht="184" customHeight="1">
      <c r="A63" s="31" t="inlineStr">
        <is>
          <t>1 Jun</t>
        </is>
      </c>
      <c r="B63" s="31" t="inlineStr">
        <is>
          <t>39514</t>
        </is>
      </c>
      <c r="C63" s="31" t="n">
        <v>685</v>
      </c>
      <c r="D63" s="31" t="n">
        <v>685</v>
      </c>
      <c r="E63" s="31" t="n">
        <v>0</v>
      </c>
      <c r="F63" s="40" t="n">
        <v>1401748</v>
      </c>
      <c r="G63" s="40" t="n">
        <v>1448454</v>
      </c>
      <c r="H63" s="40" t="inlineStr">
        <is>
          <t>-</t>
        </is>
      </c>
      <c r="I63" s="40" t="inlineStr">
        <is>
          <t>-</t>
        </is>
      </c>
      <c r="J63" s="41" t="n">
        <v>0</v>
      </c>
      <c r="K63" s="31" t="inlineStr">
        <is>
          <t>No</t>
        </is>
      </c>
      <c r="L63" s="31" t="n">
        <v>0</v>
      </c>
      <c r="M6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4" ht="184" customHeight="1">
      <c r="A64" s="31" t="inlineStr">
        <is>
          <t>1 Jun</t>
        </is>
      </c>
      <c r="B64" s="31" t="inlineStr">
        <is>
          <t>52196</t>
        </is>
      </c>
      <c r="C64" s="31" t="n">
        <v>2544</v>
      </c>
      <c r="D64" s="31" t="n">
        <v>2368</v>
      </c>
      <c r="E64" s="31" t="n">
        <v>0</v>
      </c>
      <c r="F64" s="40" t="n">
        <v>132538</v>
      </c>
      <c r="G64" s="40" t="n">
        <v>138076</v>
      </c>
      <c r="H64" s="40" t="inlineStr">
        <is>
          <t>-</t>
        </is>
      </c>
      <c r="I64" s="40" t="inlineStr">
        <is>
          <t>-</t>
        </is>
      </c>
      <c r="J64" s="41" t="n">
        <v>0</v>
      </c>
      <c r="K64" s="31" t="inlineStr">
        <is>
          <t>No</t>
        </is>
      </c>
      <c r="L64" s="31" t="n">
        <v>0</v>
      </c>
      <c r="M6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5">
      <c r="A65" s="16" t="inlineStr">
        <is>
          <t>2 Jun</t>
        </is>
      </c>
      <c r="B65" s="16" t="inlineStr">
        <is>
          <t>39364</t>
        </is>
      </c>
      <c r="C65" s="16" t="n">
        <v>26304</v>
      </c>
      <c r="D65" s="16" t="n">
        <v>26261</v>
      </c>
      <c r="E65" s="16" t="n">
        <v>25394</v>
      </c>
      <c r="F65" s="38" t="n">
        <v>695672</v>
      </c>
      <c r="G65" s="38" t="n">
        <v>1443964</v>
      </c>
      <c r="H65" s="38" t="n">
        <v>699076</v>
      </c>
      <c r="I65" s="38" t="n">
        <v>1242965</v>
      </c>
      <c r="J65" s="19">
        <f>(I65-H65)/1000</f>
        <v/>
      </c>
      <c r="K65" s="16" t="inlineStr">
        <is>
          <t>Yes</t>
        </is>
      </c>
      <c r="L65" s="16" t="n">
        <v>124</v>
      </c>
      <c r="M65" s="39" t="inlineStr">
        <is>
          <t>- (full trip)</t>
        </is>
      </c>
    </row>
    <row r="66">
      <c r="A66" s="16" t="inlineStr">
        <is>
          <t>2 Jun</t>
        </is>
      </c>
      <c r="B66" s="16" t="inlineStr">
        <is>
          <t>30484</t>
        </is>
      </c>
      <c r="C66" s="16" t="n">
        <v>20680</v>
      </c>
      <c r="D66" s="16" t="n">
        <v>20551</v>
      </c>
      <c r="E66" s="16" t="n">
        <v>17644</v>
      </c>
      <c r="F66" s="38" t="n">
        <v>657008</v>
      </c>
      <c r="G66" s="38" t="n">
        <v>1474557</v>
      </c>
      <c r="H66" s="38" t="n">
        <v>699083</v>
      </c>
      <c r="I66" s="38" t="n">
        <v>1242928</v>
      </c>
      <c r="J66" s="19">
        <f>(I66-H66)/1000</f>
        <v/>
      </c>
      <c r="K66" s="16" t="inlineStr">
        <is>
          <t>Yes</t>
        </is>
      </c>
      <c r="L66" s="16" t="n">
        <v>124</v>
      </c>
      <c r="M66" s="39" t="inlineStr">
        <is>
          <t>- (full trip)</t>
        </is>
      </c>
    </row>
    <row r="67">
      <c r="A67" s="16" t="inlineStr">
        <is>
          <t>2 Jun</t>
        </is>
      </c>
      <c r="B67" s="16" t="inlineStr">
        <is>
          <t>37163</t>
        </is>
      </c>
      <c r="C67" s="16" t="n">
        <v>29143</v>
      </c>
      <c r="D67" s="16" t="n">
        <v>29090</v>
      </c>
      <c r="E67" s="16" t="n">
        <v>26279</v>
      </c>
      <c r="F67" s="38" t="n">
        <v>604330</v>
      </c>
      <c r="G67" s="38" t="n">
        <v>1454902</v>
      </c>
      <c r="H67" s="38" t="n">
        <v>699074</v>
      </c>
      <c r="I67" s="38" t="n">
        <v>1242732</v>
      </c>
      <c r="J67" s="19">
        <f>(I67-H67)/1000</f>
        <v/>
      </c>
      <c r="K67" s="16" t="inlineStr">
        <is>
          <t>Yes</t>
        </is>
      </c>
      <c r="L67" s="16" t="n">
        <v>124</v>
      </c>
      <c r="M67" s="39" t="inlineStr">
        <is>
          <t>- (full trip)</t>
        </is>
      </c>
    </row>
    <row r="68">
      <c r="A68" s="16" t="inlineStr">
        <is>
          <t>2 Jun</t>
        </is>
      </c>
      <c r="B68" s="16" t="inlineStr">
        <is>
          <t>30739</t>
        </is>
      </c>
      <c r="C68" s="16" t="n">
        <v>16781</v>
      </c>
      <c r="D68" s="16" t="n">
        <v>16773</v>
      </c>
      <c r="E68" s="16" t="n">
        <v>16491</v>
      </c>
      <c r="F68" s="38" t="n">
        <v>695652</v>
      </c>
      <c r="G68" s="38" t="n">
        <v>1224459</v>
      </c>
      <c r="H68" s="38" t="n">
        <v>699085</v>
      </c>
      <c r="I68" s="38" t="n">
        <v>1224459</v>
      </c>
      <c r="J68" s="19">
        <f>(I68-H68)/1000</f>
        <v/>
      </c>
      <c r="K68" s="16" t="inlineStr">
        <is>
          <t>Yes</t>
        </is>
      </c>
      <c r="L68" s="16" t="n">
        <v>121</v>
      </c>
      <c r="M68" s="39" t="inlineStr">
        <is>
          <t>IBH 265, Murhesi Rampur(MSRP), IBH/LC-258</t>
        </is>
      </c>
    </row>
    <row r="69" ht="49" customHeight="1">
      <c r="A69" s="16" t="inlineStr">
        <is>
          <t>2 Jun</t>
        </is>
      </c>
      <c r="B69" s="16" t="inlineStr">
        <is>
          <t>39465</t>
        </is>
      </c>
      <c r="C69" s="16" t="n">
        <v>23974</v>
      </c>
      <c r="D69" s="16" t="n">
        <v>23854</v>
      </c>
      <c r="E69" s="16" t="n">
        <v>23854</v>
      </c>
      <c r="F69" s="38" t="n">
        <v>725906</v>
      </c>
      <c r="G69" s="38" t="n">
        <v>1211618</v>
      </c>
      <c r="H69" s="38" t="n">
        <v>725906</v>
      </c>
      <c r="I69" s="38" t="n">
        <v>1211618</v>
      </c>
      <c r="J69" s="19">
        <f>(I69-H69)/1000</f>
        <v/>
      </c>
      <c r="K69" s="16" t="inlineStr">
        <is>
          <t>Yes</t>
        </is>
      </c>
      <c r="L69" s="16" t="n">
        <v>112</v>
      </c>
      <c r="M69" s="39" t="inlineStr">
        <is>
          <t>IBH 265, Murhesi Rampur(MSRP), IBH/LC-258, Jajjanpatti(JJA), DhaurmuiJaghina(DUM), IBH-247, IBH-10, Mehidpur Road(MEP), 3.9 KM  from RLK, Rohalkhurd(RLK), LC-3, IBH-1</t>
        </is>
      </c>
    </row>
    <row r="70" ht="64" customHeight="1">
      <c r="A70" s="16" t="inlineStr">
        <is>
          <t>2 Jun</t>
        </is>
      </c>
      <c r="B70" s="16" t="inlineStr">
        <is>
          <t>30435</t>
        </is>
      </c>
      <c r="C70" s="16" t="n">
        <v>17379</v>
      </c>
      <c r="D70" s="16" t="n">
        <v>16835</v>
      </c>
      <c r="E70" s="16" t="n">
        <v>16709</v>
      </c>
      <c r="F70" s="38" t="n">
        <v>696252</v>
      </c>
      <c r="G70" s="38" t="n">
        <v>1173142</v>
      </c>
      <c r="H70" s="38" t="n">
        <v>699095</v>
      </c>
      <c r="I70" s="38" t="n">
        <v>1173142</v>
      </c>
      <c r="J70" s="19">
        <f>(I70-H70)/1000</f>
        <v/>
      </c>
      <c r="K70" s="16" t="inlineStr">
        <is>
          <t>Yes</t>
        </is>
      </c>
      <c r="L70" s="16" t="n">
        <v>109</v>
      </c>
      <c r="M70" s="39" t="inlineStr">
        <is>
          <t>IBH 265, Murhesi Rampur(MSRP), IBH/LC-258, Jajjanpatti(JJA), DhaurmuiJaghina(DUM), IBH-247, Bharatpur Jn.(BTE), IBH-242, Sewar(SWAR), IBH-JCU, LC-232, Pingora(PNGR), IBH-229, 2.35 KM from KEV, Kela Devi(KEV)</t>
        </is>
      </c>
    </row>
    <row r="71" ht="124" customHeight="1">
      <c r="A71" s="16" t="inlineStr">
        <is>
          <t>2 Jun</t>
        </is>
      </c>
      <c r="B71" s="16" t="inlineStr">
        <is>
          <t>30822</t>
        </is>
      </c>
      <c r="C71" s="16" t="n">
        <v>22602</v>
      </c>
      <c r="D71" s="16" t="n">
        <v>22602</v>
      </c>
      <c r="E71" s="16" t="n">
        <v>20925</v>
      </c>
      <c r="F71" s="38" t="n">
        <v>656357</v>
      </c>
      <c r="G71" s="38" t="n">
        <v>1091978</v>
      </c>
      <c r="H71" s="38" t="n">
        <v>699080</v>
      </c>
      <c r="I71" s="38" t="n">
        <v>1091978</v>
      </c>
      <c r="J71" s="19">
        <f>(I71-H71)/1000</f>
        <v/>
      </c>
      <c r="K71" s="16" t="inlineStr">
        <is>
          <t>Yes</t>
        </is>
      </c>
      <c r="L71" s="16" t="n">
        <v>91</v>
      </c>
      <c r="M7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</t>
        </is>
      </c>
    </row>
    <row r="72" ht="169" customHeight="1">
      <c r="A72" s="16" t="inlineStr">
        <is>
          <t>2 Jun</t>
        </is>
      </c>
      <c r="B72" s="16" t="inlineStr">
        <is>
          <t>37816</t>
        </is>
      </c>
      <c r="C72" s="16" t="n">
        <v>14778</v>
      </c>
      <c r="D72" s="16" t="n">
        <v>14763</v>
      </c>
      <c r="E72" s="16" t="n">
        <v>14149</v>
      </c>
      <c r="F72" s="38" t="n">
        <v>911984</v>
      </c>
      <c r="G72" s="38" t="n">
        <v>1437195</v>
      </c>
      <c r="H72" s="38" t="n">
        <v>911984</v>
      </c>
      <c r="I72" s="38" t="n">
        <v>1242949</v>
      </c>
      <c r="J72" s="19">
        <f>(I72-H72)/1000</f>
        <v/>
      </c>
      <c r="K72" s="16" t="inlineStr">
        <is>
          <t>Yes</t>
        </is>
      </c>
      <c r="L72" s="16" t="n">
        <v>80</v>
      </c>
      <c r="M72" s="39" t="inlineStr">
        <is>
          <t>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73" ht="169" customHeight="1">
      <c r="A73" s="16" t="inlineStr">
        <is>
          <t>2 Jun</t>
        </is>
      </c>
      <c r="B73" s="16" t="inlineStr">
        <is>
          <t>37793</t>
        </is>
      </c>
      <c r="C73" s="16" t="n">
        <v>14773</v>
      </c>
      <c r="D73" s="16" t="n">
        <v>14629</v>
      </c>
      <c r="E73" s="16" t="n">
        <v>14535</v>
      </c>
      <c r="F73" s="38" t="n">
        <v>534000</v>
      </c>
      <c r="G73" s="38" t="n">
        <v>1029738</v>
      </c>
      <c r="H73" s="38" t="n">
        <v>699072</v>
      </c>
      <c r="I73" s="38" t="n">
        <v>1029738</v>
      </c>
      <c r="J73" s="19">
        <f>(I73-H73)/1000</f>
        <v/>
      </c>
      <c r="K73" s="16" t="inlineStr">
        <is>
          <t>Yes</t>
        </is>
      </c>
      <c r="L73" s="16" t="n">
        <v>77</v>
      </c>
      <c r="M7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74" ht="169" customHeight="1">
      <c r="A74" s="16" t="inlineStr">
        <is>
          <t>2 Jun</t>
        </is>
      </c>
      <c r="B74" s="16" t="inlineStr">
        <is>
          <t>30779</t>
        </is>
      </c>
      <c r="C74" s="16" t="n">
        <v>11732</v>
      </c>
      <c r="D74" s="16" t="n">
        <v>11721</v>
      </c>
      <c r="E74" s="16" t="n">
        <v>11314</v>
      </c>
      <c r="F74" s="38" t="n">
        <v>696329</v>
      </c>
      <c r="G74" s="38" t="n">
        <v>1028897</v>
      </c>
      <c r="H74" s="38" t="n">
        <v>699075</v>
      </c>
      <c r="I74" s="38" t="n">
        <v>1028897</v>
      </c>
      <c r="J74" s="19">
        <f>(I74-H74)/1000</f>
        <v/>
      </c>
      <c r="K74" s="16" t="inlineStr">
        <is>
          <t>Yes</t>
        </is>
      </c>
      <c r="L74" s="16" t="n">
        <v>77</v>
      </c>
      <c r="M7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75" ht="169" customHeight="1">
      <c r="A75" s="16" t="inlineStr">
        <is>
          <t>2 Jun</t>
        </is>
      </c>
      <c r="B75" s="16" t="inlineStr">
        <is>
          <t>37431</t>
        </is>
      </c>
      <c r="C75" s="16" t="n">
        <v>11975</v>
      </c>
      <c r="D75" s="16" t="n">
        <v>11949</v>
      </c>
      <c r="E75" s="16" t="n">
        <v>11201</v>
      </c>
      <c r="F75" s="38" t="n">
        <v>662793</v>
      </c>
      <c r="G75" s="38" t="n">
        <v>1028184</v>
      </c>
      <c r="H75" s="38" t="n">
        <v>699081</v>
      </c>
      <c r="I75" s="38" t="n">
        <v>1028184</v>
      </c>
      <c r="J75" s="19">
        <f>(I75-H75)/1000</f>
        <v/>
      </c>
      <c r="K75" s="16" t="inlineStr">
        <is>
          <t>Yes</t>
        </is>
      </c>
      <c r="L75" s="16" t="n">
        <v>77</v>
      </c>
      <c r="M7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76" ht="184" customHeight="1">
      <c r="A76" s="16" t="inlineStr">
        <is>
          <t>2 Jun</t>
        </is>
      </c>
      <c r="B76" s="16" t="inlineStr">
        <is>
          <t>39336</t>
        </is>
      </c>
      <c r="C76" s="16" t="n">
        <v>13541</v>
      </c>
      <c r="D76" s="16" t="n">
        <v>13529</v>
      </c>
      <c r="E76" s="16" t="n">
        <v>12950</v>
      </c>
      <c r="F76" s="38" t="n">
        <v>920355</v>
      </c>
      <c r="G76" s="38" t="n">
        <v>1437159</v>
      </c>
      <c r="H76" s="38" t="n">
        <v>920355</v>
      </c>
      <c r="I76" s="38" t="n">
        <v>1242920</v>
      </c>
      <c r="J76" s="19">
        <f>(I76-H76)/1000</f>
        <v/>
      </c>
      <c r="K76" s="16" t="inlineStr">
        <is>
          <t>Yes</t>
        </is>
      </c>
      <c r="L76" s="16" t="n">
        <v>78</v>
      </c>
      <c r="M76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77" ht="184" customHeight="1">
      <c r="A77" s="16" t="inlineStr">
        <is>
          <t>2 Jun</t>
        </is>
      </c>
      <c r="B77" s="16" t="inlineStr">
        <is>
          <t>30335</t>
        </is>
      </c>
      <c r="C77" s="16" t="n">
        <v>12565</v>
      </c>
      <c r="D77" s="16" t="n">
        <v>12529</v>
      </c>
      <c r="E77" s="16" t="n">
        <v>11947</v>
      </c>
      <c r="F77" s="38" t="n">
        <v>921256</v>
      </c>
      <c r="G77" s="38" t="n">
        <v>1437230</v>
      </c>
      <c r="H77" s="38" t="n">
        <v>921256</v>
      </c>
      <c r="I77" s="38" t="n">
        <v>1242969</v>
      </c>
      <c r="J77" s="19">
        <f>(I77-H77)/1000</f>
        <v/>
      </c>
      <c r="K77" s="16" t="inlineStr">
        <is>
          <t>Yes</t>
        </is>
      </c>
      <c r="L77" s="16" t="n">
        <v>78</v>
      </c>
      <c r="M77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78" ht="184" customHeight="1">
      <c r="A78" s="16" t="inlineStr">
        <is>
          <t>2 Jun</t>
        </is>
      </c>
      <c r="B78" s="16" t="inlineStr">
        <is>
          <t>30488</t>
        </is>
      </c>
      <c r="C78" s="16" t="n">
        <v>11594</v>
      </c>
      <c r="D78" s="16" t="n">
        <v>11586</v>
      </c>
      <c r="E78" s="16" t="n">
        <v>10638</v>
      </c>
      <c r="F78" s="38" t="n">
        <v>921755</v>
      </c>
      <c r="G78" s="38" t="n">
        <v>1456620</v>
      </c>
      <c r="H78" s="38" t="n">
        <v>921755</v>
      </c>
      <c r="I78" s="38" t="n">
        <v>1240570</v>
      </c>
      <c r="J78" s="19">
        <f>(I78-H78)/1000</f>
        <v/>
      </c>
      <c r="K78" s="16" t="inlineStr">
        <is>
          <t>Yes</t>
        </is>
      </c>
      <c r="L78" s="16" t="n">
        <v>78</v>
      </c>
      <c r="M78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79" ht="199" customHeight="1">
      <c r="A79" s="16" t="inlineStr">
        <is>
          <t>2 Jun</t>
        </is>
      </c>
      <c r="B79" s="16" t="inlineStr">
        <is>
          <t>30460</t>
        </is>
      </c>
      <c r="C79" s="16" t="n">
        <v>9407</v>
      </c>
      <c r="D79" s="16" t="n">
        <v>9406</v>
      </c>
      <c r="E79" s="16" t="n">
        <v>9031</v>
      </c>
      <c r="F79" s="38" t="n">
        <v>935030</v>
      </c>
      <c r="G79" s="38" t="n">
        <v>1437069</v>
      </c>
      <c r="H79" s="38" t="n">
        <v>935030</v>
      </c>
      <c r="I79" s="38" t="n">
        <v>1240714</v>
      </c>
      <c r="J79" s="19">
        <f>(I79-H79)/1000</f>
        <v/>
      </c>
      <c r="K79" s="16" t="inlineStr">
        <is>
          <t>Yes</t>
        </is>
      </c>
      <c r="L79" s="16" t="n">
        <v>74</v>
      </c>
      <c r="M79" s="39" t="inlineStr">
        <is>
          <t>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80" ht="199" customHeight="1">
      <c r="A80" s="16" t="inlineStr">
        <is>
          <t>2 Jun</t>
        </is>
      </c>
      <c r="B80" s="16" t="inlineStr">
        <is>
          <t>37275</t>
        </is>
      </c>
      <c r="C80" s="16" t="n">
        <v>10595</v>
      </c>
      <c r="D80" s="16" t="n">
        <v>10557</v>
      </c>
      <c r="E80" s="16" t="n">
        <v>10557</v>
      </c>
      <c r="F80" s="38" t="n">
        <v>954209</v>
      </c>
      <c r="G80" s="38" t="n">
        <v>1210884</v>
      </c>
      <c r="H80" s="38" t="n">
        <v>954209</v>
      </c>
      <c r="I80" s="38" t="n">
        <v>1210884</v>
      </c>
      <c r="J80" s="19">
        <f>(I80-H80)/1000</f>
        <v/>
      </c>
      <c r="K80" s="16" t="inlineStr">
        <is>
          <t>Yes</t>
        </is>
      </c>
      <c r="L80" s="16" t="n">
        <v>61</v>
      </c>
      <c r="M80" s="39" t="inlineStr">
        <is>
          <t>IBH 265, Murhesi Rampur(MSRP), IBH/LC-258, Jajjanpatti(JJA), DhaurmuiJaghina(DUM), IBH-247,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  ...(+13 more)</t>
        </is>
      </c>
    </row>
    <row r="81" ht="199" customHeight="1">
      <c r="A81" s="16" t="inlineStr">
        <is>
          <t>2 Jun</t>
        </is>
      </c>
      <c r="B81" s="16" t="inlineStr">
        <is>
          <t>37366</t>
        </is>
      </c>
      <c r="C81" s="16" t="n">
        <v>33368</v>
      </c>
      <c r="D81" s="16" t="n">
        <v>32927</v>
      </c>
      <c r="E81" s="16" t="n">
        <v>32927</v>
      </c>
      <c r="F81" s="38" t="n">
        <v>920693</v>
      </c>
      <c r="G81" s="38" t="n">
        <v>1172585</v>
      </c>
      <c r="H81" s="38" t="n">
        <v>920693</v>
      </c>
      <c r="I81" s="38" t="n">
        <v>1172585</v>
      </c>
      <c r="J81" s="19">
        <f>(I81-H81)/1000</f>
        <v/>
      </c>
      <c r="K81" s="16" t="inlineStr">
        <is>
          <t>Yes</t>
        </is>
      </c>
      <c r="L81" s="16" t="n">
        <v>62</v>
      </c>
      <c r="M81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82" ht="199" customHeight="1">
      <c r="A82" s="16" t="inlineStr">
        <is>
          <t>2 Jun</t>
        </is>
      </c>
      <c r="B82" s="16" t="inlineStr">
        <is>
          <t>30176</t>
        </is>
      </c>
      <c r="C82" s="16" t="n">
        <v>19963</v>
      </c>
      <c r="D82" s="16" t="n">
        <v>19752</v>
      </c>
      <c r="E82" s="16" t="n">
        <v>19752</v>
      </c>
      <c r="F82" s="38" t="n">
        <v>929412</v>
      </c>
      <c r="G82" s="38" t="n">
        <v>1172511</v>
      </c>
      <c r="H82" s="38" t="n">
        <v>929412</v>
      </c>
      <c r="I82" s="38" t="n">
        <v>1172511</v>
      </c>
      <c r="J82" s="19">
        <f>(I82-H82)/1000</f>
        <v/>
      </c>
      <c r="K82" s="16" t="inlineStr">
        <is>
          <t>Yes</t>
        </is>
      </c>
      <c r="L82" s="16" t="n">
        <v>59</v>
      </c>
      <c r="M82" s="39" t="inlineStr">
        <is>
          <t>IBH 265, Murhesi Rampur(MSRP), IBH/LC-258, Jajjanpatti(JJA), DhaurmuiJaghina(DUM), IBH-247, Bharatpur Jn.(BTE), IBH-242, Sewar(SWAR), IBH-JCU, LC-232, Pingora(PNGR), IBH-229, 2.35 KM from KEV, Kela Devi(KEV), IBH-224,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  ...(+15 more)</t>
        </is>
      </c>
    </row>
    <row r="83" ht="184" customHeight="1">
      <c r="A83" s="16" t="inlineStr">
        <is>
          <t>2 Jun</t>
        </is>
      </c>
      <c r="B83" s="16" t="inlineStr">
        <is>
          <t>37903</t>
        </is>
      </c>
      <c r="C83" s="16" t="n">
        <v>132</v>
      </c>
      <c r="D83" s="16" t="n">
        <v>125</v>
      </c>
      <c r="E83" s="16" t="n">
        <v>125</v>
      </c>
      <c r="F83" s="38" t="n">
        <v>920449</v>
      </c>
      <c r="G83" s="38" t="n">
        <v>1029004</v>
      </c>
      <c r="H83" s="38" t="n">
        <v>920449</v>
      </c>
      <c r="I83" s="38" t="n">
        <v>1029004</v>
      </c>
      <c r="J83" s="19">
        <f>(I83-H83)/1000</f>
        <v/>
      </c>
      <c r="K83" s="16" t="inlineStr">
        <is>
          <t>Yes</t>
        </is>
      </c>
      <c r="L83" s="16" t="n">
        <v>31</v>
      </c>
      <c r="M8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84" ht="184" customHeight="1">
      <c r="A84" s="16" t="inlineStr">
        <is>
          <t>2 Jun</t>
        </is>
      </c>
      <c r="B84" s="16" t="inlineStr">
        <is>
          <t>37248</t>
        </is>
      </c>
      <c r="C84" s="16" t="n">
        <v>10708</v>
      </c>
      <c r="D84" s="16" t="n">
        <v>10648</v>
      </c>
      <c r="E84" s="16" t="n">
        <v>10648</v>
      </c>
      <c r="F84" s="38" t="n">
        <v>920359</v>
      </c>
      <c r="G84" s="38" t="n">
        <v>1028910</v>
      </c>
      <c r="H84" s="38" t="n">
        <v>920359</v>
      </c>
      <c r="I84" s="38" t="n">
        <v>1028910</v>
      </c>
      <c r="J84" s="19">
        <f>(I84-H84)/1000</f>
        <v/>
      </c>
      <c r="K84" s="16" t="inlineStr">
        <is>
          <t>Yes</t>
        </is>
      </c>
      <c r="L84" s="16" t="n">
        <v>31</v>
      </c>
      <c r="M8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85" ht="184" customHeight="1">
      <c r="A85" s="16" t="inlineStr">
        <is>
          <t>2 Jun</t>
        </is>
      </c>
      <c r="B85" s="16" t="inlineStr">
        <is>
          <t>30451</t>
        </is>
      </c>
      <c r="C85" s="16" t="n">
        <v>3688</v>
      </c>
      <c r="D85" s="16" t="n">
        <v>3669</v>
      </c>
      <c r="E85" s="16" t="n">
        <v>3669</v>
      </c>
      <c r="F85" s="38" t="n">
        <v>923838</v>
      </c>
      <c r="G85" s="38" t="n">
        <v>1028408</v>
      </c>
      <c r="H85" s="38" t="n">
        <v>923838</v>
      </c>
      <c r="I85" s="38" t="n">
        <v>1028408</v>
      </c>
      <c r="J85" s="19">
        <f>(I85-H85)/1000</f>
        <v/>
      </c>
      <c r="K85" s="16" t="inlineStr">
        <is>
          <t>Yes</t>
        </is>
      </c>
      <c r="L85" s="16" t="n">
        <v>30</v>
      </c>
      <c r="M8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Jn.(KOTA) CENTRAL, KOTA SOUTH, DakaniyaTalav(DKNT)  ...(+44 more)</t>
        </is>
      </c>
    </row>
    <row r="86" ht="184" customHeight="1">
      <c r="A86" s="16" t="inlineStr">
        <is>
          <t>2 Jun</t>
        </is>
      </c>
      <c r="B86" s="16" t="inlineStr">
        <is>
          <t>37458</t>
        </is>
      </c>
      <c r="C86" s="16" t="n">
        <v>556</v>
      </c>
      <c r="D86" s="16" t="n">
        <v>556</v>
      </c>
      <c r="E86" s="16" t="n">
        <v>298</v>
      </c>
      <c r="F86" s="38" t="n">
        <v>1174162</v>
      </c>
      <c r="G86" s="38" t="n">
        <v>1290490</v>
      </c>
      <c r="H86" s="38" t="n">
        <v>1174162</v>
      </c>
      <c r="I86" s="38" t="n">
        <v>1243385</v>
      </c>
      <c r="J86" s="19">
        <f>(I86-H86)/1000</f>
        <v/>
      </c>
      <c r="K86" s="16" t="inlineStr">
        <is>
          <t>Yes</t>
        </is>
      </c>
      <c r="L86" s="16" t="n">
        <v>17</v>
      </c>
      <c r="M86" s="39" t="inlineStr">
        <is>
          <t>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  ...(+57 more)</t>
        </is>
      </c>
    </row>
    <row r="87" ht="199" customHeight="1">
      <c r="A87" s="16" t="inlineStr">
        <is>
          <t>2 Jun</t>
        </is>
      </c>
      <c r="B87" s="16" t="inlineStr">
        <is>
          <t>37847</t>
        </is>
      </c>
      <c r="C87" s="16" t="n">
        <v>72</v>
      </c>
      <c r="D87" s="16" t="n">
        <v>71</v>
      </c>
      <c r="E87" s="16" t="n">
        <v>71</v>
      </c>
      <c r="F87" s="38" t="n">
        <v>1160792</v>
      </c>
      <c r="G87" s="38" t="n">
        <v>1200429</v>
      </c>
      <c r="H87" s="38" t="n">
        <v>1160792</v>
      </c>
      <c r="I87" s="38" t="n">
        <v>1200429</v>
      </c>
      <c r="J87" s="19">
        <f>(I87-H87)/1000</f>
        <v/>
      </c>
      <c r="K87" s="16" t="inlineStr">
        <is>
          <t>Yes</t>
        </is>
      </c>
      <c r="L87" s="16" t="n">
        <v>13</v>
      </c>
      <c r="M87" s="39" t="inlineStr">
        <is>
          <t>IBH 265, Murhesi Rampur(MSRP), IBH/LC-258, Jajjanpatti(JJA), DhaurmuiJaghina(DUM), IBH-247, Bharatpur Jn.(BTE), IBH-242,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  ...(+61 more)</t>
        </is>
      </c>
    </row>
    <row r="88" ht="184" customHeight="1">
      <c r="A88" s="16" t="inlineStr">
        <is>
          <t>2 Jun</t>
        </is>
      </c>
      <c r="B88" s="16" t="inlineStr">
        <is>
          <t>37885</t>
        </is>
      </c>
      <c r="C88" s="16" t="n">
        <v>2634</v>
      </c>
      <c r="D88" s="16" t="n">
        <v>2634</v>
      </c>
      <c r="E88" s="16" t="n">
        <v>1575</v>
      </c>
      <c r="F88" s="38" t="n">
        <v>657175</v>
      </c>
      <c r="G88" s="38" t="n">
        <v>738694</v>
      </c>
      <c r="H88" s="38" t="n">
        <v>699078</v>
      </c>
      <c r="I88" s="38" t="n">
        <v>738694</v>
      </c>
      <c r="J88" s="19">
        <f>(I88-H88)/1000</f>
        <v/>
      </c>
      <c r="K88" s="16" t="inlineStr">
        <is>
          <t>Yes</t>
        </is>
      </c>
      <c r="L88" s="16" t="n">
        <v>10</v>
      </c>
      <c r="M8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...(+64 more)</t>
        </is>
      </c>
    </row>
    <row r="89" ht="184" customHeight="1">
      <c r="A89" s="16" t="inlineStr">
        <is>
          <t>2 Jun</t>
        </is>
      </c>
      <c r="B89" s="16" t="inlineStr">
        <is>
          <t>30466</t>
        </is>
      </c>
      <c r="C89" s="16" t="n">
        <v>3092</v>
      </c>
      <c r="D89" s="16" t="n">
        <v>3088</v>
      </c>
      <c r="E89" s="16" t="n">
        <v>3088</v>
      </c>
      <c r="F89" s="38" t="n">
        <v>920536</v>
      </c>
      <c r="G89" s="38" t="n">
        <v>957495</v>
      </c>
      <c r="H89" s="38" t="n">
        <v>920536</v>
      </c>
      <c r="I89" s="38" t="n">
        <v>957495</v>
      </c>
      <c r="J89" s="19">
        <f>(I89-H89)/1000</f>
        <v/>
      </c>
      <c r="K89" s="16" t="inlineStr">
        <is>
          <t>Yes</t>
        </is>
      </c>
      <c r="L89" s="16" t="n">
        <v>13</v>
      </c>
      <c r="M8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...(+61 more)</t>
        </is>
      </c>
    </row>
    <row r="90" ht="184" customHeight="1">
      <c r="A90" s="16" t="inlineStr">
        <is>
          <t>2 Jun</t>
        </is>
      </c>
      <c r="B90" s="16" t="inlineStr">
        <is>
          <t>37131</t>
        </is>
      </c>
      <c r="C90" s="16" t="n">
        <v>1710</v>
      </c>
      <c r="D90" s="16" t="n">
        <v>1710</v>
      </c>
      <c r="E90" s="16" t="n">
        <v>1710</v>
      </c>
      <c r="F90" s="38" t="n">
        <v>887898</v>
      </c>
      <c r="G90" s="38" t="n">
        <v>920630</v>
      </c>
      <c r="H90" s="38" t="n">
        <v>887898</v>
      </c>
      <c r="I90" s="38" t="n">
        <v>920630</v>
      </c>
      <c r="J90" s="19">
        <f>(I90-H90)/1000</f>
        <v/>
      </c>
      <c r="K90" s="16" t="inlineStr">
        <is>
          <t>Yes</t>
        </is>
      </c>
      <c r="L90" s="16" t="n">
        <v>8</v>
      </c>
      <c r="M9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...(+66 more)</t>
        </is>
      </c>
    </row>
    <row r="91" ht="184" customHeight="1">
      <c r="A91" s="16" t="inlineStr">
        <is>
          <t>2 Jun</t>
        </is>
      </c>
      <c r="B91" s="16" t="inlineStr">
        <is>
          <t>30752</t>
        </is>
      </c>
      <c r="C91" s="16" t="n">
        <v>1733</v>
      </c>
      <c r="D91" s="16" t="n">
        <v>1724</v>
      </c>
      <c r="E91" s="16" t="n">
        <v>1724</v>
      </c>
      <c r="F91" s="38" t="n">
        <v>921754</v>
      </c>
      <c r="G91" s="38" t="n">
        <v>947729</v>
      </c>
      <c r="H91" s="38" t="n">
        <v>921754</v>
      </c>
      <c r="I91" s="38" t="n">
        <v>947729</v>
      </c>
      <c r="J91" s="19">
        <f>(I91-H91)/1000</f>
        <v/>
      </c>
      <c r="K91" s="16" t="inlineStr">
        <is>
          <t>Yes</t>
        </is>
      </c>
      <c r="L91" s="16" t="n">
        <v>10</v>
      </c>
      <c r="M9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...(+64 more)</t>
        </is>
      </c>
    </row>
    <row r="92" ht="184" customHeight="1">
      <c r="A92" s="16" t="inlineStr">
        <is>
          <t>2 Jun</t>
        </is>
      </c>
      <c r="B92" s="16" t="inlineStr">
        <is>
          <t>37639</t>
        </is>
      </c>
      <c r="C92" s="16" t="n">
        <v>1569</v>
      </c>
      <c r="D92" s="16" t="n">
        <v>1564</v>
      </c>
      <c r="E92" s="16" t="n">
        <v>1564</v>
      </c>
      <c r="F92" s="38" t="n">
        <v>920455</v>
      </c>
      <c r="G92" s="38" t="n">
        <v>941167</v>
      </c>
      <c r="H92" s="38" t="n">
        <v>920455</v>
      </c>
      <c r="I92" s="38" t="n">
        <v>941167</v>
      </c>
      <c r="J92" s="19">
        <f>(I92-H92)/1000</f>
        <v/>
      </c>
      <c r="K92" s="16" t="inlineStr">
        <is>
          <t>Yes</t>
        </is>
      </c>
      <c r="L92" s="16" t="n">
        <v>7</v>
      </c>
      <c r="M9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...(+67 more)</t>
        </is>
      </c>
    </row>
    <row r="93" ht="184" customHeight="1">
      <c r="A93" s="16" t="inlineStr">
        <is>
          <t>2 Jun</t>
        </is>
      </c>
      <c r="B93" s="16" t="inlineStr">
        <is>
          <t>37584</t>
        </is>
      </c>
      <c r="C93" s="16" t="n">
        <v>825</v>
      </c>
      <c r="D93" s="16" t="n">
        <v>739</v>
      </c>
      <c r="E93" s="16" t="n">
        <v>408</v>
      </c>
      <c r="F93" s="38" t="n">
        <v>839</v>
      </c>
      <c r="G93" s="38" t="n">
        <v>1028408</v>
      </c>
      <c r="H93" s="38" t="n">
        <v>1024625</v>
      </c>
      <c r="I93" s="38" t="n">
        <v>1028408</v>
      </c>
      <c r="J93" s="19">
        <f>(I93-H93)/1000</f>
        <v/>
      </c>
      <c r="K93" s="16" t="inlineStr">
        <is>
          <t>Yes</t>
        </is>
      </c>
      <c r="L93" s="16" t="n">
        <v>2</v>
      </c>
      <c r="M9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Kushtala(KTA), IBH-RWJ, 2.0 KM from RWJ  ...(+72 more)</t>
        </is>
      </c>
    </row>
    <row r="94" ht="184" customHeight="1">
      <c r="A94" s="31" t="inlineStr">
        <is>
          <t>2 Jun</t>
        </is>
      </c>
      <c r="B94" s="31" t="inlineStr">
        <is>
          <t>30197</t>
        </is>
      </c>
      <c r="C94" s="31" t="n">
        <v>593</v>
      </c>
      <c r="D94" s="31" t="n">
        <v>569</v>
      </c>
      <c r="E94" s="31" t="n">
        <v>0</v>
      </c>
      <c r="F94" s="40" t="n">
        <v>1177</v>
      </c>
      <c r="G94" s="40" t="n">
        <v>4222</v>
      </c>
      <c r="H94" s="40" t="inlineStr">
        <is>
          <t>-</t>
        </is>
      </c>
      <c r="I94" s="40" t="inlineStr">
        <is>
          <t>-</t>
        </is>
      </c>
      <c r="J94" s="41" t="n">
        <v>0</v>
      </c>
      <c r="K94" s="31" t="inlineStr">
        <is>
          <t>No</t>
        </is>
      </c>
      <c r="L94" s="31" t="n">
        <v>0</v>
      </c>
      <c r="M9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95" ht="184" customHeight="1">
      <c r="A95" s="31" t="inlineStr">
        <is>
          <t>2 Jun</t>
        </is>
      </c>
      <c r="B95" s="31" t="inlineStr">
        <is>
          <t>30206</t>
        </is>
      </c>
      <c r="C95" s="31" t="n">
        <v>379</v>
      </c>
      <c r="D95" s="31" t="n">
        <v>377</v>
      </c>
      <c r="E95" s="31" t="n">
        <v>0</v>
      </c>
      <c r="F95" s="40" t="n">
        <v>1401680</v>
      </c>
      <c r="G95" s="40" t="n">
        <v>1436993</v>
      </c>
      <c r="H95" s="40" t="inlineStr">
        <is>
          <t>-</t>
        </is>
      </c>
      <c r="I95" s="40" t="inlineStr">
        <is>
          <t>-</t>
        </is>
      </c>
      <c r="J95" s="41" t="n">
        <v>0</v>
      </c>
      <c r="K95" s="31" t="inlineStr">
        <is>
          <t>No</t>
        </is>
      </c>
      <c r="L95" s="31" t="n">
        <v>0</v>
      </c>
      <c r="M9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96" ht="184" customHeight="1">
      <c r="A96" s="31" t="inlineStr">
        <is>
          <t>2 Jun</t>
        </is>
      </c>
      <c r="B96" s="31" t="inlineStr">
        <is>
          <t>30397</t>
        </is>
      </c>
      <c r="C96" s="31" t="n">
        <v>438</v>
      </c>
      <c r="D96" s="31" t="n">
        <v>437</v>
      </c>
      <c r="E96" s="31" t="n">
        <v>0</v>
      </c>
      <c r="F96" s="40" t="n">
        <v>1401413</v>
      </c>
      <c r="G96" s="40" t="n">
        <v>1436779</v>
      </c>
      <c r="H96" s="40" t="inlineStr">
        <is>
          <t>-</t>
        </is>
      </c>
      <c r="I96" s="40" t="inlineStr">
        <is>
          <t>-</t>
        </is>
      </c>
      <c r="J96" s="41" t="n">
        <v>0</v>
      </c>
      <c r="K96" s="31" t="inlineStr">
        <is>
          <t>No</t>
        </is>
      </c>
      <c r="L96" s="31" t="n">
        <v>0</v>
      </c>
      <c r="M9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97" ht="184" customHeight="1">
      <c r="A97" s="31" t="inlineStr">
        <is>
          <t>2 Jun</t>
        </is>
      </c>
      <c r="B97" s="31" t="inlineStr">
        <is>
          <t>30543</t>
        </is>
      </c>
      <c r="C97" s="31" t="n">
        <v>515</v>
      </c>
      <c r="D97" s="31" t="n">
        <v>515</v>
      </c>
      <c r="E97" s="31" t="n">
        <v>0</v>
      </c>
      <c r="F97" s="40" t="n">
        <v>1401346</v>
      </c>
      <c r="G97" s="40" t="n">
        <v>1435972</v>
      </c>
      <c r="H97" s="40" t="inlineStr">
        <is>
          <t>-</t>
        </is>
      </c>
      <c r="I97" s="40" t="inlineStr">
        <is>
          <t>-</t>
        </is>
      </c>
      <c r="J97" s="41" t="n">
        <v>0</v>
      </c>
      <c r="K97" s="31" t="inlineStr">
        <is>
          <t>No</t>
        </is>
      </c>
      <c r="L97" s="31" t="n">
        <v>0</v>
      </c>
      <c r="M9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98" ht="184" customHeight="1">
      <c r="A98" s="31" t="inlineStr">
        <is>
          <t>2 Jun</t>
        </is>
      </c>
      <c r="B98" s="31" t="inlineStr">
        <is>
          <t>37054</t>
        </is>
      </c>
      <c r="C98" s="31" t="n">
        <v>377</v>
      </c>
      <c r="D98" s="31" t="n">
        <v>374</v>
      </c>
      <c r="E98" s="31" t="n">
        <v>0</v>
      </c>
      <c r="F98" s="40" t="n">
        <v>1264171</v>
      </c>
      <c r="G98" s="40" t="n">
        <v>1436328</v>
      </c>
      <c r="H98" s="40" t="inlineStr">
        <is>
          <t>-</t>
        </is>
      </c>
      <c r="I98" s="40" t="inlineStr">
        <is>
          <t>-</t>
        </is>
      </c>
      <c r="J98" s="41" t="n">
        <v>0</v>
      </c>
      <c r="K98" s="31" t="inlineStr">
        <is>
          <t>No</t>
        </is>
      </c>
      <c r="L98" s="31" t="n">
        <v>0</v>
      </c>
      <c r="M9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99" ht="184" customHeight="1">
      <c r="A99" s="31" t="inlineStr">
        <is>
          <t>2 Jun</t>
        </is>
      </c>
      <c r="B99" s="31" t="inlineStr">
        <is>
          <t>37158</t>
        </is>
      </c>
      <c r="C99" s="31" t="n">
        <v>712</v>
      </c>
      <c r="D99" s="31" t="n">
        <v>711</v>
      </c>
      <c r="E99" s="31" t="n">
        <v>0</v>
      </c>
      <c r="F99" s="40" t="n">
        <v>1401392</v>
      </c>
      <c r="G99" s="40" t="n">
        <v>1440211</v>
      </c>
      <c r="H99" s="40" t="inlineStr">
        <is>
          <t>-</t>
        </is>
      </c>
      <c r="I99" s="40" t="inlineStr">
        <is>
          <t>-</t>
        </is>
      </c>
      <c r="J99" s="41" t="n">
        <v>0</v>
      </c>
      <c r="K99" s="31" t="inlineStr">
        <is>
          <t>No</t>
        </is>
      </c>
      <c r="L99" s="31" t="n">
        <v>0</v>
      </c>
      <c r="M9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00" ht="184" customHeight="1">
      <c r="A100" s="31" t="inlineStr">
        <is>
          <t>2 Jun</t>
        </is>
      </c>
      <c r="B100" s="31" t="inlineStr">
        <is>
          <t>37258</t>
        </is>
      </c>
      <c r="C100" s="31" t="n">
        <v>573</v>
      </c>
      <c r="D100" s="31" t="n">
        <v>573</v>
      </c>
      <c r="E100" s="31" t="n">
        <v>0</v>
      </c>
      <c r="F100" s="40" t="n">
        <v>1401348</v>
      </c>
      <c r="G100" s="40" t="n">
        <v>1436846</v>
      </c>
      <c r="H100" s="40" t="inlineStr">
        <is>
          <t>-</t>
        </is>
      </c>
      <c r="I100" s="40" t="inlineStr">
        <is>
          <t>-</t>
        </is>
      </c>
      <c r="J100" s="41" t="n">
        <v>0</v>
      </c>
      <c r="K100" s="31" t="inlineStr">
        <is>
          <t>No</t>
        </is>
      </c>
      <c r="L100" s="31" t="n">
        <v>0</v>
      </c>
      <c r="M10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01" ht="184" customHeight="1">
      <c r="A101" s="31" t="inlineStr">
        <is>
          <t>2 Jun</t>
        </is>
      </c>
      <c r="B101" s="31" t="inlineStr">
        <is>
          <t>37261</t>
        </is>
      </c>
      <c r="C101" s="31" t="n">
        <v>163</v>
      </c>
      <c r="D101" s="31" t="n">
        <v>161</v>
      </c>
      <c r="E101" s="31" t="n">
        <v>0</v>
      </c>
      <c r="F101" s="40" t="n">
        <v>1401702</v>
      </c>
      <c r="G101" s="40" t="n">
        <v>1426226</v>
      </c>
      <c r="H101" s="40" t="inlineStr">
        <is>
          <t>-</t>
        </is>
      </c>
      <c r="I101" s="40" t="inlineStr">
        <is>
          <t>-</t>
        </is>
      </c>
      <c r="J101" s="41" t="n">
        <v>0</v>
      </c>
      <c r="K101" s="31" t="inlineStr">
        <is>
          <t>No</t>
        </is>
      </c>
      <c r="L101" s="31" t="n">
        <v>0</v>
      </c>
      <c r="M10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02" ht="184" customHeight="1">
      <c r="A102" s="31" t="inlineStr">
        <is>
          <t>2 Jun</t>
        </is>
      </c>
      <c r="B102" s="31" t="inlineStr">
        <is>
          <t>37325</t>
        </is>
      </c>
      <c r="C102" s="31" t="n">
        <v>603</v>
      </c>
      <c r="D102" s="31" t="n">
        <v>603</v>
      </c>
      <c r="E102" s="31" t="n">
        <v>0</v>
      </c>
      <c r="F102" s="40" t="n">
        <v>1408790</v>
      </c>
      <c r="G102" s="40" t="n">
        <v>1469525</v>
      </c>
      <c r="H102" s="40" t="inlineStr">
        <is>
          <t>-</t>
        </is>
      </c>
      <c r="I102" s="40" t="inlineStr">
        <is>
          <t>-</t>
        </is>
      </c>
      <c r="J102" s="41" t="n">
        <v>0</v>
      </c>
      <c r="K102" s="31" t="inlineStr">
        <is>
          <t>No</t>
        </is>
      </c>
      <c r="L102" s="31" t="n">
        <v>0</v>
      </c>
      <c r="M10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03" ht="184" customHeight="1">
      <c r="A103" s="31" t="inlineStr">
        <is>
          <t>2 Jun</t>
        </is>
      </c>
      <c r="B103" s="31" t="inlineStr">
        <is>
          <t>37332</t>
        </is>
      </c>
      <c r="C103" s="31" t="n">
        <v>1316</v>
      </c>
      <c r="D103" s="31" t="n">
        <v>1316</v>
      </c>
      <c r="E103" s="31" t="n">
        <v>0</v>
      </c>
      <c r="F103" s="40" t="n">
        <v>1401702</v>
      </c>
      <c r="G103" s="40" t="n">
        <v>1474548</v>
      </c>
      <c r="H103" s="40" t="inlineStr">
        <is>
          <t>-</t>
        </is>
      </c>
      <c r="I103" s="40" t="inlineStr">
        <is>
          <t>-</t>
        </is>
      </c>
      <c r="J103" s="41" t="n">
        <v>0</v>
      </c>
      <c r="K103" s="31" t="inlineStr">
        <is>
          <t>No</t>
        </is>
      </c>
      <c r="L103" s="31" t="n">
        <v>0</v>
      </c>
      <c r="M10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04" ht="184" customHeight="1">
      <c r="A104" s="31" t="inlineStr">
        <is>
          <t>2 Jun</t>
        </is>
      </c>
      <c r="B104" s="31" t="inlineStr">
        <is>
          <t>37453</t>
        </is>
      </c>
      <c r="C104" s="31" t="n">
        <v>625</v>
      </c>
      <c r="D104" s="31" t="n">
        <v>625</v>
      </c>
      <c r="E104" s="31" t="n">
        <v>0</v>
      </c>
      <c r="F104" s="40" t="n">
        <v>1401350</v>
      </c>
      <c r="G104" s="40" t="n">
        <v>1447355</v>
      </c>
      <c r="H104" s="40" t="inlineStr">
        <is>
          <t>-</t>
        </is>
      </c>
      <c r="I104" s="40" t="inlineStr">
        <is>
          <t>-</t>
        </is>
      </c>
      <c r="J104" s="41" t="n">
        <v>0</v>
      </c>
      <c r="K104" s="31" t="inlineStr">
        <is>
          <t>No</t>
        </is>
      </c>
      <c r="L104" s="31" t="n">
        <v>0</v>
      </c>
      <c r="M10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05" ht="184" customHeight="1">
      <c r="A105" s="31" t="inlineStr">
        <is>
          <t>2 Jun</t>
        </is>
      </c>
      <c r="B105" s="31" t="inlineStr">
        <is>
          <t>37677</t>
        </is>
      </c>
      <c r="C105" s="31" t="n">
        <v>558</v>
      </c>
      <c r="D105" s="31" t="n">
        <v>558</v>
      </c>
      <c r="E105" s="31" t="n">
        <v>0</v>
      </c>
      <c r="F105" s="40" t="n">
        <v>1401371</v>
      </c>
      <c r="G105" s="40" t="n">
        <v>1437069</v>
      </c>
      <c r="H105" s="40" t="inlineStr">
        <is>
          <t>-</t>
        </is>
      </c>
      <c r="I105" s="40" t="inlineStr">
        <is>
          <t>-</t>
        </is>
      </c>
      <c r="J105" s="41" t="n">
        <v>0</v>
      </c>
      <c r="K105" s="31" t="inlineStr">
        <is>
          <t>No</t>
        </is>
      </c>
      <c r="L105" s="31" t="n">
        <v>0</v>
      </c>
      <c r="M10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06" ht="184" customHeight="1">
      <c r="A106" s="31" t="inlineStr">
        <is>
          <t>2 Jun</t>
        </is>
      </c>
      <c r="B106" s="31" t="inlineStr">
        <is>
          <t>37812</t>
        </is>
      </c>
      <c r="C106" s="31" t="n">
        <v>39</v>
      </c>
      <c r="D106" s="31" t="n">
        <v>39</v>
      </c>
      <c r="E106" s="31" t="n">
        <v>0</v>
      </c>
      <c r="F106" s="40" t="n">
        <v>533259</v>
      </c>
      <c r="G106" s="40" t="n">
        <v>544410</v>
      </c>
      <c r="H106" s="40" t="inlineStr">
        <is>
          <t>-</t>
        </is>
      </c>
      <c r="I106" s="40" t="inlineStr">
        <is>
          <t>-</t>
        </is>
      </c>
      <c r="J106" s="41" t="n">
        <v>0</v>
      </c>
      <c r="K106" s="31" t="inlineStr">
        <is>
          <t>No</t>
        </is>
      </c>
      <c r="L106" s="31" t="n">
        <v>0</v>
      </c>
      <c r="M10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07" ht="184" customHeight="1">
      <c r="A107" s="31" t="inlineStr">
        <is>
          <t>2 Jun</t>
        </is>
      </c>
      <c r="B107" s="31" t="inlineStr">
        <is>
          <t>37864</t>
        </is>
      </c>
      <c r="C107" s="31" t="n">
        <v>650</v>
      </c>
      <c r="D107" s="31" t="n">
        <v>649</v>
      </c>
      <c r="E107" s="31" t="n">
        <v>0</v>
      </c>
      <c r="F107" s="40" t="n">
        <v>1401326</v>
      </c>
      <c r="G107" s="40" t="n">
        <v>1449018</v>
      </c>
      <c r="H107" s="40" t="inlineStr">
        <is>
          <t>-</t>
        </is>
      </c>
      <c r="I107" s="40" t="inlineStr">
        <is>
          <t>-</t>
        </is>
      </c>
      <c r="J107" s="41" t="n">
        <v>0</v>
      </c>
      <c r="K107" s="31" t="inlineStr">
        <is>
          <t>No</t>
        </is>
      </c>
      <c r="L107" s="31" t="n">
        <v>0</v>
      </c>
      <c r="M10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08" ht="184" customHeight="1">
      <c r="A108" s="31" t="inlineStr">
        <is>
          <t>2 Jun</t>
        </is>
      </c>
      <c r="B108" s="31" t="inlineStr">
        <is>
          <t>37917</t>
        </is>
      </c>
      <c r="C108" s="31" t="n">
        <v>386</v>
      </c>
      <c r="D108" s="31" t="n">
        <v>386</v>
      </c>
      <c r="E108" s="31" t="n">
        <v>0</v>
      </c>
      <c r="F108" s="40" t="n">
        <v>1401721</v>
      </c>
      <c r="G108" s="40" t="n">
        <v>1436990</v>
      </c>
      <c r="H108" s="40" t="inlineStr">
        <is>
          <t>-</t>
        </is>
      </c>
      <c r="I108" s="40" t="inlineStr">
        <is>
          <t>-</t>
        </is>
      </c>
      <c r="J108" s="41" t="n">
        <v>0</v>
      </c>
      <c r="K108" s="31" t="inlineStr">
        <is>
          <t>No</t>
        </is>
      </c>
      <c r="L108" s="31" t="n">
        <v>0</v>
      </c>
      <c r="M10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09" ht="184" customHeight="1">
      <c r="A109" s="31" t="inlineStr">
        <is>
          <t>2 Jun</t>
        </is>
      </c>
      <c r="B109" s="31" t="inlineStr">
        <is>
          <t>37961</t>
        </is>
      </c>
      <c r="C109" s="31" t="n">
        <v>522</v>
      </c>
      <c r="D109" s="31" t="n">
        <v>521</v>
      </c>
      <c r="E109" s="31" t="n">
        <v>0</v>
      </c>
      <c r="F109" s="40" t="n">
        <v>1401396</v>
      </c>
      <c r="G109" s="40" t="n">
        <v>1436866</v>
      </c>
      <c r="H109" s="40" t="inlineStr">
        <is>
          <t>-</t>
        </is>
      </c>
      <c r="I109" s="40" t="inlineStr">
        <is>
          <t>-</t>
        </is>
      </c>
      <c r="J109" s="41" t="n">
        <v>0</v>
      </c>
      <c r="K109" s="31" t="inlineStr">
        <is>
          <t>No</t>
        </is>
      </c>
      <c r="L109" s="31" t="n">
        <v>0</v>
      </c>
      <c r="M10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10" ht="184" customHeight="1">
      <c r="A110" s="31" t="inlineStr">
        <is>
          <t>2 Jun</t>
        </is>
      </c>
      <c r="B110" s="31" t="inlineStr">
        <is>
          <t>39049</t>
        </is>
      </c>
      <c r="C110" s="31" t="n">
        <v>507</v>
      </c>
      <c r="D110" s="31" t="n">
        <v>505</v>
      </c>
      <c r="E110" s="31" t="n">
        <v>0</v>
      </c>
      <c r="F110" s="40" t="n">
        <v>1401781</v>
      </c>
      <c r="G110" s="40" t="n">
        <v>1445642</v>
      </c>
      <c r="H110" s="40" t="inlineStr">
        <is>
          <t>-</t>
        </is>
      </c>
      <c r="I110" s="40" t="inlineStr">
        <is>
          <t>-</t>
        </is>
      </c>
      <c r="J110" s="41" t="n">
        <v>0</v>
      </c>
      <c r="K110" s="31" t="inlineStr">
        <is>
          <t>No</t>
        </is>
      </c>
      <c r="L110" s="31" t="n">
        <v>0</v>
      </c>
      <c r="M11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11" ht="184" customHeight="1">
      <c r="A111" s="31" t="inlineStr">
        <is>
          <t>2 Jun</t>
        </is>
      </c>
      <c r="B111" s="31" t="inlineStr">
        <is>
          <t>39078</t>
        </is>
      </c>
      <c r="C111" s="31" t="n">
        <v>1505</v>
      </c>
      <c r="D111" s="31" t="n">
        <v>1505</v>
      </c>
      <c r="E111" s="31" t="n">
        <v>0</v>
      </c>
      <c r="F111" s="40" t="n">
        <v>527296</v>
      </c>
      <c r="G111" s="40" t="n">
        <v>695582</v>
      </c>
      <c r="H111" s="40" t="inlineStr">
        <is>
          <t>-</t>
        </is>
      </c>
      <c r="I111" s="40" t="inlineStr">
        <is>
          <t>-</t>
        </is>
      </c>
      <c r="J111" s="41" t="n">
        <v>0</v>
      </c>
      <c r="K111" s="31" t="inlineStr">
        <is>
          <t>No</t>
        </is>
      </c>
      <c r="L111" s="31" t="n">
        <v>0</v>
      </c>
      <c r="M11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12" ht="184" customHeight="1">
      <c r="A112" s="31" t="inlineStr">
        <is>
          <t>2 Jun</t>
        </is>
      </c>
      <c r="B112" s="31" t="inlineStr">
        <is>
          <t>39192</t>
        </is>
      </c>
      <c r="C112" s="31" t="n">
        <v>652</v>
      </c>
      <c r="D112" s="31" t="n">
        <v>634</v>
      </c>
      <c r="E112" s="31" t="n">
        <v>0</v>
      </c>
      <c r="F112" s="40" t="n">
        <v>1268677</v>
      </c>
      <c r="G112" s="40" t="n">
        <v>1447106</v>
      </c>
      <c r="H112" s="40" t="inlineStr">
        <is>
          <t>-</t>
        </is>
      </c>
      <c r="I112" s="40" t="inlineStr">
        <is>
          <t>-</t>
        </is>
      </c>
      <c r="J112" s="41" t="n">
        <v>0</v>
      </c>
      <c r="K112" s="31" t="inlineStr">
        <is>
          <t>No</t>
        </is>
      </c>
      <c r="L112" s="31" t="n">
        <v>0</v>
      </c>
      <c r="M11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13" ht="184" customHeight="1">
      <c r="A113" s="31" t="inlineStr">
        <is>
          <t>2 Jun</t>
        </is>
      </c>
      <c r="B113" s="31" t="inlineStr">
        <is>
          <t>39217</t>
        </is>
      </c>
      <c r="C113" s="31" t="n">
        <v>3</v>
      </c>
      <c r="D113" s="31" t="n">
        <v>3</v>
      </c>
      <c r="E113" s="31" t="n">
        <v>0</v>
      </c>
      <c r="F113" s="40" t="n">
        <v>1250580</v>
      </c>
      <c r="G113" s="40" t="n">
        <v>1313433</v>
      </c>
      <c r="H113" s="40" t="inlineStr">
        <is>
          <t>-</t>
        </is>
      </c>
      <c r="I113" s="40" t="inlineStr">
        <is>
          <t>-</t>
        </is>
      </c>
      <c r="J113" s="41" t="n">
        <v>0</v>
      </c>
      <c r="K113" s="31" t="inlineStr">
        <is>
          <t>No</t>
        </is>
      </c>
      <c r="L113" s="31" t="n">
        <v>0</v>
      </c>
      <c r="M11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14" ht="184" customHeight="1">
      <c r="A114" s="31" t="inlineStr">
        <is>
          <t>2 Jun</t>
        </is>
      </c>
      <c r="B114" s="31" t="inlineStr">
        <is>
          <t>39320</t>
        </is>
      </c>
      <c r="C114" s="31" t="n">
        <v>142</v>
      </c>
      <c r="D114" s="31" t="n">
        <v>140</v>
      </c>
      <c r="E114" s="31" t="n">
        <v>0</v>
      </c>
      <c r="F114" s="40" t="n">
        <v>1402063</v>
      </c>
      <c r="G114" s="40" t="n">
        <v>1423499</v>
      </c>
      <c r="H114" s="40" t="inlineStr">
        <is>
          <t>-</t>
        </is>
      </c>
      <c r="I114" s="40" t="inlineStr">
        <is>
          <t>-</t>
        </is>
      </c>
      <c r="J114" s="41" t="n">
        <v>0</v>
      </c>
      <c r="K114" s="31" t="inlineStr">
        <is>
          <t>No</t>
        </is>
      </c>
      <c r="L114" s="31" t="n">
        <v>0</v>
      </c>
      <c r="M11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15" ht="184" customHeight="1">
      <c r="A115" s="31" t="inlineStr">
        <is>
          <t>2 Jun</t>
        </is>
      </c>
      <c r="B115" s="31" t="inlineStr">
        <is>
          <t>39328</t>
        </is>
      </c>
      <c r="C115" s="31" t="n">
        <v>557</v>
      </c>
      <c r="D115" s="31" t="n">
        <v>557</v>
      </c>
      <c r="E115" s="31" t="n">
        <v>0</v>
      </c>
      <c r="F115" s="40" t="n">
        <v>533271</v>
      </c>
      <c r="G115" s="40" t="n">
        <v>662310</v>
      </c>
      <c r="H115" s="40" t="inlineStr">
        <is>
          <t>-</t>
        </is>
      </c>
      <c r="I115" s="40" t="inlineStr">
        <is>
          <t>-</t>
        </is>
      </c>
      <c r="J115" s="41" t="n">
        <v>0</v>
      </c>
      <c r="K115" s="31" t="inlineStr">
        <is>
          <t>No</t>
        </is>
      </c>
      <c r="L115" s="31" t="n">
        <v>0</v>
      </c>
      <c r="M11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16" ht="184" customHeight="1">
      <c r="A116" s="31" t="inlineStr">
        <is>
          <t>2 Jun</t>
        </is>
      </c>
      <c r="B116" s="31" t="inlineStr">
        <is>
          <t>39381</t>
        </is>
      </c>
      <c r="C116" s="31" t="n">
        <v>981</v>
      </c>
      <c r="D116" s="31" t="n">
        <v>981</v>
      </c>
      <c r="E116" s="31" t="n">
        <v>0</v>
      </c>
      <c r="F116" s="40" t="n">
        <v>1260544</v>
      </c>
      <c r="G116" s="40" t="n">
        <v>1449752</v>
      </c>
      <c r="H116" s="40" t="inlineStr">
        <is>
          <t>-</t>
        </is>
      </c>
      <c r="I116" s="40" t="inlineStr">
        <is>
          <t>-</t>
        </is>
      </c>
      <c r="J116" s="41" t="n">
        <v>0</v>
      </c>
      <c r="K116" s="31" t="inlineStr">
        <is>
          <t>No</t>
        </is>
      </c>
      <c r="L116" s="31" t="n">
        <v>0</v>
      </c>
      <c r="M11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17" ht="184" customHeight="1">
      <c r="A117" s="31" t="inlineStr">
        <is>
          <t>2 Jun</t>
        </is>
      </c>
      <c r="B117" s="31" t="inlineStr">
        <is>
          <t>39403</t>
        </is>
      </c>
      <c r="C117" s="31" t="n">
        <v>646</v>
      </c>
      <c r="D117" s="31" t="n">
        <v>645</v>
      </c>
      <c r="E117" s="31" t="n">
        <v>0</v>
      </c>
      <c r="F117" s="40" t="n">
        <v>1401363</v>
      </c>
      <c r="G117" s="40" t="n">
        <v>1448863</v>
      </c>
      <c r="H117" s="40" t="inlineStr">
        <is>
          <t>-</t>
        </is>
      </c>
      <c r="I117" s="40" t="inlineStr">
        <is>
          <t>-</t>
        </is>
      </c>
      <c r="J117" s="41" t="n">
        <v>0</v>
      </c>
      <c r="K117" s="31" t="inlineStr">
        <is>
          <t>No</t>
        </is>
      </c>
      <c r="L117" s="31" t="n">
        <v>0</v>
      </c>
      <c r="M11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18" ht="184" customHeight="1">
      <c r="A118" s="31" t="inlineStr">
        <is>
          <t>2 Jun</t>
        </is>
      </c>
      <c r="B118" s="31" t="inlineStr">
        <is>
          <t>52196</t>
        </is>
      </c>
      <c r="C118" s="31" t="n">
        <v>5215</v>
      </c>
      <c r="D118" s="31" t="n">
        <v>5200</v>
      </c>
      <c r="E118" s="31" t="n">
        <v>0</v>
      </c>
      <c r="F118" s="40" t="n">
        <v>137825</v>
      </c>
      <c r="G118" s="40" t="n">
        <v>138922</v>
      </c>
      <c r="H118" s="40" t="inlineStr">
        <is>
          <t>-</t>
        </is>
      </c>
      <c r="I118" s="40" t="inlineStr">
        <is>
          <t>-</t>
        </is>
      </c>
      <c r="J118" s="41" t="n">
        <v>0</v>
      </c>
      <c r="K118" s="31" t="inlineStr">
        <is>
          <t>No</t>
        </is>
      </c>
      <c r="L118" s="31" t="n">
        <v>0</v>
      </c>
      <c r="M11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19">
      <c r="A119" s="16" t="inlineStr">
        <is>
          <t>3 Jun</t>
        </is>
      </c>
      <c r="B119" s="16" t="inlineStr">
        <is>
          <t>39046</t>
        </is>
      </c>
      <c r="C119" s="16" t="n">
        <v>19451</v>
      </c>
      <c r="D119" s="16" t="n">
        <v>19410</v>
      </c>
      <c r="E119" s="16" t="n">
        <v>18417</v>
      </c>
      <c r="F119" s="38" t="n">
        <v>660103</v>
      </c>
      <c r="G119" s="38" t="n">
        <v>1242957</v>
      </c>
      <c r="H119" s="38" t="n">
        <v>699072</v>
      </c>
      <c r="I119" s="38" t="n">
        <v>1242957</v>
      </c>
      <c r="J119" s="19">
        <f>(I119-H119)/1000</f>
        <v/>
      </c>
      <c r="K119" s="16" t="inlineStr">
        <is>
          <t>Yes</t>
        </is>
      </c>
      <c r="L119" s="16" t="n">
        <v>124</v>
      </c>
      <c r="M119" s="39" t="inlineStr">
        <is>
          <t>- (full trip)</t>
        </is>
      </c>
    </row>
    <row r="120">
      <c r="A120" s="16" t="inlineStr">
        <is>
          <t>3 Jun</t>
        </is>
      </c>
      <c r="B120" s="16" t="inlineStr">
        <is>
          <t>37780</t>
        </is>
      </c>
      <c r="C120" s="16" t="n">
        <v>24961</v>
      </c>
      <c r="D120" s="16" t="n">
        <v>24947</v>
      </c>
      <c r="E120" s="16" t="n">
        <v>19748</v>
      </c>
      <c r="F120" s="38" t="n">
        <v>657249</v>
      </c>
      <c r="G120" s="38" t="n">
        <v>1490702</v>
      </c>
      <c r="H120" s="38" t="n">
        <v>699086</v>
      </c>
      <c r="I120" s="38" t="n">
        <v>1242944</v>
      </c>
      <c r="J120" s="19">
        <f>(I120-H120)/1000</f>
        <v/>
      </c>
      <c r="K120" s="16" t="inlineStr">
        <is>
          <t>Yes</t>
        </is>
      </c>
      <c r="L120" s="16" t="n">
        <v>124</v>
      </c>
      <c r="M120" s="39" t="inlineStr">
        <is>
          <t>- (full trip)</t>
        </is>
      </c>
    </row>
    <row r="121">
      <c r="A121" s="16" t="inlineStr">
        <is>
          <t>3 Jun</t>
        </is>
      </c>
      <c r="B121" s="16" t="inlineStr">
        <is>
          <t>37830</t>
        </is>
      </c>
      <c r="C121" s="16" t="n">
        <v>18932</v>
      </c>
      <c r="D121" s="16" t="n">
        <v>18918</v>
      </c>
      <c r="E121" s="16" t="n">
        <v>17672</v>
      </c>
      <c r="F121" s="38" t="n">
        <v>665283</v>
      </c>
      <c r="G121" s="38" t="n">
        <v>1436340</v>
      </c>
      <c r="H121" s="38" t="n">
        <v>699104</v>
      </c>
      <c r="I121" s="38" t="n">
        <v>1242921</v>
      </c>
      <c r="J121" s="19">
        <f>(I121-H121)/1000</f>
        <v/>
      </c>
      <c r="K121" s="16" t="inlineStr">
        <is>
          <t>Yes</t>
        </is>
      </c>
      <c r="L121" s="16" t="n">
        <v>124</v>
      </c>
      <c r="M121" s="39" t="inlineStr">
        <is>
          <t>- (full trip)</t>
        </is>
      </c>
    </row>
    <row r="122">
      <c r="A122" s="16" t="inlineStr">
        <is>
          <t>3 Jun</t>
        </is>
      </c>
      <c r="B122" s="16" t="inlineStr">
        <is>
          <t>30340</t>
        </is>
      </c>
      <c r="C122" s="16" t="n">
        <v>19177</v>
      </c>
      <c r="D122" s="16" t="n">
        <v>19149</v>
      </c>
      <c r="E122" s="16" t="n">
        <v>17961</v>
      </c>
      <c r="F122" s="38" t="n">
        <v>656301</v>
      </c>
      <c r="G122" s="38" t="n">
        <v>1435857</v>
      </c>
      <c r="H122" s="38" t="n">
        <v>699091</v>
      </c>
      <c r="I122" s="38" t="n">
        <v>1242737</v>
      </c>
      <c r="J122" s="19">
        <f>(I122-H122)/1000</f>
        <v/>
      </c>
      <c r="K122" s="16" t="inlineStr">
        <is>
          <t>Yes</t>
        </is>
      </c>
      <c r="L122" s="16" t="n">
        <v>124</v>
      </c>
      <c r="M122" s="39" t="inlineStr">
        <is>
          <t>- (full trip)</t>
        </is>
      </c>
    </row>
    <row r="123">
      <c r="A123" s="16" t="inlineStr">
        <is>
          <t>3 Jun</t>
        </is>
      </c>
      <c r="B123" s="16" t="inlineStr">
        <is>
          <t>37934</t>
        </is>
      </c>
      <c r="C123" s="16" t="n">
        <v>19659</v>
      </c>
      <c r="D123" s="16" t="n">
        <v>19632</v>
      </c>
      <c r="E123" s="16" t="n">
        <v>18013</v>
      </c>
      <c r="F123" s="38" t="n">
        <v>657095</v>
      </c>
      <c r="G123" s="38" t="n">
        <v>1436913</v>
      </c>
      <c r="H123" s="38" t="n">
        <v>699076</v>
      </c>
      <c r="I123" s="38" t="n">
        <v>1240725</v>
      </c>
      <c r="J123" s="19">
        <f>(I123-H123)/1000</f>
        <v/>
      </c>
      <c r="K123" s="16" t="inlineStr">
        <is>
          <t>Yes</t>
        </is>
      </c>
      <c r="L123" s="16" t="n">
        <v>124</v>
      </c>
      <c r="M123" s="39" t="inlineStr">
        <is>
          <t>- (full trip)</t>
        </is>
      </c>
    </row>
    <row r="124">
      <c r="A124" s="16" t="inlineStr">
        <is>
          <t>3 Jun</t>
        </is>
      </c>
      <c r="B124" s="16" t="inlineStr">
        <is>
          <t>39328</t>
        </is>
      </c>
      <c r="C124" s="16" t="n">
        <v>22629</v>
      </c>
      <c r="D124" s="16" t="n">
        <v>22569</v>
      </c>
      <c r="E124" s="16" t="n">
        <v>20568</v>
      </c>
      <c r="F124" s="38" t="n">
        <v>656328</v>
      </c>
      <c r="G124" s="38" t="n">
        <v>1437069</v>
      </c>
      <c r="H124" s="38" t="n">
        <v>699080</v>
      </c>
      <c r="I124" s="38" t="n">
        <v>1240728</v>
      </c>
      <c r="J124" s="19">
        <f>(I124-H124)/1000</f>
        <v/>
      </c>
      <c r="K124" s="16" t="inlineStr">
        <is>
          <t>Yes</t>
        </is>
      </c>
      <c r="L124" s="16" t="n">
        <v>124</v>
      </c>
      <c r="M124" s="39" t="inlineStr">
        <is>
          <t>- (full trip)</t>
        </is>
      </c>
    </row>
    <row r="125">
      <c r="A125" s="16" t="inlineStr">
        <is>
          <t>3 Jun</t>
        </is>
      </c>
      <c r="B125" s="16" t="inlineStr">
        <is>
          <t>30484</t>
        </is>
      </c>
      <c r="C125" s="16" t="n">
        <v>20628</v>
      </c>
      <c r="D125" s="16" t="n">
        <v>20614</v>
      </c>
      <c r="E125" s="16" t="n">
        <v>19830</v>
      </c>
      <c r="F125" s="38" t="n">
        <v>657168</v>
      </c>
      <c r="G125" s="38" t="n">
        <v>1236676</v>
      </c>
      <c r="H125" s="38" t="n">
        <v>699085</v>
      </c>
      <c r="I125" s="38" t="n">
        <v>1236676</v>
      </c>
      <c r="J125" s="19">
        <f>(I125-H125)/1000</f>
        <v/>
      </c>
      <c r="K125" s="16" t="inlineStr">
        <is>
          <t>Yes</t>
        </is>
      </c>
      <c r="L125" s="16" t="n">
        <v>123</v>
      </c>
      <c r="M125" s="39" t="inlineStr">
        <is>
          <t>IBH 265</t>
        </is>
      </c>
    </row>
    <row r="126" ht="34" customHeight="1">
      <c r="A126" s="16" t="inlineStr">
        <is>
          <t>3 Jun</t>
        </is>
      </c>
      <c r="B126" s="16" t="inlineStr">
        <is>
          <t>37885</t>
        </is>
      </c>
      <c r="C126" s="16" t="n">
        <v>20337</v>
      </c>
      <c r="D126" s="16" t="n">
        <v>20286</v>
      </c>
      <c r="E126" s="16" t="n">
        <v>18146</v>
      </c>
      <c r="F126" s="38" t="n">
        <v>738623</v>
      </c>
      <c r="G126" s="38" t="n">
        <v>1508441</v>
      </c>
      <c r="H126" s="38" t="n">
        <v>738623</v>
      </c>
      <c r="I126" s="38" t="n">
        <v>1240723</v>
      </c>
      <c r="J126" s="19">
        <f>(I126-H126)/1000</f>
        <v/>
      </c>
      <c r="K126" s="16" t="inlineStr">
        <is>
          <t>Yes</t>
        </is>
      </c>
      <c r="L126" s="16" t="n">
        <v>116</v>
      </c>
      <c r="M126" s="39" t="inlineStr">
        <is>
          <t>IBH-17, LuniRichha(LNR), IBH-10, Mehidpur Road(MEP), 3.9 KM  from RLK, Rohalkhurd(RLK), LC-3, IBH-1</t>
        </is>
      </c>
    </row>
    <row r="127" ht="64" customHeight="1">
      <c r="A127" s="16" t="inlineStr">
        <is>
          <t>3 Jun</t>
        </is>
      </c>
      <c r="B127" s="16" t="inlineStr">
        <is>
          <t>30821</t>
        </is>
      </c>
      <c r="C127" s="16" t="n">
        <v>22737</v>
      </c>
      <c r="D127" s="16" t="n">
        <v>22701</v>
      </c>
      <c r="E127" s="16" t="n">
        <v>21064</v>
      </c>
      <c r="F127" s="38" t="n">
        <v>657140</v>
      </c>
      <c r="G127" s="38" t="n">
        <v>1169661</v>
      </c>
      <c r="H127" s="38" t="n">
        <v>699083</v>
      </c>
      <c r="I127" s="38" t="n">
        <v>1169661</v>
      </c>
      <c r="J127" s="19">
        <f>(I127-H127)/1000</f>
        <v/>
      </c>
      <c r="K127" s="16" t="inlineStr">
        <is>
          <t>Yes</t>
        </is>
      </c>
      <c r="L127" s="16" t="n">
        <v>108</v>
      </c>
      <c r="M127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128" ht="124" customHeight="1">
      <c r="A128" s="16" t="inlineStr">
        <is>
          <t>3 Jun</t>
        </is>
      </c>
      <c r="B128" s="16" t="inlineStr">
        <is>
          <t>37491</t>
        </is>
      </c>
      <c r="C128" s="16" t="n">
        <v>13978</v>
      </c>
      <c r="D128" s="16" t="n">
        <v>13978</v>
      </c>
      <c r="E128" s="16" t="n">
        <v>13271</v>
      </c>
      <c r="F128" s="38" t="n">
        <v>656405</v>
      </c>
      <c r="G128" s="38" t="n">
        <v>1091796</v>
      </c>
      <c r="H128" s="38" t="n">
        <v>699095</v>
      </c>
      <c r="I128" s="38" t="n">
        <v>1091796</v>
      </c>
      <c r="J128" s="19">
        <f>(I128-H128)/1000</f>
        <v/>
      </c>
      <c r="K128" s="16" t="inlineStr">
        <is>
          <t>Yes</t>
        </is>
      </c>
      <c r="L128" s="16" t="n">
        <v>91</v>
      </c>
      <c r="M12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</t>
        </is>
      </c>
    </row>
    <row r="129" ht="154" customHeight="1">
      <c r="A129" s="16" t="inlineStr">
        <is>
          <t>3 Jun</t>
        </is>
      </c>
      <c r="B129" s="16" t="inlineStr">
        <is>
          <t>37793</t>
        </is>
      </c>
      <c r="C129" s="16" t="n">
        <v>14120</v>
      </c>
      <c r="D129" s="16" t="n">
        <v>14103</v>
      </c>
      <c r="E129" s="16" t="n">
        <v>12599</v>
      </c>
      <c r="F129" s="38" t="n">
        <v>657194</v>
      </c>
      <c r="G129" s="38" t="n">
        <v>1053886</v>
      </c>
      <c r="H129" s="38" t="n">
        <v>699077</v>
      </c>
      <c r="I129" s="38" t="n">
        <v>1053886</v>
      </c>
      <c r="J129" s="19">
        <f>(I129-H129)/1000</f>
        <v/>
      </c>
      <c r="K129" s="16" t="inlineStr">
        <is>
          <t>Yes</t>
        </is>
      </c>
      <c r="L129" s="16" t="n">
        <v>83</v>
      </c>
      <c r="M12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</t>
        </is>
      </c>
    </row>
    <row r="130" ht="169" customHeight="1">
      <c r="A130" s="16" t="inlineStr">
        <is>
          <t>3 Jun</t>
        </is>
      </c>
      <c r="B130" s="16" t="inlineStr">
        <is>
          <t>30464</t>
        </is>
      </c>
      <c r="C130" s="16" t="n">
        <v>13012</v>
      </c>
      <c r="D130" s="16" t="n">
        <v>12363</v>
      </c>
      <c r="E130" s="16" t="n">
        <v>12122</v>
      </c>
      <c r="F130" s="38" t="n">
        <v>696239</v>
      </c>
      <c r="G130" s="38" t="n">
        <v>1029420</v>
      </c>
      <c r="H130" s="38" t="n">
        <v>699087</v>
      </c>
      <c r="I130" s="38" t="n">
        <v>1029420</v>
      </c>
      <c r="J130" s="19">
        <f>(I130-H130)/1000</f>
        <v/>
      </c>
      <c r="K130" s="16" t="inlineStr">
        <is>
          <t>Yes</t>
        </is>
      </c>
      <c r="L130" s="16" t="n">
        <v>77</v>
      </c>
      <c r="M13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131" ht="184" customHeight="1">
      <c r="A131" s="16" t="inlineStr">
        <is>
          <t>3 Jun</t>
        </is>
      </c>
      <c r="B131" s="16" t="inlineStr">
        <is>
          <t>30339</t>
        </is>
      </c>
      <c r="C131" s="16" t="n">
        <v>12172</v>
      </c>
      <c r="D131" s="16" t="n">
        <v>12144</v>
      </c>
      <c r="E131" s="16" t="n">
        <v>11686</v>
      </c>
      <c r="F131" s="38" t="n">
        <v>921256</v>
      </c>
      <c r="G131" s="38" t="n">
        <v>1449291</v>
      </c>
      <c r="H131" s="38" t="n">
        <v>921256</v>
      </c>
      <c r="I131" s="38" t="n">
        <v>1242984</v>
      </c>
      <c r="J131" s="19">
        <f>(I131-H131)/1000</f>
        <v/>
      </c>
      <c r="K131" s="16" t="inlineStr">
        <is>
          <t>Yes</t>
        </is>
      </c>
      <c r="L131" s="16" t="n">
        <v>78</v>
      </c>
      <c r="M131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32" ht="184" customHeight="1">
      <c r="A132" s="16" t="inlineStr">
        <is>
          <t>3 Jun</t>
        </is>
      </c>
      <c r="B132" s="16" t="inlineStr">
        <is>
          <t>30466</t>
        </is>
      </c>
      <c r="C132" s="16" t="n">
        <v>23311</v>
      </c>
      <c r="D132" s="16" t="n">
        <v>23229</v>
      </c>
      <c r="E132" s="16" t="n">
        <v>21904</v>
      </c>
      <c r="F132" s="38" t="n">
        <v>921483</v>
      </c>
      <c r="G132" s="38" t="n">
        <v>1438078</v>
      </c>
      <c r="H132" s="38" t="n">
        <v>921483</v>
      </c>
      <c r="I132" s="38" t="n">
        <v>1242984</v>
      </c>
      <c r="J132" s="19">
        <f>(I132-H132)/1000</f>
        <v/>
      </c>
      <c r="K132" s="16" t="inlineStr">
        <is>
          <t>Yes</t>
        </is>
      </c>
      <c r="L132" s="16" t="n">
        <v>78</v>
      </c>
      <c r="M132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33" ht="184" customHeight="1">
      <c r="A133" s="16" t="inlineStr">
        <is>
          <t>3 Jun</t>
        </is>
      </c>
      <c r="B133" s="16" t="inlineStr">
        <is>
          <t>30335</t>
        </is>
      </c>
      <c r="C133" s="16" t="n">
        <v>12875</v>
      </c>
      <c r="D133" s="16" t="n">
        <v>12865</v>
      </c>
      <c r="E133" s="16" t="n">
        <v>12105</v>
      </c>
      <c r="F133" s="38" t="n">
        <v>921484</v>
      </c>
      <c r="G133" s="38" t="n">
        <v>1448475</v>
      </c>
      <c r="H133" s="38" t="n">
        <v>921484</v>
      </c>
      <c r="I133" s="38" t="n">
        <v>1240709</v>
      </c>
      <c r="J133" s="19">
        <f>(I133-H133)/1000</f>
        <v/>
      </c>
      <c r="K133" s="16" t="inlineStr">
        <is>
          <t>Yes</t>
        </is>
      </c>
      <c r="L133" s="16" t="n">
        <v>78</v>
      </c>
      <c r="M133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34" ht="184" customHeight="1">
      <c r="A134" s="16" t="inlineStr">
        <is>
          <t>3 Jun</t>
        </is>
      </c>
      <c r="B134" s="16" t="inlineStr">
        <is>
          <t>39336</t>
        </is>
      </c>
      <c r="C134" s="16" t="n">
        <v>15013</v>
      </c>
      <c r="D134" s="16" t="n">
        <v>14948</v>
      </c>
      <c r="E134" s="16" t="n">
        <v>12081</v>
      </c>
      <c r="F134" s="38" t="n">
        <v>921490</v>
      </c>
      <c r="G134" s="38" t="n">
        <v>1516175</v>
      </c>
      <c r="H134" s="38" t="n">
        <v>921490</v>
      </c>
      <c r="I134" s="38" t="n">
        <v>1240723</v>
      </c>
      <c r="J134" s="19">
        <f>(I134-H134)/1000</f>
        <v/>
      </c>
      <c r="K134" s="16" t="inlineStr">
        <is>
          <t>Yes</t>
        </is>
      </c>
      <c r="L134" s="16" t="n">
        <v>78</v>
      </c>
      <c r="M134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35" ht="199" customHeight="1">
      <c r="A135" s="16" t="inlineStr">
        <is>
          <t>3 Jun</t>
        </is>
      </c>
      <c r="B135" s="16" t="inlineStr">
        <is>
          <t>30739</t>
        </is>
      </c>
      <c r="C135" s="16" t="n">
        <v>6688</v>
      </c>
      <c r="D135" s="16" t="n">
        <v>6657</v>
      </c>
      <c r="E135" s="16" t="n">
        <v>5859</v>
      </c>
      <c r="F135" s="38" t="n">
        <v>947927</v>
      </c>
      <c r="G135" s="38" t="n">
        <v>1515944</v>
      </c>
      <c r="H135" s="38" t="n">
        <v>947927</v>
      </c>
      <c r="I135" s="38" t="n">
        <v>1242984</v>
      </c>
      <c r="J135" s="19">
        <f>(I135-H135)/1000</f>
        <v/>
      </c>
      <c r="K135" s="16" t="inlineStr">
        <is>
          <t>Yes</t>
        </is>
      </c>
      <c r="L135" s="16" t="n">
        <v>69</v>
      </c>
      <c r="M135" s="39" t="inlineStr">
        <is>
          <t>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  ...(+5 more)</t>
        </is>
      </c>
    </row>
    <row r="136" ht="199" customHeight="1">
      <c r="A136" s="16" t="inlineStr">
        <is>
          <t>3 Jun</t>
        </is>
      </c>
      <c r="B136" s="16" t="inlineStr">
        <is>
          <t>37366</t>
        </is>
      </c>
      <c r="C136" s="16" t="n">
        <v>31860</v>
      </c>
      <c r="D136" s="16" t="n">
        <v>31813</v>
      </c>
      <c r="E136" s="16" t="n">
        <v>31813</v>
      </c>
      <c r="F136" s="38" t="n">
        <v>920686</v>
      </c>
      <c r="G136" s="38" t="n">
        <v>1172539</v>
      </c>
      <c r="H136" s="38" t="n">
        <v>920686</v>
      </c>
      <c r="I136" s="38" t="n">
        <v>1172539</v>
      </c>
      <c r="J136" s="19">
        <f>(I136-H136)/1000</f>
        <v/>
      </c>
      <c r="K136" s="16" t="inlineStr">
        <is>
          <t>Yes</t>
        </is>
      </c>
      <c r="L136" s="16" t="n">
        <v>62</v>
      </c>
      <c r="M136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137" ht="199" customHeight="1">
      <c r="A137" s="16" t="inlineStr">
        <is>
          <t>3 Jun</t>
        </is>
      </c>
      <c r="B137" s="16" t="inlineStr">
        <is>
          <t>30752</t>
        </is>
      </c>
      <c r="C137" s="16" t="n">
        <v>28125</v>
      </c>
      <c r="D137" s="16" t="n">
        <v>28118</v>
      </c>
      <c r="E137" s="16" t="n">
        <v>28118</v>
      </c>
      <c r="F137" s="38" t="n">
        <v>920821</v>
      </c>
      <c r="G137" s="38" t="n">
        <v>1172585</v>
      </c>
      <c r="H137" s="38" t="n">
        <v>920821</v>
      </c>
      <c r="I137" s="38" t="n">
        <v>1172585</v>
      </c>
      <c r="J137" s="19">
        <f>(I137-H137)/1000</f>
        <v/>
      </c>
      <c r="K137" s="16" t="inlineStr">
        <is>
          <t>Yes</t>
        </is>
      </c>
      <c r="L137" s="16" t="n">
        <v>62</v>
      </c>
      <c r="M137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138" ht="184" customHeight="1">
      <c r="A138" s="16" t="inlineStr">
        <is>
          <t>3 Jun</t>
        </is>
      </c>
      <c r="B138" s="16" t="inlineStr">
        <is>
          <t>30791</t>
        </is>
      </c>
      <c r="C138" s="16" t="n">
        <v>9346</v>
      </c>
      <c r="D138" s="16" t="n">
        <v>9332</v>
      </c>
      <c r="E138" s="16" t="n">
        <v>8244</v>
      </c>
      <c r="F138" s="38" t="n">
        <v>660045</v>
      </c>
      <c r="G138" s="38" t="n">
        <v>920614</v>
      </c>
      <c r="H138" s="38" t="n">
        <v>699090</v>
      </c>
      <c r="I138" s="38" t="n">
        <v>920614</v>
      </c>
      <c r="J138" s="19">
        <f>(I138-H138)/1000</f>
        <v/>
      </c>
      <c r="K138" s="16" t="inlineStr">
        <is>
          <t>Yes</t>
        </is>
      </c>
      <c r="L138" s="16" t="n">
        <v>47</v>
      </c>
      <c r="M13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...(+27 more)</t>
        </is>
      </c>
    </row>
    <row r="139" ht="184" customHeight="1">
      <c r="A139" s="16" t="inlineStr">
        <is>
          <t>3 Jun</t>
        </is>
      </c>
      <c r="B139" s="16" t="inlineStr">
        <is>
          <t>37816</t>
        </is>
      </c>
      <c r="C139" s="16" t="n">
        <v>11404</v>
      </c>
      <c r="D139" s="16" t="n">
        <v>11404</v>
      </c>
      <c r="E139" s="16" t="n">
        <v>8304</v>
      </c>
      <c r="F139" s="38" t="n">
        <v>657198</v>
      </c>
      <c r="G139" s="38" t="n">
        <v>911961</v>
      </c>
      <c r="H139" s="38" t="n">
        <v>699085</v>
      </c>
      <c r="I139" s="38" t="n">
        <v>911961</v>
      </c>
      <c r="J139" s="19">
        <f>(I139-H139)/1000</f>
        <v/>
      </c>
      <c r="K139" s="16" t="inlineStr">
        <is>
          <t>Yes</t>
        </is>
      </c>
      <c r="L139" s="16" t="n">
        <v>45</v>
      </c>
      <c r="M13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...(+29 more)</t>
        </is>
      </c>
    </row>
    <row r="140" ht="184" customHeight="1">
      <c r="A140" s="16" t="inlineStr">
        <is>
          <t>3 Jun</t>
        </is>
      </c>
      <c r="B140" s="16" t="inlineStr">
        <is>
          <t>37131</t>
        </is>
      </c>
      <c r="C140" s="16" t="n">
        <v>7195</v>
      </c>
      <c r="D140" s="16" t="n">
        <v>7195</v>
      </c>
      <c r="E140" s="16" t="n">
        <v>6049</v>
      </c>
      <c r="F140" s="38" t="n">
        <v>657166</v>
      </c>
      <c r="G140" s="38" t="n">
        <v>888014</v>
      </c>
      <c r="H140" s="38" t="n">
        <v>699098</v>
      </c>
      <c r="I140" s="38" t="n">
        <v>888014</v>
      </c>
      <c r="J140" s="19">
        <f>(I140-H140)/1000</f>
        <v/>
      </c>
      <c r="K140" s="16" t="inlineStr">
        <is>
          <t>Yes</t>
        </is>
      </c>
      <c r="L140" s="16" t="n">
        <v>40</v>
      </c>
      <c r="M14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...(+34 more)</t>
        </is>
      </c>
    </row>
    <row r="141" ht="184" customHeight="1">
      <c r="A141" s="16" t="inlineStr">
        <is>
          <t>3 Jun</t>
        </is>
      </c>
      <c r="B141" s="16" t="inlineStr">
        <is>
          <t>37248</t>
        </is>
      </c>
      <c r="C141" s="16" t="n">
        <v>10648</v>
      </c>
      <c r="D141" s="16" t="n">
        <v>10609</v>
      </c>
      <c r="E141" s="16" t="n">
        <v>10609</v>
      </c>
      <c r="F141" s="38" t="n">
        <v>920363</v>
      </c>
      <c r="G141" s="38" t="n">
        <v>1028907</v>
      </c>
      <c r="H141" s="38" t="n">
        <v>920363</v>
      </c>
      <c r="I141" s="38" t="n">
        <v>1028907</v>
      </c>
      <c r="J141" s="19">
        <f>(I141-H141)/1000</f>
        <v/>
      </c>
      <c r="K141" s="16" t="inlineStr">
        <is>
          <t>Yes</t>
        </is>
      </c>
      <c r="L141" s="16" t="n">
        <v>31</v>
      </c>
      <c r="M14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142" ht="184" customHeight="1">
      <c r="A142" s="16" t="inlineStr">
        <is>
          <t>3 Jun</t>
        </is>
      </c>
      <c r="B142" s="16" t="inlineStr">
        <is>
          <t>39364</t>
        </is>
      </c>
      <c r="C142" s="16" t="n">
        <v>6901</v>
      </c>
      <c r="D142" s="16" t="n">
        <v>6898</v>
      </c>
      <c r="E142" s="16" t="n">
        <v>4256</v>
      </c>
      <c r="F142" s="38" t="n">
        <v>1133154</v>
      </c>
      <c r="G142" s="38" t="n">
        <v>1490675</v>
      </c>
      <c r="H142" s="38" t="n">
        <v>1133154</v>
      </c>
      <c r="I142" s="38" t="n">
        <v>1240689</v>
      </c>
      <c r="J142" s="19">
        <f>(I142-H142)/1000</f>
        <v/>
      </c>
      <c r="K142" s="16" t="inlineStr">
        <is>
          <t>Yes</t>
        </is>
      </c>
      <c r="L142" s="16" t="n">
        <v>27</v>
      </c>
      <c r="M142" s="39" t="inlineStr">
        <is>
          <t>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  ...(+47 more)</t>
        </is>
      </c>
    </row>
    <row r="143" ht="184" customHeight="1">
      <c r="A143" s="16" t="inlineStr">
        <is>
          <t>3 Jun</t>
        </is>
      </c>
      <c r="B143" s="16" t="inlineStr">
        <is>
          <t>37903</t>
        </is>
      </c>
      <c r="C143" s="16" t="n">
        <v>35</v>
      </c>
      <c r="D143" s="16" t="n">
        <v>33</v>
      </c>
      <c r="E143" s="16" t="n">
        <v>33</v>
      </c>
      <c r="F143" s="38" t="n">
        <v>920815</v>
      </c>
      <c r="G143" s="38" t="n">
        <v>1026486</v>
      </c>
      <c r="H143" s="38" t="n">
        <v>920815</v>
      </c>
      <c r="I143" s="38" t="n">
        <v>1026486</v>
      </c>
      <c r="J143" s="19">
        <f>(I143-H143)/1000</f>
        <v/>
      </c>
      <c r="K143" s="16" t="inlineStr">
        <is>
          <t>Yes</t>
        </is>
      </c>
      <c r="L143" s="16" t="n">
        <v>31</v>
      </c>
      <c r="M14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144" ht="184" customHeight="1">
      <c r="A144" s="16" t="inlineStr">
        <is>
          <t>3 Jun</t>
        </is>
      </c>
      <c r="B144" s="16" t="inlineStr">
        <is>
          <t>37584</t>
        </is>
      </c>
      <c r="C144" s="16" t="n">
        <v>3197</v>
      </c>
      <c r="D144" s="16" t="n">
        <v>3182</v>
      </c>
      <c r="E144" s="16" t="n">
        <v>3182</v>
      </c>
      <c r="F144" s="38" t="n">
        <v>921681</v>
      </c>
      <c r="G144" s="38" t="n">
        <v>1024660</v>
      </c>
      <c r="H144" s="38" t="n">
        <v>921681</v>
      </c>
      <c r="I144" s="38" t="n">
        <v>1024660</v>
      </c>
      <c r="J144" s="19">
        <f>(I144-H144)/1000</f>
        <v/>
      </c>
      <c r="K144" s="16" t="inlineStr">
        <is>
          <t>Yes</t>
        </is>
      </c>
      <c r="L144" s="16" t="n">
        <v>30</v>
      </c>
      <c r="M14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KOTA SOUTH, DakaniyaTalav(DKNT)  ...(+44 more)</t>
        </is>
      </c>
    </row>
    <row r="145" ht="184" customHeight="1">
      <c r="A145" s="16" t="inlineStr">
        <is>
          <t>3 Jun</t>
        </is>
      </c>
      <c r="B145" s="16" t="inlineStr">
        <is>
          <t>30680</t>
        </is>
      </c>
      <c r="C145" s="16" t="n">
        <v>1677</v>
      </c>
      <c r="D145" s="16" t="n">
        <v>1677</v>
      </c>
      <c r="E145" s="16" t="n">
        <v>1497</v>
      </c>
      <c r="F145" s="38" t="n">
        <v>696342</v>
      </c>
      <c r="G145" s="38" t="n">
        <v>735981</v>
      </c>
      <c r="H145" s="38" t="n">
        <v>699077</v>
      </c>
      <c r="I145" s="38" t="n">
        <v>735981</v>
      </c>
      <c r="J145" s="19">
        <f>(I145-H145)/1000</f>
        <v/>
      </c>
      <c r="K145" s="16" t="inlineStr">
        <is>
          <t>Yes</t>
        </is>
      </c>
      <c r="L145" s="16" t="n">
        <v>9</v>
      </c>
      <c r="M14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...(+65 more)</t>
        </is>
      </c>
    </row>
    <row r="146" ht="184" customHeight="1">
      <c r="A146" s="16" t="inlineStr">
        <is>
          <t>3 Jun</t>
        </is>
      </c>
      <c r="B146" s="16" t="inlineStr">
        <is>
          <t>37393</t>
        </is>
      </c>
      <c r="C146" s="16" t="n">
        <v>135</v>
      </c>
      <c r="D146" s="16" t="n">
        <v>135</v>
      </c>
      <c r="E146" s="16" t="n">
        <v>91</v>
      </c>
      <c r="F146" s="38" t="n">
        <v>1224276</v>
      </c>
      <c r="G146" s="38" t="n">
        <v>1246992</v>
      </c>
      <c r="H146" s="38" t="n">
        <v>1224276</v>
      </c>
      <c r="I146" s="38" t="n">
        <v>1243975</v>
      </c>
      <c r="J146" s="19">
        <f>(I146-H146)/1000</f>
        <v/>
      </c>
      <c r="K146" s="16" t="inlineStr">
        <is>
          <t>Yes</t>
        </is>
      </c>
      <c r="L146" s="16" t="n">
        <v>5</v>
      </c>
      <c r="M146" s="39" t="inlineStr">
        <is>
          <t>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  ...(+69 more)</t>
        </is>
      </c>
    </row>
    <row r="147" ht="184" customHeight="1">
      <c r="A147" s="16" t="inlineStr">
        <is>
          <t>3 Jun</t>
        </is>
      </c>
      <c r="B147" s="16" t="inlineStr">
        <is>
          <t>41796</t>
        </is>
      </c>
      <c r="C147" s="16" t="n">
        <v>899</v>
      </c>
      <c r="D147" s="16" t="n">
        <v>847</v>
      </c>
      <c r="E147" s="16" t="n">
        <v>847</v>
      </c>
      <c r="F147" s="38" t="n">
        <v>1227483</v>
      </c>
      <c r="G147" s="38" t="n">
        <v>1242964</v>
      </c>
      <c r="H147" s="38" t="n">
        <v>1227483</v>
      </c>
      <c r="I147" s="38" t="n">
        <v>1242964</v>
      </c>
      <c r="J147" s="19">
        <f>(I147-H147)/1000</f>
        <v/>
      </c>
      <c r="K147" s="16" t="inlineStr">
        <is>
          <t>Yes</t>
        </is>
      </c>
      <c r="L147" s="16" t="n">
        <v>4</v>
      </c>
      <c r="M147" s="39" t="inlineStr">
        <is>
          <t>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  ...(+70 more)</t>
        </is>
      </c>
    </row>
    <row r="148" ht="184" customHeight="1">
      <c r="A148" s="16" t="inlineStr">
        <is>
          <t>3 Jun</t>
        </is>
      </c>
      <c r="B148" s="16" t="inlineStr">
        <is>
          <t>30240</t>
        </is>
      </c>
      <c r="C148" s="16" t="n">
        <v>763</v>
      </c>
      <c r="D148" s="16" t="n">
        <v>644</v>
      </c>
      <c r="E148" s="16" t="n">
        <v>12</v>
      </c>
      <c r="F148" s="38" t="n">
        <v>1240124</v>
      </c>
      <c r="G148" s="38" t="n">
        <v>1437034</v>
      </c>
      <c r="H148" s="38" t="n">
        <v>1240124</v>
      </c>
      <c r="I148" s="38" t="n">
        <v>1243216</v>
      </c>
      <c r="J148" s="19">
        <f>(I148-H148)/1000</f>
        <v/>
      </c>
      <c r="K148" s="16" t="inlineStr">
        <is>
          <t>Yes</t>
        </is>
      </c>
      <c r="L148" s="16" t="n">
        <v>1</v>
      </c>
      <c r="M148" s="39" t="inlineStr">
        <is>
          <t>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  ...(+73 more)</t>
        </is>
      </c>
    </row>
    <row r="149" ht="184" customHeight="1">
      <c r="A149" s="16" t="inlineStr">
        <is>
          <t>3 Jun</t>
        </is>
      </c>
      <c r="B149" s="16" t="inlineStr">
        <is>
          <t>30619</t>
        </is>
      </c>
      <c r="C149" s="16" t="n">
        <v>2738</v>
      </c>
      <c r="D149" s="16" t="n">
        <v>2733</v>
      </c>
      <c r="E149" s="16" t="n">
        <v>2</v>
      </c>
      <c r="F149" s="38" t="n">
        <v>1231779</v>
      </c>
      <c r="G149" s="38" t="n">
        <v>1499300</v>
      </c>
      <c r="H149" s="38" t="n">
        <v>1231779</v>
      </c>
      <c r="I149" s="38" t="n">
        <v>1232626</v>
      </c>
      <c r="J149" s="19">
        <f>(I149-H149)/1000</f>
        <v/>
      </c>
      <c r="K149" s="16" t="inlineStr">
        <is>
          <t>Yes</t>
        </is>
      </c>
      <c r="L149" s="16" t="n">
        <v>1</v>
      </c>
      <c r="M149" s="39" t="inlineStr">
        <is>
          <t>IBH 265, Murhesi Rampur(MSRP),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  ...(+73 more)</t>
        </is>
      </c>
    </row>
    <row r="150" ht="184" customHeight="1">
      <c r="A150" s="31" t="inlineStr">
        <is>
          <t>3 Jun</t>
        </is>
      </c>
      <c r="B150" s="31" t="inlineStr">
        <is>
          <t>30197</t>
        </is>
      </c>
      <c r="C150" s="31" t="n">
        <v>917</v>
      </c>
      <c r="D150" s="31" t="n">
        <v>881</v>
      </c>
      <c r="E150" s="31" t="n">
        <v>0</v>
      </c>
      <c r="F150" s="40" t="n">
        <v>1177</v>
      </c>
      <c r="G150" s="40" t="n">
        <v>5284</v>
      </c>
      <c r="H150" s="40" t="inlineStr">
        <is>
          <t>-</t>
        </is>
      </c>
      <c r="I150" s="40" t="inlineStr">
        <is>
          <t>-</t>
        </is>
      </c>
      <c r="J150" s="41" t="n">
        <v>0</v>
      </c>
      <c r="K150" s="31" t="inlineStr">
        <is>
          <t>No</t>
        </is>
      </c>
      <c r="L150" s="31" t="n">
        <v>0</v>
      </c>
      <c r="M15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51" ht="184" customHeight="1">
      <c r="A151" s="31" t="inlineStr">
        <is>
          <t>3 Jun</t>
        </is>
      </c>
      <c r="B151" s="31" t="inlineStr">
        <is>
          <t>30352</t>
        </is>
      </c>
      <c r="C151" s="31" t="n">
        <v>578</v>
      </c>
      <c r="D151" s="31" t="n">
        <v>578</v>
      </c>
      <c r="E151" s="31" t="n">
        <v>0</v>
      </c>
      <c r="F151" s="40" t="n">
        <v>1401356</v>
      </c>
      <c r="G151" s="40" t="n">
        <v>1448531</v>
      </c>
      <c r="H151" s="40" t="inlineStr">
        <is>
          <t>-</t>
        </is>
      </c>
      <c r="I151" s="40" t="inlineStr">
        <is>
          <t>-</t>
        </is>
      </c>
      <c r="J151" s="41" t="n">
        <v>0</v>
      </c>
      <c r="K151" s="31" t="inlineStr">
        <is>
          <t>No</t>
        </is>
      </c>
      <c r="L151" s="31" t="n">
        <v>0</v>
      </c>
      <c r="M15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52" ht="184" customHeight="1">
      <c r="A152" s="31" t="inlineStr">
        <is>
          <t>3 Jun</t>
        </is>
      </c>
      <c r="B152" s="31" t="inlineStr">
        <is>
          <t>30463</t>
        </is>
      </c>
      <c r="C152" s="31" t="n">
        <v>1406</v>
      </c>
      <c r="D152" s="31" t="n">
        <v>1401</v>
      </c>
      <c r="E152" s="31" t="n">
        <v>0</v>
      </c>
      <c r="F152" s="40" t="n">
        <v>1401323</v>
      </c>
      <c r="G152" s="40" t="n">
        <v>1487253</v>
      </c>
      <c r="H152" s="40" t="inlineStr">
        <is>
          <t>-</t>
        </is>
      </c>
      <c r="I152" s="40" t="inlineStr">
        <is>
          <t>-</t>
        </is>
      </c>
      <c r="J152" s="41" t="n">
        <v>0</v>
      </c>
      <c r="K152" s="31" t="inlineStr">
        <is>
          <t>No</t>
        </is>
      </c>
      <c r="L152" s="31" t="n">
        <v>0</v>
      </c>
      <c r="M15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53" ht="184" customHeight="1">
      <c r="A153" s="31" t="inlineStr">
        <is>
          <t>3 Jun</t>
        </is>
      </c>
      <c r="B153" s="31" t="inlineStr">
        <is>
          <t>30474</t>
        </is>
      </c>
      <c r="C153" s="31" t="n">
        <v>501</v>
      </c>
      <c r="D153" s="31" t="n">
        <v>425</v>
      </c>
      <c r="E153" s="31" t="n">
        <v>0</v>
      </c>
      <c r="F153" s="40" t="n">
        <v>657178</v>
      </c>
      <c r="G153" s="40" t="n">
        <v>695039</v>
      </c>
      <c r="H153" s="40" t="inlineStr">
        <is>
          <t>-</t>
        </is>
      </c>
      <c r="I153" s="40" t="inlineStr">
        <is>
          <t>-</t>
        </is>
      </c>
      <c r="J153" s="41" t="n">
        <v>0</v>
      </c>
      <c r="K153" s="31" t="inlineStr">
        <is>
          <t>No</t>
        </is>
      </c>
      <c r="L153" s="31" t="n">
        <v>0</v>
      </c>
      <c r="M15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54" ht="184" customHeight="1">
      <c r="A154" s="31" t="inlineStr">
        <is>
          <t>3 Jun</t>
        </is>
      </c>
      <c r="B154" s="31" t="inlineStr">
        <is>
          <t>30537</t>
        </is>
      </c>
      <c r="C154" s="31" t="n">
        <v>325</v>
      </c>
      <c r="D154" s="31" t="n">
        <v>324</v>
      </c>
      <c r="E154" s="31" t="n">
        <v>0</v>
      </c>
      <c r="F154" s="40" t="n">
        <v>1401353</v>
      </c>
      <c r="G154" s="40" t="n">
        <v>1436220</v>
      </c>
      <c r="H154" s="40" t="inlineStr">
        <is>
          <t>-</t>
        </is>
      </c>
      <c r="I154" s="40" t="inlineStr">
        <is>
          <t>-</t>
        </is>
      </c>
      <c r="J154" s="41" t="n">
        <v>0</v>
      </c>
      <c r="K154" s="31" t="inlineStr">
        <is>
          <t>No</t>
        </is>
      </c>
      <c r="L154" s="31" t="n">
        <v>0</v>
      </c>
      <c r="M15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55" ht="184" customHeight="1">
      <c r="A155" s="31" t="inlineStr">
        <is>
          <t>3 Jun</t>
        </is>
      </c>
      <c r="B155" s="31" t="inlineStr">
        <is>
          <t>30624</t>
        </is>
      </c>
      <c r="C155" s="31" t="n">
        <v>738</v>
      </c>
      <c r="D155" s="31" t="n">
        <v>725</v>
      </c>
      <c r="E155" s="31" t="n">
        <v>0</v>
      </c>
      <c r="F155" s="40" t="n">
        <v>1401680</v>
      </c>
      <c r="G155" s="40" t="n">
        <v>1485654</v>
      </c>
      <c r="H155" s="40" t="inlineStr">
        <is>
          <t>-</t>
        </is>
      </c>
      <c r="I155" s="40" t="inlineStr">
        <is>
          <t>-</t>
        </is>
      </c>
      <c r="J155" s="41" t="n">
        <v>0</v>
      </c>
      <c r="K155" s="31" t="inlineStr">
        <is>
          <t>No</t>
        </is>
      </c>
      <c r="L155" s="31" t="n">
        <v>0</v>
      </c>
      <c r="M15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56" ht="184" customHeight="1">
      <c r="A156" s="31" t="inlineStr">
        <is>
          <t>3 Jun</t>
        </is>
      </c>
      <c r="B156" s="31" t="inlineStr">
        <is>
          <t>30669</t>
        </is>
      </c>
      <c r="C156" s="31" t="n">
        <v>1</v>
      </c>
      <c r="D156" s="31" t="n">
        <v>1</v>
      </c>
      <c r="E156" s="31" t="n">
        <v>0</v>
      </c>
      <c r="F156" s="40" t="n">
        <v>1260740</v>
      </c>
      <c r="G156" s="40" t="n">
        <v>1260740</v>
      </c>
      <c r="H156" s="40" t="inlineStr">
        <is>
          <t>-</t>
        </is>
      </c>
      <c r="I156" s="40" t="inlineStr">
        <is>
          <t>-</t>
        </is>
      </c>
      <c r="J156" s="41" t="n">
        <v>0</v>
      </c>
      <c r="K156" s="31" t="inlineStr">
        <is>
          <t>No</t>
        </is>
      </c>
      <c r="L156" s="31" t="n">
        <v>0</v>
      </c>
      <c r="M15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57" ht="184" customHeight="1">
      <c r="A157" s="31" t="inlineStr">
        <is>
          <t>3 Jun</t>
        </is>
      </c>
      <c r="B157" s="31" t="inlineStr">
        <is>
          <t>37033</t>
        </is>
      </c>
      <c r="C157" s="31" t="n">
        <v>2257</v>
      </c>
      <c r="D157" s="31" t="n">
        <v>2253</v>
      </c>
      <c r="E157" s="31" t="n">
        <v>0</v>
      </c>
      <c r="F157" s="40" t="n">
        <v>1260439</v>
      </c>
      <c r="G157" s="40" t="n">
        <v>1485773</v>
      </c>
      <c r="H157" s="40" t="inlineStr">
        <is>
          <t>-</t>
        </is>
      </c>
      <c r="I157" s="40" t="inlineStr">
        <is>
          <t>-</t>
        </is>
      </c>
      <c r="J157" s="41" t="n">
        <v>0</v>
      </c>
      <c r="K157" s="31" t="inlineStr">
        <is>
          <t>No</t>
        </is>
      </c>
      <c r="L157" s="31" t="n">
        <v>0</v>
      </c>
      <c r="M15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58" ht="184" customHeight="1">
      <c r="A158" s="31" t="inlineStr">
        <is>
          <t>3 Jun</t>
        </is>
      </c>
      <c r="B158" s="31" t="inlineStr">
        <is>
          <t>37164</t>
        </is>
      </c>
      <c r="C158" s="31" t="n">
        <v>1275</v>
      </c>
      <c r="D158" s="31" t="n">
        <v>1275</v>
      </c>
      <c r="E158" s="31" t="n">
        <v>0</v>
      </c>
      <c r="F158" s="40" t="n">
        <v>657207</v>
      </c>
      <c r="G158" s="40" t="n">
        <v>695489</v>
      </c>
      <c r="H158" s="40" t="inlineStr">
        <is>
          <t>-</t>
        </is>
      </c>
      <c r="I158" s="40" t="inlineStr">
        <is>
          <t>-</t>
        </is>
      </c>
      <c r="J158" s="41" t="n">
        <v>0</v>
      </c>
      <c r="K158" s="31" t="inlineStr">
        <is>
          <t>No</t>
        </is>
      </c>
      <c r="L158" s="31" t="n">
        <v>0</v>
      </c>
      <c r="M15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59" ht="184" customHeight="1">
      <c r="A159" s="31" t="inlineStr">
        <is>
          <t>3 Jun</t>
        </is>
      </c>
      <c r="B159" s="31" t="inlineStr">
        <is>
          <t>37224</t>
        </is>
      </c>
      <c r="C159" s="31" t="n">
        <v>1536</v>
      </c>
      <c r="D159" s="31" t="n">
        <v>1534</v>
      </c>
      <c r="E159" s="31" t="n">
        <v>0</v>
      </c>
      <c r="F159" s="40" t="n">
        <v>1401680</v>
      </c>
      <c r="G159" s="40" t="n">
        <v>1486868</v>
      </c>
      <c r="H159" s="40" t="inlineStr">
        <is>
          <t>-</t>
        </is>
      </c>
      <c r="I159" s="40" t="inlineStr">
        <is>
          <t>-</t>
        </is>
      </c>
      <c r="J159" s="41" t="n">
        <v>0</v>
      </c>
      <c r="K159" s="31" t="inlineStr">
        <is>
          <t>No</t>
        </is>
      </c>
      <c r="L159" s="31" t="n">
        <v>0</v>
      </c>
      <c r="M15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60" ht="184" customHeight="1">
      <c r="A160" s="31" t="inlineStr">
        <is>
          <t>3 Jun</t>
        </is>
      </c>
      <c r="B160" s="31" t="inlineStr">
        <is>
          <t>37251</t>
        </is>
      </c>
      <c r="C160" s="31" t="n">
        <v>4</v>
      </c>
      <c r="D160" s="31" t="n">
        <v>0</v>
      </c>
      <c r="E160" s="31" t="n">
        <v>0</v>
      </c>
      <c r="F160" s="40" t="inlineStr">
        <is>
          <t>-</t>
        </is>
      </c>
      <c r="G160" s="40" t="inlineStr">
        <is>
          <t>-</t>
        </is>
      </c>
      <c r="H160" s="40" t="inlineStr">
        <is>
          <t>-</t>
        </is>
      </c>
      <c r="I160" s="40" t="inlineStr">
        <is>
          <t>-</t>
        </is>
      </c>
      <c r="J160" s="41" t="n">
        <v>0</v>
      </c>
      <c r="K160" s="31" t="inlineStr">
        <is>
          <t>No</t>
        </is>
      </c>
      <c r="L160" s="31" t="n">
        <v>0</v>
      </c>
      <c r="M16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61" ht="184" customHeight="1">
      <c r="A161" s="31" t="inlineStr">
        <is>
          <t>3 Jun</t>
        </is>
      </c>
      <c r="B161" s="31" t="inlineStr">
        <is>
          <t>37322</t>
        </is>
      </c>
      <c r="C161" s="31" t="n">
        <v>480</v>
      </c>
      <c r="D161" s="31" t="n">
        <v>479</v>
      </c>
      <c r="E161" s="31" t="n">
        <v>0</v>
      </c>
      <c r="F161" s="40" t="n">
        <v>1401381</v>
      </c>
      <c r="G161" s="40" t="n">
        <v>1436105</v>
      </c>
      <c r="H161" s="40" t="inlineStr">
        <is>
          <t>-</t>
        </is>
      </c>
      <c r="I161" s="40" t="inlineStr">
        <is>
          <t>-</t>
        </is>
      </c>
      <c r="J161" s="41" t="n">
        <v>0</v>
      </c>
      <c r="K161" s="31" t="inlineStr">
        <is>
          <t>No</t>
        </is>
      </c>
      <c r="L161" s="31" t="n">
        <v>0</v>
      </c>
      <c r="M16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62" ht="184" customHeight="1">
      <c r="A162" s="31" t="inlineStr">
        <is>
          <t>3 Jun</t>
        </is>
      </c>
      <c r="B162" s="31" t="inlineStr">
        <is>
          <t>37325</t>
        </is>
      </c>
      <c r="C162" s="31" t="n">
        <v>292</v>
      </c>
      <c r="D162" s="31" t="n">
        <v>291</v>
      </c>
      <c r="E162" s="31" t="n">
        <v>0</v>
      </c>
      <c r="F162" s="40" t="n">
        <v>1251283</v>
      </c>
      <c r="G162" s="40" t="n">
        <v>1408935</v>
      </c>
      <c r="H162" s="40" t="inlineStr">
        <is>
          <t>-</t>
        </is>
      </c>
      <c r="I162" s="40" t="inlineStr">
        <is>
          <t>-</t>
        </is>
      </c>
      <c r="J162" s="41" t="n">
        <v>0</v>
      </c>
      <c r="K162" s="31" t="inlineStr">
        <is>
          <t>No</t>
        </is>
      </c>
      <c r="L162" s="31" t="n">
        <v>0</v>
      </c>
      <c r="M16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63" ht="184" customHeight="1">
      <c r="A163" s="31" t="inlineStr">
        <is>
          <t>3 Jun</t>
        </is>
      </c>
      <c r="B163" s="31" t="inlineStr">
        <is>
          <t>37356</t>
        </is>
      </c>
      <c r="C163" s="31" t="n">
        <v>5</v>
      </c>
      <c r="D163" s="31" t="n">
        <v>5</v>
      </c>
      <c r="E163" s="31" t="n">
        <v>0</v>
      </c>
      <c r="F163" s="40" t="n">
        <v>1274215</v>
      </c>
      <c r="G163" s="40" t="n">
        <v>1276799</v>
      </c>
      <c r="H163" s="40" t="inlineStr">
        <is>
          <t>-</t>
        </is>
      </c>
      <c r="I163" s="40" t="inlineStr">
        <is>
          <t>-</t>
        </is>
      </c>
      <c r="J163" s="41" t="n">
        <v>0</v>
      </c>
      <c r="K163" s="31" t="inlineStr">
        <is>
          <t>No</t>
        </is>
      </c>
      <c r="L163" s="31" t="n">
        <v>0</v>
      </c>
      <c r="M16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64" ht="184" customHeight="1">
      <c r="A164" s="31" t="inlineStr">
        <is>
          <t>3 Jun</t>
        </is>
      </c>
      <c r="B164" s="31" t="inlineStr">
        <is>
          <t>37437</t>
        </is>
      </c>
      <c r="C164" s="31" t="n">
        <v>1</v>
      </c>
      <c r="D164" s="31" t="n">
        <v>1</v>
      </c>
      <c r="E164" s="31" t="n">
        <v>0</v>
      </c>
      <c r="F164" s="40" t="n">
        <v>1265377</v>
      </c>
      <c r="G164" s="40" t="n">
        <v>1265377</v>
      </c>
      <c r="H164" s="40" t="inlineStr">
        <is>
          <t>-</t>
        </is>
      </c>
      <c r="I164" s="40" t="inlineStr">
        <is>
          <t>-</t>
        </is>
      </c>
      <c r="J164" s="41" t="n">
        <v>0</v>
      </c>
      <c r="K164" s="31" t="inlineStr">
        <is>
          <t>No</t>
        </is>
      </c>
      <c r="L164" s="31" t="n">
        <v>0</v>
      </c>
      <c r="M16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65" ht="184" customHeight="1">
      <c r="A165" s="31" t="inlineStr">
        <is>
          <t>3 Jun</t>
        </is>
      </c>
      <c r="B165" s="31" t="inlineStr">
        <is>
          <t>37569</t>
        </is>
      </c>
      <c r="C165" s="31" t="n">
        <v>493</v>
      </c>
      <c r="D165" s="31" t="n">
        <v>493</v>
      </c>
      <c r="E165" s="31" t="n">
        <v>0</v>
      </c>
      <c r="F165" s="40" t="n">
        <v>1401762</v>
      </c>
      <c r="G165" s="40" t="n">
        <v>1437031</v>
      </c>
      <c r="H165" s="40" t="inlineStr">
        <is>
          <t>-</t>
        </is>
      </c>
      <c r="I165" s="40" t="inlineStr">
        <is>
          <t>-</t>
        </is>
      </c>
      <c r="J165" s="41" t="n">
        <v>0</v>
      </c>
      <c r="K165" s="31" t="inlineStr">
        <is>
          <t>No</t>
        </is>
      </c>
      <c r="L165" s="31" t="n">
        <v>0</v>
      </c>
      <c r="M16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66" ht="184" customHeight="1">
      <c r="A166" s="31" t="inlineStr">
        <is>
          <t>3 Jun</t>
        </is>
      </c>
      <c r="B166" s="31" t="inlineStr">
        <is>
          <t>37628</t>
        </is>
      </c>
      <c r="C166" s="31" t="n">
        <v>506</v>
      </c>
      <c r="D166" s="31" t="n">
        <v>505</v>
      </c>
      <c r="E166" s="31" t="n">
        <v>0</v>
      </c>
      <c r="F166" s="40" t="n">
        <v>1266131</v>
      </c>
      <c r="G166" s="40" t="n">
        <v>1424813</v>
      </c>
      <c r="H166" s="40" t="inlineStr">
        <is>
          <t>-</t>
        </is>
      </c>
      <c r="I166" s="40" t="inlineStr">
        <is>
          <t>-</t>
        </is>
      </c>
      <c r="J166" s="41" t="n">
        <v>0</v>
      </c>
      <c r="K166" s="31" t="inlineStr">
        <is>
          <t>No</t>
        </is>
      </c>
      <c r="L166" s="31" t="n">
        <v>0</v>
      </c>
      <c r="M16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67" ht="184" customHeight="1">
      <c r="A167" s="31" t="inlineStr">
        <is>
          <t>3 Jun</t>
        </is>
      </c>
      <c r="B167" s="31" t="inlineStr">
        <is>
          <t>37853</t>
        </is>
      </c>
      <c r="C167" s="31" t="n">
        <v>370</v>
      </c>
      <c r="D167" s="31" t="n">
        <v>370</v>
      </c>
      <c r="E167" s="31" t="n">
        <v>0</v>
      </c>
      <c r="F167" s="40" t="n">
        <v>1401727</v>
      </c>
      <c r="G167" s="40" t="n">
        <v>1437002</v>
      </c>
      <c r="H167" s="40" t="inlineStr">
        <is>
          <t>-</t>
        </is>
      </c>
      <c r="I167" s="40" t="inlineStr">
        <is>
          <t>-</t>
        </is>
      </c>
      <c r="J167" s="41" t="n">
        <v>0</v>
      </c>
      <c r="K167" s="31" t="inlineStr">
        <is>
          <t>No</t>
        </is>
      </c>
      <c r="L167" s="31" t="n">
        <v>0</v>
      </c>
      <c r="M16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68" ht="184" customHeight="1">
      <c r="A168" s="31" t="inlineStr">
        <is>
          <t>3 Jun</t>
        </is>
      </c>
      <c r="B168" s="31" t="inlineStr">
        <is>
          <t>39351</t>
        </is>
      </c>
      <c r="C168" s="31" t="n">
        <v>728</v>
      </c>
      <c r="D168" s="31" t="n">
        <v>714</v>
      </c>
      <c r="E168" s="31" t="n">
        <v>0</v>
      </c>
      <c r="F168" s="40" t="n">
        <v>1401785</v>
      </c>
      <c r="G168" s="40" t="n">
        <v>1436474</v>
      </c>
      <c r="H168" s="40" t="inlineStr">
        <is>
          <t>-</t>
        </is>
      </c>
      <c r="I168" s="40" t="inlineStr">
        <is>
          <t>-</t>
        </is>
      </c>
      <c r="J168" s="41" t="n">
        <v>0</v>
      </c>
      <c r="K168" s="31" t="inlineStr">
        <is>
          <t>No</t>
        </is>
      </c>
      <c r="L168" s="31" t="n">
        <v>0</v>
      </c>
      <c r="M16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69" ht="184" customHeight="1">
      <c r="A169" s="31" t="inlineStr">
        <is>
          <t>3 Jun</t>
        </is>
      </c>
      <c r="B169" s="31" t="inlineStr">
        <is>
          <t>52196</t>
        </is>
      </c>
      <c r="C169" s="31" t="n">
        <v>1821</v>
      </c>
      <c r="D169" s="31" t="n">
        <v>1791</v>
      </c>
      <c r="E169" s="31" t="n">
        <v>0</v>
      </c>
      <c r="F169" s="40" t="n">
        <v>137528</v>
      </c>
      <c r="G169" s="40" t="n">
        <v>138900</v>
      </c>
      <c r="H169" s="40" t="inlineStr">
        <is>
          <t>-</t>
        </is>
      </c>
      <c r="I169" s="40" t="inlineStr">
        <is>
          <t>-</t>
        </is>
      </c>
      <c r="J169" s="41" t="n">
        <v>0</v>
      </c>
      <c r="K169" s="31" t="inlineStr">
        <is>
          <t>No</t>
        </is>
      </c>
      <c r="L169" s="31" t="n">
        <v>0</v>
      </c>
      <c r="M16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70">
      <c r="A170" s="16" t="inlineStr">
        <is>
          <t>4 Jun</t>
        </is>
      </c>
      <c r="B170" s="16" t="inlineStr">
        <is>
          <t>30223</t>
        </is>
      </c>
      <c r="C170" s="16" t="n">
        <v>22252</v>
      </c>
      <c r="D170" s="16" t="n">
        <v>22221</v>
      </c>
      <c r="E170" s="16" t="n">
        <v>21252</v>
      </c>
      <c r="F170" s="38" t="n">
        <v>658879</v>
      </c>
      <c r="G170" s="38" t="n">
        <v>1242984</v>
      </c>
      <c r="H170" s="38" t="n">
        <v>699085</v>
      </c>
      <c r="I170" s="38" t="n">
        <v>1242984</v>
      </c>
      <c r="J170" s="19">
        <f>(I170-H170)/1000</f>
        <v/>
      </c>
      <c r="K170" s="16" t="inlineStr">
        <is>
          <t>Yes</t>
        </is>
      </c>
      <c r="L170" s="16" t="n">
        <v>124</v>
      </c>
      <c r="M170" s="39" t="inlineStr">
        <is>
          <t>- (full trip)</t>
        </is>
      </c>
    </row>
    <row r="171">
      <c r="A171" s="16" t="inlineStr">
        <is>
          <t>4 Jun</t>
        </is>
      </c>
      <c r="B171" s="16" t="inlineStr">
        <is>
          <t>39514</t>
        </is>
      </c>
      <c r="C171" s="16" t="n">
        <v>24073</v>
      </c>
      <c r="D171" s="16" t="n">
        <v>24060</v>
      </c>
      <c r="E171" s="16" t="n">
        <v>22246</v>
      </c>
      <c r="F171" s="38" t="n">
        <v>657200</v>
      </c>
      <c r="G171" s="38" t="n">
        <v>1484439</v>
      </c>
      <c r="H171" s="38" t="n">
        <v>699085</v>
      </c>
      <c r="I171" s="38" t="n">
        <v>1242969</v>
      </c>
      <c r="J171" s="19">
        <f>(I171-H171)/1000</f>
        <v/>
      </c>
      <c r="K171" s="16" t="inlineStr">
        <is>
          <t>Yes</t>
        </is>
      </c>
      <c r="L171" s="16" t="n">
        <v>124</v>
      </c>
      <c r="M171" s="39" t="inlineStr">
        <is>
          <t>- (full trip)</t>
        </is>
      </c>
    </row>
    <row r="172">
      <c r="A172" s="16" t="inlineStr">
        <is>
          <t>4 Jun</t>
        </is>
      </c>
      <c r="B172" s="16" t="inlineStr">
        <is>
          <t>37163</t>
        </is>
      </c>
      <c r="C172" s="16" t="n">
        <v>37823</v>
      </c>
      <c r="D172" s="16" t="n">
        <v>37769</v>
      </c>
      <c r="E172" s="16" t="n">
        <v>33905</v>
      </c>
      <c r="F172" s="38" t="n">
        <v>656333</v>
      </c>
      <c r="G172" s="38" t="n">
        <v>1499133</v>
      </c>
      <c r="H172" s="38" t="n">
        <v>699090</v>
      </c>
      <c r="I172" s="38" t="n">
        <v>1242919</v>
      </c>
      <c r="J172" s="19">
        <f>(I172-H172)/1000</f>
        <v/>
      </c>
      <c r="K172" s="16" t="inlineStr">
        <is>
          <t>Yes</t>
        </is>
      </c>
      <c r="L172" s="16" t="n">
        <v>124</v>
      </c>
      <c r="M172" s="39" t="inlineStr">
        <is>
          <t>- (full trip)</t>
        </is>
      </c>
    </row>
    <row r="173">
      <c r="A173" s="16" t="inlineStr">
        <is>
          <t>4 Jun</t>
        </is>
      </c>
      <c r="B173" s="16" t="inlineStr">
        <is>
          <t>37816</t>
        </is>
      </c>
      <c r="C173" s="16" t="n">
        <v>22058</v>
      </c>
      <c r="D173" s="16" t="n">
        <v>22025</v>
      </c>
      <c r="E173" s="16" t="n">
        <v>20334</v>
      </c>
      <c r="F173" s="38" t="n">
        <v>657168</v>
      </c>
      <c r="G173" s="38" t="n">
        <v>1431766</v>
      </c>
      <c r="H173" s="38" t="n">
        <v>699083</v>
      </c>
      <c r="I173" s="38" t="n">
        <v>1240722</v>
      </c>
      <c r="J173" s="19">
        <f>(I173-H173)/1000</f>
        <v/>
      </c>
      <c r="K173" s="16" t="inlineStr">
        <is>
          <t>Yes</t>
        </is>
      </c>
      <c r="L173" s="16" t="n">
        <v>124</v>
      </c>
      <c r="M173" s="39" t="inlineStr">
        <is>
          <t>- (full trip)</t>
        </is>
      </c>
    </row>
    <row r="174">
      <c r="A174" s="16" t="inlineStr">
        <is>
          <t>4 Jun</t>
        </is>
      </c>
      <c r="B174" s="16" t="inlineStr">
        <is>
          <t>37885</t>
        </is>
      </c>
      <c r="C174" s="16" t="n">
        <v>8005</v>
      </c>
      <c r="D174" s="16" t="n">
        <v>7762</v>
      </c>
      <c r="E174" s="16" t="n">
        <v>6893</v>
      </c>
      <c r="F174" s="38" t="n">
        <v>657177</v>
      </c>
      <c r="G174" s="38" t="n">
        <v>1239966</v>
      </c>
      <c r="H174" s="38" t="n">
        <v>699071</v>
      </c>
      <c r="I174" s="38" t="n">
        <v>1239966</v>
      </c>
      <c r="J174" s="19">
        <f>(I174-H174)/1000</f>
        <v/>
      </c>
      <c r="K174" s="16" t="inlineStr">
        <is>
          <t>Yes</t>
        </is>
      </c>
      <c r="L174" s="16" t="n">
        <v>124</v>
      </c>
      <c r="M174" s="39" t="inlineStr">
        <is>
          <t>- (full trip)</t>
        </is>
      </c>
    </row>
    <row r="175">
      <c r="A175" s="16" t="inlineStr">
        <is>
          <t>4 Jun</t>
        </is>
      </c>
      <c r="B175" s="16" t="inlineStr">
        <is>
          <t>30739</t>
        </is>
      </c>
      <c r="C175" s="16" t="n">
        <v>11423</v>
      </c>
      <c r="D175" s="16" t="n">
        <v>11417</v>
      </c>
      <c r="E175" s="16" t="n">
        <v>11278</v>
      </c>
      <c r="F175" s="38" t="n">
        <v>696248</v>
      </c>
      <c r="G175" s="38" t="n">
        <v>1232320</v>
      </c>
      <c r="H175" s="38" t="n">
        <v>699115</v>
      </c>
      <c r="I175" s="38" t="n">
        <v>1232320</v>
      </c>
      <c r="J175" s="19">
        <f>(I175-H175)/1000</f>
        <v/>
      </c>
      <c r="K175" s="16" t="inlineStr">
        <is>
          <t>Yes</t>
        </is>
      </c>
      <c r="L175" s="16" t="n">
        <v>122</v>
      </c>
      <c r="M175" s="39" t="inlineStr">
        <is>
          <t>IBH 265, Murhesi Rampur(MSRP)</t>
        </is>
      </c>
    </row>
    <row r="176">
      <c r="A176" s="16" t="inlineStr">
        <is>
          <t>4 Jun</t>
        </is>
      </c>
      <c r="B176" s="16" t="inlineStr">
        <is>
          <t>39046</t>
        </is>
      </c>
      <c r="C176" s="16" t="n">
        <v>23290</v>
      </c>
      <c r="D176" s="16" t="n">
        <v>23281</v>
      </c>
      <c r="E176" s="16" t="n">
        <v>22364</v>
      </c>
      <c r="F176" s="38" t="n">
        <v>713290</v>
      </c>
      <c r="G176" s="38" t="n">
        <v>1474333</v>
      </c>
      <c r="H176" s="38" t="n">
        <v>713290</v>
      </c>
      <c r="I176" s="38" t="n">
        <v>1240715</v>
      </c>
      <c r="J176" s="19">
        <f>(I176-H176)/1000</f>
        <v/>
      </c>
      <c r="K176" s="16" t="inlineStr">
        <is>
          <t>Yes</t>
        </is>
      </c>
      <c r="L176" s="16" t="n">
        <v>120</v>
      </c>
      <c r="M176" s="39" t="inlineStr">
        <is>
          <t>3.9 KM  from RLK, Rohalkhurd(RLK), LC-3, IBH-1</t>
        </is>
      </c>
    </row>
    <row r="177" ht="169" customHeight="1">
      <c r="A177" s="16" t="inlineStr">
        <is>
          <t>4 Jun</t>
        </is>
      </c>
      <c r="B177" s="16" t="inlineStr">
        <is>
          <t>37431</t>
        </is>
      </c>
      <c r="C177" s="16" t="n">
        <v>18336</v>
      </c>
      <c r="D177" s="16" t="n">
        <v>18263</v>
      </c>
      <c r="E177" s="16" t="n">
        <v>17913</v>
      </c>
      <c r="F177" s="38" t="n">
        <v>695617</v>
      </c>
      <c r="G177" s="38" t="n">
        <v>1028908</v>
      </c>
      <c r="H177" s="38" t="n">
        <v>699087</v>
      </c>
      <c r="I177" s="38" t="n">
        <v>1028908</v>
      </c>
      <c r="J177" s="19">
        <f>(I177-H177)/1000</f>
        <v/>
      </c>
      <c r="K177" s="16" t="inlineStr">
        <is>
          <t>Yes</t>
        </is>
      </c>
      <c r="L177" s="16" t="n">
        <v>77</v>
      </c>
      <c r="M17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178" ht="184" customHeight="1">
      <c r="A178" s="16" t="inlineStr">
        <is>
          <t>4 Jun</t>
        </is>
      </c>
      <c r="B178" s="16" t="inlineStr">
        <is>
          <t>30795</t>
        </is>
      </c>
      <c r="C178" s="16" t="n">
        <v>26005</v>
      </c>
      <c r="D178" s="16" t="n">
        <v>25942</v>
      </c>
      <c r="E178" s="16" t="n">
        <v>25942</v>
      </c>
      <c r="F178" s="38" t="n">
        <v>920364</v>
      </c>
      <c r="G178" s="38" t="n">
        <v>1242972</v>
      </c>
      <c r="H178" s="38" t="n">
        <v>920364</v>
      </c>
      <c r="I178" s="38" t="n">
        <v>1242972</v>
      </c>
      <c r="J178" s="19">
        <f>(I178-H178)/1000</f>
        <v/>
      </c>
      <c r="K178" s="16" t="inlineStr">
        <is>
          <t>Yes</t>
        </is>
      </c>
      <c r="L178" s="16" t="n">
        <v>78</v>
      </c>
      <c r="M178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79" ht="184" customHeight="1">
      <c r="A179" s="16" t="inlineStr">
        <is>
          <t>4 Jun</t>
        </is>
      </c>
      <c r="B179" s="16" t="inlineStr">
        <is>
          <t>30339</t>
        </is>
      </c>
      <c r="C179" s="16" t="n">
        <v>20993</v>
      </c>
      <c r="D179" s="16" t="n">
        <v>20904</v>
      </c>
      <c r="E179" s="16" t="n">
        <v>20539</v>
      </c>
      <c r="F179" s="38" t="n">
        <v>920363</v>
      </c>
      <c r="G179" s="38" t="n">
        <v>1436335</v>
      </c>
      <c r="H179" s="38" t="n">
        <v>920363</v>
      </c>
      <c r="I179" s="38" t="n">
        <v>1242964</v>
      </c>
      <c r="J179" s="19">
        <f>(I179-H179)/1000</f>
        <v/>
      </c>
      <c r="K179" s="16" t="inlineStr">
        <is>
          <t>Yes</t>
        </is>
      </c>
      <c r="L179" s="16" t="n">
        <v>78</v>
      </c>
      <c r="M179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80" ht="184" customHeight="1">
      <c r="A180" s="16" t="inlineStr">
        <is>
          <t>4 Jun</t>
        </is>
      </c>
      <c r="B180" s="16" t="inlineStr">
        <is>
          <t>30488</t>
        </is>
      </c>
      <c r="C180" s="16" t="n">
        <v>12803</v>
      </c>
      <c r="D180" s="16" t="n">
        <v>12771</v>
      </c>
      <c r="E180" s="16" t="n">
        <v>11794</v>
      </c>
      <c r="F180" s="38" t="n">
        <v>921254</v>
      </c>
      <c r="G180" s="38" t="n">
        <v>1458007</v>
      </c>
      <c r="H180" s="38" t="n">
        <v>921254</v>
      </c>
      <c r="I180" s="38" t="n">
        <v>1242975</v>
      </c>
      <c r="J180" s="19">
        <f>(I180-H180)/1000</f>
        <v/>
      </c>
      <c r="K180" s="16" t="inlineStr">
        <is>
          <t>Yes</t>
        </is>
      </c>
      <c r="L180" s="16" t="n">
        <v>78</v>
      </c>
      <c r="M180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81" ht="184" customHeight="1">
      <c r="A181" s="16" t="inlineStr">
        <is>
          <t>4 Jun</t>
        </is>
      </c>
      <c r="B181" s="16" t="inlineStr">
        <is>
          <t>30466</t>
        </is>
      </c>
      <c r="C181" s="16" t="n">
        <v>14642</v>
      </c>
      <c r="D181" s="16" t="n">
        <v>14631</v>
      </c>
      <c r="E181" s="16" t="n">
        <v>13630</v>
      </c>
      <c r="F181" s="38" t="n">
        <v>920542</v>
      </c>
      <c r="G181" s="38" t="n">
        <v>1458058</v>
      </c>
      <c r="H181" s="38" t="n">
        <v>920542</v>
      </c>
      <c r="I181" s="38" t="n">
        <v>1240565</v>
      </c>
      <c r="J181" s="19">
        <f>(I181-H181)/1000</f>
        <v/>
      </c>
      <c r="K181" s="16" t="inlineStr">
        <is>
          <t>Yes</t>
        </is>
      </c>
      <c r="L181" s="16" t="n">
        <v>78</v>
      </c>
      <c r="M181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82" ht="184" customHeight="1">
      <c r="A182" s="16" t="inlineStr">
        <is>
          <t>4 Jun</t>
        </is>
      </c>
      <c r="B182" s="16" t="inlineStr">
        <is>
          <t>39565</t>
        </is>
      </c>
      <c r="C182" s="16" t="n">
        <v>10617</v>
      </c>
      <c r="D182" s="16" t="n">
        <v>10581</v>
      </c>
      <c r="E182" s="16" t="n">
        <v>9719</v>
      </c>
      <c r="F182" s="38" t="n">
        <v>921489</v>
      </c>
      <c r="G182" s="38" t="n">
        <v>1437035</v>
      </c>
      <c r="H182" s="38" t="n">
        <v>921489</v>
      </c>
      <c r="I182" s="38" t="n">
        <v>1240722</v>
      </c>
      <c r="J182" s="19">
        <f>(I182-H182)/1000</f>
        <v/>
      </c>
      <c r="K182" s="16" t="inlineStr">
        <is>
          <t>Yes</t>
        </is>
      </c>
      <c r="L182" s="16" t="n">
        <v>78</v>
      </c>
      <c r="M182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83" ht="184" customHeight="1">
      <c r="A183" s="16" t="inlineStr">
        <is>
          <t>4 Jun</t>
        </is>
      </c>
      <c r="B183" s="16" t="inlineStr">
        <is>
          <t>30680</t>
        </is>
      </c>
      <c r="C183" s="16" t="n">
        <v>11396</v>
      </c>
      <c r="D183" s="16" t="n">
        <v>11356</v>
      </c>
      <c r="E183" s="16" t="n">
        <v>11356</v>
      </c>
      <c r="F183" s="38" t="n">
        <v>735981</v>
      </c>
      <c r="G183" s="38" t="n">
        <v>1028911</v>
      </c>
      <c r="H183" s="38" t="n">
        <v>735981</v>
      </c>
      <c r="I183" s="38" t="n">
        <v>1028911</v>
      </c>
      <c r="J183" s="19">
        <f>(I183-H183)/1000</f>
        <v/>
      </c>
      <c r="K183" s="16" t="inlineStr">
        <is>
          <t>Yes</t>
        </is>
      </c>
      <c r="L183" s="16" t="n">
        <v>69</v>
      </c>
      <c r="M18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IBH-17, LuniRichha(LNR), IBH-10  ...(+5 more)</t>
        </is>
      </c>
    </row>
    <row r="184" ht="199" customHeight="1">
      <c r="A184" s="16" t="inlineStr">
        <is>
          <t>4 Jun</t>
        </is>
      </c>
      <c r="B184" s="16" t="inlineStr">
        <is>
          <t>37793</t>
        </is>
      </c>
      <c r="C184" s="16" t="n">
        <v>17636</v>
      </c>
      <c r="D184" s="16" t="n">
        <v>17595</v>
      </c>
      <c r="E184" s="16" t="n">
        <v>15521</v>
      </c>
      <c r="F184" s="38" t="n">
        <v>972361</v>
      </c>
      <c r="G184" s="38" t="n">
        <v>1487445</v>
      </c>
      <c r="H184" s="38" t="n">
        <v>972361</v>
      </c>
      <c r="I184" s="38" t="n">
        <v>1242950</v>
      </c>
      <c r="J184" s="19">
        <f>(I184-H184)/1000</f>
        <v/>
      </c>
      <c r="K184" s="16" t="inlineStr">
        <is>
          <t>Yes</t>
        </is>
      </c>
      <c r="L184" s="16" t="n">
        <v>62</v>
      </c>
      <c r="M184" s="39" t="inlineStr">
        <is>
          <t>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185" ht="199" customHeight="1">
      <c r="A185" s="16" t="inlineStr">
        <is>
          <t>4 Jun</t>
        </is>
      </c>
      <c r="B185" s="16" t="inlineStr">
        <is>
          <t>30752</t>
        </is>
      </c>
      <c r="C185" s="16" t="n">
        <v>32196</v>
      </c>
      <c r="D185" s="16" t="n">
        <v>32184</v>
      </c>
      <c r="E185" s="16" t="n">
        <v>32184</v>
      </c>
      <c r="F185" s="38" t="n">
        <v>920675</v>
      </c>
      <c r="G185" s="38" t="n">
        <v>1172539</v>
      </c>
      <c r="H185" s="38" t="n">
        <v>920675</v>
      </c>
      <c r="I185" s="38" t="n">
        <v>1172539</v>
      </c>
      <c r="J185" s="19">
        <f>(I185-H185)/1000</f>
        <v/>
      </c>
      <c r="K185" s="16" t="inlineStr">
        <is>
          <t>Yes</t>
        </is>
      </c>
      <c r="L185" s="16" t="n">
        <v>62</v>
      </c>
      <c r="M185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186" ht="199" customHeight="1">
      <c r="A186" s="16" t="inlineStr">
        <is>
          <t>4 Jun</t>
        </is>
      </c>
      <c r="B186" s="16" t="inlineStr">
        <is>
          <t>30177</t>
        </is>
      </c>
      <c r="C186" s="16" t="n">
        <v>20282</v>
      </c>
      <c r="D186" s="16" t="n">
        <v>20268</v>
      </c>
      <c r="E186" s="16" t="n">
        <v>20268</v>
      </c>
      <c r="F186" s="38" t="n">
        <v>921743</v>
      </c>
      <c r="G186" s="38" t="n">
        <v>1172936</v>
      </c>
      <c r="H186" s="38" t="n">
        <v>921743</v>
      </c>
      <c r="I186" s="38" t="n">
        <v>1172936</v>
      </c>
      <c r="J186" s="19">
        <f>(I186-H186)/1000</f>
        <v/>
      </c>
      <c r="K186" s="16" t="inlineStr">
        <is>
          <t>Yes</t>
        </is>
      </c>
      <c r="L186" s="16" t="n">
        <v>63</v>
      </c>
      <c r="M186" s="39" t="inlineStr">
        <is>
          <t>IBH 265, Murhesi Rampur(MSRP), IBH/LC-258, Jajjanpatti(JJA), DhaurmuiJaghina(DUM), IBH-247, Bharatpur Jn.(BTE), IBH-242, Sewar(SWAR), IBH-JCU, LC-232, Pingora(PNGR), IBH-229, 2.35 KM from KEV, Kela Devi(KEV),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  ...(+11 more)</t>
        </is>
      </c>
    </row>
    <row r="187" ht="199" customHeight="1">
      <c r="A187" s="16" t="inlineStr">
        <is>
          <t>4 Jun</t>
        </is>
      </c>
      <c r="B187" s="16" t="inlineStr">
        <is>
          <t>39252</t>
        </is>
      </c>
      <c r="C187" s="16" t="n">
        <v>11789</v>
      </c>
      <c r="D187" s="16" t="n">
        <v>11751</v>
      </c>
      <c r="E187" s="16" t="n">
        <v>10140</v>
      </c>
      <c r="F187" s="38" t="n">
        <v>1009528</v>
      </c>
      <c r="G187" s="38" t="n">
        <v>1490751</v>
      </c>
      <c r="H187" s="38" t="n">
        <v>1009528</v>
      </c>
      <c r="I187" s="38" t="n">
        <v>1242970</v>
      </c>
      <c r="J187" s="19">
        <f>(I187-H187)/1000</f>
        <v/>
      </c>
      <c r="K187" s="16" t="inlineStr">
        <is>
          <t>Yes</t>
        </is>
      </c>
      <c r="L187" s="16" t="n">
        <v>54</v>
      </c>
      <c r="M187" s="39" t="inlineStr">
        <is>
          <t>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  ...(+20 more)</t>
        </is>
      </c>
    </row>
    <row r="188" ht="199" customHeight="1">
      <c r="A188" s="16" t="inlineStr">
        <is>
          <t>4 Jun</t>
        </is>
      </c>
      <c r="B188" s="16" t="inlineStr">
        <is>
          <t>37361</t>
        </is>
      </c>
      <c r="C188" s="16" t="n">
        <v>7122</v>
      </c>
      <c r="D188" s="16" t="n">
        <v>7110</v>
      </c>
      <c r="E188" s="16" t="n">
        <v>7110</v>
      </c>
      <c r="F188" s="38" t="n">
        <v>934760</v>
      </c>
      <c r="G188" s="38" t="n">
        <v>1163745</v>
      </c>
      <c r="H188" s="38" t="n">
        <v>934760</v>
      </c>
      <c r="I188" s="38" t="n">
        <v>1163745</v>
      </c>
      <c r="J188" s="19">
        <f>(I188-H188)/1000</f>
        <v/>
      </c>
      <c r="K188" s="16" t="inlineStr">
        <is>
          <t>Yes</t>
        </is>
      </c>
      <c r="L188" s="16" t="n">
        <v>55</v>
      </c>
      <c r="M18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  ...(+19 more)</t>
        </is>
      </c>
    </row>
    <row r="189" ht="184" customHeight="1">
      <c r="A189" s="16" t="inlineStr">
        <is>
          <t>4 Jun</t>
        </is>
      </c>
      <c r="B189" s="16" t="inlineStr">
        <is>
          <t>30215</t>
        </is>
      </c>
      <c r="C189" s="16" t="n">
        <v>8401</v>
      </c>
      <c r="D189" s="16" t="n">
        <v>8401</v>
      </c>
      <c r="E189" s="16" t="n">
        <v>7576</v>
      </c>
      <c r="F189" s="38" t="n">
        <v>659710</v>
      </c>
      <c r="G189" s="38" t="n">
        <v>921416</v>
      </c>
      <c r="H189" s="38" t="n">
        <v>699086</v>
      </c>
      <c r="I189" s="38" t="n">
        <v>921416</v>
      </c>
      <c r="J189" s="19">
        <f>(I189-H189)/1000</f>
        <v/>
      </c>
      <c r="K189" s="16" t="inlineStr">
        <is>
          <t>Yes</t>
        </is>
      </c>
      <c r="L189" s="16" t="n">
        <v>47</v>
      </c>
      <c r="M18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...(+27 more)</t>
        </is>
      </c>
    </row>
    <row r="190" ht="184" customHeight="1">
      <c r="A190" s="16" t="inlineStr">
        <is>
          <t>4 Jun</t>
        </is>
      </c>
      <c r="B190" s="16" t="inlineStr">
        <is>
          <t>37903</t>
        </is>
      </c>
      <c r="C190" s="16" t="n">
        <v>71</v>
      </c>
      <c r="D190" s="16" t="n">
        <v>67</v>
      </c>
      <c r="E190" s="16" t="n">
        <v>59</v>
      </c>
      <c r="F190" s="38" t="n">
        <v>695658</v>
      </c>
      <c r="G190" s="38" t="n">
        <v>920815</v>
      </c>
      <c r="H190" s="38" t="n">
        <v>702232</v>
      </c>
      <c r="I190" s="38" t="n">
        <v>920815</v>
      </c>
      <c r="J190" s="19">
        <f>(I190-H190)/1000</f>
        <v/>
      </c>
      <c r="K190" s="16" t="inlineStr">
        <is>
          <t>Yes</t>
        </is>
      </c>
      <c r="L190" s="16" t="n">
        <v>47</v>
      </c>
      <c r="M19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...(+27 more)</t>
        </is>
      </c>
    </row>
    <row r="191" ht="184" customHeight="1">
      <c r="A191" s="16" t="inlineStr">
        <is>
          <t>4 Jun</t>
        </is>
      </c>
      <c r="B191" s="16" t="inlineStr">
        <is>
          <t>37366</t>
        </is>
      </c>
      <c r="C191" s="16" t="n">
        <v>12763</v>
      </c>
      <c r="D191" s="16" t="n">
        <v>12759</v>
      </c>
      <c r="E191" s="16" t="n">
        <v>12759</v>
      </c>
      <c r="F191" s="38" t="n">
        <v>920687</v>
      </c>
      <c r="G191" s="38" t="n">
        <v>1112589</v>
      </c>
      <c r="H191" s="38" t="n">
        <v>920687</v>
      </c>
      <c r="I191" s="38" t="n">
        <v>1112589</v>
      </c>
      <c r="J191" s="19">
        <f>(I191-H191)/1000</f>
        <v/>
      </c>
      <c r="K191" s="16" t="inlineStr">
        <is>
          <t>Yes</t>
        </is>
      </c>
      <c r="L191" s="16" t="n">
        <v>49</v>
      </c>
      <c r="M19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  ...(+25 more)</t>
        </is>
      </c>
    </row>
    <row r="192" ht="184" customHeight="1">
      <c r="A192" s="16" t="inlineStr">
        <is>
          <t>4 Jun</t>
        </is>
      </c>
      <c r="B192" s="16" t="inlineStr">
        <is>
          <t>37340</t>
        </is>
      </c>
      <c r="C192" s="16" t="n">
        <v>388</v>
      </c>
      <c r="D192" s="16" t="n">
        <v>388</v>
      </c>
      <c r="E192" s="16" t="n">
        <v>66</v>
      </c>
      <c r="F192" s="38" t="n">
        <v>1125760</v>
      </c>
      <c r="G192" s="38" t="n">
        <v>1331837</v>
      </c>
      <c r="H192" s="38" t="n">
        <v>1125760</v>
      </c>
      <c r="I192" s="38" t="n">
        <v>1243870</v>
      </c>
      <c r="J192" s="19">
        <f>(I192-H192)/1000</f>
        <v/>
      </c>
      <c r="K192" s="16" t="inlineStr">
        <is>
          <t>Yes</t>
        </is>
      </c>
      <c r="L192" s="16" t="n">
        <v>28</v>
      </c>
      <c r="M192" s="39" t="inlineStr">
        <is>
          <t>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  ...(+46 more)</t>
        </is>
      </c>
    </row>
    <row r="193" ht="184" customHeight="1">
      <c r="A193" s="16" t="inlineStr">
        <is>
          <t>4 Jun</t>
        </is>
      </c>
      <c r="B193" s="16" t="inlineStr">
        <is>
          <t>37248</t>
        </is>
      </c>
      <c r="C193" s="16" t="n">
        <v>10898</v>
      </c>
      <c r="D193" s="16" t="n">
        <v>10848</v>
      </c>
      <c r="E193" s="16" t="n">
        <v>10848</v>
      </c>
      <c r="F193" s="38" t="n">
        <v>920368</v>
      </c>
      <c r="G193" s="38" t="n">
        <v>1028910</v>
      </c>
      <c r="H193" s="38" t="n">
        <v>920368</v>
      </c>
      <c r="I193" s="38" t="n">
        <v>1028910</v>
      </c>
      <c r="J193" s="19">
        <f>(I193-H193)/1000</f>
        <v/>
      </c>
      <c r="K193" s="16" t="inlineStr">
        <is>
          <t>Yes</t>
        </is>
      </c>
      <c r="L193" s="16" t="n">
        <v>31</v>
      </c>
      <c r="M19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194" ht="184" customHeight="1">
      <c r="A194" s="16" t="inlineStr">
        <is>
          <t>4 Jun</t>
        </is>
      </c>
      <c r="B194" s="16" t="inlineStr">
        <is>
          <t>37229</t>
        </is>
      </c>
      <c r="C194" s="16" t="n">
        <v>4078</v>
      </c>
      <c r="D194" s="16" t="n">
        <v>4064</v>
      </c>
      <c r="E194" s="16" t="n">
        <v>4064</v>
      </c>
      <c r="F194" s="38" t="n">
        <v>921047</v>
      </c>
      <c r="G194" s="38" t="n">
        <v>1028893</v>
      </c>
      <c r="H194" s="38" t="n">
        <v>921047</v>
      </c>
      <c r="I194" s="38" t="n">
        <v>1028893</v>
      </c>
      <c r="J194" s="19">
        <f>(I194-H194)/1000</f>
        <v/>
      </c>
      <c r="K194" s="16" t="inlineStr">
        <is>
          <t>Yes</t>
        </is>
      </c>
      <c r="L194" s="16" t="n">
        <v>31</v>
      </c>
      <c r="M19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195" ht="184" customHeight="1">
      <c r="A195" s="16" t="inlineStr">
        <is>
          <t>4 Jun</t>
        </is>
      </c>
      <c r="B195" s="16" t="inlineStr">
        <is>
          <t>37056</t>
        </is>
      </c>
      <c r="C195" s="16" t="n">
        <v>4083</v>
      </c>
      <c r="D195" s="16" t="n">
        <v>4054</v>
      </c>
      <c r="E195" s="16" t="n">
        <v>4054</v>
      </c>
      <c r="F195" s="38" t="n">
        <v>920368</v>
      </c>
      <c r="G195" s="38" t="n">
        <v>1027899</v>
      </c>
      <c r="H195" s="38" t="n">
        <v>920368</v>
      </c>
      <c r="I195" s="38" t="n">
        <v>1027899</v>
      </c>
      <c r="J195" s="19">
        <f>(I195-H195)/1000</f>
        <v/>
      </c>
      <c r="K195" s="16" t="inlineStr">
        <is>
          <t>Yes</t>
        </is>
      </c>
      <c r="L195" s="16" t="n">
        <v>31</v>
      </c>
      <c r="M19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196" ht="184" customHeight="1">
      <c r="A196" s="16" t="inlineStr">
        <is>
          <t>4 Jun</t>
        </is>
      </c>
      <c r="B196" s="16" t="inlineStr">
        <is>
          <t>37786</t>
        </is>
      </c>
      <c r="C196" s="16" t="n">
        <v>178</v>
      </c>
      <c r="D196" s="16" t="n">
        <v>177</v>
      </c>
      <c r="E196" s="16" t="n">
        <v>44</v>
      </c>
      <c r="F196" s="38" t="n">
        <v>1231043</v>
      </c>
      <c r="G196" s="38" t="n">
        <v>1261913</v>
      </c>
      <c r="H196" s="38" t="n">
        <v>1231043</v>
      </c>
      <c r="I196" s="38" t="n">
        <v>1243582</v>
      </c>
      <c r="J196" s="19">
        <f>(I196-H196)/1000</f>
        <v/>
      </c>
      <c r="K196" s="16" t="inlineStr">
        <is>
          <t>Yes</t>
        </is>
      </c>
      <c r="L196" s="16" t="n">
        <v>3</v>
      </c>
      <c r="M196" s="39" t="inlineStr">
        <is>
          <t>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  ...(+71 more)</t>
        </is>
      </c>
    </row>
    <row r="197" ht="184" customHeight="1">
      <c r="A197" s="16" t="inlineStr">
        <is>
          <t>4 Jun</t>
        </is>
      </c>
      <c r="B197" s="16" t="inlineStr">
        <is>
          <t>30511</t>
        </is>
      </c>
      <c r="C197" s="16" t="n">
        <v>711</v>
      </c>
      <c r="D197" s="16" t="n">
        <v>480</v>
      </c>
      <c r="E197" s="16" t="n">
        <v>206</v>
      </c>
      <c r="F197" s="38" t="n">
        <v>662</v>
      </c>
      <c r="G197" s="38" t="n">
        <v>926693</v>
      </c>
      <c r="H197" s="38" t="n">
        <v>922566</v>
      </c>
      <c r="I197" s="38" t="n">
        <v>926693</v>
      </c>
      <c r="J197" s="19">
        <f>(I197-H197)/1000</f>
        <v/>
      </c>
      <c r="K197" s="16" t="inlineStr">
        <is>
          <t>Yes</t>
        </is>
      </c>
      <c r="L197" s="16" t="n">
        <v>3</v>
      </c>
      <c r="M19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...(+71 more)</t>
        </is>
      </c>
    </row>
    <row r="198" ht="184" customHeight="1">
      <c r="A198" s="16" t="inlineStr">
        <is>
          <t>4 Jun</t>
        </is>
      </c>
      <c r="B198" s="16" t="inlineStr">
        <is>
          <t>37031</t>
        </is>
      </c>
      <c r="C198" s="16" t="n">
        <v>329</v>
      </c>
      <c r="D198" s="16" t="n">
        <v>320</v>
      </c>
      <c r="E198" s="16" t="n">
        <v>320</v>
      </c>
      <c r="F198" s="38" t="n">
        <v>921756</v>
      </c>
      <c r="G198" s="38" t="n">
        <v>924097</v>
      </c>
      <c r="H198" s="38" t="n">
        <v>921756</v>
      </c>
      <c r="I198" s="38" t="n">
        <v>924097</v>
      </c>
      <c r="J198" s="19">
        <f>(I198-H198)/1000</f>
        <v/>
      </c>
      <c r="K198" s="16" t="inlineStr">
        <is>
          <t>Yes</t>
        </is>
      </c>
      <c r="L198" s="16" t="n">
        <v>2</v>
      </c>
      <c r="M19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...(+72 more)</t>
        </is>
      </c>
    </row>
    <row r="199" ht="184" customHeight="1">
      <c r="A199" s="16" t="inlineStr">
        <is>
          <t>4 Jun</t>
        </is>
      </c>
      <c r="B199" s="16" t="inlineStr">
        <is>
          <t>37393</t>
        </is>
      </c>
      <c r="C199" s="16" t="n">
        <v>33</v>
      </c>
      <c r="D199" s="16" t="n">
        <v>33</v>
      </c>
      <c r="E199" s="16" t="n">
        <v>16</v>
      </c>
      <c r="F199" s="38" t="n">
        <v>1242192</v>
      </c>
      <c r="G199" s="38" t="n">
        <v>1247524</v>
      </c>
      <c r="H199" s="38" t="n">
        <v>1242192</v>
      </c>
      <c r="I199" s="38" t="n">
        <v>1243850</v>
      </c>
      <c r="J199" s="19">
        <f>(I199-H199)/1000</f>
        <v/>
      </c>
      <c r="K199" s="16" t="inlineStr">
        <is>
          <t>Yes</t>
        </is>
      </c>
      <c r="L199" s="16" t="n">
        <v>1</v>
      </c>
      <c r="M199" s="39" t="inlineStr">
        <is>
          <t>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  ...(+73 more)</t>
        </is>
      </c>
    </row>
    <row r="200" ht="184" customHeight="1">
      <c r="A200" s="31" t="inlineStr">
        <is>
          <t>4 Jun</t>
        </is>
      </c>
      <c r="B200" s="31" t="inlineStr">
        <is>
          <t>30206</t>
        </is>
      </c>
      <c r="C200" s="31" t="n">
        <v>2193</v>
      </c>
      <c r="D200" s="31" t="n">
        <v>2187</v>
      </c>
      <c r="E200" s="31" t="n">
        <v>0</v>
      </c>
      <c r="F200" s="40" t="n">
        <v>1401374</v>
      </c>
      <c r="G200" s="40" t="n">
        <v>1508553</v>
      </c>
      <c r="H200" s="40" t="inlineStr">
        <is>
          <t>-</t>
        </is>
      </c>
      <c r="I200" s="40" t="inlineStr">
        <is>
          <t>-</t>
        </is>
      </c>
      <c r="J200" s="41" t="n">
        <v>0</v>
      </c>
      <c r="K200" s="31" t="inlineStr">
        <is>
          <t>No</t>
        </is>
      </c>
      <c r="L200" s="31" t="n">
        <v>0</v>
      </c>
      <c r="M20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1" ht="184" customHeight="1">
      <c r="A201" s="31" t="inlineStr">
        <is>
          <t>4 Jun</t>
        </is>
      </c>
      <c r="B201" s="31" t="inlineStr">
        <is>
          <t>30428</t>
        </is>
      </c>
      <c r="C201" s="31" t="n">
        <v>926</v>
      </c>
      <c r="D201" s="31" t="n">
        <v>925</v>
      </c>
      <c r="E201" s="31" t="n">
        <v>0</v>
      </c>
      <c r="F201" s="40" t="n">
        <v>1401331</v>
      </c>
      <c r="G201" s="40" t="n">
        <v>1485698</v>
      </c>
      <c r="H201" s="40" t="inlineStr">
        <is>
          <t>-</t>
        </is>
      </c>
      <c r="I201" s="40" t="inlineStr">
        <is>
          <t>-</t>
        </is>
      </c>
      <c r="J201" s="41" t="n">
        <v>0</v>
      </c>
      <c r="K201" s="31" t="inlineStr">
        <is>
          <t>No</t>
        </is>
      </c>
      <c r="L201" s="31" t="n">
        <v>0</v>
      </c>
      <c r="M20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2" ht="184" customHeight="1">
      <c r="A202" s="31" t="inlineStr">
        <is>
          <t>4 Jun</t>
        </is>
      </c>
      <c r="B202" s="31" t="inlineStr">
        <is>
          <t>30451</t>
        </is>
      </c>
      <c r="C202" s="31" t="n">
        <v>181</v>
      </c>
      <c r="D202" s="31" t="n">
        <v>180</v>
      </c>
      <c r="E202" s="31" t="n">
        <v>0</v>
      </c>
      <c r="F202" s="40" t="n">
        <v>1401813</v>
      </c>
      <c r="G202" s="40" t="n">
        <v>1436741</v>
      </c>
      <c r="H202" s="40" t="inlineStr">
        <is>
          <t>-</t>
        </is>
      </c>
      <c r="I202" s="40" t="inlineStr">
        <is>
          <t>-</t>
        </is>
      </c>
      <c r="J202" s="41" t="n">
        <v>0</v>
      </c>
      <c r="K202" s="31" t="inlineStr">
        <is>
          <t>No</t>
        </is>
      </c>
      <c r="L202" s="31" t="n">
        <v>0</v>
      </c>
      <c r="M20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3" ht="184" customHeight="1">
      <c r="A203" s="31" t="inlineStr">
        <is>
          <t>4 Jun</t>
        </is>
      </c>
      <c r="B203" s="31" t="inlineStr">
        <is>
          <t>30542</t>
        </is>
      </c>
      <c r="C203" s="31" t="n">
        <v>255</v>
      </c>
      <c r="D203" s="31" t="n">
        <v>255</v>
      </c>
      <c r="E203" s="31" t="n">
        <v>0</v>
      </c>
      <c r="F203" s="40" t="n">
        <v>1401378</v>
      </c>
      <c r="G203" s="40" t="n">
        <v>1424896</v>
      </c>
      <c r="H203" s="40" t="inlineStr">
        <is>
          <t>-</t>
        </is>
      </c>
      <c r="I203" s="40" t="inlineStr">
        <is>
          <t>-</t>
        </is>
      </c>
      <c r="J203" s="41" t="n">
        <v>0</v>
      </c>
      <c r="K203" s="31" t="inlineStr">
        <is>
          <t>No</t>
        </is>
      </c>
      <c r="L203" s="31" t="n">
        <v>0</v>
      </c>
      <c r="M20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4" ht="184" customHeight="1">
      <c r="A204" s="31" t="inlineStr">
        <is>
          <t>4 Jun</t>
        </is>
      </c>
      <c r="B204" s="31" t="inlineStr">
        <is>
          <t>30576</t>
        </is>
      </c>
      <c r="C204" s="31" t="n">
        <v>627</v>
      </c>
      <c r="D204" s="31" t="n">
        <v>626</v>
      </c>
      <c r="E204" s="31" t="n">
        <v>0</v>
      </c>
      <c r="F204" s="40" t="n">
        <v>1401325</v>
      </c>
      <c r="G204" s="40" t="n">
        <v>1437191</v>
      </c>
      <c r="H204" s="40" t="inlineStr">
        <is>
          <t>-</t>
        </is>
      </c>
      <c r="I204" s="40" t="inlineStr">
        <is>
          <t>-</t>
        </is>
      </c>
      <c r="J204" s="41" t="n">
        <v>0</v>
      </c>
      <c r="K204" s="31" t="inlineStr">
        <is>
          <t>No</t>
        </is>
      </c>
      <c r="L204" s="31" t="n">
        <v>0</v>
      </c>
      <c r="M20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5" ht="184" customHeight="1">
      <c r="A205" s="31" t="inlineStr">
        <is>
          <t>4 Jun</t>
        </is>
      </c>
      <c r="B205" s="31" t="inlineStr">
        <is>
          <t>30669</t>
        </is>
      </c>
      <c r="C205" s="31" t="n">
        <v>1824</v>
      </c>
      <c r="D205" s="31" t="n">
        <v>1823</v>
      </c>
      <c r="E205" s="31" t="n">
        <v>0</v>
      </c>
      <c r="F205" s="40" t="n">
        <v>1276519</v>
      </c>
      <c r="G205" s="40" t="n">
        <v>1484591</v>
      </c>
      <c r="H205" s="40" t="inlineStr">
        <is>
          <t>-</t>
        </is>
      </c>
      <c r="I205" s="40" t="inlineStr">
        <is>
          <t>-</t>
        </is>
      </c>
      <c r="J205" s="41" t="n">
        <v>0</v>
      </c>
      <c r="K205" s="31" t="inlineStr">
        <is>
          <t>No</t>
        </is>
      </c>
      <c r="L205" s="31" t="n">
        <v>0</v>
      </c>
      <c r="M20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6" ht="184" customHeight="1">
      <c r="A206" s="31" t="inlineStr">
        <is>
          <t>4 Jun</t>
        </is>
      </c>
      <c r="B206" s="31" t="inlineStr">
        <is>
          <t>30721</t>
        </is>
      </c>
      <c r="C206" s="31" t="n">
        <v>31</v>
      </c>
      <c r="D206" s="31" t="n">
        <v>31</v>
      </c>
      <c r="E206" s="31" t="n">
        <v>0</v>
      </c>
      <c r="F206" s="40" t="n">
        <v>1268236</v>
      </c>
      <c r="G206" s="40" t="n">
        <v>1276863</v>
      </c>
      <c r="H206" s="40" t="inlineStr">
        <is>
          <t>-</t>
        </is>
      </c>
      <c r="I206" s="40" t="inlineStr">
        <is>
          <t>-</t>
        </is>
      </c>
      <c r="J206" s="41" t="n">
        <v>0</v>
      </c>
      <c r="K206" s="31" t="inlineStr">
        <is>
          <t>No</t>
        </is>
      </c>
      <c r="L206" s="31" t="n">
        <v>0</v>
      </c>
      <c r="M20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7" ht="184" customHeight="1">
      <c r="A207" s="31" t="inlineStr">
        <is>
          <t>4 Jun</t>
        </is>
      </c>
      <c r="B207" s="31" t="inlineStr">
        <is>
          <t>37332</t>
        </is>
      </c>
      <c r="C207" s="31" t="n">
        <v>430</v>
      </c>
      <c r="D207" s="31" t="n">
        <v>429</v>
      </c>
      <c r="E207" s="31" t="n">
        <v>0</v>
      </c>
      <c r="F207" s="40" t="n">
        <v>1401470</v>
      </c>
      <c r="G207" s="40" t="n">
        <v>1426409</v>
      </c>
      <c r="H207" s="40" t="inlineStr">
        <is>
          <t>-</t>
        </is>
      </c>
      <c r="I207" s="40" t="inlineStr">
        <is>
          <t>-</t>
        </is>
      </c>
      <c r="J207" s="41" t="n">
        <v>0</v>
      </c>
      <c r="K207" s="31" t="inlineStr">
        <is>
          <t>No</t>
        </is>
      </c>
      <c r="L207" s="31" t="n">
        <v>0</v>
      </c>
      <c r="M20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8" ht="184" customHeight="1">
      <c r="A208" s="31" t="inlineStr">
        <is>
          <t>4 Jun</t>
        </is>
      </c>
      <c r="B208" s="31" t="inlineStr">
        <is>
          <t>37356</t>
        </is>
      </c>
      <c r="C208" s="31" t="n">
        <v>1328</v>
      </c>
      <c r="D208" s="31" t="n">
        <v>1325</v>
      </c>
      <c r="E208" s="31" t="n">
        <v>0</v>
      </c>
      <c r="F208" s="40" t="n">
        <v>1401717</v>
      </c>
      <c r="G208" s="40" t="n">
        <v>1482696</v>
      </c>
      <c r="H208" s="40" t="inlineStr">
        <is>
          <t>-</t>
        </is>
      </c>
      <c r="I208" s="40" t="inlineStr">
        <is>
          <t>-</t>
        </is>
      </c>
      <c r="J208" s="41" t="n">
        <v>0</v>
      </c>
      <c r="K208" s="31" t="inlineStr">
        <is>
          <t>No</t>
        </is>
      </c>
      <c r="L208" s="31" t="n">
        <v>0</v>
      </c>
      <c r="M20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9" ht="184" customHeight="1">
      <c r="A209" s="31" t="inlineStr">
        <is>
          <t>4 Jun</t>
        </is>
      </c>
      <c r="B209" s="31" t="inlineStr">
        <is>
          <t>37437</t>
        </is>
      </c>
      <c r="C209" s="31" t="n">
        <v>537</v>
      </c>
      <c r="D209" s="31" t="n">
        <v>529</v>
      </c>
      <c r="E209" s="31" t="n">
        <v>0</v>
      </c>
      <c r="F209" s="40" t="n">
        <v>1401695</v>
      </c>
      <c r="G209" s="40" t="n">
        <v>1484399</v>
      </c>
      <c r="H209" s="40" t="inlineStr">
        <is>
          <t>-</t>
        </is>
      </c>
      <c r="I209" s="40" t="inlineStr">
        <is>
          <t>-</t>
        </is>
      </c>
      <c r="J209" s="41" t="n">
        <v>0</v>
      </c>
      <c r="K209" s="31" t="inlineStr">
        <is>
          <t>No</t>
        </is>
      </c>
      <c r="L209" s="31" t="n">
        <v>0</v>
      </c>
      <c r="M20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10" ht="184" customHeight="1">
      <c r="A210" s="31" t="inlineStr">
        <is>
          <t>4 Jun</t>
        </is>
      </c>
      <c r="B210" s="31" t="inlineStr">
        <is>
          <t>37582</t>
        </is>
      </c>
      <c r="C210" s="31" t="n">
        <v>680</v>
      </c>
      <c r="D210" s="31" t="n">
        <v>656</v>
      </c>
      <c r="E210" s="31" t="n">
        <v>0</v>
      </c>
      <c r="F210" s="40" t="n">
        <v>1954</v>
      </c>
      <c r="G210" s="40" t="n">
        <v>697869</v>
      </c>
      <c r="H210" s="40" t="inlineStr">
        <is>
          <t>-</t>
        </is>
      </c>
      <c r="I210" s="40" t="inlineStr">
        <is>
          <t>-</t>
        </is>
      </c>
      <c r="J210" s="41" t="n">
        <v>0</v>
      </c>
      <c r="K210" s="31" t="inlineStr">
        <is>
          <t>No</t>
        </is>
      </c>
      <c r="L210" s="31" t="n">
        <v>0</v>
      </c>
      <c r="M21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11" ht="184" customHeight="1">
      <c r="A211" s="31" t="inlineStr">
        <is>
          <t>4 Jun</t>
        </is>
      </c>
      <c r="B211" s="31" t="inlineStr">
        <is>
          <t>37830</t>
        </is>
      </c>
      <c r="C211" s="31" t="n">
        <v>25</v>
      </c>
      <c r="D211" s="31" t="n">
        <v>25</v>
      </c>
      <c r="E211" s="31" t="n">
        <v>0</v>
      </c>
      <c r="F211" s="40" t="n">
        <v>657179</v>
      </c>
      <c r="G211" s="40" t="n">
        <v>663296</v>
      </c>
      <c r="H211" s="40" t="inlineStr">
        <is>
          <t>-</t>
        </is>
      </c>
      <c r="I211" s="40" t="inlineStr">
        <is>
          <t>-</t>
        </is>
      </c>
      <c r="J211" s="41" t="n">
        <v>0</v>
      </c>
      <c r="K211" s="31" t="inlineStr">
        <is>
          <t>No</t>
        </is>
      </c>
      <c r="L211" s="31" t="n">
        <v>0</v>
      </c>
      <c r="M21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12" ht="184" customHeight="1">
      <c r="A212" s="31" t="inlineStr">
        <is>
          <t>4 Jun</t>
        </is>
      </c>
      <c r="B212" s="31" t="inlineStr">
        <is>
          <t>37856</t>
        </is>
      </c>
      <c r="C212" s="31" t="n">
        <v>204</v>
      </c>
      <c r="D212" s="31" t="n">
        <v>201</v>
      </c>
      <c r="E212" s="31" t="n">
        <v>0</v>
      </c>
      <c r="F212" s="40" t="n">
        <v>1253196</v>
      </c>
      <c r="G212" s="40" t="n">
        <v>1276927</v>
      </c>
      <c r="H212" s="40" t="inlineStr">
        <is>
          <t>-</t>
        </is>
      </c>
      <c r="I212" s="40" t="inlineStr">
        <is>
          <t>-</t>
        </is>
      </c>
      <c r="J212" s="41" t="n">
        <v>0</v>
      </c>
      <c r="K212" s="31" t="inlineStr">
        <is>
          <t>No</t>
        </is>
      </c>
      <c r="L212" s="31" t="n">
        <v>0</v>
      </c>
      <c r="M21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13" ht="184" customHeight="1">
      <c r="A213" s="31" t="inlineStr">
        <is>
          <t>4 Jun</t>
        </is>
      </c>
      <c r="B213" s="31" t="inlineStr">
        <is>
          <t>39351</t>
        </is>
      </c>
      <c r="C213" s="31" t="n">
        <v>231</v>
      </c>
      <c r="D213" s="31" t="n">
        <v>226</v>
      </c>
      <c r="E213" s="31" t="n">
        <v>0</v>
      </c>
      <c r="F213" s="40" t="n">
        <v>1427613</v>
      </c>
      <c r="G213" s="40" t="n">
        <v>1499189</v>
      </c>
      <c r="H213" s="40" t="inlineStr">
        <is>
          <t>-</t>
        </is>
      </c>
      <c r="I213" s="40" t="inlineStr">
        <is>
          <t>-</t>
        </is>
      </c>
      <c r="J213" s="41" t="n">
        <v>0</v>
      </c>
      <c r="K213" s="31" t="inlineStr">
        <is>
          <t>No</t>
        </is>
      </c>
      <c r="L213" s="31" t="n">
        <v>0</v>
      </c>
      <c r="M21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14" ht="184" customHeight="1">
      <c r="A214" s="31" t="inlineStr">
        <is>
          <t>4 Jun</t>
        </is>
      </c>
      <c r="B214" s="31" t="inlineStr">
        <is>
          <t>52196</t>
        </is>
      </c>
      <c r="C214" s="31" t="n">
        <v>4468</v>
      </c>
      <c r="D214" s="31" t="n">
        <v>4362</v>
      </c>
      <c r="E214" s="31" t="n">
        <v>0</v>
      </c>
      <c r="F214" s="40" t="n">
        <v>132538</v>
      </c>
      <c r="G214" s="40" t="n">
        <v>144294</v>
      </c>
      <c r="H214" s="40" t="inlineStr">
        <is>
          <t>-</t>
        </is>
      </c>
      <c r="I214" s="40" t="inlineStr">
        <is>
          <t>-</t>
        </is>
      </c>
      <c r="J214" s="41" t="n">
        <v>0</v>
      </c>
      <c r="K214" s="31" t="inlineStr">
        <is>
          <t>No</t>
        </is>
      </c>
      <c r="L214" s="31" t="n">
        <v>0</v>
      </c>
      <c r="M21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15">
      <c r="A215" s="16" t="inlineStr">
        <is>
          <t>5 Jun</t>
        </is>
      </c>
      <c r="B215" s="16" t="inlineStr">
        <is>
          <t>39328</t>
        </is>
      </c>
      <c r="C215" s="16" t="n">
        <v>24496</v>
      </c>
      <c r="D215" s="16" t="n">
        <v>24483</v>
      </c>
      <c r="E215" s="16" t="n">
        <v>22792</v>
      </c>
      <c r="F215" s="38" t="n">
        <v>656316</v>
      </c>
      <c r="G215" s="38" t="n">
        <v>1447166</v>
      </c>
      <c r="H215" s="38" t="n">
        <v>699084</v>
      </c>
      <c r="I215" s="38" t="n">
        <v>1242941</v>
      </c>
      <c r="J215" s="19">
        <f>(I215-H215)/1000</f>
        <v/>
      </c>
      <c r="K215" s="16" t="inlineStr">
        <is>
          <t>Yes</t>
        </is>
      </c>
      <c r="L215" s="16" t="n">
        <v>124</v>
      </c>
      <c r="M215" s="39" t="inlineStr">
        <is>
          <t>- (full trip)</t>
        </is>
      </c>
    </row>
    <row r="216">
      <c r="A216" s="16" t="inlineStr">
        <is>
          <t>5 Jun</t>
        </is>
      </c>
      <c r="B216" s="16" t="inlineStr">
        <is>
          <t>39466</t>
        </is>
      </c>
      <c r="C216" s="16" t="n">
        <v>18123</v>
      </c>
      <c r="D216" s="16" t="n">
        <v>18108</v>
      </c>
      <c r="E216" s="16" t="n">
        <v>17500</v>
      </c>
      <c r="F216" s="38" t="n">
        <v>696235</v>
      </c>
      <c r="G216" s="38" t="n">
        <v>1436198</v>
      </c>
      <c r="H216" s="38" t="n">
        <v>699070</v>
      </c>
      <c r="I216" s="38" t="n">
        <v>1242717</v>
      </c>
      <c r="J216" s="19">
        <f>(I216-H216)/1000</f>
        <v/>
      </c>
      <c r="K216" s="16" t="inlineStr">
        <is>
          <t>Yes</t>
        </is>
      </c>
      <c r="L216" s="16" t="n">
        <v>124</v>
      </c>
      <c r="M216" s="39" t="inlineStr">
        <is>
          <t>- (full trip)</t>
        </is>
      </c>
    </row>
    <row r="217">
      <c r="A217" s="16" t="inlineStr">
        <is>
          <t>5 Jun</t>
        </is>
      </c>
      <c r="B217" s="16" t="inlineStr">
        <is>
          <t>39159</t>
        </is>
      </c>
      <c r="C217" s="16" t="n">
        <v>18144</v>
      </c>
      <c r="D217" s="16" t="n">
        <v>18122</v>
      </c>
      <c r="E217" s="16" t="n">
        <v>16431</v>
      </c>
      <c r="F217" s="38" t="n">
        <v>657111</v>
      </c>
      <c r="G217" s="38" t="n">
        <v>1456465</v>
      </c>
      <c r="H217" s="38" t="n">
        <v>699076</v>
      </c>
      <c r="I217" s="38" t="n">
        <v>1240727</v>
      </c>
      <c r="J217" s="19">
        <f>(I217-H217)/1000</f>
        <v/>
      </c>
      <c r="K217" s="16" t="inlineStr">
        <is>
          <t>Yes</t>
        </is>
      </c>
      <c r="L217" s="16" t="n">
        <v>124</v>
      </c>
      <c r="M217" s="39" t="inlineStr">
        <is>
          <t>- (full trip)</t>
        </is>
      </c>
    </row>
    <row r="218">
      <c r="A218" s="16" t="inlineStr">
        <is>
          <t>5 Jun</t>
        </is>
      </c>
      <c r="B218" s="16" t="inlineStr">
        <is>
          <t>37219</t>
        </is>
      </c>
      <c r="C218" s="16" t="n">
        <v>29359</v>
      </c>
      <c r="D218" s="16" t="n">
        <v>29351</v>
      </c>
      <c r="E218" s="16" t="n">
        <v>29088</v>
      </c>
      <c r="F218" s="38" t="n">
        <v>696241</v>
      </c>
      <c r="G218" s="38" t="n">
        <v>1240710</v>
      </c>
      <c r="H218" s="38" t="n">
        <v>699072</v>
      </c>
      <c r="I218" s="38" t="n">
        <v>1240710</v>
      </c>
      <c r="J218" s="19">
        <f>(I218-H218)/1000</f>
        <v/>
      </c>
      <c r="K218" s="16" t="inlineStr">
        <is>
          <t>Yes</t>
        </is>
      </c>
      <c r="L218" s="16" t="n">
        <v>124</v>
      </c>
      <c r="M218" s="39" t="inlineStr">
        <is>
          <t>- (full trip)</t>
        </is>
      </c>
    </row>
    <row r="219" ht="64" customHeight="1">
      <c r="A219" s="16" t="inlineStr">
        <is>
          <t>5 Jun</t>
        </is>
      </c>
      <c r="B219" s="16" t="inlineStr">
        <is>
          <t>37287</t>
        </is>
      </c>
      <c r="C219" s="16" t="n">
        <v>19615</v>
      </c>
      <c r="D219" s="16" t="n">
        <v>19585</v>
      </c>
      <c r="E219" s="16" t="n">
        <v>18210</v>
      </c>
      <c r="F219" s="38" t="n">
        <v>644311</v>
      </c>
      <c r="G219" s="38" t="n">
        <v>1169670</v>
      </c>
      <c r="H219" s="38" t="n">
        <v>699074</v>
      </c>
      <c r="I219" s="38" t="n">
        <v>1169670</v>
      </c>
      <c r="J219" s="19">
        <f>(I219-H219)/1000</f>
        <v/>
      </c>
      <c r="K219" s="16" t="inlineStr">
        <is>
          <t>Yes</t>
        </is>
      </c>
      <c r="L219" s="16" t="n">
        <v>108</v>
      </c>
      <c r="M219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220" ht="64" customHeight="1">
      <c r="A220" s="16" t="inlineStr">
        <is>
          <t>5 Jun</t>
        </is>
      </c>
      <c r="B220" s="16" t="inlineStr">
        <is>
          <t>30223</t>
        </is>
      </c>
      <c r="C220" s="16" t="n">
        <v>21024</v>
      </c>
      <c r="D220" s="16" t="n">
        <v>21012</v>
      </c>
      <c r="E220" s="16" t="n">
        <v>20747</v>
      </c>
      <c r="F220" s="38" t="n">
        <v>696239</v>
      </c>
      <c r="G220" s="38" t="n">
        <v>1169667</v>
      </c>
      <c r="H220" s="38" t="n">
        <v>699077</v>
      </c>
      <c r="I220" s="38" t="n">
        <v>1169667</v>
      </c>
      <c r="J220" s="19">
        <f>(I220-H220)/1000</f>
        <v/>
      </c>
      <c r="K220" s="16" t="inlineStr">
        <is>
          <t>Yes</t>
        </is>
      </c>
      <c r="L220" s="16" t="n">
        <v>108</v>
      </c>
      <c r="M220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221" ht="109" customHeight="1">
      <c r="A221" s="16" t="inlineStr">
        <is>
          <t>5 Jun</t>
        </is>
      </c>
      <c r="B221" s="16" t="inlineStr">
        <is>
          <t>30177</t>
        </is>
      </c>
      <c r="C221" s="16" t="n">
        <v>29100</v>
      </c>
      <c r="D221" s="16" t="n">
        <v>28948</v>
      </c>
      <c r="E221" s="16" t="n">
        <v>28872</v>
      </c>
      <c r="F221" s="38" t="n">
        <v>696808</v>
      </c>
      <c r="G221" s="38" t="n">
        <v>1112886</v>
      </c>
      <c r="H221" s="38" t="n">
        <v>699100</v>
      </c>
      <c r="I221" s="38" t="n">
        <v>1112886</v>
      </c>
      <c r="J221" s="19">
        <f>(I221-H221)/1000</f>
        <v/>
      </c>
      <c r="K221" s="16" t="inlineStr">
        <is>
          <t>Yes</t>
        </is>
      </c>
      <c r="L221" s="16" t="n">
        <v>95</v>
      </c>
      <c r="M22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</t>
        </is>
      </c>
    </row>
    <row r="222" ht="139" customHeight="1">
      <c r="A222" s="16" t="inlineStr">
        <is>
          <t>5 Jun</t>
        </is>
      </c>
      <c r="B222" s="16" t="inlineStr">
        <is>
          <t>39046</t>
        </is>
      </c>
      <c r="C222" s="16" t="n">
        <v>13000</v>
      </c>
      <c r="D222" s="16" t="n">
        <v>12977</v>
      </c>
      <c r="E222" s="16" t="n">
        <v>12144</v>
      </c>
      <c r="F222" s="38" t="n">
        <v>874833</v>
      </c>
      <c r="G222" s="38" t="n">
        <v>1476798</v>
      </c>
      <c r="H222" s="38" t="n">
        <v>874833</v>
      </c>
      <c r="I222" s="38" t="n">
        <v>1242735</v>
      </c>
      <c r="J222" s="19">
        <f>(I222-H222)/1000</f>
        <v/>
      </c>
      <c r="K222" s="16" t="inlineStr">
        <is>
          <t>Yes</t>
        </is>
      </c>
      <c r="L222" s="16" t="n">
        <v>87</v>
      </c>
      <c r="M222" s="39" t="inlineStr">
        <is>
          <t>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23" ht="154" customHeight="1">
      <c r="A223" s="16" t="inlineStr">
        <is>
          <t>5 Jun</t>
        </is>
      </c>
      <c r="B223" s="16" t="inlineStr">
        <is>
          <t>37793</t>
        </is>
      </c>
      <c r="C223" s="16" t="n">
        <v>23161</v>
      </c>
      <c r="D223" s="16" t="n">
        <v>23143</v>
      </c>
      <c r="E223" s="16" t="n">
        <v>21281</v>
      </c>
      <c r="F223" s="38" t="n">
        <v>377344</v>
      </c>
      <c r="G223" s="38" t="n">
        <v>1048729</v>
      </c>
      <c r="H223" s="38" t="n">
        <v>699086</v>
      </c>
      <c r="I223" s="38" t="n">
        <v>1048729</v>
      </c>
      <c r="J223" s="19">
        <f>(I223-H223)/1000</f>
        <v/>
      </c>
      <c r="K223" s="16" t="inlineStr">
        <is>
          <t>Yes</t>
        </is>
      </c>
      <c r="L223" s="16" t="n">
        <v>81</v>
      </c>
      <c r="M22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</t>
        </is>
      </c>
    </row>
    <row r="224" ht="169" customHeight="1">
      <c r="A224" s="16" t="inlineStr">
        <is>
          <t>5 Jun</t>
        </is>
      </c>
      <c r="B224" s="16" t="inlineStr">
        <is>
          <t>37314</t>
        </is>
      </c>
      <c r="C224" s="16" t="n">
        <v>12682</v>
      </c>
      <c r="D224" s="16" t="n">
        <v>12107</v>
      </c>
      <c r="E224" s="16" t="n">
        <v>11853</v>
      </c>
      <c r="F224" s="38" t="n">
        <v>695822</v>
      </c>
      <c r="G224" s="38" t="n">
        <v>1028915</v>
      </c>
      <c r="H224" s="38" t="n">
        <v>699072</v>
      </c>
      <c r="I224" s="38" t="n">
        <v>1028915</v>
      </c>
      <c r="J224" s="19">
        <f>(I224-H224)/1000</f>
        <v/>
      </c>
      <c r="K224" s="16" t="inlineStr">
        <is>
          <t>Yes</t>
        </is>
      </c>
      <c r="L224" s="16" t="n">
        <v>77</v>
      </c>
      <c r="M22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225" ht="169" customHeight="1">
      <c r="A225" s="16" t="inlineStr">
        <is>
          <t>5 Jun</t>
        </is>
      </c>
      <c r="B225" s="16" t="inlineStr">
        <is>
          <t>37627</t>
        </is>
      </c>
      <c r="C225" s="16" t="n">
        <v>13664</v>
      </c>
      <c r="D225" s="16" t="n">
        <v>13281</v>
      </c>
      <c r="E225" s="16" t="n">
        <v>13135</v>
      </c>
      <c r="F225" s="38" t="n">
        <v>666413</v>
      </c>
      <c r="G225" s="38" t="n">
        <v>1028925</v>
      </c>
      <c r="H225" s="38" t="n">
        <v>699087</v>
      </c>
      <c r="I225" s="38" t="n">
        <v>1028925</v>
      </c>
      <c r="J225" s="19">
        <f>(I225-H225)/1000</f>
        <v/>
      </c>
      <c r="K225" s="16" t="inlineStr">
        <is>
          <t>Yes</t>
        </is>
      </c>
      <c r="L225" s="16" t="n">
        <v>77</v>
      </c>
      <c r="M22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226" ht="169" customHeight="1">
      <c r="A226" s="16" t="inlineStr">
        <is>
          <t>5 Jun</t>
        </is>
      </c>
      <c r="B226" s="16" t="inlineStr">
        <is>
          <t>37431</t>
        </is>
      </c>
      <c r="C226" s="16" t="n">
        <v>28716</v>
      </c>
      <c r="D226" s="16" t="n">
        <v>28669</v>
      </c>
      <c r="E226" s="16" t="n">
        <v>26752</v>
      </c>
      <c r="F226" s="38" t="n">
        <v>655407</v>
      </c>
      <c r="G226" s="38" t="n">
        <v>1028901</v>
      </c>
      <c r="H226" s="38" t="n">
        <v>699074</v>
      </c>
      <c r="I226" s="38" t="n">
        <v>1028901</v>
      </c>
      <c r="J226" s="19">
        <f>(I226-H226)/1000</f>
        <v/>
      </c>
      <c r="K226" s="16" t="inlineStr">
        <is>
          <t>Yes</t>
        </is>
      </c>
      <c r="L226" s="16" t="n">
        <v>77</v>
      </c>
      <c r="M22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227" ht="169" customHeight="1">
      <c r="A227" s="16" t="inlineStr">
        <is>
          <t>5 Jun</t>
        </is>
      </c>
      <c r="B227" s="16" t="inlineStr">
        <is>
          <t>39243</t>
        </is>
      </c>
      <c r="C227" s="16" t="n">
        <v>12295</v>
      </c>
      <c r="D227" s="16" t="n">
        <v>12128</v>
      </c>
      <c r="E227" s="16" t="n">
        <v>10679</v>
      </c>
      <c r="F227" s="38" t="n">
        <v>656291</v>
      </c>
      <c r="G227" s="38" t="n">
        <v>1028892</v>
      </c>
      <c r="H227" s="38" t="n">
        <v>699087</v>
      </c>
      <c r="I227" s="38" t="n">
        <v>1028892</v>
      </c>
      <c r="J227" s="19">
        <f>(I227-H227)/1000</f>
        <v/>
      </c>
      <c r="K227" s="16" t="inlineStr">
        <is>
          <t>Yes</t>
        </is>
      </c>
      <c r="L227" s="16" t="n">
        <v>77</v>
      </c>
      <c r="M22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228" ht="184" customHeight="1">
      <c r="A228" s="16" t="inlineStr">
        <is>
          <t>5 Jun</t>
        </is>
      </c>
      <c r="B228" s="16" t="inlineStr">
        <is>
          <t>30488</t>
        </is>
      </c>
      <c r="C228" s="16" t="n">
        <v>24633</v>
      </c>
      <c r="D228" s="16" t="n">
        <v>24584</v>
      </c>
      <c r="E228" s="16" t="n">
        <v>23796</v>
      </c>
      <c r="F228" s="38" t="n">
        <v>920376</v>
      </c>
      <c r="G228" s="38" t="n">
        <v>1431428</v>
      </c>
      <c r="H228" s="38" t="n">
        <v>920376</v>
      </c>
      <c r="I228" s="38" t="n">
        <v>1242984</v>
      </c>
      <c r="J228" s="19">
        <f>(I228-H228)/1000</f>
        <v/>
      </c>
      <c r="K228" s="16" t="inlineStr">
        <is>
          <t>Yes</t>
        </is>
      </c>
      <c r="L228" s="16" t="n">
        <v>78</v>
      </c>
      <c r="M228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29" ht="184" customHeight="1">
      <c r="A229" s="16" t="inlineStr">
        <is>
          <t>5 Jun</t>
        </is>
      </c>
      <c r="B229" s="16" t="inlineStr">
        <is>
          <t>37464</t>
        </is>
      </c>
      <c r="C229" s="16" t="n">
        <v>6561</v>
      </c>
      <c r="D229" s="16" t="n">
        <v>6521</v>
      </c>
      <c r="E229" s="16" t="n">
        <v>6411</v>
      </c>
      <c r="F229" s="38" t="n">
        <v>920520</v>
      </c>
      <c r="G229" s="38" t="n">
        <v>1415627</v>
      </c>
      <c r="H229" s="38" t="n">
        <v>920520</v>
      </c>
      <c r="I229" s="38" t="n">
        <v>1242928</v>
      </c>
      <c r="J229" s="19">
        <f>(I229-H229)/1000</f>
        <v/>
      </c>
      <c r="K229" s="16" t="inlineStr">
        <is>
          <t>Yes</t>
        </is>
      </c>
      <c r="L229" s="16" t="n">
        <v>78</v>
      </c>
      <c r="M229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30" ht="184" customHeight="1">
      <c r="A230" s="16" t="inlineStr">
        <is>
          <t>5 Jun</t>
        </is>
      </c>
      <c r="B230" s="16" t="inlineStr">
        <is>
          <t>30335</t>
        </is>
      </c>
      <c r="C230" s="16" t="n">
        <v>13238</v>
      </c>
      <c r="D230" s="16" t="n">
        <v>13204</v>
      </c>
      <c r="E230" s="16" t="n">
        <v>12714</v>
      </c>
      <c r="F230" s="38" t="n">
        <v>920820</v>
      </c>
      <c r="G230" s="38" t="n">
        <v>1464967</v>
      </c>
      <c r="H230" s="38" t="n">
        <v>920820</v>
      </c>
      <c r="I230" s="38" t="n">
        <v>1242984</v>
      </c>
      <c r="J230" s="19">
        <f>(I230-H230)/1000</f>
        <v/>
      </c>
      <c r="K230" s="16" t="inlineStr">
        <is>
          <t>Yes</t>
        </is>
      </c>
      <c r="L230" s="16" t="n">
        <v>78</v>
      </c>
      <c r="M230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31" ht="184" customHeight="1">
      <c r="A231" s="16" t="inlineStr">
        <is>
          <t>5 Jun</t>
        </is>
      </c>
      <c r="B231" s="16" t="inlineStr">
        <is>
          <t>30339</t>
        </is>
      </c>
      <c r="C231" s="16" t="n">
        <v>22722</v>
      </c>
      <c r="D231" s="16" t="n">
        <v>22681</v>
      </c>
      <c r="E231" s="16" t="n">
        <v>22261</v>
      </c>
      <c r="F231" s="38" t="n">
        <v>921484</v>
      </c>
      <c r="G231" s="38" t="n">
        <v>1436954</v>
      </c>
      <c r="H231" s="38" t="n">
        <v>921484</v>
      </c>
      <c r="I231" s="38" t="n">
        <v>1242984</v>
      </c>
      <c r="J231" s="19">
        <f>(I231-H231)/1000</f>
        <v/>
      </c>
      <c r="K231" s="16" t="inlineStr">
        <is>
          <t>Yes</t>
        </is>
      </c>
      <c r="L231" s="16" t="n">
        <v>78</v>
      </c>
      <c r="M231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32" ht="184" customHeight="1">
      <c r="A232" s="16" t="inlineStr">
        <is>
          <t>5 Jun</t>
        </is>
      </c>
      <c r="B232" s="16" t="inlineStr">
        <is>
          <t>39331</t>
        </is>
      </c>
      <c r="C232" s="16" t="n">
        <v>12778</v>
      </c>
      <c r="D232" s="16" t="n">
        <v>12763</v>
      </c>
      <c r="E232" s="16" t="n">
        <v>12763</v>
      </c>
      <c r="F232" s="38" t="n">
        <v>921058</v>
      </c>
      <c r="G232" s="38" t="n">
        <v>1240730</v>
      </c>
      <c r="H232" s="38" t="n">
        <v>921058</v>
      </c>
      <c r="I232" s="38" t="n">
        <v>1240730</v>
      </c>
      <c r="J232" s="19">
        <f>(I232-H232)/1000</f>
        <v/>
      </c>
      <c r="K232" s="16" t="inlineStr">
        <is>
          <t>Yes</t>
        </is>
      </c>
      <c r="L232" s="16" t="n">
        <v>78</v>
      </c>
      <c r="M232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33" ht="184" customHeight="1">
      <c r="A233" s="16" t="inlineStr">
        <is>
          <t>5 Jun</t>
        </is>
      </c>
      <c r="B233" s="16" t="inlineStr">
        <is>
          <t>30215</t>
        </is>
      </c>
      <c r="C233" s="16" t="n">
        <v>10165</v>
      </c>
      <c r="D233" s="16" t="n">
        <v>10164</v>
      </c>
      <c r="E233" s="16" t="n">
        <v>9997</v>
      </c>
      <c r="F233" s="38" t="n">
        <v>921416</v>
      </c>
      <c r="G233" s="38" t="n">
        <v>1435803</v>
      </c>
      <c r="H233" s="38" t="n">
        <v>921416</v>
      </c>
      <c r="I233" s="38" t="n">
        <v>1240717</v>
      </c>
      <c r="J233" s="19">
        <f>(I233-H233)/1000</f>
        <v/>
      </c>
      <c r="K233" s="16" t="inlineStr">
        <is>
          <t>Yes</t>
        </is>
      </c>
      <c r="L233" s="16" t="n">
        <v>78</v>
      </c>
      <c r="M233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34" ht="184" customHeight="1">
      <c r="A234" s="16" t="inlineStr">
        <is>
          <t>5 Jun</t>
        </is>
      </c>
      <c r="B234" s="16" t="inlineStr">
        <is>
          <t>30464</t>
        </is>
      </c>
      <c r="C234" s="16" t="n">
        <v>11455</v>
      </c>
      <c r="D234" s="16" t="n">
        <v>11449</v>
      </c>
      <c r="E234" s="16" t="n">
        <v>10623</v>
      </c>
      <c r="F234" s="38" t="n">
        <v>921757</v>
      </c>
      <c r="G234" s="38" t="n">
        <v>1455725</v>
      </c>
      <c r="H234" s="38" t="n">
        <v>921757</v>
      </c>
      <c r="I234" s="38" t="n">
        <v>1240568</v>
      </c>
      <c r="J234" s="19">
        <f>(I234-H234)/1000</f>
        <v/>
      </c>
      <c r="K234" s="16" t="inlineStr">
        <is>
          <t>Yes</t>
        </is>
      </c>
      <c r="L234" s="16" t="n">
        <v>78</v>
      </c>
      <c r="M234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35" ht="184" customHeight="1">
      <c r="A235" s="16" t="inlineStr">
        <is>
          <t>5 Jun</t>
        </is>
      </c>
      <c r="B235" s="16" t="inlineStr">
        <is>
          <t>39501</t>
        </is>
      </c>
      <c r="C235" s="16" t="n">
        <v>13023</v>
      </c>
      <c r="D235" s="16" t="n">
        <v>13001</v>
      </c>
      <c r="E235" s="16" t="n">
        <v>11238</v>
      </c>
      <c r="F235" s="38" t="n">
        <v>864</v>
      </c>
      <c r="G235" s="38" t="n">
        <v>1468892</v>
      </c>
      <c r="H235" s="38" t="n">
        <v>922048</v>
      </c>
      <c r="I235" s="38" t="n">
        <v>1240698</v>
      </c>
      <c r="J235" s="19">
        <f>(I235-H235)/1000</f>
        <v/>
      </c>
      <c r="K235" s="16" t="inlineStr">
        <is>
          <t>Yes</t>
        </is>
      </c>
      <c r="L235" s="16" t="n">
        <v>78</v>
      </c>
      <c r="M235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36" ht="184" customHeight="1">
      <c r="A236" s="16" t="inlineStr">
        <is>
          <t>5 Jun</t>
        </is>
      </c>
      <c r="B236" s="16" t="inlineStr">
        <is>
          <t>30435</t>
        </is>
      </c>
      <c r="C236" s="16" t="n">
        <v>11981</v>
      </c>
      <c r="D236" s="16" t="n">
        <v>11966</v>
      </c>
      <c r="E236" s="16" t="n">
        <v>11966</v>
      </c>
      <c r="F236" s="38" t="n">
        <v>857841</v>
      </c>
      <c r="G236" s="38" t="n">
        <v>1136226</v>
      </c>
      <c r="H236" s="38" t="n">
        <v>857841</v>
      </c>
      <c r="I236" s="38" t="n">
        <v>1136226</v>
      </c>
      <c r="J236" s="19">
        <f>(I236-H236)/1000</f>
        <v/>
      </c>
      <c r="K236" s="16" t="inlineStr">
        <is>
          <t>Yes</t>
        </is>
      </c>
      <c r="L236" s="16" t="n">
        <v>67</v>
      </c>
      <c r="M23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  ...(+7 more)</t>
        </is>
      </c>
    </row>
    <row r="237" ht="199" customHeight="1">
      <c r="A237" s="16" t="inlineStr">
        <is>
          <t>5 Jun</t>
        </is>
      </c>
      <c r="B237" s="16" t="inlineStr">
        <is>
          <t>30739</t>
        </is>
      </c>
      <c r="C237" s="16" t="n">
        <v>6054</v>
      </c>
      <c r="D237" s="16" t="n">
        <v>6052</v>
      </c>
      <c r="E237" s="16" t="n">
        <v>5368</v>
      </c>
      <c r="F237" s="38" t="n">
        <v>985159</v>
      </c>
      <c r="G237" s="38" t="n">
        <v>1437180</v>
      </c>
      <c r="H237" s="38" t="n">
        <v>985159</v>
      </c>
      <c r="I237" s="38" t="n">
        <v>1240716</v>
      </c>
      <c r="J237" s="19">
        <f>(I237-H237)/1000</f>
        <v/>
      </c>
      <c r="K237" s="16" t="inlineStr">
        <is>
          <t>Yes</t>
        </is>
      </c>
      <c r="L237" s="16" t="n">
        <v>59</v>
      </c>
      <c r="M237" s="39" t="inlineStr">
        <is>
          <t>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  ...(+15 more)</t>
        </is>
      </c>
    </row>
    <row r="238" ht="199" customHeight="1">
      <c r="A238" s="16" t="inlineStr">
        <is>
          <t>5 Jun</t>
        </is>
      </c>
      <c r="B238" s="16" t="inlineStr">
        <is>
          <t>30752</t>
        </is>
      </c>
      <c r="C238" s="16" t="n">
        <v>32926</v>
      </c>
      <c r="D238" s="16" t="n">
        <v>32910</v>
      </c>
      <c r="E238" s="16" t="n">
        <v>32910</v>
      </c>
      <c r="F238" s="38" t="n">
        <v>920739</v>
      </c>
      <c r="G238" s="38" t="n">
        <v>1172539</v>
      </c>
      <c r="H238" s="38" t="n">
        <v>920739</v>
      </c>
      <c r="I238" s="38" t="n">
        <v>1172539</v>
      </c>
      <c r="J238" s="19">
        <f>(I238-H238)/1000</f>
        <v/>
      </c>
      <c r="K238" s="16" t="inlineStr">
        <is>
          <t>Yes</t>
        </is>
      </c>
      <c r="L238" s="16" t="n">
        <v>62</v>
      </c>
      <c r="M238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239" ht="199" customHeight="1">
      <c r="A239" s="16" t="inlineStr">
        <is>
          <t>5 Jun</t>
        </is>
      </c>
      <c r="B239" s="16" t="inlineStr">
        <is>
          <t>37257</t>
        </is>
      </c>
      <c r="C239" s="16" t="n">
        <v>19800</v>
      </c>
      <c r="D239" s="16" t="n">
        <v>19520</v>
      </c>
      <c r="E239" s="16" t="n">
        <v>19520</v>
      </c>
      <c r="F239" s="38" t="n">
        <v>921719</v>
      </c>
      <c r="G239" s="38" t="n">
        <v>1172539</v>
      </c>
      <c r="H239" s="38" t="n">
        <v>921719</v>
      </c>
      <c r="I239" s="38" t="n">
        <v>1172539</v>
      </c>
      <c r="J239" s="19">
        <f>(I239-H239)/1000</f>
        <v/>
      </c>
      <c r="K239" s="16" t="inlineStr">
        <is>
          <t>Yes</t>
        </is>
      </c>
      <c r="L239" s="16" t="n">
        <v>62</v>
      </c>
      <c r="M239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240" ht="184" customHeight="1">
      <c r="A240" s="16" t="inlineStr">
        <is>
          <t>5 Jun</t>
        </is>
      </c>
      <c r="B240" s="16" t="inlineStr">
        <is>
          <t>30480</t>
        </is>
      </c>
      <c r="C240" s="16" t="n">
        <v>1134</v>
      </c>
      <c r="D240" s="16" t="n">
        <v>932</v>
      </c>
      <c r="E240" s="16" t="n">
        <v>68</v>
      </c>
      <c r="F240" s="38" t="n">
        <v>604624</v>
      </c>
      <c r="G240" s="38" t="n">
        <v>920090</v>
      </c>
      <c r="H240" s="38" t="n">
        <v>699153</v>
      </c>
      <c r="I240" s="38" t="n">
        <v>920090</v>
      </c>
      <c r="J240" s="19">
        <f>(I240-H240)/1000</f>
        <v/>
      </c>
      <c r="K240" s="16" t="inlineStr">
        <is>
          <t>Yes</t>
        </is>
      </c>
      <c r="L240" s="16" t="n">
        <v>47</v>
      </c>
      <c r="M24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...(+27 more)</t>
        </is>
      </c>
    </row>
    <row r="241" ht="184" customHeight="1">
      <c r="A241" s="16" t="inlineStr">
        <is>
          <t>5 Jun</t>
        </is>
      </c>
      <c r="B241" s="16" t="inlineStr">
        <is>
          <t>30748</t>
        </is>
      </c>
      <c r="C241" s="16" t="n">
        <v>63</v>
      </c>
      <c r="D241" s="16" t="n">
        <v>58</v>
      </c>
      <c r="E241" s="16" t="n">
        <v>58</v>
      </c>
      <c r="F241" s="38" t="n">
        <v>921616</v>
      </c>
      <c r="G241" s="38" t="n">
        <v>1098953</v>
      </c>
      <c r="H241" s="38" t="n">
        <v>921616</v>
      </c>
      <c r="I241" s="38" t="n">
        <v>1098953</v>
      </c>
      <c r="J241" s="19">
        <f>(I241-H241)/1000</f>
        <v/>
      </c>
      <c r="K241" s="16" t="inlineStr">
        <is>
          <t>Yes</t>
        </is>
      </c>
      <c r="L241" s="16" t="n">
        <v>47</v>
      </c>
      <c r="M24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  ...(+27 more)</t>
        </is>
      </c>
    </row>
    <row r="242" ht="184" customHeight="1">
      <c r="A242" s="16" t="inlineStr">
        <is>
          <t>5 Jun</t>
        </is>
      </c>
      <c r="B242" s="16" t="inlineStr">
        <is>
          <t>30680</t>
        </is>
      </c>
      <c r="C242" s="16" t="n">
        <v>6949</v>
      </c>
      <c r="D242" s="16" t="n">
        <v>6565</v>
      </c>
      <c r="E242" s="16" t="n">
        <v>6565</v>
      </c>
      <c r="F242" s="38" t="n">
        <v>866247</v>
      </c>
      <c r="G242" s="38" t="n">
        <v>1028172</v>
      </c>
      <c r="H242" s="38" t="n">
        <v>866247</v>
      </c>
      <c r="I242" s="38" t="n">
        <v>1028172</v>
      </c>
      <c r="J242" s="19">
        <f>(I242-H242)/1000</f>
        <v/>
      </c>
      <c r="K242" s="16" t="inlineStr">
        <is>
          <t>Yes</t>
        </is>
      </c>
      <c r="L242" s="16" t="n">
        <v>42</v>
      </c>
      <c r="M24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2.85 KM from MKX, Morak(MKX), IBH RMA-MKX  ...(+32 more)</t>
        </is>
      </c>
    </row>
    <row r="243" ht="184" customHeight="1">
      <c r="A243" s="16" t="inlineStr">
        <is>
          <t>5 Jun</t>
        </is>
      </c>
      <c r="B243" s="16" t="inlineStr">
        <is>
          <t>37031</t>
        </is>
      </c>
      <c r="C243" s="16" t="n">
        <v>11819</v>
      </c>
      <c r="D243" s="16" t="n">
        <v>11765</v>
      </c>
      <c r="E243" s="16" t="n">
        <v>11765</v>
      </c>
      <c r="F243" s="38" t="n">
        <v>920368</v>
      </c>
      <c r="G243" s="38" t="n">
        <v>1028911</v>
      </c>
      <c r="H243" s="38" t="n">
        <v>920368</v>
      </c>
      <c r="I243" s="38" t="n">
        <v>1028911</v>
      </c>
      <c r="J243" s="19">
        <f>(I243-H243)/1000</f>
        <v/>
      </c>
      <c r="K243" s="16" t="inlineStr">
        <is>
          <t>Yes</t>
        </is>
      </c>
      <c r="L243" s="16" t="n">
        <v>31</v>
      </c>
      <c r="M24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244" ht="184" customHeight="1">
      <c r="A244" s="16" t="inlineStr">
        <is>
          <t>5 Jun</t>
        </is>
      </c>
      <c r="B244" s="16" t="inlineStr">
        <is>
          <t>37056</t>
        </is>
      </c>
      <c r="C244" s="16" t="n">
        <v>8952</v>
      </c>
      <c r="D244" s="16" t="n">
        <v>8900</v>
      </c>
      <c r="E244" s="16" t="n">
        <v>8900</v>
      </c>
      <c r="F244" s="38" t="n">
        <v>920360</v>
      </c>
      <c r="G244" s="38" t="n">
        <v>1028885</v>
      </c>
      <c r="H244" s="38" t="n">
        <v>920360</v>
      </c>
      <c r="I244" s="38" t="n">
        <v>1028885</v>
      </c>
      <c r="J244" s="19">
        <f>(I244-H244)/1000</f>
        <v/>
      </c>
      <c r="K244" s="16" t="inlineStr">
        <is>
          <t>Yes</t>
        </is>
      </c>
      <c r="L244" s="16" t="n">
        <v>31</v>
      </c>
      <c r="M24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245" ht="184" customHeight="1">
      <c r="A245" s="16" t="inlineStr">
        <is>
          <t>5 Jun</t>
        </is>
      </c>
      <c r="B245" s="16" t="inlineStr">
        <is>
          <t>37923</t>
        </is>
      </c>
      <c r="C245" s="16" t="n">
        <v>2121</v>
      </c>
      <c r="D245" s="16" t="n">
        <v>2121</v>
      </c>
      <c r="E245" s="16" t="n">
        <v>2121</v>
      </c>
      <c r="F245" s="38" t="n">
        <v>920811</v>
      </c>
      <c r="G245" s="38" t="n">
        <v>1028402</v>
      </c>
      <c r="H245" s="38" t="n">
        <v>920811</v>
      </c>
      <c r="I245" s="38" t="n">
        <v>1028402</v>
      </c>
      <c r="J245" s="19">
        <f>(I245-H245)/1000</f>
        <v/>
      </c>
      <c r="K245" s="16" t="inlineStr">
        <is>
          <t>Yes</t>
        </is>
      </c>
      <c r="L245" s="16" t="n">
        <v>31</v>
      </c>
      <c r="M24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246" ht="184" customHeight="1">
      <c r="A246" s="16" t="inlineStr">
        <is>
          <t>5 Jun</t>
        </is>
      </c>
      <c r="B246" s="16" t="inlineStr">
        <is>
          <t>37229</t>
        </is>
      </c>
      <c r="C246" s="16" t="n">
        <v>3037</v>
      </c>
      <c r="D246" s="16" t="n">
        <v>3030</v>
      </c>
      <c r="E246" s="16" t="n">
        <v>3030</v>
      </c>
      <c r="F246" s="38" t="n">
        <v>920367</v>
      </c>
      <c r="G246" s="38" t="n">
        <v>991942</v>
      </c>
      <c r="H246" s="38" t="n">
        <v>920367</v>
      </c>
      <c r="I246" s="38" t="n">
        <v>991942</v>
      </c>
      <c r="J246" s="19">
        <f>(I246-H246)/1000</f>
        <v/>
      </c>
      <c r="K246" s="16" t="inlineStr">
        <is>
          <t>Yes</t>
        </is>
      </c>
      <c r="L246" s="16" t="n">
        <v>22</v>
      </c>
      <c r="M24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...(+52 more)</t>
        </is>
      </c>
    </row>
    <row r="247" ht="184" customHeight="1">
      <c r="A247" s="16" t="inlineStr">
        <is>
          <t>5 Jun</t>
        </is>
      </c>
      <c r="B247" s="16" t="inlineStr">
        <is>
          <t>39421</t>
        </is>
      </c>
      <c r="C247" s="16" t="n">
        <v>560</v>
      </c>
      <c r="D247" s="16" t="n">
        <v>560</v>
      </c>
      <c r="E247" s="16" t="n">
        <v>87</v>
      </c>
      <c r="F247" s="38" t="n">
        <v>1208565</v>
      </c>
      <c r="G247" s="38" t="n">
        <v>1386046</v>
      </c>
      <c r="H247" s="38" t="n">
        <v>1208565</v>
      </c>
      <c r="I247" s="38" t="n">
        <v>1243979</v>
      </c>
      <c r="J247" s="19">
        <f>(I247-H247)/1000</f>
        <v/>
      </c>
      <c r="K247" s="16" t="inlineStr">
        <is>
          <t>Yes</t>
        </is>
      </c>
      <c r="L247" s="16" t="n">
        <v>8</v>
      </c>
      <c r="M247" s="39" t="inlineStr">
        <is>
          <t>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  ...(+66 more)</t>
        </is>
      </c>
    </row>
    <row r="248" ht="184" customHeight="1">
      <c r="A248" s="16" t="inlineStr">
        <is>
          <t>5 Jun</t>
        </is>
      </c>
      <c r="B248" s="16" t="inlineStr">
        <is>
          <t>37251</t>
        </is>
      </c>
      <c r="C248" s="16" t="n">
        <v>106</v>
      </c>
      <c r="D248" s="16" t="n">
        <v>103</v>
      </c>
      <c r="E248" s="16" t="n">
        <v>103</v>
      </c>
      <c r="F248" s="38" t="n">
        <v>1213388</v>
      </c>
      <c r="G248" s="38" t="n">
        <v>1243185</v>
      </c>
      <c r="H248" s="38" t="n">
        <v>1213388</v>
      </c>
      <c r="I248" s="38" t="n">
        <v>1243185</v>
      </c>
      <c r="J248" s="19">
        <f>(I248-H248)/1000</f>
        <v/>
      </c>
      <c r="K248" s="16" t="inlineStr">
        <is>
          <t>Yes</t>
        </is>
      </c>
      <c r="L248" s="16" t="n">
        <v>7</v>
      </c>
      <c r="M248" s="39" t="inlineStr">
        <is>
          <t>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  ...(+67 more)</t>
        </is>
      </c>
    </row>
    <row r="249" ht="184" customHeight="1">
      <c r="A249" s="16" t="inlineStr">
        <is>
          <t>5 Jun</t>
        </is>
      </c>
      <c r="B249" s="16" t="inlineStr">
        <is>
          <t>39252</t>
        </is>
      </c>
      <c r="C249" s="16" t="n">
        <v>629</v>
      </c>
      <c r="D249" s="16" t="n">
        <v>599</v>
      </c>
      <c r="E249" s="16" t="n">
        <v>599</v>
      </c>
      <c r="F249" s="38" t="n">
        <v>992235</v>
      </c>
      <c r="G249" s="38" t="n">
        <v>1009596</v>
      </c>
      <c r="H249" s="38" t="n">
        <v>992235</v>
      </c>
      <c r="I249" s="38" t="n">
        <v>1009596</v>
      </c>
      <c r="J249" s="19">
        <f>(I249-H249)/1000</f>
        <v/>
      </c>
      <c r="K249" s="16" t="inlineStr">
        <is>
          <t>Yes</t>
        </is>
      </c>
      <c r="L249" s="16" t="n">
        <v>4</v>
      </c>
      <c r="M24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...(+70 more)</t>
        </is>
      </c>
    </row>
    <row r="250" ht="184" customHeight="1">
      <c r="A250" s="16" t="inlineStr">
        <is>
          <t>5 Jun</t>
        </is>
      </c>
      <c r="B250" s="16" t="inlineStr">
        <is>
          <t>30404</t>
        </is>
      </c>
      <c r="C250" s="16" t="n">
        <v>257</v>
      </c>
      <c r="D250" s="16" t="n">
        <v>256</v>
      </c>
      <c r="E250" s="16" t="n">
        <v>55</v>
      </c>
      <c r="F250" s="38" t="n">
        <v>1231202</v>
      </c>
      <c r="G250" s="38" t="n">
        <v>1276902</v>
      </c>
      <c r="H250" s="38" t="n">
        <v>1231202</v>
      </c>
      <c r="I250" s="38" t="n">
        <v>1243685</v>
      </c>
      <c r="J250" s="19">
        <f>(I250-H250)/1000</f>
        <v/>
      </c>
      <c r="K250" s="16" t="inlineStr">
        <is>
          <t>Yes</t>
        </is>
      </c>
      <c r="L250" s="16" t="n">
        <v>3</v>
      </c>
      <c r="M250" s="39" t="inlineStr">
        <is>
          <t>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  ...(+71 more)</t>
        </is>
      </c>
    </row>
    <row r="251" ht="184" customHeight="1">
      <c r="A251" s="16" t="inlineStr">
        <is>
          <t>5 Jun</t>
        </is>
      </c>
      <c r="B251" s="16" t="inlineStr">
        <is>
          <t>37839</t>
        </is>
      </c>
      <c r="C251" s="16" t="n">
        <v>828</v>
      </c>
      <c r="D251" s="16" t="n">
        <v>609</v>
      </c>
      <c r="E251" s="16" t="n">
        <v>225</v>
      </c>
      <c r="F251" s="38" t="n">
        <v>639</v>
      </c>
      <c r="G251" s="38" t="n">
        <v>925631</v>
      </c>
      <c r="H251" s="38" t="n">
        <v>922556</v>
      </c>
      <c r="I251" s="38" t="n">
        <v>925631</v>
      </c>
      <c r="J251" s="19">
        <f>(I251-H251)/1000</f>
        <v/>
      </c>
      <c r="K251" s="16" t="inlineStr">
        <is>
          <t>Yes</t>
        </is>
      </c>
      <c r="L251" s="16" t="n">
        <v>3</v>
      </c>
      <c r="M25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...(+71 more)</t>
        </is>
      </c>
    </row>
    <row r="252" ht="184" customHeight="1">
      <c r="A252" s="16" t="inlineStr">
        <is>
          <t>5 Jun</t>
        </is>
      </c>
      <c r="B252" s="16" t="inlineStr">
        <is>
          <t>37393</t>
        </is>
      </c>
      <c r="C252" s="16" t="n">
        <v>69</v>
      </c>
      <c r="D252" s="16" t="n">
        <v>66</v>
      </c>
      <c r="E252" s="16" t="n">
        <v>3</v>
      </c>
      <c r="F252" s="38" t="n">
        <v>1241145</v>
      </c>
      <c r="G252" s="38" t="n">
        <v>1247960</v>
      </c>
      <c r="H252" s="38" t="n">
        <v>1241145</v>
      </c>
      <c r="I252" s="38" t="n">
        <v>1243941</v>
      </c>
      <c r="J252" s="19">
        <f>(I252-H252)/1000</f>
        <v/>
      </c>
      <c r="K252" s="16" t="inlineStr">
        <is>
          <t>Yes</t>
        </is>
      </c>
      <c r="L252" s="16" t="n">
        <v>1</v>
      </c>
      <c r="M252" s="39" t="inlineStr">
        <is>
          <t>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  ...(+73 more)</t>
        </is>
      </c>
    </row>
    <row r="253" ht="184" customHeight="1">
      <c r="A253" s="31" t="inlineStr">
        <is>
          <t>5 Jun</t>
        </is>
      </c>
      <c r="B253" s="31" t="inlineStr">
        <is>
          <t>30006</t>
        </is>
      </c>
      <c r="C253" s="31" t="n">
        <v>409</v>
      </c>
      <c r="D253" s="31" t="n">
        <v>408</v>
      </c>
      <c r="E253" s="31" t="n">
        <v>0</v>
      </c>
      <c r="F253" s="40" t="n">
        <v>1401393</v>
      </c>
      <c r="G253" s="40" t="n">
        <v>1425738</v>
      </c>
      <c r="H253" s="40" t="inlineStr">
        <is>
          <t>-</t>
        </is>
      </c>
      <c r="I253" s="40" t="inlineStr">
        <is>
          <t>-</t>
        </is>
      </c>
      <c r="J253" s="41" t="n">
        <v>0</v>
      </c>
      <c r="K253" s="31" t="inlineStr">
        <is>
          <t>No</t>
        </is>
      </c>
      <c r="L253" s="31" t="n">
        <v>0</v>
      </c>
      <c r="M25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4" ht="184" customHeight="1">
      <c r="A254" s="31" t="inlineStr">
        <is>
          <t>5 Jun</t>
        </is>
      </c>
      <c r="B254" s="31" t="inlineStr">
        <is>
          <t>30352</t>
        </is>
      </c>
      <c r="C254" s="31" t="n">
        <v>278</v>
      </c>
      <c r="D254" s="31" t="n">
        <v>273</v>
      </c>
      <c r="E254" s="31" t="n">
        <v>0</v>
      </c>
      <c r="F254" s="40" t="n">
        <v>1401375</v>
      </c>
      <c r="G254" s="40" t="n">
        <v>1426474</v>
      </c>
      <c r="H254" s="40" t="inlineStr">
        <is>
          <t>-</t>
        </is>
      </c>
      <c r="I254" s="40" t="inlineStr">
        <is>
          <t>-</t>
        </is>
      </c>
      <c r="J254" s="41" t="n">
        <v>0</v>
      </c>
      <c r="K254" s="31" t="inlineStr">
        <is>
          <t>No</t>
        </is>
      </c>
      <c r="L254" s="31" t="n">
        <v>0</v>
      </c>
      <c r="M25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5" ht="184" customHeight="1">
      <c r="A255" s="31" t="inlineStr">
        <is>
          <t>5 Jun</t>
        </is>
      </c>
      <c r="B255" s="31" t="inlineStr">
        <is>
          <t>30543</t>
        </is>
      </c>
      <c r="C255" s="31" t="n">
        <v>518</v>
      </c>
      <c r="D255" s="31" t="n">
        <v>517</v>
      </c>
      <c r="E255" s="31" t="n">
        <v>0</v>
      </c>
      <c r="F255" s="40" t="n">
        <v>1401388</v>
      </c>
      <c r="G255" s="40" t="n">
        <v>1436285</v>
      </c>
      <c r="H255" s="40" t="inlineStr">
        <is>
          <t>-</t>
        </is>
      </c>
      <c r="I255" s="40" t="inlineStr">
        <is>
          <t>-</t>
        </is>
      </c>
      <c r="J255" s="41" t="n">
        <v>0</v>
      </c>
      <c r="K255" s="31" t="inlineStr">
        <is>
          <t>No</t>
        </is>
      </c>
      <c r="L255" s="31" t="n">
        <v>0</v>
      </c>
      <c r="M25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6" ht="184" customHeight="1">
      <c r="A256" s="31" t="inlineStr">
        <is>
          <t>5 Jun</t>
        </is>
      </c>
      <c r="B256" s="31" t="inlineStr">
        <is>
          <t>30721</t>
        </is>
      </c>
      <c r="C256" s="31" t="n">
        <v>274</v>
      </c>
      <c r="D256" s="31" t="n">
        <v>272</v>
      </c>
      <c r="E256" s="31" t="n">
        <v>0</v>
      </c>
      <c r="F256" s="40" t="n">
        <v>1401680</v>
      </c>
      <c r="G256" s="40" t="n">
        <v>1435804</v>
      </c>
      <c r="H256" s="40" t="inlineStr">
        <is>
          <t>-</t>
        </is>
      </c>
      <c r="I256" s="40" t="inlineStr">
        <is>
          <t>-</t>
        </is>
      </c>
      <c r="J256" s="41" t="n">
        <v>0</v>
      </c>
      <c r="K256" s="31" t="inlineStr">
        <is>
          <t>No</t>
        </is>
      </c>
      <c r="L256" s="31" t="n">
        <v>0</v>
      </c>
      <c r="M25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7" ht="184" customHeight="1">
      <c r="A257" s="31" t="inlineStr">
        <is>
          <t>5 Jun</t>
        </is>
      </c>
      <c r="B257" s="31" t="inlineStr">
        <is>
          <t>37163</t>
        </is>
      </c>
      <c r="C257" s="31" t="n">
        <v>715</v>
      </c>
      <c r="D257" s="31" t="n">
        <v>715</v>
      </c>
      <c r="E257" s="31" t="n">
        <v>0</v>
      </c>
      <c r="F257" s="40" t="n">
        <v>604756</v>
      </c>
      <c r="G257" s="40" t="n">
        <v>695586</v>
      </c>
      <c r="H257" s="40" t="inlineStr">
        <is>
          <t>-</t>
        </is>
      </c>
      <c r="I257" s="40" t="inlineStr">
        <is>
          <t>-</t>
        </is>
      </c>
      <c r="J257" s="41" t="n">
        <v>0</v>
      </c>
      <c r="K257" s="31" t="inlineStr">
        <is>
          <t>No</t>
        </is>
      </c>
      <c r="L257" s="31" t="n">
        <v>0</v>
      </c>
      <c r="M25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8" ht="184" customHeight="1">
      <c r="A258" s="31" t="inlineStr">
        <is>
          <t>5 Jun</t>
        </is>
      </c>
      <c r="B258" s="31" t="inlineStr">
        <is>
          <t>37325</t>
        </is>
      </c>
      <c r="C258" s="31" t="n">
        <v>566</v>
      </c>
      <c r="D258" s="31" t="n">
        <v>559</v>
      </c>
      <c r="E258" s="31" t="n">
        <v>0</v>
      </c>
      <c r="F258" s="40" t="n">
        <v>1401688</v>
      </c>
      <c r="G258" s="40" t="n">
        <v>1453178</v>
      </c>
      <c r="H258" s="40" t="inlineStr">
        <is>
          <t>-</t>
        </is>
      </c>
      <c r="I258" s="40" t="inlineStr">
        <is>
          <t>-</t>
        </is>
      </c>
      <c r="J258" s="41" t="n">
        <v>0</v>
      </c>
      <c r="K258" s="31" t="inlineStr">
        <is>
          <t>No</t>
        </is>
      </c>
      <c r="L258" s="31" t="n">
        <v>0</v>
      </c>
      <c r="M25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9" ht="184" customHeight="1">
      <c r="A259" s="31" t="inlineStr">
        <is>
          <t>5 Jun</t>
        </is>
      </c>
      <c r="B259" s="31" t="inlineStr">
        <is>
          <t>37470</t>
        </is>
      </c>
      <c r="C259" s="31" t="n">
        <v>25</v>
      </c>
      <c r="D259" s="31" t="n">
        <v>25</v>
      </c>
      <c r="E259" s="31" t="n">
        <v>0</v>
      </c>
      <c r="F259" s="40" t="n">
        <v>606260</v>
      </c>
      <c r="G259" s="40" t="n">
        <v>652239</v>
      </c>
      <c r="H259" s="40" t="inlineStr">
        <is>
          <t>-</t>
        </is>
      </c>
      <c r="I259" s="40" t="inlineStr">
        <is>
          <t>-</t>
        </is>
      </c>
      <c r="J259" s="41" t="n">
        <v>0</v>
      </c>
      <c r="K259" s="31" t="inlineStr">
        <is>
          <t>No</t>
        </is>
      </c>
      <c r="L259" s="31" t="n">
        <v>0</v>
      </c>
      <c r="M25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60" ht="184" customHeight="1">
      <c r="A260" s="31" t="inlineStr">
        <is>
          <t>5 Jun</t>
        </is>
      </c>
      <c r="B260" s="31" t="inlineStr">
        <is>
          <t>37494</t>
        </is>
      </c>
      <c r="C260" s="31" t="n">
        <v>329</v>
      </c>
      <c r="D260" s="31" t="n">
        <v>329</v>
      </c>
      <c r="E260" s="31" t="n">
        <v>0</v>
      </c>
      <c r="F260" s="40" t="n">
        <v>1401336</v>
      </c>
      <c r="G260" s="40" t="n">
        <v>1436938</v>
      </c>
      <c r="H260" s="40" t="inlineStr">
        <is>
          <t>-</t>
        </is>
      </c>
      <c r="I260" s="40" t="inlineStr">
        <is>
          <t>-</t>
        </is>
      </c>
      <c r="J260" s="41" t="n">
        <v>0</v>
      </c>
      <c r="K260" s="31" t="inlineStr">
        <is>
          <t>No</t>
        </is>
      </c>
      <c r="L260" s="31" t="n">
        <v>0</v>
      </c>
      <c r="M26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61" ht="184" customHeight="1">
      <c r="A261" s="31" t="inlineStr">
        <is>
          <t>5 Jun</t>
        </is>
      </c>
      <c r="B261" s="31" t="inlineStr">
        <is>
          <t>37527</t>
        </is>
      </c>
      <c r="C261" s="31" t="n">
        <v>7</v>
      </c>
      <c r="D261" s="31" t="n">
        <v>0</v>
      </c>
      <c r="E261" s="31" t="n">
        <v>0</v>
      </c>
      <c r="F261" s="40" t="inlineStr">
        <is>
          <t>-</t>
        </is>
      </c>
      <c r="G261" s="40" t="inlineStr">
        <is>
          <t>-</t>
        </is>
      </c>
      <c r="H261" s="40" t="inlineStr">
        <is>
          <t>-</t>
        </is>
      </c>
      <c r="I261" s="40" t="inlineStr">
        <is>
          <t>-</t>
        </is>
      </c>
      <c r="J261" s="41" t="n">
        <v>0</v>
      </c>
      <c r="K261" s="31" t="inlineStr">
        <is>
          <t>No</t>
        </is>
      </c>
      <c r="L261" s="31" t="n">
        <v>0</v>
      </c>
      <c r="M26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62" ht="184" customHeight="1">
      <c r="A262" s="31" t="inlineStr">
        <is>
          <t>5 Jun</t>
        </is>
      </c>
      <c r="B262" s="31" t="inlineStr">
        <is>
          <t>37548</t>
        </is>
      </c>
      <c r="C262" s="31" t="n">
        <v>2366</v>
      </c>
      <c r="D262" s="31" t="n">
        <v>2304</v>
      </c>
      <c r="E262" s="31" t="n">
        <v>0</v>
      </c>
      <c r="F262" s="40" t="n">
        <v>1900</v>
      </c>
      <c r="G262" s="40" t="n">
        <v>697868</v>
      </c>
      <c r="H262" s="40" t="inlineStr">
        <is>
          <t>-</t>
        </is>
      </c>
      <c r="I262" s="40" t="inlineStr">
        <is>
          <t>-</t>
        </is>
      </c>
      <c r="J262" s="41" t="n">
        <v>0</v>
      </c>
      <c r="K262" s="31" t="inlineStr">
        <is>
          <t>No</t>
        </is>
      </c>
      <c r="L262" s="31" t="n">
        <v>0</v>
      </c>
      <c r="M26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63" ht="184" customHeight="1">
      <c r="A263" s="31" t="inlineStr">
        <is>
          <t>5 Jun</t>
        </is>
      </c>
      <c r="B263" s="31" t="inlineStr">
        <is>
          <t>37602</t>
        </is>
      </c>
      <c r="C263" s="31" t="n">
        <v>2093</v>
      </c>
      <c r="D263" s="31" t="n">
        <v>2013</v>
      </c>
      <c r="E263" s="31" t="n">
        <v>0</v>
      </c>
      <c r="F263" s="40" t="n">
        <v>1591</v>
      </c>
      <c r="G263" s="40" t="n">
        <v>697372</v>
      </c>
      <c r="H263" s="40" t="inlineStr">
        <is>
          <t>-</t>
        </is>
      </c>
      <c r="I263" s="40" t="inlineStr">
        <is>
          <t>-</t>
        </is>
      </c>
      <c r="J263" s="41" t="n">
        <v>0</v>
      </c>
      <c r="K263" s="31" t="inlineStr">
        <is>
          <t>No</t>
        </is>
      </c>
      <c r="L263" s="31" t="n">
        <v>0</v>
      </c>
      <c r="M26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64" ht="184" customHeight="1">
      <c r="A264" s="31" t="inlineStr">
        <is>
          <t>5 Jun</t>
        </is>
      </c>
      <c r="B264" s="31" t="inlineStr">
        <is>
          <t>37628</t>
        </is>
      </c>
      <c r="C264" s="31" t="n">
        <v>390</v>
      </c>
      <c r="D264" s="31" t="n">
        <v>389</v>
      </c>
      <c r="E264" s="31" t="n">
        <v>0</v>
      </c>
      <c r="F264" s="40" t="n">
        <v>1401398</v>
      </c>
      <c r="G264" s="40" t="n">
        <v>1425365</v>
      </c>
      <c r="H264" s="40" t="inlineStr">
        <is>
          <t>-</t>
        </is>
      </c>
      <c r="I264" s="40" t="inlineStr">
        <is>
          <t>-</t>
        </is>
      </c>
      <c r="J264" s="41" t="n">
        <v>0</v>
      </c>
      <c r="K264" s="31" t="inlineStr">
        <is>
          <t>No</t>
        </is>
      </c>
      <c r="L264" s="31" t="n">
        <v>0</v>
      </c>
      <c r="M26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65" ht="184" customHeight="1">
      <c r="A265" s="31" t="inlineStr">
        <is>
          <t>5 Jun</t>
        </is>
      </c>
      <c r="B265" s="31" t="inlineStr">
        <is>
          <t>37786</t>
        </is>
      </c>
      <c r="C265" s="31" t="n">
        <v>507</v>
      </c>
      <c r="D265" s="31" t="n">
        <v>503</v>
      </c>
      <c r="E265" s="31" t="n">
        <v>0</v>
      </c>
      <c r="F265" s="40" t="n">
        <v>1264195</v>
      </c>
      <c r="G265" s="40" t="n">
        <v>1437085</v>
      </c>
      <c r="H265" s="40" t="inlineStr">
        <is>
          <t>-</t>
        </is>
      </c>
      <c r="I265" s="40" t="inlineStr">
        <is>
          <t>-</t>
        </is>
      </c>
      <c r="J265" s="41" t="n">
        <v>0</v>
      </c>
      <c r="K265" s="31" t="inlineStr">
        <is>
          <t>No</t>
        </is>
      </c>
      <c r="L265" s="31" t="n">
        <v>0</v>
      </c>
      <c r="M26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66" ht="184" customHeight="1">
      <c r="A266" s="31" t="inlineStr">
        <is>
          <t>5 Jun</t>
        </is>
      </c>
      <c r="B266" s="31" t="inlineStr">
        <is>
          <t>37834</t>
        </is>
      </c>
      <c r="C266" s="31" t="n">
        <v>964</v>
      </c>
      <c r="D266" s="31" t="n">
        <v>963</v>
      </c>
      <c r="E266" s="31" t="n">
        <v>0</v>
      </c>
      <c r="F266" s="40" t="n">
        <v>1401390</v>
      </c>
      <c r="G266" s="40" t="n">
        <v>1449126</v>
      </c>
      <c r="H266" s="40" t="inlineStr">
        <is>
          <t>-</t>
        </is>
      </c>
      <c r="I266" s="40" t="inlineStr">
        <is>
          <t>-</t>
        </is>
      </c>
      <c r="J266" s="41" t="n">
        <v>0</v>
      </c>
      <c r="K266" s="31" t="inlineStr">
        <is>
          <t>No</t>
        </is>
      </c>
      <c r="L266" s="31" t="n">
        <v>0</v>
      </c>
      <c r="M26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67" ht="184" customHeight="1">
      <c r="A267" s="31" t="inlineStr">
        <is>
          <t>5 Jun</t>
        </is>
      </c>
      <c r="B267" s="31" t="inlineStr">
        <is>
          <t>37853</t>
        </is>
      </c>
      <c r="C267" s="31" t="n">
        <v>979</v>
      </c>
      <c r="D267" s="31" t="n">
        <v>979</v>
      </c>
      <c r="E267" s="31" t="n">
        <v>0</v>
      </c>
      <c r="F267" s="40" t="n">
        <v>1401409</v>
      </c>
      <c r="G267" s="40" t="n">
        <v>1473294</v>
      </c>
      <c r="H267" s="40" t="inlineStr">
        <is>
          <t>-</t>
        </is>
      </c>
      <c r="I267" s="40" t="inlineStr">
        <is>
          <t>-</t>
        </is>
      </c>
      <c r="J267" s="41" t="n">
        <v>0</v>
      </c>
      <c r="K267" s="31" t="inlineStr">
        <is>
          <t>No</t>
        </is>
      </c>
      <c r="L267" s="31" t="n">
        <v>0</v>
      </c>
      <c r="M26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68" ht="184" customHeight="1">
      <c r="A268" s="31" t="inlineStr">
        <is>
          <t>5 Jun</t>
        </is>
      </c>
      <c r="B268" s="31" t="inlineStr">
        <is>
          <t>37856</t>
        </is>
      </c>
      <c r="C268" s="31" t="n">
        <v>555</v>
      </c>
      <c r="D268" s="31" t="n">
        <v>553</v>
      </c>
      <c r="E268" s="31" t="n">
        <v>0</v>
      </c>
      <c r="F268" s="40" t="n">
        <v>1401688</v>
      </c>
      <c r="G268" s="40" t="n">
        <v>1438426</v>
      </c>
      <c r="H268" s="40" t="inlineStr">
        <is>
          <t>-</t>
        </is>
      </c>
      <c r="I268" s="40" t="inlineStr">
        <is>
          <t>-</t>
        </is>
      </c>
      <c r="J268" s="41" t="n">
        <v>0</v>
      </c>
      <c r="K268" s="31" t="inlineStr">
        <is>
          <t>No</t>
        </is>
      </c>
      <c r="L268" s="31" t="n">
        <v>0</v>
      </c>
      <c r="M26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69" ht="184" customHeight="1">
      <c r="A269" s="31" t="inlineStr">
        <is>
          <t>5 Jun</t>
        </is>
      </c>
      <c r="B269" s="31" t="inlineStr">
        <is>
          <t>39336</t>
        </is>
      </c>
      <c r="C269" s="31" t="n">
        <v>1216</v>
      </c>
      <c r="D269" s="31" t="n">
        <v>1215</v>
      </c>
      <c r="E269" s="31" t="n">
        <v>0</v>
      </c>
      <c r="F269" s="40" t="n">
        <v>1401359</v>
      </c>
      <c r="G269" s="40" t="n">
        <v>1436923</v>
      </c>
      <c r="H269" s="40" t="inlineStr">
        <is>
          <t>-</t>
        </is>
      </c>
      <c r="I269" s="40" t="inlineStr">
        <is>
          <t>-</t>
        </is>
      </c>
      <c r="J269" s="41" t="n">
        <v>0</v>
      </c>
      <c r="K269" s="31" t="inlineStr">
        <is>
          <t>No</t>
        </is>
      </c>
      <c r="L269" s="31" t="n">
        <v>0</v>
      </c>
      <c r="M26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70" ht="184" customHeight="1">
      <c r="A270" s="31" t="inlineStr">
        <is>
          <t>5 Jun</t>
        </is>
      </c>
      <c r="B270" s="31" t="inlineStr">
        <is>
          <t>39353</t>
        </is>
      </c>
      <c r="C270" s="31" t="n">
        <v>271</v>
      </c>
      <c r="D270" s="31" t="n">
        <v>269</v>
      </c>
      <c r="E270" s="31" t="n">
        <v>0</v>
      </c>
      <c r="F270" s="40" t="n">
        <v>1401703</v>
      </c>
      <c r="G270" s="40" t="n">
        <v>1425966</v>
      </c>
      <c r="H270" s="40" t="inlineStr">
        <is>
          <t>-</t>
        </is>
      </c>
      <c r="I270" s="40" t="inlineStr">
        <is>
          <t>-</t>
        </is>
      </c>
      <c r="J270" s="41" t="n">
        <v>0</v>
      </c>
      <c r="K270" s="31" t="inlineStr">
        <is>
          <t>No</t>
        </is>
      </c>
      <c r="L270" s="31" t="n">
        <v>0</v>
      </c>
      <c r="M27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71" ht="184" customHeight="1">
      <c r="A271" s="31" t="inlineStr">
        <is>
          <t>5 Jun</t>
        </is>
      </c>
      <c r="B271" s="31" t="inlineStr">
        <is>
          <t>43821</t>
        </is>
      </c>
      <c r="C271" s="31" t="n">
        <v>951</v>
      </c>
      <c r="D271" s="31" t="n">
        <v>903</v>
      </c>
      <c r="E271" s="31" t="n">
        <v>0</v>
      </c>
      <c r="F271" s="40" t="n">
        <v>1924</v>
      </c>
      <c r="G271" s="40" t="n">
        <v>698467</v>
      </c>
      <c r="H271" s="40" t="inlineStr">
        <is>
          <t>-</t>
        </is>
      </c>
      <c r="I271" s="40" t="inlineStr">
        <is>
          <t>-</t>
        </is>
      </c>
      <c r="J271" s="41" t="n">
        <v>0</v>
      </c>
      <c r="K271" s="31" t="inlineStr">
        <is>
          <t>No</t>
        </is>
      </c>
      <c r="L271" s="31" t="n">
        <v>0</v>
      </c>
      <c r="M27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72" ht="184" customHeight="1">
      <c r="A272" s="31" t="inlineStr">
        <is>
          <t>5 Jun</t>
        </is>
      </c>
      <c r="B272" s="31" t="inlineStr">
        <is>
          <t>52196</t>
        </is>
      </c>
      <c r="C272" s="31" t="n">
        <v>2228</v>
      </c>
      <c r="D272" s="31" t="n">
        <v>2182</v>
      </c>
      <c r="E272" s="31" t="n">
        <v>0</v>
      </c>
      <c r="F272" s="40" t="n">
        <v>143307</v>
      </c>
      <c r="G272" s="40" t="n">
        <v>154783</v>
      </c>
      <c r="H272" s="40" t="inlineStr">
        <is>
          <t>-</t>
        </is>
      </c>
      <c r="I272" s="40" t="inlineStr">
        <is>
          <t>-</t>
        </is>
      </c>
      <c r="J272" s="41" t="n">
        <v>0</v>
      </c>
      <c r="K272" s="31" t="inlineStr">
        <is>
          <t>No</t>
        </is>
      </c>
      <c r="L272" s="31" t="n">
        <v>0</v>
      </c>
      <c r="M27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73">
      <c r="A273" s="16" t="inlineStr">
        <is>
          <t>6 Jun</t>
        </is>
      </c>
      <c r="B273" s="16" t="inlineStr">
        <is>
          <t>30739</t>
        </is>
      </c>
      <c r="C273" s="16" t="n">
        <v>18366</v>
      </c>
      <c r="D273" s="16" t="n">
        <v>18344</v>
      </c>
      <c r="E273" s="16" t="n">
        <v>18073</v>
      </c>
      <c r="F273" s="38" t="n">
        <v>695655</v>
      </c>
      <c r="G273" s="38" t="n">
        <v>1242968</v>
      </c>
      <c r="H273" s="38" t="n">
        <v>699076</v>
      </c>
      <c r="I273" s="38" t="n">
        <v>1242968</v>
      </c>
      <c r="J273" s="19">
        <f>(I273-H273)/1000</f>
        <v/>
      </c>
      <c r="K273" s="16" t="inlineStr">
        <is>
          <t>Yes</t>
        </is>
      </c>
      <c r="L273" s="16" t="n">
        <v>124</v>
      </c>
      <c r="M273" s="39" t="inlineStr">
        <is>
          <t>- (full trip)</t>
        </is>
      </c>
    </row>
    <row r="274">
      <c r="A274" s="16" t="inlineStr">
        <is>
          <t>6 Jun</t>
        </is>
      </c>
      <c r="B274" s="16" t="inlineStr">
        <is>
          <t>37513</t>
        </is>
      </c>
      <c r="C274" s="16" t="n">
        <v>19756</v>
      </c>
      <c r="D274" s="16" t="n">
        <v>19702</v>
      </c>
      <c r="E274" s="16" t="n">
        <v>18166</v>
      </c>
      <c r="F274" s="38" t="n">
        <v>665823</v>
      </c>
      <c r="G274" s="38" t="n">
        <v>1449372</v>
      </c>
      <c r="H274" s="38" t="n">
        <v>699085</v>
      </c>
      <c r="I274" s="38" t="n">
        <v>1242974</v>
      </c>
      <c r="J274" s="19">
        <f>(I274-H274)/1000</f>
        <v/>
      </c>
      <c r="K274" s="16" t="inlineStr">
        <is>
          <t>Yes</t>
        </is>
      </c>
      <c r="L274" s="16" t="n">
        <v>124</v>
      </c>
      <c r="M274" s="39" t="inlineStr">
        <is>
          <t>- (full trip)</t>
        </is>
      </c>
    </row>
    <row r="275">
      <c r="A275" s="16" t="inlineStr">
        <is>
          <t>6 Jun</t>
        </is>
      </c>
      <c r="B275" s="16" t="inlineStr">
        <is>
          <t>37424</t>
        </is>
      </c>
      <c r="C275" s="16" t="n">
        <v>23336</v>
      </c>
      <c r="D275" s="16" t="n">
        <v>23322</v>
      </c>
      <c r="E275" s="16" t="n">
        <v>21045</v>
      </c>
      <c r="F275" s="38" t="n">
        <v>661645</v>
      </c>
      <c r="G275" s="38" t="n">
        <v>1469318</v>
      </c>
      <c r="H275" s="38" t="n">
        <v>699072</v>
      </c>
      <c r="I275" s="38" t="n">
        <v>1242951</v>
      </c>
      <c r="J275" s="19">
        <f>(I275-H275)/1000</f>
        <v/>
      </c>
      <c r="K275" s="16" t="inlineStr">
        <is>
          <t>Yes</t>
        </is>
      </c>
      <c r="L275" s="16" t="n">
        <v>124</v>
      </c>
      <c r="M275" s="39" t="inlineStr">
        <is>
          <t>- (full trip)</t>
        </is>
      </c>
    </row>
    <row r="276">
      <c r="A276" s="16" t="inlineStr">
        <is>
          <t>6 Jun</t>
        </is>
      </c>
      <c r="B276" s="16" t="inlineStr">
        <is>
          <t>37834</t>
        </is>
      </c>
      <c r="C276" s="16" t="n">
        <v>19380</v>
      </c>
      <c r="D276" s="16" t="n">
        <v>19331</v>
      </c>
      <c r="E276" s="16" t="n">
        <v>18692</v>
      </c>
      <c r="F276" s="38" t="n">
        <v>658552</v>
      </c>
      <c r="G276" s="38" t="n">
        <v>1242984</v>
      </c>
      <c r="H276" s="38" t="n">
        <v>699099</v>
      </c>
      <c r="I276" s="38" t="n">
        <v>1242984</v>
      </c>
      <c r="J276" s="19">
        <f>(I276-H276)/1000</f>
        <v/>
      </c>
      <c r="K276" s="16" t="inlineStr">
        <is>
          <t>Yes</t>
        </is>
      </c>
      <c r="L276" s="16" t="n">
        <v>124</v>
      </c>
      <c r="M276" s="39" t="inlineStr">
        <is>
          <t>- (full trip)</t>
        </is>
      </c>
    </row>
    <row r="277">
      <c r="A277" s="16" t="inlineStr">
        <is>
          <t>6 Jun</t>
        </is>
      </c>
      <c r="B277" s="16" t="inlineStr">
        <is>
          <t>39014</t>
        </is>
      </c>
      <c r="C277" s="16" t="n">
        <v>28354</v>
      </c>
      <c r="D277" s="16" t="n">
        <v>28314</v>
      </c>
      <c r="E277" s="16" t="n">
        <v>26774</v>
      </c>
      <c r="F277" s="38" t="n">
        <v>657020</v>
      </c>
      <c r="G277" s="38" t="n">
        <v>1437067</v>
      </c>
      <c r="H277" s="38" t="n">
        <v>699076</v>
      </c>
      <c r="I277" s="38" t="n">
        <v>1242939</v>
      </c>
      <c r="J277" s="19">
        <f>(I277-H277)/1000</f>
        <v/>
      </c>
      <c r="K277" s="16" t="inlineStr">
        <is>
          <t>Yes</t>
        </is>
      </c>
      <c r="L277" s="16" t="n">
        <v>124</v>
      </c>
      <c r="M277" s="39" t="inlineStr">
        <is>
          <t>- (full trip)</t>
        </is>
      </c>
    </row>
    <row r="278">
      <c r="A278" s="16" t="inlineStr">
        <is>
          <t>6 Jun</t>
        </is>
      </c>
      <c r="B278" s="16" t="inlineStr">
        <is>
          <t>37397</t>
        </is>
      </c>
      <c r="C278" s="16" t="n">
        <v>20296</v>
      </c>
      <c r="D278" s="16" t="n">
        <v>20277</v>
      </c>
      <c r="E278" s="16" t="n">
        <v>18875</v>
      </c>
      <c r="F278" s="38" t="n">
        <v>656320</v>
      </c>
      <c r="G278" s="38" t="n">
        <v>1436952</v>
      </c>
      <c r="H278" s="38" t="n">
        <v>699117</v>
      </c>
      <c r="I278" s="38" t="n">
        <v>1242917</v>
      </c>
      <c r="J278" s="19">
        <f>(I278-H278)/1000</f>
        <v/>
      </c>
      <c r="K278" s="16" t="inlineStr">
        <is>
          <t>Yes</t>
        </is>
      </c>
      <c r="L278" s="16" t="n">
        <v>124</v>
      </c>
      <c r="M278" s="39" t="inlineStr">
        <is>
          <t>- (full trip)</t>
        </is>
      </c>
    </row>
    <row r="279">
      <c r="A279" s="16" t="inlineStr">
        <is>
          <t>6 Jun</t>
        </is>
      </c>
      <c r="B279" s="16" t="inlineStr">
        <is>
          <t>37163</t>
        </is>
      </c>
      <c r="C279" s="16" t="n">
        <v>37518</v>
      </c>
      <c r="D279" s="16" t="n">
        <v>37462</v>
      </c>
      <c r="E279" s="16" t="n">
        <v>34068</v>
      </c>
      <c r="F279" s="38" t="n">
        <v>639883</v>
      </c>
      <c r="G279" s="38" t="n">
        <v>1449644</v>
      </c>
      <c r="H279" s="38" t="n">
        <v>699072</v>
      </c>
      <c r="I279" s="38" t="n">
        <v>1242716</v>
      </c>
      <c r="J279" s="19">
        <f>(I279-H279)/1000</f>
        <v/>
      </c>
      <c r="K279" s="16" t="inlineStr">
        <is>
          <t>Yes</t>
        </is>
      </c>
      <c r="L279" s="16" t="n">
        <v>124</v>
      </c>
      <c r="M279" s="39" t="inlineStr">
        <is>
          <t>- (full trip)</t>
        </is>
      </c>
    </row>
    <row r="280" ht="64" customHeight="1">
      <c r="A280" s="16" t="inlineStr">
        <is>
          <t>6 Jun</t>
        </is>
      </c>
      <c r="B280" s="16" t="inlineStr">
        <is>
          <t>30496</t>
        </is>
      </c>
      <c r="C280" s="16" t="n">
        <v>20673</v>
      </c>
      <c r="D280" s="16" t="n">
        <v>20673</v>
      </c>
      <c r="E280" s="16" t="n">
        <v>19495</v>
      </c>
      <c r="F280" s="38" t="n">
        <v>657041</v>
      </c>
      <c r="G280" s="38" t="n">
        <v>1172562</v>
      </c>
      <c r="H280" s="38" t="n">
        <v>699076</v>
      </c>
      <c r="I280" s="38" t="n">
        <v>1172562</v>
      </c>
      <c r="J280" s="19">
        <f>(I280-H280)/1000</f>
        <v/>
      </c>
      <c r="K280" s="16" t="inlineStr">
        <is>
          <t>Yes</t>
        </is>
      </c>
      <c r="L280" s="16" t="n">
        <v>108</v>
      </c>
      <c r="M280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281" ht="64" customHeight="1">
      <c r="A281" s="16" t="inlineStr">
        <is>
          <t>6 Jun</t>
        </is>
      </c>
      <c r="B281" s="16" t="inlineStr">
        <is>
          <t>39334</t>
        </is>
      </c>
      <c r="C281" s="16" t="n">
        <v>18457</v>
      </c>
      <c r="D281" s="16" t="n">
        <v>18422</v>
      </c>
      <c r="E281" s="16" t="n">
        <v>16943</v>
      </c>
      <c r="F281" s="38" t="n">
        <v>642843</v>
      </c>
      <c r="G281" s="38" t="n">
        <v>1169664</v>
      </c>
      <c r="H281" s="38" t="n">
        <v>699079</v>
      </c>
      <c r="I281" s="38" t="n">
        <v>1169664</v>
      </c>
      <c r="J281" s="19">
        <f>(I281-H281)/1000</f>
        <v/>
      </c>
      <c r="K281" s="16" t="inlineStr">
        <is>
          <t>Yes</t>
        </is>
      </c>
      <c r="L281" s="16" t="n">
        <v>108</v>
      </c>
      <c r="M281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282" ht="64" customHeight="1">
      <c r="A282" s="16" t="inlineStr">
        <is>
          <t>6 Jun</t>
        </is>
      </c>
      <c r="B282" s="16" t="inlineStr">
        <is>
          <t>30821</t>
        </is>
      </c>
      <c r="C282" s="16" t="n">
        <v>22752</v>
      </c>
      <c r="D282" s="16" t="n">
        <v>22752</v>
      </c>
      <c r="E282" s="16" t="n">
        <v>21610</v>
      </c>
      <c r="F282" s="38" t="n">
        <v>657191</v>
      </c>
      <c r="G282" s="38" t="n">
        <v>1169004</v>
      </c>
      <c r="H282" s="38" t="n">
        <v>699105</v>
      </c>
      <c r="I282" s="38" t="n">
        <v>1169004</v>
      </c>
      <c r="J282" s="19">
        <f>(I282-H282)/1000</f>
        <v/>
      </c>
      <c r="K282" s="16" t="inlineStr">
        <is>
          <t>Yes</t>
        </is>
      </c>
      <c r="L282" s="16" t="n">
        <v>108</v>
      </c>
      <c r="M282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283" ht="169" customHeight="1">
      <c r="A283" s="16" t="inlineStr">
        <is>
          <t>6 Jun</t>
        </is>
      </c>
      <c r="B283" s="16" t="inlineStr">
        <is>
          <t>37627</t>
        </is>
      </c>
      <c r="C283" s="16" t="n">
        <v>26645</v>
      </c>
      <c r="D283" s="16" t="n">
        <v>25778</v>
      </c>
      <c r="E283" s="16" t="n">
        <v>24842</v>
      </c>
      <c r="F283" s="38" t="n">
        <v>657155</v>
      </c>
      <c r="G283" s="38" t="n">
        <v>1028915</v>
      </c>
      <c r="H283" s="38" t="n">
        <v>699075</v>
      </c>
      <c r="I283" s="38" t="n">
        <v>1028915</v>
      </c>
      <c r="J283" s="19">
        <f>(I283-H283)/1000</f>
        <v/>
      </c>
      <c r="K283" s="16" t="inlineStr">
        <is>
          <t>Yes</t>
        </is>
      </c>
      <c r="L283" s="16" t="n">
        <v>77</v>
      </c>
      <c r="M28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284" ht="169" customHeight="1">
      <c r="A284" s="16" t="inlineStr">
        <is>
          <t>6 Jun</t>
        </is>
      </c>
      <c r="B284" s="16" t="inlineStr">
        <is>
          <t>39108</t>
        </is>
      </c>
      <c r="C284" s="16" t="n">
        <v>19415</v>
      </c>
      <c r="D284" s="16" t="n">
        <v>19384</v>
      </c>
      <c r="E284" s="16" t="n">
        <v>19068</v>
      </c>
      <c r="F284" s="38" t="n">
        <v>695663</v>
      </c>
      <c r="G284" s="38" t="n">
        <v>1028891</v>
      </c>
      <c r="H284" s="38" t="n">
        <v>699098</v>
      </c>
      <c r="I284" s="38" t="n">
        <v>1028891</v>
      </c>
      <c r="J284" s="19">
        <f>(I284-H284)/1000</f>
        <v/>
      </c>
      <c r="K284" s="16" t="inlineStr">
        <is>
          <t>Yes</t>
        </is>
      </c>
      <c r="L284" s="16" t="n">
        <v>77</v>
      </c>
      <c r="M28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285" ht="184" customHeight="1">
      <c r="A285" s="16" t="inlineStr">
        <is>
          <t>6 Jun</t>
        </is>
      </c>
      <c r="B285" s="16" t="inlineStr">
        <is>
          <t>39252</t>
        </is>
      </c>
      <c r="C285" s="16" t="n">
        <v>25547</v>
      </c>
      <c r="D285" s="16" t="n">
        <v>25482</v>
      </c>
      <c r="E285" s="16" t="n">
        <v>23828</v>
      </c>
      <c r="F285" s="38" t="n">
        <v>920374</v>
      </c>
      <c r="G285" s="38" t="n">
        <v>1458568</v>
      </c>
      <c r="H285" s="38" t="n">
        <v>920374</v>
      </c>
      <c r="I285" s="38" t="n">
        <v>1242969</v>
      </c>
      <c r="J285" s="19">
        <f>(I285-H285)/1000</f>
        <v/>
      </c>
      <c r="K285" s="16" t="inlineStr">
        <is>
          <t>Yes</t>
        </is>
      </c>
      <c r="L285" s="16" t="n">
        <v>78</v>
      </c>
      <c r="M285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86" ht="184" customHeight="1">
      <c r="A286" s="16" t="inlineStr">
        <is>
          <t>6 Jun</t>
        </is>
      </c>
      <c r="B286" s="16" t="inlineStr">
        <is>
          <t>30466</t>
        </is>
      </c>
      <c r="C286" s="16" t="n">
        <v>12891</v>
      </c>
      <c r="D286" s="16" t="n">
        <v>12857</v>
      </c>
      <c r="E286" s="16" t="n">
        <v>11555</v>
      </c>
      <c r="F286" s="38" t="n">
        <v>921251</v>
      </c>
      <c r="G286" s="38" t="n">
        <v>1474622</v>
      </c>
      <c r="H286" s="38" t="n">
        <v>921251</v>
      </c>
      <c r="I286" s="38" t="n">
        <v>1242952</v>
      </c>
      <c r="J286" s="19">
        <f>(I286-H286)/1000</f>
        <v/>
      </c>
      <c r="K286" s="16" t="inlineStr">
        <is>
          <t>Yes</t>
        </is>
      </c>
      <c r="L286" s="16" t="n">
        <v>78</v>
      </c>
      <c r="M286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87" ht="184" customHeight="1">
      <c r="A287" s="16" t="inlineStr">
        <is>
          <t>6 Jun</t>
        </is>
      </c>
      <c r="B287" s="16" t="inlineStr">
        <is>
          <t>30335</t>
        </is>
      </c>
      <c r="C287" s="16" t="n">
        <v>22680</v>
      </c>
      <c r="D287" s="16" t="n">
        <v>22645</v>
      </c>
      <c r="E287" s="16" t="n">
        <v>21742</v>
      </c>
      <c r="F287" s="38" t="n">
        <v>921481</v>
      </c>
      <c r="G287" s="38" t="n">
        <v>1485654</v>
      </c>
      <c r="H287" s="38" t="n">
        <v>921481</v>
      </c>
      <c r="I287" s="38" t="n">
        <v>1242964</v>
      </c>
      <c r="J287" s="19">
        <f>(I287-H287)/1000</f>
        <v/>
      </c>
      <c r="K287" s="16" t="inlineStr">
        <is>
          <t>Yes</t>
        </is>
      </c>
      <c r="L287" s="16" t="n">
        <v>78</v>
      </c>
      <c r="M287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88" ht="184" customHeight="1">
      <c r="A288" s="16" t="inlineStr">
        <is>
          <t>6 Jun</t>
        </is>
      </c>
      <c r="B288" s="16" t="inlineStr">
        <is>
          <t>30339</t>
        </is>
      </c>
      <c r="C288" s="16" t="n">
        <v>13311</v>
      </c>
      <c r="D288" s="16" t="n">
        <v>13300</v>
      </c>
      <c r="E288" s="16" t="n">
        <v>13239</v>
      </c>
      <c r="F288" s="38" t="n">
        <v>920539</v>
      </c>
      <c r="G288" s="38" t="n">
        <v>1415545</v>
      </c>
      <c r="H288" s="38" t="n">
        <v>920539</v>
      </c>
      <c r="I288" s="38" t="n">
        <v>1240567</v>
      </c>
      <c r="J288" s="19">
        <f>(I288-H288)/1000</f>
        <v/>
      </c>
      <c r="K288" s="16" t="inlineStr">
        <is>
          <t>Yes</t>
        </is>
      </c>
      <c r="L288" s="16" t="n">
        <v>78</v>
      </c>
      <c r="M288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89" ht="184" customHeight="1">
      <c r="A289" s="16" t="inlineStr">
        <is>
          <t>6 Jun</t>
        </is>
      </c>
      <c r="B289" s="16" t="inlineStr">
        <is>
          <t>33672</t>
        </is>
      </c>
      <c r="C289" s="16" t="n">
        <v>16334</v>
      </c>
      <c r="D289" s="16" t="n">
        <v>16288</v>
      </c>
      <c r="E289" s="16" t="n">
        <v>13940</v>
      </c>
      <c r="F289" s="38" t="n">
        <v>921497</v>
      </c>
      <c r="G289" s="38" t="n">
        <v>1436896</v>
      </c>
      <c r="H289" s="38" t="n">
        <v>921497</v>
      </c>
      <c r="I289" s="38" t="n">
        <v>1240676</v>
      </c>
      <c r="J289" s="19">
        <f>(I289-H289)/1000</f>
        <v/>
      </c>
      <c r="K289" s="16" t="inlineStr">
        <is>
          <t>Yes</t>
        </is>
      </c>
      <c r="L289" s="16" t="n">
        <v>78</v>
      </c>
      <c r="M289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90" ht="199" customHeight="1">
      <c r="A290" s="16" t="inlineStr">
        <is>
          <t>6 Jun</t>
        </is>
      </c>
      <c r="B290" s="16" t="inlineStr">
        <is>
          <t>30752</t>
        </is>
      </c>
      <c r="C290" s="16" t="n">
        <v>33839</v>
      </c>
      <c r="D290" s="16" t="n">
        <v>33828</v>
      </c>
      <c r="E290" s="16" t="n">
        <v>33828</v>
      </c>
      <c r="F290" s="38" t="n">
        <v>920678</v>
      </c>
      <c r="G290" s="38" t="n">
        <v>1172585</v>
      </c>
      <c r="H290" s="38" t="n">
        <v>920678</v>
      </c>
      <c r="I290" s="38" t="n">
        <v>1172585</v>
      </c>
      <c r="J290" s="19">
        <f>(I290-H290)/1000</f>
        <v/>
      </c>
      <c r="K290" s="16" t="inlineStr">
        <is>
          <t>Yes</t>
        </is>
      </c>
      <c r="L290" s="16" t="n">
        <v>62</v>
      </c>
      <c r="M290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291" ht="199" customHeight="1">
      <c r="A291" s="16" t="inlineStr">
        <is>
          <t>6 Jun</t>
        </is>
      </c>
      <c r="B291" s="16" t="inlineStr">
        <is>
          <t>37257</t>
        </is>
      </c>
      <c r="C291" s="16" t="n">
        <v>34146</v>
      </c>
      <c r="D291" s="16" t="n">
        <v>34062</v>
      </c>
      <c r="E291" s="16" t="n">
        <v>34062</v>
      </c>
      <c r="F291" s="38" t="n">
        <v>920750</v>
      </c>
      <c r="G291" s="38" t="n">
        <v>1172539</v>
      </c>
      <c r="H291" s="38" t="n">
        <v>920750</v>
      </c>
      <c r="I291" s="38" t="n">
        <v>1172539</v>
      </c>
      <c r="J291" s="19">
        <f>(I291-H291)/1000</f>
        <v/>
      </c>
      <c r="K291" s="16" t="inlineStr">
        <is>
          <t>Yes</t>
        </is>
      </c>
      <c r="L291" s="16" t="n">
        <v>62</v>
      </c>
      <c r="M291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292" ht="184" customHeight="1">
      <c r="A292" s="16" t="inlineStr">
        <is>
          <t>6 Jun</t>
        </is>
      </c>
      <c r="B292" s="16" t="inlineStr">
        <is>
          <t>39243</t>
        </is>
      </c>
      <c r="C292" s="16" t="n">
        <v>9180</v>
      </c>
      <c r="D292" s="16" t="n">
        <v>8934</v>
      </c>
      <c r="E292" s="16" t="n">
        <v>7713</v>
      </c>
      <c r="F292" s="38" t="n">
        <v>656337</v>
      </c>
      <c r="G292" s="38" t="n">
        <v>921330</v>
      </c>
      <c r="H292" s="38" t="n">
        <v>699080</v>
      </c>
      <c r="I292" s="38" t="n">
        <v>921330</v>
      </c>
      <c r="J292" s="19">
        <f>(I292-H292)/1000</f>
        <v/>
      </c>
      <c r="K292" s="16" t="inlineStr">
        <is>
          <t>Yes</t>
        </is>
      </c>
      <c r="L292" s="16" t="n">
        <v>47</v>
      </c>
      <c r="M29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...(+27 more)</t>
        </is>
      </c>
    </row>
    <row r="293" ht="184" customHeight="1">
      <c r="A293" s="16" t="inlineStr">
        <is>
          <t>6 Jun</t>
        </is>
      </c>
      <c r="B293" s="16" t="inlineStr">
        <is>
          <t>30177</t>
        </is>
      </c>
      <c r="C293" s="16" t="n">
        <v>16519</v>
      </c>
      <c r="D293" s="16" t="n">
        <v>16462</v>
      </c>
      <c r="E293" s="16" t="n">
        <v>15155</v>
      </c>
      <c r="F293" s="38" t="n">
        <v>657353</v>
      </c>
      <c r="G293" s="38" t="n">
        <v>920734</v>
      </c>
      <c r="H293" s="38" t="n">
        <v>699095</v>
      </c>
      <c r="I293" s="38" t="n">
        <v>920734</v>
      </c>
      <c r="J293" s="19">
        <f>(I293-H293)/1000</f>
        <v/>
      </c>
      <c r="K293" s="16" t="inlineStr">
        <is>
          <t>Yes</t>
        </is>
      </c>
      <c r="L293" s="16" t="n">
        <v>47</v>
      </c>
      <c r="M29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...(+27 more)</t>
        </is>
      </c>
    </row>
    <row r="294" ht="184" customHeight="1">
      <c r="A294" s="16" t="inlineStr">
        <is>
          <t>6 Jun</t>
        </is>
      </c>
      <c r="B294" s="16" t="inlineStr">
        <is>
          <t>37277</t>
        </is>
      </c>
      <c r="C294" s="16" t="n">
        <v>9205</v>
      </c>
      <c r="D294" s="16" t="n">
        <v>9188</v>
      </c>
      <c r="E294" s="16" t="n">
        <v>7992</v>
      </c>
      <c r="F294" s="38" t="n">
        <v>656999</v>
      </c>
      <c r="G294" s="38" t="n">
        <v>904993</v>
      </c>
      <c r="H294" s="38" t="n">
        <v>699074</v>
      </c>
      <c r="I294" s="38" t="n">
        <v>904993</v>
      </c>
      <c r="J294" s="19">
        <f>(I294-H294)/1000</f>
        <v/>
      </c>
      <c r="K294" s="16" t="inlineStr">
        <is>
          <t>Yes</t>
        </is>
      </c>
      <c r="L294" s="16" t="n">
        <v>44</v>
      </c>
      <c r="M29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...(+30 more)</t>
        </is>
      </c>
    </row>
    <row r="295" ht="199" customHeight="1">
      <c r="A295" s="16" t="inlineStr">
        <is>
          <t>6 Jun</t>
        </is>
      </c>
      <c r="B295" s="16" t="inlineStr">
        <is>
          <t>37793</t>
        </is>
      </c>
      <c r="C295" s="16" t="n">
        <v>12088</v>
      </c>
      <c r="D295" s="16" t="n">
        <v>12067</v>
      </c>
      <c r="E295" s="16" t="n">
        <v>9446</v>
      </c>
      <c r="F295" s="38" t="n">
        <v>1048706</v>
      </c>
      <c r="G295" s="38" t="n">
        <v>1489219</v>
      </c>
      <c r="H295" s="38" t="n">
        <v>1048706</v>
      </c>
      <c r="I295" s="38" t="n">
        <v>1242963</v>
      </c>
      <c r="J295" s="19">
        <f>(I295-H295)/1000</f>
        <v/>
      </c>
      <c r="K295" s="16" t="inlineStr">
        <is>
          <t>Yes</t>
        </is>
      </c>
      <c r="L295" s="16" t="n">
        <v>44</v>
      </c>
      <c r="M295" s="39" t="inlineStr">
        <is>
          <t>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  ...(+30 more)</t>
        </is>
      </c>
    </row>
    <row r="296" ht="184" customHeight="1">
      <c r="A296" s="16" t="inlineStr">
        <is>
          <t>6 Jun</t>
        </is>
      </c>
      <c r="B296" s="16" t="inlineStr">
        <is>
          <t>30680</t>
        </is>
      </c>
      <c r="C296" s="16" t="n">
        <v>6997</v>
      </c>
      <c r="D296" s="16" t="n">
        <v>6968</v>
      </c>
      <c r="E296" s="16" t="n">
        <v>6450</v>
      </c>
      <c r="F296" s="38" t="n">
        <v>695657</v>
      </c>
      <c r="G296" s="38" t="n">
        <v>866266</v>
      </c>
      <c r="H296" s="38" t="n">
        <v>699083</v>
      </c>
      <c r="I296" s="38" t="n">
        <v>866266</v>
      </c>
      <c r="J296" s="19">
        <f>(I296-H296)/1000</f>
        <v/>
      </c>
      <c r="K296" s="16" t="inlineStr">
        <is>
          <t>Yes</t>
        </is>
      </c>
      <c r="L296" s="16" t="n">
        <v>36</v>
      </c>
      <c r="M29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...(+38 more)</t>
        </is>
      </c>
    </row>
    <row r="297" ht="184" customHeight="1">
      <c r="A297" s="16" t="inlineStr">
        <is>
          <t>6 Jun</t>
        </is>
      </c>
      <c r="B297" s="16" t="inlineStr">
        <is>
          <t>37219</t>
        </is>
      </c>
      <c r="C297" s="16" t="n">
        <v>9523</v>
      </c>
      <c r="D297" s="16" t="n">
        <v>9490</v>
      </c>
      <c r="E297" s="16" t="n">
        <v>7827</v>
      </c>
      <c r="F297" s="38" t="n">
        <v>1086880</v>
      </c>
      <c r="G297" s="38" t="n">
        <v>1474575</v>
      </c>
      <c r="H297" s="38" t="n">
        <v>1086880</v>
      </c>
      <c r="I297" s="38" t="n">
        <v>1242979</v>
      </c>
      <c r="J297" s="19">
        <f>(I297-H297)/1000</f>
        <v/>
      </c>
      <c r="K297" s="16" t="inlineStr">
        <is>
          <t>Yes</t>
        </is>
      </c>
      <c r="L297" s="16" t="n">
        <v>35</v>
      </c>
      <c r="M297" s="39" t="inlineStr">
        <is>
          <t>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  ...(+39 more)</t>
        </is>
      </c>
    </row>
    <row r="298" ht="184" customHeight="1">
      <c r="A298" s="16" t="inlineStr">
        <is>
          <t>6 Jun</t>
        </is>
      </c>
      <c r="B298" s="16" t="inlineStr">
        <is>
          <t>30748</t>
        </is>
      </c>
      <c r="C298" s="16" t="n">
        <v>70</v>
      </c>
      <c r="D298" s="16" t="n">
        <v>65</v>
      </c>
      <c r="E298" s="16" t="n">
        <v>40</v>
      </c>
      <c r="F298" s="38" t="n">
        <v>1103292</v>
      </c>
      <c r="G298" s="38" t="n">
        <v>1487295</v>
      </c>
      <c r="H298" s="38" t="n">
        <v>1103292</v>
      </c>
      <c r="I298" s="38" t="n">
        <v>1242781</v>
      </c>
      <c r="J298" s="19">
        <f>(I298-H298)/1000</f>
        <v/>
      </c>
      <c r="K298" s="16" t="inlineStr">
        <is>
          <t>Yes</t>
        </is>
      </c>
      <c r="L298" s="16" t="n">
        <v>31</v>
      </c>
      <c r="M298" s="39" t="inlineStr">
        <is>
          <t>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  ...(+43 more)</t>
        </is>
      </c>
    </row>
    <row r="299" ht="184" customHeight="1">
      <c r="A299" s="16" t="inlineStr">
        <is>
          <t>6 Jun</t>
        </is>
      </c>
      <c r="B299" s="16" t="inlineStr">
        <is>
          <t>37314</t>
        </is>
      </c>
      <c r="C299" s="16" t="n">
        <v>5054</v>
      </c>
      <c r="D299" s="16" t="n">
        <v>4818</v>
      </c>
      <c r="E299" s="16" t="n">
        <v>4818</v>
      </c>
      <c r="F299" s="38" t="n">
        <v>900964</v>
      </c>
      <c r="G299" s="38" t="n">
        <v>1028647</v>
      </c>
      <c r="H299" s="38" t="n">
        <v>900964</v>
      </c>
      <c r="I299" s="38" t="n">
        <v>1028647</v>
      </c>
      <c r="J299" s="19">
        <f>(I299-H299)/1000</f>
        <v/>
      </c>
      <c r="K299" s="16" t="inlineStr">
        <is>
          <t>Yes</t>
        </is>
      </c>
      <c r="L299" s="16" t="n">
        <v>36</v>
      </c>
      <c r="M29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IBH DHANIKASAR, Ravtha Road(RDT), IBH-95(7.25KM FROM DARA)  ...(+38 more)</t>
        </is>
      </c>
    </row>
    <row r="300" ht="184" customHeight="1">
      <c r="A300" s="16" t="inlineStr">
        <is>
          <t>6 Jun</t>
        </is>
      </c>
      <c r="B300" s="16" t="inlineStr">
        <is>
          <t>37366</t>
        </is>
      </c>
      <c r="C300" s="16" t="n">
        <v>10080</v>
      </c>
      <c r="D300" s="16" t="n">
        <v>10053</v>
      </c>
      <c r="E300" s="16" t="n">
        <v>10053</v>
      </c>
      <c r="F300" s="38" t="n">
        <v>920444</v>
      </c>
      <c r="G300" s="38" t="n">
        <v>1029025</v>
      </c>
      <c r="H300" s="38" t="n">
        <v>920444</v>
      </c>
      <c r="I300" s="38" t="n">
        <v>1029025</v>
      </c>
      <c r="J300" s="19">
        <f>(I300-H300)/1000</f>
        <v/>
      </c>
      <c r="K300" s="16" t="inlineStr">
        <is>
          <t>Yes</t>
        </is>
      </c>
      <c r="L300" s="16" t="n">
        <v>31</v>
      </c>
      <c r="M30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01" ht="184" customHeight="1">
      <c r="A301" s="16" t="inlineStr">
        <is>
          <t>6 Jun</t>
        </is>
      </c>
      <c r="B301" s="16" t="inlineStr">
        <is>
          <t>37031</t>
        </is>
      </c>
      <c r="C301" s="16" t="n">
        <v>10305</v>
      </c>
      <c r="D301" s="16" t="n">
        <v>10234</v>
      </c>
      <c r="E301" s="16" t="n">
        <v>10234</v>
      </c>
      <c r="F301" s="38" t="n">
        <v>920376</v>
      </c>
      <c r="G301" s="38" t="n">
        <v>1028912</v>
      </c>
      <c r="H301" s="38" t="n">
        <v>920376</v>
      </c>
      <c r="I301" s="38" t="n">
        <v>1028912</v>
      </c>
      <c r="J301" s="19">
        <f>(I301-H301)/1000</f>
        <v/>
      </c>
      <c r="K301" s="16" t="inlineStr">
        <is>
          <t>Yes</t>
        </is>
      </c>
      <c r="L301" s="16" t="n">
        <v>31</v>
      </c>
      <c r="M30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02" ht="184" customHeight="1">
      <c r="A302" s="16" t="inlineStr">
        <is>
          <t>6 Jun</t>
        </is>
      </c>
      <c r="B302" s="16" t="inlineStr">
        <is>
          <t>37353</t>
        </is>
      </c>
      <c r="C302" s="16" t="n">
        <v>3237</v>
      </c>
      <c r="D302" s="16" t="n">
        <v>3192</v>
      </c>
      <c r="E302" s="16" t="n">
        <v>1287</v>
      </c>
      <c r="F302" s="38" t="n">
        <v>1142535</v>
      </c>
      <c r="G302" s="38" t="n">
        <v>1373937</v>
      </c>
      <c r="H302" s="38" t="n">
        <v>1142535</v>
      </c>
      <c r="I302" s="38" t="n">
        <v>1243941</v>
      </c>
      <c r="J302" s="19">
        <f>(I302-H302)/1000</f>
        <v/>
      </c>
      <c r="K302" s="16" t="inlineStr">
        <is>
          <t>Yes</t>
        </is>
      </c>
      <c r="L302" s="16" t="n">
        <v>24</v>
      </c>
      <c r="M302" s="39" t="inlineStr">
        <is>
          <t>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  ...(+50 more)</t>
        </is>
      </c>
    </row>
    <row r="303" ht="184" customHeight="1">
      <c r="A303" s="16" t="inlineStr">
        <is>
          <t>6 Jun</t>
        </is>
      </c>
      <c r="B303" s="16" t="inlineStr">
        <is>
          <t>37286</t>
        </is>
      </c>
      <c r="C303" s="16" t="n">
        <v>4664</v>
      </c>
      <c r="D303" s="16" t="n">
        <v>4634</v>
      </c>
      <c r="E303" s="16" t="n">
        <v>2654</v>
      </c>
      <c r="F303" s="38" t="n">
        <v>656339</v>
      </c>
      <c r="G303" s="38" t="n">
        <v>776946</v>
      </c>
      <c r="H303" s="38" t="n">
        <v>699092</v>
      </c>
      <c r="I303" s="38" t="n">
        <v>776946</v>
      </c>
      <c r="J303" s="19">
        <f>(I303-H303)/1000</f>
        <v/>
      </c>
      <c r="K303" s="16" t="inlineStr">
        <is>
          <t>Yes</t>
        </is>
      </c>
      <c r="L303" s="16" t="n">
        <v>19</v>
      </c>
      <c r="M30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...(+55 more)</t>
        </is>
      </c>
    </row>
    <row r="304" ht="184" customHeight="1">
      <c r="A304" s="16" t="inlineStr">
        <is>
          <t>6 Jun</t>
        </is>
      </c>
      <c r="B304" s="16" t="inlineStr">
        <is>
          <t>37073</t>
        </is>
      </c>
      <c r="C304" s="16" t="n">
        <v>864</v>
      </c>
      <c r="D304" s="16" t="n">
        <v>857</v>
      </c>
      <c r="E304" s="16" t="n">
        <v>173</v>
      </c>
      <c r="F304" s="38" t="n">
        <v>1171038</v>
      </c>
      <c r="G304" s="38" t="n">
        <v>1436392</v>
      </c>
      <c r="H304" s="38" t="n">
        <v>1171038</v>
      </c>
      <c r="I304" s="38" t="n">
        <v>1243724</v>
      </c>
      <c r="J304" s="19">
        <f>(I304-H304)/1000</f>
        <v/>
      </c>
      <c r="K304" s="16" t="inlineStr">
        <is>
          <t>Yes</t>
        </is>
      </c>
      <c r="L304" s="16" t="n">
        <v>17</v>
      </c>
      <c r="M304" s="39" t="inlineStr">
        <is>
          <t>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  ...(+57 more)</t>
        </is>
      </c>
    </row>
    <row r="305" ht="184" customHeight="1">
      <c r="A305" s="16" t="inlineStr">
        <is>
          <t>6 Jun</t>
        </is>
      </c>
      <c r="B305" s="16" t="inlineStr">
        <is>
          <t>30722</t>
        </is>
      </c>
      <c r="C305" s="16" t="n">
        <v>2516</v>
      </c>
      <c r="D305" s="16" t="n">
        <v>2489</v>
      </c>
      <c r="E305" s="16" t="n">
        <v>2038</v>
      </c>
      <c r="F305" s="38" t="n">
        <v>1175548</v>
      </c>
      <c r="G305" s="38" t="n">
        <v>1435895</v>
      </c>
      <c r="H305" s="38" t="n">
        <v>1175548</v>
      </c>
      <c r="I305" s="38" t="n">
        <v>1242742</v>
      </c>
      <c r="J305" s="19">
        <f>(I305-H305)/1000</f>
        <v/>
      </c>
      <c r="K305" s="16" t="inlineStr">
        <is>
          <t>Yes</t>
        </is>
      </c>
      <c r="L305" s="16" t="n">
        <v>16</v>
      </c>
      <c r="M305" s="39" t="inlineStr">
        <is>
          <t>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  ...(+58 more)</t>
        </is>
      </c>
    </row>
    <row r="306" ht="184" customHeight="1">
      <c r="A306" s="16" t="inlineStr">
        <is>
          <t>6 Jun</t>
        </is>
      </c>
      <c r="B306" s="16" t="inlineStr">
        <is>
          <t>37054</t>
        </is>
      </c>
      <c r="C306" s="16" t="n">
        <v>283</v>
      </c>
      <c r="D306" s="16" t="n">
        <v>281</v>
      </c>
      <c r="E306" s="16" t="n">
        <v>31</v>
      </c>
      <c r="F306" s="38" t="n">
        <v>1157547</v>
      </c>
      <c r="G306" s="38" t="n">
        <v>1436904</v>
      </c>
      <c r="H306" s="38" t="n">
        <v>1157547</v>
      </c>
      <c r="I306" s="38" t="n">
        <v>1220020</v>
      </c>
      <c r="J306" s="19">
        <f>(I306-H306)/1000</f>
        <v/>
      </c>
      <c r="K306" s="16" t="inlineStr">
        <is>
          <t>Yes</t>
        </is>
      </c>
      <c r="L306" s="16" t="n">
        <v>17</v>
      </c>
      <c r="M306" s="39" t="inlineStr">
        <is>
          <t>IBH 265, Murhesi Rampur(MSRP), IBH/LC-258, Jajjanpatti(JJA),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  ...(+57 more)</t>
        </is>
      </c>
    </row>
    <row r="307" ht="184" customHeight="1">
      <c r="A307" s="16" t="inlineStr">
        <is>
          <t>6 Jun</t>
        </is>
      </c>
      <c r="B307" s="16" t="inlineStr">
        <is>
          <t>37677</t>
        </is>
      </c>
      <c r="C307" s="16" t="n">
        <v>1778</v>
      </c>
      <c r="D307" s="16" t="n">
        <v>1397</v>
      </c>
      <c r="E307" s="16" t="n">
        <v>314</v>
      </c>
      <c r="F307" s="38" t="n">
        <v>1191504</v>
      </c>
      <c r="G307" s="38" t="n">
        <v>1437035</v>
      </c>
      <c r="H307" s="38" t="n">
        <v>1191504</v>
      </c>
      <c r="I307" s="38" t="n">
        <v>1243732</v>
      </c>
      <c r="J307" s="19">
        <f>(I307-H307)/1000</f>
        <v/>
      </c>
      <c r="K307" s="16" t="inlineStr">
        <is>
          <t>Yes</t>
        </is>
      </c>
      <c r="L307" s="16" t="n">
        <v>12</v>
      </c>
      <c r="M307" s="39" t="inlineStr">
        <is>
          <t>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  ...(+62 more)</t>
        </is>
      </c>
    </row>
    <row r="308" ht="184" customHeight="1">
      <c r="A308" s="16" t="inlineStr">
        <is>
          <t>6 Jun</t>
        </is>
      </c>
      <c r="B308" s="16" t="inlineStr">
        <is>
          <t>39017</t>
        </is>
      </c>
      <c r="C308" s="16" t="n">
        <v>3646</v>
      </c>
      <c r="D308" s="16" t="n">
        <v>3627</v>
      </c>
      <c r="E308" s="16" t="n">
        <v>928</v>
      </c>
      <c r="F308" s="38" t="n">
        <v>1196914</v>
      </c>
      <c r="G308" s="38" t="n">
        <v>1394394</v>
      </c>
      <c r="H308" s="38" t="n">
        <v>1196914</v>
      </c>
      <c r="I308" s="38" t="n">
        <v>1243991</v>
      </c>
      <c r="J308" s="19">
        <f>(I308-H308)/1000</f>
        <v/>
      </c>
      <c r="K308" s="16" t="inlineStr">
        <is>
          <t>Yes</t>
        </is>
      </c>
      <c r="L308" s="16" t="n">
        <v>10</v>
      </c>
      <c r="M308" s="39" t="inlineStr">
        <is>
          <t>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  ...(+64 more)</t>
        </is>
      </c>
    </row>
    <row r="309" ht="184" customHeight="1">
      <c r="A309" s="16" t="inlineStr">
        <is>
          <t>6 Jun</t>
        </is>
      </c>
      <c r="B309" s="16" t="inlineStr">
        <is>
          <t>39565</t>
        </is>
      </c>
      <c r="C309" s="16" t="n">
        <v>2599</v>
      </c>
      <c r="D309" s="16" t="n">
        <v>2295</v>
      </c>
      <c r="E309" s="16" t="n">
        <v>114</v>
      </c>
      <c r="F309" s="38" t="n">
        <v>1211040</v>
      </c>
      <c r="G309" s="38" t="n">
        <v>1460302</v>
      </c>
      <c r="H309" s="38" t="n">
        <v>1211040</v>
      </c>
      <c r="I309" s="38" t="n">
        <v>1243831</v>
      </c>
      <c r="J309" s="19">
        <f>(I309-H309)/1000</f>
        <v/>
      </c>
      <c r="K309" s="16" t="inlineStr">
        <is>
          <t>Yes</t>
        </is>
      </c>
      <c r="L309" s="16" t="n">
        <v>7</v>
      </c>
      <c r="M309" s="39" t="inlineStr">
        <is>
          <t>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  ...(+67 more)</t>
        </is>
      </c>
    </row>
    <row r="310" ht="184" customHeight="1">
      <c r="A310" s="16" t="inlineStr">
        <is>
          <t>6 Jun</t>
        </is>
      </c>
      <c r="B310" s="16" t="inlineStr">
        <is>
          <t>39262</t>
        </is>
      </c>
      <c r="C310" s="16" t="n">
        <v>5</v>
      </c>
      <c r="D310" s="16" t="n">
        <v>5</v>
      </c>
      <c r="E310" s="16" t="n">
        <v>5</v>
      </c>
      <c r="F310" s="38" t="n">
        <v>1124977</v>
      </c>
      <c r="G310" s="38" t="n">
        <v>1153832</v>
      </c>
      <c r="H310" s="38" t="n">
        <v>1124977</v>
      </c>
      <c r="I310" s="38" t="n">
        <v>1153832</v>
      </c>
      <c r="J310" s="19">
        <f>(I310-H310)/1000</f>
        <v/>
      </c>
      <c r="K310" s="16" t="inlineStr">
        <is>
          <t>Yes</t>
        </is>
      </c>
      <c r="L310" s="16" t="n">
        <v>7</v>
      </c>
      <c r="M31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  ...(+67 more)</t>
        </is>
      </c>
    </row>
    <row r="311" ht="184" customHeight="1">
      <c r="A311" s="16" t="inlineStr">
        <is>
          <t>6 Jun</t>
        </is>
      </c>
      <c r="B311" s="16" t="inlineStr">
        <is>
          <t>30342</t>
        </is>
      </c>
      <c r="C311" s="16" t="n">
        <v>1318</v>
      </c>
      <c r="D311" s="16" t="n">
        <v>1027</v>
      </c>
      <c r="E311" s="16" t="n">
        <v>790</v>
      </c>
      <c r="F311" s="38" t="n">
        <v>695286</v>
      </c>
      <c r="G311" s="38" t="n">
        <v>724751</v>
      </c>
      <c r="H311" s="38" t="n">
        <v>699078</v>
      </c>
      <c r="I311" s="38" t="n">
        <v>724751</v>
      </c>
      <c r="J311" s="19">
        <f>(I311-H311)/1000</f>
        <v/>
      </c>
      <c r="K311" s="16" t="inlineStr">
        <is>
          <t>Yes</t>
        </is>
      </c>
      <c r="L311" s="16" t="n">
        <v>7</v>
      </c>
      <c r="M31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...(+67 more)</t>
        </is>
      </c>
    </row>
    <row r="312" ht="184" customHeight="1">
      <c r="A312" s="16" t="inlineStr">
        <is>
          <t>6 Jun</t>
        </is>
      </c>
      <c r="B312" s="16" t="inlineStr">
        <is>
          <t>30443</t>
        </is>
      </c>
      <c r="C312" s="16" t="n">
        <v>1515</v>
      </c>
      <c r="D312" s="16" t="n">
        <v>1513</v>
      </c>
      <c r="E312" s="16" t="n">
        <v>9</v>
      </c>
      <c r="F312" s="38" t="n">
        <v>1229880</v>
      </c>
      <c r="G312" s="38" t="n">
        <v>1454538</v>
      </c>
      <c r="H312" s="38" t="n">
        <v>1229880</v>
      </c>
      <c r="I312" s="38" t="n">
        <v>1242027</v>
      </c>
      <c r="J312" s="19">
        <f>(I312-H312)/1000</f>
        <v/>
      </c>
      <c r="K312" s="16" t="inlineStr">
        <is>
          <t>Yes</t>
        </is>
      </c>
      <c r="L312" s="16" t="n">
        <v>4</v>
      </c>
      <c r="M312" s="39" t="inlineStr">
        <is>
          <t>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  ...(+70 more)</t>
        </is>
      </c>
    </row>
    <row r="313" ht="184" customHeight="1">
      <c r="A313" s="31" t="inlineStr">
        <is>
          <t>6 Jun</t>
        </is>
      </c>
      <c r="B313" s="31" t="inlineStr">
        <is>
          <t>30006</t>
        </is>
      </c>
      <c r="C313" s="31" t="n">
        <v>479</v>
      </c>
      <c r="D313" s="31" t="n">
        <v>478</v>
      </c>
      <c r="E313" s="31" t="n">
        <v>0</v>
      </c>
      <c r="F313" s="40" t="n">
        <v>1401606</v>
      </c>
      <c r="G313" s="40" t="n">
        <v>1473455</v>
      </c>
      <c r="H313" s="40" t="inlineStr">
        <is>
          <t>-</t>
        </is>
      </c>
      <c r="I313" s="40" t="inlineStr">
        <is>
          <t>-</t>
        </is>
      </c>
      <c r="J313" s="41" t="n">
        <v>0</v>
      </c>
      <c r="K313" s="31" t="inlineStr">
        <is>
          <t>No</t>
        </is>
      </c>
      <c r="L313" s="31" t="n">
        <v>0</v>
      </c>
      <c r="M31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4" ht="184" customHeight="1">
      <c r="A314" s="31" t="inlineStr">
        <is>
          <t>6 Jun</t>
        </is>
      </c>
      <c r="B314" s="31" t="inlineStr">
        <is>
          <t>30344</t>
        </is>
      </c>
      <c r="C314" s="31" t="n">
        <v>17</v>
      </c>
      <c r="D314" s="31" t="n">
        <v>0</v>
      </c>
      <c r="E314" s="31" t="n">
        <v>0</v>
      </c>
      <c r="F314" s="40" t="inlineStr">
        <is>
          <t>-</t>
        </is>
      </c>
      <c r="G314" s="40" t="inlineStr">
        <is>
          <t>-</t>
        </is>
      </c>
      <c r="H314" s="40" t="inlineStr">
        <is>
          <t>-</t>
        </is>
      </c>
      <c r="I314" s="40" t="inlineStr">
        <is>
          <t>-</t>
        </is>
      </c>
      <c r="J314" s="41" t="n">
        <v>0</v>
      </c>
      <c r="K314" s="31" t="inlineStr">
        <is>
          <t>No</t>
        </is>
      </c>
      <c r="L314" s="31" t="n">
        <v>0</v>
      </c>
      <c r="M31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5" ht="184" customHeight="1">
      <c r="A315" s="31" t="inlineStr">
        <is>
          <t>6 Jun</t>
        </is>
      </c>
      <c r="B315" s="31" t="inlineStr">
        <is>
          <t>30404</t>
        </is>
      </c>
      <c r="C315" s="31" t="n">
        <v>774</v>
      </c>
      <c r="D315" s="31" t="n">
        <v>767</v>
      </c>
      <c r="E315" s="31" t="n">
        <v>0</v>
      </c>
      <c r="F315" s="40" t="n">
        <v>1401693</v>
      </c>
      <c r="G315" s="40" t="n">
        <v>1487526</v>
      </c>
      <c r="H315" s="40" t="inlineStr">
        <is>
          <t>-</t>
        </is>
      </c>
      <c r="I315" s="40" t="inlineStr">
        <is>
          <t>-</t>
        </is>
      </c>
      <c r="J315" s="41" t="n">
        <v>0</v>
      </c>
      <c r="K315" s="31" t="inlineStr">
        <is>
          <t>No</t>
        </is>
      </c>
      <c r="L315" s="31" t="n">
        <v>0</v>
      </c>
      <c r="M31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6" ht="184" customHeight="1">
      <c r="A316" s="31" t="inlineStr">
        <is>
          <t>6 Jun</t>
        </is>
      </c>
      <c r="B316" s="31" t="inlineStr">
        <is>
          <t>30463</t>
        </is>
      </c>
      <c r="C316" s="31" t="n">
        <v>213</v>
      </c>
      <c r="D316" s="31" t="n">
        <v>212</v>
      </c>
      <c r="E316" s="31" t="n">
        <v>0</v>
      </c>
      <c r="F316" s="40" t="n">
        <v>1401698</v>
      </c>
      <c r="G316" s="40" t="n">
        <v>1436339</v>
      </c>
      <c r="H316" s="40" t="inlineStr">
        <is>
          <t>-</t>
        </is>
      </c>
      <c r="I316" s="40" t="inlineStr">
        <is>
          <t>-</t>
        </is>
      </c>
      <c r="J316" s="41" t="n">
        <v>0</v>
      </c>
      <c r="K316" s="31" t="inlineStr">
        <is>
          <t>No</t>
        </is>
      </c>
      <c r="L316" s="31" t="n">
        <v>0</v>
      </c>
      <c r="M31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7" ht="184" customHeight="1">
      <c r="A317" s="31" t="inlineStr">
        <is>
          <t>6 Jun</t>
        </is>
      </c>
      <c r="B317" s="31" t="inlineStr">
        <is>
          <t>30537</t>
        </is>
      </c>
      <c r="C317" s="31" t="n">
        <v>323</v>
      </c>
      <c r="D317" s="31" t="n">
        <v>323</v>
      </c>
      <c r="E317" s="31" t="n">
        <v>0</v>
      </c>
      <c r="F317" s="40" t="n">
        <v>1401403</v>
      </c>
      <c r="G317" s="40" t="n">
        <v>1425125</v>
      </c>
      <c r="H317" s="40" t="inlineStr">
        <is>
          <t>-</t>
        </is>
      </c>
      <c r="I317" s="40" t="inlineStr">
        <is>
          <t>-</t>
        </is>
      </c>
      <c r="J317" s="41" t="n">
        <v>0</v>
      </c>
      <c r="K317" s="31" t="inlineStr">
        <is>
          <t>No</t>
        </is>
      </c>
      <c r="L317" s="31" t="n">
        <v>0</v>
      </c>
      <c r="M31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8" ht="184" customHeight="1">
      <c r="A318" s="31" t="inlineStr">
        <is>
          <t>6 Jun</t>
        </is>
      </c>
      <c r="B318" s="31" t="inlineStr">
        <is>
          <t>30572</t>
        </is>
      </c>
      <c r="C318" s="31" t="n">
        <v>286</v>
      </c>
      <c r="D318" s="31" t="n">
        <v>286</v>
      </c>
      <c r="E318" s="31" t="n">
        <v>0</v>
      </c>
      <c r="F318" s="40" t="n">
        <v>1401778</v>
      </c>
      <c r="G318" s="40" t="n">
        <v>1431445</v>
      </c>
      <c r="H318" s="40" t="inlineStr">
        <is>
          <t>-</t>
        </is>
      </c>
      <c r="I318" s="40" t="inlineStr">
        <is>
          <t>-</t>
        </is>
      </c>
      <c r="J318" s="41" t="n">
        <v>0</v>
      </c>
      <c r="K318" s="31" t="inlineStr">
        <is>
          <t>No</t>
        </is>
      </c>
      <c r="L318" s="31" t="n">
        <v>0</v>
      </c>
      <c r="M31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9" ht="184" customHeight="1">
      <c r="A319" s="31" t="inlineStr">
        <is>
          <t>6 Jun</t>
        </is>
      </c>
      <c r="B319" s="31" t="inlineStr">
        <is>
          <t>35047</t>
        </is>
      </c>
      <c r="C319" s="31" t="n">
        <v>1127</v>
      </c>
      <c r="D319" s="31" t="n">
        <v>1126</v>
      </c>
      <c r="E319" s="31" t="n">
        <v>0</v>
      </c>
      <c r="F319" s="40" t="n">
        <v>1401524</v>
      </c>
      <c r="G319" s="40" t="n">
        <v>1469070</v>
      </c>
      <c r="H319" s="40" t="inlineStr">
        <is>
          <t>-</t>
        </is>
      </c>
      <c r="I319" s="40" t="inlineStr">
        <is>
          <t>-</t>
        </is>
      </c>
      <c r="J319" s="41" t="n">
        <v>0</v>
      </c>
      <c r="K319" s="31" t="inlineStr">
        <is>
          <t>No</t>
        </is>
      </c>
      <c r="L319" s="31" t="n">
        <v>0</v>
      </c>
      <c r="M31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20" ht="184" customHeight="1">
      <c r="A320" s="31" t="inlineStr">
        <is>
          <t>6 Jun</t>
        </is>
      </c>
      <c r="B320" s="31" t="inlineStr">
        <is>
          <t>37325</t>
        </is>
      </c>
      <c r="C320" s="31" t="n">
        <v>438</v>
      </c>
      <c r="D320" s="31" t="n">
        <v>436</v>
      </c>
      <c r="E320" s="31" t="n">
        <v>0</v>
      </c>
      <c r="F320" s="40" t="n">
        <v>1260520</v>
      </c>
      <c r="G320" s="40" t="n">
        <v>1417935</v>
      </c>
      <c r="H320" s="40" t="inlineStr">
        <is>
          <t>-</t>
        </is>
      </c>
      <c r="I320" s="40" t="inlineStr">
        <is>
          <t>-</t>
        </is>
      </c>
      <c r="J320" s="41" t="n">
        <v>0</v>
      </c>
      <c r="K320" s="31" t="inlineStr">
        <is>
          <t>No</t>
        </is>
      </c>
      <c r="L320" s="31" t="n">
        <v>0</v>
      </c>
      <c r="M32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21" ht="184" customHeight="1">
      <c r="A321" s="31" t="inlineStr">
        <is>
          <t>6 Jun</t>
        </is>
      </c>
      <c r="B321" s="31" t="inlineStr">
        <is>
          <t>37552</t>
        </is>
      </c>
      <c r="C321" s="31" t="n">
        <v>133</v>
      </c>
      <c r="D321" s="31" t="n">
        <v>132</v>
      </c>
      <c r="E321" s="31" t="n">
        <v>0</v>
      </c>
      <c r="F321" s="40" t="n">
        <v>1401680</v>
      </c>
      <c r="G321" s="40" t="n">
        <v>1436257</v>
      </c>
      <c r="H321" s="40" t="inlineStr">
        <is>
          <t>-</t>
        </is>
      </c>
      <c r="I321" s="40" t="inlineStr">
        <is>
          <t>-</t>
        </is>
      </c>
      <c r="J321" s="41" t="n">
        <v>0</v>
      </c>
      <c r="K321" s="31" t="inlineStr">
        <is>
          <t>No</t>
        </is>
      </c>
      <c r="L321" s="31" t="n">
        <v>0</v>
      </c>
      <c r="M32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22" ht="184" customHeight="1">
      <c r="A322" s="31" t="inlineStr">
        <is>
          <t>6 Jun</t>
        </is>
      </c>
      <c r="B322" s="31" t="inlineStr">
        <is>
          <t>37579</t>
        </is>
      </c>
      <c r="C322" s="31" t="n">
        <v>1493</v>
      </c>
      <c r="D322" s="31" t="n">
        <v>1493</v>
      </c>
      <c r="E322" s="31" t="n">
        <v>0</v>
      </c>
      <c r="F322" s="40" t="n">
        <v>643096</v>
      </c>
      <c r="G322" s="40" t="n">
        <v>696233</v>
      </c>
      <c r="H322" s="40" t="inlineStr">
        <is>
          <t>-</t>
        </is>
      </c>
      <c r="I322" s="40" t="inlineStr">
        <is>
          <t>-</t>
        </is>
      </c>
      <c r="J322" s="41" t="n">
        <v>0</v>
      </c>
      <c r="K322" s="31" t="inlineStr">
        <is>
          <t>No</t>
        </is>
      </c>
      <c r="L322" s="31" t="n">
        <v>0</v>
      </c>
      <c r="M32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23" ht="184" customHeight="1">
      <c r="A323" s="31" t="inlineStr">
        <is>
          <t>6 Jun</t>
        </is>
      </c>
      <c r="B323" s="31" t="inlineStr">
        <is>
          <t>37618</t>
        </is>
      </c>
      <c r="C323" s="31" t="n">
        <v>2549</v>
      </c>
      <c r="D323" s="31" t="n">
        <v>2549</v>
      </c>
      <c r="E323" s="31" t="n">
        <v>0</v>
      </c>
      <c r="F323" s="40" t="n">
        <v>1399445</v>
      </c>
      <c r="G323" s="40" t="n">
        <v>1469184</v>
      </c>
      <c r="H323" s="40" t="inlineStr">
        <is>
          <t>-</t>
        </is>
      </c>
      <c r="I323" s="40" t="inlineStr">
        <is>
          <t>-</t>
        </is>
      </c>
      <c r="J323" s="41" t="n">
        <v>0</v>
      </c>
      <c r="K323" s="31" t="inlineStr">
        <is>
          <t>No</t>
        </is>
      </c>
      <c r="L323" s="31" t="n">
        <v>0</v>
      </c>
      <c r="M32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24" ht="184" customHeight="1">
      <c r="A324" s="31" t="inlineStr">
        <is>
          <t>6 Jun</t>
        </is>
      </c>
      <c r="B324" s="31" t="inlineStr">
        <is>
          <t>37629</t>
        </is>
      </c>
      <c r="C324" s="31" t="n">
        <v>334</v>
      </c>
      <c r="D324" s="31" t="n">
        <v>333</v>
      </c>
      <c r="E324" s="31" t="n">
        <v>0</v>
      </c>
      <c r="F324" s="40" t="n">
        <v>1401357</v>
      </c>
      <c r="G324" s="40" t="n">
        <v>1424932</v>
      </c>
      <c r="H324" s="40" t="inlineStr">
        <is>
          <t>-</t>
        </is>
      </c>
      <c r="I324" s="40" t="inlineStr">
        <is>
          <t>-</t>
        </is>
      </c>
      <c r="J324" s="41" t="n">
        <v>0</v>
      </c>
      <c r="K324" s="31" t="inlineStr">
        <is>
          <t>No</t>
        </is>
      </c>
      <c r="L324" s="31" t="n">
        <v>0</v>
      </c>
      <c r="M32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25" ht="184" customHeight="1">
      <c r="A325" s="31" t="inlineStr">
        <is>
          <t>6 Jun</t>
        </is>
      </c>
      <c r="B325" s="31" t="inlineStr">
        <is>
          <t>37919</t>
        </is>
      </c>
      <c r="C325" s="31" t="n">
        <v>3495</v>
      </c>
      <c r="D325" s="31" t="n">
        <v>8</v>
      </c>
      <c r="E325" s="31" t="n">
        <v>0</v>
      </c>
      <c r="F325" s="40" t="n">
        <v>1806</v>
      </c>
      <c r="G325" s="40" t="n">
        <v>3555</v>
      </c>
      <c r="H325" s="40" t="inlineStr">
        <is>
          <t>-</t>
        </is>
      </c>
      <c r="I325" s="40" t="inlineStr">
        <is>
          <t>-</t>
        </is>
      </c>
      <c r="J325" s="41" t="n">
        <v>0</v>
      </c>
      <c r="K325" s="31" t="inlineStr">
        <is>
          <t>No</t>
        </is>
      </c>
      <c r="L325" s="31" t="n">
        <v>0</v>
      </c>
      <c r="M32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26" ht="184" customHeight="1">
      <c r="A326" s="31" t="inlineStr">
        <is>
          <t>6 Jun</t>
        </is>
      </c>
      <c r="B326" s="31" t="inlineStr">
        <is>
          <t>39194</t>
        </is>
      </c>
      <c r="C326" s="31" t="n">
        <v>1498</v>
      </c>
      <c r="D326" s="31" t="n">
        <v>1470</v>
      </c>
      <c r="E326" s="31" t="n">
        <v>0</v>
      </c>
      <c r="F326" s="40" t="n">
        <v>1618</v>
      </c>
      <c r="G326" s="40" t="n">
        <v>697371</v>
      </c>
      <c r="H326" s="40" t="inlineStr">
        <is>
          <t>-</t>
        </is>
      </c>
      <c r="I326" s="40" t="inlineStr">
        <is>
          <t>-</t>
        </is>
      </c>
      <c r="J326" s="41" t="n">
        <v>0</v>
      </c>
      <c r="K326" s="31" t="inlineStr">
        <is>
          <t>No</t>
        </is>
      </c>
      <c r="L326" s="31" t="n">
        <v>0</v>
      </c>
      <c r="M32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27" ht="184" customHeight="1">
      <c r="A327" s="31" t="inlineStr">
        <is>
          <t>6 Jun</t>
        </is>
      </c>
      <c r="B327" s="31" t="inlineStr">
        <is>
          <t>39197</t>
        </is>
      </c>
      <c r="C327" s="31" t="n">
        <v>498</v>
      </c>
      <c r="D327" s="31" t="n">
        <v>497</v>
      </c>
      <c r="E327" s="31" t="n">
        <v>0</v>
      </c>
      <c r="F327" s="40" t="n">
        <v>1401353</v>
      </c>
      <c r="G327" s="40" t="n">
        <v>1435855</v>
      </c>
      <c r="H327" s="40" t="inlineStr">
        <is>
          <t>-</t>
        </is>
      </c>
      <c r="I327" s="40" t="inlineStr">
        <is>
          <t>-</t>
        </is>
      </c>
      <c r="J327" s="41" t="n">
        <v>0</v>
      </c>
      <c r="K327" s="31" t="inlineStr">
        <is>
          <t>No</t>
        </is>
      </c>
      <c r="L327" s="31" t="n">
        <v>0</v>
      </c>
      <c r="M32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28" ht="184" customHeight="1">
      <c r="A328" s="31" t="inlineStr">
        <is>
          <t>6 Jun</t>
        </is>
      </c>
      <c r="B328" s="31" t="inlineStr">
        <is>
          <t>39329</t>
        </is>
      </c>
      <c r="C328" s="31" t="n">
        <v>19</v>
      </c>
      <c r="D328" s="31" t="n">
        <v>19</v>
      </c>
      <c r="E328" s="31" t="n">
        <v>0</v>
      </c>
      <c r="F328" s="40" t="n">
        <v>1272666</v>
      </c>
      <c r="G328" s="40" t="n">
        <v>1276795</v>
      </c>
      <c r="H328" s="40" t="inlineStr">
        <is>
          <t>-</t>
        </is>
      </c>
      <c r="I328" s="40" t="inlineStr">
        <is>
          <t>-</t>
        </is>
      </c>
      <c r="J328" s="41" t="n">
        <v>0</v>
      </c>
      <c r="K328" s="31" t="inlineStr">
        <is>
          <t>No</t>
        </is>
      </c>
      <c r="L328" s="31" t="n">
        <v>0</v>
      </c>
      <c r="M32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29" ht="184" customHeight="1">
      <c r="A329" s="31" t="inlineStr">
        <is>
          <t>6 Jun</t>
        </is>
      </c>
      <c r="B329" s="31" t="inlineStr">
        <is>
          <t>39403</t>
        </is>
      </c>
      <c r="C329" s="31" t="n">
        <v>646</v>
      </c>
      <c r="D329" s="31" t="n">
        <v>645</v>
      </c>
      <c r="E329" s="31" t="n">
        <v>0</v>
      </c>
      <c r="F329" s="40" t="n">
        <v>1401371</v>
      </c>
      <c r="G329" s="40" t="n">
        <v>1436355</v>
      </c>
      <c r="H329" s="40" t="inlineStr">
        <is>
          <t>-</t>
        </is>
      </c>
      <c r="I329" s="40" t="inlineStr">
        <is>
          <t>-</t>
        </is>
      </c>
      <c r="J329" s="41" t="n">
        <v>0</v>
      </c>
      <c r="K329" s="31" t="inlineStr">
        <is>
          <t>No</t>
        </is>
      </c>
      <c r="L329" s="31" t="n">
        <v>0</v>
      </c>
      <c r="M32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30" ht="184" customHeight="1">
      <c r="A330" s="31" t="inlineStr">
        <is>
          <t>6 Jun</t>
        </is>
      </c>
      <c r="B330" s="31" t="inlineStr">
        <is>
          <t>39466</t>
        </is>
      </c>
      <c r="C330" s="31" t="n">
        <v>963</v>
      </c>
      <c r="D330" s="31" t="n">
        <v>963</v>
      </c>
      <c r="E330" s="31" t="n">
        <v>0</v>
      </c>
      <c r="F330" s="40" t="n">
        <v>642075</v>
      </c>
      <c r="G330" s="40" t="n">
        <v>695574</v>
      </c>
      <c r="H330" s="40" t="inlineStr">
        <is>
          <t>-</t>
        </is>
      </c>
      <c r="I330" s="40" t="inlineStr">
        <is>
          <t>-</t>
        </is>
      </c>
      <c r="J330" s="41" t="n">
        <v>0</v>
      </c>
      <c r="K330" s="31" t="inlineStr">
        <is>
          <t>No</t>
        </is>
      </c>
      <c r="L330" s="31" t="n">
        <v>0</v>
      </c>
      <c r="M33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31" ht="184" customHeight="1">
      <c r="A331" s="31" t="inlineStr">
        <is>
          <t>6 Jun</t>
        </is>
      </c>
      <c r="B331" s="31" t="inlineStr">
        <is>
          <t>39472</t>
        </is>
      </c>
      <c r="C331" s="31" t="n">
        <v>149</v>
      </c>
      <c r="D331" s="31" t="n">
        <v>149</v>
      </c>
      <c r="E331" s="31" t="n">
        <v>0</v>
      </c>
      <c r="F331" s="40" t="n">
        <v>1402254</v>
      </c>
      <c r="G331" s="40" t="n">
        <v>1425033</v>
      </c>
      <c r="H331" s="40" t="inlineStr">
        <is>
          <t>-</t>
        </is>
      </c>
      <c r="I331" s="40" t="inlineStr">
        <is>
          <t>-</t>
        </is>
      </c>
      <c r="J331" s="41" t="n">
        <v>0</v>
      </c>
      <c r="K331" s="31" t="inlineStr">
        <is>
          <t>No</t>
        </is>
      </c>
      <c r="L331" s="31" t="n">
        <v>0</v>
      </c>
      <c r="M33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32" ht="184" customHeight="1">
      <c r="A332" s="31" t="inlineStr">
        <is>
          <t>6 Jun</t>
        </is>
      </c>
      <c r="B332" s="31" t="inlineStr">
        <is>
          <t>41796</t>
        </is>
      </c>
      <c r="C332" s="31" t="n">
        <v>5</v>
      </c>
      <c r="D332" s="31" t="n">
        <v>0</v>
      </c>
      <c r="E332" s="31" t="n">
        <v>0</v>
      </c>
      <c r="F332" s="40" t="inlineStr">
        <is>
          <t>-</t>
        </is>
      </c>
      <c r="G332" s="40" t="inlineStr">
        <is>
          <t>-</t>
        </is>
      </c>
      <c r="H332" s="40" t="inlineStr">
        <is>
          <t>-</t>
        </is>
      </c>
      <c r="I332" s="40" t="inlineStr">
        <is>
          <t>-</t>
        </is>
      </c>
      <c r="J332" s="41" t="n">
        <v>0</v>
      </c>
      <c r="K332" s="31" t="inlineStr">
        <is>
          <t>No</t>
        </is>
      </c>
      <c r="L332" s="31" t="n">
        <v>0</v>
      </c>
      <c r="M33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33" ht="184" customHeight="1">
      <c r="A333" s="31" t="inlineStr">
        <is>
          <t>6 Jun</t>
        </is>
      </c>
      <c r="B333" s="31" t="inlineStr">
        <is>
          <t>43821</t>
        </is>
      </c>
      <c r="C333" s="31" t="n">
        <v>43</v>
      </c>
      <c r="D333" s="31" t="n">
        <v>0</v>
      </c>
      <c r="E333" s="31" t="n">
        <v>0</v>
      </c>
      <c r="F333" s="40" t="inlineStr">
        <is>
          <t>-</t>
        </is>
      </c>
      <c r="G333" s="40" t="inlineStr">
        <is>
          <t>-</t>
        </is>
      </c>
      <c r="H333" s="40" t="inlineStr">
        <is>
          <t>-</t>
        </is>
      </c>
      <c r="I333" s="40" t="inlineStr">
        <is>
          <t>-</t>
        </is>
      </c>
      <c r="J333" s="41" t="n">
        <v>0</v>
      </c>
      <c r="K333" s="31" t="inlineStr">
        <is>
          <t>No</t>
        </is>
      </c>
      <c r="L333" s="31" t="n">
        <v>0</v>
      </c>
      <c r="M33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34" ht="184" customHeight="1">
      <c r="A334" s="31" t="inlineStr">
        <is>
          <t>6 Jun</t>
        </is>
      </c>
      <c r="B334" s="31" t="inlineStr">
        <is>
          <t>52196</t>
        </is>
      </c>
      <c r="C334" s="31" t="n">
        <v>3442</v>
      </c>
      <c r="D334" s="31" t="n">
        <v>3340</v>
      </c>
      <c r="E334" s="31" t="n">
        <v>0</v>
      </c>
      <c r="F334" s="40" t="n">
        <v>143307</v>
      </c>
      <c r="G334" s="40" t="n">
        <v>155100</v>
      </c>
      <c r="H334" s="40" t="inlineStr">
        <is>
          <t>-</t>
        </is>
      </c>
      <c r="I334" s="40" t="inlineStr">
        <is>
          <t>-</t>
        </is>
      </c>
      <c r="J334" s="41" t="n">
        <v>0</v>
      </c>
      <c r="K334" s="31" t="inlineStr">
        <is>
          <t>No</t>
        </is>
      </c>
      <c r="L334" s="31" t="n">
        <v>0</v>
      </c>
      <c r="M33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35">
      <c r="A335" s="16" t="inlineStr">
        <is>
          <t>7 Jun</t>
        </is>
      </c>
      <c r="B335" s="16" t="inlineStr">
        <is>
          <t>30460</t>
        </is>
      </c>
      <c r="C335" s="16" t="n">
        <v>20785</v>
      </c>
      <c r="D335" s="16" t="n">
        <v>20733</v>
      </c>
      <c r="E335" s="16" t="n">
        <v>18728</v>
      </c>
      <c r="F335" s="38" t="n">
        <v>662404</v>
      </c>
      <c r="G335" s="38" t="n">
        <v>1449194</v>
      </c>
      <c r="H335" s="38" t="n">
        <v>699084</v>
      </c>
      <c r="I335" s="38" t="n">
        <v>1242970</v>
      </c>
      <c r="J335" s="19">
        <f>(I335-H335)/1000</f>
        <v/>
      </c>
      <c r="K335" s="16" t="inlineStr">
        <is>
          <t>Yes</t>
        </is>
      </c>
      <c r="L335" s="16" t="n">
        <v>124</v>
      </c>
      <c r="M335" s="39" t="inlineStr">
        <is>
          <t>- (full trip)</t>
        </is>
      </c>
    </row>
    <row r="336">
      <c r="A336" s="16" t="inlineStr">
        <is>
          <t>7 Jun</t>
        </is>
      </c>
      <c r="B336" s="16" t="inlineStr">
        <is>
          <t>33672</t>
        </is>
      </c>
      <c r="C336" s="16" t="n">
        <v>25911</v>
      </c>
      <c r="D336" s="16" t="n">
        <v>25863</v>
      </c>
      <c r="E336" s="16" t="n">
        <v>24666</v>
      </c>
      <c r="F336" s="38" t="n">
        <v>657187</v>
      </c>
      <c r="G336" s="38" t="n">
        <v>1405459</v>
      </c>
      <c r="H336" s="38" t="n">
        <v>699070</v>
      </c>
      <c r="I336" s="38" t="n">
        <v>1242949</v>
      </c>
      <c r="J336" s="19">
        <f>(I336-H336)/1000</f>
        <v/>
      </c>
      <c r="K336" s="16" t="inlineStr">
        <is>
          <t>Yes</t>
        </is>
      </c>
      <c r="L336" s="16" t="n">
        <v>124</v>
      </c>
      <c r="M336" s="39" t="inlineStr">
        <is>
          <t>- (full trip)</t>
        </is>
      </c>
    </row>
    <row r="337">
      <c r="A337" s="16" t="inlineStr">
        <is>
          <t>7 Jun</t>
        </is>
      </c>
      <c r="B337" s="16" t="inlineStr">
        <is>
          <t>30572</t>
        </is>
      </c>
      <c r="C337" s="16" t="n">
        <v>38504</v>
      </c>
      <c r="D337" s="16" t="n">
        <v>37735</v>
      </c>
      <c r="E337" s="16" t="n">
        <v>35652</v>
      </c>
      <c r="F337" s="38" t="n">
        <v>696231</v>
      </c>
      <c r="G337" s="38" t="n">
        <v>1500129</v>
      </c>
      <c r="H337" s="38" t="n">
        <v>699070</v>
      </c>
      <c r="I337" s="38" t="n">
        <v>1242932</v>
      </c>
      <c r="J337" s="19">
        <f>(I337-H337)/1000</f>
        <v/>
      </c>
      <c r="K337" s="16" t="inlineStr">
        <is>
          <t>Yes</t>
        </is>
      </c>
      <c r="L337" s="16" t="n">
        <v>124</v>
      </c>
      <c r="M337" s="39" t="inlineStr">
        <is>
          <t>- (full trip)</t>
        </is>
      </c>
    </row>
    <row r="338">
      <c r="A338" s="16" t="inlineStr">
        <is>
          <t>7 Jun</t>
        </is>
      </c>
      <c r="B338" s="16" t="inlineStr">
        <is>
          <t>30307</t>
        </is>
      </c>
      <c r="C338" s="16" t="n">
        <v>21418</v>
      </c>
      <c r="D338" s="16" t="n">
        <v>21260</v>
      </c>
      <c r="E338" s="16" t="n">
        <v>17215</v>
      </c>
      <c r="F338" s="38" t="n">
        <v>657188</v>
      </c>
      <c r="G338" s="38" t="n">
        <v>1516169</v>
      </c>
      <c r="H338" s="38" t="n">
        <v>699081</v>
      </c>
      <c r="I338" s="38" t="n">
        <v>1242728</v>
      </c>
      <c r="J338" s="19">
        <f>(I338-H338)/1000</f>
        <v/>
      </c>
      <c r="K338" s="16" t="inlineStr">
        <is>
          <t>Yes</t>
        </is>
      </c>
      <c r="L338" s="16" t="n">
        <v>124</v>
      </c>
      <c r="M338" s="39" t="inlineStr">
        <is>
          <t>- (full trip)</t>
        </is>
      </c>
    </row>
    <row r="339">
      <c r="A339" s="16" t="inlineStr">
        <is>
          <t>7 Jun</t>
        </is>
      </c>
      <c r="B339" s="16" t="inlineStr">
        <is>
          <t>39131</t>
        </is>
      </c>
      <c r="C339" s="16" t="n">
        <v>26189</v>
      </c>
      <c r="D339" s="16" t="n">
        <v>26053</v>
      </c>
      <c r="E339" s="16" t="n">
        <v>23887</v>
      </c>
      <c r="F339" s="38" t="n">
        <v>652737</v>
      </c>
      <c r="G339" s="38" t="n">
        <v>1454415</v>
      </c>
      <c r="H339" s="38" t="n">
        <v>699075</v>
      </c>
      <c r="I339" s="38" t="n">
        <v>1240724</v>
      </c>
      <c r="J339" s="19">
        <f>(I339-H339)/1000</f>
        <v/>
      </c>
      <c r="K339" s="16" t="inlineStr">
        <is>
          <t>Yes</t>
        </is>
      </c>
      <c r="L339" s="16" t="n">
        <v>124</v>
      </c>
      <c r="M339" s="39" t="inlineStr">
        <is>
          <t>- (full trip)</t>
        </is>
      </c>
    </row>
    <row r="340">
      <c r="A340" s="16" t="inlineStr">
        <is>
          <t>7 Jun</t>
        </is>
      </c>
      <c r="B340" s="16" t="inlineStr">
        <is>
          <t>39243</t>
        </is>
      </c>
      <c r="C340" s="16" t="n">
        <v>22764</v>
      </c>
      <c r="D340" s="16" t="n">
        <v>22732</v>
      </c>
      <c r="E340" s="16" t="n">
        <v>21065</v>
      </c>
      <c r="F340" s="38" t="n">
        <v>655649</v>
      </c>
      <c r="G340" s="38" t="n">
        <v>1436995</v>
      </c>
      <c r="H340" s="38" t="n">
        <v>699082</v>
      </c>
      <c r="I340" s="38" t="n">
        <v>1240735</v>
      </c>
      <c r="J340" s="19">
        <f>(I340-H340)/1000</f>
        <v/>
      </c>
      <c r="K340" s="16" t="inlineStr">
        <is>
          <t>Yes</t>
        </is>
      </c>
      <c r="L340" s="16" t="n">
        <v>124</v>
      </c>
      <c r="M340" s="39" t="inlineStr">
        <is>
          <t>- (full trip)</t>
        </is>
      </c>
    </row>
    <row r="341" ht="34" customHeight="1">
      <c r="A341" s="16" t="inlineStr">
        <is>
          <t>7 Jun</t>
        </is>
      </c>
      <c r="B341" s="16" t="inlineStr">
        <is>
          <t>30435</t>
        </is>
      </c>
      <c r="C341" s="16" t="n">
        <v>28425</v>
      </c>
      <c r="D341" s="16" t="n">
        <v>28296</v>
      </c>
      <c r="E341" s="16" t="n">
        <v>28296</v>
      </c>
      <c r="F341" s="38" t="n">
        <v>713302</v>
      </c>
      <c r="G341" s="38" t="n">
        <v>1228780</v>
      </c>
      <c r="H341" s="38" t="n">
        <v>713302</v>
      </c>
      <c r="I341" s="38" t="n">
        <v>1228780</v>
      </c>
      <c r="J341" s="19">
        <f>(I341-H341)/1000</f>
        <v/>
      </c>
      <c r="K341" s="16" t="inlineStr">
        <is>
          <t>Yes</t>
        </is>
      </c>
      <c r="L341" s="16" t="n">
        <v>117</v>
      </c>
      <c r="M341" s="39" t="inlineStr">
        <is>
          <t>IBH 265, Murhesi Rampur(MSRP), IBH/LC-258, 3.9 KM  from RLK, Rohalkhurd(RLK), LC-3, IBH-1</t>
        </is>
      </c>
    </row>
    <row r="342" ht="34" customHeight="1">
      <c r="A342" s="16" t="inlineStr">
        <is>
          <t>7 Jun</t>
        </is>
      </c>
      <c r="B342" s="16" t="inlineStr">
        <is>
          <t>37424</t>
        </is>
      </c>
      <c r="C342" s="16" t="n">
        <v>20786</v>
      </c>
      <c r="D342" s="16" t="n">
        <v>20764</v>
      </c>
      <c r="E342" s="16" t="n">
        <v>19375</v>
      </c>
      <c r="F342" s="38" t="n">
        <v>662586</v>
      </c>
      <c r="G342" s="38" t="n">
        <v>1212071</v>
      </c>
      <c r="H342" s="38" t="n">
        <v>699072</v>
      </c>
      <c r="I342" s="38" t="n">
        <v>1212071</v>
      </c>
      <c r="J342" s="19">
        <f>(I342-H342)/1000</f>
        <v/>
      </c>
      <c r="K342" s="16" t="inlineStr">
        <is>
          <t>Yes</t>
        </is>
      </c>
      <c r="L342" s="16" t="n">
        <v>118</v>
      </c>
      <c r="M342" s="39" t="inlineStr">
        <is>
          <t>IBH 265, Murhesi Rampur(MSRP), IBH/LC-258, Jajjanpatti(JJA), DhaurmuiJaghina(DUM), IBH-247</t>
        </is>
      </c>
    </row>
    <row r="343" ht="49" customHeight="1">
      <c r="A343" s="16" t="inlineStr">
        <is>
          <t>7 Jun</t>
        </is>
      </c>
      <c r="B343" s="16" t="inlineStr">
        <is>
          <t>37131</t>
        </is>
      </c>
      <c r="C343" s="16" t="n">
        <v>19442</v>
      </c>
      <c r="D343" s="16" t="n">
        <v>19428</v>
      </c>
      <c r="E343" s="16" t="n">
        <v>18786</v>
      </c>
      <c r="F343" s="38" t="n">
        <v>756225</v>
      </c>
      <c r="G343" s="38" t="n">
        <v>1437030</v>
      </c>
      <c r="H343" s="38" t="n">
        <v>756225</v>
      </c>
      <c r="I343" s="38" t="n">
        <v>1242948</v>
      </c>
      <c r="J343" s="19">
        <f>(I343-H343)/1000</f>
        <v/>
      </c>
      <c r="K343" s="16" t="inlineStr">
        <is>
          <t>Yes</t>
        </is>
      </c>
      <c r="L343" s="16" t="n">
        <v>110</v>
      </c>
      <c r="M343" s="39" t="inlineStr">
        <is>
          <t>Talavli(TLZ), LC-28, IBH-27, Thuria(THUR), IBH-23, VikramgarhA lot(VMA), IBH-17, LuniRichha(LNR), IBH-10, Mehidpur Road(MEP), 3.9 KM  from RLK, Rohalkhurd(RLK), LC-3, IBH-1</t>
        </is>
      </c>
    </row>
    <row r="344" ht="64" customHeight="1">
      <c r="A344" s="16" t="inlineStr">
        <is>
          <t>7 Jun</t>
        </is>
      </c>
      <c r="B344" s="16" t="inlineStr">
        <is>
          <t>30722</t>
        </is>
      </c>
      <c r="C344" s="16" t="n">
        <v>16332</v>
      </c>
      <c r="D344" s="16" t="n">
        <v>16332</v>
      </c>
      <c r="E344" s="16" t="n">
        <v>15736</v>
      </c>
      <c r="F344" s="38" t="n">
        <v>669372</v>
      </c>
      <c r="G344" s="38" t="n">
        <v>1175548</v>
      </c>
      <c r="H344" s="38" t="n">
        <v>699102</v>
      </c>
      <c r="I344" s="38" t="n">
        <v>1175548</v>
      </c>
      <c r="J344" s="19">
        <f>(I344-H344)/1000</f>
        <v/>
      </c>
      <c r="K344" s="16" t="inlineStr">
        <is>
          <t>Yes</t>
        </is>
      </c>
      <c r="L344" s="16" t="n">
        <v>109</v>
      </c>
      <c r="M344" s="39" t="inlineStr">
        <is>
          <t>IBH 265, Murhesi Rampur(MSRP), IBH/LC-258, Jajjanpatti(JJA), DhaurmuiJaghina(DUM), IBH-247, Bharatpur Jn.(BTE), IBH-242, Sewar(SWAR), IBH-JCU, LC-232, Pingora(PNGR), IBH-229, 2.35 KM from KEV, Kela Devi(KEV)</t>
        </is>
      </c>
    </row>
    <row r="345" ht="64" customHeight="1">
      <c r="A345" s="16" t="inlineStr">
        <is>
          <t>7 Jun</t>
        </is>
      </c>
      <c r="B345" s="16" t="inlineStr">
        <is>
          <t>37287</t>
        </is>
      </c>
      <c r="C345" s="16" t="n">
        <v>20472</v>
      </c>
      <c r="D345" s="16" t="n">
        <v>20472</v>
      </c>
      <c r="E345" s="16" t="n">
        <v>19272</v>
      </c>
      <c r="F345" s="38" t="n">
        <v>657194</v>
      </c>
      <c r="G345" s="38" t="n">
        <v>1172515</v>
      </c>
      <c r="H345" s="38" t="n">
        <v>699078</v>
      </c>
      <c r="I345" s="38" t="n">
        <v>1172515</v>
      </c>
      <c r="J345" s="19">
        <f>(I345-H345)/1000</f>
        <v/>
      </c>
      <c r="K345" s="16" t="inlineStr">
        <is>
          <t>Yes</t>
        </is>
      </c>
      <c r="L345" s="16" t="n">
        <v>108</v>
      </c>
      <c r="M345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346" ht="64" customHeight="1">
      <c r="A346" s="16" t="inlineStr">
        <is>
          <t>7 Jun</t>
        </is>
      </c>
      <c r="B346" s="16" t="inlineStr">
        <is>
          <t>30472</t>
        </is>
      </c>
      <c r="C346" s="16" t="n">
        <v>18711</v>
      </c>
      <c r="D346" s="16" t="n">
        <v>18689</v>
      </c>
      <c r="E346" s="16" t="n">
        <v>16649</v>
      </c>
      <c r="F346" s="38" t="n">
        <v>656334</v>
      </c>
      <c r="G346" s="38" t="n">
        <v>1169666</v>
      </c>
      <c r="H346" s="38" t="n">
        <v>699083</v>
      </c>
      <c r="I346" s="38" t="n">
        <v>1169666</v>
      </c>
      <c r="J346" s="19">
        <f>(I346-H346)/1000</f>
        <v/>
      </c>
      <c r="K346" s="16" t="inlineStr">
        <is>
          <t>Yes</t>
        </is>
      </c>
      <c r="L346" s="16" t="n">
        <v>108</v>
      </c>
      <c r="M346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347" ht="64" customHeight="1">
      <c r="A347" s="16" t="inlineStr">
        <is>
          <t>7 Jun</t>
        </is>
      </c>
      <c r="B347" s="16" t="inlineStr">
        <is>
          <t>37286</t>
        </is>
      </c>
      <c r="C347" s="16" t="n">
        <v>20058</v>
      </c>
      <c r="D347" s="16" t="n">
        <v>20039</v>
      </c>
      <c r="E347" s="16" t="n">
        <v>19732</v>
      </c>
      <c r="F347" s="38" t="n">
        <v>776817</v>
      </c>
      <c r="G347" s="38" t="n">
        <v>1436753</v>
      </c>
      <c r="H347" s="38" t="n">
        <v>776817</v>
      </c>
      <c r="I347" s="38" t="n">
        <v>1240751</v>
      </c>
      <c r="J347" s="19">
        <f>(I347-H347)/1000</f>
        <v/>
      </c>
      <c r="K347" s="16" t="inlineStr">
        <is>
          <t>Yes</t>
        </is>
      </c>
      <c r="L347" s="16" t="n">
        <v>107</v>
      </c>
      <c r="M347" s="39" t="inlineStr">
        <is>
          <t>NathuKheri(NKH), 4.5 KM from CMU, Chau Mahla(CMU), Talavli(TLZ), LC-28, IBH-27, Thuria(THUR), IBH-23, VikramgarhA lot(VMA), IBH-17, LuniRichha(LNR), IBH-10, Mehidpur Road(MEP), 3.9 KM  from RLK, Rohalkhurd(RLK), LC-3, IBH-1</t>
        </is>
      </c>
    </row>
    <row r="348" ht="79" customHeight="1">
      <c r="A348" s="16" t="inlineStr">
        <is>
          <t>7 Jun</t>
        </is>
      </c>
      <c r="B348" s="16" t="inlineStr">
        <is>
          <t>37793</t>
        </is>
      </c>
      <c r="C348" s="16" t="n">
        <v>17788</v>
      </c>
      <c r="D348" s="16" t="n">
        <v>17788</v>
      </c>
      <c r="E348" s="16" t="n">
        <v>16498</v>
      </c>
      <c r="F348" s="38" t="n">
        <v>657021</v>
      </c>
      <c r="G348" s="38" t="n">
        <v>1153928</v>
      </c>
      <c r="H348" s="38" t="n">
        <v>699088</v>
      </c>
      <c r="I348" s="38" t="n">
        <v>1153928</v>
      </c>
      <c r="J348" s="19">
        <f>(I348-H348)/1000</f>
        <v/>
      </c>
      <c r="K348" s="16" t="inlineStr">
        <is>
          <t>Yes</t>
        </is>
      </c>
      <c r="L348" s="16" t="n">
        <v>103</v>
      </c>
      <c r="M34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</t>
        </is>
      </c>
    </row>
    <row r="349" ht="124" customHeight="1">
      <c r="A349" s="16" t="inlineStr">
        <is>
          <t>7 Jun</t>
        </is>
      </c>
      <c r="B349" s="16" t="inlineStr">
        <is>
          <t>37219</t>
        </is>
      </c>
      <c r="C349" s="16" t="n">
        <v>23113</v>
      </c>
      <c r="D349" s="16" t="n">
        <v>23113</v>
      </c>
      <c r="E349" s="16" t="n">
        <v>21816</v>
      </c>
      <c r="F349" s="38" t="n">
        <v>659617</v>
      </c>
      <c r="G349" s="38" t="n">
        <v>1087070</v>
      </c>
      <c r="H349" s="38" t="n">
        <v>699093</v>
      </c>
      <c r="I349" s="38" t="n">
        <v>1087070</v>
      </c>
      <c r="J349" s="19">
        <f>(I349-H349)/1000</f>
        <v/>
      </c>
      <c r="K349" s="16" t="inlineStr">
        <is>
          <t>Yes</t>
        </is>
      </c>
      <c r="L349" s="16" t="n">
        <v>90</v>
      </c>
      <c r="M34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</t>
        </is>
      </c>
    </row>
    <row r="350" ht="154" customHeight="1">
      <c r="A350" s="16" t="inlineStr">
        <is>
          <t>7 Jun</t>
        </is>
      </c>
      <c r="B350" s="16" t="inlineStr">
        <is>
          <t>37086</t>
        </is>
      </c>
      <c r="C350" s="16" t="n">
        <v>15351</v>
      </c>
      <c r="D350" s="16" t="n">
        <v>15346</v>
      </c>
      <c r="E350" s="16" t="n">
        <v>15346</v>
      </c>
      <c r="F350" s="38" t="n">
        <v>820905</v>
      </c>
      <c r="G350" s="38" t="n">
        <v>1169662</v>
      </c>
      <c r="H350" s="38" t="n">
        <v>820905</v>
      </c>
      <c r="I350" s="38" t="n">
        <v>1169662</v>
      </c>
      <c r="J350" s="19">
        <f>(I350-H350)/1000</f>
        <v/>
      </c>
      <c r="K350" s="16" t="inlineStr">
        <is>
          <t>Yes</t>
        </is>
      </c>
      <c r="L350" s="16" t="n">
        <v>82</v>
      </c>
      <c r="M350" s="39" t="inlineStr">
        <is>
          <t>IBH 265, Murhesi Rampur(MSRP), IBH/LC-258, Jajjanpatti(JJA), DhaurmuiJaghina(DUM), IBH-247, Bharatpur Jn.(BTE), IBH-242, Sewar(SWAR), IBH-JCU, LC-232, Pingora(PNGR), IBH-229, 2.35 KM from KEV, Kela Devi(KEV), IBH-224,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351" ht="169" customHeight="1">
      <c r="A351" s="16" t="inlineStr">
        <is>
          <t>7 Jun</t>
        </is>
      </c>
      <c r="B351" s="16" t="inlineStr">
        <is>
          <t>39108</t>
        </is>
      </c>
      <c r="C351" s="16" t="n">
        <v>21046</v>
      </c>
      <c r="D351" s="16" t="n">
        <v>20408</v>
      </c>
      <c r="E351" s="16" t="n">
        <v>20048</v>
      </c>
      <c r="F351" s="38" t="n">
        <v>696329</v>
      </c>
      <c r="G351" s="38" t="n">
        <v>1029251</v>
      </c>
      <c r="H351" s="38" t="n">
        <v>699080</v>
      </c>
      <c r="I351" s="38" t="n">
        <v>1029251</v>
      </c>
      <c r="J351" s="19">
        <f>(I351-H351)/1000</f>
        <v/>
      </c>
      <c r="K351" s="16" t="inlineStr">
        <is>
          <t>Yes</t>
        </is>
      </c>
      <c r="L351" s="16" t="n">
        <v>77</v>
      </c>
      <c r="M35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352" ht="169" customHeight="1">
      <c r="A352" s="16" t="inlineStr">
        <is>
          <t>7 Jun</t>
        </is>
      </c>
      <c r="B352" s="16" t="inlineStr">
        <is>
          <t>45026</t>
        </is>
      </c>
      <c r="C352" s="16" t="n">
        <v>27083</v>
      </c>
      <c r="D352" s="16" t="n">
        <v>27028</v>
      </c>
      <c r="E352" s="16" t="n">
        <v>25400</v>
      </c>
      <c r="F352" s="38" t="n">
        <v>657557</v>
      </c>
      <c r="G352" s="38" t="n">
        <v>1028909</v>
      </c>
      <c r="H352" s="38" t="n">
        <v>699071</v>
      </c>
      <c r="I352" s="38" t="n">
        <v>1028909</v>
      </c>
      <c r="J352" s="19">
        <f>(I352-H352)/1000</f>
        <v/>
      </c>
      <c r="K352" s="16" t="inlineStr">
        <is>
          <t>Yes</t>
        </is>
      </c>
      <c r="L352" s="16" t="n">
        <v>77</v>
      </c>
      <c r="M35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353" ht="184" customHeight="1">
      <c r="A353" s="16" t="inlineStr">
        <is>
          <t>7 Jun</t>
        </is>
      </c>
      <c r="B353" s="16" t="inlineStr">
        <is>
          <t>30395</t>
        </is>
      </c>
      <c r="C353" s="16" t="n">
        <v>6594</v>
      </c>
      <c r="D353" s="16" t="n">
        <v>6575</v>
      </c>
      <c r="E353" s="16" t="n">
        <v>6425</v>
      </c>
      <c r="F353" s="38" t="n">
        <v>920358</v>
      </c>
      <c r="G353" s="38" t="n">
        <v>1421995</v>
      </c>
      <c r="H353" s="38" t="n">
        <v>920358</v>
      </c>
      <c r="I353" s="38" t="n">
        <v>1242984</v>
      </c>
      <c r="J353" s="19">
        <f>(I353-H353)/1000</f>
        <v/>
      </c>
      <c r="K353" s="16" t="inlineStr">
        <is>
          <t>Yes</t>
        </is>
      </c>
      <c r="L353" s="16" t="n">
        <v>78</v>
      </c>
      <c r="M353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354" ht="184" customHeight="1">
      <c r="A354" s="16" t="inlineStr">
        <is>
          <t>7 Jun</t>
        </is>
      </c>
      <c r="B354" s="16" t="inlineStr">
        <is>
          <t>30488</t>
        </is>
      </c>
      <c r="C354" s="16" t="n">
        <v>23753</v>
      </c>
      <c r="D354" s="16" t="n">
        <v>23700</v>
      </c>
      <c r="E354" s="16" t="n">
        <v>22527</v>
      </c>
      <c r="F354" s="38" t="n">
        <v>921481</v>
      </c>
      <c r="G354" s="38" t="n">
        <v>1438046</v>
      </c>
      <c r="H354" s="38" t="n">
        <v>921481</v>
      </c>
      <c r="I354" s="38" t="n">
        <v>1242984</v>
      </c>
      <c r="J354" s="19">
        <f>(I354-H354)/1000</f>
        <v/>
      </c>
      <c r="K354" s="16" t="inlineStr">
        <is>
          <t>Yes</t>
        </is>
      </c>
      <c r="L354" s="16" t="n">
        <v>78</v>
      </c>
      <c r="M354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355" ht="184" customHeight="1">
      <c r="A355" s="16" t="inlineStr">
        <is>
          <t>7 Jun</t>
        </is>
      </c>
      <c r="B355" s="16" t="inlineStr">
        <is>
          <t>30466</t>
        </is>
      </c>
      <c r="C355" s="16" t="n">
        <v>12554</v>
      </c>
      <c r="D355" s="16" t="n">
        <v>12544</v>
      </c>
      <c r="E355" s="16" t="n">
        <v>11080</v>
      </c>
      <c r="F355" s="38" t="n">
        <v>921754</v>
      </c>
      <c r="G355" s="38" t="n">
        <v>1484440</v>
      </c>
      <c r="H355" s="38" t="n">
        <v>921754</v>
      </c>
      <c r="I355" s="38" t="n">
        <v>1240566</v>
      </c>
      <c r="J355" s="19">
        <f>(I355-H355)/1000</f>
        <v/>
      </c>
      <c r="K355" s="16" t="inlineStr">
        <is>
          <t>Yes</t>
        </is>
      </c>
      <c r="L355" s="16" t="n">
        <v>78</v>
      </c>
      <c r="M355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356" ht="184" customHeight="1">
      <c r="A356" s="16" t="inlineStr">
        <is>
          <t>7 Jun</t>
        </is>
      </c>
      <c r="B356" s="16" t="inlineStr">
        <is>
          <t>30739</t>
        </is>
      </c>
      <c r="C356" s="16" t="n">
        <v>6452</v>
      </c>
      <c r="D356" s="16" t="n">
        <v>6450</v>
      </c>
      <c r="E356" s="16" t="n">
        <v>5839</v>
      </c>
      <c r="F356" s="38" t="n">
        <v>927612</v>
      </c>
      <c r="G356" s="38" t="n">
        <v>1478795</v>
      </c>
      <c r="H356" s="38" t="n">
        <v>927612</v>
      </c>
      <c r="I356" s="38" t="n">
        <v>1240709</v>
      </c>
      <c r="J356" s="19">
        <f>(I356-H356)/1000</f>
        <v/>
      </c>
      <c r="K356" s="16" t="inlineStr">
        <is>
          <t>Yes</t>
        </is>
      </c>
      <c r="L356" s="16" t="n">
        <v>76</v>
      </c>
      <c r="M356" s="39" t="inlineStr">
        <is>
          <t>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357" ht="184" customHeight="1">
      <c r="A357" s="16" t="inlineStr">
        <is>
          <t>7 Jun</t>
        </is>
      </c>
      <c r="B357" s="16" t="inlineStr">
        <is>
          <t>30342</t>
        </is>
      </c>
      <c r="C357" s="16" t="n">
        <v>8608</v>
      </c>
      <c r="D357" s="16" t="n">
        <v>8426</v>
      </c>
      <c r="E357" s="16" t="n">
        <v>8426</v>
      </c>
      <c r="F357" s="38" t="n">
        <v>724732</v>
      </c>
      <c r="G357" s="38" t="n">
        <v>1028915</v>
      </c>
      <c r="H357" s="38" t="n">
        <v>724732</v>
      </c>
      <c r="I357" s="38" t="n">
        <v>1028915</v>
      </c>
      <c r="J357" s="19">
        <f>(I357-H357)/1000</f>
        <v/>
      </c>
      <c r="K357" s="16" t="inlineStr">
        <is>
          <t>Yes</t>
        </is>
      </c>
      <c r="L357" s="16" t="n">
        <v>71</v>
      </c>
      <c r="M35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IBH-10, Mehidpur Road(MEP), 3.9 KM  from RLK  ...(+3 more)</t>
        </is>
      </c>
    </row>
    <row r="358" ht="199" customHeight="1">
      <c r="A358" s="16" t="inlineStr">
        <is>
          <t>7 Jun</t>
        </is>
      </c>
      <c r="B358" s="16" t="inlineStr">
        <is>
          <t>37277</t>
        </is>
      </c>
      <c r="C358" s="16" t="n">
        <v>12430</v>
      </c>
      <c r="D358" s="16" t="n">
        <v>12409</v>
      </c>
      <c r="E358" s="16" t="n">
        <v>12409</v>
      </c>
      <c r="F358" s="38" t="n">
        <v>905053</v>
      </c>
      <c r="G358" s="38" t="n">
        <v>1169663</v>
      </c>
      <c r="H358" s="38" t="n">
        <v>905053</v>
      </c>
      <c r="I358" s="38" t="n">
        <v>1169663</v>
      </c>
      <c r="J358" s="19">
        <f>(I358-H358)/1000</f>
        <v/>
      </c>
      <c r="K358" s="16" t="inlineStr">
        <is>
          <t>Yes</t>
        </is>
      </c>
      <c r="L358" s="16" t="n">
        <v>65</v>
      </c>
      <c r="M358" s="39" t="inlineStr">
        <is>
          <t>IBH 265, Murhesi Rampur(MSRP), IBH/LC-258, Jajjanpatti(JJA), DhaurmuiJaghina(DUM), IBH-247, Bharatpur Jn.(BTE), IBH-242, Sewar(SWAR), IBH-JCU, LC-232, Pingora(PNGR), IBH-229, 2.35 KM from KEV, Kela Devi(KEV), IBH-224,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  ...(+9 more)</t>
        </is>
      </c>
    </row>
    <row r="359" ht="199" customHeight="1">
      <c r="A359" s="16" t="inlineStr">
        <is>
          <t>7 Jun</t>
        </is>
      </c>
      <c r="B359" s="16" t="inlineStr">
        <is>
          <t>30752</t>
        </is>
      </c>
      <c r="C359" s="16" t="n">
        <v>33133</v>
      </c>
      <c r="D359" s="16" t="n">
        <v>33041</v>
      </c>
      <c r="E359" s="16" t="n">
        <v>33041</v>
      </c>
      <c r="F359" s="38" t="n">
        <v>920524</v>
      </c>
      <c r="G359" s="38" t="n">
        <v>1172575</v>
      </c>
      <c r="H359" s="38" t="n">
        <v>920524</v>
      </c>
      <c r="I359" s="38" t="n">
        <v>1172575</v>
      </c>
      <c r="J359" s="19">
        <f>(I359-H359)/1000</f>
        <v/>
      </c>
      <c r="K359" s="16" t="inlineStr">
        <is>
          <t>Yes</t>
        </is>
      </c>
      <c r="L359" s="16" t="n">
        <v>62</v>
      </c>
      <c r="M359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360" ht="199" customHeight="1">
      <c r="A360" s="16" t="inlineStr">
        <is>
          <t>7 Jun</t>
        </is>
      </c>
      <c r="B360" s="16" t="inlineStr">
        <is>
          <t>37257</t>
        </is>
      </c>
      <c r="C360" s="16" t="n">
        <v>34392</v>
      </c>
      <c r="D360" s="16" t="n">
        <v>34316</v>
      </c>
      <c r="E360" s="16" t="n">
        <v>34316</v>
      </c>
      <c r="F360" s="38" t="n">
        <v>921262</v>
      </c>
      <c r="G360" s="38" t="n">
        <v>1172585</v>
      </c>
      <c r="H360" s="38" t="n">
        <v>921262</v>
      </c>
      <c r="I360" s="38" t="n">
        <v>1172585</v>
      </c>
      <c r="J360" s="19">
        <f>(I360-H360)/1000</f>
        <v/>
      </c>
      <c r="K360" s="16" t="inlineStr">
        <is>
          <t>Yes</t>
        </is>
      </c>
      <c r="L360" s="16" t="n">
        <v>62</v>
      </c>
      <c r="M360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361" ht="184" customHeight="1">
      <c r="A361" s="16" t="inlineStr">
        <is>
          <t>7 Jun</t>
        </is>
      </c>
      <c r="B361" s="16" t="inlineStr">
        <is>
          <t>30567</t>
        </is>
      </c>
      <c r="C361" s="16" t="n">
        <v>10787</v>
      </c>
      <c r="D361" s="16" t="n">
        <v>10787</v>
      </c>
      <c r="E361" s="16" t="n">
        <v>9470</v>
      </c>
      <c r="F361" s="38" t="n">
        <v>661673</v>
      </c>
      <c r="G361" s="38" t="n">
        <v>928798</v>
      </c>
      <c r="H361" s="38" t="n">
        <v>699073</v>
      </c>
      <c r="I361" s="38" t="n">
        <v>928798</v>
      </c>
      <c r="J361" s="19">
        <f>(I361-H361)/1000</f>
        <v/>
      </c>
      <c r="K361" s="16" t="inlineStr">
        <is>
          <t>Yes</t>
        </is>
      </c>
      <c r="L361" s="16" t="n">
        <v>50</v>
      </c>
      <c r="M36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...(+24 more)</t>
        </is>
      </c>
    </row>
    <row r="362" ht="184" customHeight="1">
      <c r="A362" s="16" t="inlineStr">
        <is>
          <t>7 Jun</t>
        </is>
      </c>
      <c r="B362" s="16" t="inlineStr">
        <is>
          <t>30177</t>
        </is>
      </c>
      <c r="C362" s="16" t="n">
        <v>15823</v>
      </c>
      <c r="D362" s="16" t="n">
        <v>15791</v>
      </c>
      <c r="E362" s="16" t="n">
        <v>14943</v>
      </c>
      <c r="F362" s="38" t="n">
        <v>660222</v>
      </c>
      <c r="G362" s="38" t="n">
        <v>918425</v>
      </c>
      <c r="H362" s="38" t="n">
        <v>699084</v>
      </c>
      <c r="I362" s="38" t="n">
        <v>918425</v>
      </c>
      <c r="J362" s="19">
        <f>(I362-H362)/1000</f>
        <v/>
      </c>
      <c r="K362" s="16" t="inlineStr">
        <is>
          <t>Yes</t>
        </is>
      </c>
      <c r="L362" s="16" t="n">
        <v>46</v>
      </c>
      <c r="M36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...(+28 more)</t>
        </is>
      </c>
    </row>
    <row r="363" ht="184" customHeight="1">
      <c r="A363" s="16" t="inlineStr">
        <is>
          <t>7 Jun</t>
        </is>
      </c>
      <c r="B363" s="16" t="inlineStr">
        <is>
          <t>37314</t>
        </is>
      </c>
      <c r="C363" s="16" t="n">
        <v>5626</v>
      </c>
      <c r="D363" s="16" t="n">
        <v>5536</v>
      </c>
      <c r="E363" s="16" t="n">
        <v>5532</v>
      </c>
      <c r="F363" s="38" t="n">
        <v>695647</v>
      </c>
      <c r="G363" s="38" t="n">
        <v>901007</v>
      </c>
      <c r="H363" s="38" t="n">
        <v>699282</v>
      </c>
      <c r="I363" s="38" t="n">
        <v>901007</v>
      </c>
      <c r="J363" s="19">
        <f>(I363-H363)/1000</f>
        <v/>
      </c>
      <c r="K363" s="16" t="inlineStr">
        <is>
          <t>Yes</t>
        </is>
      </c>
      <c r="L363" s="16" t="n">
        <v>43</v>
      </c>
      <c r="M36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...(+31 more)</t>
        </is>
      </c>
    </row>
    <row r="364" ht="184" customHeight="1">
      <c r="A364" s="16" t="inlineStr">
        <is>
          <t>7 Jun</t>
        </is>
      </c>
      <c r="B364" s="16" t="inlineStr">
        <is>
          <t>37474</t>
        </is>
      </c>
      <c r="C364" s="16" t="n">
        <v>2639</v>
      </c>
      <c r="D364" s="16" t="n">
        <v>2600</v>
      </c>
      <c r="E364" s="16" t="n">
        <v>987</v>
      </c>
      <c r="F364" s="38" t="n">
        <v>1054772</v>
      </c>
      <c r="G364" s="38" t="n">
        <v>1409773</v>
      </c>
      <c r="H364" s="38" t="n">
        <v>1054772</v>
      </c>
      <c r="I364" s="38" t="n">
        <v>1243993</v>
      </c>
      <c r="J364" s="19">
        <f>(I364-H364)/1000</f>
        <v/>
      </c>
      <c r="K364" s="16" t="inlineStr">
        <is>
          <t>Yes</t>
        </is>
      </c>
      <c r="L364" s="16" t="n">
        <v>42</v>
      </c>
      <c r="M364" s="39" t="inlineStr">
        <is>
          <t>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  ...(+32 more)</t>
        </is>
      </c>
    </row>
    <row r="365" ht="184" customHeight="1">
      <c r="A365" s="16" t="inlineStr">
        <is>
          <t>7 Jun</t>
        </is>
      </c>
      <c r="B365" s="16" t="inlineStr">
        <is>
          <t>37366</t>
        </is>
      </c>
      <c r="C365" s="16" t="n">
        <v>25538</v>
      </c>
      <c r="D365" s="16" t="n">
        <v>25497</v>
      </c>
      <c r="E365" s="16" t="n">
        <v>25497</v>
      </c>
      <c r="F365" s="38" t="n">
        <v>844630</v>
      </c>
      <c r="G365" s="38" t="n">
        <v>1029026</v>
      </c>
      <c r="H365" s="38" t="n">
        <v>844630</v>
      </c>
      <c r="I365" s="38" t="n">
        <v>1029026</v>
      </c>
      <c r="J365" s="19">
        <f>(I365-H365)/1000</f>
        <v/>
      </c>
      <c r="K365" s="16" t="inlineStr">
        <is>
          <t>Yes</t>
        </is>
      </c>
      <c r="L365" s="16" t="n">
        <v>47</v>
      </c>
      <c r="M36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Jhalawar Road(JHW), DhuanKheri(DKRA), IBH-69  ...(+27 more)</t>
        </is>
      </c>
    </row>
    <row r="366" ht="184" customHeight="1">
      <c r="A366" s="16" t="inlineStr">
        <is>
          <t>7 Jun</t>
        </is>
      </c>
      <c r="B366" s="16" t="inlineStr">
        <is>
          <t>37031</t>
        </is>
      </c>
      <c r="C366" s="16" t="n">
        <v>10921</v>
      </c>
      <c r="D366" s="16" t="n">
        <v>10895</v>
      </c>
      <c r="E366" s="16" t="n">
        <v>10895</v>
      </c>
      <c r="F366" s="38" t="n">
        <v>920376</v>
      </c>
      <c r="G366" s="38" t="n">
        <v>1029046</v>
      </c>
      <c r="H366" s="38" t="n">
        <v>920376</v>
      </c>
      <c r="I366" s="38" t="n">
        <v>1029046</v>
      </c>
      <c r="J366" s="19">
        <f>(I366-H366)/1000</f>
        <v/>
      </c>
      <c r="K366" s="16" t="inlineStr">
        <is>
          <t>Yes</t>
        </is>
      </c>
      <c r="L366" s="16" t="n">
        <v>31</v>
      </c>
      <c r="M36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67" ht="184" customHeight="1">
      <c r="A367" s="16" t="inlineStr">
        <is>
          <t>7 Jun</t>
        </is>
      </c>
      <c r="B367" s="16" t="inlineStr">
        <is>
          <t>37248</t>
        </is>
      </c>
      <c r="C367" s="16" t="n">
        <v>4810</v>
      </c>
      <c r="D367" s="16" t="n">
        <v>4796</v>
      </c>
      <c r="E367" s="16" t="n">
        <v>4796</v>
      </c>
      <c r="F367" s="38" t="n">
        <v>920910</v>
      </c>
      <c r="G367" s="38" t="n">
        <v>1029429</v>
      </c>
      <c r="H367" s="38" t="n">
        <v>920910</v>
      </c>
      <c r="I367" s="38" t="n">
        <v>1029429</v>
      </c>
      <c r="J367" s="19">
        <f>(I367-H367)/1000</f>
        <v/>
      </c>
      <c r="K367" s="16" t="inlineStr">
        <is>
          <t>Yes</t>
        </is>
      </c>
      <c r="L367" s="16" t="n">
        <v>31</v>
      </c>
      <c r="M36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68" ht="184" customHeight="1">
      <c r="A368" s="16" t="inlineStr">
        <is>
          <t>7 Jun</t>
        </is>
      </c>
      <c r="B368" s="16" t="inlineStr">
        <is>
          <t>37885</t>
        </is>
      </c>
      <c r="C368" s="16" t="n">
        <v>4618</v>
      </c>
      <c r="D368" s="16" t="n">
        <v>4601</v>
      </c>
      <c r="E368" s="16" t="n">
        <v>2802</v>
      </c>
      <c r="F368" s="38" t="n">
        <v>657124</v>
      </c>
      <c r="G368" s="38" t="n">
        <v>787542</v>
      </c>
      <c r="H368" s="38" t="n">
        <v>699086</v>
      </c>
      <c r="I368" s="38" t="n">
        <v>787542</v>
      </c>
      <c r="J368" s="19">
        <f>(I368-H368)/1000</f>
        <v/>
      </c>
      <c r="K368" s="16" t="inlineStr">
        <is>
          <t>Yes</t>
        </is>
      </c>
      <c r="L368" s="16" t="n">
        <v>21</v>
      </c>
      <c r="M36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...(+53 more)</t>
        </is>
      </c>
    </row>
    <row r="369" ht="184" customHeight="1">
      <c r="A369" s="16" t="inlineStr">
        <is>
          <t>7 Jun</t>
        </is>
      </c>
      <c r="B369" s="16" t="inlineStr">
        <is>
          <t>32763</t>
        </is>
      </c>
      <c r="C369" s="16" t="n">
        <v>1478</v>
      </c>
      <c r="D369" s="16" t="n">
        <v>1471</v>
      </c>
      <c r="E369" s="16" t="n">
        <v>1471</v>
      </c>
      <c r="F369" s="38" t="n">
        <v>843019</v>
      </c>
      <c r="G369" s="38" t="n">
        <v>920369</v>
      </c>
      <c r="H369" s="38" t="n">
        <v>843019</v>
      </c>
      <c r="I369" s="38" t="n">
        <v>920369</v>
      </c>
      <c r="J369" s="19">
        <f>(I369-H369)/1000</f>
        <v/>
      </c>
      <c r="K369" s="16" t="inlineStr">
        <is>
          <t>Yes</t>
        </is>
      </c>
      <c r="L369" s="16" t="n">
        <v>17</v>
      </c>
      <c r="M36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...(+57 more)</t>
        </is>
      </c>
    </row>
    <row r="370" ht="184" customHeight="1">
      <c r="A370" s="16" t="inlineStr">
        <is>
          <t>7 Jun</t>
        </is>
      </c>
      <c r="B370" s="16" t="inlineStr">
        <is>
          <t>30335</t>
        </is>
      </c>
      <c r="C370" s="16" t="n">
        <v>2442</v>
      </c>
      <c r="D370" s="16" t="n">
        <v>2437</v>
      </c>
      <c r="E370" s="16" t="n">
        <v>2437</v>
      </c>
      <c r="F370" s="38" t="n">
        <v>920531</v>
      </c>
      <c r="G370" s="38" t="n">
        <v>960815</v>
      </c>
      <c r="H370" s="38" t="n">
        <v>920531</v>
      </c>
      <c r="I370" s="38" t="n">
        <v>960815</v>
      </c>
      <c r="J370" s="19">
        <f>(I370-H370)/1000</f>
        <v/>
      </c>
      <c r="K370" s="16" t="inlineStr">
        <is>
          <t>Yes</t>
        </is>
      </c>
      <c r="L370" s="16" t="n">
        <v>14</v>
      </c>
      <c r="M37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...(+60 more)</t>
        </is>
      </c>
    </row>
    <row r="371" ht="184" customHeight="1">
      <c r="A371" s="16" t="inlineStr">
        <is>
          <t>7 Jun</t>
        </is>
      </c>
      <c r="B371" s="16" t="inlineStr">
        <is>
          <t>37540</t>
        </is>
      </c>
      <c r="C371" s="16" t="n">
        <v>928</v>
      </c>
      <c r="D371" s="16" t="n">
        <v>928</v>
      </c>
      <c r="E371" s="16" t="n">
        <v>714</v>
      </c>
      <c r="F371" s="38" t="n">
        <v>696354</v>
      </c>
      <c r="G371" s="38" t="n">
        <v>735394</v>
      </c>
      <c r="H371" s="38" t="n">
        <v>699074</v>
      </c>
      <c r="I371" s="38" t="n">
        <v>735394</v>
      </c>
      <c r="J371" s="19">
        <f>(I371-H371)/1000</f>
        <v/>
      </c>
      <c r="K371" s="16" t="inlineStr">
        <is>
          <t>Yes</t>
        </is>
      </c>
      <c r="L371" s="16" t="n">
        <v>9</v>
      </c>
      <c r="M37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...(+65 more)</t>
        </is>
      </c>
    </row>
    <row r="372" ht="184" customHeight="1">
      <c r="A372" s="16" t="inlineStr">
        <is>
          <t>7 Jun</t>
        </is>
      </c>
      <c r="B372" s="16" t="inlineStr">
        <is>
          <t>45049</t>
        </is>
      </c>
      <c r="C372" s="16" t="n">
        <v>570</v>
      </c>
      <c r="D372" s="16" t="n">
        <v>566</v>
      </c>
      <c r="E372" s="16" t="n">
        <v>209</v>
      </c>
      <c r="F372" s="38" t="n">
        <v>1210988</v>
      </c>
      <c r="G372" s="38" t="n">
        <v>1276918</v>
      </c>
      <c r="H372" s="38" t="n">
        <v>1210988</v>
      </c>
      <c r="I372" s="38" t="n">
        <v>1243732</v>
      </c>
      <c r="J372" s="19">
        <f>(I372-H372)/1000</f>
        <v/>
      </c>
      <c r="K372" s="16" t="inlineStr">
        <is>
          <t>Yes</t>
        </is>
      </c>
      <c r="L372" s="16" t="n">
        <v>7</v>
      </c>
      <c r="M372" s="39" t="inlineStr">
        <is>
          <t>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  ...(+67 more)</t>
        </is>
      </c>
    </row>
    <row r="373" ht="184" customHeight="1">
      <c r="A373" s="16" t="inlineStr">
        <is>
          <t>7 Jun</t>
        </is>
      </c>
      <c r="B373" s="16" t="inlineStr">
        <is>
          <t>37527</t>
        </is>
      </c>
      <c r="C373" s="16" t="n">
        <v>96</v>
      </c>
      <c r="D373" s="16" t="n">
        <v>87</v>
      </c>
      <c r="E373" s="16" t="n">
        <v>87</v>
      </c>
      <c r="F373" s="38" t="n">
        <v>921047</v>
      </c>
      <c r="G373" s="38" t="n">
        <v>921264</v>
      </c>
      <c r="H373" s="38" t="n">
        <v>921047</v>
      </c>
      <c r="I373" s="38" t="n">
        <v>921264</v>
      </c>
      <c r="J373" s="19">
        <f>(I373-H373)/1000</f>
        <v/>
      </c>
      <c r="K373" s="16" t="inlineStr">
        <is>
          <t>Yes</t>
        </is>
      </c>
      <c r="L373" s="16" t="n">
        <v>1</v>
      </c>
      <c r="M37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...(+73 more)</t>
        </is>
      </c>
    </row>
    <row r="374" ht="184" customHeight="1">
      <c r="A374" s="31" t="inlineStr">
        <is>
          <t>7 Jun</t>
        </is>
      </c>
      <c r="B374" s="31" t="inlineStr">
        <is>
          <t>28617</t>
        </is>
      </c>
      <c r="C374" s="31" t="n">
        <v>28</v>
      </c>
      <c r="D374" s="31" t="n">
        <v>27</v>
      </c>
      <c r="E374" s="31" t="n">
        <v>0</v>
      </c>
      <c r="F374" s="40" t="n">
        <v>2500275</v>
      </c>
      <c r="G374" s="40" t="n">
        <v>2500356</v>
      </c>
      <c r="H374" s="40" t="inlineStr">
        <is>
          <t>-</t>
        </is>
      </c>
      <c r="I374" s="40" t="inlineStr">
        <is>
          <t>-</t>
        </is>
      </c>
      <c r="J374" s="41" t="n">
        <v>0</v>
      </c>
      <c r="K374" s="31" t="inlineStr">
        <is>
          <t>No</t>
        </is>
      </c>
      <c r="L374" s="31" t="n">
        <v>0</v>
      </c>
      <c r="M37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5" ht="184" customHeight="1">
      <c r="A375" s="31" t="inlineStr">
        <is>
          <t>7 Jun</t>
        </is>
      </c>
      <c r="B375" s="31" t="inlineStr">
        <is>
          <t>30006</t>
        </is>
      </c>
      <c r="C375" s="31" t="n">
        <v>561</v>
      </c>
      <c r="D375" s="31" t="n">
        <v>561</v>
      </c>
      <c r="E375" s="31" t="n">
        <v>0</v>
      </c>
      <c r="F375" s="40" t="n">
        <v>1401571</v>
      </c>
      <c r="G375" s="40" t="n">
        <v>1436336</v>
      </c>
      <c r="H375" s="40" t="inlineStr">
        <is>
          <t>-</t>
        </is>
      </c>
      <c r="I375" s="40" t="inlineStr">
        <is>
          <t>-</t>
        </is>
      </c>
      <c r="J375" s="41" t="n">
        <v>0</v>
      </c>
      <c r="K375" s="31" t="inlineStr">
        <is>
          <t>No</t>
        </is>
      </c>
      <c r="L375" s="31" t="n">
        <v>0</v>
      </c>
      <c r="M37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6" ht="184" customHeight="1">
      <c r="A376" s="31" t="inlineStr">
        <is>
          <t>7 Jun</t>
        </is>
      </c>
      <c r="B376" s="31" t="inlineStr">
        <is>
          <t>30174</t>
        </is>
      </c>
      <c r="C376" s="31" t="n">
        <v>386</v>
      </c>
      <c r="D376" s="31" t="n">
        <v>386</v>
      </c>
      <c r="E376" s="31" t="n">
        <v>0</v>
      </c>
      <c r="F376" s="40" t="n">
        <v>660294</v>
      </c>
      <c r="G376" s="40" t="n">
        <v>674624</v>
      </c>
      <c r="H376" s="40" t="inlineStr">
        <is>
          <t>-</t>
        </is>
      </c>
      <c r="I376" s="40" t="inlineStr">
        <is>
          <t>-</t>
        </is>
      </c>
      <c r="J376" s="41" t="n">
        <v>0</v>
      </c>
      <c r="K376" s="31" t="inlineStr">
        <is>
          <t>No</t>
        </is>
      </c>
      <c r="L376" s="31" t="n">
        <v>0</v>
      </c>
      <c r="M37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7" ht="184" customHeight="1">
      <c r="A377" s="31" t="inlineStr">
        <is>
          <t>7 Jun</t>
        </is>
      </c>
      <c r="B377" s="31" t="inlineStr">
        <is>
          <t>30334</t>
        </is>
      </c>
      <c r="C377" s="31" t="n">
        <v>118</v>
      </c>
      <c r="D377" s="31" t="n">
        <v>118</v>
      </c>
      <c r="E377" s="31" t="n">
        <v>0</v>
      </c>
      <c r="F377" s="40" t="n">
        <v>1411257</v>
      </c>
      <c r="G377" s="40" t="n">
        <v>1435795</v>
      </c>
      <c r="H377" s="40" t="inlineStr">
        <is>
          <t>-</t>
        </is>
      </c>
      <c r="I377" s="40" t="inlineStr">
        <is>
          <t>-</t>
        </is>
      </c>
      <c r="J377" s="41" t="n">
        <v>0</v>
      </c>
      <c r="K377" s="31" t="inlineStr">
        <is>
          <t>No</t>
        </is>
      </c>
      <c r="L377" s="31" t="n">
        <v>0</v>
      </c>
      <c r="M37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8" ht="184" customHeight="1">
      <c r="A378" s="31" t="inlineStr">
        <is>
          <t>7 Jun</t>
        </is>
      </c>
      <c r="B378" s="31" t="inlineStr">
        <is>
          <t>30352</t>
        </is>
      </c>
      <c r="C378" s="31" t="n">
        <v>144</v>
      </c>
      <c r="D378" s="31" t="n">
        <v>142</v>
      </c>
      <c r="E378" s="31" t="n">
        <v>0</v>
      </c>
      <c r="F378" s="40" t="n">
        <v>1401691</v>
      </c>
      <c r="G378" s="40" t="n">
        <v>1425833</v>
      </c>
      <c r="H378" s="40" t="inlineStr">
        <is>
          <t>-</t>
        </is>
      </c>
      <c r="I378" s="40" t="inlineStr">
        <is>
          <t>-</t>
        </is>
      </c>
      <c r="J378" s="41" t="n">
        <v>0</v>
      </c>
      <c r="K378" s="31" t="inlineStr">
        <is>
          <t>No</t>
        </is>
      </c>
      <c r="L378" s="31" t="n">
        <v>0</v>
      </c>
      <c r="M37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9" ht="184" customHeight="1">
      <c r="A379" s="31" t="inlineStr">
        <is>
          <t>7 Jun</t>
        </is>
      </c>
      <c r="B379" s="31" t="inlineStr">
        <is>
          <t>30377</t>
        </is>
      </c>
      <c r="C379" s="31" t="n">
        <v>1416</v>
      </c>
      <c r="D379" s="31" t="n">
        <v>1410</v>
      </c>
      <c r="E379" s="31" t="n">
        <v>0</v>
      </c>
      <c r="F379" s="40" t="n">
        <v>1401563</v>
      </c>
      <c r="G379" s="40" t="n">
        <v>1487961</v>
      </c>
      <c r="H379" s="40" t="inlineStr">
        <is>
          <t>-</t>
        </is>
      </c>
      <c r="I379" s="40" t="inlineStr">
        <is>
          <t>-</t>
        </is>
      </c>
      <c r="J379" s="41" t="n">
        <v>0</v>
      </c>
      <c r="K379" s="31" t="inlineStr">
        <is>
          <t>No</t>
        </is>
      </c>
      <c r="L379" s="31" t="n">
        <v>0</v>
      </c>
      <c r="M37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80" ht="184" customHeight="1">
      <c r="A380" s="31" t="inlineStr">
        <is>
          <t>7 Jun</t>
        </is>
      </c>
      <c r="B380" s="31" t="inlineStr">
        <is>
          <t>30463</t>
        </is>
      </c>
      <c r="C380" s="31" t="n">
        <v>1204</v>
      </c>
      <c r="D380" s="31" t="n">
        <v>1202</v>
      </c>
      <c r="E380" s="31" t="n">
        <v>0</v>
      </c>
      <c r="F380" s="40" t="n">
        <v>1401344</v>
      </c>
      <c r="G380" s="40" t="n">
        <v>1499350</v>
      </c>
      <c r="H380" s="40" t="inlineStr">
        <is>
          <t>-</t>
        </is>
      </c>
      <c r="I380" s="40" t="inlineStr">
        <is>
          <t>-</t>
        </is>
      </c>
      <c r="J380" s="41" t="n">
        <v>0</v>
      </c>
      <c r="K380" s="31" t="inlineStr">
        <is>
          <t>No</t>
        </is>
      </c>
      <c r="L380" s="31" t="n">
        <v>0</v>
      </c>
      <c r="M38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81" ht="184" customHeight="1">
      <c r="A381" s="31" t="inlineStr">
        <is>
          <t>7 Jun</t>
        </is>
      </c>
      <c r="B381" s="31" t="inlineStr">
        <is>
          <t>30464</t>
        </is>
      </c>
      <c r="C381" s="31" t="n">
        <v>184</v>
      </c>
      <c r="D381" s="31" t="n">
        <v>65</v>
      </c>
      <c r="E381" s="31" t="n">
        <v>0</v>
      </c>
      <c r="F381" s="40" t="n">
        <v>1459277</v>
      </c>
      <c r="G381" s="40" t="n">
        <v>1488744</v>
      </c>
      <c r="H381" s="40" t="inlineStr">
        <is>
          <t>-</t>
        </is>
      </c>
      <c r="I381" s="40" t="inlineStr">
        <is>
          <t>-</t>
        </is>
      </c>
      <c r="J381" s="41" t="n">
        <v>0</v>
      </c>
      <c r="K381" s="31" t="inlineStr">
        <is>
          <t>No</t>
        </is>
      </c>
      <c r="L381" s="31" t="n">
        <v>0</v>
      </c>
      <c r="M38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82" ht="184" customHeight="1">
      <c r="A382" s="31" t="inlineStr">
        <is>
          <t>7 Jun</t>
        </is>
      </c>
      <c r="B382" s="31" t="inlineStr">
        <is>
          <t>30542</t>
        </is>
      </c>
      <c r="C382" s="31" t="n">
        <v>227</v>
      </c>
      <c r="D382" s="31" t="n">
        <v>227</v>
      </c>
      <c r="E382" s="31" t="n">
        <v>0</v>
      </c>
      <c r="F382" s="40" t="n">
        <v>1401391</v>
      </c>
      <c r="G382" s="40" t="n">
        <v>1419846</v>
      </c>
      <c r="H382" s="40" t="inlineStr">
        <is>
          <t>-</t>
        </is>
      </c>
      <c r="I382" s="40" t="inlineStr">
        <is>
          <t>-</t>
        </is>
      </c>
      <c r="J382" s="41" t="n">
        <v>0</v>
      </c>
      <c r="K382" s="31" t="inlineStr">
        <is>
          <t>No</t>
        </is>
      </c>
      <c r="L382" s="31" t="n">
        <v>0</v>
      </c>
      <c r="M38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83" ht="184" customHeight="1">
      <c r="A383" s="31" t="inlineStr">
        <is>
          <t>7 Jun</t>
        </is>
      </c>
      <c r="B383" s="31" t="inlineStr">
        <is>
          <t>30758</t>
        </is>
      </c>
      <c r="C383" s="31" t="n">
        <v>2253</v>
      </c>
      <c r="D383" s="31" t="n">
        <v>2202</v>
      </c>
      <c r="E383" s="31" t="n">
        <v>0</v>
      </c>
      <c r="F383" s="40" t="n">
        <v>1893</v>
      </c>
      <c r="G383" s="40" t="n">
        <v>697878</v>
      </c>
      <c r="H383" s="40" t="inlineStr">
        <is>
          <t>-</t>
        </is>
      </c>
      <c r="I383" s="40" t="inlineStr">
        <is>
          <t>-</t>
        </is>
      </c>
      <c r="J383" s="41" t="n">
        <v>0</v>
      </c>
      <c r="K383" s="31" t="inlineStr">
        <is>
          <t>No</t>
        </is>
      </c>
      <c r="L383" s="31" t="n">
        <v>0</v>
      </c>
      <c r="M38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84" ht="184" customHeight="1">
      <c r="A384" s="31" t="inlineStr">
        <is>
          <t>7 Jun</t>
        </is>
      </c>
      <c r="B384" s="31" t="inlineStr">
        <is>
          <t>30793</t>
        </is>
      </c>
      <c r="C384" s="31" t="n">
        <v>895</v>
      </c>
      <c r="D384" s="31" t="n">
        <v>894</v>
      </c>
      <c r="E384" s="31" t="n">
        <v>0</v>
      </c>
      <c r="F384" s="40" t="n">
        <v>1401728</v>
      </c>
      <c r="G384" s="40" t="n">
        <v>1455248</v>
      </c>
      <c r="H384" s="40" t="inlineStr">
        <is>
          <t>-</t>
        </is>
      </c>
      <c r="I384" s="40" t="inlineStr">
        <is>
          <t>-</t>
        </is>
      </c>
      <c r="J384" s="41" t="n">
        <v>0</v>
      </c>
      <c r="K384" s="31" t="inlineStr">
        <is>
          <t>No</t>
        </is>
      </c>
      <c r="L384" s="31" t="n">
        <v>0</v>
      </c>
      <c r="M38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85" ht="184" customHeight="1">
      <c r="A385" s="31" t="inlineStr">
        <is>
          <t>7 Jun</t>
        </is>
      </c>
      <c r="B385" s="31" t="inlineStr">
        <is>
          <t>37012</t>
        </is>
      </c>
      <c r="C385" s="31" t="n">
        <v>71</v>
      </c>
      <c r="D385" s="31" t="n">
        <v>70</v>
      </c>
      <c r="E385" s="31" t="n">
        <v>0</v>
      </c>
      <c r="F385" s="40" t="n">
        <v>1401864</v>
      </c>
      <c r="G385" s="40" t="n">
        <v>1415572</v>
      </c>
      <c r="H385" s="40" t="inlineStr">
        <is>
          <t>-</t>
        </is>
      </c>
      <c r="I385" s="40" t="inlineStr">
        <is>
          <t>-</t>
        </is>
      </c>
      <c r="J385" s="41" t="n">
        <v>0</v>
      </c>
      <c r="K385" s="31" t="inlineStr">
        <is>
          <t>No</t>
        </is>
      </c>
      <c r="L385" s="31" t="n">
        <v>0</v>
      </c>
      <c r="M38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86" ht="184" customHeight="1">
      <c r="A386" s="31" t="inlineStr">
        <is>
          <t>7 Jun</t>
        </is>
      </c>
      <c r="B386" s="31" t="inlineStr">
        <is>
          <t>37163</t>
        </is>
      </c>
      <c r="C386" s="31" t="n">
        <v>810</v>
      </c>
      <c r="D386" s="31" t="n">
        <v>810</v>
      </c>
      <c r="E386" s="31" t="n">
        <v>0</v>
      </c>
      <c r="F386" s="40" t="n">
        <v>656324</v>
      </c>
      <c r="G386" s="40" t="n">
        <v>697093</v>
      </c>
      <c r="H386" s="40" t="inlineStr">
        <is>
          <t>-</t>
        </is>
      </c>
      <c r="I386" s="40" t="inlineStr">
        <is>
          <t>-</t>
        </is>
      </c>
      <c r="J386" s="41" t="n">
        <v>0</v>
      </c>
      <c r="K386" s="31" t="inlineStr">
        <is>
          <t>No</t>
        </is>
      </c>
      <c r="L386" s="31" t="n">
        <v>0</v>
      </c>
      <c r="M38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87" ht="184" customHeight="1">
      <c r="A387" s="31" t="inlineStr">
        <is>
          <t>7 Jun</t>
        </is>
      </c>
      <c r="B387" s="31" t="inlineStr">
        <is>
          <t>37289</t>
        </is>
      </c>
      <c r="C387" s="31" t="n">
        <v>1768</v>
      </c>
      <c r="D387" s="31" t="n">
        <v>1768</v>
      </c>
      <c r="E387" s="31" t="n">
        <v>0</v>
      </c>
      <c r="F387" s="40" t="n">
        <v>1401731</v>
      </c>
      <c r="G387" s="40" t="n">
        <v>1452803</v>
      </c>
      <c r="H387" s="40" t="inlineStr">
        <is>
          <t>-</t>
        </is>
      </c>
      <c r="I387" s="40" t="inlineStr">
        <is>
          <t>-</t>
        </is>
      </c>
      <c r="J387" s="41" t="n">
        <v>0</v>
      </c>
      <c r="K387" s="31" t="inlineStr">
        <is>
          <t>No</t>
        </is>
      </c>
      <c r="L387" s="31" t="n">
        <v>0</v>
      </c>
      <c r="M38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88" ht="184" customHeight="1">
      <c r="A388" s="31" t="inlineStr">
        <is>
          <t>7 Jun</t>
        </is>
      </c>
      <c r="B388" s="31" t="inlineStr">
        <is>
          <t>37356</t>
        </is>
      </c>
      <c r="C388" s="31" t="n">
        <v>1667</v>
      </c>
      <c r="D388" s="31" t="n">
        <v>1665</v>
      </c>
      <c r="E388" s="31" t="n">
        <v>0</v>
      </c>
      <c r="F388" s="40" t="n">
        <v>1276975</v>
      </c>
      <c r="G388" s="40" t="n">
        <v>1516093</v>
      </c>
      <c r="H388" s="40" t="inlineStr">
        <is>
          <t>-</t>
        </is>
      </c>
      <c r="I388" s="40" t="inlineStr">
        <is>
          <t>-</t>
        </is>
      </c>
      <c r="J388" s="41" t="n">
        <v>0</v>
      </c>
      <c r="K388" s="31" t="inlineStr">
        <is>
          <t>No</t>
        </is>
      </c>
      <c r="L388" s="31" t="n">
        <v>0</v>
      </c>
      <c r="M38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89" ht="184" customHeight="1">
      <c r="A389" s="31" t="inlineStr">
        <is>
          <t>7 Jun</t>
        </is>
      </c>
      <c r="B389" s="31" t="inlineStr">
        <is>
          <t>37398</t>
        </is>
      </c>
      <c r="C389" s="31" t="n">
        <v>728</v>
      </c>
      <c r="D389" s="31" t="n">
        <v>728</v>
      </c>
      <c r="E389" s="31" t="n">
        <v>0</v>
      </c>
      <c r="F389" s="40" t="n">
        <v>657582</v>
      </c>
      <c r="G389" s="40" t="n">
        <v>695479</v>
      </c>
      <c r="H389" s="40" t="inlineStr">
        <is>
          <t>-</t>
        </is>
      </c>
      <c r="I389" s="40" t="inlineStr">
        <is>
          <t>-</t>
        </is>
      </c>
      <c r="J389" s="41" t="n">
        <v>0</v>
      </c>
      <c r="K389" s="31" t="inlineStr">
        <is>
          <t>No</t>
        </is>
      </c>
      <c r="L389" s="31" t="n">
        <v>0</v>
      </c>
      <c r="M38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90" ht="184" customHeight="1">
      <c r="A390" s="31" t="inlineStr">
        <is>
          <t>7 Jun</t>
        </is>
      </c>
      <c r="B390" s="31" t="inlineStr">
        <is>
          <t>37420</t>
        </is>
      </c>
      <c r="C390" s="31" t="n">
        <v>313</v>
      </c>
      <c r="D390" s="31" t="n">
        <v>313</v>
      </c>
      <c r="E390" s="31" t="n">
        <v>0</v>
      </c>
      <c r="F390" s="40" t="n">
        <v>1401738</v>
      </c>
      <c r="G390" s="40" t="n">
        <v>1436986</v>
      </c>
      <c r="H390" s="40" t="inlineStr">
        <is>
          <t>-</t>
        </is>
      </c>
      <c r="I390" s="40" t="inlineStr">
        <is>
          <t>-</t>
        </is>
      </c>
      <c r="J390" s="41" t="n">
        <v>0</v>
      </c>
      <c r="K390" s="31" t="inlineStr">
        <is>
          <t>No</t>
        </is>
      </c>
      <c r="L390" s="31" t="n">
        <v>0</v>
      </c>
      <c r="M39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91" ht="184" customHeight="1">
      <c r="A391" s="31" t="inlineStr">
        <is>
          <t>7 Jun</t>
        </is>
      </c>
      <c r="B391" s="31" t="inlineStr">
        <is>
          <t>37504</t>
        </is>
      </c>
      <c r="C391" s="31" t="n">
        <v>280</v>
      </c>
      <c r="D391" s="31" t="n">
        <v>280</v>
      </c>
      <c r="E391" s="31" t="n">
        <v>0</v>
      </c>
      <c r="F391" s="40" t="n">
        <v>667114</v>
      </c>
      <c r="G391" s="40" t="n">
        <v>681829</v>
      </c>
      <c r="H391" s="40" t="inlineStr">
        <is>
          <t>-</t>
        </is>
      </c>
      <c r="I391" s="40" t="inlineStr">
        <is>
          <t>-</t>
        </is>
      </c>
      <c r="J391" s="41" t="n">
        <v>0</v>
      </c>
      <c r="K391" s="31" t="inlineStr">
        <is>
          <t>No</t>
        </is>
      </c>
      <c r="L391" s="31" t="n">
        <v>0</v>
      </c>
      <c r="M39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92" ht="184" customHeight="1">
      <c r="A392" s="31" t="inlineStr">
        <is>
          <t>7 Jun</t>
        </is>
      </c>
      <c r="B392" s="31" t="inlineStr">
        <is>
          <t>37514</t>
        </is>
      </c>
      <c r="C392" s="31" t="n">
        <v>2338</v>
      </c>
      <c r="D392" s="31" t="n">
        <v>2337</v>
      </c>
      <c r="E392" s="31" t="n">
        <v>0</v>
      </c>
      <c r="F392" s="40" t="n">
        <v>1401340</v>
      </c>
      <c r="G392" s="40" t="n">
        <v>1499293</v>
      </c>
      <c r="H392" s="40" t="inlineStr">
        <is>
          <t>-</t>
        </is>
      </c>
      <c r="I392" s="40" t="inlineStr">
        <is>
          <t>-</t>
        </is>
      </c>
      <c r="J392" s="41" t="n">
        <v>0</v>
      </c>
      <c r="K392" s="31" t="inlineStr">
        <is>
          <t>No</t>
        </is>
      </c>
      <c r="L392" s="31" t="n">
        <v>0</v>
      </c>
      <c r="M39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93" ht="184" customHeight="1">
      <c r="A393" s="31" t="inlineStr">
        <is>
          <t>7 Jun</t>
        </is>
      </c>
      <c r="B393" s="31" t="inlineStr">
        <is>
          <t>37582</t>
        </is>
      </c>
      <c r="C393" s="31" t="n">
        <v>1974</v>
      </c>
      <c r="D393" s="31" t="n">
        <v>1929</v>
      </c>
      <c r="E393" s="31" t="n">
        <v>0</v>
      </c>
      <c r="F393" s="40" t="n">
        <v>1605</v>
      </c>
      <c r="G393" s="40" t="n">
        <v>697864</v>
      </c>
      <c r="H393" s="40" t="inlineStr">
        <is>
          <t>-</t>
        </is>
      </c>
      <c r="I393" s="40" t="inlineStr">
        <is>
          <t>-</t>
        </is>
      </c>
      <c r="J393" s="41" t="n">
        <v>0</v>
      </c>
      <c r="K393" s="31" t="inlineStr">
        <is>
          <t>No</t>
        </is>
      </c>
      <c r="L393" s="31" t="n">
        <v>0</v>
      </c>
      <c r="M39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94" ht="184" customHeight="1">
      <c r="A394" s="31" t="inlineStr">
        <is>
          <t>7 Jun</t>
        </is>
      </c>
      <c r="B394" s="31" t="inlineStr">
        <is>
          <t>37628</t>
        </is>
      </c>
      <c r="C394" s="31" t="n">
        <v>367</v>
      </c>
      <c r="D394" s="31" t="n">
        <v>366</v>
      </c>
      <c r="E394" s="31" t="n">
        <v>0</v>
      </c>
      <c r="F394" s="40" t="n">
        <v>1401378</v>
      </c>
      <c r="G394" s="40" t="n">
        <v>1425125</v>
      </c>
      <c r="H394" s="40" t="inlineStr">
        <is>
          <t>-</t>
        </is>
      </c>
      <c r="I394" s="40" t="inlineStr">
        <is>
          <t>-</t>
        </is>
      </c>
      <c r="J394" s="41" t="n">
        <v>0</v>
      </c>
      <c r="K394" s="31" t="inlineStr">
        <is>
          <t>No</t>
        </is>
      </c>
      <c r="L394" s="31" t="n">
        <v>0</v>
      </c>
      <c r="M39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95" ht="184" customHeight="1">
      <c r="A395" s="31" t="inlineStr">
        <is>
          <t>7 Jun</t>
        </is>
      </c>
      <c r="B395" s="31" t="inlineStr">
        <is>
          <t>37845</t>
        </is>
      </c>
      <c r="C395" s="31" t="n">
        <v>111</v>
      </c>
      <c r="D395" s="31" t="n">
        <v>0</v>
      </c>
      <c r="E395" s="31" t="n">
        <v>0</v>
      </c>
      <c r="F395" s="40" t="inlineStr">
        <is>
          <t>-</t>
        </is>
      </c>
      <c r="G395" s="40" t="inlineStr">
        <is>
          <t>-</t>
        </is>
      </c>
      <c r="H395" s="40" t="inlineStr">
        <is>
          <t>-</t>
        </is>
      </c>
      <c r="I395" s="40" t="inlineStr">
        <is>
          <t>-</t>
        </is>
      </c>
      <c r="J395" s="41" t="n">
        <v>0</v>
      </c>
      <c r="K395" s="31" t="inlineStr">
        <is>
          <t>No</t>
        </is>
      </c>
      <c r="L395" s="31" t="n">
        <v>0</v>
      </c>
      <c r="M39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96" ht="184" customHeight="1">
      <c r="A396" s="31" t="inlineStr">
        <is>
          <t>7 Jun</t>
        </is>
      </c>
      <c r="B396" s="31" t="inlineStr">
        <is>
          <t>37917</t>
        </is>
      </c>
      <c r="C396" s="31" t="n">
        <v>762</v>
      </c>
      <c r="D396" s="31" t="n">
        <v>761</v>
      </c>
      <c r="E396" s="31" t="n">
        <v>0</v>
      </c>
      <c r="F396" s="40" t="n">
        <v>1401320</v>
      </c>
      <c r="G396" s="40" t="n">
        <v>1437085</v>
      </c>
      <c r="H396" s="40" t="inlineStr">
        <is>
          <t>-</t>
        </is>
      </c>
      <c r="I396" s="40" t="inlineStr">
        <is>
          <t>-</t>
        </is>
      </c>
      <c r="J396" s="41" t="n">
        <v>0</v>
      </c>
      <c r="K396" s="31" t="inlineStr">
        <is>
          <t>No</t>
        </is>
      </c>
      <c r="L396" s="31" t="n">
        <v>0</v>
      </c>
      <c r="M39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97" ht="184" customHeight="1">
      <c r="A397" s="31" t="inlineStr">
        <is>
          <t>7 Jun</t>
        </is>
      </c>
      <c r="B397" s="31" t="inlineStr">
        <is>
          <t>37954</t>
        </is>
      </c>
      <c r="C397" s="31" t="n">
        <v>350</v>
      </c>
      <c r="D397" s="31" t="n">
        <v>333</v>
      </c>
      <c r="E397" s="31" t="n">
        <v>0</v>
      </c>
      <c r="F397" s="40" t="n">
        <v>1265385</v>
      </c>
      <c r="G397" s="40" t="n">
        <v>1436096</v>
      </c>
      <c r="H397" s="40" t="inlineStr">
        <is>
          <t>-</t>
        </is>
      </c>
      <c r="I397" s="40" t="inlineStr">
        <is>
          <t>-</t>
        </is>
      </c>
      <c r="J397" s="41" t="n">
        <v>0</v>
      </c>
      <c r="K397" s="31" t="inlineStr">
        <is>
          <t>No</t>
        </is>
      </c>
      <c r="L397" s="31" t="n">
        <v>0</v>
      </c>
      <c r="M39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98" ht="184" customHeight="1">
      <c r="A398" s="31" t="inlineStr">
        <is>
          <t>7 Jun</t>
        </is>
      </c>
      <c r="B398" s="31" t="inlineStr">
        <is>
          <t>39105</t>
        </is>
      </c>
      <c r="C398" s="31" t="n">
        <v>38</v>
      </c>
      <c r="D398" s="31" t="n">
        <v>0</v>
      </c>
      <c r="E398" s="31" t="n">
        <v>0</v>
      </c>
      <c r="F398" s="40" t="inlineStr">
        <is>
          <t>-</t>
        </is>
      </c>
      <c r="G398" s="40" t="inlineStr">
        <is>
          <t>-</t>
        </is>
      </c>
      <c r="H398" s="40" t="inlineStr">
        <is>
          <t>-</t>
        </is>
      </c>
      <c r="I398" s="40" t="inlineStr">
        <is>
          <t>-</t>
        </is>
      </c>
      <c r="J398" s="41" t="n">
        <v>0</v>
      </c>
      <c r="K398" s="31" t="inlineStr">
        <is>
          <t>No</t>
        </is>
      </c>
      <c r="L398" s="31" t="n">
        <v>0</v>
      </c>
      <c r="M39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99" ht="184" customHeight="1">
      <c r="A399" s="31" t="inlineStr">
        <is>
          <t>7 Jun</t>
        </is>
      </c>
      <c r="B399" s="31" t="inlineStr">
        <is>
          <t>39217</t>
        </is>
      </c>
      <c r="C399" s="31" t="n">
        <v>1252</v>
      </c>
      <c r="D399" s="31" t="n">
        <v>1251</v>
      </c>
      <c r="E399" s="31" t="n">
        <v>0</v>
      </c>
      <c r="F399" s="40" t="n">
        <v>1401391</v>
      </c>
      <c r="G399" s="40" t="n">
        <v>1489349</v>
      </c>
      <c r="H399" s="40" t="inlineStr">
        <is>
          <t>-</t>
        </is>
      </c>
      <c r="I399" s="40" t="inlineStr">
        <is>
          <t>-</t>
        </is>
      </c>
      <c r="J399" s="41" t="n">
        <v>0</v>
      </c>
      <c r="K399" s="31" t="inlineStr">
        <is>
          <t>No</t>
        </is>
      </c>
      <c r="L399" s="31" t="n">
        <v>0</v>
      </c>
      <c r="M39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00" ht="184" customHeight="1">
      <c r="A400" s="31" t="inlineStr">
        <is>
          <t>7 Jun</t>
        </is>
      </c>
      <c r="B400" s="31" t="inlineStr">
        <is>
          <t>39329</t>
        </is>
      </c>
      <c r="C400" s="31" t="n">
        <v>1527</v>
      </c>
      <c r="D400" s="31" t="n">
        <v>1525</v>
      </c>
      <c r="E400" s="31" t="n">
        <v>0</v>
      </c>
      <c r="F400" s="40" t="n">
        <v>1401699</v>
      </c>
      <c r="G400" s="40" t="n">
        <v>1500798</v>
      </c>
      <c r="H400" s="40" t="inlineStr">
        <is>
          <t>-</t>
        </is>
      </c>
      <c r="I400" s="40" t="inlineStr">
        <is>
          <t>-</t>
        </is>
      </c>
      <c r="J400" s="41" t="n">
        <v>0</v>
      </c>
      <c r="K400" s="31" t="inlineStr">
        <is>
          <t>No</t>
        </is>
      </c>
      <c r="L400" s="31" t="n">
        <v>0</v>
      </c>
      <c r="M40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01" ht="184" customHeight="1">
      <c r="A401" s="31" t="inlineStr">
        <is>
          <t>7 Jun</t>
        </is>
      </c>
      <c r="B401" s="31" t="inlineStr">
        <is>
          <t>39336</t>
        </is>
      </c>
      <c r="C401" s="31" t="n">
        <v>962</v>
      </c>
      <c r="D401" s="31" t="n">
        <v>962</v>
      </c>
      <c r="E401" s="31" t="n">
        <v>0</v>
      </c>
      <c r="F401" s="40" t="n">
        <v>1401320</v>
      </c>
      <c r="G401" s="40" t="n">
        <v>1437244</v>
      </c>
      <c r="H401" s="40" t="inlineStr">
        <is>
          <t>-</t>
        </is>
      </c>
      <c r="I401" s="40" t="inlineStr">
        <is>
          <t>-</t>
        </is>
      </c>
      <c r="J401" s="41" t="n">
        <v>0</v>
      </c>
      <c r="K401" s="31" t="inlineStr">
        <is>
          <t>No</t>
        </is>
      </c>
      <c r="L401" s="31" t="n">
        <v>0</v>
      </c>
      <c r="M40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3" t="inlineStr">
        <is>
          <t>Methodology</t>
        </is>
      </c>
    </row>
    <row r="3" ht="34" customHeight="1">
      <c r="B3" s="44" t="inlineStr">
        <is>
          <t>Excluded</t>
        </is>
      </c>
      <c r="C3" s="45" t="inlineStr">
        <is>
          <t>Loco-days with 0 km in the section (abs never inside the section, i.e. no section travel) are dropped from the report, unless they completed a trip.</t>
        </is>
      </c>
    </row>
    <row r="4" ht="49" customHeight="1">
      <c r="B4" s="44" t="inlineStr">
        <is>
          <t>No of Trips</t>
        </is>
      </c>
      <c r="C4" s="45" t="inlineStr">
        <is>
          <t>A direction-run covering within 5 km of its line length (DN 535.7 / UP 544.9 km) = one FULL trip; out-and-back = 2. A loco with &gt;=1 full trip is 'valid' (its EBs count as Valid). KM Verification lists each loco-day's stations passed / not passed.</t>
        </is>
      </c>
    </row>
    <row r="5" ht="49" customHeight="1">
      <c r="B5" s="44" t="inlineStr">
        <is>
          <t>Total KMs Run on Kavach</t>
        </is>
      </c>
      <c r="C5" s="45" t="inlineStr">
        <is>
          <t>Section coverage per loco = how far it travelled across the section = (max - min) of its abs within the section limits (699070-1243994). Capped at the section length; 0 if the loco never reported inside the section.</t>
        </is>
      </c>
    </row>
    <row r="6">
      <c r="B6" s="44" t="inlineStr">
        <is>
          <t>Availability (FS+OS)</t>
        </is>
      </c>
      <c r="C6" s="45" t="inlineStr">
        <is>
          <t>Packets in FS or OnSight ÷ all packets (all modes) × 100.</t>
        </is>
      </c>
    </row>
    <row r="7" ht="34" customHeight="1">
      <c r="B7" s="44" t="inlineStr">
        <is>
          <t>Total EB</t>
        </is>
      </c>
      <c r="C7" s="45" t="inlineStr">
        <is>
          <t>EB events in LReg brake status; one continuous hold = 1 (lost-packet gaps bridged, new event only at a real release). Split into Valid (trip locos) / Non-Valid.</t>
        </is>
      </c>
    </row>
    <row r="8" ht="34" customHeight="1">
      <c r="B8" s="44" t="inlineStr">
        <is>
          <t>Mode Degradation</t>
        </is>
      </c>
      <c r="C8" s="45" t="inlineStr">
        <is>
          <t>FS→Trip/LS/SR/Standby &amp; OS→SR/Standby (every transition). Excluded: start-of-mission/re-init SR, NonLeading→SR, FS→SR at 0 km/h, boundary-station re-init (917-reverse).</t>
        </is>
      </c>
    </row>
    <row r="9" ht="49" customHeight="1">
      <c r="B9" s="44" t="inlineStr">
        <is>
          <t>EB diagnostics</t>
        </is>
      </c>
      <c r="C9" s="45" t="inlineStr">
        <is>
          <t>Speed at EB + flag a PG issue only if it jumps &gt;=6 km/h vs the IMMEDIATELY preceding packet AND that packet is within 2 s of the EB (if the previous packet was lost, no PG flag); MA from SReg 'MA wrt Sig' + flag drop &gt;500; Emergency from LReg.</t>
        </is>
      </c>
    </row>
    <row r="10" ht="34" customHeight="1">
      <c r="B10" s="44" t="inlineStr">
        <is>
          <t>Ratios</t>
        </is>
      </c>
      <c r="C10" s="45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2026-06-26T09:36:06Z</dcterms:created>
  <dcterms:modified xmlns:dcterms="http://purl.org/dc/terms/" xmlns:xsi="http://www.w3.org/2001/XMLSchema-instance" xsi:type="dcterms:W3CDTF">2026-06-30T11:07:05Z</dcterms:modified>
</cp:coreProperties>
</file>
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Mode Degradation" sheetId="4" state="visible" r:id="rId4"/>
    <sheet xmlns:r="http://schemas.openxmlformats.org/officeDocument/2006/relationships" name="KM Verification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WCR — Kavach Unified KPI</t>
        </is>
      </c>
    </row>
    <row r="2">
      <c r="A2" s="2" t="inlineStr">
        <is>
          <t>Period: 29 Jun 2026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29 Jun 2026</t>
        </is>
      </c>
      <c r="B5" s="4" t="inlineStr">
        <is>
          <t>WCR</t>
        </is>
      </c>
      <c r="C5" s="4" t="inlineStr">
        <is>
          <t>33001_IBH-265 to 33132_IBH_1</t>
        </is>
      </c>
      <c r="D5" s="5">
        <f>'Daily Breakdown'!C46</f>
        <v/>
      </c>
      <c r="E5" s="6">
        <f>'Daily Breakdown'!D46</f>
        <v/>
      </c>
      <c r="F5" s="7">
        <f>'Daily Breakdown'!G46</f>
        <v/>
      </c>
      <c r="G5" s="5">
        <f>'Daily Breakdown'!H46</f>
        <v/>
      </c>
      <c r="H5" s="8">
        <f>'Daily Breakdown'!I46</f>
        <v/>
      </c>
      <c r="I5" s="8">
        <f>'Daily Breakdown'!J46</f>
        <v/>
      </c>
      <c r="J5" s="45">
        <f>IFERROR(G5/D5,0)</f>
        <v/>
      </c>
      <c r="K5" s="46">
        <f>IFERROR(G5/E5,0)</f>
        <v/>
      </c>
      <c r="L5" s="47">
        <f>IFERROR(G5/E5*100,0)</f>
        <v/>
      </c>
      <c r="M5" s="46">
        <f>IFERROR(G5/(D5*E5/1000),0)</f>
        <v/>
      </c>
      <c r="N5" s="5">
        <f>'Daily Breakdown'!K46</f>
        <v/>
      </c>
      <c r="O5" s="45">
        <f>IFERROR(N5/D5,0)</f>
        <v/>
      </c>
      <c r="P5" s="46">
        <f>IFERROR(N5/E5,0)</f>
        <v/>
      </c>
      <c r="Q5" s="46">
        <f>IFERROR(N5/(D5*E5/100),0)</f>
        <v/>
      </c>
      <c r="R5" s="47">
        <f>IFERROR(N5/E5*100,0)</f>
        <v/>
      </c>
      <c r="S5" s="8" t="n">
        <v>4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36" t="inlineStr">
        <is>
          <t>Availability base excludes locos with FS+OS pkts = 0 (they are still listed below; only the Total-pkts availability base drops them).</t>
        </is>
      </c>
    </row>
    <row r="3" ht="34" customHeight="1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29 Jun</t>
        </is>
      </c>
      <c r="B4" s="15" t="inlineStr">
        <is>
          <t>37163</t>
        </is>
      </c>
      <c r="C4" s="16" t="n">
        <v>1</v>
      </c>
      <c r="D4" s="48" t="n">
        <v>541.62</v>
      </c>
      <c r="E4" s="18" t="n">
        <v>30872</v>
      </c>
      <c r="F4" s="18" t="n">
        <v>31088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6</v>
      </c>
    </row>
    <row r="5">
      <c r="A5" s="15" t="inlineStr">
        <is>
          <t>29 Jun</t>
        </is>
      </c>
      <c r="B5" s="15" t="inlineStr">
        <is>
          <t>37582</t>
        </is>
      </c>
      <c r="C5" s="16" t="n">
        <v>1</v>
      </c>
      <c r="D5" s="48" t="n">
        <v>543.85</v>
      </c>
      <c r="E5" s="18" t="n">
        <v>22984</v>
      </c>
      <c r="F5" s="18" t="n">
        <v>23180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9</v>
      </c>
    </row>
    <row r="6">
      <c r="A6" s="15" t="inlineStr">
        <is>
          <t>29 Jun</t>
        </is>
      </c>
      <c r="B6" s="15" t="inlineStr">
        <is>
          <t>39176</t>
        </is>
      </c>
      <c r="C6" s="16" t="n">
        <v>1</v>
      </c>
      <c r="D6" s="48" t="n">
        <v>543.88</v>
      </c>
      <c r="E6" s="18" t="n">
        <v>22531</v>
      </c>
      <c r="F6" s="18" t="n">
        <v>22896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14</v>
      </c>
    </row>
    <row r="7">
      <c r="A7" s="15" t="inlineStr">
        <is>
          <t>29 Jun</t>
        </is>
      </c>
      <c r="B7" s="15" t="inlineStr">
        <is>
          <t>37632</t>
        </is>
      </c>
      <c r="C7" s="16" t="n">
        <v>1</v>
      </c>
      <c r="D7" s="48" t="n">
        <v>541.64</v>
      </c>
      <c r="E7" s="18" t="n">
        <v>19712</v>
      </c>
      <c r="F7" s="18" t="n">
        <v>19919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5</v>
      </c>
    </row>
    <row r="8">
      <c r="A8" s="15" t="inlineStr">
        <is>
          <t>29 Jun</t>
        </is>
      </c>
      <c r="B8" s="15" t="inlineStr">
        <is>
          <t>39521</t>
        </is>
      </c>
      <c r="C8" s="16" t="n">
        <v>1</v>
      </c>
      <c r="D8" s="48" t="n">
        <v>541.65</v>
      </c>
      <c r="E8" s="18" t="n">
        <v>19719</v>
      </c>
      <c r="F8" s="18" t="n">
        <v>19906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3</v>
      </c>
    </row>
    <row r="9">
      <c r="A9" s="15" t="inlineStr">
        <is>
          <t>29 Jun</t>
        </is>
      </c>
      <c r="B9" s="15" t="inlineStr">
        <is>
          <t>37397</t>
        </is>
      </c>
      <c r="C9" s="16" t="n">
        <v>1</v>
      </c>
      <c r="D9" s="48" t="n">
        <v>543.85</v>
      </c>
      <c r="E9" s="18" t="n">
        <v>19567</v>
      </c>
      <c r="F9" s="18" t="n">
        <v>19740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2</v>
      </c>
    </row>
    <row r="10">
      <c r="A10" s="15" t="inlineStr">
        <is>
          <t>29 Jun</t>
        </is>
      </c>
      <c r="B10" s="15" t="inlineStr">
        <is>
          <t>30827</t>
        </is>
      </c>
      <c r="C10" s="16" t="n">
        <v>1</v>
      </c>
      <c r="D10" s="48" t="n">
        <v>541.63</v>
      </c>
      <c r="E10" s="18" t="n">
        <v>19147</v>
      </c>
      <c r="F10" s="18" t="n">
        <v>19372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2</v>
      </c>
    </row>
    <row r="11">
      <c r="A11" s="15" t="inlineStr">
        <is>
          <t>29 Jun</t>
        </is>
      </c>
      <c r="B11" s="15" t="inlineStr">
        <is>
          <t>37322</t>
        </is>
      </c>
      <c r="C11" s="16" t="n">
        <v>1</v>
      </c>
      <c r="D11" s="48" t="n">
        <v>541.63</v>
      </c>
      <c r="E11" s="18" t="n">
        <v>18759</v>
      </c>
      <c r="F11" s="18" t="n">
        <v>18859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3</v>
      </c>
    </row>
    <row r="12">
      <c r="A12" s="15" t="inlineStr">
        <is>
          <t>29 Jun</t>
        </is>
      </c>
      <c r="B12" s="15" t="inlineStr">
        <is>
          <t>37266</t>
        </is>
      </c>
      <c r="C12" s="16" t="n">
        <v>1</v>
      </c>
      <c r="D12" s="48" t="n">
        <v>543.64</v>
      </c>
      <c r="E12" s="18" t="n">
        <v>17645</v>
      </c>
      <c r="F12" s="18" t="n">
        <v>18442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24</v>
      </c>
    </row>
    <row r="13">
      <c r="A13" s="15" t="inlineStr">
        <is>
          <t>29 Jun</t>
        </is>
      </c>
      <c r="B13" s="15" t="inlineStr">
        <is>
          <t>39522</t>
        </is>
      </c>
      <c r="C13" s="16" t="n">
        <v>1</v>
      </c>
      <c r="D13" s="48" t="n">
        <v>542.16</v>
      </c>
      <c r="E13" s="18" t="n">
        <v>17522</v>
      </c>
      <c r="F13" s="18" t="n">
        <v>17676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3</v>
      </c>
    </row>
    <row r="14">
      <c r="A14" s="15" t="inlineStr">
        <is>
          <t>29 Jun</t>
        </is>
      </c>
      <c r="B14" s="15" t="inlineStr">
        <is>
          <t>37366</t>
        </is>
      </c>
      <c r="C14" s="16" t="n">
        <v>0</v>
      </c>
      <c r="D14" s="48" t="n">
        <v>251.89</v>
      </c>
      <c r="E14" s="18" t="n">
        <v>32180</v>
      </c>
      <c r="F14" s="18" t="n">
        <v>32694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5</v>
      </c>
    </row>
    <row r="15">
      <c r="A15" s="15" t="inlineStr">
        <is>
          <t>29 Jun</t>
        </is>
      </c>
      <c r="B15" s="15" t="inlineStr">
        <is>
          <t>39108</t>
        </is>
      </c>
      <c r="C15" s="16" t="n">
        <v>0</v>
      </c>
      <c r="D15" s="48" t="n">
        <v>251.86</v>
      </c>
      <c r="E15" s="18" t="n">
        <v>32345</v>
      </c>
      <c r="F15" s="18" t="n">
        <v>32513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3</v>
      </c>
    </row>
    <row r="16">
      <c r="A16" s="15" t="inlineStr">
        <is>
          <t>29 Jun</t>
        </is>
      </c>
      <c r="B16" s="15" t="inlineStr">
        <is>
          <t>37633</t>
        </is>
      </c>
      <c r="C16" s="16" t="n">
        <v>0</v>
      </c>
      <c r="D16" s="48" t="n">
        <v>329.81</v>
      </c>
      <c r="E16" s="18" t="n">
        <v>28735</v>
      </c>
      <c r="F16" s="18" t="n">
        <v>28936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5</v>
      </c>
    </row>
    <row r="17">
      <c r="A17" s="15" t="inlineStr">
        <is>
          <t>29 Jun</t>
        </is>
      </c>
      <c r="B17" s="15" t="inlineStr">
        <is>
          <t>30474</t>
        </is>
      </c>
      <c r="C17" s="16" t="n">
        <v>0</v>
      </c>
      <c r="D17" s="48" t="n">
        <v>376.18</v>
      </c>
      <c r="E17" s="18" t="n">
        <v>22569</v>
      </c>
      <c r="F17" s="18" t="n">
        <v>22607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4</v>
      </c>
    </row>
    <row r="18">
      <c r="A18" s="15" t="inlineStr">
        <is>
          <t>29 Jun</t>
        </is>
      </c>
      <c r="B18" s="15" t="inlineStr">
        <is>
          <t>30460</t>
        </is>
      </c>
      <c r="C18" s="16" t="n">
        <v>0</v>
      </c>
      <c r="D18" s="48" t="n">
        <v>470.57</v>
      </c>
      <c r="E18" s="18" t="n">
        <v>19447</v>
      </c>
      <c r="F18" s="18" t="n">
        <v>19505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7</v>
      </c>
    </row>
    <row r="19">
      <c r="A19" s="15" t="inlineStr">
        <is>
          <t>29 Jun</t>
        </is>
      </c>
      <c r="B19" s="15" t="inlineStr">
        <is>
          <t>37746</t>
        </is>
      </c>
      <c r="C19" s="16" t="n">
        <v>0</v>
      </c>
      <c r="D19" s="48" t="n">
        <v>484.06</v>
      </c>
      <c r="E19" s="18" t="n">
        <v>17086</v>
      </c>
      <c r="F19" s="18" t="n">
        <v>17156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1</v>
      </c>
    </row>
    <row r="20">
      <c r="A20" s="15" t="inlineStr">
        <is>
          <t>29 Jun</t>
        </is>
      </c>
      <c r="B20" s="15" t="inlineStr">
        <is>
          <t>37839</t>
        </is>
      </c>
      <c r="C20" s="16" t="n">
        <v>0</v>
      </c>
      <c r="D20" s="48" t="n">
        <v>325.04</v>
      </c>
      <c r="E20" s="18" t="n">
        <v>14840</v>
      </c>
      <c r="F20" s="18" t="n">
        <v>15017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2</v>
      </c>
    </row>
    <row r="21">
      <c r="A21" s="15" t="inlineStr">
        <is>
          <t>29 Jun</t>
        </is>
      </c>
      <c r="B21" s="15" t="inlineStr">
        <is>
          <t>37465</t>
        </is>
      </c>
      <c r="C21" s="16" t="n">
        <v>0</v>
      </c>
      <c r="D21" s="48" t="n">
        <v>322.62</v>
      </c>
      <c r="E21" s="18" t="n">
        <v>13303</v>
      </c>
      <c r="F21" s="18" t="n">
        <v>13462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1</v>
      </c>
    </row>
    <row r="22">
      <c r="A22" s="15" t="inlineStr">
        <is>
          <t>29 Jun</t>
        </is>
      </c>
      <c r="B22" s="15" t="inlineStr">
        <is>
          <t>30206</t>
        </is>
      </c>
      <c r="C22" s="16" t="n">
        <v>0</v>
      </c>
      <c r="D22" s="48" t="n">
        <v>270.88</v>
      </c>
      <c r="E22" s="18" t="n">
        <v>11842</v>
      </c>
      <c r="F22" s="18" t="n">
        <v>11856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15" t="inlineStr">
        <is>
          <t>29 Jun</t>
        </is>
      </c>
      <c r="B23" s="15" t="inlineStr">
        <is>
          <t>37184</t>
        </is>
      </c>
      <c r="C23" s="16" t="n">
        <v>0</v>
      </c>
      <c r="D23" s="48" t="n">
        <v>108.64</v>
      </c>
      <c r="E23" s="18" t="n">
        <v>11682</v>
      </c>
      <c r="F23" s="18" t="n">
        <v>11827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2</v>
      </c>
    </row>
    <row r="24">
      <c r="A24" s="15" t="inlineStr">
        <is>
          <t>29 Jun</t>
        </is>
      </c>
      <c r="B24" s="15" t="inlineStr">
        <is>
          <t>39552</t>
        </is>
      </c>
      <c r="C24" s="16" t="n">
        <v>0</v>
      </c>
      <c r="D24" s="48" t="n">
        <v>322.46</v>
      </c>
      <c r="E24" s="18" t="n">
        <v>11590</v>
      </c>
      <c r="F24" s="18" t="n">
        <v>11681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4</v>
      </c>
    </row>
    <row r="25">
      <c r="A25" s="15" t="inlineStr">
        <is>
          <t>29 Jun</t>
        </is>
      </c>
      <c r="B25" s="15" t="inlineStr">
        <is>
          <t>30429</t>
        </is>
      </c>
      <c r="C25" s="16" t="n">
        <v>0</v>
      </c>
      <c r="D25" s="48" t="n">
        <v>273.36</v>
      </c>
      <c r="E25" s="18" t="n">
        <v>11383</v>
      </c>
      <c r="F25" s="18" t="n">
        <v>11562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3</v>
      </c>
    </row>
    <row r="26">
      <c r="A26" s="15" t="inlineStr">
        <is>
          <t>29 Jun</t>
        </is>
      </c>
      <c r="B26" s="15" t="inlineStr">
        <is>
          <t>30464</t>
        </is>
      </c>
      <c r="C26" s="16" t="n">
        <v>0</v>
      </c>
      <c r="D26" s="48" t="n">
        <v>319.23</v>
      </c>
      <c r="E26" s="18" t="n">
        <v>11470</v>
      </c>
      <c r="F26" s="18" t="n">
        <v>11555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3</v>
      </c>
    </row>
    <row r="27">
      <c r="A27" s="15" t="inlineStr">
        <is>
          <t>29 Jun</t>
        </is>
      </c>
      <c r="B27" s="15" t="inlineStr">
        <is>
          <t>30396</t>
        </is>
      </c>
      <c r="C27" s="16" t="n">
        <v>0</v>
      </c>
      <c r="D27" s="48" t="n">
        <v>318.79</v>
      </c>
      <c r="E27" s="18" t="n">
        <v>11121</v>
      </c>
      <c r="F27" s="18" t="n">
        <v>11182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4</v>
      </c>
    </row>
    <row r="28">
      <c r="A28" s="15" t="inlineStr">
        <is>
          <t>29 Jun</t>
        </is>
      </c>
      <c r="B28" s="15" t="inlineStr">
        <is>
          <t>30608</t>
        </is>
      </c>
      <c r="C28" s="16" t="n">
        <v>0</v>
      </c>
      <c r="D28" s="48" t="n">
        <v>322.13</v>
      </c>
      <c r="E28" s="18" t="n">
        <v>10590</v>
      </c>
      <c r="F28" s="18" t="n">
        <v>10728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29 Jun</t>
        </is>
      </c>
      <c r="B29" s="15" t="inlineStr">
        <is>
          <t>39243</t>
        </is>
      </c>
      <c r="C29" s="16" t="n">
        <v>0</v>
      </c>
      <c r="D29" s="48" t="n">
        <v>308.54</v>
      </c>
      <c r="E29" s="18" t="n">
        <v>9911</v>
      </c>
      <c r="F29" s="18" t="n">
        <v>9993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1</v>
      </c>
    </row>
    <row r="30">
      <c r="A30" s="15" t="inlineStr">
        <is>
          <t>29 Jun</t>
        </is>
      </c>
      <c r="B30" s="15" t="inlineStr">
        <is>
          <t>37035</t>
        </is>
      </c>
      <c r="C30" s="16" t="n">
        <v>0</v>
      </c>
      <c r="D30" s="48" t="n">
        <v>108.54</v>
      </c>
      <c r="E30" s="18" t="n">
        <v>9786</v>
      </c>
      <c r="F30" s="18" t="n">
        <v>9940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3</v>
      </c>
    </row>
    <row r="31">
      <c r="A31" s="15" t="inlineStr">
        <is>
          <t>29 Jun</t>
        </is>
      </c>
      <c r="B31" s="15" t="inlineStr">
        <is>
          <t>39024</t>
        </is>
      </c>
      <c r="C31" s="16" t="n">
        <v>0</v>
      </c>
      <c r="D31" s="48" t="n">
        <v>107.9</v>
      </c>
      <c r="E31" s="18" t="n">
        <v>8678</v>
      </c>
      <c r="F31" s="18" t="n">
        <v>8925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29 Jun</t>
        </is>
      </c>
      <c r="B32" s="15" t="inlineStr">
        <is>
          <t>39393</t>
        </is>
      </c>
      <c r="C32" s="16" t="n">
        <v>0</v>
      </c>
      <c r="D32" s="48" t="n">
        <v>158.39</v>
      </c>
      <c r="E32" s="18" t="n">
        <v>7389</v>
      </c>
      <c r="F32" s="18" t="n">
        <v>7412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1</v>
      </c>
    </row>
    <row r="33">
      <c r="A33" s="15" t="inlineStr">
        <is>
          <t>29 Jun</t>
        </is>
      </c>
      <c r="B33" s="15" t="inlineStr">
        <is>
          <t>39027</t>
        </is>
      </c>
      <c r="C33" s="16" t="n">
        <v>0</v>
      </c>
      <c r="D33" s="48" t="n">
        <v>148.71</v>
      </c>
      <c r="E33" s="18" t="n">
        <v>6995</v>
      </c>
      <c r="F33" s="18" t="n">
        <v>7031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1</v>
      </c>
    </row>
    <row r="34">
      <c r="A34" s="15" t="inlineStr">
        <is>
          <t>29 Jun</t>
        </is>
      </c>
      <c r="B34" s="15" t="inlineStr">
        <is>
          <t>37102</t>
        </is>
      </c>
      <c r="C34" s="16" t="n">
        <v>0</v>
      </c>
      <c r="D34" s="48" t="n">
        <v>191.09</v>
      </c>
      <c r="E34" s="18" t="n">
        <v>6707</v>
      </c>
      <c r="F34" s="18" t="n">
        <v>6741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29 Jun</t>
        </is>
      </c>
      <c r="B35" s="15" t="inlineStr">
        <is>
          <t>37131</t>
        </is>
      </c>
      <c r="C35" s="16" t="n">
        <v>0</v>
      </c>
      <c r="D35" s="48" t="n">
        <v>79.73999999999999</v>
      </c>
      <c r="E35" s="18" t="n">
        <v>4980</v>
      </c>
      <c r="F35" s="18" t="n">
        <v>5135</v>
      </c>
      <c r="G35" s="19">
        <f>IF(F35=0,0,E35/F35*100)</f>
        <v/>
      </c>
      <c r="H35" s="16" t="n">
        <v>1</v>
      </c>
      <c r="I35" s="16" t="n">
        <v>0</v>
      </c>
      <c r="J35" s="16" t="n">
        <v>1</v>
      </c>
      <c r="K35" s="16" t="n">
        <v>1</v>
      </c>
    </row>
    <row r="36">
      <c r="A36" s="15" t="inlineStr">
        <is>
          <t>29 Jun</t>
        </is>
      </c>
      <c r="B36" s="15" t="inlineStr">
        <is>
          <t>37515</t>
        </is>
      </c>
      <c r="C36" s="16" t="n">
        <v>0</v>
      </c>
      <c r="D36" s="48" t="n">
        <v>88.47</v>
      </c>
      <c r="E36" s="18" t="n">
        <v>4840</v>
      </c>
      <c r="F36" s="18" t="n">
        <v>4876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3</v>
      </c>
    </row>
    <row r="37">
      <c r="A37" s="15" t="inlineStr">
        <is>
          <t>29 Jun</t>
        </is>
      </c>
      <c r="B37" s="15" t="inlineStr">
        <is>
          <t>37813</t>
        </is>
      </c>
      <c r="C37" s="16" t="n">
        <v>0</v>
      </c>
      <c r="D37" s="48" t="n">
        <v>106.63</v>
      </c>
      <c r="E37" s="18" t="n">
        <v>3597</v>
      </c>
      <c r="F37" s="18" t="n">
        <v>4395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4</v>
      </c>
    </row>
    <row r="38">
      <c r="A38" s="15" t="inlineStr">
        <is>
          <t>29 Jun</t>
        </is>
      </c>
      <c r="B38" s="15" t="inlineStr">
        <is>
          <t>37812</t>
        </is>
      </c>
      <c r="C38" s="16" t="n">
        <v>0</v>
      </c>
      <c r="D38" s="48" t="n">
        <v>87.87</v>
      </c>
      <c r="E38" s="18" t="n">
        <v>4284</v>
      </c>
      <c r="F38" s="18" t="n">
        <v>4284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15" t="inlineStr">
        <is>
          <t>29 Jun</t>
        </is>
      </c>
      <c r="B39" s="15" t="inlineStr">
        <is>
          <t>30390</t>
        </is>
      </c>
      <c r="C39" s="16" t="n">
        <v>0</v>
      </c>
      <c r="D39" s="48" t="n">
        <v>37.88</v>
      </c>
      <c r="E39" s="18" t="n">
        <v>1936</v>
      </c>
      <c r="F39" s="18" t="n">
        <v>2761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1</v>
      </c>
    </row>
    <row r="40">
      <c r="A40" s="15" t="inlineStr">
        <is>
          <t>29 Jun</t>
        </is>
      </c>
      <c r="B40" s="15" t="inlineStr">
        <is>
          <t>45035</t>
        </is>
      </c>
      <c r="C40" s="16" t="n">
        <v>0</v>
      </c>
      <c r="D40" s="48" t="n">
        <v>13.29</v>
      </c>
      <c r="E40" s="18" t="n">
        <v>2241</v>
      </c>
      <c r="F40" s="18" t="n">
        <v>2241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0</v>
      </c>
    </row>
    <row r="41">
      <c r="A41" s="15" t="inlineStr">
        <is>
          <t>29 Jun</t>
        </is>
      </c>
      <c r="B41" s="15" t="inlineStr">
        <is>
          <t>30356</t>
        </is>
      </c>
      <c r="C41" s="16" t="n">
        <v>0</v>
      </c>
      <c r="D41" s="48" t="n">
        <v>48.27</v>
      </c>
      <c r="E41" s="18" t="n">
        <v>1921</v>
      </c>
      <c r="F41" s="18" t="n">
        <v>1963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4</v>
      </c>
    </row>
    <row r="42">
      <c r="A42" s="15" t="inlineStr">
        <is>
          <t>29 Jun</t>
        </is>
      </c>
      <c r="B42" s="15" t="inlineStr">
        <is>
          <t>39258</t>
        </is>
      </c>
      <c r="C42" s="16" t="n">
        <v>0</v>
      </c>
      <c r="D42" s="48" t="n">
        <v>1.91</v>
      </c>
      <c r="E42" s="18" t="n">
        <v>1285</v>
      </c>
      <c r="F42" s="18" t="n">
        <v>1310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1</v>
      </c>
    </row>
    <row r="43">
      <c r="A43" s="15" t="inlineStr">
        <is>
          <t>29 Jun</t>
        </is>
      </c>
      <c r="B43" s="15" t="inlineStr">
        <is>
          <t>37533</t>
        </is>
      </c>
      <c r="C43" s="16" t="n">
        <v>0</v>
      </c>
      <c r="D43" s="48" t="n">
        <v>321.7</v>
      </c>
      <c r="E43" s="18" t="n">
        <v>194</v>
      </c>
      <c r="F43" s="18" t="n">
        <v>382</v>
      </c>
      <c r="G43" s="19">
        <f>IF(F43=0,0,E43/F43*100)</f>
        <v/>
      </c>
      <c r="H43" s="16" t="n">
        <v>3</v>
      </c>
      <c r="I43" s="16" t="n">
        <v>0</v>
      </c>
      <c r="J43" s="16" t="n">
        <v>3</v>
      </c>
      <c r="K43" s="16" t="n">
        <v>2</v>
      </c>
    </row>
    <row r="44">
      <c r="A44" s="15" t="inlineStr">
        <is>
          <t>29 Jun</t>
        </is>
      </c>
      <c r="B44" s="15" t="inlineStr">
        <is>
          <t>30339</t>
        </is>
      </c>
      <c r="C44" s="16" t="n">
        <v>0</v>
      </c>
      <c r="D44" s="48" t="n">
        <v>2</v>
      </c>
      <c r="E44" s="18" t="n">
        <v>256</v>
      </c>
      <c r="F44" s="18" t="n">
        <v>269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1</v>
      </c>
    </row>
    <row r="45">
      <c r="A45" s="20" t="inlineStr">
        <is>
          <t>29 Jun</t>
        </is>
      </c>
      <c r="B45" s="20" t="inlineStr">
        <is>
          <t>Day Total</t>
        </is>
      </c>
      <c r="C45" s="21">
        <f>SUM(C4:C44)</f>
        <v/>
      </c>
      <c r="D45" s="49">
        <f>SUM(D4:D44)</f>
        <v/>
      </c>
      <c r="E45" s="23">
        <f>SUM(E4:E44)</f>
        <v/>
      </c>
      <c r="F45" s="23">
        <f>SUMIF(E4:E44,"&gt;0",F4:F44)</f>
        <v/>
      </c>
      <c r="G45" s="24">
        <f>IF(F45=0,0,E45/F45*100)</f>
        <v/>
      </c>
      <c r="H45" s="21">
        <f>SUM(H4:H44)</f>
        <v/>
      </c>
      <c r="I45" s="21">
        <f>SUM(I4:I44)</f>
        <v/>
      </c>
      <c r="J45" s="21">
        <f>SUM(J4:J44)</f>
        <v/>
      </c>
      <c r="K45" s="21">
        <f>SUM(K4:K44)</f>
        <v/>
      </c>
    </row>
    <row r="46">
      <c r="A46" s="25" t="inlineStr">
        <is>
          <t>GRAND TOTAL</t>
        </is>
      </c>
      <c r="B46" s="25" t="n"/>
      <c r="C46" s="26">
        <f>C45</f>
        <v/>
      </c>
      <c r="D46" s="50">
        <f>D45</f>
        <v/>
      </c>
      <c r="E46" s="28">
        <f>E45</f>
        <v/>
      </c>
      <c r="F46" s="28">
        <f>F45</f>
        <v/>
      </c>
      <c r="G46" s="29">
        <f>IF(F46=0,0,E46/F46*100)</f>
        <v/>
      </c>
      <c r="H46" s="26">
        <f>H45</f>
        <v/>
      </c>
      <c r="I46" s="26">
        <f>I45</f>
        <v/>
      </c>
      <c r="J46" s="26">
        <f>J45</f>
        <v/>
      </c>
      <c r="K46" s="26">
        <f>K45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  <col width="13" customWidth="1" min="18" max="18"/>
    <col width="14" customWidth="1" min="19" max="19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4   ·   Valid trips = 0   ·   Non-valid trips = 4   ·   Undesirable = 4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Points/Track condition</t>
        </is>
      </c>
      <c r="R5" s="14" t="inlineStr">
        <is>
          <t>Signal Aspect Analysis</t>
        </is>
      </c>
      <c r="S5" s="14" t="inlineStr">
        <is>
          <t>Loco Type</t>
        </is>
      </c>
    </row>
    <row r="6" ht="49" customHeight="1">
      <c r="A6" s="31" t="inlineStr">
        <is>
          <t>29 Jun</t>
        </is>
      </c>
      <c r="B6" s="31" t="inlineStr">
        <is>
          <t>37533</t>
        </is>
      </c>
      <c r="C6" s="31" t="inlineStr">
        <is>
          <t>Non-Valid</t>
        </is>
      </c>
      <c r="D6" s="31" t="inlineStr">
        <is>
          <t>07:58:26</t>
        </is>
      </c>
      <c r="E6" s="31" t="inlineStr">
        <is>
          <t>07:58:52</t>
        </is>
      </c>
      <c r="F6" s="31" t="n">
        <v>26</v>
      </c>
      <c r="G6" s="31" t="n">
        <v>13</v>
      </c>
      <c r="H6" s="31" t="n">
        <v>72</v>
      </c>
      <c r="I6" s="31" t="inlineStr">
        <is>
          <t>TRIP</t>
        </is>
      </c>
      <c r="J6" s="32" t="n">
        <v>1242.74</v>
      </c>
      <c r="K6" s="31" t="inlineStr">
        <is>
          <t>R</t>
        </is>
      </c>
      <c r="L6" s="31" t="inlineStr">
        <is>
          <t>IBH 265</t>
        </is>
      </c>
      <c r="M6" s="33" t="inlineStr">
        <is>
          <t>72 km/h</t>
        </is>
      </c>
      <c r="N6" s="33" t="inlineStr">
        <is>
          <t>2022
MA dropped from 5605 to 2022.</t>
        </is>
      </c>
      <c r="O6" s="31" t="inlineStr">
        <is>
          <t>-</t>
        </is>
      </c>
      <c r="P6" s="34" t="inlineStr">
        <is>
          <t>Sudden MA drop; Trip mode</t>
        </is>
      </c>
      <c r="Q6" s="33" t="inlineStr">
        <is>
          <t>-</t>
        </is>
      </c>
      <c r="R6" s="33" t="inlineStr">
        <is>
          <t>-</t>
        </is>
      </c>
      <c r="S6" s="31" t="inlineStr">
        <is>
          <t>HBL</t>
        </is>
      </c>
    </row>
    <row r="7">
      <c r="A7" s="31" t="inlineStr">
        <is>
          <t>29 Jun</t>
        </is>
      </c>
      <c r="B7" s="31" t="inlineStr">
        <is>
          <t>37533</t>
        </is>
      </c>
      <c r="C7" s="31" t="inlineStr">
        <is>
          <t>Non-Valid</t>
        </is>
      </c>
      <c r="D7" s="31" t="inlineStr">
        <is>
          <t>08:00:08</t>
        </is>
      </c>
      <c r="E7" s="31" t="inlineStr">
        <is>
          <t>08:00:08</t>
        </is>
      </c>
      <c r="F7" s="31" t="n">
        <v>0</v>
      </c>
      <c r="G7" s="31" t="n">
        <v>1</v>
      </c>
      <c r="H7" s="31" t="n">
        <v>1</v>
      </c>
      <c r="I7" s="31" t="inlineStr">
        <is>
          <t>POSTTRIP</t>
        </is>
      </c>
      <c r="J7" s="32" t="n">
        <v>1242.74</v>
      </c>
      <c r="K7" s="31" t="inlineStr">
        <is>
          <t>R</t>
        </is>
      </c>
      <c r="L7" s="31" t="inlineStr">
        <is>
          <t>IBH 265</t>
        </is>
      </c>
      <c r="M7" s="33" t="inlineStr">
        <is>
          <t>1 km/h</t>
        </is>
      </c>
      <c r="N7" s="33" t="inlineStr">
        <is>
          <t>0</t>
        </is>
      </c>
      <c r="O7" s="31" t="inlineStr">
        <is>
          <t>-</t>
        </is>
      </c>
      <c r="P7" s="34" t="inlineStr">
        <is>
          <t>EB at 0-1 km/h</t>
        </is>
      </c>
      <c r="Q7" s="33" t="inlineStr">
        <is>
          <t>-</t>
        </is>
      </c>
      <c r="R7" s="33" t="inlineStr">
        <is>
          <t>-</t>
        </is>
      </c>
      <c r="S7" s="31" t="inlineStr">
        <is>
          <t>HBL</t>
        </is>
      </c>
    </row>
    <row r="8">
      <c r="A8" s="31" t="inlineStr">
        <is>
          <t>29 Jun</t>
        </is>
      </c>
      <c r="B8" s="31" t="inlineStr">
        <is>
          <t>37131</t>
        </is>
      </c>
      <c r="C8" s="31" t="inlineStr">
        <is>
          <t>Non-Valid</t>
        </is>
      </c>
      <c r="D8" s="31" t="inlineStr">
        <is>
          <t>11:01:40</t>
        </is>
      </c>
      <c r="E8" s="31" t="inlineStr">
        <is>
          <t>11:02:08</t>
        </is>
      </c>
      <c r="F8" s="31" t="n">
        <v>28</v>
      </c>
      <c r="G8" s="31" t="n">
        <v>15</v>
      </c>
      <c r="H8" s="31" t="n">
        <v>83</v>
      </c>
      <c r="I8" s="31" t="inlineStr">
        <is>
          <t>Failure</t>
        </is>
      </c>
      <c r="J8" s="32" t="n">
        <v>778.48</v>
      </c>
      <c r="K8" s="31" t="inlineStr">
        <is>
          <t>N</t>
        </is>
      </c>
      <c r="L8" s="31" t="inlineStr">
        <is>
          <t>IBH-HNU</t>
        </is>
      </c>
      <c r="M8" s="33" t="inlineStr">
        <is>
          <t>83 km/h</t>
        </is>
      </c>
      <c r="N8" s="33" t="inlineStr">
        <is>
          <t>7495</t>
        </is>
      </c>
      <c r="O8" s="31" t="inlineStr">
        <is>
          <t>-</t>
        </is>
      </c>
      <c r="P8" s="34" t="inlineStr">
        <is>
          <t>Failure mode</t>
        </is>
      </c>
      <c r="Q8" s="33" t="inlineStr">
        <is>
          <t>-</t>
        </is>
      </c>
      <c r="R8" s="33" t="inlineStr">
        <is>
          <t>-</t>
        </is>
      </c>
      <c r="S8" s="31" t="inlineStr">
        <is>
          <t>Medha/Kernex</t>
        </is>
      </c>
    </row>
    <row r="9">
      <c r="A9" s="31" t="inlineStr">
        <is>
          <t>29 Jun</t>
        </is>
      </c>
      <c r="B9" s="31" t="inlineStr">
        <is>
          <t>37533</t>
        </is>
      </c>
      <c r="C9" s="31" t="inlineStr">
        <is>
          <t>Non-Valid</t>
        </is>
      </c>
      <c r="D9" s="31" t="inlineStr">
        <is>
          <t>18:19:18</t>
        </is>
      </c>
      <c r="E9" s="31" t="inlineStr">
        <is>
          <t>18:19:36</t>
        </is>
      </c>
      <c r="F9" s="31" t="n">
        <v>18</v>
      </c>
      <c r="G9" s="31" t="n">
        <v>10</v>
      </c>
      <c r="H9" s="31" t="n">
        <v>57</v>
      </c>
      <c r="I9" s="31" t="inlineStr">
        <is>
          <t>TRIP</t>
        </is>
      </c>
      <c r="J9" s="32" t="n">
        <v>923.4400000000001</v>
      </c>
      <c r="K9" s="31" t="inlineStr">
        <is>
          <t>N</t>
        </is>
      </c>
      <c r="L9" s="31" t="inlineStr">
        <is>
          <t>KOTA C</t>
        </is>
      </c>
      <c r="M9" s="33" t="inlineStr">
        <is>
          <t>57 km/h</t>
        </is>
      </c>
      <c r="N9" s="33" t="inlineStr">
        <is>
          <t>669</t>
        </is>
      </c>
      <c r="O9" s="31" t="inlineStr">
        <is>
          <t>-</t>
        </is>
      </c>
      <c r="P9" s="34" t="inlineStr">
        <is>
          <t>Trip mode</t>
        </is>
      </c>
      <c r="Q9" s="33" t="inlineStr">
        <is>
          <t>-</t>
        </is>
      </c>
      <c r="R9" s="33" t="inlineStr">
        <is>
          <t>-</t>
        </is>
      </c>
      <c r="S9" s="31" t="inlineStr">
        <is>
          <t>HBL</t>
        </is>
      </c>
    </row>
  </sheetData>
  <mergeCells count="2">
    <mergeCell ref="A3:S3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138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</row>
    <row r="6">
      <c r="A6" s="31" t="inlineStr">
        <is>
          <t>29 Jun</t>
        </is>
      </c>
      <c r="B6" s="31" t="inlineStr">
        <is>
          <t>30356</t>
        </is>
      </c>
      <c r="C6" s="31" t="inlineStr">
        <is>
          <t>FS</t>
        </is>
      </c>
      <c r="D6" s="31" t="inlineStr">
        <is>
          <t>SR</t>
        </is>
      </c>
      <c r="E6" s="31" t="inlineStr">
        <is>
          <t>00:02:06</t>
        </is>
      </c>
      <c r="F6" s="31" t="inlineStr">
        <is>
          <t>00:02:12</t>
        </is>
      </c>
      <c r="G6" s="31" t="n">
        <v>6</v>
      </c>
      <c r="H6" s="31" t="n">
        <v>4</v>
      </c>
      <c r="I6" s="32" t="n">
        <v>963.97</v>
      </c>
      <c r="J6" s="31" t="inlineStr">
        <is>
          <t>Ghatkavarana(GKB)</t>
        </is>
      </c>
      <c r="K6" s="31" t="inlineStr">
        <is>
          <t>U</t>
        </is>
      </c>
      <c r="L6" s="31" t="inlineStr">
        <is>
          <t>Non-Valid</t>
        </is>
      </c>
    </row>
    <row r="7">
      <c r="A7" s="31" t="inlineStr">
        <is>
          <t>29 Jun</t>
        </is>
      </c>
      <c r="B7" s="31" t="inlineStr">
        <is>
          <t>30356</t>
        </is>
      </c>
      <c r="C7" s="31" t="inlineStr">
        <is>
          <t>OS</t>
        </is>
      </c>
      <c r="D7" s="31" t="inlineStr">
        <is>
          <t>SR</t>
        </is>
      </c>
      <c r="E7" s="31" t="inlineStr">
        <is>
          <t>00:02:16</t>
        </is>
      </c>
      <c r="F7" s="31" t="inlineStr">
        <is>
          <t>00:02:16</t>
        </is>
      </c>
      <c r="G7" s="31" t="n">
        <v>0</v>
      </c>
      <c r="H7" s="31" t="n">
        <v>1</v>
      </c>
      <c r="I7" s="32" t="n">
        <v>963.86</v>
      </c>
      <c r="J7" s="31" t="inlineStr">
        <is>
          <t>Ghatkavarana(GKB)</t>
        </is>
      </c>
      <c r="K7" s="31" t="inlineStr">
        <is>
          <t>R</t>
        </is>
      </c>
      <c r="L7" s="31" t="inlineStr">
        <is>
          <t>Non-Valid</t>
        </is>
      </c>
    </row>
    <row r="8">
      <c r="A8" s="31" t="inlineStr">
        <is>
          <t>29 Jun</t>
        </is>
      </c>
      <c r="B8" s="31" t="inlineStr">
        <is>
          <t>30356</t>
        </is>
      </c>
      <c r="C8" s="31" t="inlineStr">
        <is>
          <t>FS</t>
        </is>
      </c>
      <c r="D8" s="31" t="inlineStr">
        <is>
          <t>SR</t>
        </is>
      </c>
      <c r="E8" s="31" t="inlineStr">
        <is>
          <t>00:11:32</t>
        </is>
      </c>
      <c r="F8" s="31" t="inlineStr">
        <is>
          <t>00:12:00</t>
        </is>
      </c>
      <c r="G8" s="31" t="n">
        <v>28</v>
      </c>
      <c r="H8" s="31" t="n">
        <v>30</v>
      </c>
      <c r="I8" s="32" t="n">
        <v>944.02</v>
      </c>
      <c r="J8" s="31" t="inlineStr">
        <is>
          <t>Arnetha(ARE)</t>
        </is>
      </c>
      <c r="K8" s="31" t="inlineStr">
        <is>
          <t>R</t>
        </is>
      </c>
      <c r="L8" s="31" t="inlineStr">
        <is>
          <t>Non-Valid</t>
        </is>
      </c>
    </row>
    <row r="9">
      <c r="A9" s="31" t="inlineStr">
        <is>
          <t>29 Jun</t>
        </is>
      </c>
      <c r="B9" s="31" t="inlineStr">
        <is>
          <t>30356</t>
        </is>
      </c>
      <c r="C9" s="31" t="inlineStr">
        <is>
          <t>OS</t>
        </is>
      </c>
      <c r="D9" s="31" t="inlineStr">
        <is>
          <t>SR</t>
        </is>
      </c>
      <c r="E9" s="31" t="inlineStr">
        <is>
          <t>00:12:12</t>
        </is>
      </c>
      <c r="F9" s="31" t="inlineStr">
        <is>
          <t>00:12:12</t>
        </is>
      </c>
      <c r="G9" s="31" t="n">
        <v>0</v>
      </c>
      <c r="H9" s="31" t="n">
        <v>2</v>
      </c>
      <c r="I9" s="32" t="n">
        <v>942.71</v>
      </c>
      <c r="J9" s="31" t="inlineStr">
        <is>
          <t>LC-120</t>
        </is>
      </c>
      <c r="K9" s="31" t="inlineStr">
        <is>
          <t>R</t>
        </is>
      </c>
      <c r="L9" s="31" t="inlineStr">
        <is>
          <t>Non-Valid</t>
        </is>
      </c>
    </row>
    <row r="10">
      <c r="A10" s="31" t="inlineStr">
        <is>
          <t>29 Jun</t>
        </is>
      </c>
      <c r="B10" s="31" t="inlineStr">
        <is>
          <t>30429</t>
        </is>
      </c>
      <c r="C10" s="31" t="inlineStr">
        <is>
          <t>FS</t>
        </is>
      </c>
      <c r="D10" s="31" t="inlineStr">
        <is>
          <t>LS</t>
        </is>
      </c>
      <c r="E10" s="31" t="inlineStr">
        <is>
          <t>00:36:38</t>
        </is>
      </c>
      <c r="F10" s="31" t="inlineStr">
        <is>
          <t>00:37:18</t>
        </is>
      </c>
      <c r="G10" s="31" t="n">
        <v>40</v>
      </c>
      <c r="H10" s="31" t="n">
        <v>6</v>
      </c>
      <c r="I10" s="32" t="n">
        <v>1029.1</v>
      </c>
      <c r="J10" s="31" t="inlineStr">
        <is>
          <t>SawaiMadhopurJn(SWM)</t>
        </is>
      </c>
      <c r="K10" s="31" t="inlineStr">
        <is>
          <t>N</t>
        </is>
      </c>
      <c r="L10" s="31" t="inlineStr">
        <is>
          <t>Non-Valid</t>
        </is>
      </c>
    </row>
    <row r="11">
      <c r="A11" s="31" t="inlineStr">
        <is>
          <t>29 Jun</t>
        </is>
      </c>
      <c r="B11" s="31" t="inlineStr">
        <is>
          <t>30429</t>
        </is>
      </c>
      <c r="C11" s="31" t="inlineStr">
        <is>
          <t>OS</t>
        </is>
      </c>
      <c r="D11" s="31" t="inlineStr">
        <is>
          <t>SR</t>
        </is>
      </c>
      <c r="E11" s="31" t="inlineStr">
        <is>
          <t>00:38:00</t>
        </is>
      </c>
      <c r="F11" s="31" t="inlineStr">
        <is>
          <t>00:38:18</t>
        </is>
      </c>
      <c r="G11" s="31" t="n">
        <v>18</v>
      </c>
      <c r="H11" s="31" t="n">
        <v>13</v>
      </c>
      <c r="I11" s="32" t="n">
        <v>1029.74</v>
      </c>
      <c r="J11" s="31" t="inlineStr">
        <is>
          <t>SawaiMadhopurJn(SWM)</t>
        </is>
      </c>
      <c r="K11" s="31" t="inlineStr">
        <is>
          <t>N</t>
        </is>
      </c>
      <c r="L11" s="31" t="inlineStr">
        <is>
          <t>Non-Valid</t>
        </is>
      </c>
    </row>
    <row r="12">
      <c r="A12" s="31" t="inlineStr">
        <is>
          <t>29 Jun</t>
        </is>
      </c>
      <c r="B12" s="31" t="inlineStr">
        <is>
          <t>30474</t>
        </is>
      </c>
      <c r="C12" s="31" t="inlineStr">
        <is>
          <t>FS</t>
        </is>
      </c>
      <c r="D12" s="31" t="inlineStr">
        <is>
          <t>SR</t>
        </is>
      </c>
      <c r="E12" s="31" t="inlineStr">
        <is>
          <t>00:38:00</t>
        </is>
      </c>
      <c r="F12" s="31" t="inlineStr">
        <is>
          <t>00:38:18</t>
        </is>
      </c>
      <c r="G12" s="31" t="n">
        <v>18</v>
      </c>
      <c r="H12" s="31" t="n">
        <v>7</v>
      </c>
      <c r="I12" s="32" t="n">
        <v>1028.78</v>
      </c>
      <c r="J12" s="31" t="inlineStr">
        <is>
          <t>SawaiMadhopurJn(SWM)</t>
        </is>
      </c>
      <c r="K12" s="31" t="inlineStr">
        <is>
          <t>R</t>
        </is>
      </c>
      <c r="L12" s="31" t="inlineStr">
        <is>
          <t>Non-Valid</t>
        </is>
      </c>
    </row>
    <row r="13">
      <c r="A13" s="31" t="inlineStr">
        <is>
          <t>29 Jun</t>
        </is>
      </c>
      <c r="B13" s="31" t="inlineStr">
        <is>
          <t>30429</t>
        </is>
      </c>
      <c r="C13" s="31" t="inlineStr">
        <is>
          <t>OS</t>
        </is>
      </c>
      <c r="D13" s="31" t="inlineStr">
        <is>
          <t>SR</t>
        </is>
      </c>
      <c r="E13" s="31" t="inlineStr">
        <is>
          <t>00:38:50</t>
        </is>
      </c>
      <c r="F13" s="31" t="inlineStr">
        <is>
          <t>00:39:36</t>
        </is>
      </c>
      <c r="G13" s="31" t="n">
        <v>46</v>
      </c>
      <c r="H13" s="31" t="n">
        <v>27</v>
      </c>
      <c r="I13" s="32" t="n">
        <v>1030.37</v>
      </c>
      <c r="J13" s="31" t="inlineStr">
        <is>
          <t>SawaiMadhopurJn(SWM)</t>
        </is>
      </c>
      <c r="K13" s="31" t="inlineStr">
        <is>
          <t>N</t>
        </is>
      </c>
      <c r="L13" s="31" t="inlineStr">
        <is>
          <t>Non-Valid</t>
        </is>
      </c>
    </row>
    <row r="14">
      <c r="A14" s="31" t="inlineStr">
        <is>
          <t>29 Jun</t>
        </is>
      </c>
      <c r="B14" s="31" t="inlineStr">
        <is>
          <t>37035</t>
        </is>
      </c>
      <c r="C14" s="31" t="inlineStr">
        <is>
          <t>FS</t>
        </is>
      </c>
      <c r="D14" s="31" t="inlineStr">
        <is>
          <t>SR</t>
        </is>
      </c>
      <c r="E14" s="31" t="inlineStr">
        <is>
          <t>00:39:06</t>
        </is>
      </c>
      <c r="F14" s="31" t="inlineStr">
        <is>
          <t>00:39:30</t>
        </is>
      </c>
      <c r="G14" s="31" t="n">
        <v>24</v>
      </c>
      <c r="H14" s="31" t="n">
        <v>26</v>
      </c>
      <c r="I14" s="32" t="n">
        <v>955.02</v>
      </c>
      <c r="J14" s="31" t="inlineStr">
        <is>
          <t>Kapren(KPZ)</t>
        </is>
      </c>
      <c r="K14" s="31" t="inlineStr">
        <is>
          <t>N</t>
        </is>
      </c>
      <c r="L14" s="31" t="inlineStr">
        <is>
          <t>Non-Valid</t>
        </is>
      </c>
    </row>
    <row r="15">
      <c r="A15" s="16" t="inlineStr">
        <is>
          <t>29 Jun</t>
        </is>
      </c>
      <c r="B15" s="16" t="inlineStr">
        <is>
          <t>37322</t>
        </is>
      </c>
      <c r="C15" s="16" t="inlineStr">
        <is>
          <t>FS</t>
        </is>
      </c>
      <c r="D15" s="16" t="inlineStr">
        <is>
          <t>SR</t>
        </is>
      </c>
      <c r="E15" s="16" t="inlineStr">
        <is>
          <t>00:50:34</t>
        </is>
      </c>
      <c r="F15" s="16" t="inlineStr">
        <is>
          <t>00:51:38</t>
        </is>
      </c>
      <c r="G15" s="16" t="n">
        <v>64</v>
      </c>
      <c r="H15" s="16" t="n">
        <v>34</v>
      </c>
      <c r="I15" s="35" t="n">
        <v>748.21</v>
      </c>
      <c r="J15" s="16" t="inlineStr">
        <is>
          <t>IBH-27</t>
        </is>
      </c>
      <c r="K15" s="16" t="inlineStr">
        <is>
          <t>U</t>
        </is>
      </c>
      <c r="L15" s="16" t="inlineStr">
        <is>
          <t>Valid</t>
        </is>
      </c>
    </row>
    <row r="16">
      <c r="A16" s="31" t="inlineStr">
        <is>
          <t>29 Jun</t>
        </is>
      </c>
      <c r="B16" s="31" t="inlineStr">
        <is>
          <t>39243</t>
        </is>
      </c>
      <c r="C16" s="31" t="inlineStr">
        <is>
          <t>FS</t>
        </is>
      </c>
      <c r="D16" s="31" t="inlineStr">
        <is>
          <t>SR</t>
        </is>
      </c>
      <c r="E16" s="31" t="inlineStr">
        <is>
          <t>01:26:20</t>
        </is>
      </c>
      <c r="F16" s="31" t="inlineStr">
        <is>
          <t>01:27:26</t>
        </is>
      </c>
      <c r="G16" s="31" t="n">
        <v>66</v>
      </c>
      <c r="H16" s="31" t="n">
        <v>48</v>
      </c>
      <c r="I16" s="32" t="n">
        <v>1091.49</v>
      </c>
      <c r="J16" s="31" t="inlineStr">
        <is>
          <t>Gangapur City(GGC)</t>
        </is>
      </c>
      <c r="K16" s="31" t="inlineStr">
        <is>
          <t>U</t>
        </is>
      </c>
      <c r="L16" s="31" t="inlineStr">
        <is>
          <t>Non-Valid</t>
        </is>
      </c>
    </row>
    <row r="17">
      <c r="A17" s="31" t="inlineStr">
        <is>
          <t>29 Jun</t>
        </is>
      </c>
      <c r="B17" s="31" t="inlineStr">
        <is>
          <t>39393</t>
        </is>
      </c>
      <c r="C17" s="31" t="inlineStr">
        <is>
          <t>FS</t>
        </is>
      </c>
      <c r="D17" s="31" t="inlineStr">
        <is>
          <t>SR</t>
        </is>
      </c>
      <c r="E17" s="31" t="inlineStr">
        <is>
          <t>01:37:10</t>
        </is>
      </c>
      <c r="F17" s="31" t="inlineStr">
        <is>
          <t>01:37:48</t>
        </is>
      </c>
      <c r="G17" s="31" t="n">
        <v>38</v>
      </c>
      <c r="H17" s="31" t="n">
        <v>23</v>
      </c>
      <c r="I17" s="32" t="n">
        <v>747.3200000000001</v>
      </c>
      <c r="J17" s="31" t="inlineStr">
        <is>
          <t>IBH-27</t>
        </is>
      </c>
      <c r="K17" s="31" t="inlineStr">
        <is>
          <t>U</t>
        </is>
      </c>
      <c r="L17" s="31" t="inlineStr">
        <is>
          <t>Non-Valid</t>
        </is>
      </c>
    </row>
    <row r="18">
      <c r="A18" s="16" t="inlineStr">
        <is>
          <t>29 Jun</t>
        </is>
      </c>
      <c r="B18" s="16" t="inlineStr">
        <is>
          <t>37632</t>
        </is>
      </c>
      <c r="C18" s="16" t="inlineStr">
        <is>
          <t>FS</t>
        </is>
      </c>
      <c r="D18" s="16" t="inlineStr">
        <is>
          <t>SR</t>
        </is>
      </c>
      <c r="E18" s="16" t="inlineStr">
        <is>
          <t>01:53:42</t>
        </is>
      </c>
      <c r="F18" s="16" t="inlineStr">
        <is>
          <t>01:54:50</t>
        </is>
      </c>
      <c r="G18" s="16" t="n">
        <v>68</v>
      </c>
      <c r="H18" s="16" t="n">
        <v>37</v>
      </c>
      <c r="I18" s="35" t="n">
        <v>748.23</v>
      </c>
      <c r="J18" s="16" t="inlineStr">
        <is>
          <t>IBH-27</t>
        </is>
      </c>
      <c r="K18" s="16" t="inlineStr">
        <is>
          <t>U</t>
        </is>
      </c>
      <c r="L18" s="16" t="inlineStr">
        <is>
          <t>Valid</t>
        </is>
      </c>
    </row>
    <row r="19">
      <c r="A19" s="16" t="inlineStr">
        <is>
          <t>29 Jun</t>
        </is>
      </c>
      <c r="B19" s="16" t="inlineStr">
        <is>
          <t>37632</t>
        </is>
      </c>
      <c r="C19" s="16" t="inlineStr">
        <is>
          <t>OS</t>
        </is>
      </c>
      <c r="D19" s="16" t="inlineStr">
        <is>
          <t>SR</t>
        </is>
      </c>
      <c r="E19" s="16" t="inlineStr">
        <is>
          <t>01:56:04</t>
        </is>
      </c>
      <c r="F19" s="16" t="inlineStr">
        <is>
          <t>01:56:04</t>
        </is>
      </c>
      <c r="G19" s="16" t="n">
        <v>0</v>
      </c>
      <c r="H19" s="16" t="n">
        <v>2</v>
      </c>
      <c r="I19" s="35" t="n">
        <v>751.58</v>
      </c>
      <c r="J19" s="16" t="inlineStr">
        <is>
          <t>Talavli(TLZ)</t>
        </is>
      </c>
      <c r="K19" s="16" t="inlineStr">
        <is>
          <t>N</t>
        </is>
      </c>
      <c r="L19" s="16" t="inlineStr">
        <is>
          <t>Valid</t>
        </is>
      </c>
    </row>
    <row r="20">
      <c r="A20" s="31" t="inlineStr">
        <is>
          <t>29 Jun</t>
        </is>
      </c>
      <c r="B20" s="31" t="inlineStr">
        <is>
          <t>30474</t>
        </is>
      </c>
      <c r="C20" s="31" t="inlineStr">
        <is>
          <t>FS</t>
        </is>
      </c>
      <c r="D20" s="31" t="inlineStr">
        <is>
          <t>SR</t>
        </is>
      </c>
      <c r="E20" s="31" t="inlineStr">
        <is>
          <t>02:11:24</t>
        </is>
      </c>
      <c r="F20" s="31" t="inlineStr">
        <is>
          <t>02:11:24</t>
        </is>
      </c>
      <c r="G20" s="31" t="n">
        <v>0</v>
      </c>
      <c r="H20" s="31" t="n">
        <v>1</v>
      </c>
      <c r="I20" s="32" t="n">
        <v>943.34</v>
      </c>
      <c r="J20" s="31" t="inlineStr">
        <is>
          <t>LC-120</t>
        </is>
      </c>
      <c r="K20" s="31" t="inlineStr">
        <is>
          <t>R</t>
        </is>
      </c>
      <c r="L20" s="31" t="inlineStr">
        <is>
          <t>Non-Valid</t>
        </is>
      </c>
    </row>
    <row r="21">
      <c r="A21" s="31" t="inlineStr">
        <is>
          <t>29 Jun</t>
        </is>
      </c>
      <c r="B21" s="31" t="inlineStr">
        <is>
          <t>30474</t>
        </is>
      </c>
      <c r="C21" s="31" t="inlineStr">
        <is>
          <t>FS</t>
        </is>
      </c>
      <c r="D21" s="31" t="inlineStr">
        <is>
          <t>SR</t>
        </is>
      </c>
      <c r="E21" s="31" t="inlineStr">
        <is>
          <t>02:11:26</t>
        </is>
      </c>
      <c r="F21" s="31" t="inlineStr">
        <is>
          <t>02:11:36</t>
        </is>
      </c>
      <c r="G21" s="31" t="n">
        <v>10</v>
      </c>
      <c r="H21" s="31" t="n">
        <v>11</v>
      </c>
      <c r="I21" s="32" t="n">
        <v>943.28</v>
      </c>
      <c r="J21" s="31" t="inlineStr">
        <is>
          <t>LC-120</t>
        </is>
      </c>
      <c r="K21" s="31" t="inlineStr">
        <is>
          <t>R</t>
        </is>
      </c>
      <c r="L21" s="31" t="inlineStr">
        <is>
          <t>Non-Valid</t>
        </is>
      </c>
    </row>
    <row r="22">
      <c r="A22" s="31" t="inlineStr">
        <is>
          <t>29 Jun</t>
        </is>
      </c>
      <c r="B22" s="31" t="inlineStr">
        <is>
          <t>30474</t>
        </is>
      </c>
      <c r="C22" s="31" t="inlineStr">
        <is>
          <t>FS</t>
        </is>
      </c>
      <c r="D22" s="31" t="inlineStr">
        <is>
          <t>SR</t>
        </is>
      </c>
      <c r="E22" s="31" t="inlineStr">
        <is>
          <t>02:12:08</t>
        </is>
      </c>
      <c r="F22" s="31" t="inlineStr">
        <is>
          <t>02:12:26</t>
        </is>
      </c>
      <c r="G22" s="31" t="n">
        <v>18</v>
      </c>
      <c r="H22" s="31" t="n">
        <v>19</v>
      </c>
      <c r="I22" s="32" t="n">
        <v>942.0700000000001</v>
      </c>
      <c r="J22" s="31" t="inlineStr">
        <is>
          <t>LC-120</t>
        </is>
      </c>
      <c r="K22" s="31" t="inlineStr">
        <is>
          <t>R</t>
        </is>
      </c>
      <c r="L22" s="31" t="inlineStr">
        <is>
          <t>Non-Valid</t>
        </is>
      </c>
    </row>
    <row r="23">
      <c r="A23" s="31" t="inlineStr">
        <is>
          <t>29 Jun</t>
        </is>
      </c>
      <c r="B23" s="31" t="inlineStr">
        <is>
          <t>30464</t>
        </is>
      </c>
      <c r="C23" s="31" t="inlineStr">
        <is>
          <t>FS</t>
        </is>
      </c>
      <c r="D23" s="31" t="inlineStr">
        <is>
          <t>SR</t>
        </is>
      </c>
      <c r="E23" s="31" t="inlineStr">
        <is>
          <t>02:18:52</t>
        </is>
      </c>
      <c r="F23" s="31" t="inlineStr">
        <is>
          <t>02:19:04</t>
        </is>
      </c>
      <c r="G23" s="31" t="n">
        <v>12</v>
      </c>
      <c r="H23" s="31" t="n">
        <v>8</v>
      </c>
      <c r="I23" s="32" t="n">
        <v>1090.18</v>
      </c>
      <c r="J23" s="31" t="inlineStr">
        <is>
          <t>Gangapur City(GGC)</t>
        </is>
      </c>
      <c r="K23" s="31" t="inlineStr">
        <is>
          <t>U</t>
        </is>
      </c>
      <c r="L23" s="31" t="inlineStr">
        <is>
          <t>Non-Valid</t>
        </is>
      </c>
    </row>
    <row r="24">
      <c r="A24" s="31" t="inlineStr">
        <is>
          <t>29 Jun</t>
        </is>
      </c>
      <c r="B24" s="31" t="inlineStr">
        <is>
          <t>37813</t>
        </is>
      </c>
      <c r="C24" s="31" t="inlineStr">
        <is>
          <t>StandBy</t>
        </is>
      </c>
      <c r="D24" s="31" t="inlineStr">
        <is>
          <t>SR</t>
        </is>
      </c>
      <c r="E24" s="31" t="inlineStr">
        <is>
          <t>03:55:22</t>
        </is>
      </c>
      <c r="F24" s="31" t="inlineStr">
        <is>
          <t>04:06:52</t>
        </is>
      </c>
      <c r="G24" s="31" t="n">
        <v>690</v>
      </c>
      <c r="H24" s="31" t="n">
        <v>344</v>
      </c>
      <c r="I24" s="32" t="n">
        <v>1027.88</v>
      </c>
      <c r="J24" s="31" t="inlineStr">
        <is>
          <t>SawaiMadhopurJn(SWM)</t>
        </is>
      </c>
      <c r="K24" s="31" t="inlineStr">
        <is>
          <t>U</t>
        </is>
      </c>
      <c r="L24" s="31" t="inlineStr">
        <is>
          <t>Non-Valid</t>
        </is>
      </c>
    </row>
    <row r="25">
      <c r="A25" s="31" t="inlineStr">
        <is>
          <t>29 Jun</t>
        </is>
      </c>
      <c r="B25" s="31" t="inlineStr">
        <is>
          <t>37184</t>
        </is>
      </c>
      <c r="C25" s="31" t="inlineStr">
        <is>
          <t>FS</t>
        </is>
      </c>
      <c r="D25" s="31" t="inlineStr">
        <is>
          <t>SR</t>
        </is>
      </c>
      <c r="E25" s="31" t="inlineStr">
        <is>
          <t>04:01:06</t>
        </is>
      </c>
      <c r="F25" s="31" t="inlineStr">
        <is>
          <t>04:01:16</t>
        </is>
      </c>
      <c r="G25" s="31" t="n">
        <v>10</v>
      </c>
      <c r="H25" s="31" t="n">
        <v>11</v>
      </c>
      <c r="I25" s="32" t="n">
        <v>940.41</v>
      </c>
      <c r="J25" s="31" t="inlineStr">
        <is>
          <t>IBH-119</t>
        </is>
      </c>
      <c r="K25" s="31" t="inlineStr">
        <is>
          <t>N</t>
        </is>
      </c>
      <c r="L25" s="31" t="inlineStr">
        <is>
          <t>Non-Valid</t>
        </is>
      </c>
    </row>
    <row r="26">
      <c r="A26" s="31" t="inlineStr">
        <is>
          <t>29 Jun</t>
        </is>
      </c>
      <c r="B26" s="31" t="inlineStr">
        <is>
          <t>37366</t>
        </is>
      </c>
      <c r="C26" s="31" t="inlineStr">
        <is>
          <t>FS</t>
        </is>
      </c>
      <c r="D26" s="31" t="inlineStr">
        <is>
          <t>SR</t>
        </is>
      </c>
      <c r="E26" s="31" t="inlineStr">
        <is>
          <t>04:01:48</t>
        </is>
      </c>
      <c r="F26" s="31" t="inlineStr">
        <is>
          <t>04:01:48</t>
        </is>
      </c>
      <c r="G26" s="31" t="n">
        <v>0</v>
      </c>
      <c r="H26" s="31" t="n">
        <v>1</v>
      </c>
      <c r="I26" s="32" t="n">
        <v>943.47</v>
      </c>
      <c r="J26" s="31" t="inlineStr">
        <is>
          <t>LC-120</t>
        </is>
      </c>
      <c r="K26" s="31" t="inlineStr">
        <is>
          <t>R</t>
        </is>
      </c>
      <c r="L26" s="31" t="inlineStr">
        <is>
          <t>Non-Valid</t>
        </is>
      </c>
    </row>
    <row r="27">
      <c r="A27" s="31" t="inlineStr">
        <is>
          <t>29 Jun</t>
        </is>
      </c>
      <c r="B27" s="31" t="inlineStr">
        <is>
          <t>37366</t>
        </is>
      </c>
      <c r="C27" s="31" t="inlineStr">
        <is>
          <t>FS</t>
        </is>
      </c>
      <c r="D27" s="31" t="inlineStr">
        <is>
          <t>SR</t>
        </is>
      </c>
      <c r="E27" s="31" t="inlineStr">
        <is>
          <t>04:01:50</t>
        </is>
      </c>
      <c r="F27" s="31" t="inlineStr">
        <is>
          <t>04:01:52</t>
        </is>
      </c>
      <c r="G27" s="31" t="n">
        <v>2</v>
      </c>
      <c r="H27" s="31" t="n">
        <v>3</v>
      </c>
      <c r="I27" s="32" t="n">
        <v>943.41</v>
      </c>
      <c r="J27" s="31" t="inlineStr">
        <is>
          <t>LC-120</t>
        </is>
      </c>
      <c r="K27" s="31" t="inlineStr">
        <is>
          <t>R</t>
        </is>
      </c>
      <c r="L27" s="31" t="inlineStr">
        <is>
          <t>Non-Valid</t>
        </is>
      </c>
    </row>
    <row r="28">
      <c r="A28" s="31" t="inlineStr">
        <is>
          <t>29 Jun</t>
        </is>
      </c>
      <c r="B28" s="31" t="inlineStr">
        <is>
          <t>30464</t>
        </is>
      </c>
      <c r="C28" s="31" t="inlineStr">
        <is>
          <t>FS</t>
        </is>
      </c>
      <c r="D28" s="31" t="inlineStr">
        <is>
          <t>SR</t>
        </is>
      </c>
      <c r="E28" s="31" t="inlineStr">
        <is>
          <t>04:02:00</t>
        </is>
      </c>
      <c r="F28" s="31" t="inlineStr">
        <is>
          <t>04:02:16</t>
        </is>
      </c>
      <c r="G28" s="31" t="n">
        <v>16</v>
      </c>
      <c r="H28" s="31" t="n">
        <v>11</v>
      </c>
      <c r="I28" s="32" t="n">
        <v>1214.16</v>
      </c>
      <c r="J28" s="31" t="inlineStr">
        <is>
          <t>IBH-247</t>
        </is>
      </c>
      <c r="K28" s="31" t="inlineStr">
        <is>
          <t>U</t>
        </is>
      </c>
      <c r="L28" s="31" t="inlineStr">
        <is>
          <t>Non-Valid</t>
        </is>
      </c>
    </row>
    <row r="29">
      <c r="A29" s="31" t="inlineStr">
        <is>
          <t>29 Jun</t>
        </is>
      </c>
      <c r="B29" s="31" t="inlineStr">
        <is>
          <t>30464</t>
        </is>
      </c>
      <c r="C29" s="31" t="inlineStr">
        <is>
          <t>OS</t>
        </is>
      </c>
      <c r="D29" s="31" t="inlineStr">
        <is>
          <t>SR</t>
        </is>
      </c>
      <c r="E29" s="31" t="inlineStr">
        <is>
          <t>04:02:18</t>
        </is>
      </c>
      <c r="F29" s="31" t="inlineStr">
        <is>
          <t>04:02:18</t>
        </is>
      </c>
      <c r="G29" s="31" t="n">
        <v>0</v>
      </c>
      <c r="H29" s="31" t="n">
        <v>1</v>
      </c>
      <c r="I29" s="32" t="n">
        <v>1214.33</v>
      </c>
      <c r="J29" s="31" t="inlineStr">
        <is>
          <t>IBH-247</t>
        </is>
      </c>
      <c r="K29" s="31" t="inlineStr">
        <is>
          <t>N</t>
        </is>
      </c>
      <c r="L29" s="31" t="inlineStr">
        <is>
          <t>Non-Valid</t>
        </is>
      </c>
    </row>
    <row r="30">
      <c r="A30" s="31" t="inlineStr">
        <is>
          <t>29 Jun</t>
        </is>
      </c>
      <c r="B30" s="31" t="inlineStr">
        <is>
          <t>37366</t>
        </is>
      </c>
      <c r="C30" s="31" t="inlineStr">
        <is>
          <t>FS</t>
        </is>
      </c>
      <c r="D30" s="31" t="inlineStr">
        <is>
          <t>SR</t>
        </is>
      </c>
      <c r="E30" s="31" t="inlineStr">
        <is>
          <t>04:02:24</t>
        </is>
      </c>
      <c r="F30" s="31" t="inlineStr">
        <is>
          <t>04:02:40</t>
        </is>
      </c>
      <c r="G30" s="31" t="n">
        <v>16</v>
      </c>
      <c r="H30" s="31" t="n">
        <v>15</v>
      </c>
      <c r="I30" s="32" t="n">
        <v>942.48</v>
      </c>
      <c r="J30" s="31" t="inlineStr">
        <is>
          <t>LC-120</t>
        </is>
      </c>
      <c r="K30" s="31" t="inlineStr">
        <is>
          <t>R</t>
        </is>
      </c>
      <c r="L30" s="31" t="inlineStr">
        <is>
          <t>Non-Valid</t>
        </is>
      </c>
    </row>
    <row r="31">
      <c r="A31" s="16" t="inlineStr">
        <is>
          <t>29 Jun</t>
        </is>
      </c>
      <c r="B31" s="16" t="inlineStr">
        <is>
          <t>37632</t>
        </is>
      </c>
      <c r="C31" s="16" t="inlineStr">
        <is>
          <t>FS</t>
        </is>
      </c>
      <c r="D31" s="16" t="inlineStr">
        <is>
          <t>SR</t>
        </is>
      </c>
      <c r="E31" s="16" t="inlineStr">
        <is>
          <t>04:36:26</t>
        </is>
      </c>
      <c r="F31" s="16" t="inlineStr">
        <is>
          <t>04:37:34</t>
        </is>
      </c>
      <c r="G31" s="16" t="n">
        <v>68</v>
      </c>
      <c r="H31" s="16" t="n">
        <v>70</v>
      </c>
      <c r="I31" s="35" t="n">
        <v>1029.45</v>
      </c>
      <c r="J31" s="16" t="inlineStr">
        <is>
          <t>SawaiMadhopurJn(SWM)</t>
        </is>
      </c>
      <c r="K31" s="16" t="inlineStr">
        <is>
          <t>N</t>
        </is>
      </c>
      <c r="L31" s="16" t="inlineStr">
        <is>
          <t>Valid</t>
        </is>
      </c>
    </row>
    <row r="32">
      <c r="A32" s="16" t="inlineStr">
        <is>
          <t>29 Jun</t>
        </is>
      </c>
      <c r="B32" s="16" t="inlineStr">
        <is>
          <t>37632</t>
        </is>
      </c>
      <c r="C32" s="16" t="inlineStr">
        <is>
          <t>OS</t>
        </is>
      </c>
      <c r="D32" s="16" t="inlineStr">
        <is>
          <t>SR</t>
        </is>
      </c>
      <c r="E32" s="16" t="inlineStr">
        <is>
          <t>04:38:10</t>
        </is>
      </c>
      <c r="F32" s="16" t="inlineStr">
        <is>
          <t>04:39:44</t>
        </is>
      </c>
      <c r="G32" s="16" t="n">
        <v>94</v>
      </c>
      <c r="H32" s="16" t="n">
        <v>39</v>
      </c>
      <c r="I32" s="35" t="n">
        <v>1033.19</v>
      </c>
      <c r="J32" s="16" t="inlineStr">
        <is>
          <t>5.0 KM from SWM-A</t>
        </is>
      </c>
      <c r="K32" s="16" t="inlineStr">
        <is>
          <t>N</t>
        </is>
      </c>
      <c r="L32" s="16" t="inlineStr">
        <is>
          <t>Valid</t>
        </is>
      </c>
    </row>
    <row r="33">
      <c r="A33" s="16" t="inlineStr">
        <is>
          <t>29 Jun</t>
        </is>
      </c>
      <c r="B33" s="16" t="inlineStr">
        <is>
          <t>37322</t>
        </is>
      </c>
      <c r="C33" s="16" t="inlineStr">
        <is>
          <t>FS</t>
        </is>
      </c>
      <c r="D33" s="16" t="inlineStr">
        <is>
          <t>SR</t>
        </is>
      </c>
      <c r="E33" s="16" t="inlineStr">
        <is>
          <t>04:39:24</t>
        </is>
      </c>
      <c r="F33" s="16" t="inlineStr">
        <is>
          <t>04:40:06</t>
        </is>
      </c>
      <c r="G33" s="16" t="n">
        <v>42</v>
      </c>
      <c r="H33" s="16" t="n">
        <v>22</v>
      </c>
      <c r="I33" s="35" t="n">
        <v>1091.54</v>
      </c>
      <c r="J33" s="16" t="inlineStr">
        <is>
          <t>Gangapur City(GGC)</t>
        </is>
      </c>
      <c r="K33" s="16" t="inlineStr">
        <is>
          <t>U</t>
        </is>
      </c>
      <c r="L33" s="16" t="inlineStr">
        <is>
          <t>Valid</t>
        </is>
      </c>
    </row>
    <row r="34">
      <c r="A34" s="31" t="inlineStr">
        <is>
          <t>29 Jun</t>
        </is>
      </c>
      <c r="B34" s="31" t="inlineStr">
        <is>
          <t>37813</t>
        </is>
      </c>
      <c r="C34" s="31" t="inlineStr">
        <is>
          <t>FS</t>
        </is>
      </c>
      <c r="D34" s="31" t="inlineStr">
        <is>
          <t>SR</t>
        </is>
      </c>
      <c r="E34" s="31" t="inlineStr">
        <is>
          <t>04:54:42</t>
        </is>
      </c>
      <c r="F34" s="31" t="inlineStr">
        <is>
          <t>04:55:04</t>
        </is>
      </c>
      <c r="G34" s="31" t="n">
        <v>22</v>
      </c>
      <c r="H34" s="31" t="n">
        <v>23</v>
      </c>
      <c r="I34" s="32" t="n">
        <v>943.4</v>
      </c>
      <c r="J34" s="31" t="inlineStr">
        <is>
          <t>LC-120</t>
        </is>
      </c>
      <c r="K34" s="31" t="inlineStr">
        <is>
          <t>R</t>
        </is>
      </c>
      <c r="L34" s="31" t="inlineStr">
        <is>
          <t>Non-Valid</t>
        </is>
      </c>
    </row>
    <row r="35">
      <c r="A35" s="31" t="inlineStr">
        <is>
          <t>29 Jun</t>
        </is>
      </c>
      <c r="B35" s="31" t="inlineStr">
        <is>
          <t>37813</t>
        </is>
      </c>
      <c r="C35" s="31" t="inlineStr">
        <is>
          <t>OS</t>
        </is>
      </c>
      <c r="D35" s="31" t="inlineStr">
        <is>
          <t>SR</t>
        </is>
      </c>
      <c r="E35" s="31" t="inlineStr">
        <is>
          <t>04:55:06</t>
        </is>
      </c>
      <c r="F35" s="31" t="inlineStr">
        <is>
          <t>04:55:06</t>
        </is>
      </c>
      <c r="G35" s="31" t="n">
        <v>0</v>
      </c>
      <c r="H35" s="31" t="n">
        <v>1</v>
      </c>
      <c r="I35" s="32" t="n">
        <v>942.78</v>
      </c>
      <c r="J35" s="31" t="inlineStr">
        <is>
          <t>LC-120</t>
        </is>
      </c>
      <c r="K35" s="31" t="inlineStr">
        <is>
          <t>R</t>
        </is>
      </c>
      <c r="L35" s="31" t="inlineStr">
        <is>
          <t>Non-Valid</t>
        </is>
      </c>
    </row>
    <row r="36">
      <c r="A36" s="31" t="inlineStr">
        <is>
          <t>29 Jun</t>
        </is>
      </c>
      <c r="B36" s="31" t="inlineStr">
        <is>
          <t>37035</t>
        </is>
      </c>
      <c r="C36" s="31" t="inlineStr">
        <is>
          <t>FS</t>
        </is>
      </c>
      <c r="D36" s="31" t="inlineStr">
        <is>
          <t>SR</t>
        </is>
      </c>
      <c r="E36" s="31" t="inlineStr">
        <is>
          <t>04:56:12</t>
        </is>
      </c>
      <c r="F36" s="31" t="inlineStr">
        <is>
          <t>04:58:00</t>
        </is>
      </c>
      <c r="G36" s="31" t="n">
        <v>108</v>
      </c>
      <c r="H36" s="31" t="n">
        <v>57</v>
      </c>
      <c r="I36" s="32" t="n">
        <v>921.79</v>
      </c>
      <c r="J36" s="31" t="inlineStr">
        <is>
          <t>Kota Jn.(KOTA) CENTRAL</t>
        </is>
      </c>
      <c r="K36" s="31" t="inlineStr">
        <is>
          <t>R</t>
        </is>
      </c>
      <c r="L36" s="31" t="inlineStr">
        <is>
          <t>Non-Valid</t>
        </is>
      </c>
    </row>
    <row r="37">
      <c r="A37" s="16" t="inlineStr">
        <is>
          <t>29 Jun</t>
        </is>
      </c>
      <c r="B37" s="16" t="inlineStr">
        <is>
          <t>30827</t>
        </is>
      </c>
      <c r="C37" s="16" t="inlineStr">
        <is>
          <t>FS</t>
        </is>
      </c>
      <c r="D37" s="16" t="inlineStr">
        <is>
          <t>LS</t>
        </is>
      </c>
      <c r="E37" s="16" t="inlineStr">
        <is>
          <t>04:57:28</t>
        </is>
      </c>
      <c r="F37" s="16" t="inlineStr">
        <is>
          <t>04:57:44</t>
        </is>
      </c>
      <c r="G37" s="16" t="n">
        <v>16</v>
      </c>
      <c r="H37" s="16" t="n">
        <v>9</v>
      </c>
      <c r="I37" s="35" t="n">
        <v>921.39</v>
      </c>
      <c r="J37" s="16" t="inlineStr">
        <is>
          <t>Kota Jn.(KOTA) CENTRAL</t>
        </is>
      </c>
      <c r="K37" s="16" t="inlineStr">
        <is>
          <t>N</t>
        </is>
      </c>
      <c r="L37" s="16" t="inlineStr">
        <is>
          <t>Valid</t>
        </is>
      </c>
    </row>
    <row r="38">
      <c r="A38" s="16" t="inlineStr">
        <is>
          <t>29 Jun</t>
        </is>
      </c>
      <c r="B38" s="16" t="inlineStr">
        <is>
          <t>30827</t>
        </is>
      </c>
      <c r="C38" s="16" t="inlineStr">
        <is>
          <t>LS</t>
        </is>
      </c>
      <c r="D38" s="16" t="inlineStr">
        <is>
          <t>SR</t>
        </is>
      </c>
      <c r="E38" s="16" t="inlineStr">
        <is>
          <t>04:57:46</t>
        </is>
      </c>
      <c r="F38" s="16" t="inlineStr">
        <is>
          <t>05:03:16</t>
        </is>
      </c>
      <c r="G38" s="16" t="n">
        <v>330</v>
      </c>
      <c r="H38" s="16" t="n">
        <v>175</v>
      </c>
      <c r="I38" s="35" t="n">
        <v>921.39</v>
      </c>
      <c r="J38" s="16" t="inlineStr">
        <is>
          <t>Kota Jn.(KOTA) CENTRAL</t>
        </is>
      </c>
      <c r="K38" s="16" t="inlineStr">
        <is>
          <t>N</t>
        </is>
      </c>
      <c r="L38" s="16" t="inlineStr">
        <is>
          <t>Valid</t>
        </is>
      </c>
    </row>
    <row r="39">
      <c r="A39" s="31" t="inlineStr">
        <is>
          <t>29 Jun</t>
        </is>
      </c>
      <c r="B39" s="31" t="inlineStr">
        <is>
          <t>37035</t>
        </is>
      </c>
      <c r="C39" s="31" t="inlineStr">
        <is>
          <t>OS</t>
        </is>
      </c>
      <c r="D39" s="31" t="inlineStr">
        <is>
          <t>SR</t>
        </is>
      </c>
      <c r="E39" s="31" t="inlineStr">
        <is>
          <t>04:58:38</t>
        </is>
      </c>
      <c r="F39" s="31" t="inlineStr">
        <is>
          <t>04:59:12</t>
        </is>
      </c>
      <c r="G39" s="31" t="n">
        <v>34</v>
      </c>
      <c r="H39" s="31" t="n">
        <v>5</v>
      </c>
      <c r="I39" s="32" t="n">
        <v>921.17</v>
      </c>
      <c r="J39" s="31" t="inlineStr">
        <is>
          <t>Kota Jn.(KOTA) CENTRAL</t>
        </is>
      </c>
      <c r="K39" s="31" t="inlineStr">
        <is>
          <t>R</t>
        </is>
      </c>
      <c r="L39" s="31" t="inlineStr">
        <is>
          <t>Non-Valid</t>
        </is>
      </c>
    </row>
    <row r="40">
      <c r="A40" s="16" t="inlineStr">
        <is>
          <t>29 Jun</t>
        </is>
      </c>
      <c r="B40" s="16" t="inlineStr">
        <is>
          <t>37632</t>
        </is>
      </c>
      <c r="C40" s="16" t="inlineStr">
        <is>
          <t>FS</t>
        </is>
      </c>
      <c r="D40" s="16" t="inlineStr">
        <is>
          <t>SR</t>
        </is>
      </c>
      <c r="E40" s="16" t="inlineStr">
        <is>
          <t>05:07:02</t>
        </is>
      </c>
      <c r="F40" s="16" t="inlineStr">
        <is>
          <t>05:07:46</t>
        </is>
      </c>
      <c r="G40" s="16" t="n">
        <v>44</v>
      </c>
      <c r="H40" s="16" t="n">
        <v>24</v>
      </c>
      <c r="I40" s="35" t="n">
        <v>1091.51</v>
      </c>
      <c r="J40" s="16" t="inlineStr">
        <is>
          <t>Gangapur City(GGC)</t>
        </is>
      </c>
      <c r="K40" s="16" t="inlineStr">
        <is>
          <t>U</t>
        </is>
      </c>
      <c r="L40" s="16" t="inlineStr">
        <is>
          <t>Valid</t>
        </is>
      </c>
    </row>
    <row r="41">
      <c r="A41" s="31" t="inlineStr">
        <is>
          <t>29 Jun</t>
        </is>
      </c>
      <c r="B41" s="31" t="inlineStr">
        <is>
          <t>37813</t>
        </is>
      </c>
      <c r="C41" s="31" t="inlineStr">
        <is>
          <t>FS</t>
        </is>
      </c>
      <c r="D41" s="31" t="inlineStr">
        <is>
          <t>SR</t>
        </is>
      </c>
      <c r="E41" s="31" t="inlineStr">
        <is>
          <t>05:12:30</t>
        </is>
      </c>
      <c r="F41" s="31" t="inlineStr">
        <is>
          <t>05:20:10</t>
        </is>
      </c>
      <c r="G41" s="31" t="n">
        <v>460</v>
      </c>
      <c r="H41" s="31" t="n">
        <v>230</v>
      </c>
      <c r="I41" s="32" t="n">
        <v>922.11</v>
      </c>
      <c r="J41" s="31" t="inlineStr">
        <is>
          <t>KOTA C</t>
        </is>
      </c>
      <c r="K41" s="31" t="inlineStr">
        <is>
          <t>U</t>
        </is>
      </c>
      <c r="L41" s="31" t="inlineStr">
        <is>
          <t>Non-Valid</t>
        </is>
      </c>
    </row>
    <row r="42">
      <c r="A42" s="16" t="inlineStr">
        <is>
          <t>29 Jun</t>
        </is>
      </c>
      <c r="B42" s="16" t="inlineStr">
        <is>
          <t>39521</t>
        </is>
      </c>
      <c r="C42" s="16" t="inlineStr">
        <is>
          <t>FS</t>
        </is>
      </c>
      <c r="D42" s="16" t="inlineStr">
        <is>
          <t>SR</t>
        </is>
      </c>
      <c r="E42" s="16" t="inlineStr">
        <is>
          <t>05:20:52</t>
        </is>
      </c>
      <c r="F42" s="16" t="inlineStr">
        <is>
          <t>05:22:26</t>
        </is>
      </c>
      <c r="G42" s="16" t="n">
        <v>94</v>
      </c>
      <c r="H42" s="16" t="n">
        <v>64</v>
      </c>
      <c r="I42" s="35" t="n">
        <v>748.21</v>
      </c>
      <c r="J42" s="16" t="inlineStr">
        <is>
          <t>IBH-27</t>
        </is>
      </c>
      <c r="K42" s="16" t="inlineStr">
        <is>
          <t>U</t>
        </is>
      </c>
      <c r="L42" s="16" t="inlineStr">
        <is>
          <t>Valid</t>
        </is>
      </c>
    </row>
    <row r="43">
      <c r="A43" s="16" t="inlineStr">
        <is>
          <t>29 Jun</t>
        </is>
      </c>
      <c r="B43" s="16" t="inlineStr">
        <is>
          <t>39521</t>
        </is>
      </c>
      <c r="C43" s="16" t="inlineStr">
        <is>
          <t>OS</t>
        </is>
      </c>
      <c r="D43" s="16" t="inlineStr">
        <is>
          <t>SR</t>
        </is>
      </c>
      <c r="E43" s="16" t="inlineStr">
        <is>
          <t>05:22:28</t>
        </is>
      </c>
      <c r="F43" s="16" t="inlineStr">
        <is>
          <t>05:22:28</t>
        </is>
      </c>
      <c r="G43" s="16" t="n">
        <v>0</v>
      </c>
      <c r="H43" s="16" t="n">
        <v>1</v>
      </c>
      <c r="I43" s="35" t="n">
        <v>750.1</v>
      </c>
      <c r="J43" s="16" t="inlineStr">
        <is>
          <t>LC-28</t>
        </is>
      </c>
      <c r="K43" s="16" t="inlineStr">
        <is>
          <t>N</t>
        </is>
      </c>
      <c r="L43" s="16" t="inlineStr">
        <is>
          <t>Valid</t>
        </is>
      </c>
    </row>
    <row r="44">
      <c r="A44" s="31" t="inlineStr">
        <is>
          <t>29 Jun</t>
        </is>
      </c>
      <c r="B44" s="31" t="inlineStr">
        <is>
          <t>37633</t>
        </is>
      </c>
      <c r="C44" s="31" t="inlineStr">
        <is>
          <t>FS</t>
        </is>
      </c>
      <c r="D44" s="31" t="inlineStr">
        <is>
          <t>SR</t>
        </is>
      </c>
      <c r="E44" s="31" t="inlineStr">
        <is>
          <t>05:42:38</t>
        </is>
      </c>
      <c r="F44" s="31" t="inlineStr">
        <is>
          <t>05:43:46</t>
        </is>
      </c>
      <c r="G44" s="31" t="n">
        <v>68</v>
      </c>
      <c r="H44" s="31" t="n">
        <v>37</v>
      </c>
      <c r="I44" s="32" t="n">
        <v>748.2</v>
      </c>
      <c r="J44" s="31" t="inlineStr">
        <is>
          <t>IBH-27</t>
        </is>
      </c>
      <c r="K44" s="31" t="inlineStr">
        <is>
          <t>U</t>
        </is>
      </c>
      <c r="L44" s="31" t="inlineStr">
        <is>
          <t>Non-Valid</t>
        </is>
      </c>
    </row>
    <row r="45">
      <c r="A45" s="16" t="inlineStr">
        <is>
          <t>29 Jun</t>
        </is>
      </c>
      <c r="B45" s="16" t="inlineStr">
        <is>
          <t>37322</t>
        </is>
      </c>
      <c r="C45" s="16" t="inlineStr">
        <is>
          <t>FS</t>
        </is>
      </c>
      <c r="D45" s="16" t="inlineStr">
        <is>
          <t>SR</t>
        </is>
      </c>
      <c r="E45" s="16" t="inlineStr">
        <is>
          <t>05:44:40</t>
        </is>
      </c>
      <c r="F45" s="16" t="inlineStr">
        <is>
          <t>05:44:56</t>
        </is>
      </c>
      <c r="G45" s="16" t="n">
        <v>16</v>
      </c>
      <c r="H45" s="16" t="n">
        <v>12</v>
      </c>
      <c r="I45" s="35" t="n">
        <v>1214.17</v>
      </c>
      <c r="J45" s="16" t="inlineStr">
        <is>
          <t>IBH-247</t>
        </is>
      </c>
      <c r="K45" s="16" t="inlineStr">
        <is>
          <t>U</t>
        </is>
      </c>
      <c r="L45" s="16" t="inlineStr">
        <is>
          <t>Valid</t>
        </is>
      </c>
    </row>
    <row r="46">
      <c r="A46" s="16" t="inlineStr">
        <is>
          <t>29 Jun</t>
        </is>
      </c>
      <c r="B46" s="16" t="inlineStr">
        <is>
          <t>39176</t>
        </is>
      </c>
      <c r="C46" s="16" t="inlineStr">
        <is>
          <t>OS</t>
        </is>
      </c>
      <c r="D46" s="16" t="inlineStr">
        <is>
          <t>SR</t>
        </is>
      </c>
      <c r="E46" s="16" t="inlineStr">
        <is>
          <t>06:47:56</t>
        </is>
      </c>
      <c r="F46" s="16" t="inlineStr">
        <is>
          <t>06:47:56</t>
        </is>
      </c>
      <c r="G46" s="16" t="n">
        <v>0</v>
      </c>
      <c r="H46" s="16" t="n">
        <v>1</v>
      </c>
      <c r="I46" s="35" t="n">
        <v>1242.86</v>
      </c>
      <c r="J46" s="16" t="inlineStr">
        <is>
          <t>IBH 265</t>
        </is>
      </c>
      <c r="K46" s="16" t="inlineStr">
        <is>
          <t>R</t>
        </is>
      </c>
      <c r="L46" s="16" t="inlineStr">
        <is>
          <t>Valid</t>
        </is>
      </c>
    </row>
    <row r="47">
      <c r="A47" s="16" t="inlineStr">
        <is>
          <t>29 Jun</t>
        </is>
      </c>
      <c r="B47" s="16" t="inlineStr">
        <is>
          <t>39176</t>
        </is>
      </c>
      <c r="C47" s="16" t="inlineStr">
        <is>
          <t>FS</t>
        </is>
      </c>
      <c r="D47" s="16" t="inlineStr">
        <is>
          <t>SR</t>
        </is>
      </c>
      <c r="E47" s="16" t="inlineStr">
        <is>
          <t>06:52:14</t>
        </is>
      </c>
      <c r="F47" s="16" t="inlineStr">
        <is>
          <t>06:56:04</t>
        </is>
      </c>
      <c r="G47" s="16" t="n">
        <v>230</v>
      </c>
      <c r="H47" s="16" t="n">
        <v>163</v>
      </c>
      <c r="I47" s="35" t="n">
        <v>1236.72</v>
      </c>
      <c r="J47" s="16" t="inlineStr">
        <is>
          <t>Murhesi Rampur(MSRP)</t>
        </is>
      </c>
      <c r="K47" s="16" t="inlineStr">
        <is>
          <t>U</t>
        </is>
      </c>
      <c r="L47" s="16" t="inlineStr">
        <is>
          <t>Valid</t>
        </is>
      </c>
    </row>
    <row r="48">
      <c r="A48" s="16" t="inlineStr">
        <is>
          <t>29 Jun</t>
        </is>
      </c>
      <c r="B48" s="16" t="inlineStr">
        <is>
          <t>39176</t>
        </is>
      </c>
      <c r="C48" s="16" t="inlineStr">
        <is>
          <t>FS</t>
        </is>
      </c>
      <c r="D48" s="16" t="inlineStr">
        <is>
          <t>SR</t>
        </is>
      </c>
      <c r="E48" s="16" t="inlineStr">
        <is>
          <t>07:21:50</t>
        </is>
      </c>
      <c r="F48" s="16" t="inlineStr">
        <is>
          <t>07:22:34</t>
        </is>
      </c>
      <c r="G48" s="16" t="n">
        <v>44</v>
      </c>
      <c r="H48" s="16" t="n">
        <v>34</v>
      </c>
      <c r="I48" s="35" t="n">
        <v>1207.36</v>
      </c>
      <c r="J48" s="16" t="inlineStr">
        <is>
          <t>IBH-242</t>
        </is>
      </c>
      <c r="K48" s="16" t="inlineStr">
        <is>
          <t>U</t>
        </is>
      </c>
      <c r="L48" s="16" t="inlineStr">
        <is>
          <t>Valid</t>
        </is>
      </c>
    </row>
    <row r="49">
      <c r="A49" s="16" t="inlineStr">
        <is>
          <t>29 Jun</t>
        </is>
      </c>
      <c r="B49" s="16" t="inlineStr">
        <is>
          <t>39176</t>
        </is>
      </c>
      <c r="C49" s="16" t="inlineStr">
        <is>
          <t>OS</t>
        </is>
      </c>
      <c r="D49" s="16" t="inlineStr">
        <is>
          <t>SR</t>
        </is>
      </c>
      <c r="E49" s="16" t="inlineStr">
        <is>
          <t>07:22:36</t>
        </is>
      </c>
      <c r="F49" s="16" t="inlineStr">
        <is>
          <t>07:22:36</t>
        </is>
      </c>
      <c r="G49" s="16" t="n">
        <v>0</v>
      </c>
      <c r="H49" s="16" t="n">
        <v>1</v>
      </c>
      <c r="I49" s="35" t="n">
        <v>1206.41</v>
      </c>
      <c r="J49" s="16" t="inlineStr">
        <is>
          <t>IBH-242</t>
        </is>
      </c>
      <c r="K49" s="16" t="inlineStr">
        <is>
          <t>R</t>
        </is>
      </c>
      <c r="L49" s="16" t="inlineStr">
        <is>
          <t>Valid</t>
        </is>
      </c>
    </row>
    <row r="50">
      <c r="A50" s="16" t="inlineStr">
        <is>
          <t>29 Jun</t>
        </is>
      </c>
      <c r="B50" s="16" t="inlineStr">
        <is>
          <t>39176</t>
        </is>
      </c>
      <c r="C50" s="16" t="inlineStr">
        <is>
          <t>FS</t>
        </is>
      </c>
      <c r="D50" s="16" t="inlineStr">
        <is>
          <t>SR</t>
        </is>
      </c>
      <c r="E50" s="16" t="inlineStr">
        <is>
          <t>07:25:18</t>
        </is>
      </c>
      <c r="F50" s="16" t="inlineStr">
        <is>
          <t>07:26:04</t>
        </is>
      </c>
      <c r="G50" s="16" t="n">
        <v>46</v>
      </c>
      <c r="H50" s="16" t="n">
        <v>28</v>
      </c>
      <c r="I50" s="35" t="n">
        <v>1200.71</v>
      </c>
      <c r="J50" s="16" t="inlineStr">
        <is>
          <t>Sewar(SWAR)</t>
        </is>
      </c>
      <c r="K50" s="16" t="inlineStr">
        <is>
          <t>U</t>
        </is>
      </c>
      <c r="L50" s="16" t="inlineStr">
        <is>
          <t>Valid</t>
        </is>
      </c>
    </row>
    <row r="51">
      <c r="A51" s="16" t="inlineStr">
        <is>
          <t>29 Jun</t>
        </is>
      </c>
      <c r="B51" s="16" t="inlineStr">
        <is>
          <t>39176</t>
        </is>
      </c>
      <c r="C51" s="16" t="inlineStr">
        <is>
          <t>FS</t>
        </is>
      </c>
      <c r="D51" s="16" t="inlineStr">
        <is>
          <t>SR</t>
        </is>
      </c>
      <c r="E51" s="16" t="inlineStr">
        <is>
          <t>07:39:54</t>
        </is>
      </c>
      <c r="F51" s="16" t="inlineStr">
        <is>
          <t>07:40:38</t>
        </is>
      </c>
      <c r="G51" s="16" t="n">
        <v>44</v>
      </c>
      <c r="H51" s="16" t="n">
        <v>25</v>
      </c>
      <c r="I51" s="35" t="n">
        <v>1170.26</v>
      </c>
      <c r="J51" s="16" t="inlineStr">
        <is>
          <t>Bayana Jn.(BXN)</t>
        </is>
      </c>
      <c r="K51" s="16" t="inlineStr">
        <is>
          <t>U</t>
        </is>
      </c>
      <c r="L51" s="16" t="inlineStr">
        <is>
          <t>Valid</t>
        </is>
      </c>
    </row>
    <row r="52">
      <c r="A52" s="16" t="inlineStr">
        <is>
          <t>29 Jun</t>
        </is>
      </c>
      <c r="B52" s="16" t="inlineStr">
        <is>
          <t>37582</t>
        </is>
      </c>
      <c r="C52" s="16" t="inlineStr">
        <is>
          <t>FS</t>
        </is>
      </c>
      <c r="D52" s="16" t="inlineStr">
        <is>
          <t>SR</t>
        </is>
      </c>
      <c r="E52" s="16" t="inlineStr">
        <is>
          <t>08:22:46</t>
        </is>
      </c>
      <c r="F52" s="16" t="inlineStr">
        <is>
          <t>08:26:22</t>
        </is>
      </c>
      <c r="G52" s="16" t="n">
        <v>216</v>
      </c>
      <c r="H52" s="16" t="n">
        <v>156</v>
      </c>
      <c r="I52" s="35" t="n">
        <v>1236.72</v>
      </c>
      <c r="J52" s="16" t="inlineStr">
        <is>
          <t>Murhesi Rampur(MSRP)</t>
        </is>
      </c>
      <c r="K52" s="16" t="inlineStr">
        <is>
          <t>U</t>
        </is>
      </c>
      <c r="L52" s="16" t="inlineStr">
        <is>
          <t>Valid</t>
        </is>
      </c>
    </row>
    <row r="53">
      <c r="A53" s="31" t="inlineStr">
        <is>
          <t>29 Jun</t>
        </is>
      </c>
      <c r="B53" s="31" t="inlineStr">
        <is>
          <t>37366</t>
        </is>
      </c>
      <c r="C53" s="31" t="inlineStr">
        <is>
          <t>FS</t>
        </is>
      </c>
      <c r="D53" s="31" t="inlineStr">
        <is>
          <t>SR</t>
        </is>
      </c>
      <c r="E53" s="31" t="inlineStr">
        <is>
          <t>08:30:18</t>
        </is>
      </c>
      <c r="F53" s="31" t="inlineStr">
        <is>
          <t>08:30:20</t>
        </is>
      </c>
      <c r="G53" s="31" t="n">
        <v>2</v>
      </c>
      <c r="H53" s="31" t="n">
        <v>4</v>
      </c>
      <c r="I53" s="32" t="n">
        <v>930.0599999999999</v>
      </c>
      <c r="J53" s="31" t="inlineStr">
        <is>
          <t>2.75 KM from GQL (LC-113)</t>
        </is>
      </c>
      <c r="K53" s="31" t="inlineStr">
        <is>
          <t>N</t>
        </is>
      </c>
      <c r="L53" s="31" t="inlineStr">
        <is>
          <t>Non-Valid</t>
        </is>
      </c>
    </row>
    <row r="54">
      <c r="A54" s="31" t="inlineStr">
        <is>
          <t>29 Jun</t>
        </is>
      </c>
      <c r="B54" s="31" t="inlineStr">
        <is>
          <t>37366</t>
        </is>
      </c>
      <c r="C54" s="31" t="inlineStr">
        <is>
          <t>OS</t>
        </is>
      </c>
      <c r="D54" s="31" t="inlineStr">
        <is>
          <t>SR</t>
        </is>
      </c>
      <c r="E54" s="31" t="inlineStr">
        <is>
          <t>08:30:28</t>
        </is>
      </c>
      <c r="F54" s="31" t="inlineStr">
        <is>
          <t>08:30:38</t>
        </is>
      </c>
      <c r="G54" s="31" t="n">
        <v>10</v>
      </c>
      <c r="H54" s="31" t="n">
        <v>12</v>
      </c>
      <c r="I54" s="32" t="n">
        <v>930.34</v>
      </c>
      <c r="J54" s="31" t="inlineStr">
        <is>
          <t>KeshoraiPatan(KPTN)</t>
        </is>
      </c>
      <c r="K54" s="31" t="inlineStr">
        <is>
          <t>N</t>
        </is>
      </c>
      <c r="L54" s="31" t="inlineStr">
        <is>
          <t>Non-Valid</t>
        </is>
      </c>
    </row>
    <row r="55">
      <c r="A55" s="16" t="inlineStr">
        <is>
          <t>29 Jun</t>
        </is>
      </c>
      <c r="B55" s="16" t="inlineStr">
        <is>
          <t>37397</t>
        </is>
      </c>
      <c r="C55" s="16" t="inlineStr">
        <is>
          <t>FS</t>
        </is>
      </c>
      <c r="D55" s="16" t="inlineStr">
        <is>
          <t>SR</t>
        </is>
      </c>
      <c r="E55" s="16" t="inlineStr">
        <is>
          <t>08:34:16</t>
        </is>
      </c>
      <c r="F55" s="16" t="inlineStr">
        <is>
          <t>08:34:16</t>
        </is>
      </c>
      <c r="G55" s="16" t="n">
        <v>0</v>
      </c>
      <c r="H55" s="16" t="n">
        <v>1</v>
      </c>
      <c r="I55" s="35" t="n">
        <v>1237.21</v>
      </c>
      <c r="J55" s="16" t="inlineStr">
        <is>
          <t>Murhesi Rampur(MSRP)</t>
        </is>
      </c>
      <c r="K55" s="16" t="inlineStr">
        <is>
          <t>U</t>
        </is>
      </c>
      <c r="L55" s="16" t="inlineStr">
        <is>
          <t>Valid</t>
        </is>
      </c>
    </row>
    <row r="56">
      <c r="A56" s="16" t="inlineStr">
        <is>
          <t>29 Jun</t>
        </is>
      </c>
      <c r="B56" s="16" t="inlineStr">
        <is>
          <t>37397</t>
        </is>
      </c>
      <c r="C56" s="16" t="inlineStr">
        <is>
          <t>FS</t>
        </is>
      </c>
      <c r="D56" s="16" t="inlineStr">
        <is>
          <t>SR</t>
        </is>
      </c>
      <c r="E56" s="16" t="inlineStr">
        <is>
          <t>08:34:18</t>
        </is>
      </c>
      <c r="F56" s="16" t="inlineStr">
        <is>
          <t>08:38:04</t>
        </is>
      </c>
      <c r="G56" s="16" t="n">
        <v>226</v>
      </c>
      <c r="H56" s="16" t="n">
        <v>137</v>
      </c>
      <c r="I56" s="35" t="n">
        <v>1236.72</v>
      </c>
      <c r="J56" s="16" t="inlineStr">
        <is>
          <t>Murhesi Rampur(MSRP)</t>
        </is>
      </c>
      <c r="K56" s="16" t="inlineStr">
        <is>
          <t>U</t>
        </is>
      </c>
      <c r="L56" s="16" t="inlineStr">
        <is>
          <t>Valid</t>
        </is>
      </c>
    </row>
    <row r="57">
      <c r="A57" s="31" t="inlineStr">
        <is>
          <t>29 Jun</t>
        </is>
      </c>
      <c r="B57" s="31" t="inlineStr">
        <is>
          <t>39552</t>
        </is>
      </c>
      <c r="C57" s="31" t="inlineStr">
        <is>
          <t>FS</t>
        </is>
      </c>
      <c r="D57" s="31" t="inlineStr">
        <is>
          <t>SR</t>
        </is>
      </c>
      <c r="E57" s="31" t="inlineStr">
        <is>
          <t>08:36:14</t>
        </is>
      </c>
      <c r="F57" s="31" t="inlineStr">
        <is>
          <t>08:36:14</t>
        </is>
      </c>
      <c r="G57" s="31" t="n">
        <v>0</v>
      </c>
      <c r="H57" s="31" t="n">
        <v>1</v>
      </c>
      <c r="I57" s="32" t="n">
        <v>1069.01</v>
      </c>
      <c r="J57" s="31" t="inlineStr">
        <is>
          <t>IBH-171</t>
        </is>
      </c>
      <c r="K57" s="31" t="inlineStr">
        <is>
          <t>R</t>
        </is>
      </c>
      <c r="L57" s="31" t="inlineStr">
        <is>
          <t>Non-Valid</t>
        </is>
      </c>
    </row>
    <row r="58">
      <c r="A58" s="31" t="inlineStr">
        <is>
          <t>29 Jun</t>
        </is>
      </c>
      <c r="B58" s="31" t="inlineStr">
        <is>
          <t>39552</t>
        </is>
      </c>
      <c r="C58" s="31" t="inlineStr">
        <is>
          <t>FS</t>
        </is>
      </c>
      <c r="D58" s="31" t="inlineStr">
        <is>
          <t>SR</t>
        </is>
      </c>
      <c r="E58" s="31" t="inlineStr">
        <is>
          <t>08:36:16</t>
        </is>
      </c>
      <c r="F58" s="31" t="inlineStr">
        <is>
          <t>08:36:32</t>
        </is>
      </c>
      <c r="G58" s="31" t="n">
        <v>16</v>
      </c>
      <c r="H58" s="31" t="n">
        <v>18</v>
      </c>
      <c r="I58" s="32" t="n">
        <v>1068.94</v>
      </c>
      <c r="J58" s="31" t="inlineStr">
        <is>
          <t>IBH-171</t>
        </is>
      </c>
      <c r="K58" s="31" t="inlineStr">
        <is>
          <t>R</t>
        </is>
      </c>
      <c r="L58" s="31" t="inlineStr">
        <is>
          <t>Non-Valid</t>
        </is>
      </c>
    </row>
    <row r="59">
      <c r="A59" s="16" t="inlineStr">
        <is>
          <t>29 Jun</t>
        </is>
      </c>
      <c r="B59" s="16" t="inlineStr">
        <is>
          <t>39521</t>
        </is>
      </c>
      <c r="C59" s="16" t="inlineStr">
        <is>
          <t>FS</t>
        </is>
      </c>
      <c r="D59" s="16" t="inlineStr">
        <is>
          <t>SR</t>
        </is>
      </c>
      <c r="E59" s="16" t="inlineStr">
        <is>
          <t>08:36:42</t>
        </is>
      </c>
      <c r="F59" s="16" t="inlineStr">
        <is>
          <t>08:38:26</t>
        </is>
      </c>
      <c r="G59" s="16" t="n">
        <v>104</v>
      </c>
      <c r="H59" s="16" t="n">
        <v>54</v>
      </c>
      <c r="I59" s="35" t="n">
        <v>1091.49</v>
      </c>
      <c r="J59" s="16" t="inlineStr">
        <is>
          <t>Gangapur City(GGC)</t>
        </is>
      </c>
      <c r="K59" s="16" t="inlineStr">
        <is>
          <t>U</t>
        </is>
      </c>
      <c r="L59" s="16" t="inlineStr">
        <is>
          <t>Valid</t>
        </is>
      </c>
    </row>
    <row r="60">
      <c r="A60" s="16" t="inlineStr">
        <is>
          <t>29 Jun</t>
        </is>
      </c>
      <c r="B60" s="16" t="inlineStr">
        <is>
          <t>39176</t>
        </is>
      </c>
      <c r="C60" s="16" t="inlineStr">
        <is>
          <t>FS</t>
        </is>
      </c>
      <c r="D60" s="16" t="inlineStr">
        <is>
          <t>SR</t>
        </is>
      </c>
      <c r="E60" s="16" t="inlineStr">
        <is>
          <t>08:54:08</t>
        </is>
      </c>
      <c r="F60" s="16" t="inlineStr">
        <is>
          <t>08:54:50</t>
        </is>
      </c>
      <c r="G60" s="16" t="n">
        <v>42</v>
      </c>
      <c r="H60" s="16" t="n">
        <v>22</v>
      </c>
      <c r="I60" s="35" t="n">
        <v>1048.3</v>
      </c>
      <c r="J60" s="16" t="inlineStr">
        <is>
          <t>Makholi(MXL)</t>
        </is>
      </c>
      <c r="K60" s="16" t="inlineStr">
        <is>
          <t>U</t>
        </is>
      </c>
      <c r="L60" s="16" t="inlineStr">
        <is>
          <t>Valid</t>
        </is>
      </c>
    </row>
    <row r="61">
      <c r="A61" s="31" t="inlineStr">
        <is>
          <t>29 Jun</t>
        </is>
      </c>
      <c r="B61" s="31" t="inlineStr">
        <is>
          <t>37184</t>
        </is>
      </c>
      <c r="C61" s="31" t="inlineStr">
        <is>
          <t>FS</t>
        </is>
      </c>
      <c r="D61" s="31" t="inlineStr">
        <is>
          <t>SR</t>
        </is>
      </c>
      <c r="E61" s="31" t="inlineStr">
        <is>
          <t>09:26:24</t>
        </is>
      </c>
      <c r="F61" s="31" t="inlineStr">
        <is>
          <t>09:26:34</t>
        </is>
      </c>
      <c r="G61" s="31" t="n">
        <v>10</v>
      </c>
      <c r="H61" s="31" t="n">
        <v>11</v>
      </c>
      <c r="I61" s="32" t="n">
        <v>942.22</v>
      </c>
      <c r="J61" s="31" t="inlineStr">
        <is>
          <t>LC-120</t>
        </is>
      </c>
      <c r="K61" s="31" t="inlineStr">
        <is>
          <t>R</t>
        </is>
      </c>
      <c r="L61" s="31" t="inlineStr">
        <is>
          <t>Non-Valid</t>
        </is>
      </c>
    </row>
    <row r="62">
      <c r="A62" s="31" t="inlineStr">
        <is>
          <t>29 Jun</t>
        </is>
      </c>
      <c r="B62" s="31" t="inlineStr">
        <is>
          <t>39552</t>
        </is>
      </c>
      <c r="C62" s="31" t="inlineStr">
        <is>
          <t>FS</t>
        </is>
      </c>
      <c r="D62" s="31" t="inlineStr">
        <is>
          <t>SR</t>
        </is>
      </c>
      <c r="E62" s="31" t="inlineStr">
        <is>
          <t>09:48:42</t>
        </is>
      </c>
      <c r="F62" s="31" t="inlineStr">
        <is>
          <t>09:48:42</t>
        </is>
      </c>
      <c r="G62" s="31" t="n">
        <v>0</v>
      </c>
      <c r="H62" s="31" t="n">
        <v>1</v>
      </c>
      <c r="I62" s="32" t="n">
        <v>943.73</v>
      </c>
      <c r="J62" s="31" t="inlineStr">
        <is>
          <t>LC-120</t>
        </is>
      </c>
      <c r="K62" s="31" t="inlineStr">
        <is>
          <t>R</t>
        </is>
      </c>
      <c r="L62" s="31" t="inlineStr">
        <is>
          <t>Non-Valid</t>
        </is>
      </c>
    </row>
    <row r="63">
      <c r="A63" s="31" t="inlineStr">
        <is>
          <t>29 Jun</t>
        </is>
      </c>
      <c r="B63" s="31" t="inlineStr">
        <is>
          <t>39552</t>
        </is>
      </c>
      <c r="C63" s="31" t="inlineStr">
        <is>
          <t>FS</t>
        </is>
      </c>
      <c r="D63" s="31" t="inlineStr">
        <is>
          <t>SR</t>
        </is>
      </c>
      <c r="E63" s="31" t="inlineStr">
        <is>
          <t>09:48:42</t>
        </is>
      </c>
      <c r="F63" s="31" t="inlineStr">
        <is>
          <t>09:48:46</t>
        </is>
      </c>
      <c r="G63" s="31" t="n">
        <v>4</v>
      </c>
      <c r="H63" s="31" t="n">
        <v>5</v>
      </c>
      <c r="I63" s="32" t="n">
        <v>943.71</v>
      </c>
      <c r="J63" s="31" t="inlineStr">
        <is>
          <t>LC-120</t>
        </is>
      </c>
      <c r="K63" s="31" t="inlineStr">
        <is>
          <t>R</t>
        </is>
      </c>
      <c r="L63" s="31" t="inlineStr">
        <is>
          <t>Non-Valid</t>
        </is>
      </c>
    </row>
    <row r="64">
      <c r="A64" s="16" t="inlineStr">
        <is>
          <t>29 Jun</t>
        </is>
      </c>
      <c r="B64" s="16" t="inlineStr">
        <is>
          <t>39176</t>
        </is>
      </c>
      <c r="C64" s="16" t="inlineStr">
        <is>
          <t>FS</t>
        </is>
      </c>
      <c r="D64" s="16" t="inlineStr">
        <is>
          <t>SR</t>
        </is>
      </c>
      <c r="E64" s="16" t="inlineStr">
        <is>
          <t>09:58:10</t>
        </is>
      </c>
      <c r="F64" s="16" t="inlineStr">
        <is>
          <t>09:59:04</t>
        </is>
      </c>
      <c r="G64" s="16" t="n">
        <v>54</v>
      </c>
      <c r="H64" s="16" t="n">
        <v>20</v>
      </c>
      <c r="I64" s="35" t="n">
        <v>956.72</v>
      </c>
      <c r="J64" s="16" t="inlineStr">
        <is>
          <t>LC-128</t>
        </is>
      </c>
      <c r="K64" s="16" t="inlineStr">
        <is>
          <t>U</t>
        </is>
      </c>
      <c r="L64" s="16" t="inlineStr">
        <is>
          <t>Valid</t>
        </is>
      </c>
    </row>
    <row r="65">
      <c r="A65" s="16" t="inlineStr">
        <is>
          <t>29 Jun</t>
        </is>
      </c>
      <c r="B65" s="16" t="inlineStr">
        <is>
          <t>39176</t>
        </is>
      </c>
      <c r="C65" s="16" t="inlineStr">
        <is>
          <t>OS</t>
        </is>
      </c>
      <c r="D65" s="16" t="inlineStr">
        <is>
          <t>SR</t>
        </is>
      </c>
      <c r="E65" s="16" t="inlineStr">
        <is>
          <t>09:59:06</t>
        </is>
      </c>
      <c r="F65" s="16" t="inlineStr">
        <is>
          <t>09:59:06</t>
        </is>
      </c>
      <c r="G65" s="16" t="n">
        <v>0</v>
      </c>
      <c r="H65" s="16" t="n">
        <v>1</v>
      </c>
      <c r="I65" s="35" t="n">
        <v>956.42</v>
      </c>
      <c r="J65" s="16" t="inlineStr">
        <is>
          <t>LC-128</t>
        </is>
      </c>
      <c r="K65" s="16" t="inlineStr">
        <is>
          <t>R</t>
        </is>
      </c>
      <c r="L65" s="16" t="inlineStr">
        <is>
          <t>Valid</t>
        </is>
      </c>
    </row>
    <row r="66">
      <c r="A66" s="31" t="inlineStr">
        <is>
          <t>29 Jun</t>
        </is>
      </c>
      <c r="B66" s="31" t="inlineStr">
        <is>
          <t>37131</t>
        </is>
      </c>
      <c r="C66" s="31" t="inlineStr">
        <is>
          <t>FS</t>
        </is>
      </c>
      <c r="D66" s="31" t="inlineStr">
        <is>
          <t>SR</t>
        </is>
      </c>
      <c r="E66" s="31" t="inlineStr">
        <is>
          <t>10:29:18</t>
        </is>
      </c>
      <c r="F66" s="31" t="inlineStr">
        <is>
          <t>10:30:28</t>
        </is>
      </c>
      <c r="G66" s="31" t="n">
        <v>70</v>
      </c>
      <c r="H66" s="31" t="n">
        <v>38</v>
      </c>
      <c r="I66" s="32" t="n">
        <v>748.22</v>
      </c>
      <c r="J66" s="31" t="inlineStr">
        <is>
          <t>IBH-27</t>
        </is>
      </c>
      <c r="K66" s="31" t="inlineStr">
        <is>
          <t>U</t>
        </is>
      </c>
      <c r="L66" s="31" t="inlineStr">
        <is>
          <t>Non-Valid</t>
        </is>
      </c>
    </row>
    <row r="67">
      <c r="A67" s="16" t="inlineStr">
        <is>
          <t>29 Jun</t>
        </is>
      </c>
      <c r="B67" s="16" t="inlineStr">
        <is>
          <t>37266</t>
        </is>
      </c>
      <c r="C67" s="16" t="inlineStr">
        <is>
          <t>FS</t>
        </is>
      </c>
      <c r="D67" s="16" t="inlineStr">
        <is>
          <t>SR</t>
        </is>
      </c>
      <c r="E67" s="16" t="inlineStr">
        <is>
          <t>10:41:12</t>
        </is>
      </c>
      <c r="F67" s="16" t="inlineStr">
        <is>
          <t>10:41:16</t>
        </is>
      </c>
      <c r="G67" s="16" t="n">
        <v>4</v>
      </c>
      <c r="H67" s="16" t="n">
        <v>6</v>
      </c>
      <c r="I67" s="35" t="n">
        <v>933.48</v>
      </c>
      <c r="J67" s="16" t="inlineStr">
        <is>
          <t>KeshoraiPatan(KPTN)</t>
        </is>
      </c>
      <c r="K67" s="16" t="inlineStr">
        <is>
          <t>R</t>
        </is>
      </c>
      <c r="L67" s="16" t="inlineStr">
        <is>
          <t>Valid</t>
        </is>
      </c>
    </row>
    <row r="68">
      <c r="A68" s="16" t="inlineStr">
        <is>
          <t>29 Jun</t>
        </is>
      </c>
      <c r="B68" s="16" t="inlineStr">
        <is>
          <t>37582</t>
        </is>
      </c>
      <c r="C68" s="16" t="inlineStr">
        <is>
          <t>FS</t>
        </is>
      </c>
      <c r="D68" s="16" t="inlineStr">
        <is>
          <t>SR</t>
        </is>
      </c>
      <c r="E68" s="16" t="inlineStr">
        <is>
          <t>10:50:16</t>
        </is>
      </c>
      <c r="F68" s="16" t="inlineStr">
        <is>
          <t>10:50:16</t>
        </is>
      </c>
      <c r="G68" s="16" t="n">
        <v>0</v>
      </c>
      <c r="H68" s="16" t="n">
        <v>1</v>
      </c>
      <c r="I68" s="35" t="n">
        <v>1071.08</v>
      </c>
      <c r="J68" s="16" t="inlineStr">
        <is>
          <t>IBH-171</t>
        </is>
      </c>
      <c r="K68" s="16" t="inlineStr">
        <is>
          <t>R</t>
        </is>
      </c>
      <c r="L68" s="16" t="inlineStr">
        <is>
          <t>Valid</t>
        </is>
      </c>
    </row>
    <row r="69">
      <c r="A69" s="16" t="inlineStr">
        <is>
          <t>29 Jun</t>
        </is>
      </c>
      <c r="B69" s="16" t="inlineStr">
        <is>
          <t>37582</t>
        </is>
      </c>
      <c r="C69" s="16" t="inlineStr">
        <is>
          <t>OS</t>
        </is>
      </c>
      <c r="D69" s="16" t="inlineStr">
        <is>
          <t>SR</t>
        </is>
      </c>
      <c r="E69" s="16" t="inlineStr">
        <is>
          <t>10:50:18</t>
        </is>
      </c>
      <c r="F69" s="16" t="inlineStr">
        <is>
          <t>10:50:18</t>
        </is>
      </c>
      <c r="G69" s="16" t="n">
        <v>0</v>
      </c>
      <c r="H69" s="16" t="n">
        <v>1</v>
      </c>
      <c r="I69" s="35" t="n">
        <v>1071.06</v>
      </c>
      <c r="J69" s="16" t="inlineStr">
        <is>
          <t>IBH-171</t>
        </is>
      </c>
      <c r="K69" s="16" t="inlineStr">
        <is>
          <t>R</t>
        </is>
      </c>
      <c r="L69" s="16" t="inlineStr">
        <is>
          <t>Valid</t>
        </is>
      </c>
    </row>
    <row r="70">
      <c r="A70" s="16" t="inlineStr">
        <is>
          <t>29 Jun</t>
        </is>
      </c>
      <c r="B70" s="16" t="inlineStr">
        <is>
          <t>37582</t>
        </is>
      </c>
      <c r="C70" s="16" t="inlineStr">
        <is>
          <t>OS</t>
        </is>
      </c>
      <c r="D70" s="16" t="inlineStr">
        <is>
          <t>SR</t>
        </is>
      </c>
      <c r="E70" s="16" t="inlineStr">
        <is>
          <t>10:50:44</t>
        </is>
      </c>
      <c r="F70" s="16" t="inlineStr">
        <is>
          <t>10:50:44</t>
        </is>
      </c>
      <c r="G70" s="16" t="n">
        <v>0</v>
      </c>
      <c r="H70" s="16" t="n">
        <v>1</v>
      </c>
      <c r="I70" s="35" t="n">
        <v>1070.1</v>
      </c>
      <c r="J70" s="16" t="inlineStr">
        <is>
          <t>IBH-171</t>
        </is>
      </c>
      <c r="K70" s="16" t="inlineStr">
        <is>
          <t>R</t>
        </is>
      </c>
      <c r="L70" s="16" t="inlineStr">
        <is>
          <t>Valid</t>
        </is>
      </c>
    </row>
    <row r="71">
      <c r="A71" s="16" t="inlineStr">
        <is>
          <t>29 Jun</t>
        </is>
      </c>
      <c r="B71" s="16" t="inlineStr">
        <is>
          <t>37582</t>
        </is>
      </c>
      <c r="C71" s="16" t="inlineStr">
        <is>
          <t>OS</t>
        </is>
      </c>
      <c r="D71" s="16" t="inlineStr">
        <is>
          <t>SR</t>
        </is>
      </c>
      <c r="E71" s="16" t="inlineStr">
        <is>
          <t>10:50:46</t>
        </is>
      </c>
      <c r="F71" s="16" t="inlineStr">
        <is>
          <t>10:50:46</t>
        </is>
      </c>
      <c r="G71" s="16" t="n">
        <v>0</v>
      </c>
      <c r="H71" s="16" t="n">
        <v>2</v>
      </c>
      <c r="I71" s="35" t="n">
        <v>1070.01</v>
      </c>
      <c r="J71" s="16" t="inlineStr">
        <is>
          <t>IBH-171</t>
        </is>
      </c>
      <c r="K71" s="16" t="inlineStr">
        <is>
          <t>R</t>
        </is>
      </c>
      <c r="L71" s="16" t="inlineStr">
        <is>
          <t>Valid</t>
        </is>
      </c>
    </row>
    <row r="72">
      <c r="A72" s="16" t="inlineStr">
        <is>
          <t>29 Jun</t>
        </is>
      </c>
      <c r="B72" s="16" t="inlineStr">
        <is>
          <t>37582</t>
        </is>
      </c>
      <c r="C72" s="16" t="inlineStr">
        <is>
          <t>OS</t>
        </is>
      </c>
      <c r="D72" s="16" t="inlineStr">
        <is>
          <t>SR</t>
        </is>
      </c>
      <c r="E72" s="16" t="inlineStr">
        <is>
          <t>10:50:48</t>
        </is>
      </c>
      <c r="F72" s="16" t="inlineStr">
        <is>
          <t>10:50:48</t>
        </is>
      </c>
      <c r="G72" s="16" t="n">
        <v>0</v>
      </c>
      <c r="H72" s="16" t="n">
        <v>1</v>
      </c>
      <c r="I72" s="35" t="n">
        <v>1069.99</v>
      </c>
      <c r="J72" s="16" t="inlineStr">
        <is>
          <t>IBH-171</t>
        </is>
      </c>
      <c r="K72" s="16" t="inlineStr">
        <is>
          <t>R</t>
        </is>
      </c>
      <c r="L72" s="16" t="inlineStr">
        <is>
          <t>Valid</t>
        </is>
      </c>
    </row>
    <row r="73">
      <c r="A73" s="16" t="inlineStr">
        <is>
          <t>29 Jun</t>
        </is>
      </c>
      <c r="B73" s="16" t="inlineStr">
        <is>
          <t>37582</t>
        </is>
      </c>
      <c r="C73" s="16" t="inlineStr">
        <is>
          <t>OS</t>
        </is>
      </c>
      <c r="D73" s="16" t="inlineStr">
        <is>
          <t>SR</t>
        </is>
      </c>
      <c r="E73" s="16" t="inlineStr">
        <is>
          <t>10:51:14</t>
        </is>
      </c>
      <c r="F73" s="16" t="inlineStr">
        <is>
          <t>10:51:14</t>
        </is>
      </c>
      <c r="G73" s="16" t="n">
        <v>0</v>
      </c>
      <c r="H73" s="16" t="n">
        <v>1</v>
      </c>
      <c r="I73" s="35" t="n">
        <v>1069.02</v>
      </c>
      <c r="J73" s="16" t="inlineStr">
        <is>
          <t>IBH-171</t>
        </is>
      </c>
      <c r="K73" s="16" t="inlineStr">
        <is>
          <t>R</t>
        </is>
      </c>
      <c r="L73" s="16" t="inlineStr">
        <is>
          <t>Valid</t>
        </is>
      </c>
    </row>
    <row r="74">
      <c r="A74" s="16" t="inlineStr">
        <is>
          <t>29 Jun</t>
        </is>
      </c>
      <c r="B74" s="16" t="inlineStr">
        <is>
          <t>37582</t>
        </is>
      </c>
      <c r="C74" s="16" t="inlineStr">
        <is>
          <t>OS</t>
        </is>
      </c>
      <c r="D74" s="16" t="inlineStr">
        <is>
          <t>SR</t>
        </is>
      </c>
      <c r="E74" s="16" t="inlineStr">
        <is>
          <t>10:51:16</t>
        </is>
      </c>
      <c r="F74" s="16" t="inlineStr">
        <is>
          <t>10:51:16</t>
        </is>
      </c>
      <c r="G74" s="16" t="n">
        <v>0</v>
      </c>
      <c r="H74" s="16" t="n">
        <v>2</v>
      </c>
      <c r="I74" s="35" t="n">
        <v>1068.96</v>
      </c>
      <c r="J74" s="16" t="inlineStr">
        <is>
          <t>IBH-171</t>
        </is>
      </c>
      <c r="K74" s="16" t="inlineStr">
        <is>
          <t>R</t>
        </is>
      </c>
      <c r="L74" s="16" t="inlineStr">
        <is>
          <t>Valid</t>
        </is>
      </c>
    </row>
    <row r="75">
      <c r="A75" s="16" t="inlineStr">
        <is>
          <t>29 Jun</t>
        </is>
      </c>
      <c r="B75" s="16" t="inlineStr">
        <is>
          <t>37582</t>
        </is>
      </c>
      <c r="C75" s="16" t="inlineStr">
        <is>
          <t>OS</t>
        </is>
      </c>
      <c r="D75" s="16" t="inlineStr">
        <is>
          <t>SR</t>
        </is>
      </c>
      <c r="E75" s="16" t="inlineStr">
        <is>
          <t>10:51:18</t>
        </is>
      </c>
      <c r="F75" s="16" t="inlineStr">
        <is>
          <t>10:51:18</t>
        </is>
      </c>
      <c r="G75" s="16" t="n">
        <v>0</v>
      </c>
      <c r="H75" s="16" t="n">
        <v>1</v>
      </c>
      <c r="I75" s="35" t="n">
        <v>1068.92</v>
      </c>
      <c r="J75" s="16" t="inlineStr">
        <is>
          <t>IBH-171</t>
        </is>
      </c>
      <c r="K75" s="16" t="inlineStr">
        <is>
          <t>R</t>
        </is>
      </c>
      <c r="L75" s="16" t="inlineStr">
        <is>
          <t>Valid</t>
        </is>
      </c>
    </row>
    <row r="76">
      <c r="A76" s="16" t="inlineStr">
        <is>
          <t>29 Jun</t>
        </is>
      </c>
      <c r="B76" s="16" t="inlineStr">
        <is>
          <t>37266</t>
        </is>
      </c>
      <c r="C76" s="16" t="inlineStr">
        <is>
          <t>FS</t>
        </is>
      </c>
      <c r="D76" s="16" t="inlineStr">
        <is>
          <t>LS</t>
        </is>
      </c>
      <c r="E76" s="16" t="inlineStr">
        <is>
          <t>11:14:46</t>
        </is>
      </c>
      <c r="F76" s="16" t="inlineStr">
        <is>
          <t>11:14:46</t>
        </is>
      </c>
      <c r="G76" s="16" t="n">
        <v>0</v>
      </c>
      <c r="H76" s="16" t="n">
        <v>1</v>
      </c>
      <c r="I76" s="35" t="n">
        <v>907.27</v>
      </c>
      <c r="J76" s="16" t="inlineStr">
        <is>
          <t>Dadhdevi(DDV)</t>
        </is>
      </c>
      <c r="K76" s="16" t="inlineStr">
        <is>
          <t>R</t>
        </is>
      </c>
      <c r="L76" s="16" t="inlineStr">
        <is>
          <t>Valid</t>
        </is>
      </c>
    </row>
    <row r="77">
      <c r="A77" s="16" t="inlineStr">
        <is>
          <t>29 Jun</t>
        </is>
      </c>
      <c r="B77" s="16" t="inlineStr">
        <is>
          <t>37266</t>
        </is>
      </c>
      <c r="C77" s="16" t="inlineStr">
        <is>
          <t>FS</t>
        </is>
      </c>
      <c r="D77" s="16" t="inlineStr">
        <is>
          <t>LS</t>
        </is>
      </c>
      <c r="E77" s="16" t="inlineStr">
        <is>
          <t>11:14:48</t>
        </is>
      </c>
      <c r="F77" s="16" t="inlineStr">
        <is>
          <t>11:17:02</t>
        </is>
      </c>
      <c r="G77" s="16" t="n">
        <v>134</v>
      </c>
      <c r="H77" s="16" t="n">
        <v>103</v>
      </c>
      <c r="I77" s="35" t="n">
        <v>907.21</v>
      </c>
      <c r="J77" s="16" t="inlineStr">
        <is>
          <t>Dadhdevi(DDV)</t>
        </is>
      </c>
      <c r="K77" s="16" t="inlineStr">
        <is>
          <t>R</t>
        </is>
      </c>
      <c r="L77" s="16" t="inlineStr">
        <is>
          <t>Valid</t>
        </is>
      </c>
    </row>
    <row r="78">
      <c r="A78" s="16" t="inlineStr">
        <is>
          <t>29 Jun</t>
        </is>
      </c>
      <c r="B78" s="16" t="inlineStr">
        <is>
          <t>37266</t>
        </is>
      </c>
      <c r="C78" s="16" t="inlineStr">
        <is>
          <t>OS</t>
        </is>
      </c>
      <c r="D78" s="16" t="inlineStr">
        <is>
          <t>LS</t>
        </is>
      </c>
      <c r="E78" s="16" t="inlineStr">
        <is>
          <t>11:17:04</t>
        </is>
      </c>
      <c r="F78" s="16" t="inlineStr">
        <is>
          <t>11:17:04</t>
        </is>
      </c>
      <c r="G78" s="16" t="n">
        <v>0</v>
      </c>
      <c r="H78" s="16" t="n">
        <v>1</v>
      </c>
      <c r="I78" s="35" t="n">
        <v>902.4</v>
      </c>
      <c r="J78" s="16" t="inlineStr">
        <is>
          <t>ALNI/DDV</t>
        </is>
      </c>
      <c r="K78" s="16" t="inlineStr">
        <is>
          <t>R</t>
        </is>
      </c>
      <c r="L78" s="16" t="inlineStr">
        <is>
          <t>Valid</t>
        </is>
      </c>
    </row>
    <row r="79">
      <c r="A79" s="16" t="inlineStr">
        <is>
          <t>29 Jun</t>
        </is>
      </c>
      <c r="B79" s="16" t="inlineStr">
        <is>
          <t>37266</t>
        </is>
      </c>
      <c r="C79" s="16" t="inlineStr">
        <is>
          <t>FS</t>
        </is>
      </c>
      <c r="D79" s="16" t="inlineStr">
        <is>
          <t>LS</t>
        </is>
      </c>
      <c r="E79" s="16" t="inlineStr">
        <is>
          <t>11:26:22</t>
        </is>
      </c>
      <c r="F79" s="16" t="inlineStr">
        <is>
          <t>11:29:16</t>
        </is>
      </c>
      <c r="G79" s="16" t="n">
        <v>174</v>
      </c>
      <c r="H79" s="16" t="n">
        <v>145</v>
      </c>
      <c r="I79" s="35" t="n">
        <v>882.41</v>
      </c>
      <c r="J79" s="16" t="inlineStr">
        <is>
          <t>IBH-95(7.25KM FROM DARA)</t>
        </is>
      </c>
      <c r="K79" s="16" t="inlineStr">
        <is>
          <t>R</t>
        </is>
      </c>
      <c r="L79" s="16" t="inlineStr">
        <is>
          <t>Valid</t>
        </is>
      </c>
    </row>
    <row r="80">
      <c r="A80" s="16" t="inlineStr">
        <is>
          <t>29 Jun</t>
        </is>
      </c>
      <c r="B80" s="16" t="inlineStr">
        <is>
          <t>39176</t>
        </is>
      </c>
      <c r="C80" s="16" t="inlineStr">
        <is>
          <t>FS</t>
        </is>
      </c>
      <c r="D80" s="16" t="inlineStr">
        <is>
          <t>SR</t>
        </is>
      </c>
      <c r="E80" s="16" t="inlineStr">
        <is>
          <t>11:27:58</t>
        </is>
      </c>
      <c r="F80" s="16" t="inlineStr">
        <is>
          <t>11:28:34</t>
        </is>
      </c>
      <c r="G80" s="16" t="n">
        <v>36</v>
      </c>
      <c r="H80" s="16" t="n">
        <v>19</v>
      </c>
      <c r="I80" s="35" t="n">
        <v>854.42</v>
      </c>
      <c r="J80" s="16" t="inlineStr">
        <is>
          <t>IBH RMA-MKX</t>
        </is>
      </c>
      <c r="K80" s="16" t="inlineStr">
        <is>
          <t>U</t>
        </is>
      </c>
      <c r="L80" s="16" t="inlineStr">
        <is>
          <t>Valid</t>
        </is>
      </c>
    </row>
    <row r="81">
      <c r="A81" s="16" t="inlineStr">
        <is>
          <t>29 Jun</t>
        </is>
      </c>
      <c r="B81" s="16" t="inlineStr">
        <is>
          <t>39176</t>
        </is>
      </c>
      <c r="C81" s="16" t="inlineStr">
        <is>
          <t>OS</t>
        </is>
      </c>
      <c r="D81" s="16" t="inlineStr">
        <is>
          <t>SR</t>
        </is>
      </c>
      <c r="E81" s="16" t="inlineStr">
        <is>
          <t>11:28:36</t>
        </is>
      </c>
      <c r="F81" s="16" t="inlineStr">
        <is>
          <t>11:28:36</t>
        </is>
      </c>
      <c r="G81" s="16" t="n">
        <v>0</v>
      </c>
      <c r="H81" s="16" t="n">
        <v>1</v>
      </c>
      <c r="I81" s="35" t="n">
        <v>854.12</v>
      </c>
      <c r="J81" s="16" t="inlineStr">
        <is>
          <t>IBH RMA-MKX</t>
        </is>
      </c>
      <c r="K81" s="16" t="inlineStr">
        <is>
          <t>R</t>
        </is>
      </c>
      <c r="L81" s="16" t="inlineStr">
        <is>
          <t>Valid</t>
        </is>
      </c>
    </row>
    <row r="82">
      <c r="A82" s="16" t="inlineStr">
        <is>
          <t>29 Jun</t>
        </is>
      </c>
      <c r="B82" s="16" t="inlineStr">
        <is>
          <t>37266</t>
        </is>
      </c>
      <c r="C82" s="16" t="inlineStr">
        <is>
          <t>FS</t>
        </is>
      </c>
      <c r="D82" s="16" t="inlineStr">
        <is>
          <t>SR</t>
        </is>
      </c>
      <c r="E82" s="16" t="inlineStr">
        <is>
          <t>11:33:48</t>
        </is>
      </c>
      <c r="F82" s="16" t="inlineStr">
        <is>
          <t>11:33:48</t>
        </is>
      </c>
      <c r="G82" s="16" t="n">
        <v>0</v>
      </c>
      <c r="H82" s="16" t="n">
        <v>1</v>
      </c>
      <c r="I82" s="35" t="n">
        <v>869.91</v>
      </c>
      <c r="J82" s="16" t="inlineStr">
        <is>
          <t>IBH KIW-DARA</t>
        </is>
      </c>
      <c r="K82" s="16" t="inlineStr">
        <is>
          <t>R</t>
        </is>
      </c>
      <c r="L82" s="16" t="inlineStr">
        <is>
          <t>Valid</t>
        </is>
      </c>
    </row>
    <row r="83">
      <c r="A83" s="16" t="inlineStr">
        <is>
          <t>29 Jun</t>
        </is>
      </c>
      <c r="B83" s="16" t="inlineStr">
        <is>
          <t>37266</t>
        </is>
      </c>
      <c r="C83" s="16" t="inlineStr">
        <is>
          <t>OS</t>
        </is>
      </c>
      <c r="D83" s="16" t="inlineStr">
        <is>
          <t>SR</t>
        </is>
      </c>
      <c r="E83" s="16" t="inlineStr">
        <is>
          <t>11:33:50</t>
        </is>
      </c>
      <c r="F83" s="16" t="inlineStr">
        <is>
          <t>11:33:50</t>
        </is>
      </c>
      <c r="G83" s="16" t="n">
        <v>0</v>
      </c>
      <c r="H83" s="16" t="n">
        <v>1</v>
      </c>
      <c r="I83" s="35" t="n">
        <v>869.89</v>
      </c>
      <c r="J83" s="16" t="inlineStr">
        <is>
          <t>IBH KIW-DARA</t>
        </is>
      </c>
      <c r="K83" s="16" t="inlineStr">
        <is>
          <t>R</t>
        </is>
      </c>
      <c r="L83" s="16" t="inlineStr">
        <is>
          <t>Valid</t>
        </is>
      </c>
    </row>
    <row r="84">
      <c r="A84" s="16" t="inlineStr">
        <is>
          <t>29 Jun</t>
        </is>
      </c>
      <c r="B84" s="16" t="inlineStr">
        <is>
          <t>37266</t>
        </is>
      </c>
      <c r="C84" s="16" t="inlineStr">
        <is>
          <t>OS</t>
        </is>
      </c>
      <c r="D84" s="16" t="inlineStr">
        <is>
          <t>SR</t>
        </is>
      </c>
      <c r="E84" s="16" t="inlineStr">
        <is>
          <t>11:33:58</t>
        </is>
      </c>
      <c r="F84" s="16" t="inlineStr">
        <is>
          <t>11:33:58</t>
        </is>
      </c>
      <c r="G84" s="16" t="n">
        <v>0</v>
      </c>
      <c r="H84" s="16" t="n">
        <v>1</v>
      </c>
      <c r="I84" s="35" t="n">
        <v>869.6900000000001</v>
      </c>
      <c r="J84" s="16" t="inlineStr">
        <is>
          <t>IBH KIW-DARA</t>
        </is>
      </c>
      <c r="K84" s="16" t="inlineStr">
        <is>
          <t>R</t>
        </is>
      </c>
      <c r="L84" s="16" t="inlineStr">
        <is>
          <t>Valid</t>
        </is>
      </c>
    </row>
    <row r="85">
      <c r="A85" s="16" t="inlineStr">
        <is>
          <t>29 Jun</t>
        </is>
      </c>
      <c r="B85" s="16" t="inlineStr">
        <is>
          <t>37266</t>
        </is>
      </c>
      <c r="C85" s="16" t="inlineStr">
        <is>
          <t>OS</t>
        </is>
      </c>
      <c r="D85" s="16" t="inlineStr">
        <is>
          <t>SR</t>
        </is>
      </c>
      <c r="E85" s="16" t="inlineStr">
        <is>
          <t>11:34:00</t>
        </is>
      </c>
      <c r="F85" s="16" t="inlineStr">
        <is>
          <t>11:34:02</t>
        </is>
      </c>
      <c r="G85" s="16" t="n">
        <v>2</v>
      </c>
      <c r="H85" s="16" t="n">
        <v>4</v>
      </c>
      <c r="I85" s="35" t="n">
        <v>869.65</v>
      </c>
      <c r="J85" s="16" t="inlineStr">
        <is>
          <t>IBH KIW-DARA</t>
        </is>
      </c>
      <c r="K85" s="16" t="inlineStr">
        <is>
          <t>R</t>
        </is>
      </c>
      <c r="L85" s="16" t="inlineStr">
        <is>
          <t>Valid</t>
        </is>
      </c>
    </row>
    <row r="86">
      <c r="A86" s="16" t="inlineStr">
        <is>
          <t>29 Jun</t>
        </is>
      </c>
      <c r="B86" s="16" t="inlineStr">
        <is>
          <t>37266</t>
        </is>
      </c>
      <c r="C86" s="16" t="inlineStr">
        <is>
          <t>OS</t>
        </is>
      </c>
      <c r="D86" s="16" t="inlineStr">
        <is>
          <t>SR</t>
        </is>
      </c>
      <c r="E86" s="16" t="inlineStr">
        <is>
          <t>11:34:04</t>
        </is>
      </c>
      <c r="F86" s="16" t="inlineStr">
        <is>
          <t>11:34:04</t>
        </is>
      </c>
      <c r="G86" s="16" t="n">
        <v>0</v>
      </c>
      <c r="H86" s="16" t="n">
        <v>1</v>
      </c>
      <c r="I86" s="35" t="n">
        <v>869.59</v>
      </c>
      <c r="J86" s="16" t="inlineStr">
        <is>
          <t>IBH KIW-DARA</t>
        </is>
      </c>
      <c r="K86" s="16" t="inlineStr">
        <is>
          <t>R</t>
        </is>
      </c>
      <c r="L86" s="16" t="inlineStr">
        <is>
          <t>Valid</t>
        </is>
      </c>
    </row>
    <row r="87">
      <c r="A87" s="16" t="inlineStr">
        <is>
          <t>29 Jun</t>
        </is>
      </c>
      <c r="B87" s="16" t="inlineStr">
        <is>
          <t>37266</t>
        </is>
      </c>
      <c r="C87" s="16" t="inlineStr">
        <is>
          <t>FS</t>
        </is>
      </c>
      <c r="D87" s="16" t="inlineStr">
        <is>
          <t>LS</t>
        </is>
      </c>
      <c r="E87" s="16" t="inlineStr">
        <is>
          <t>11:41:50</t>
        </is>
      </c>
      <c r="F87" s="16" t="inlineStr">
        <is>
          <t>11:42:00</t>
        </is>
      </c>
      <c r="G87" s="16" t="n">
        <v>10</v>
      </c>
      <c r="H87" s="16" t="n">
        <v>9</v>
      </c>
      <c r="I87" s="35" t="n">
        <v>862.11</v>
      </c>
      <c r="J87" s="16" t="inlineStr">
        <is>
          <t>2.85 KM from MKX</t>
        </is>
      </c>
      <c r="K87" s="16" t="inlineStr">
        <is>
          <t>R</t>
        </is>
      </c>
      <c r="L87" s="16" t="inlineStr">
        <is>
          <t>Valid</t>
        </is>
      </c>
    </row>
    <row r="88">
      <c r="A88" s="16" t="inlineStr">
        <is>
          <t>29 Jun</t>
        </is>
      </c>
      <c r="B88" s="16" t="inlineStr">
        <is>
          <t>37266</t>
        </is>
      </c>
      <c r="C88" s="16" t="inlineStr">
        <is>
          <t>FS</t>
        </is>
      </c>
      <c r="D88" s="16" t="inlineStr">
        <is>
          <t>LS</t>
        </is>
      </c>
      <c r="E88" s="16" t="inlineStr">
        <is>
          <t>11:54:34</t>
        </is>
      </c>
      <c r="F88" s="16" t="inlineStr">
        <is>
          <t>11:54:34</t>
        </is>
      </c>
      <c r="G88" s="16" t="n">
        <v>0</v>
      </c>
      <c r="H88" s="16" t="n">
        <v>1</v>
      </c>
      <c r="I88" s="35" t="n">
        <v>838.77</v>
      </c>
      <c r="J88" s="16" t="inlineStr">
        <is>
          <t>Jhalawar Road(JHW)</t>
        </is>
      </c>
      <c r="K88" s="16" t="inlineStr">
        <is>
          <t>R</t>
        </is>
      </c>
      <c r="L88" s="16" t="inlineStr">
        <is>
          <t>Valid</t>
        </is>
      </c>
    </row>
    <row r="89">
      <c r="A89" s="16" t="inlineStr">
        <is>
          <t>29 Jun</t>
        </is>
      </c>
      <c r="B89" s="16" t="inlineStr">
        <is>
          <t>37266</t>
        </is>
      </c>
      <c r="C89" s="16" t="inlineStr">
        <is>
          <t>FS</t>
        </is>
      </c>
      <c r="D89" s="16" t="inlineStr">
        <is>
          <t>LS</t>
        </is>
      </c>
      <c r="E89" s="16" t="inlineStr">
        <is>
          <t>11:54:36</t>
        </is>
      </c>
      <c r="F89" s="16" t="inlineStr">
        <is>
          <t>11:56:58</t>
        </is>
      </c>
      <c r="G89" s="16" t="n">
        <v>142</v>
      </c>
      <c r="H89" s="16" t="n">
        <v>114</v>
      </c>
      <c r="I89" s="35" t="n">
        <v>838.71</v>
      </c>
      <c r="J89" s="16" t="inlineStr">
        <is>
          <t>Jhalawar Road(JHW)</t>
        </is>
      </c>
      <c r="K89" s="16" t="inlineStr">
        <is>
          <t>R</t>
        </is>
      </c>
      <c r="L89" s="16" t="inlineStr">
        <is>
          <t>Valid</t>
        </is>
      </c>
    </row>
    <row r="90">
      <c r="A90" s="16" t="inlineStr">
        <is>
          <t>29 Jun</t>
        </is>
      </c>
      <c r="B90" s="16" t="inlineStr">
        <is>
          <t>37266</t>
        </is>
      </c>
      <c r="C90" s="16" t="inlineStr">
        <is>
          <t>OS</t>
        </is>
      </c>
      <c r="D90" s="16" t="inlineStr">
        <is>
          <t>LS</t>
        </is>
      </c>
      <c r="E90" s="16" t="inlineStr">
        <is>
          <t>11:57:00</t>
        </is>
      </c>
      <c r="F90" s="16" t="inlineStr">
        <is>
          <t>11:57:00</t>
        </is>
      </c>
      <c r="G90" s="16" t="n">
        <v>0</v>
      </c>
      <c r="H90" s="16" t="n">
        <v>1</v>
      </c>
      <c r="I90" s="35" t="n">
        <v>833.62</v>
      </c>
      <c r="J90" s="16" t="inlineStr">
        <is>
          <t>DhuanKheri(DKRA)</t>
        </is>
      </c>
      <c r="K90" s="16" t="inlineStr">
        <is>
          <t>R</t>
        </is>
      </c>
      <c r="L90" s="16" t="inlineStr">
        <is>
          <t>Valid</t>
        </is>
      </c>
    </row>
    <row r="91">
      <c r="A91" s="16" t="inlineStr">
        <is>
          <t>29 Jun</t>
        </is>
      </c>
      <c r="B91" s="16" t="inlineStr">
        <is>
          <t>37266</t>
        </is>
      </c>
      <c r="C91" s="16" t="inlineStr">
        <is>
          <t>FS</t>
        </is>
      </c>
      <c r="D91" s="16" t="inlineStr">
        <is>
          <t>LS</t>
        </is>
      </c>
      <c r="E91" s="16" t="inlineStr">
        <is>
          <t>12:11:36</t>
        </is>
      </c>
      <c r="F91" s="16" t="inlineStr">
        <is>
          <t>12:11:36</t>
        </is>
      </c>
      <c r="G91" s="16" t="n">
        <v>0</v>
      </c>
      <c r="H91" s="16" t="n">
        <v>1</v>
      </c>
      <c r="I91" s="35" t="n">
        <v>809.4</v>
      </c>
      <c r="J91" s="16" t="inlineStr">
        <is>
          <t>Kurlasi(KRLS)</t>
        </is>
      </c>
      <c r="K91" s="16" t="inlineStr">
        <is>
          <t>R</t>
        </is>
      </c>
      <c r="L91" s="16" t="inlineStr">
        <is>
          <t>Valid</t>
        </is>
      </c>
    </row>
    <row r="92">
      <c r="A92" s="16" t="inlineStr">
        <is>
          <t>29 Jun</t>
        </is>
      </c>
      <c r="B92" s="16" t="inlineStr">
        <is>
          <t>37266</t>
        </is>
      </c>
      <c r="C92" s="16" t="inlineStr">
        <is>
          <t>FS</t>
        </is>
      </c>
      <c r="D92" s="16" t="inlineStr">
        <is>
          <t>LS</t>
        </is>
      </c>
      <c r="E92" s="16" t="inlineStr">
        <is>
          <t>12:11:38</t>
        </is>
      </c>
      <c r="F92" s="16" t="inlineStr">
        <is>
          <t>12:13:14</t>
        </is>
      </c>
      <c r="G92" s="16" t="n">
        <v>96</v>
      </c>
      <c r="H92" s="16" t="n">
        <v>75</v>
      </c>
      <c r="I92" s="35" t="n">
        <v>809.33</v>
      </c>
      <c r="J92" s="16" t="inlineStr">
        <is>
          <t>Kurlasi(KRLS)</t>
        </is>
      </c>
      <c r="K92" s="16" t="inlineStr">
        <is>
          <t>R</t>
        </is>
      </c>
      <c r="L92" s="16" t="inlineStr">
        <is>
          <t>Valid</t>
        </is>
      </c>
    </row>
    <row r="93">
      <c r="A93" s="16" t="inlineStr">
        <is>
          <t>29 Jun</t>
        </is>
      </c>
      <c r="B93" s="16" t="inlineStr">
        <is>
          <t>37266</t>
        </is>
      </c>
      <c r="C93" s="16" t="inlineStr">
        <is>
          <t>FS</t>
        </is>
      </c>
      <c r="D93" s="16" t="inlineStr">
        <is>
          <t>LS</t>
        </is>
      </c>
      <c r="E93" s="16" t="inlineStr">
        <is>
          <t>12:23:48</t>
        </is>
      </c>
      <c r="F93" s="16" t="inlineStr">
        <is>
          <t>12:23:48</t>
        </is>
      </c>
      <c r="G93" s="16" t="n">
        <v>0</v>
      </c>
      <c r="H93" s="16" t="n">
        <v>1</v>
      </c>
      <c r="I93" s="35" t="n">
        <v>783.42</v>
      </c>
      <c r="J93" s="16" t="inlineStr">
        <is>
          <t>3.0 Km From SGZ</t>
        </is>
      </c>
      <c r="K93" s="16" t="inlineStr">
        <is>
          <t>R</t>
        </is>
      </c>
      <c r="L93" s="16" t="inlineStr">
        <is>
          <t>Valid</t>
        </is>
      </c>
    </row>
    <row r="94">
      <c r="A94" s="16" t="inlineStr">
        <is>
          <t>29 Jun</t>
        </is>
      </c>
      <c r="B94" s="16" t="inlineStr">
        <is>
          <t>37266</t>
        </is>
      </c>
      <c r="C94" s="16" t="inlineStr">
        <is>
          <t>FS</t>
        </is>
      </c>
      <c r="D94" s="16" t="inlineStr">
        <is>
          <t>LS</t>
        </is>
      </c>
      <c r="E94" s="16" t="inlineStr">
        <is>
          <t>12:23:50</t>
        </is>
      </c>
      <c r="F94" s="16" t="inlineStr">
        <is>
          <t>12:24:16</t>
        </is>
      </c>
      <c r="G94" s="16" t="n">
        <v>26</v>
      </c>
      <c r="H94" s="16" t="n">
        <v>15</v>
      </c>
      <c r="I94" s="35" t="n">
        <v>783.35</v>
      </c>
      <c r="J94" s="16" t="inlineStr">
        <is>
          <t>3.0 Km From SGZ</t>
        </is>
      </c>
      <c r="K94" s="16" t="inlineStr">
        <is>
          <t>R</t>
        </is>
      </c>
      <c r="L94" s="16" t="inlineStr">
        <is>
          <t>Valid</t>
        </is>
      </c>
    </row>
    <row r="95">
      <c r="A95" s="31" t="inlineStr">
        <is>
          <t>29 Jun</t>
        </is>
      </c>
      <c r="B95" s="31" t="inlineStr">
        <is>
          <t>30460</t>
        </is>
      </c>
      <c r="C95" s="31" t="inlineStr">
        <is>
          <t>FS</t>
        </is>
      </c>
      <c r="D95" s="31" t="inlineStr">
        <is>
          <t>SR</t>
        </is>
      </c>
      <c r="E95" s="31" t="inlineStr">
        <is>
          <t>12:39:08</t>
        </is>
      </c>
      <c r="F95" s="31" t="inlineStr">
        <is>
          <t>12:39:08</t>
        </is>
      </c>
      <c r="G95" s="31" t="n">
        <v>0</v>
      </c>
      <c r="H95" s="31" t="n">
        <v>1</v>
      </c>
      <c r="I95" s="32" t="n">
        <v>930.3099999999999</v>
      </c>
      <c r="J95" s="31" t="inlineStr">
        <is>
          <t>KeshoraiPatan(KPTN)</t>
        </is>
      </c>
      <c r="K95" s="31" t="inlineStr">
        <is>
          <t>N</t>
        </is>
      </c>
      <c r="L95" s="31" t="inlineStr">
        <is>
          <t>Non-Valid</t>
        </is>
      </c>
    </row>
    <row r="96">
      <c r="A96" s="31" t="inlineStr">
        <is>
          <t>29 Jun</t>
        </is>
      </c>
      <c r="B96" s="31" t="inlineStr">
        <is>
          <t>30460</t>
        </is>
      </c>
      <c r="C96" s="31" t="inlineStr">
        <is>
          <t>FS</t>
        </is>
      </c>
      <c r="D96" s="31" t="inlineStr">
        <is>
          <t>SR</t>
        </is>
      </c>
      <c r="E96" s="31" t="inlineStr">
        <is>
          <t>12:39:10</t>
        </is>
      </c>
      <c r="F96" s="31" t="inlineStr">
        <is>
          <t>12:39:12</t>
        </is>
      </c>
      <c r="G96" s="31" t="n">
        <v>2</v>
      </c>
      <c r="H96" s="31" t="n">
        <v>4</v>
      </c>
      <c r="I96" s="32" t="n">
        <v>930.38</v>
      </c>
      <c r="J96" s="31" t="inlineStr">
        <is>
          <t>KeshoraiPatan(KPTN)</t>
        </is>
      </c>
      <c r="K96" s="31" t="inlineStr">
        <is>
          <t>N</t>
        </is>
      </c>
      <c r="L96" s="31" t="inlineStr">
        <is>
          <t>Non-Valid</t>
        </is>
      </c>
    </row>
    <row r="97">
      <c r="A97" s="31" t="inlineStr">
        <is>
          <t>29 Jun</t>
        </is>
      </c>
      <c r="B97" s="31" t="inlineStr">
        <is>
          <t>30460</t>
        </is>
      </c>
      <c r="C97" s="31" t="inlineStr">
        <is>
          <t>OS</t>
        </is>
      </c>
      <c r="D97" s="31" t="inlineStr">
        <is>
          <t>SR</t>
        </is>
      </c>
      <c r="E97" s="31" t="inlineStr">
        <is>
          <t>12:39:14</t>
        </is>
      </c>
      <c r="F97" s="31" t="inlineStr">
        <is>
          <t>12:39:14</t>
        </is>
      </c>
      <c r="G97" s="31" t="n">
        <v>0</v>
      </c>
      <c r="H97" s="31" t="n">
        <v>1</v>
      </c>
      <c r="I97" s="32" t="n">
        <v>930.47</v>
      </c>
      <c r="J97" s="31" t="inlineStr">
        <is>
          <t>KeshoraiPatan(KPTN)</t>
        </is>
      </c>
      <c r="K97" s="31" t="inlineStr">
        <is>
          <t>N</t>
        </is>
      </c>
      <c r="L97" s="31" t="inlineStr">
        <is>
          <t>Non-Valid</t>
        </is>
      </c>
    </row>
    <row r="98">
      <c r="A98" s="16" t="inlineStr">
        <is>
          <t>29 Jun</t>
        </is>
      </c>
      <c r="B98" s="16" t="inlineStr">
        <is>
          <t>37266</t>
        </is>
      </c>
      <c r="C98" s="16" t="inlineStr">
        <is>
          <t>FS</t>
        </is>
      </c>
      <c r="D98" s="16" t="inlineStr">
        <is>
          <t>LS</t>
        </is>
      </c>
      <c r="E98" s="16" t="inlineStr">
        <is>
          <t>12:40:16</t>
        </is>
      </c>
      <c r="F98" s="16" t="inlineStr">
        <is>
          <t>12:40:16</t>
        </is>
      </c>
      <c r="G98" s="16" t="n">
        <v>0</v>
      </c>
      <c r="H98" s="16" t="n">
        <v>1</v>
      </c>
      <c r="I98" s="35" t="n">
        <v>760.42</v>
      </c>
      <c r="J98" s="16" t="inlineStr">
        <is>
          <t>Chau Mahla(CMU)</t>
        </is>
      </c>
      <c r="K98" s="16" t="inlineStr">
        <is>
          <t>R</t>
        </is>
      </c>
      <c r="L98" s="16" t="inlineStr">
        <is>
          <t>Valid</t>
        </is>
      </c>
    </row>
    <row r="99">
      <c r="A99" s="16" t="inlineStr">
        <is>
          <t>29 Jun</t>
        </is>
      </c>
      <c r="B99" s="16" t="inlineStr">
        <is>
          <t>37266</t>
        </is>
      </c>
      <c r="C99" s="16" t="inlineStr">
        <is>
          <t>FS</t>
        </is>
      </c>
      <c r="D99" s="16" t="inlineStr">
        <is>
          <t>LS</t>
        </is>
      </c>
      <c r="E99" s="16" t="inlineStr">
        <is>
          <t>12:40:18</t>
        </is>
      </c>
      <c r="F99" s="16" t="inlineStr">
        <is>
          <t>12:42:56</t>
        </is>
      </c>
      <c r="G99" s="16" t="n">
        <v>158</v>
      </c>
      <c r="H99" s="16" t="n">
        <v>121</v>
      </c>
      <c r="I99" s="35" t="n">
        <v>760.36</v>
      </c>
      <c r="J99" s="16" t="inlineStr">
        <is>
          <t>Chau Mahla(CMU)</t>
        </is>
      </c>
      <c r="K99" s="16" t="inlineStr">
        <is>
          <t>R</t>
        </is>
      </c>
      <c r="L99" s="16" t="inlineStr">
        <is>
          <t>Valid</t>
        </is>
      </c>
    </row>
    <row r="100">
      <c r="A100" s="16" t="inlineStr">
        <is>
          <t>29 Jun</t>
        </is>
      </c>
      <c r="B100" s="16" t="inlineStr">
        <is>
          <t>37266</t>
        </is>
      </c>
      <c r="C100" s="16" t="inlineStr">
        <is>
          <t>OS</t>
        </is>
      </c>
      <c r="D100" s="16" t="inlineStr">
        <is>
          <t>LS</t>
        </is>
      </c>
      <c r="E100" s="16" t="inlineStr">
        <is>
          <t>12:42:58</t>
        </is>
      </c>
      <c r="F100" s="16" t="inlineStr">
        <is>
          <t>12:42:58</t>
        </is>
      </c>
      <c r="G100" s="16" t="n">
        <v>0</v>
      </c>
      <c r="H100" s="16" t="n">
        <v>1</v>
      </c>
      <c r="I100" s="35" t="n">
        <v>755.6900000000001</v>
      </c>
      <c r="J100" s="16" t="inlineStr">
        <is>
          <t>Talavli(TLZ)</t>
        </is>
      </c>
      <c r="K100" s="16" t="inlineStr">
        <is>
          <t>R</t>
        </is>
      </c>
      <c r="L100" s="16" t="inlineStr">
        <is>
          <t>Valid</t>
        </is>
      </c>
    </row>
    <row r="101">
      <c r="A101" s="31" t="inlineStr">
        <is>
          <t>29 Jun</t>
        </is>
      </c>
      <c r="B101" s="31" t="inlineStr">
        <is>
          <t>30460</t>
        </is>
      </c>
      <c r="C101" s="31" t="inlineStr">
        <is>
          <t>FS</t>
        </is>
      </c>
      <c r="D101" s="31" t="inlineStr">
        <is>
          <t>LS</t>
        </is>
      </c>
      <c r="E101" s="31" t="inlineStr">
        <is>
          <t>12:43:40</t>
        </is>
      </c>
      <c r="F101" s="31" t="inlineStr">
        <is>
          <t>12:43:40</t>
        </is>
      </c>
      <c r="G101" s="31" t="n">
        <v>0</v>
      </c>
      <c r="H101" s="31" t="n">
        <v>1</v>
      </c>
      <c r="I101" s="32" t="n">
        <v>939.96</v>
      </c>
      <c r="J101" s="31" t="inlineStr">
        <is>
          <t>IBH-119</t>
        </is>
      </c>
      <c r="K101" s="31" t="inlineStr">
        <is>
          <t>N</t>
        </is>
      </c>
      <c r="L101" s="31" t="inlineStr">
        <is>
          <t>Non-Valid</t>
        </is>
      </c>
    </row>
    <row r="102">
      <c r="A102" s="31" t="inlineStr">
        <is>
          <t>29 Jun</t>
        </is>
      </c>
      <c r="B102" s="31" t="inlineStr">
        <is>
          <t>30460</t>
        </is>
      </c>
      <c r="C102" s="31" t="inlineStr">
        <is>
          <t>FS</t>
        </is>
      </c>
      <c r="D102" s="31" t="inlineStr">
        <is>
          <t>LS</t>
        </is>
      </c>
      <c r="E102" s="31" t="inlineStr">
        <is>
          <t>12:43:42</t>
        </is>
      </c>
      <c r="F102" s="31" t="inlineStr">
        <is>
          <t>12:43:46</t>
        </is>
      </c>
      <c r="G102" s="31" t="n">
        <v>4</v>
      </c>
      <c r="H102" s="31" t="n">
        <v>4</v>
      </c>
      <c r="I102" s="32" t="n">
        <v>940.01</v>
      </c>
      <c r="J102" s="31" t="inlineStr">
        <is>
          <t>IBH-119</t>
        </is>
      </c>
      <c r="K102" s="31" t="inlineStr">
        <is>
          <t>N</t>
        </is>
      </c>
      <c r="L102" s="31" t="inlineStr">
        <is>
          <t>Non-Valid</t>
        </is>
      </c>
    </row>
    <row r="103">
      <c r="A103" s="31" t="inlineStr">
        <is>
          <t>29 Jun</t>
        </is>
      </c>
      <c r="B103" s="31" t="inlineStr">
        <is>
          <t>30460</t>
        </is>
      </c>
      <c r="C103" s="31" t="inlineStr">
        <is>
          <t>LS</t>
        </is>
      </c>
      <c r="D103" s="31" t="inlineStr">
        <is>
          <t>SR</t>
        </is>
      </c>
      <c r="E103" s="31" t="inlineStr">
        <is>
          <t>12:43:48</t>
        </is>
      </c>
      <c r="F103" s="31" t="inlineStr">
        <is>
          <t>12:43:48</t>
        </is>
      </c>
      <c r="G103" s="31" t="n">
        <v>0</v>
      </c>
      <c r="H103" s="31" t="n">
        <v>2</v>
      </c>
      <c r="I103" s="32" t="n">
        <v>940.2</v>
      </c>
      <c r="J103" s="31" t="inlineStr">
        <is>
          <t>IBH-119</t>
        </is>
      </c>
      <c r="K103" s="31" t="inlineStr">
        <is>
          <t>N</t>
        </is>
      </c>
      <c r="L103" s="31" t="inlineStr">
        <is>
          <t>Non-Valid</t>
        </is>
      </c>
    </row>
    <row r="104">
      <c r="A104" s="31" t="inlineStr">
        <is>
          <t>29 Jun</t>
        </is>
      </c>
      <c r="B104" s="31" t="inlineStr">
        <is>
          <t>30460</t>
        </is>
      </c>
      <c r="C104" s="31" t="inlineStr">
        <is>
          <t>OS</t>
        </is>
      </c>
      <c r="D104" s="31" t="inlineStr">
        <is>
          <t>SR</t>
        </is>
      </c>
      <c r="E104" s="31" t="inlineStr">
        <is>
          <t>12:43:50</t>
        </is>
      </c>
      <c r="F104" s="31" t="inlineStr">
        <is>
          <t>12:43:50</t>
        </is>
      </c>
      <c r="G104" s="31" t="n">
        <v>0</v>
      </c>
      <c r="H104" s="31" t="n">
        <v>1</v>
      </c>
      <c r="I104" s="32" t="n">
        <v>940.26</v>
      </c>
      <c r="J104" s="31" t="inlineStr">
        <is>
          <t>IBH-119</t>
        </is>
      </c>
      <c r="K104" s="31" t="inlineStr">
        <is>
          <t>N</t>
        </is>
      </c>
      <c r="L104" s="31" t="inlineStr">
        <is>
          <t>Non-Valid</t>
        </is>
      </c>
    </row>
    <row r="105">
      <c r="A105" s="16" t="inlineStr">
        <is>
          <t>29 Jun</t>
        </is>
      </c>
      <c r="B105" s="16" t="inlineStr">
        <is>
          <t>37266</t>
        </is>
      </c>
      <c r="C105" s="16" t="inlineStr">
        <is>
          <t>FS</t>
        </is>
      </c>
      <c r="D105" s="16" t="inlineStr">
        <is>
          <t>LS</t>
        </is>
      </c>
      <c r="E105" s="16" t="inlineStr">
        <is>
          <t>12:50:16</t>
        </is>
      </c>
      <c r="F105" s="16" t="inlineStr">
        <is>
          <t>12:51:22</t>
        </is>
      </c>
      <c r="G105" s="16" t="n">
        <v>66</v>
      </c>
      <c r="H105" s="16" t="n">
        <v>52</v>
      </c>
      <c r="I105" s="35" t="n">
        <v>740.9299999999999</v>
      </c>
      <c r="J105" s="16" t="inlineStr">
        <is>
          <t>IBH-23</t>
        </is>
      </c>
      <c r="K105" s="16" t="inlineStr">
        <is>
          <t>R</t>
        </is>
      </c>
      <c r="L105" s="16" t="inlineStr">
        <is>
          <t>Valid</t>
        </is>
      </c>
    </row>
    <row r="106">
      <c r="A106" s="16" t="inlineStr">
        <is>
          <t>29 Jun</t>
        </is>
      </c>
      <c r="B106" s="16" t="inlineStr">
        <is>
          <t>37266</t>
        </is>
      </c>
      <c r="C106" s="16" t="inlineStr">
        <is>
          <t>OS</t>
        </is>
      </c>
      <c r="D106" s="16" t="inlineStr">
        <is>
          <t>LS</t>
        </is>
      </c>
      <c r="E106" s="16" t="inlineStr">
        <is>
          <t>12:51:24</t>
        </is>
      </c>
      <c r="F106" s="16" t="inlineStr">
        <is>
          <t>12:51:24</t>
        </is>
      </c>
      <c r="G106" s="16" t="n">
        <v>0</v>
      </c>
      <c r="H106" s="16" t="n">
        <v>1</v>
      </c>
      <c r="I106" s="35" t="n">
        <v>738.8099999999999</v>
      </c>
      <c r="J106" s="16" t="inlineStr">
        <is>
          <t>VikramgarhA lot(VMA)</t>
        </is>
      </c>
      <c r="K106" s="16" t="inlineStr">
        <is>
          <t>R</t>
        </is>
      </c>
      <c r="L106" s="16" t="inlineStr">
        <is>
          <t>Valid</t>
        </is>
      </c>
    </row>
    <row r="107">
      <c r="A107" s="16" t="inlineStr">
        <is>
          <t>29 Jun</t>
        </is>
      </c>
      <c r="B107" s="16" t="inlineStr">
        <is>
          <t>39176</t>
        </is>
      </c>
      <c r="C107" s="16" t="inlineStr">
        <is>
          <t>FS</t>
        </is>
      </c>
      <c r="D107" s="16" t="inlineStr">
        <is>
          <t>SR</t>
        </is>
      </c>
      <c r="E107" s="16" t="inlineStr">
        <is>
          <t>12:52:24</t>
        </is>
      </c>
      <c r="F107" s="16" t="inlineStr">
        <is>
          <t>12:52:24</t>
        </is>
      </c>
      <c r="G107" s="16" t="n">
        <v>0</v>
      </c>
      <c r="H107" s="16" t="n">
        <v>1</v>
      </c>
      <c r="I107" s="35" t="n">
        <v>748.3099999999999</v>
      </c>
      <c r="J107" s="16" t="inlineStr">
        <is>
          <t>IBH-27</t>
        </is>
      </c>
      <c r="K107" s="16" t="inlineStr">
        <is>
          <t>U</t>
        </is>
      </c>
      <c r="L107" s="16" t="inlineStr">
        <is>
          <t>Valid</t>
        </is>
      </c>
    </row>
    <row r="108">
      <c r="A108" s="16" t="inlineStr">
        <is>
          <t>29 Jun</t>
        </is>
      </c>
      <c r="B108" s="16" t="inlineStr">
        <is>
          <t>39176</t>
        </is>
      </c>
      <c r="C108" s="16" t="inlineStr">
        <is>
          <t>FS</t>
        </is>
      </c>
      <c r="D108" s="16" t="inlineStr">
        <is>
          <t>SR</t>
        </is>
      </c>
      <c r="E108" s="16" t="inlineStr">
        <is>
          <t>12:52:26</t>
        </is>
      </c>
      <c r="F108" s="16" t="inlineStr">
        <is>
          <t>12:52:58</t>
        </is>
      </c>
      <c r="G108" s="16" t="n">
        <v>32</v>
      </c>
      <c r="H108" s="16" t="n">
        <v>18</v>
      </c>
      <c r="I108" s="35" t="n">
        <v>747.38</v>
      </c>
      <c r="J108" s="16" t="inlineStr">
        <is>
          <t>IBH-27</t>
        </is>
      </c>
      <c r="K108" s="16" t="inlineStr">
        <is>
          <t>U</t>
        </is>
      </c>
      <c r="L108" s="16" t="inlineStr">
        <is>
          <t>Valid</t>
        </is>
      </c>
    </row>
    <row r="109">
      <c r="A109" s="16" t="inlineStr">
        <is>
          <t>29 Jun</t>
        </is>
      </c>
      <c r="B109" s="16" t="inlineStr">
        <is>
          <t>39176</t>
        </is>
      </c>
      <c r="C109" s="16" t="inlineStr">
        <is>
          <t>OS</t>
        </is>
      </c>
      <c r="D109" s="16" t="inlineStr">
        <is>
          <t>SR</t>
        </is>
      </c>
      <c r="E109" s="16" t="inlineStr">
        <is>
          <t>12:53:00</t>
        </is>
      </c>
      <c r="F109" s="16" t="inlineStr">
        <is>
          <t>12:53:00</t>
        </is>
      </c>
      <c r="G109" s="16" t="n">
        <v>0</v>
      </c>
      <c r="H109" s="16" t="n">
        <v>1</v>
      </c>
      <c r="I109" s="35" t="n">
        <v>747.22</v>
      </c>
      <c r="J109" s="16" t="inlineStr">
        <is>
          <t>IBH-27</t>
        </is>
      </c>
      <c r="K109" s="16" t="inlineStr">
        <is>
          <t>R</t>
        </is>
      </c>
      <c r="L109" s="16" t="inlineStr">
        <is>
          <t>Valid</t>
        </is>
      </c>
    </row>
    <row r="110">
      <c r="A110" s="31" t="inlineStr">
        <is>
          <t>29 Jun</t>
        </is>
      </c>
      <c r="B110" s="31" t="inlineStr">
        <is>
          <t>39108</t>
        </is>
      </c>
      <c r="C110" s="31" t="inlineStr">
        <is>
          <t>FS</t>
        </is>
      </c>
      <c r="D110" s="31" t="inlineStr">
        <is>
          <t>SR</t>
        </is>
      </c>
      <c r="E110" s="31" t="inlineStr">
        <is>
          <t>12:54:12</t>
        </is>
      </c>
      <c r="F110" s="31" t="inlineStr">
        <is>
          <t>12:56:58</t>
        </is>
      </c>
      <c r="G110" s="31" t="n">
        <v>166</v>
      </c>
      <c r="H110" s="31" t="n">
        <v>84</v>
      </c>
      <c r="I110" s="32" t="n">
        <v>1047.66</v>
      </c>
      <c r="J110" s="31" t="inlineStr">
        <is>
          <t>Makholi(MXL)</t>
        </is>
      </c>
      <c r="K110" s="31" t="inlineStr">
        <is>
          <t>U</t>
        </is>
      </c>
      <c r="L110" s="31" t="inlineStr">
        <is>
          <t>Non-Valid</t>
        </is>
      </c>
    </row>
    <row r="111">
      <c r="A111" s="31" t="inlineStr">
        <is>
          <t>29 Jun</t>
        </is>
      </c>
      <c r="B111" s="31" t="inlineStr">
        <is>
          <t>37633</t>
        </is>
      </c>
      <c r="C111" s="31" t="inlineStr">
        <is>
          <t>StandBy</t>
        </is>
      </c>
      <c r="D111" s="31" t="inlineStr">
        <is>
          <t>SR</t>
        </is>
      </c>
      <c r="E111" s="31" t="inlineStr">
        <is>
          <t>12:57:10</t>
        </is>
      </c>
      <c r="F111" s="31" t="inlineStr">
        <is>
          <t>12:59:58</t>
        </is>
      </c>
      <c r="G111" s="31" t="n">
        <v>168</v>
      </c>
      <c r="H111" s="31" t="n">
        <v>86</v>
      </c>
      <c r="I111" s="32" t="n">
        <v>1028.4</v>
      </c>
      <c r="J111" s="31" t="inlineStr">
        <is>
          <t>SawaiMadhopurJn(SWM)</t>
        </is>
      </c>
      <c r="K111" s="31" t="inlineStr">
        <is>
          <t>U</t>
        </is>
      </c>
      <c r="L111" s="31" t="inlineStr">
        <is>
          <t>Non-Valid</t>
        </is>
      </c>
    </row>
    <row r="112">
      <c r="A112" s="16" t="inlineStr">
        <is>
          <t>29 Jun</t>
        </is>
      </c>
      <c r="B112" s="16" t="inlineStr">
        <is>
          <t>37266</t>
        </is>
      </c>
      <c r="C112" s="16" t="inlineStr">
        <is>
          <t>FS</t>
        </is>
      </c>
      <c r="D112" s="16" t="inlineStr">
        <is>
          <t>LS</t>
        </is>
      </c>
      <c r="E112" s="16" t="inlineStr">
        <is>
          <t>13:07:34</t>
        </is>
      </c>
      <c r="F112" s="16" t="inlineStr">
        <is>
          <t>13:10:02</t>
        </is>
      </c>
      <c r="G112" s="16" t="n">
        <v>148</v>
      </c>
      <c r="H112" s="16" t="n">
        <v>80</v>
      </c>
      <c r="I112" s="35" t="n">
        <v>715.4299999999999</v>
      </c>
      <c r="J112" s="16" t="inlineStr">
        <is>
          <t>Mehidpur Road(MEP)</t>
        </is>
      </c>
      <c r="K112" s="16" t="inlineStr">
        <is>
          <t>R</t>
        </is>
      </c>
      <c r="L112" s="16" t="inlineStr">
        <is>
          <t>Valid</t>
        </is>
      </c>
    </row>
    <row r="113">
      <c r="A113" s="31" t="inlineStr">
        <is>
          <t>29 Jun</t>
        </is>
      </c>
      <c r="B113" s="31" t="inlineStr">
        <is>
          <t>37633</t>
        </is>
      </c>
      <c r="C113" s="31" t="inlineStr">
        <is>
          <t>FS</t>
        </is>
      </c>
      <c r="D113" s="31" t="inlineStr">
        <is>
          <t>SR</t>
        </is>
      </c>
      <c r="E113" s="31" t="inlineStr">
        <is>
          <t>14:13:22</t>
        </is>
      </c>
      <c r="F113" s="31" t="inlineStr">
        <is>
          <t>14:13:22</t>
        </is>
      </c>
      <c r="G113" s="31" t="n">
        <v>0</v>
      </c>
      <c r="H113" s="31" t="n">
        <v>1</v>
      </c>
      <c r="I113" s="32" t="n">
        <v>942.52</v>
      </c>
      <c r="J113" s="31" t="inlineStr">
        <is>
          <t>LC-120</t>
        </is>
      </c>
      <c r="K113" s="31" t="inlineStr">
        <is>
          <t>R</t>
        </is>
      </c>
      <c r="L113" s="31" t="inlineStr">
        <is>
          <t>Non-Valid</t>
        </is>
      </c>
    </row>
    <row r="114">
      <c r="A114" s="31" t="inlineStr">
        <is>
          <t>29 Jun</t>
        </is>
      </c>
      <c r="B114" s="31" t="inlineStr">
        <is>
          <t>37633</t>
        </is>
      </c>
      <c r="C114" s="31" t="inlineStr">
        <is>
          <t>FS</t>
        </is>
      </c>
      <c r="D114" s="31" t="inlineStr">
        <is>
          <t>SR</t>
        </is>
      </c>
      <c r="E114" s="31" t="inlineStr">
        <is>
          <t>14:13:24</t>
        </is>
      </c>
      <c r="F114" s="31" t="inlineStr">
        <is>
          <t>14:13:26</t>
        </is>
      </c>
      <c r="G114" s="31" t="n">
        <v>2</v>
      </c>
      <c r="H114" s="31" t="n">
        <v>4</v>
      </c>
      <c r="I114" s="32" t="n">
        <v>942.46</v>
      </c>
      <c r="J114" s="31" t="inlineStr">
        <is>
          <t>LC-120</t>
        </is>
      </c>
      <c r="K114" s="31" t="inlineStr">
        <is>
          <t>R</t>
        </is>
      </c>
      <c r="L114" s="31" t="inlineStr">
        <is>
          <t>Non-Valid</t>
        </is>
      </c>
    </row>
    <row r="115">
      <c r="A115" s="31" t="inlineStr">
        <is>
          <t>29 Jun</t>
        </is>
      </c>
      <c r="B115" s="31" t="inlineStr">
        <is>
          <t>37633</t>
        </is>
      </c>
      <c r="C115" s="31" t="inlineStr">
        <is>
          <t>OS</t>
        </is>
      </c>
      <c r="D115" s="31" t="inlineStr">
        <is>
          <t>SR</t>
        </is>
      </c>
      <c r="E115" s="31" t="inlineStr">
        <is>
          <t>14:13:28</t>
        </is>
      </c>
      <c r="F115" s="31" t="inlineStr">
        <is>
          <t>14:13:28</t>
        </is>
      </c>
      <c r="G115" s="31" t="n">
        <v>0</v>
      </c>
      <c r="H115" s="31" t="n">
        <v>1</v>
      </c>
      <c r="I115" s="32" t="n">
        <v>942.38</v>
      </c>
      <c r="J115" s="31" t="inlineStr">
        <is>
          <t>LC-120</t>
        </is>
      </c>
      <c r="K115" s="31" t="inlineStr">
        <is>
          <t>R</t>
        </is>
      </c>
      <c r="L115" s="31" t="inlineStr">
        <is>
          <t>Non-Valid</t>
        </is>
      </c>
    </row>
    <row r="116">
      <c r="A116" s="16" t="inlineStr">
        <is>
          <t>29 Jun</t>
        </is>
      </c>
      <c r="B116" s="16" t="inlineStr">
        <is>
          <t>37163</t>
        </is>
      </c>
      <c r="C116" s="16" t="inlineStr">
        <is>
          <t>FS</t>
        </is>
      </c>
      <c r="D116" s="16" t="inlineStr">
        <is>
          <t>SR</t>
        </is>
      </c>
      <c r="E116" s="16" t="inlineStr">
        <is>
          <t>14:27:44</t>
        </is>
      </c>
      <c r="F116" s="16" t="inlineStr">
        <is>
          <t>14:28:50</t>
        </is>
      </c>
      <c r="G116" s="16" t="n">
        <v>66</v>
      </c>
      <c r="H116" s="16" t="n">
        <v>35</v>
      </c>
      <c r="I116" s="35" t="n">
        <v>748.13</v>
      </c>
      <c r="J116" s="16" t="inlineStr">
        <is>
          <t>IBH-27</t>
        </is>
      </c>
      <c r="K116" s="16" t="inlineStr">
        <is>
          <t>U</t>
        </is>
      </c>
      <c r="L116" s="16" t="inlineStr">
        <is>
          <t>Valid</t>
        </is>
      </c>
    </row>
    <row r="117">
      <c r="A117" s="31" t="inlineStr">
        <is>
          <t>29 Jun</t>
        </is>
      </c>
      <c r="B117" s="31" t="inlineStr">
        <is>
          <t>39108</t>
        </is>
      </c>
      <c r="C117" s="31" t="inlineStr">
        <is>
          <t>FS</t>
        </is>
      </c>
      <c r="D117" s="31" t="inlineStr">
        <is>
          <t>SR</t>
        </is>
      </c>
      <c r="E117" s="31" t="inlineStr">
        <is>
          <t>15:19:30</t>
        </is>
      </c>
      <c r="F117" s="31" t="inlineStr">
        <is>
          <t>15:19:42</t>
        </is>
      </c>
      <c r="G117" s="31" t="n">
        <v>12</v>
      </c>
      <c r="H117" s="31" t="n">
        <v>13</v>
      </c>
      <c r="I117" s="32" t="n">
        <v>942</v>
      </c>
      <c r="J117" s="31" t="inlineStr">
        <is>
          <t>LC-120</t>
        </is>
      </c>
      <c r="K117" s="31" t="inlineStr">
        <is>
          <t>R</t>
        </is>
      </c>
      <c r="L117" s="31" t="inlineStr">
        <is>
          <t>Non-Valid</t>
        </is>
      </c>
    </row>
    <row r="118">
      <c r="A118" s="31" t="inlineStr">
        <is>
          <t>29 Jun</t>
        </is>
      </c>
      <c r="B118" s="31" t="inlineStr">
        <is>
          <t>37533</t>
        </is>
      </c>
      <c r="C118" s="31" t="inlineStr">
        <is>
          <t>POSTTRIP</t>
        </is>
      </c>
      <c r="D118" s="31" t="inlineStr">
        <is>
          <t>SR</t>
        </is>
      </c>
      <c r="E118" s="31" t="inlineStr">
        <is>
          <t>18:11:58</t>
        </is>
      </c>
      <c r="F118" s="31" t="inlineStr">
        <is>
          <t>18:12:56</t>
        </is>
      </c>
      <c r="G118" s="31" t="n">
        <v>58</v>
      </c>
      <c r="H118" s="31" t="n">
        <v>28</v>
      </c>
      <c r="I118" s="32" t="n">
        <v>921.05</v>
      </c>
      <c r="J118" s="31" t="inlineStr">
        <is>
          <t>Kota Jn.(KOTA) CENTRAL</t>
        </is>
      </c>
      <c r="K118" s="31" t="inlineStr">
        <is>
          <t>U</t>
        </is>
      </c>
      <c r="L118" s="31" t="inlineStr">
        <is>
          <t>Non-Valid</t>
        </is>
      </c>
    </row>
    <row r="119">
      <c r="A119" s="31" t="inlineStr">
        <is>
          <t>29 Jun</t>
        </is>
      </c>
      <c r="B119" s="31" t="inlineStr">
        <is>
          <t>37533</t>
        </is>
      </c>
      <c r="C119" s="31" t="inlineStr">
        <is>
          <t>FS</t>
        </is>
      </c>
      <c r="D119" s="31" t="inlineStr">
        <is>
          <t>SR</t>
        </is>
      </c>
      <c r="E119" s="31" t="inlineStr">
        <is>
          <t>18:16:44</t>
        </is>
      </c>
      <c r="F119" s="31" t="inlineStr">
        <is>
          <t>18:18:30</t>
        </is>
      </c>
      <c r="G119" s="31" t="n">
        <v>106</v>
      </c>
      <c r="H119" s="31" t="n">
        <v>42</v>
      </c>
      <c r="I119" s="32" t="n">
        <v>922.61</v>
      </c>
      <c r="J119" s="31" t="inlineStr">
        <is>
          <t>KOTA C</t>
        </is>
      </c>
      <c r="K119" s="31" t="inlineStr">
        <is>
          <t>U</t>
        </is>
      </c>
      <c r="L119" s="31" t="inlineStr">
        <is>
          <t>Non-Valid</t>
        </is>
      </c>
    </row>
    <row r="120">
      <c r="A120" s="31" t="inlineStr">
        <is>
          <t>29 Jun</t>
        </is>
      </c>
      <c r="B120" s="31" t="inlineStr">
        <is>
          <t>37465</t>
        </is>
      </c>
      <c r="C120" s="31" t="inlineStr">
        <is>
          <t>FS</t>
        </is>
      </c>
      <c r="D120" s="31" t="inlineStr">
        <is>
          <t>SR</t>
        </is>
      </c>
      <c r="E120" s="31" t="inlineStr">
        <is>
          <t>18:22:12</t>
        </is>
      </c>
      <c r="F120" s="31" t="inlineStr">
        <is>
          <t>18:23:36</t>
        </is>
      </c>
      <c r="G120" s="31" t="n">
        <v>84</v>
      </c>
      <c r="H120" s="31" t="n">
        <v>86</v>
      </c>
      <c r="I120" s="32" t="n">
        <v>944.05</v>
      </c>
      <c r="J120" s="31" t="inlineStr">
        <is>
          <t>Arnetha(ARE)</t>
        </is>
      </c>
      <c r="K120" s="31" t="inlineStr">
        <is>
          <t>R</t>
        </is>
      </c>
      <c r="L120" s="31" t="inlineStr">
        <is>
          <t>Non-Valid</t>
        </is>
      </c>
    </row>
    <row r="121">
      <c r="A121" s="16" t="inlineStr">
        <is>
          <t>29 Jun</t>
        </is>
      </c>
      <c r="B121" s="16" t="inlineStr">
        <is>
          <t>39522</t>
        </is>
      </c>
      <c r="C121" s="16" t="inlineStr">
        <is>
          <t>OS</t>
        </is>
      </c>
      <c r="D121" s="16" t="inlineStr">
        <is>
          <t>SR</t>
        </is>
      </c>
      <c r="E121" s="16" t="inlineStr">
        <is>
          <t>18:32:22</t>
        </is>
      </c>
      <c r="F121" s="16" t="inlineStr">
        <is>
          <t>18:32:22</t>
        </is>
      </c>
      <c r="G121" s="16" t="n">
        <v>0</v>
      </c>
      <c r="H121" s="16" t="n">
        <v>1</v>
      </c>
      <c r="I121" s="35" t="n">
        <v>1242.76</v>
      </c>
      <c r="J121" s="16" t="inlineStr">
        <is>
          <t>IBH 265</t>
        </is>
      </c>
      <c r="K121" s="16" t="inlineStr">
        <is>
          <t>R</t>
        </is>
      </c>
      <c r="L121" s="16" t="inlineStr">
        <is>
          <t>Valid</t>
        </is>
      </c>
    </row>
    <row r="122">
      <c r="A122" s="16" t="inlineStr">
        <is>
          <t>29 Jun</t>
        </is>
      </c>
      <c r="B122" s="16" t="inlineStr">
        <is>
          <t>39522</t>
        </is>
      </c>
      <c r="C122" s="16" t="inlineStr">
        <is>
          <t>FS</t>
        </is>
      </c>
      <c r="D122" s="16" t="inlineStr">
        <is>
          <t>SR</t>
        </is>
      </c>
      <c r="E122" s="16" t="inlineStr">
        <is>
          <t>18:35:52</t>
        </is>
      </c>
      <c r="F122" s="16" t="inlineStr">
        <is>
          <t>18:35:52</t>
        </is>
      </c>
      <c r="G122" s="16" t="n">
        <v>0</v>
      </c>
      <c r="H122" s="16" t="n">
        <v>1</v>
      </c>
      <c r="I122" s="35" t="n">
        <v>1237.21</v>
      </c>
      <c r="J122" s="16" t="inlineStr">
        <is>
          <t>Murhesi Rampur(MSRP)</t>
        </is>
      </c>
      <c r="K122" s="16" t="inlineStr">
        <is>
          <t>U</t>
        </is>
      </c>
      <c r="L122" s="16" t="inlineStr">
        <is>
          <t>Valid</t>
        </is>
      </c>
    </row>
    <row r="123">
      <c r="A123" s="16" t="inlineStr">
        <is>
          <t>29 Jun</t>
        </is>
      </c>
      <c r="B123" s="16" t="inlineStr">
        <is>
          <t>39522</t>
        </is>
      </c>
      <c r="C123" s="16" t="inlineStr">
        <is>
          <t>FS</t>
        </is>
      </c>
      <c r="D123" s="16" t="inlineStr">
        <is>
          <t>SR</t>
        </is>
      </c>
      <c r="E123" s="16" t="inlineStr">
        <is>
          <t>18:35:54</t>
        </is>
      </c>
      <c r="F123" s="16" t="inlineStr">
        <is>
          <t>18:39:20</t>
        </is>
      </c>
      <c r="G123" s="16" t="n">
        <v>206</v>
      </c>
      <c r="H123" s="16" t="n">
        <v>136</v>
      </c>
      <c r="I123" s="35" t="n">
        <v>1236.72</v>
      </c>
      <c r="J123" s="16" t="inlineStr">
        <is>
          <t>Murhesi Rampur(MSRP)</t>
        </is>
      </c>
      <c r="K123" s="16" t="inlineStr">
        <is>
          <t>U</t>
        </is>
      </c>
      <c r="L123" s="16" t="inlineStr">
        <is>
          <t>Valid</t>
        </is>
      </c>
    </row>
    <row r="124">
      <c r="A124" s="31" t="inlineStr">
        <is>
          <t>29 Jun</t>
        </is>
      </c>
      <c r="B124" s="31" t="inlineStr">
        <is>
          <t>37746</t>
        </is>
      </c>
      <c r="C124" s="31" t="inlineStr">
        <is>
          <t>OS</t>
        </is>
      </c>
      <c r="D124" s="31" t="inlineStr">
        <is>
          <t>SR</t>
        </is>
      </c>
      <c r="E124" s="31" t="inlineStr">
        <is>
          <t>18:50:22</t>
        </is>
      </c>
      <c r="F124" s="31" t="inlineStr">
        <is>
          <t>18:50:22</t>
        </is>
      </c>
      <c r="G124" s="31" t="n">
        <v>0</v>
      </c>
      <c r="H124" s="31" t="n">
        <v>1</v>
      </c>
      <c r="I124" s="32" t="n">
        <v>1242.86</v>
      </c>
      <c r="J124" s="31" t="inlineStr">
        <is>
          <t>IBH 265</t>
        </is>
      </c>
      <c r="K124" s="31" t="inlineStr">
        <is>
          <t>R</t>
        </is>
      </c>
      <c r="L124" s="31" t="inlineStr">
        <is>
          <t>Non-Valid</t>
        </is>
      </c>
    </row>
    <row r="125">
      <c r="A125" s="31" t="inlineStr">
        <is>
          <t>29 Jun</t>
        </is>
      </c>
      <c r="B125" s="31" t="inlineStr">
        <is>
          <t>30396</t>
        </is>
      </c>
      <c r="C125" s="31" t="inlineStr">
        <is>
          <t>FS</t>
        </is>
      </c>
      <c r="D125" s="31" t="inlineStr">
        <is>
          <t>SR</t>
        </is>
      </c>
      <c r="E125" s="31" t="inlineStr">
        <is>
          <t>19:37:28</t>
        </is>
      </c>
      <c r="F125" s="31" t="inlineStr">
        <is>
          <t>19:37:42</t>
        </is>
      </c>
      <c r="G125" s="31" t="n">
        <v>14</v>
      </c>
      <c r="H125" s="31" t="n">
        <v>9</v>
      </c>
      <c r="I125" s="32" t="n">
        <v>1090.16</v>
      </c>
      <c r="J125" s="31" t="inlineStr">
        <is>
          <t>Gangapur City(GGC)</t>
        </is>
      </c>
      <c r="K125" s="31" t="inlineStr">
        <is>
          <t>U</t>
        </is>
      </c>
      <c r="L125" s="31" t="inlineStr">
        <is>
          <t>Non-Valid</t>
        </is>
      </c>
    </row>
    <row r="126">
      <c r="A126" s="31" t="inlineStr">
        <is>
          <t>29 Jun</t>
        </is>
      </c>
      <c r="B126" s="31" t="inlineStr">
        <is>
          <t>37839</t>
        </is>
      </c>
      <c r="C126" s="31" t="inlineStr">
        <is>
          <t>FS</t>
        </is>
      </c>
      <c r="D126" s="31" t="inlineStr">
        <is>
          <t>SR</t>
        </is>
      </c>
      <c r="E126" s="31" t="inlineStr">
        <is>
          <t>19:38:48</t>
        </is>
      </c>
      <c r="F126" s="31" t="inlineStr">
        <is>
          <t>19:42:24</t>
        </is>
      </c>
      <c r="G126" s="31" t="n">
        <v>216</v>
      </c>
      <c r="H126" s="31" t="n">
        <v>137</v>
      </c>
      <c r="I126" s="32" t="n">
        <v>1236.73</v>
      </c>
      <c r="J126" s="31" t="inlineStr">
        <is>
          <t>Murhesi Rampur(MSRP)</t>
        </is>
      </c>
      <c r="K126" s="31" t="inlineStr">
        <is>
          <t>U</t>
        </is>
      </c>
      <c r="L126" s="31" t="inlineStr">
        <is>
          <t>Non-Valid</t>
        </is>
      </c>
    </row>
    <row r="127">
      <c r="A127" s="16" t="inlineStr">
        <is>
          <t>29 Jun</t>
        </is>
      </c>
      <c r="B127" s="16" t="inlineStr">
        <is>
          <t>37163</t>
        </is>
      </c>
      <c r="C127" s="16" t="inlineStr">
        <is>
          <t>FS</t>
        </is>
      </c>
      <c r="D127" s="16" t="inlineStr">
        <is>
          <t>SR</t>
        </is>
      </c>
      <c r="E127" s="16" t="inlineStr">
        <is>
          <t>20:55:34</t>
        </is>
      </c>
      <c r="F127" s="16" t="inlineStr">
        <is>
          <t>20:55:34</t>
        </is>
      </c>
      <c r="G127" s="16" t="n">
        <v>0</v>
      </c>
      <c r="H127" s="16" t="n">
        <v>1</v>
      </c>
      <c r="I127" s="35" t="n">
        <v>1091.24</v>
      </c>
      <c r="J127" s="16" t="inlineStr">
        <is>
          <t>Gangapur City(GGC)</t>
        </is>
      </c>
      <c r="K127" s="16" t="inlineStr">
        <is>
          <t>U</t>
        </is>
      </c>
      <c r="L127" s="16" t="inlineStr">
        <is>
          <t>Valid</t>
        </is>
      </c>
    </row>
    <row r="128">
      <c r="A128" s="16" t="inlineStr">
        <is>
          <t>29 Jun</t>
        </is>
      </c>
      <c r="B128" s="16" t="inlineStr">
        <is>
          <t>37163</t>
        </is>
      </c>
      <c r="C128" s="16" t="inlineStr">
        <is>
          <t>FS</t>
        </is>
      </c>
      <c r="D128" s="16" t="inlineStr">
        <is>
          <t>SR</t>
        </is>
      </c>
      <c r="E128" s="16" t="inlineStr">
        <is>
          <t>20:55:36</t>
        </is>
      </c>
      <c r="F128" s="16" t="inlineStr">
        <is>
          <t>20:57:26</t>
        </is>
      </c>
      <c r="G128" s="16" t="n">
        <v>110</v>
      </c>
      <c r="H128" s="16" t="n">
        <v>73</v>
      </c>
      <c r="I128" s="35" t="n">
        <v>1091.49</v>
      </c>
      <c r="J128" s="16" t="inlineStr">
        <is>
          <t>Gangapur City(GGC)</t>
        </is>
      </c>
      <c r="K128" s="16" t="inlineStr">
        <is>
          <t>U</t>
        </is>
      </c>
      <c r="L128" s="16" t="inlineStr">
        <is>
          <t>Valid</t>
        </is>
      </c>
    </row>
    <row r="129">
      <c r="A129" s="31" t="inlineStr">
        <is>
          <t>29 Jun</t>
        </is>
      </c>
      <c r="B129" s="31" t="inlineStr">
        <is>
          <t>30396</t>
        </is>
      </c>
      <c r="C129" s="31" t="inlineStr">
        <is>
          <t>FS</t>
        </is>
      </c>
      <c r="D129" s="31" t="inlineStr">
        <is>
          <t>SR</t>
        </is>
      </c>
      <c r="E129" s="31" t="inlineStr">
        <is>
          <t>21:12:12</t>
        </is>
      </c>
      <c r="F129" s="31" t="inlineStr">
        <is>
          <t>21:12:28</t>
        </is>
      </c>
      <c r="G129" s="31" t="n">
        <v>16</v>
      </c>
      <c r="H129" s="31" t="n">
        <v>11</v>
      </c>
      <c r="I129" s="32" t="n">
        <v>1214.15</v>
      </c>
      <c r="J129" s="31" t="inlineStr">
        <is>
          <t>IBH-247</t>
        </is>
      </c>
      <c r="K129" s="31" t="inlineStr">
        <is>
          <t>U</t>
        </is>
      </c>
      <c r="L129" s="31" t="inlineStr">
        <is>
          <t>Non-Valid</t>
        </is>
      </c>
    </row>
    <row r="130">
      <c r="A130" s="31" t="inlineStr">
        <is>
          <t>29 Jun</t>
        </is>
      </c>
      <c r="B130" s="31" t="inlineStr">
        <is>
          <t>30396</t>
        </is>
      </c>
      <c r="C130" s="31" t="inlineStr">
        <is>
          <t>OS</t>
        </is>
      </c>
      <c r="D130" s="31" t="inlineStr">
        <is>
          <t>SR</t>
        </is>
      </c>
      <c r="E130" s="31" t="inlineStr">
        <is>
          <t>21:12:30</t>
        </is>
      </c>
      <c r="F130" s="31" t="inlineStr">
        <is>
          <t>21:12:30</t>
        </is>
      </c>
      <c r="G130" s="31" t="n">
        <v>0</v>
      </c>
      <c r="H130" s="31" t="n">
        <v>1</v>
      </c>
      <c r="I130" s="32" t="n">
        <v>1214.32</v>
      </c>
      <c r="J130" s="31" t="inlineStr">
        <is>
          <t>IBH-247</t>
        </is>
      </c>
      <c r="K130" s="31" t="inlineStr">
        <is>
          <t>N</t>
        </is>
      </c>
      <c r="L130" s="31" t="inlineStr">
        <is>
          <t>Non-Valid</t>
        </is>
      </c>
    </row>
    <row r="131">
      <c r="A131" s="31" t="inlineStr">
        <is>
          <t>29 Jun</t>
        </is>
      </c>
      <c r="B131" s="31" t="inlineStr">
        <is>
          <t>30396</t>
        </is>
      </c>
      <c r="C131" s="31" t="inlineStr">
        <is>
          <t>FS</t>
        </is>
      </c>
      <c r="D131" s="31" t="inlineStr">
        <is>
          <t>SR</t>
        </is>
      </c>
      <c r="E131" s="31" t="inlineStr">
        <is>
          <t>21:25:42</t>
        </is>
      </c>
      <c r="F131" s="31" t="inlineStr">
        <is>
          <t>21:25:42</t>
        </is>
      </c>
      <c r="G131" s="31" t="n">
        <v>0</v>
      </c>
      <c r="H131" s="31" t="n">
        <v>1</v>
      </c>
      <c r="I131" s="32" t="n">
        <v>1240.15</v>
      </c>
      <c r="J131" s="31" t="inlineStr">
        <is>
          <t>IBH 265</t>
        </is>
      </c>
      <c r="K131" s="31" t="inlineStr">
        <is>
          <t>N</t>
        </is>
      </c>
      <c r="L131" s="31" t="inlineStr">
        <is>
          <t>Non-Valid</t>
        </is>
      </c>
    </row>
    <row r="132">
      <c r="A132" s="31" t="inlineStr">
        <is>
          <t>29 Jun</t>
        </is>
      </c>
      <c r="B132" s="31" t="inlineStr">
        <is>
          <t>37839</t>
        </is>
      </c>
      <c r="C132" s="31" t="inlineStr">
        <is>
          <t>FS</t>
        </is>
      </c>
      <c r="D132" s="31" t="inlineStr">
        <is>
          <t>SR</t>
        </is>
      </c>
      <c r="E132" s="31" t="inlineStr">
        <is>
          <t>22:48:10</t>
        </is>
      </c>
      <c r="F132" s="31" t="inlineStr">
        <is>
          <t>22:48:12</t>
        </is>
      </c>
      <c r="G132" s="31" t="n">
        <v>2</v>
      </c>
      <c r="H132" s="31" t="n">
        <v>4</v>
      </c>
      <c r="I132" s="32" t="n">
        <v>988.49</v>
      </c>
      <c r="J132" s="31" t="inlineStr">
        <is>
          <t>IBH-LKE</t>
        </is>
      </c>
      <c r="K132" s="31" t="inlineStr">
        <is>
          <t>R</t>
        </is>
      </c>
      <c r="L132" s="31" t="inlineStr">
        <is>
          <t>Non-Valid</t>
        </is>
      </c>
    </row>
    <row r="133">
      <c r="A133" s="31" t="inlineStr">
        <is>
          <t>29 Jun</t>
        </is>
      </c>
      <c r="B133" s="31" t="inlineStr">
        <is>
          <t>39027</t>
        </is>
      </c>
      <c r="C133" s="31" t="inlineStr">
        <is>
          <t>FS</t>
        </is>
      </c>
      <c r="D133" s="31" t="inlineStr">
        <is>
          <t>SR</t>
        </is>
      </c>
      <c r="E133" s="31" t="inlineStr">
        <is>
          <t>22:52:16</t>
        </is>
      </c>
      <c r="F133" s="31" t="inlineStr">
        <is>
          <t>22:53:22</t>
        </is>
      </c>
      <c r="G133" s="31" t="n">
        <v>66</v>
      </c>
      <c r="H133" s="31" t="n">
        <v>36</v>
      </c>
      <c r="I133" s="32" t="n">
        <v>748.2</v>
      </c>
      <c r="J133" s="31" t="inlineStr">
        <is>
          <t>IBH-27</t>
        </is>
      </c>
      <c r="K133" s="31" t="inlineStr">
        <is>
          <t>U</t>
        </is>
      </c>
      <c r="L133" s="31" t="inlineStr">
        <is>
          <t>Non-Valid</t>
        </is>
      </c>
    </row>
    <row r="134">
      <c r="A134" s="16" t="inlineStr">
        <is>
          <t>29 Jun</t>
        </is>
      </c>
      <c r="B134" s="16" t="inlineStr">
        <is>
          <t>37163</t>
        </is>
      </c>
      <c r="C134" s="16" t="inlineStr">
        <is>
          <t>FS</t>
        </is>
      </c>
      <c r="D134" s="16" t="inlineStr">
        <is>
          <t>SR</t>
        </is>
      </c>
      <c r="E134" s="16" t="inlineStr">
        <is>
          <t>22:57:14</t>
        </is>
      </c>
      <c r="F134" s="16" t="inlineStr">
        <is>
          <t>22:59:04</t>
        </is>
      </c>
      <c r="G134" s="16" t="n">
        <v>110</v>
      </c>
      <c r="H134" s="16" t="n">
        <v>57</v>
      </c>
      <c r="I134" s="35" t="n">
        <v>1210.01</v>
      </c>
      <c r="J134" s="16" t="inlineStr">
        <is>
          <t>Bharatpur Jn.(BTE)</t>
        </is>
      </c>
      <c r="K134" s="16" t="inlineStr">
        <is>
          <t>U</t>
        </is>
      </c>
      <c r="L134" s="16" t="inlineStr">
        <is>
          <t>Valid</t>
        </is>
      </c>
    </row>
    <row r="135">
      <c r="A135" s="16" t="inlineStr">
        <is>
          <t>29 Jun</t>
        </is>
      </c>
      <c r="B135" s="16" t="inlineStr">
        <is>
          <t>37163</t>
        </is>
      </c>
      <c r="C135" s="16" t="inlineStr">
        <is>
          <t>OS</t>
        </is>
      </c>
      <c r="D135" s="16" t="inlineStr">
        <is>
          <t>SR</t>
        </is>
      </c>
      <c r="E135" s="16" t="inlineStr">
        <is>
          <t>22:59:06</t>
        </is>
      </c>
      <c r="F135" s="16" t="inlineStr">
        <is>
          <t>22:59:06</t>
        </is>
      </c>
      <c r="G135" s="16" t="n">
        <v>0</v>
      </c>
      <c r="H135" s="16" t="n">
        <v>1</v>
      </c>
      <c r="I135" s="35" t="n">
        <v>1210.03</v>
      </c>
      <c r="J135" s="16" t="inlineStr">
        <is>
          <t>Bharatpur Jn.(BTE)</t>
        </is>
      </c>
      <c r="K135" s="16" t="inlineStr">
        <is>
          <t>N</t>
        </is>
      </c>
      <c r="L135" s="16" t="inlineStr">
        <is>
          <t>Valid</t>
        </is>
      </c>
    </row>
    <row r="136">
      <c r="A136" s="31" t="inlineStr">
        <is>
          <t>29 Jun</t>
        </is>
      </c>
      <c r="B136" s="31" t="inlineStr">
        <is>
          <t>30390</t>
        </is>
      </c>
      <c r="C136" s="31" t="inlineStr">
        <is>
          <t>OS</t>
        </is>
      </c>
      <c r="D136" s="31" t="inlineStr">
        <is>
          <t>SR</t>
        </is>
      </c>
      <c r="E136" s="31" t="inlineStr">
        <is>
          <t>23:23:34</t>
        </is>
      </c>
      <c r="F136" s="31" t="inlineStr">
        <is>
          <t>23:25:16</t>
        </is>
      </c>
      <c r="G136" s="31" t="n">
        <v>102</v>
      </c>
      <c r="H136" s="31" t="n">
        <v>104</v>
      </c>
      <c r="I136" s="32" t="n">
        <v>699.42</v>
      </c>
      <c r="J136" s="31" t="inlineStr">
        <is>
          <t>IBH-1</t>
        </is>
      </c>
      <c r="K136" s="31" t="inlineStr">
        <is>
          <t>N</t>
        </is>
      </c>
      <c r="L136" s="31" t="inlineStr">
        <is>
          <t>Non-Valid</t>
        </is>
      </c>
    </row>
    <row r="137">
      <c r="A137" s="31" t="inlineStr">
        <is>
          <t>29 Jun</t>
        </is>
      </c>
      <c r="B137" s="31" t="inlineStr">
        <is>
          <t>39108</t>
        </is>
      </c>
      <c r="C137" s="31" t="inlineStr">
        <is>
          <t>FS</t>
        </is>
      </c>
      <c r="D137" s="31" t="inlineStr">
        <is>
          <t>SR</t>
        </is>
      </c>
      <c r="E137" s="31" t="inlineStr">
        <is>
          <t>23:35:08</t>
        </is>
      </c>
      <c r="F137" s="31" t="inlineStr">
        <is>
          <t>23:36:20</t>
        </is>
      </c>
      <c r="G137" s="31" t="n">
        <v>72</v>
      </c>
      <c r="H137" s="31" t="n">
        <v>38</v>
      </c>
      <c r="I137" s="32" t="n">
        <v>1090.7</v>
      </c>
      <c r="J137" s="31" t="inlineStr">
        <is>
          <t>Gangapur City(GGC)</t>
        </is>
      </c>
      <c r="K137" s="31" t="inlineStr">
        <is>
          <t>U</t>
        </is>
      </c>
      <c r="L137" s="31" t="inlineStr">
        <is>
          <t>Non-Valid</t>
        </is>
      </c>
    </row>
    <row r="138">
      <c r="A138" s="31" t="inlineStr">
        <is>
          <t>29 Jun</t>
        </is>
      </c>
      <c r="B138" s="31" t="inlineStr">
        <is>
          <t>37515</t>
        </is>
      </c>
      <c r="C138" s="31" t="inlineStr">
        <is>
          <t>FS</t>
        </is>
      </c>
      <c r="D138" s="31" t="inlineStr">
        <is>
          <t>SR</t>
        </is>
      </c>
      <c r="E138" s="31" t="inlineStr">
        <is>
          <t>23:36:50</t>
        </is>
      </c>
      <c r="F138" s="31" t="inlineStr">
        <is>
          <t>23:36:50</t>
        </is>
      </c>
      <c r="G138" s="31" t="n">
        <v>0</v>
      </c>
      <c r="H138" s="31" t="n">
        <v>1</v>
      </c>
      <c r="I138" s="32" t="n">
        <v>747.08</v>
      </c>
      <c r="J138" s="31" t="inlineStr">
        <is>
          <t>IBH-27</t>
        </is>
      </c>
      <c r="K138" s="31" t="inlineStr">
        <is>
          <t>U</t>
        </is>
      </c>
      <c r="L138" s="31" t="inlineStr">
        <is>
          <t>Non-Valid</t>
        </is>
      </c>
    </row>
    <row r="139">
      <c r="A139" s="31" t="inlineStr">
        <is>
          <t>29 Jun</t>
        </is>
      </c>
      <c r="B139" s="31" t="inlineStr">
        <is>
          <t>37515</t>
        </is>
      </c>
      <c r="C139" s="31" t="inlineStr">
        <is>
          <t>FS</t>
        </is>
      </c>
      <c r="D139" s="31" t="inlineStr">
        <is>
          <t>SR</t>
        </is>
      </c>
      <c r="E139" s="31" t="inlineStr">
        <is>
          <t>23:36:52</t>
        </is>
      </c>
      <c r="F139" s="31" t="inlineStr">
        <is>
          <t>23:37:56</t>
        </is>
      </c>
      <c r="G139" s="31" t="n">
        <v>64</v>
      </c>
      <c r="H139" s="31" t="n">
        <v>34</v>
      </c>
      <c r="I139" s="32" t="n">
        <v>748.24</v>
      </c>
      <c r="J139" s="31" t="inlineStr">
        <is>
          <t>IBH-27</t>
        </is>
      </c>
      <c r="K139" s="31" t="inlineStr">
        <is>
          <t>U</t>
        </is>
      </c>
      <c r="L139" s="31" t="inlineStr">
        <is>
          <t>Non-Valid</t>
        </is>
      </c>
    </row>
    <row r="140">
      <c r="A140" s="31" t="inlineStr">
        <is>
          <t>29 Jun</t>
        </is>
      </c>
      <c r="B140" s="31" t="inlineStr">
        <is>
          <t>37515</t>
        </is>
      </c>
      <c r="C140" s="31" t="inlineStr">
        <is>
          <t>OS</t>
        </is>
      </c>
      <c r="D140" s="31" t="inlineStr">
        <is>
          <t>SR</t>
        </is>
      </c>
      <c r="E140" s="31" t="inlineStr">
        <is>
          <t>23:37:58</t>
        </is>
      </c>
      <c r="F140" s="31" t="inlineStr">
        <is>
          <t>23:37:58</t>
        </is>
      </c>
      <c r="G140" s="31" t="n">
        <v>0</v>
      </c>
      <c r="H140" s="31" t="n">
        <v>1</v>
      </c>
      <c r="I140" s="32" t="n">
        <v>749.3200000000001</v>
      </c>
      <c r="J140" s="31" t="inlineStr">
        <is>
          <t>IBH-27</t>
        </is>
      </c>
      <c r="K140" s="31" t="inlineStr">
        <is>
          <t>N</t>
        </is>
      </c>
      <c r="L140" s="31" t="inlineStr">
        <is>
          <t>Non-Valid</t>
        </is>
      </c>
    </row>
    <row r="141">
      <c r="A141" s="16" t="inlineStr">
        <is>
          <t>29 Jun</t>
        </is>
      </c>
      <c r="B141" s="16" t="inlineStr">
        <is>
          <t>37163</t>
        </is>
      </c>
      <c r="C141" s="16" t="inlineStr">
        <is>
          <t>FS</t>
        </is>
      </c>
      <c r="D141" s="16" t="inlineStr">
        <is>
          <t>SR</t>
        </is>
      </c>
      <c r="E141" s="16" t="inlineStr">
        <is>
          <t>23:50:08</t>
        </is>
      </c>
      <c r="F141" s="16" t="inlineStr">
        <is>
          <t>23:51:08</t>
        </is>
      </c>
      <c r="G141" s="16" t="n">
        <v>60</v>
      </c>
      <c r="H141" s="16" t="n">
        <v>49</v>
      </c>
      <c r="I141" s="35" t="n">
        <v>1240.15</v>
      </c>
      <c r="J141" s="16" t="inlineStr">
        <is>
          <t>IBH 265</t>
        </is>
      </c>
      <c r="K141" s="16" t="inlineStr">
        <is>
          <t>N</t>
        </is>
      </c>
      <c r="L141" s="16" t="inlineStr">
        <is>
          <t>Valid</t>
        </is>
      </c>
    </row>
    <row r="142">
      <c r="A142" s="31" t="inlineStr">
        <is>
          <t>29 Jun</t>
        </is>
      </c>
      <c r="B142" s="31" t="inlineStr">
        <is>
          <t>30339</t>
        </is>
      </c>
      <c r="C142" s="31" t="inlineStr">
        <is>
          <t>FS</t>
        </is>
      </c>
      <c r="D142" s="31" t="inlineStr">
        <is>
          <t>SR</t>
        </is>
      </c>
      <c r="E142" s="31" t="inlineStr">
        <is>
          <t>23:54:54</t>
        </is>
      </c>
      <c r="F142" s="31" t="inlineStr">
        <is>
          <t>23:55:18</t>
        </is>
      </c>
      <c r="G142" s="31" t="n">
        <v>24</v>
      </c>
      <c r="H142" s="31" t="n">
        <v>13</v>
      </c>
      <c r="I142" s="32" t="n">
        <v>921.75</v>
      </c>
      <c r="J142" s="31" t="inlineStr">
        <is>
          <t>Kota Jn.(KOTA) CENTRAL</t>
        </is>
      </c>
      <c r="K142" s="31" t="inlineStr">
        <is>
          <t>U</t>
        </is>
      </c>
      <c r="L142" s="31" t="inlineStr">
        <is>
          <t>Non-Valid</t>
        </is>
      </c>
    </row>
    <row r="143">
      <c r="A143" s="31" t="inlineStr">
        <is>
          <t>29 Jun</t>
        </is>
      </c>
      <c r="B143" s="31" t="inlineStr">
        <is>
          <t>39258</t>
        </is>
      </c>
      <c r="C143" s="31" t="inlineStr">
        <is>
          <t>OS</t>
        </is>
      </c>
      <c r="D143" s="31" t="inlineStr">
        <is>
          <t>SR</t>
        </is>
      </c>
      <c r="E143" s="31" t="inlineStr">
        <is>
          <t>23:57:32</t>
        </is>
      </c>
      <c r="F143" s="31" t="inlineStr">
        <is>
          <t>23:57:32</t>
        </is>
      </c>
      <c r="G143" s="31" t="n">
        <v>0</v>
      </c>
      <c r="H143" s="31" t="n">
        <v>1</v>
      </c>
      <c r="I143" s="32" t="n">
        <v>1242.86</v>
      </c>
      <c r="J143" s="31" t="inlineStr">
        <is>
          <t>IBH 265</t>
        </is>
      </c>
      <c r="K143" s="31" t="inlineStr">
        <is>
          <t>R</t>
        </is>
      </c>
      <c r="L143" s="31" t="inlineStr">
        <is>
          <t>Non-Valid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6" t="inlineStr">
        <is>
          <t>Section window: abs 699070 - 1243994  (33001_IBH-265 to 33132_IBH_1).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124)</t>
        </is>
      </c>
      <c r="M4" s="14" t="inlineStr">
        <is>
          <t>Stations Not Passed (if &lt; full trip)</t>
        </is>
      </c>
    </row>
    <row r="5">
      <c r="A5" s="16" t="inlineStr">
        <is>
          <t>29 Jun</t>
        </is>
      </c>
      <c r="B5" s="16" t="inlineStr">
        <is>
          <t>39176</t>
        </is>
      </c>
      <c r="C5" s="16" t="n">
        <v>22896</v>
      </c>
      <c r="D5" s="16" t="n">
        <v>22748</v>
      </c>
      <c r="E5" s="16" t="n">
        <v>20609</v>
      </c>
      <c r="F5" s="37" t="n">
        <v>657142</v>
      </c>
      <c r="G5" s="37" t="n">
        <v>1474572</v>
      </c>
      <c r="H5" s="37" t="n">
        <v>699075</v>
      </c>
      <c r="I5" s="37" t="n">
        <v>1242956</v>
      </c>
      <c r="J5" s="19">
        <f>(I5-H5)/1000</f>
        <v/>
      </c>
      <c r="K5" s="16" t="inlineStr">
        <is>
          <t>Yes</t>
        </is>
      </c>
      <c r="L5" s="16" t="n">
        <v>124</v>
      </c>
      <c r="M5" s="38" t="inlineStr">
        <is>
          <t>- (full trip)</t>
        </is>
      </c>
    </row>
    <row r="6">
      <c r="A6" s="16" t="inlineStr">
        <is>
          <t>29 Jun</t>
        </is>
      </c>
      <c r="B6" s="16" t="inlineStr">
        <is>
          <t>37397</t>
        </is>
      </c>
      <c r="C6" s="16" t="n">
        <v>19740</v>
      </c>
      <c r="D6" s="16" t="n">
        <v>19664</v>
      </c>
      <c r="E6" s="16" t="n">
        <v>18398</v>
      </c>
      <c r="F6" s="37" t="n">
        <v>657308</v>
      </c>
      <c r="G6" s="37" t="n">
        <v>1441845</v>
      </c>
      <c r="H6" s="37" t="n">
        <v>699093</v>
      </c>
      <c r="I6" s="37" t="n">
        <v>1242938</v>
      </c>
      <c r="J6" s="19">
        <f>(I6-H6)/1000</f>
        <v/>
      </c>
      <c r="K6" s="16" t="inlineStr">
        <is>
          <t>Yes</t>
        </is>
      </c>
      <c r="L6" s="16" t="n">
        <v>124</v>
      </c>
      <c r="M6" s="38" t="inlineStr">
        <is>
          <t>- (full trip)</t>
        </is>
      </c>
    </row>
    <row r="7">
      <c r="A7" s="16" t="inlineStr">
        <is>
          <t>29 Jun</t>
        </is>
      </c>
      <c r="B7" s="16" t="inlineStr">
        <is>
          <t>37582</t>
        </is>
      </c>
      <c r="C7" s="16" t="n">
        <v>23180</v>
      </c>
      <c r="D7" s="16" t="n">
        <v>23088</v>
      </c>
      <c r="E7" s="16" t="n">
        <v>21910</v>
      </c>
      <c r="F7" s="37" t="n">
        <v>657187</v>
      </c>
      <c r="G7" s="37" t="n">
        <v>1438041</v>
      </c>
      <c r="H7" s="37" t="n">
        <v>699098</v>
      </c>
      <c r="I7" s="37" t="n">
        <v>1242950</v>
      </c>
      <c r="J7" s="19">
        <f>(I7-H7)/1000</f>
        <v/>
      </c>
      <c r="K7" s="16" t="inlineStr">
        <is>
          <t>Yes</t>
        </is>
      </c>
      <c r="L7" s="16" t="n">
        <v>124</v>
      </c>
      <c r="M7" s="38" t="inlineStr">
        <is>
          <t>- (full trip)</t>
        </is>
      </c>
    </row>
    <row r="8">
      <c r="A8" s="16" t="inlineStr">
        <is>
          <t>29 Jun</t>
        </is>
      </c>
      <c r="B8" s="16" t="inlineStr">
        <is>
          <t>37266</t>
        </is>
      </c>
      <c r="C8" s="16" t="n">
        <v>18442</v>
      </c>
      <c r="D8" s="16" t="n">
        <v>18420</v>
      </c>
      <c r="E8" s="16" t="n">
        <v>17361</v>
      </c>
      <c r="F8" s="37" t="n">
        <v>657710</v>
      </c>
      <c r="G8" s="37" t="n">
        <v>1436474</v>
      </c>
      <c r="H8" s="37" t="n">
        <v>699092</v>
      </c>
      <c r="I8" s="37" t="n">
        <v>1242736</v>
      </c>
      <c r="J8" s="19">
        <f>(I8-H8)/1000</f>
        <v/>
      </c>
      <c r="K8" s="16" t="inlineStr">
        <is>
          <t>Yes</t>
        </is>
      </c>
      <c r="L8" s="16" t="n">
        <v>124</v>
      </c>
      <c r="M8" s="38" t="inlineStr">
        <is>
          <t>- (full trip)</t>
        </is>
      </c>
    </row>
    <row r="9">
      <c r="A9" s="16" t="inlineStr">
        <is>
          <t>29 Jun</t>
        </is>
      </c>
      <c r="B9" s="16" t="inlineStr">
        <is>
          <t>39522</t>
        </is>
      </c>
      <c r="C9" s="16" t="n">
        <v>17676</v>
      </c>
      <c r="D9" s="16" t="n">
        <v>17607</v>
      </c>
      <c r="E9" s="16" t="n">
        <v>17164</v>
      </c>
      <c r="F9" s="37" t="n">
        <v>700745</v>
      </c>
      <c r="G9" s="37" t="n">
        <v>1449264</v>
      </c>
      <c r="H9" s="37" t="n">
        <v>700745</v>
      </c>
      <c r="I9" s="37" t="n">
        <v>1242904</v>
      </c>
      <c r="J9" s="19">
        <f>(I9-H9)/1000</f>
        <v/>
      </c>
      <c r="K9" s="16" t="inlineStr">
        <is>
          <t>Yes</t>
        </is>
      </c>
      <c r="L9" s="16" t="n">
        <v>124</v>
      </c>
      <c r="M9" s="38" t="inlineStr">
        <is>
          <t>- (full trip)</t>
        </is>
      </c>
    </row>
    <row r="10">
      <c r="A10" s="16" t="inlineStr">
        <is>
          <t>29 Jun</t>
        </is>
      </c>
      <c r="B10" s="16" t="inlineStr">
        <is>
          <t>39521</t>
        </is>
      </c>
      <c r="C10" s="16" t="n">
        <v>19906</v>
      </c>
      <c r="D10" s="16" t="n">
        <v>19872</v>
      </c>
      <c r="E10" s="16" t="n">
        <v>17250</v>
      </c>
      <c r="F10" s="37" t="n">
        <v>655541</v>
      </c>
      <c r="G10" s="37" t="n">
        <v>1463557</v>
      </c>
      <c r="H10" s="37" t="n">
        <v>699080</v>
      </c>
      <c r="I10" s="37" t="n">
        <v>1240729</v>
      </c>
      <c r="J10" s="19">
        <f>(I10-H10)/1000</f>
        <v/>
      </c>
      <c r="K10" s="16" t="inlineStr">
        <is>
          <t>Yes</t>
        </is>
      </c>
      <c r="L10" s="16" t="n">
        <v>124</v>
      </c>
      <c r="M10" s="38" t="inlineStr">
        <is>
          <t>- (full trip)</t>
        </is>
      </c>
    </row>
    <row r="11">
      <c r="A11" s="16" t="inlineStr">
        <is>
          <t>29 Jun</t>
        </is>
      </c>
      <c r="B11" s="16" t="inlineStr">
        <is>
          <t>37632</t>
        </is>
      </c>
      <c r="C11" s="16" t="n">
        <v>19919</v>
      </c>
      <c r="D11" s="16" t="n">
        <v>19895</v>
      </c>
      <c r="E11" s="16" t="n">
        <v>16677</v>
      </c>
      <c r="F11" s="37" t="n">
        <v>613726</v>
      </c>
      <c r="G11" s="37" t="n">
        <v>1437034</v>
      </c>
      <c r="H11" s="37" t="n">
        <v>699070</v>
      </c>
      <c r="I11" s="37" t="n">
        <v>1240708</v>
      </c>
      <c r="J11" s="19">
        <f>(I11-H11)/1000</f>
        <v/>
      </c>
      <c r="K11" s="16" t="inlineStr">
        <is>
          <t>Yes</t>
        </is>
      </c>
      <c r="L11" s="16" t="n">
        <v>124</v>
      </c>
      <c r="M11" s="38" t="inlineStr">
        <is>
          <t>- (full trip)</t>
        </is>
      </c>
    </row>
    <row r="12">
      <c r="A12" s="16" t="inlineStr">
        <is>
          <t>29 Jun</t>
        </is>
      </c>
      <c r="B12" s="16" t="inlineStr">
        <is>
          <t>30827</t>
        </is>
      </c>
      <c r="C12" s="16" t="n">
        <v>19372</v>
      </c>
      <c r="D12" s="16" t="n">
        <v>19363</v>
      </c>
      <c r="E12" s="16" t="n">
        <v>17442</v>
      </c>
      <c r="F12" s="37" t="n">
        <v>602006</v>
      </c>
      <c r="G12" s="37" t="n">
        <v>1435757</v>
      </c>
      <c r="H12" s="37" t="n">
        <v>699070</v>
      </c>
      <c r="I12" s="37" t="n">
        <v>1240700</v>
      </c>
      <c r="J12" s="19">
        <f>(I12-H12)/1000</f>
        <v/>
      </c>
      <c r="K12" s="16" t="inlineStr">
        <is>
          <t>Yes</t>
        </is>
      </c>
      <c r="L12" s="16" t="n">
        <v>124</v>
      </c>
      <c r="M12" s="38" t="inlineStr">
        <is>
          <t>- (full trip)</t>
        </is>
      </c>
    </row>
    <row r="13">
      <c r="A13" s="16" t="inlineStr">
        <is>
          <t>29 Jun</t>
        </is>
      </c>
      <c r="B13" s="16" t="inlineStr">
        <is>
          <t>37322</t>
        </is>
      </c>
      <c r="C13" s="16" t="n">
        <v>18859</v>
      </c>
      <c r="D13" s="16" t="n">
        <v>18831</v>
      </c>
      <c r="E13" s="16" t="n">
        <v>17989</v>
      </c>
      <c r="F13" s="37" t="n">
        <v>674338</v>
      </c>
      <c r="G13" s="37" t="n">
        <v>1435749</v>
      </c>
      <c r="H13" s="37" t="n">
        <v>699072</v>
      </c>
      <c r="I13" s="37" t="n">
        <v>1240704</v>
      </c>
      <c r="J13" s="19">
        <f>(I13-H13)/1000</f>
        <v/>
      </c>
      <c r="K13" s="16" t="inlineStr">
        <is>
          <t>Yes</t>
        </is>
      </c>
      <c r="L13" s="16" t="n">
        <v>124</v>
      </c>
      <c r="M13" s="38" t="inlineStr">
        <is>
          <t>- (full trip)</t>
        </is>
      </c>
    </row>
    <row r="14">
      <c r="A14" s="16" t="inlineStr">
        <is>
          <t>29 Jun</t>
        </is>
      </c>
      <c r="B14" s="16" t="inlineStr">
        <is>
          <t>37163</t>
        </is>
      </c>
      <c r="C14" s="16" t="n">
        <v>31088</v>
      </c>
      <c r="D14" s="16" t="n">
        <v>30977</v>
      </c>
      <c r="E14" s="16" t="n">
        <v>29461</v>
      </c>
      <c r="F14" s="37" t="n">
        <v>657105</v>
      </c>
      <c r="G14" s="37" t="n">
        <v>1240710</v>
      </c>
      <c r="H14" s="37" t="n">
        <v>699089</v>
      </c>
      <c r="I14" s="37" t="n">
        <v>1240710</v>
      </c>
      <c r="J14" s="19">
        <f>(I14-H14)/1000</f>
        <v/>
      </c>
      <c r="K14" s="16" t="inlineStr">
        <is>
          <t>Yes</t>
        </is>
      </c>
      <c r="L14" s="16" t="n">
        <v>124</v>
      </c>
      <c r="M14" s="38" t="inlineStr">
        <is>
          <t>- (full trip)</t>
        </is>
      </c>
    </row>
    <row r="15" ht="49" customHeight="1">
      <c r="A15" s="16" t="inlineStr">
        <is>
          <t>29 Jun</t>
        </is>
      </c>
      <c r="B15" s="16" t="inlineStr">
        <is>
          <t>37746</t>
        </is>
      </c>
      <c r="C15" s="16" t="n">
        <v>17156</v>
      </c>
      <c r="D15" s="16" t="n">
        <v>17113</v>
      </c>
      <c r="E15" s="16" t="n">
        <v>16538</v>
      </c>
      <c r="F15" s="37" t="n">
        <v>758910</v>
      </c>
      <c r="G15" s="37" t="n">
        <v>1448661</v>
      </c>
      <c r="H15" s="37" t="n">
        <v>758910</v>
      </c>
      <c r="I15" s="37" t="n">
        <v>1242974</v>
      </c>
      <c r="J15" s="19">
        <f>(I15-H15)/1000</f>
        <v/>
      </c>
      <c r="K15" s="16" t="inlineStr">
        <is>
          <t>Yes</t>
        </is>
      </c>
      <c r="L15" s="16" t="n">
        <v>110</v>
      </c>
      <c r="M15" s="38" t="inlineStr">
        <is>
          <t>Talavli(TLZ), LC-28, IBH-27, Thuria(THUR), IBH-23, VikramgarhA lot(VMA), IBH-17, LuniRichha(LNR), IBH-10, Mehidpur Road(MEP), 3.9 KM  from RLK, Rohalkhurd(RLK), LC-3, IBH-1</t>
        </is>
      </c>
    </row>
    <row r="16" ht="64" customHeight="1">
      <c r="A16" s="16" t="inlineStr">
        <is>
          <t>29 Jun</t>
        </is>
      </c>
      <c r="B16" s="16" t="inlineStr">
        <is>
          <t>30460</t>
        </is>
      </c>
      <c r="C16" s="16" t="n">
        <v>19505</v>
      </c>
      <c r="D16" s="16" t="n">
        <v>19500</v>
      </c>
      <c r="E16" s="16" t="n">
        <v>18042</v>
      </c>
      <c r="F16" s="37" t="n">
        <v>662509</v>
      </c>
      <c r="G16" s="37" t="n">
        <v>1169665</v>
      </c>
      <c r="H16" s="37" t="n">
        <v>699095</v>
      </c>
      <c r="I16" s="37" t="n">
        <v>1169665</v>
      </c>
      <c r="J16" s="19">
        <f>(I16-H16)/1000</f>
        <v/>
      </c>
      <c r="K16" s="16" t="inlineStr">
        <is>
          <t>Yes</t>
        </is>
      </c>
      <c r="L16" s="16" t="n">
        <v>108</v>
      </c>
      <c r="M16" s="38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7" ht="139" customHeight="1">
      <c r="A17" s="16" t="inlineStr">
        <is>
          <t>29 Jun</t>
        </is>
      </c>
      <c r="B17" s="16" t="inlineStr">
        <is>
          <t>30474</t>
        </is>
      </c>
      <c r="C17" s="16" t="n">
        <v>22607</v>
      </c>
      <c r="D17" s="16" t="n">
        <v>22607</v>
      </c>
      <c r="E17" s="16" t="n">
        <v>21200</v>
      </c>
      <c r="F17" s="37" t="n">
        <v>657117</v>
      </c>
      <c r="G17" s="37" t="n">
        <v>1075251</v>
      </c>
      <c r="H17" s="37" t="n">
        <v>699072</v>
      </c>
      <c r="I17" s="37" t="n">
        <v>1075251</v>
      </c>
      <c r="J17" s="19">
        <f>(I17-H17)/1000</f>
        <v/>
      </c>
      <c r="K17" s="16" t="inlineStr">
        <is>
          <t>Yes</t>
        </is>
      </c>
      <c r="L17" s="16" t="n">
        <v>88</v>
      </c>
      <c r="M17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</t>
        </is>
      </c>
    </row>
    <row r="18" ht="169" customHeight="1">
      <c r="A18" s="16" t="inlineStr">
        <is>
          <t>29 Jun</t>
        </is>
      </c>
      <c r="B18" s="16" t="inlineStr">
        <is>
          <t>37633</t>
        </is>
      </c>
      <c r="C18" s="16" t="n">
        <v>28936</v>
      </c>
      <c r="D18" s="16" t="n">
        <v>28782</v>
      </c>
      <c r="E18" s="16" t="n">
        <v>27573</v>
      </c>
      <c r="F18" s="37" t="n">
        <v>655634</v>
      </c>
      <c r="G18" s="37" t="n">
        <v>1028911</v>
      </c>
      <c r="H18" s="37" t="n">
        <v>699096</v>
      </c>
      <c r="I18" s="37" t="n">
        <v>1028911</v>
      </c>
      <c r="J18" s="19">
        <f>(I18-H18)/1000</f>
        <v/>
      </c>
      <c r="K18" s="16" t="inlineStr">
        <is>
          <t>Yes</t>
        </is>
      </c>
      <c r="L18" s="16" t="n">
        <v>77</v>
      </c>
      <c r="M18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9" ht="169" customHeight="1">
      <c r="A19" s="16" t="inlineStr">
        <is>
          <t>29 Jun</t>
        </is>
      </c>
      <c r="B19" s="16" t="inlineStr">
        <is>
          <t>37839</t>
        </is>
      </c>
      <c r="C19" s="16" t="n">
        <v>15017</v>
      </c>
      <c r="D19" s="16" t="n">
        <v>14945</v>
      </c>
      <c r="E19" s="16" t="n">
        <v>13358</v>
      </c>
      <c r="F19" s="37" t="n">
        <v>917906</v>
      </c>
      <c r="G19" s="37" t="n">
        <v>1474525</v>
      </c>
      <c r="H19" s="37" t="n">
        <v>917906</v>
      </c>
      <c r="I19" s="37" t="n">
        <v>1242950</v>
      </c>
      <c r="J19" s="19">
        <f>(I19-H19)/1000</f>
        <v/>
      </c>
      <c r="K19" s="16" t="inlineStr">
        <is>
          <t>Yes</t>
        </is>
      </c>
      <c r="L19" s="16" t="n">
        <v>79</v>
      </c>
      <c r="M19" s="38" t="inlineStr">
        <is>
          <t>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0" ht="184" customHeight="1">
      <c r="A20" s="16" t="inlineStr">
        <is>
          <t>29 Jun</t>
        </is>
      </c>
      <c r="B20" s="16" t="inlineStr">
        <is>
          <t>37465</t>
        </is>
      </c>
      <c r="C20" s="16" t="n">
        <v>13462</v>
      </c>
      <c r="D20" s="16" t="n">
        <v>13423</v>
      </c>
      <c r="E20" s="16" t="n">
        <v>12817</v>
      </c>
      <c r="F20" s="37" t="n">
        <v>920369</v>
      </c>
      <c r="G20" s="37" t="n">
        <v>1436371</v>
      </c>
      <c r="H20" s="37" t="n">
        <v>920369</v>
      </c>
      <c r="I20" s="37" t="n">
        <v>1242984</v>
      </c>
      <c r="J20" s="19">
        <f>(I20-H20)/1000</f>
        <v/>
      </c>
      <c r="K20" s="16" t="inlineStr">
        <is>
          <t>Yes</t>
        </is>
      </c>
      <c r="L20" s="16" t="n">
        <v>78</v>
      </c>
      <c r="M20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1" ht="184" customHeight="1">
      <c r="A21" s="16" t="inlineStr">
        <is>
          <t>29 Jun</t>
        </is>
      </c>
      <c r="B21" s="16" t="inlineStr">
        <is>
          <t>39552</t>
        </is>
      </c>
      <c r="C21" s="16" t="n">
        <v>11681</v>
      </c>
      <c r="D21" s="16" t="n">
        <v>11644</v>
      </c>
      <c r="E21" s="16" t="n">
        <v>11172</v>
      </c>
      <c r="F21" s="37" t="n">
        <v>920512</v>
      </c>
      <c r="G21" s="37" t="n">
        <v>1437233</v>
      </c>
      <c r="H21" s="37" t="n">
        <v>920512</v>
      </c>
      <c r="I21" s="37" t="n">
        <v>1242974</v>
      </c>
      <c r="J21" s="19">
        <f>(I21-H21)/1000</f>
        <v/>
      </c>
      <c r="K21" s="16" t="inlineStr">
        <is>
          <t>Yes</t>
        </is>
      </c>
      <c r="L21" s="16" t="n">
        <v>78</v>
      </c>
      <c r="M21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2" ht="184" customHeight="1">
      <c r="A22" s="16" t="inlineStr">
        <is>
          <t>29 Jun</t>
        </is>
      </c>
      <c r="B22" s="16" t="inlineStr">
        <is>
          <t>30608</t>
        </is>
      </c>
      <c r="C22" s="16" t="n">
        <v>10728</v>
      </c>
      <c r="D22" s="16" t="n">
        <v>10605</v>
      </c>
      <c r="E22" s="16" t="n">
        <v>10340</v>
      </c>
      <c r="F22" s="37" t="n">
        <v>920847</v>
      </c>
      <c r="G22" s="37" t="n">
        <v>1420341</v>
      </c>
      <c r="H22" s="37" t="n">
        <v>920847</v>
      </c>
      <c r="I22" s="37" t="n">
        <v>1242975</v>
      </c>
      <c r="J22" s="19">
        <f>(I22-H22)/1000</f>
        <v/>
      </c>
      <c r="K22" s="16" t="inlineStr">
        <is>
          <t>Yes</t>
        </is>
      </c>
      <c r="L22" s="16" t="n">
        <v>78</v>
      </c>
      <c r="M22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3" ht="184" customHeight="1">
      <c r="A23" s="16" t="inlineStr">
        <is>
          <t>29 Jun</t>
        </is>
      </c>
      <c r="B23" s="16" t="inlineStr">
        <is>
          <t>37533</t>
        </is>
      </c>
      <c r="C23" s="16" t="n">
        <v>382</v>
      </c>
      <c r="D23" s="16" t="n">
        <v>292</v>
      </c>
      <c r="E23" s="16" t="n">
        <v>292</v>
      </c>
      <c r="F23" s="37" t="n">
        <v>921046</v>
      </c>
      <c r="G23" s="37" t="n">
        <v>1242744</v>
      </c>
      <c r="H23" s="37" t="n">
        <v>921046</v>
      </c>
      <c r="I23" s="37" t="n">
        <v>1242744</v>
      </c>
      <c r="J23" s="19">
        <f>(I23-H23)/1000</f>
        <v/>
      </c>
      <c r="K23" s="16" t="inlineStr">
        <is>
          <t>Yes</t>
        </is>
      </c>
      <c r="L23" s="16" t="n">
        <v>78</v>
      </c>
      <c r="M23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4" ht="184" customHeight="1">
      <c r="A24" s="16" t="inlineStr">
        <is>
          <t>29 Jun</t>
        </is>
      </c>
      <c r="B24" s="16" t="inlineStr">
        <is>
          <t>30464</t>
        </is>
      </c>
      <c r="C24" s="16" t="n">
        <v>11555</v>
      </c>
      <c r="D24" s="16" t="n">
        <v>11522</v>
      </c>
      <c r="E24" s="16" t="n">
        <v>10990</v>
      </c>
      <c r="F24" s="37" t="n">
        <v>921484</v>
      </c>
      <c r="G24" s="37" t="n">
        <v>1437002</v>
      </c>
      <c r="H24" s="37" t="n">
        <v>921484</v>
      </c>
      <c r="I24" s="37" t="n">
        <v>1240716</v>
      </c>
      <c r="J24" s="19">
        <f>(I24-H24)/1000</f>
        <v/>
      </c>
      <c r="K24" s="16" t="inlineStr">
        <is>
          <t>Yes</t>
        </is>
      </c>
      <c r="L24" s="16" t="n">
        <v>78</v>
      </c>
      <c r="M24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5" ht="184" customHeight="1">
      <c r="A25" s="16" t="inlineStr">
        <is>
          <t>29 Jun</t>
        </is>
      </c>
      <c r="B25" s="16" t="inlineStr">
        <is>
          <t>30396</t>
        </is>
      </c>
      <c r="C25" s="16" t="n">
        <v>11182</v>
      </c>
      <c r="D25" s="16" t="n">
        <v>11160</v>
      </c>
      <c r="E25" s="16" t="n">
        <v>10796</v>
      </c>
      <c r="F25" s="37" t="n">
        <v>921757</v>
      </c>
      <c r="G25" s="37" t="n">
        <v>1436316</v>
      </c>
      <c r="H25" s="37" t="n">
        <v>921757</v>
      </c>
      <c r="I25" s="37" t="n">
        <v>1240545</v>
      </c>
      <c r="J25" s="19">
        <f>(I25-H25)/1000</f>
        <v/>
      </c>
      <c r="K25" s="16" t="inlineStr">
        <is>
          <t>Yes</t>
        </is>
      </c>
      <c r="L25" s="16" t="n">
        <v>78</v>
      </c>
      <c r="M25" s="38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6" ht="199" customHeight="1">
      <c r="A26" s="16" t="inlineStr">
        <is>
          <t>29 Jun</t>
        </is>
      </c>
      <c r="B26" s="16" t="inlineStr">
        <is>
          <t>39243</t>
        </is>
      </c>
      <c r="C26" s="16" t="n">
        <v>9993</v>
      </c>
      <c r="D26" s="16" t="n">
        <v>9976</v>
      </c>
      <c r="E26" s="16" t="n">
        <v>9417</v>
      </c>
      <c r="F26" s="37" t="n">
        <v>932193</v>
      </c>
      <c r="G26" s="37" t="n">
        <v>1440235</v>
      </c>
      <c r="H26" s="37" t="n">
        <v>932193</v>
      </c>
      <c r="I26" s="37" t="n">
        <v>1240731</v>
      </c>
      <c r="J26" s="19">
        <f>(I26-H26)/1000</f>
        <v/>
      </c>
      <c r="K26" s="16" t="inlineStr">
        <is>
          <t>Yes</t>
        </is>
      </c>
      <c r="L26" s="16" t="n">
        <v>74</v>
      </c>
      <c r="M26" s="38" t="inlineStr">
        <is>
          <t>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7" ht="199" customHeight="1">
      <c r="A27" s="16" t="inlineStr">
        <is>
          <t>29 Jun</t>
        </is>
      </c>
      <c r="B27" s="16" t="inlineStr">
        <is>
          <t>30429</t>
        </is>
      </c>
      <c r="C27" s="16" t="n">
        <v>11562</v>
      </c>
      <c r="D27" s="16" t="n">
        <v>11499</v>
      </c>
      <c r="E27" s="16" t="n">
        <v>10178</v>
      </c>
      <c r="F27" s="37" t="n">
        <v>969623</v>
      </c>
      <c r="G27" s="37" t="n">
        <v>1448862</v>
      </c>
      <c r="H27" s="37" t="n">
        <v>969623</v>
      </c>
      <c r="I27" s="37" t="n">
        <v>1242984</v>
      </c>
      <c r="J27" s="19">
        <f>(I27-H27)/1000</f>
        <v/>
      </c>
      <c r="K27" s="16" t="inlineStr">
        <is>
          <t>Yes</t>
        </is>
      </c>
      <c r="L27" s="16" t="n">
        <v>63</v>
      </c>
      <c r="M27" s="38" t="inlineStr">
        <is>
          <t>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28" ht="184" customHeight="1">
      <c r="A28" s="16" t="inlineStr">
        <is>
          <t>29 Jun</t>
        </is>
      </c>
      <c r="B28" s="16" t="inlineStr">
        <is>
          <t>30206</t>
        </is>
      </c>
      <c r="C28" s="16" t="n">
        <v>11856</v>
      </c>
      <c r="D28" s="16" t="n">
        <v>11849</v>
      </c>
      <c r="E28" s="16" t="n">
        <v>11577</v>
      </c>
      <c r="F28" s="37" t="n">
        <v>696241</v>
      </c>
      <c r="G28" s="37" t="n">
        <v>969969</v>
      </c>
      <c r="H28" s="37" t="n">
        <v>699086</v>
      </c>
      <c r="I28" s="37" t="n">
        <v>969969</v>
      </c>
      <c r="J28" s="19">
        <f>(I28-H28)/1000</f>
        <v/>
      </c>
      <c r="K28" s="16" t="inlineStr">
        <is>
          <t>Yes</t>
        </is>
      </c>
      <c r="L28" s="16" t="n">
        <v>62</v>
      </c>
      <c r="M28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...(+12 more)</t>
        </is>
      </c>
    </row>
    <row r="29" ht="199" customHeight="1">
      <c r="A29" s="16" t="inlineStr">
        <is>
          <t>29 Jun</t>
        </is>
      </c>
      <c r="B29" s="16" t="inlineStr">
        <is>
          <t>37366</t>
        </is>
      </c>
      <c r="C29" s="16" t="n">
        <v>32694</v>
      </c>
      <c r="D29" s="16" t="n">
        <v>32249</v>
      </c>
      <c r="E29" s="16" t="n">
        <v>32249</v>
      </c>
      <c r="F29" s="37" t="n">
        <v>920695</v>
      </c>
      <c r="G29" s="37" t="n">
        <v>1172585</v>
      </c>
      <c r="H29" s="37" t="n">
        <v>920695</v>
      </c>
      <c r="I29" s="37" t="n">
        <v>1172585</v>
      </c>
      <c r="J29" s="19">
        <f>(I29-H29)/1000</f>
        <v/>
      </c>
      <c r="K29" s="16" t="inlineStr">
        <is>
          <t>Yes</t>
        </is>
      </c>
      <c r="L29" s="16" t="n">
        <v>62</v>
      </c>
      <c r="M29" s="38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30" ht="199" customHeight="1">
      <c r="A30" s="16" t="inlineStr">
        <is>
          <t>29 Jun</t>
        </is>
      </c>
      <c r="B30" s="16" t="inlineStr">
        <is>
          <t>39108</t>
        </is>
      </c>
      <c r="C30" s="16" t="n">
        <v>32513</v>
      </c>
      <c r="D30" s="16" t="n">
        <v>32401</v>
      </c>
      <c r="E30" s="16" t="n">
        <v>32401</v>
      </c>
      <c r="F30" s="37" t="n">
        <v>920713</v>
      </c>
      <c r="G30" s="37" t="n">
        <v>1172577</v>
      </c>
      <c r="H30" s="37" t="n">
        <v>920713</v>
      </c>
      <c r="I30" s="37" t="n">
        <v>1172577</v>
      </c>
      <c r="J30" s="19">
        <f>(I30-H30)/1000</f>
        <v/>
      </c>
      <c r="K30" s="16" t="inlineStr">
        <is>
          <t>Yes</t>
        </is>
      </c>
      <c r="L30" s="16" t="n">
        <v>62</v>
      </c>
      <c r="M30" s="38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31" ht="199" customHeight="1">
      <c r="A31" s="16" t="inlineStr">
        <is>
          <t>29 Jun</t>
        </is>
      </c>
      <c r="B31" s="16" t="inlineStr">
        <is>
          <t>37102</t>
        </is>
      </c>
      <c r="C31" s="16" t="n">
        <v>6741</v>
      </c>
      <c r="D31" s="16" t="n">
        <v>6737</v>
      </c>
      <c r="E31" s="16" t="n">
        <v>6288</v>
      </c>
      <c r="F31" s="37" t="n">
        <v>1049611</v>
      </c>
      <c r="G31" s="37" t="n">
        <v>1436847</v>
      </c>
      <c r="H31" s="37" t="n">
        <v>1049611</v>
      </c>
      <c r="I31" s="37" t="n">
        <v>1240696</v>
      </c>
      <c r="J31" s="19">
        <f>(I31-H31)/1000</f>
        <v/>
      </c>
      <c r="K31" s="16" t="inlineStr">
        <is>
          <t>Yes</t>
        </is>
      </c>
      <c r="L31" s="16" t="n">
        <v>44</v>
      </c>
      <c r="M31" s="38" t="inlineStr">
        <is>
          <t>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  ...(+30 more)</t>
        </is>
      </c>
    </row>
    <row r="32" ht="184" customHeight="1">
      <c r="A32" s="16" t="inlineStr">
        <is>
          <t>29 Jun</t>
        </is>
      </c>
      <c r="B32" s="16" t="inlineStr">
        <is>
          <t>39393</t>
        </is>
      </c>
      <c r="C32" s="16" t="n">
        <v>7412</v>
      </c>
      <c r="D32" s="16" t="n">
        <v>7398</v>
      </c>
      <c r="E32" s="16" t="n">
        <v>7240</v>
      </c>
      <c r="F32" s="37" t="n">
        <v>695719</v>
      </c>
      <c r="G32" s="37" t="n">
        <v>857469</v>
      </c>
      <c r="H32" s="37" t="n">
        <v>699080</v>
      </c>
      <c r="I32" s="37" t="n">
        <v>857469</v>
      </c>
      <c r="J32" s="19">
        <f>(I32-H32)/1000</f>
        <v/>
      </c>
      <c r="K32" s="16" t="inlineStr">
        <is>
          <t>Yes</t>
        </is>
      </c>
      <c r="L32" s="16" t="n">
        <v>34</v>
      </c>
      <c r="M32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...(+40 more)</t>
        </is>
      </c>
    </row>
    <row r="33" ht="184" customHeight="1">
      <c r="A33" s="16" t="inlineStr">
        <is>
          <t>29 Jun</t>
        </is>
      </c>
      <c r="B33" s="16" t="inlineStr">
        <is>
          <t>39027</t>
        </is>
      </c>
      <c r="C33" s="16" t="n">
        <v>7031</v>
      </c>
      <c r="D33" s="16" t="n">
        <v>7013</v>
      </c>
      <c r="E33" s="16" t="n">
        <v>5768</v>
      </c>
      <c r="F33" s="37" t="n">
        <v>656315</v>
      </c>
      <c r="G33" s="37" t="n">
        <v>847781</v>
      </c>
      <c r="H33" s="37" t="n">
        <v>699075</v>
      </c>
      <c r="I33" s="37" t="n">
        <v>847781</v>
      </c>
      <c r="J33" s="19">
        <f>(I33-H33)/1000</f>
        <v/>
      </c>
      <c r="K33" s="16" t="inlineStr">
        <is>
          <t>Yes</t>
        </is>
      </c>
      <c r="L33" s="16" t="n">
        <v>32</v>
      </c>
      <c r="M33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...(+42 more)</t>
        </is>
      </c>
    </row>
    <row r="34" ht="184" customHeight="1">
      <c r="A34" s="16" t="inlineStr">
        <is>
          <t>29 Jun</t>
        </is>
      </c>
      <c r="B34" s="16" t="inlineStr">
        <is>
          <t>37184</t>
        </is>
      </c>
      <c r="C34" s="16" t="n">
        <v>11827</v>
      </c>
      <c r="D34" s="16" t="n">
        <v>11765</v>
      </c>
      <c r="E34" s="16" t="n">
        <v>11765</v>
      </c>
      <c r="F34" s="37" t="n">
        <v>920375</v>
      </c>
      <c r="G34" s="37" t="n">
        <v>1029017</v>
      </c>
      <c r="H34" s="37" t="n">
        <v>920375</v>
      </c>
      <c r="I34" s="37" t="n">
        <v>1029017</v>
      </c>
      <c r="J34" s="19">
        <f>(I34-H34)/1000</f>
        <v/>
      </c>
      <c r="K34" s="16" t="inlineStr">
        <is>
          <t>Yes</t>
        </is>
      </c>
      <c r="L34" s="16" t="n">
        <v>31</v>
      </c>
      <c r="M34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5" ht="184" customHeight="1">
      <c r="A35" s="16" t="inlineStr">
        <is>
          <t>29 Jun</t>
        </is>
      </c>
      <c r="B35" s="16" t="inlineStr">
        <is>
          <t>37035</t>
        </is>
      </c>
      <c r="C35" s="16" t="n">
        <v>9940</v>
      </c>
      <c r="D35" s="16" t="n">
        <v>9876</v>
      </c>
      <c r="E35" s="16" t="n">
        <v>9876</v>
      </c>
      <c r="F35" s="37" t="n">
        <v>920373</v>
      </c>
      <c r="G35" s="37" t="n">
        <v>1028914</v>
      </c>
      <c r="H35" s="37" t="n">
        <v>920373</v>
      </c>
      <c r="I35" s="37" t="n">
        <v>1028914</v>
      </c>
      <c r="J35" s="19">
        <f>(I35-H35)/1000</f>
        <v/>
      </c>
      <c r="K35" s="16" t="inlineStr">
        <is>
          <t>Yes</t>
        </is>
      </c>
      <c r="L35" s="16" t="n">
        <v>31</v>
      </c>
      <c r="M35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6" ht="184" customHeight="1">
      <c r="A36" s="16" t="inlineStr">
        <is>
          <t>29 Jun</t>
        </is>
      </c>
      <c r="B36" s="16" t="inlineStr">
        <is>
          <t>39024</t>
        </is>
      </c>
      <c r="C36" s="16" t="n">
        <v>8925</v>
      </c>
      <c r="D36" s="16" t="n">
        <v>8877</v>
      </c>
      <c r="E36" s="16" t="n">
        <v>8877</v>
      </c>
      <c r="F36" s="37" t="n">
        <v>921005</v>
      </c>
      <c r="G36" s="37" t="n">
        <v>1028904</v>
      </c>
      <c r="H36" s="37" t="n">
        <v>921005</v>
      </c>
      <c r="I36" s="37" t="n">
        <v>1028904</v>
      </c>
      <c r="J36" s="19">
        <f>(I36-H36)/1000</f>
        <v/>
      </c>
      <c r="K36" s="16" t="inlineStr">
        <is>
          <t>Yes</t>
        </is>
      </c>
      <c r="L36" s="16" t="n">
        <v>31</v>
      </c>
      <c r="M36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7" ht="184" customHeight="1">
      <c r="A37" s="16" t="inlineStr">
        <is>
          <t>29 Jun</t>
        </is>
      </c>
      <c r="B37" s="16" t="inlineStr">
        <is>
          <t>37813</t>
        </is>
      </c>
      <c r="C37" s="16" t="n">
        <v>4395</v>
      </c>
      <c r="D37" s="16" t="n">
        <v>3847</v>
      </c>
      <c r="E37" s="16" t="n">
        <v>3651</v>
      </c>
      <c r="F37" s="37" t="n">
        <v>1320</v>
      </c>
      <c r="G37" s="37" t="n">
        <v>1028365</v>
      </c>
      <c r="H37" s="37" t="n">
        <v>921731</v>
      </c>
      <c r="I37" s="37" t="n">
        <v>1028365</v>
      </c>
      <c r="J37" s="19">
        <f>(I37-H37)/1000</f>
        <v/>
      </c>
      <c r="K37" s="16" t="inlineStr">
        <is>
          <t>Yes</t>
        </is>
      </c>
      <c r="L37" s="16" t="n">
        <v>31</v>
      </c>
      <c r="M37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8" ht="184" customHeight="1">
      <c r="A38" s="16" t="inlineStr">
        <is>
          <t>29 Jun</t>
        </is>
      </c>
      <c r="B38" s="16" t="inlineStr">
        <is>
          <t>37515</t>
        </is>
      </c>
      <c r="C38" s="16" t="n">
        <v>4876</v>
      </c>
      <c r="D38" s="16" t="n">
        <v>4859</v>
      </c>
      <c r="E38" s="16" t="n">
        <v>2863</v>
      </c>
      <c r="F38" s="37" t="n">
        <v>656181</v>
      </c>
      <c r="G38" s="37" t="n">
        <v>787541</v>
      </c>
      <c r="H38" s="37" t="n">
        <v>699073</v>
      </c>
      <c r="I38" s="37" t="n">
        <v>787541</v>
      </c>
      <c r="J38" s="19">
        <f>(I38-H38)/1000</f>
        <v/>
      </c>
      <c r="K38" s="16" t="inlineStr">
        <is>
          <t>Yes</t>
        </is>
      </c>
      <c r="L38" s="16" t="n">
        <v>21</v>
      </c>
      <c r="M38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...(+53 more)</t>
        </is>
      </c>
    </row>
    <row r="39" ht="184" customHeight="1">
      <c r="A39" s="16" t="inlineStr">
        <is>
          <t>29 Jun</t>
        </is>
      </c>
      <c r="B39" s="16" t="inlineStr">
        <is>
          <t>37812</t>
        </is>
      </c>
      <c r="C39" s="16" t="n">
        <v>4284</v>
      </c>
      <c r="D39" s="16" t="n">
        <v>4284</v>
      </c>
      <c r="E39" s="16" t="n">
        <v>2439</v>
      </c>
      <c r="F39" s="37" t="n">
        <v>604296</v>
      </c>
      <c r="G39" s="37" t="n">
        <v>786969</v>
      </c>
      <c r="H39" s="37" t="n">
        <v>699101</v>
      </c>
      <c r="I39" s="37" t="n">
        <v>786969</v>
      </c>
      <c r="J39" s="19">
        <f>(I39-H39)/1000</f>
        <v/>
      </c>
      <c r="K39" s="16" t="inlineStr">
        <is>
          <t>Yes</t>
        </is>
      </c>
      <c r="L39" s="16" t="n">
        <v>21</v>
      </c>
      <c r="M39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...(+53 more)</t>
        </is>
      </c>
    </row>
    <row r="40" ht="184" customHeight="1">
      <c r="A40" s="16" t="inlineStr">
        <is>
          <t>29 Jun</t>
        </is>
      </c>
      <c r="B40" s="16" t="inlineStr">
        <is>
          <t>37131</t>
        </is>
      </c>
      <c r="C40" s="16" t="n">
        <v>5135</v>
      </c>
      <c r="D40" s="16" t="n">
        <v>5102</v>
      </c>
      <c r="E40" s="16" t="n">
        <v>4564</v>
      </c>
      <c r="F40" s="37" t="n">
        <v>656323</v>
      </c>
      <c r="G40" s="37" t="n">
        <v>778814</v>
      </c>
      <c r="H40" s="37" t="n">
        <v>699072</v>
      </c>
      <c r="I40" s="37" t="n">
        <v>778814</v>
      </c>
      <c r="J40" s="19">
        <f>(I40-H40)/1000</f>
        <v/>
      </c>
      <c r="K40" s="16" t="inlineStr">
        <is>
          <t>Yes</t>
        </is>
      </c>
      <c r="L40" s="16" t="n">
        <v>19</v>
      </c>
      <c r="M40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...(+55 more)</t>
        </is>
      </c>
    </row>
    <row r="41" ht="184" customHeight="1">
      <c r="A41" s="16" t="inlineStr">
        <is>
          <t>29 Jun</t>
        </is>
      </c>
      <c r="B41" s="16" t="inlineStr">
        <is>
          <t>30356</t>
        </is>
      </c>
      <c r="C41" s="16" t="n">
        <v>1963</v>
      </c>
      <c r="D41" s="16" t="n">
        <v>1955</v>
      </c>
      <c r="E41" s="16" t="n">
        <v>1955</v>
      </c>
      <c r="F41" s="37" t="n">
        <v>920548</v>
      </c>
      <c r="G41" s="37" t="n">
        <v>968817</v>
      </c>
      <c r="H41" s="37" t="n">
        <v>920548</v>
      </c>
      <c r="I41" s="37" t="n">
        <v>968817</v>
      </c>
      <c r="J41" s="19">
        <f>(I41-H41)/1000</f>
        <v/>
      </c>
      <c r="K41" s="16" t="inlineStr">
        <is>
          <t>Yes</t>
        </is>
      </c>
      <c r="L41" s="16" t="n">
        <v>16</v>
      </c>
      <c r="M41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...(+58 more)</t>
        </is>
      </c>
    </row>
    <row r="42" ht="184" customHeight="1">
      <c r="A42" s="16" t="inlineStr">
        <is>
          <t>29 Jun</t>
        </is>
      </c>
      <c r="B42" s="16" t="inlineStr">
        <is>
          <t>30390</t>
        </is>
      </c>
      <c r="C42" s="16" t="n">
        <v>2761</v>
      </c>
      <c r="D42" s="16" t="n">
        <v>2056</v>
      </c>
      <c r="E42" s="16" t="n">
        <v>1838</v>
      </c>
      <c r="F42" s="37" t="n">
        <v>695075</v>
      </c>
      <c r="G42" s="37" t="n">
        <v>736950</v>
      </c>
      <c r="H42" s="37" t="n">
        <v>699070</v>
      </c>
      <c r="I42" s="37" t="n">
        <v>736950</v>
      </c>
      <c r="J42" s="19">
        <f>(I42-H42)/1000</f>
        <v/>
      </c>
      <c r="K42" s="16" t="inlineStr">
        <is>
          <t>Yes</t>
        </is>
      </c>
      <c r="L42" s="16" t="n">
        <v>9</v>
      </c>
      <c r="M42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...(+65 more)</t>
        </is>
      </c>
    </row>
    <row r="43" ht="184" customHeight="1">
      <c r="A43" s="16" t="inlineStr">
        <is>
          <t>29 Jun</t>
        </is>
      </c>
      <c r="B43" s="16" t="inlineStr">
        <is>
          <t>45035</t>
        </is>
      </c>
      <c r="C43" s="16" t="n">
        <v>2241</v>
      </c>
      <c r="D43" s="16" t="n">
        <v>2241</v>
      </c>
      <c r="E43" s="16" t="n">
        <v>362</v>
      </c>
      <c r="F43" s="37" t="n">
        <v>604256</v>
      </c>
      <c r="G43" s="37" t="n">
        <v>712375</v>
      </c>
      <c r="H43" s="37" t="n">
        <v>699083</v>
      </c>
      <c r="I43" s="37" t="n">
        <v>712375</v>
      </c>
      <c r="J43" s="19">
        <f>(I43-H43)/1000</f>
        <v/>
      </c>
      <c r="K43" s="16" t="inlineStr">
        <is>
          <t>Yes</t>
        </is>
      </c>
      <c r="L43" s="16" t="n">
        <v>5</v>
      </c>
      <c r="M43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...(+69 more)</t>
        </is>
      </c>
    </row>
    <row r="44" ht="184" customHeight="1">
      <c r="A44" s="16" t="inlineStr">
        <is>
          <t>29 Jun</t>
        </is>
      </c>
      <c r="B44" s="16" t="inlineStr">
        <is>
          <t>30339</t>
        </is>
      </c>
      <c r="C44" s="16" t="n">
        <v>269</v>
      </c>
      <c r="D44" s="16" t="n">
        <v>263</v>
      </c>
      <c r="E44" s="16" t="n">
        <v>263</v>
      </c>
      <c r="F44" s="37" t="n">
        <v>921755</v>
      </c>
      <c r="G44" s="37" t="n">
        <v>923752</v>
      </c>
      <c r="H44" s="37" t="n">
        <v>921755</v>
      </c>
      <c r="I44" s="37" t="n">
        <v>923752</v>
      </c>
      <c r="J44" s="19">
        <f>(I44-H44)/1000</f>
        <v/>
      </c>
      <c r="K44" s="16" t="inlineStr">
        <is>
          <t>Yes</t>
        </is>
      </c>
      <c r="L44" s="16" t="n">
        <v>2</v>
      </c>
      <c r="M44" s="38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...(+72 more)</t>
        </is>
      </c>
    </row>
    <row r="45" ht="184" customHeight="1">
      <c r="A45" s="16" t="inlineStr">
        <is>
          <t>29 Jun</t>
        </is>
      </c>
      <c r="B45" s="16" t="inlineStr">
        <is>
          <t>39258</t>
        </is>
      </c>
      <c r="C45" s="16" t="n">
        <v>1310</v>
      </c>
      <c r="D45" s="16" t="n">
        <v>1309</v>
      </c>
      <c r="E45" s="16" t="n">
        <v>154</v>
      </c>
      <c r="F45" s="37" t="n">
        <v>1241032</v>
      </c>
      <c r="G45" s="37" t="n">
        <v>1455556</v>
      </c>
      <c r="H45" s="37" t="n">
        <v>1241032</v>
      </c>
      <c r="I45" s="37" t="n">
        <v>1242937</v>
      </c>
      <c r="J45" s="19">
        <f>(I45-H45)/1000</f>
        <v/>
      </c>
      <c r="K45" s="16" t="inlineStr">
        <is>
          <t>Yes</t>
        </is>
      </c>
      <c r="L45" s="16" t="n">
        <v>1</v>
      </c>
      <c r="M45" s="38" t="inlineStr">
        <is>
      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      </is>
      </c>
    </row>
    <row r="46" ht="184" customHeight="1">
      <c r="A46" s="31" t="inlineStr">
        <is>
          <t>29 Jun</t>
        </is>
      </c>
      <c r="B46" s="31" t="inlineStr">
        <is>
          <t>12345</t>
        </is>
      </c>
      <c r="C46" s="31" t="n">
        <v>237</v>
      </c>
      <c r="D46" s="31" t="n">
        <v>236</v>
      </c>
      <c r="E46" s="31" t="n">
        <v>0</v>
      </c>
      <c r="F46" s="39" t="n">
        <v>692292</v>
      </c>
      <c r="G46" s="39" t="n">
        <v>693314</v>
      </c>
      <c r="H46" s="39" t="inlineStr">
        <is>
          <t>-</t>
        </is>
      </c>
      <c r="I46" s="39" t="inlineStr">
        <is>
          <t>-</t>
        </is>
      </c>
      <c r="J46" s="40" t="n">
        <v>0</v>
      </c>
      <c r="K46" s="31" t="inlineStr">
        <is>
          <t>No</t>
        </is>
      </c>
      <c r="L46" s="31" t="n">
        <v>0</v>
      </c>
      <c r="M46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7" ht="184" customHeight="1">
      <c r="A47" s="31" t="inlineStr">
        <is>
          <t>29 Jun</t>
        </is>
      </c>
      <c r="B47" s="31" t="inlineStr">
        <is>
          <t>12346</t>
        </is>
      </c>
      <c r="C47" s="31" t="n">
        <v>157</v>
      </c>
      <c r="D47" s="31" t="n">
        <v>157</v>
      </c>
      <c r="E47" s="31" t="n">
        <v>0</v>
      </c>
      <c r="F47" s="39" t="n">
        <v>693314</v>
      </c>
      <c r="G47" s="39" t="n">
        <v>693314</v>
      </c>
      <c r="H47" s="39" t="inlineStr">
        <is>
          <t>-</t>
        </is>
      </c>
      <c r="I47" s="39" t="inlineStr">
        <is>
          <t>-</t>
        </is>
      </c>
      <c r="J47" s="40" t="n">
        <v>0</v>
      </c>
      <c r="K47" s="31" t="inlineStr">
        <is>
          <t>No</t>
        </is>
      </c>
      <c r="L47" s="31" t="n">
        <v>0</v>
      </c>
      <c r="M47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8" ht="184" customHeight="1">
      <c r="A48" s="31" t="inlineStr">
        <is>
          <t>29 Jun</t>
        </is>
      </c>
      <c r="B48" s="31" t="inlineStr">
        <is>
          <t>12347</t>
        </is>
      </c>
      <c r="C48" s="31" t="n">
        <v>25</v>
      </c>
      <c r="D48" s="31" t="n">
        <v>25</v>
      </c>
      <c r="E48" s="31" t="n">
        <v>0</v>
      </c>
      <c r="F48" s="39" t="n">
        <v>693314</v>
      </c>
      <c r="G48" s="39" t="n">
        <v>693314</v>
      </c>
      <c r="H48" s="39" t="inlineStr">
        <is>
          <t>-</t>
        </is>
      </c>
      <c r="I48" s="39" t="inlineStr">
        <is>
          <t>-</t>
        </is>
      </c>
      <c r="J48" s="40" t="n">
        <v>0</v>
      </c>
      <c r="K48" s="31" t="inlineStr">
        <is>
          <t>No</t>
        </is>
      </c>
      <c r="L48" s="31" t="n">
        <v>0</v>
      </c>
      <c r="M48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9" ht="184" customHeight="1">
      <c r="A49" s="31" t="inlineStr">
        <is>
          <t>29 Jun</t>
        </is>
      </c>
      <c r="B49" s="31" t="inlineStr">
        <is>
          <t>24694</t>
        </is>
      </c>
      <c r="C49" s="31" t="n">
        <v>1</v>
      </c>
      <c r="D49" s="31" t="n">
        <v>1</v>
      </c>
      <c r="E49" s="31" t="n">
        <v>0</v>
      </c>
      <c r="F49" s="39" t="n">
        <v>2500279</v>
      </c>
      <c r="G49" s="39" t="n">
        <v>2500279</v>
      </c>
      <c r="H49" s="39" t="inlineStr">
        <is>
          <t>-</t>
        </is>
      </c>
      <c r="I49" s="39" t="inlineStr">
        <is>
          <t>-</t>
        </is>
      </c>
      <c r="J49" s="40" t="n">
        <v>0</v>
      </c>
      <c r="K49" s="31" t="inlineStr">
        <is>
          <t>No</t>
        </is>
      </c>
      <c r="L49" s="31" t="n">
        <v>0</v>
      </c>
      <c r="M49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0" ht="184" customHeight="1">
      <c r="A50" s="31" t="inlineStr">
        <is>
          <t>29 Jun</t>
        </is>
      </c>
      <c r="B50" s="31" t="inlineStr">
        <is>
          <t>24699</t>
        </is>
      </c>
      <c r="C50" s="31" t="n">
        <v>13</v>
      </c>
      <c r="D50" s="31" t="n">
        <v>13</v>
      </c>
      <c r="E50" s="31" t="n">
        <v>0</v>
      </c>
      <c r="F50" s="39" t="n">
        <v>2500273</v>
      </c>
      <c r="G50" s="39" t="n">
        <v>2500388</v>
      </c>
      <c r="H50" s="39" t="inlineStr">
        <is>
          <t>-</t>
        </is>
      </c>
      <c r="I50" s="39" t="inlineStr">
        <is>
          <t>-</t>
        </is>
      </c>
      <c r="J50" s="40" t="n">
        <v>0</v>
      </c>
      <c r="K50" s="31" t="inlineStr">
        <is>
          <t>No</t>
        </is>
      </c>
      <c r="L50" s="31" t="n">
        <v>0</v>
      </c>
      <c r="M50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1" ht="184" customHeight="1">
      <c r="A51" s="31" t="inlineStr">
        <is>
          <t>29 Jun</t>
        </is>
      </c>
      <c r="B51" s="31" t="inlineStr">
        <is>
          <t>30002</t>
        </is>
      </c>
      <c r="C51" s="31" t="n">
        <v>518</v>
      </c>
      <c r="D51" s="31" t="n">
        <v>518</v>
      </c>
      <c r="E51" s="31" t="n">
        <v>0</v>
      </c>
      <c r="F51" s="39" t="n">
        <v>1401336</v>
      </c>
      <c r="G51" s="39" t="n">
        <v>1436359</v>
      </c>
      <c r="H51" s="39" t="inlineStr">
        <is>
          <t>-</t>
        </is>
      </c>
      <c r="I51" s="39" t="inlineStr">
        <is>
          <t>-</t>
        </is>
      </c>
      <c r="J51" s="40" t="n">
        <v>0</v>
      </c>
      <c r="K51" s="31" t="inlineStr">
        <is>
          <t>No</t>
        </is>
      </c>
      <c r="L51" s="31" t="n">
        <v>0</v>
      </c>
      <c r="M51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2" ht="184" customHeight="1">
      <c r="A52" s="31" t="inlineStr">
        <is>
          <t>29 Jun</t>
        </is>
      </c>
      <c r="B52" s="31" t="inlineStr">
        <is>
          <t>30211</t>
        </is>
      </c>
      <c r="C52" s="31" t="n">
        <v>889</v>
      </c>
      <c r="D52" s="31" t="n">
        <v>889</v>
      </c>
      <c r="E52" s="31" t="n">
        <v>0</v>
      </c>
      <c r="F52" s="39" t="n">
        <v>1401713</v>
      </c>
      <c r="G52" s="39" t="n">
        <v>1474373</v>
      </c>
      <c r="H52" s="39" t="inlineStr">
        <is>
          <t>-</t>
        </is>
      </c>
      <c r="I52" s="39" t="inlineStr">
        <is>
          <t>-</t>
        </is>
      </c>
      <c r="J52" s="40" t="n">
        <v>0</v>
      </c>
      <c r="K52" s="31" t="inlineStr">
        <is>
          <t>No</t>
        </is>
      </c>
      <c r="L52" s="31" t="n">
        <v>0</v>
      </c>
      <c r="M52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3" ht="184" customHeight="1">
      <c r="A53" s="31" t="inlineStr">
        <is>
          <t>29 Jun</t>
        </is>
      </c>
      <c r="B53" s="31" t="inlineStr">
        <is>
          <t>30326</t>
        </is>
      </c>
      <c r="C53" s="31" t="n">
        <v>529</v>
      </c>
      <c r="D53" s="31" t="n">
        <v>529</v>
      </c>
      <c r="E53" s="31" t="n">
        <v>0</v>
      </c>
      <c r="F53" s="39" t="n">
        <v>1401711</v>
      </c>
      <c r="G53" s="39" t="n">
        <v>1437005</v>
      </c>
      <c r="H53" s="39" t="inlineStr">
        <is>
          <t>-</t>
        </is>
      </c>
      <c r="I53" s="39" t="inlineStr">
        <is>
          <t>-</t>
        </is>
      </c>
      <c r="J53" s="40" t="n">
        <v>0</v>
      </c>
      <c r="K53" s="31" t="inlineStr">
        <is>
          <t>No</t>
        </is>
      </c>
      <c r="L53" s="31" t="n">
        <v>0</v>
      </c>
      <c r="M53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4" ht="184" customHeight="1">
      <c r="A54" s="31" t="inlineStr">
        <is>
          <t>29 Jun</t>
        </is>
      </c>
      <c r="B54" s="31" t="inlineStr">
        <is>
          <t>30343</t>
        </is>
      </c>
      <c r="C54" s="31" t="n">
        <v>691</v>
      </c>
      <c r="D54" s="31" t="n">
        <v>686</v>
      </c>
      <c r="E54" s="31" t="n">
        <v>0</v>
      </c>
      <c r="F54" s="39" t="n">
        <v>1401517</v>
      </c>
      <c r="G54" s="39" t="n">
        <v>1437174</v>
      </c>
      <c r="H54" s="39" t="inlineStr">
        <is>
          <t>-</t>
        </is>
      </c>
      <c r="I54" s="39" t="inlineStr">
        <is>
          <t>-</t>
        </is>
      </c>
      <c r="J54" s="40" t="n">
        <v>0</v>
      </c>
      <c r="K54" s="31" t="inlineStr">
        <is>
          <t>No</t>
        </is>
      </c>
      <c r="L54" s="31" t="n">
        <v>0</v>
      </c>
      <c r="M54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5" ht="184" customHeight="1">
      <c r="A55" s="31" t="inlineStr">
        <is>
          <t>29 Jun</t>
        </is>
      </c>
      <c r="B55" s="31" t="inlineStr">
        <is>
          <t>30382</t>
        </is>
      </c>
      <c r="C55" s="31" t="n">
        <v>1369</v>
      </c>
      <c r="D55" s="31" t="n">
        <v>1369</v>
      </c>
      <c r="E55" s="31" t="n">
        <v>0</v>
      </c>
      <c r="F55" s="39" t="n">
        <v>1356365</v>
      </c>
      <c r="G55" s="39" t="n">
        <v>1424893</v>
      </c>
      <c r="H55" s="39" t="inlineStr">
        <is>
          <t>-</t>
        </is>
      </c>
      <c r="I55" s="39" t="inlineStr">
        <is>
          <t>-</t>
        </is>
      </c>
      <c r="J55" s="40" t="n">
        <v>0</v>
      </c>
      <c r="K55" s="31" t="inlineStr">
        <is>
          <t>No</t>
        </is>
      </c>
      <c r="L55" s="31" t="n">
        <v>0</v>
      </c>
      <c r="M55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6" ht="184" customHeight="1">
      <c r="A56" s="31" t="inlineStr">
        <is>
          <t>29 Jun</t>
        </is>
      </c>
      <c r="B56" s="31" t="inlineStr">
        <is>
          <t>30394</t>
        </is>
      </c>
      <c r="C56" s="31" t="n">
        <v>594</v>
      </c>
      <c r="D56" s="31" t="n">
        <v>594</v>
      </c>
      <c r="E56" s="31" t="n">
        <v>0</v>
      </c>
      <c r="F56" s="39" t="n">
        <v>1401318</v>
      </c>
      <c r="G56" s="39" t="n">
        <v>1437101</v>
      </c>
      <c r="H56" s="39" t="inlineStr">
        <is>
          <t>-</t>
        </is>
      </c>
      <c r="I56" s="39" t="inlineStr">
        <is>
          <t>-</t>
        </is>
      </c>
      <c r="J56" s="40" t="n">
        <v>0</v>
      </c>
      <c r="K56" s="31" t="inlineStr">
        <is>
          <t>No</t>
        </is>
      </c>
      <c r="L56" s="31" t="n">
        <v>0</v>
      </c>
      <c r="M56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7" ht="184" customHeight="1">
      <c r="A57" s="31" t="inlineStr">
        <is>
          <t>29 Jun</t>
        </is>
      </c>
      <c r="B57" s="31" t="inlineStr">
        <is>
          <t>30397</t>
        </is>
      </c>
      <c r="C57" s="31" t="n">
        <v>970</v>
      </c>
      <c r="D57" s="31" t="n">
        <v>970</v>
      </c>
      <c r="E57" s="31" t="n">
        <v>0</v>
      </c>
      <c r="F57" s="39" t="n">
        <v>1359573</v>
      </c>
      <c r="G57" s="39" t="n">
        <v>1421584</v>
      </c>
      <c r="H57" s="39" t="inlineStr">
        <is>
          <t>-</t>
        </is>
      </c>
      <c r="I57" s="39" t="inlineStr">
        <is>
          <t>-</t>
        </is>
      </c>
      <c r="J57" s="40" t="n">
        <v>0</v>
      </c>
      <c r="K57" s="31" t="inlineStr">
        <is>
          <t>No</t>
        </is>
      </c>
      <c r="L57" s="31" t="n">
        <v>0</v>
      </c>
      <c r="M57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8" ht="184" customHeight="1">
      <c r="A58" s="31" t="inlineStr">
        <is>
          <t>29 Jun</t>
        </is>
      </c>
      <c r="B58" s="31" t="inlineStr">
        <is>
          <t>30452</t>
        </is>
      </c>
      <c r="C58" s="31" t="n">
        <v>501</v>
      </c>
      <c r="D58" s="31" t="n">
        <v>501</v>
      </c>
      <c r="E58" s="31" t="n">
        <v>0</v>
      </c>
      <c r="F58" s="39" t="n">
        <v>1401699</v>
      </c>
      <c r="G58" s="39" t="n">
        <v>1440248</v>
      </c>
      <c r="H58" s="39" t="inlineStr">
        <is>
          <t>-</t>
        </is>
      </c>
      <c r="I58" s="39" t="inlineStr">
        <is>
          <t>-</t>
        </is>
      </c>
      <c r="J58" s="40" t="n">
        <v>0</v>
      </c>
      <c r="K58" s="31" t="inlineStr">
        <is>
          <t>No</t>
        </is>
      </c>
      <c r="L58" s="31" t="n">
        <v>0</v>
      </c>
      <c r="M58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9" ht="184" customHeight="1">
      <c r="A59" s="31" t="inlineStr">
        <is>
          <t>29 Jun</t>
        </is>
      </c>
      <c r="B59" s="31" t="inlineStr">
        <is>
          <t>30599</t>
        </is>
      </c>
      <c r="C59" s="31" t="n">
        <v>1885</v>
      </c>
      <c r="D59" s="31" t="n">
        <v>1885</v>
      </c>
      <c r="E59" s="31" t="n">
        <v>0</v>
      </c>
      <c r="F59" s="39" t="n">
        <v>1363101</v>
      </c>
      <c r="G59" s="39" t="n">
        <v>1436501</v>
      </c>
      <c r="H59" s="39" t="inlineStr">
        <is>
          <t>-</t>
        </is>
      </c>
      <c r="I59" s="39" t="inlineStr">
        <is>
          <t>-</t>
        </is>
      </c>
      <c r="J59" s="40" t="n">
        <v>0</v>
      </c>
      <c r="K59" s="31" t="inlineStr">
        <is>
          <t>No</t>
        </is>
      </c>
      <c r="L59" s="31" t="n">
        <v>0</v>
      </c>
      <c r="M59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0" ht="184" customHeight="1">
      <c r="A60" s="31" t="inlineStr">
        <is>
          <t>29 Jun</t>
        </is>
      </c>
      <c r="B60" s="31" t="inlineStr">
        <is>
          <t>31480</t>
        </is>
      </c>
      <c r="C60" s="31" t="n">
        <v>327</v>
      </c>
      <c r="D60" s="31" t="n">
        <v>324</v>
      </c>
      <c r="E60" s="31" t="n">
        <v>0</v>
      </c>
      <c r="F60" s="39" t="n">
        <v>1401680</v>
      </c>
      <c r="G60" s="39" t="n">
        <v>1428888</v>
      </c>
      <c r="H60" s="39" t="inlineStr">
        <is>
          <t>-</t>
        </is>
      </c>
      <c r="I60" s="39" t="inlineStr">
        <is>
          <t>-</t>
        </is>
      </c>
      <c r="J60" s="40" t="n">
        <v>0</v>
      </c>
      <c r="K60" s="31" t="inlineStr">
        <is>
          <t>No</t>
        </is>
      </c>
      <c r="L60" s="31" t="n">
        <v>0</v>
      </c>
      <c r="M60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1" ht="184" customHeight="1">
      <c r="A61" s="31" t="inlineStr">
        <is>
          <t>29 Jun</t>
        </is>
      </c>
      <c r="B61" s="31" t="inlineStr">
        <is>
          <t>37039</t>
        </is>
      </c>
      <c r="C61" s="31" t="n">
        <v>1766</v>
      </c>
      <c r="D61" s="31" t="n">
        <v>1762</v>
      </c>
      <c r="E61" s="31" t="n">
        <v>0</v>
      </c>
      <c r="F61" s="39" t="n">
        <v>1913</v>
      </c>
      <c r="G61" s="39" t="n">
        <v>698488</v>
      </c>
      <c r="H61" s="39" t="inlineStr">
        <is>
          <t>-</t>
        </is>
      </c>
      <c r="I61" s="39" t="inlineStr">
        <is>
          <t>-</t>
        </is>
      </c>
      <c r="J61" s="40" t="n">
        <v>0</v>
      </c>
      <c r="K61" s="31" t="inlineStr">
        <is>
          <t>No</t>
        </is>
      </c>
      <c r="L61" s="31" t="n">
        <v>0</v>
      </c>
      <c r="M61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2" ht="184" customHeight="1">
      <c r="A62" s="31" t="inlineStr">
        <is>
          <t>29 Jun</t>
        </is>
      </c>
      <c r="B62" s="31" t="inlineStr">
        <is>
          <t>37052</t>
        </is>
      </c>
      <c r="C62" s="31" t="n">
        <v>95</v>
      </c>
      <c r="D62" s="31" t="n">
        <v>95</v>
      </c>
      <c r="E62" s="31" t="n">
        <v>0</v>
      </c>
      <c r="F62" s="39" t="n">
        <v>1401359</v>
      </c>
      <c r="G62" s="39" t="n">
        <v>1426380</v>
      </c>
      <c r="H62" s="39" t="inlineStr">
        <is>
          <t>-</t>
        </is>
      </c>
      <c r="I62" s="39" t="inlineStr">
        <is>
          <t>-</t>
        </is>
      </c>
      <c r="J62" s="40" t="n">
        <v>0</v>
      </c>
      <c r="K62" s="31" t="inlineStr">
        <is>
          <t>No</t>
        </is>
      </c>
      <c r="L62" s="31" t="n">
        <v>0</v>
      </c>
      <c r="M62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3" ht="184" customHeight="1">
      <c r="A63" s="31" t="inlineStr">
        <is>
          <t>29 Jun</t>
        </is>
      </c>
      <c r="B63" s="31" t="inlineStr">
        <is>
          <t>37053</t>
        </is>
      </c>
      <c r="C63" s="31" t="n">
        <v>1613</v>
      </c>
      <c r="D63" s="31" t="n">
        <v>1613</v>
      </c>
      <c r="E63" s="31" t="n">
        <v>0</v>
      </c>
      <c r="F63" s="39" t="n">
        <v>1296822</v>
      </c>
      <c r="G63" s="39" t="n">
        <v>1436925</v>
      </c>
      <c r="H63" s="39" t="inlineStr">
        <is>
          <t>-</t>
        </is>
      </c>
      <c r="I63" s="39" t="inlineStr">
        <is>
          <t>-</t>
        </is>
      </c>
      <c r="J63" s="40" t="n">
        <v>0</v>
      </c>
      <c r="K63" s="31" t="inlineStr">
        <is>
          <t>No</t>
        </is>
      </c>
      <c r="L63" s="31" t="n">
        <v>0</v>
      </c>
      <c r="M63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4" ht="184" customHeight="1">
      <c r="A64" s="31" t="inlineStr">
        <is>
          <t>29 Jun</t>
        </is>
      </c>
      <c r="B64" s="31" t="inlineStr">
        <is>
          <t>37091</t>
        </is>
      </c>
      <c r="C64" s="31" t="n">
        <v>1139</v>
      </c>
      <c r="D64" s="31" t="n">
        <v>1139</v>
      </c>
      <c r="E64" s="31" t="n">
        <v>0</v>
      </c>
      <c r="F64" s="39" t="n">
        <v>1361535</v>
      </c>
      <c r="G64" s="39" t="n">
        <v>1455939</v>
      </c>
      <c r="H64" s="39" t="inlineStr">
        <is>
          <t>-</t>
        </is>
      </c>
      <c r="I64" s="39" t="inlineStr">
        <is>
          <t>-</t>
        </is>
      </c>
      <c r="J64" s="40" t="n">
        <v>0</v>
      </c>
      <c r="K64" s="31" t="inlineStr">
        <is>
          <t>No</t>
        </is>
      </c>
      <c r="L64" s="31" t="n">
        <v>0</v>
      </c>
      <c r="M64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5" ht="184" customHeight="1">
      <c r="A65" s="31" t="inlineStr">
        <is>
          <t>29 Jun</t>
        </is>
      </c>
      <c r="B65" s="31" t="inlineStr">
        <is>
          <t>37130</t>
        </is>
      </c>
      <c r="C65" s="31" t="n">
        <v>3</v>
      </c>
      <c r="D65" s="31" t="n">
        <v>3</v>
      </c>
      <c r="E65" s="31" t="n">
        <v>0</v>
      </c>
      <c r="F65" s="39" t="n">
        <v>1282598</v>
      </c>
      <c r="G65" s="39" t="n">
        <v>1310982</v>
      </c>
      <c r="H65" s="39" t="inlineStr">
        <is>
          <t>-</t>
        </is>
      </c>
      <c r="I65" s="39" t="inlineStr">
        <is>
          <t>-</t>
        </is>
      </c>
      <c r="J65" s="40" t="n">
        <v>0</v>
      </c>
      <c r="K65" s="31" t="inlineStr">
        <is>
          <t>No</t>
        </is>
      </c>
      <c r="L65" s="31" t="n">
        <v>0</v>
      </c>
      <c r="M65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6" ht="184" customHeight="1">
      <c r="A66" s="31" t="inlineStr">
        <is>
          <t>29 Jun</t>
        </is>
      </c>
      <c r="B66" s="31" t="inlineStr">
        <is>
          <t>37218</t>
        </is>
      </c>
      <c r="C66" s="31" t="n">
        <v>7</v>
      </c>
      <c r="D66" s="31" t="n">
        <v>2</v>
      </c>
      <c r="E66" s="31" t="n">
        <v>0</v>
      </c>
      <c r="F66" s="39" t="n">
        <v>1401350</v>
      </c>
      <c r="G66" s="39" t="n">
        <v>1401377</v>
      </c>
      <c r="H66" s="39" t="inlineStr">
        <is>
          <t>-</t>
        </is>
      </c>
      <c r="I66" s="39" t="inlineStr">
        <is>
          <t>-</t>
        </is>
      </c>
      <c r="J66" s="40" t="n">
        <v>0</v>
      </c>
      <c r="K66" s="31" t="inlineStr">
        <is>
          <t>No</t>
        </is>
      </c>
      <c r="L66" s="31" t="n">
        <v>0</v>
      </c>
      <c r="M66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7" ht="184" customHeight="1">
      <c r="A67" s="31" t="inlineStr">
        <is>
          <t>29 Jun</t>
        </is>
      </c>
      <c r="B67" s="31" t="inlineStr">
        <is>
          <t>37454</t>
        </is>
      </c>
      <c r="C67" s="31" t="n">
        <v>1044</v>
      </c>
      <c r="D67" s="31" t="n">
        <v>1039</v>
      </c>
      <c r="E67" s="31" t="n">
        <v>0</v>
      </c>
      <c r="F67" s="39" t="n">
        <v>1401324</v>
      </c>
      <c r="G67" s="39" t="n">
        <v>1426404</v>
      </c>
      <c r="H67" s="39" t="inlineStr">
        <is>
          <t>-</t>
        </is>
      </c>
      <c r="I67" s="39" t="inlineStr">
        <is>
          <t>-</t>
        </is>
      </c>
      <c r="J67" s="40" t="n">
        <v>0</v>
      </c>
      <c r="K67" s="31" t="inlineStr">
        <is>
          <t>No</t>
        </is>
      </c>
      <c r="L67" s="31" t="n">
        <v>0</v>
      </c>
      <c r="M67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8" ht="184" customHeight="1">
      <c r="A68" s="31" t="inlineStr">
        <is>
          <t>29 Jun</t>
        </is>
      </c>
      <c r="B68" s="31" t="inlineStr">
        <is>
          <t>37461</t>
        </is>
      </c>
      <c r="C68" s="31" t="n">
        <v>529</v>
      </c>
      <c r="D68" s="31" t="n">
        <v>529</v>
      </c>
      <c r="E68" s="31" t="n">
        <v>0</v>
      </c>
      <c r="F68" s="39" t="n">
        <v>1401710</v>
      </c>
      <c r="G68" s="39" t="n">
        <v>1445869</v>
      </c>
      <c r="H68" s="39" t="inlineStr">
        <is>
          <t>-</t>
        </is>
      </c>
      <c r="I68" s="39" t="inlineStr">
        <is>
          <t>-</t>
        </is>
      </c>
      <c r="J68" s="40" t="n">
        <v>0</v>
      </c>
      <c r="K68" s="31" t="inlineStr">
        <is>
          <t>No</t>
        </is>
      </c>
      <c r="L68" s="31" t="n">
        <v>0</v>
      </c>
      <c r="M68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9" ht="184" customHeight="1">
      <c r="A69" s="31" t="inlineStr">
        <is>
          <t>29 Jun</t>
        </is>
      </c>
      <c r="B69" s="31" t="inlineStr">
        <is>
          <t>37470</t>
        </is>
      </c>
      <c r="C69" s="31" t="n">
        <v>673</v>
      </c>
      <c r="D69" s="31" t="n">
        <v>673</v>
      </c>
      <c r="E69" s="31" t="n">
        <v>0</v>
      </c>
      <c r="F69" s="39" t="n">
        <v>1401749</v>
      </c>
      <c r="G69" s="39" t="n">
        <v>1445133</v>
      </c>
      <c r="H69" s="39" t="inlineStr">
        <is>
          <t>-</t>
        </is>
      </c>
      <c r="I69" s="39" t="inlineStr">
        <is>
          <t>-</t>
        </is>
      </c>
      <c r="J69" s="40" t="n">
        <v>0</v>
      </c>
      <c r="K69" s="31" t="inlineStr">
        <is>
          <t>No</t>
        </is>
      </c>
      <c r="L69" s="31" t="n">
        <v>0</v>
      </c>
      <c r="M69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0" ht="184" customHeight="1">
      <c r="A70" s="31" t="inlineStr">
        <is>
          <t>29 Jun</t>
        </is>
      </c>
      <c r="B70" s="31" t="inlineStr">
        <is>
          <t>37489</t>
        </is>
      </c>
      <c r="C70" s="31" t="n">
        <v>2362</v>
      </c>
      <c r="D70" s="31" t="n">
        <v>2285</v>
      </c>
      <c r="E70" s="31" t="n">
        <v>0</v>
      </c>
      <c r="F70" s="39" t="n">
        <v>1889</v>
      </c>
      <c r="G70" s="39" t="n">
        <v>697872</v>
      </c>
      <c r="H70" s="39" t="inlineStr">
        <is>
          <t>-</t>
        </is>
      </c>
      <c r="I70" s="39" t="inlineStr">
        <is>
          <t>-</t>
        </is>
      </c>
      <c r="J70" s="40" t="n">
        <v>0</v>
      </c>
      <c r="K70" s="31" t="inlineStr">
        <is>
          <t>No</t>
        </is>
      </c>
      <c r="L70" s="31" t="n">
        <v>0</v>
      </c>
      <c r="M70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1" ht="184" customHeight="1">
      <c r="A71" s="31" t="inlineStr">
        <is>
          <t>29 Jun</t>
        </is>
      </c>
      <c r="B71" s="31" t="inlineStr">
        <is>
          <t>37514</t>
        </is>
      </c>
      <c r="C71" s="31" t="n">
        <v>1400</v>
      </c>
      <c r="D71" s="31" t="n">
        <v>1400</v>
      </c>
      <c r="E71" s="31" t="n">
        <v>0</v>
      </c>
      <c r="F71" s="39" t="n">
        <v>1401318</v>
      </c>
      <c r="G71" s="39" t="n">
        <v>1443763</v>
      </c>
      <c r="H71" s="39" t="inlineStr">
        <is>
          <t>-</t>
        </is>
      </c>
      <c r="I71" s="39" t="inlineStr">
        <is>
          <t>-</t>
        </is>
      </c>
      <c r="J71" s="40" t="n">
        <v>0</v>
      </c>
      <c r="K71" s="31" t="inlineStr">
        <is>
          <t>No</t>
        </is>
      </c>
      <c r="L71" s="31" t="n">
        <v>0</v>
      </c>
      <c r="M71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2" ht="184" customHeight="1">
      <c r="A72" s="31" t="inlineStr">
        <is>
          <t>29 Jun</t>
        </is>
      </c>
      <c r="B72" s="31" t="inlineStr">
        <is>
          <t>37647</t>
        </is>
      </c>
      <c r="C72" s="31" t="n">
        <v>875</v>
      </c>
      <c r="D72" s="31" t="n">
        <v>874</v>
      </c>
      <c r="E72" s="31" t="n">
        <v>0</v>
      </c>
      <c r="F72" s="39" t="n">
        <v>1401357</v>
      </c>
      <c r="G72" s="39" t="n">
        <v>1458812</v>
      </c>
      <c r="H72" s="39" t="inlineStr">
        <is>
          <t>-</t>
        </is>
      </c>
      <c r="I72" s="39" t="inlineStr">
        <is>
          <t>-</t>
        </is>
      </c>
      <c r="J72" s="40" t="n">
        <v>0</v>
      </c>
      <c r="K72" s="31" t="inlineStr">
        <is>
          <t>No</t>
        </is>
      </c>
      <c r="L72" s="31" t="n">
        <v>0</v>
      </c>
      <c r="M72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3" ht="184" customHeight="1">
      <c r="A73" s="31" t="inlineStr">
        <is>
          <t>29 Jun</t>
        </is>
      </c>
      <c r="B73" s="31" t="inlineStr">
        <is>
          <t>37721</t>
        </is>
      </c>
      <c r="C73" s="31" t="n">
        <v>1087</v>
      </c>
      <c r="D73" s="31" t="n">
        <v>1087</v>
      </c>
      <c r="E73" s="31" t="n">
        <v>0</v>
      </c>
      <c r="F73" s="39" t="n">
        <v>62585</v>
      </c>
      <c r="G73" s="39" t="n">
        <v>695454</v>
      </c>
      <c r="H73" s="39" t="inlineStr">
        <is>
          <t>-</t>
        </is>
      </c>
      <c r="I73" s="39" t="inlineStr">
        <is>
          <t>-</t>
        </is>
      </c>
      <c r="J73" s="40" t="n">
        <v>0</v>
      </c>
      <c r="K73" s="31" t="inlineStr">
        <is>
          <t>No</t>
        </is>
      </c>
      <c r="L73" s="31" t="n">
        <v>0</v>
      </c>
      <c r="M73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4" ht="184" customHeight="1">
      <c r="A74" s="31" t="inlineStr">
        <is>
          <t>29 Jun</t>
        </is>
      </c>
      <c r="B74" s="31" t="inlineStr">
        <is>
          <t>37856</t>
        </is>
      </c>
      <c r="C74" s="31" t="n">
        <v>2</v>
      </c>
      <c r="D74" s="31" t="n">
        <v>2</v>
      </c>
      <c r="E74" s="31" t="n">
        <v>0</v>
      </c>
      <c r="F74" s="39" t="n">
        <v>1297239</v>
      </c>
      <c r="G74" s="39" t="n">
        <v>1301618</v>
      </c>
      <c r="H74" s="39" t="inlineStr">
        <is>
          <t>-</t>
        </is>
      </c>
      <c r="I74" s="39" t="inlineStr">
        <is>
          <t>-</t>
        </is>
      </c>
      <c r="J74" s="40" t="n">
        <v>0</v>
      </c>
      <c r="K74" s="31" t="inlineStr">
        <is>
          <t>No</t>
        </is>
      </c>
      <c r="L74" s="31" t="n">
        <v>0</v>
      </c>
      <c r="M74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5" ht="184" customHeight="1">
      <c r="A75" s="31" t="inlineStr">
        <is>
          <t>29 Jun</t>
        </is>
      </c>
      <c r="B75" s="31" t="inlineStr">
        <is>
          <t>37947</t>
        </is>
      </c>
      <c r="C75" s="31" t="n">
        <v>2356</v>
      </c>
      <c r="D75" s="31" t="n">
        <v>2291</v>
      </c>
      <c r="E75" s="31" t="n">
        <v>0</v>
      </c>
      <c r="F75" s="39" t="n">
        <v>1888</v>
      </c>
      <c r="G75" s="39" t="n">
        <v>697891</v>
      </c>
      <c r="H75" s="39" t="inlineStr">
        <is>
          <t>-</t>
        </is>
      </c>
      <c r="I75" s="39" t="inlineStr">
        <is>
          <t>-</t>
        </is>
      </c>
      <c r="J75" s="40" t="n">
        <v>0</v>
      </c>
      <c r="K75" s="31" t="inlineStr">
        <is>
          <t>No</t>
        </is>
      </c>
      <c r="L75" s="31" t="n">
        <v>0</v>
      </c>
      <c r="M75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6" ht="184" customHeight="1">
      <c r="A76" s="31" t="inlineStr">
        <is>
          <t>29 Jun</t>
        </is>
      </c>
      <c r="B76" s="31" t="inlineStr">
        <is>
          <t>39047</t>
        </is>
      </c>
      <c r="C76" s="31" t="n">
        <v>1887</v>
      </c>
      <c r="D76" s="31" t="n">
        <v>1887</v>
      </c>
      <c r="E76" s="31" t="n">
        <v>0</v>
      </c>
      <c r="F76" s="39" t="n">
        <v>1358269</v>
      </c>
      <c r="G76" s="39" t="n">
        <v>1436787</v>
      </c>
      <c r="H76" s="39" t="inlineStr">
        <is>
          <t>-</t>
        </is>
      </c>
      <c r="I76" s="39" t="inlineStr">
        <is>
          <t>-</t>
        </is>
      </c>
      <c r="J76" s="40" t="n">
        <v>0</v>
      </c>
      <c r="K76" s="31" t="inlineStr">
        <is>
          <t>No</t>
        </is>
      </c>
      <c r="L76" s="31" t="n">
        <v>0</v>
      </c>
      <c r="M76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7" ht="184" customHeight="1">
      <c r="A77" s="31" t="inlineStr">
        <is>
          <t>29 Jun</t>
        </is>
      </c>
      <c r="B77" s="31" t="inlineStr">
        <is>
          <t>39236</t>
        </is>
      </c>
      <c r="C77" s="31" t="n">
        <v>2</v>
      </c>
      <c r="D77" s="31" t="n">
        <v>2</v>
      </c>
      <c r="E77" s="31" t="n">
        <v>0</v>
      </c>
      <c r="F77" s="39" t="n">
        <v>643217</v>
      </c>
      <c r="G77" s="39" t="n">
        <v>653794</v>
      </c>
      <c r="H77" s="39" t="inlineStr">
        <is>
          <t>-</t>
        </is>
      </c>
      <c r="I77" s="39" t="inlineStr">
        <is>
          <t>-</t>
        </is>
      </c>
      <c r="J77" s="40" t="n">
        <v>0</v>
      </c>
      <c r="K77" s="31" t="inlineStr">
        <is>
          <t>No</t>
        </is>
      </c>
      <c r="L77" s="31" t="n">
        <v>0</v>
      </c>
      <c r="M77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8" ht="184" customHeight="1">
      <c r="A78" s="31" t="inlineStr">
        <is>
          <t>29 Jun</t>
        </is>
      </c>
      <c r="B78" s="31" t="inlineStr">
        <is>
          <t>39282</t>
        </is>
      </c>
      <c r="C78" s="31" t="n">
        <v>1619</v>
      </c>
      <c r="D78" s="31" t="n">
        <v>1619</v>
      </c>
      <c r="E78" s="31" t="n">
        <v>0</v>
      </c>
      <c r="F78" s="39" t="n">
        <v>1330442</v>
      </c>
      <c r="G78" s="39" t="n">
        <v>1474474</v>
      </c>
      <c r="H78" s="39" t="inlineStr">
        <is>
          <t>-</t>
        </is>
      </c>
      <c r="I78" s="39" t="inlineStr">
        <is>
          <t>-</t>
        </is>
      </c>
      <c r="J78" s="40" t="n">
        <v>0</v>
      </c>
      <c r="K78" s="31" t="inlineStr">
        <is>
          <t>No</t>
        </is>
      </c>
      <c r="L78" s="31" t="n">
        <v>0</v>
      </c>
      <c r="M78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79" ht="184" customHeight="1">
      <c r="A79" s="31" t="inlineStr">
        <is>
          <t>29 Jun</t>
        </is>
      </c>
      <c r="B79" s="31" t="inlineStr">
        <is>
          <t>39351</t>
        </is>
      </c>
      <c r="C79" s="31" t="n">
        <v>506</v>
      </c>
      <c r="D79" s="31" t="n">
        <v>494</v>
      </c>
      <c r="E79" s="31" t="n">
        <v>0</v>
      </c>
      <c r="F79" s="39" t="n">
        <v>1401341</v>
      </c>
      <c r="G79" s="39" t="n">
        <v>1436091</v>
      </c>
      <c r="H79" s="39" t="inlineStr">
        <is>
          <t>-</t>
        </is>
      </c>
      <c r="I79" s="39" t="inlineStr">
        <is>
          <t>-</t>
        </is>
      </c>
      <c r="J79" s="40" t="n">
        <v>0</v>
      </c>
      <c r="K79" s="31" t="inlineStr">
        <is>
          <t>No</t>
        </is>
      </c>
      <c r="L79" s="31" t="n">
        <v>0</v>
      </c>
      <c r="M79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80" ht="184" customHeight="1">
      <c r="A80" s="31" t="inlineStr">
        <is>
          <t>29 Jun</t>
        </is>
      </c>
      <c r="B80" s="31" t="inlineStr">
        <is>
          <t>39358</t>
        </is>
      </c>
      <c r="C80" s="31" t="n">
        <v>1615</v>
      </c>
      <c r="D80" s="31" t="n">
        <v>1610</v>
      </c>
      <c r="E80" s="31" t="n">
        <v>0</v>
      </c>
      <c r="F80" s="39" t="n">
        <v>1357897</v>
      </c>
      <c r="G80" s="39" t="n">
        <v>1448150</v>
      </c>
      <c r="H80" s="39" t="inlineStr">
        <is>
          <t>-</t>
        </is>
      </c>
      <c r="I80" s="39" t="inlineStr">
        <is>
          <t>-</t>
        </is>
      </c>
      <c r="J80" s="40" t="n">
        <v>0</v>
      </c>
      <c r="K80" s="31" t="inlineStr">
        <is>
          <t>No</t>
        </is>
      </c>
      <c r="L80" s="31" t="n">
        <v>0</v>
      </c>
      <c r="M80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81" ht="184" customHeight="1">
      <c r="A81" s="31" t="inlineStr">
        <is>
          <t>29 Jun</t>
        </is>
      </c>
      <c r="B81" s="31" t="inlineStr">
        <is>
          <t>39371</t>
        </is>
      </c>
      <c r="C81" s="31" t="n">
        <v>977</v>
      </c>
      <c r="D81" s="31" t="n">
        <v>976</v>
      </c>
      <c r="E81" s="31" t="n">
        <v>0</v>
      </c>
      <c r="F81" s="39" t="n">
        <v>1401345</v>
      </c>
      <c r="G81" s="39" t="n">
        <v>1474610</v>
      </c>
      <c r="H81" s="39" t="inlineStr">
        <is>
          <t>-</t>
        </is>
      </c>
      <c r="I81" s="39" t="inlineStr">
        <is>
          <t>-</t>
        </is>
      </c>
      <c r="J81" s="40" t="n">
        <v>0</v>
      </c>
      <c r="K81" s="31" t="inlineStr">
        <is>
          <t>No</t>
        </is>
      </c>
      <c r="L81" s="31" t="n">
        <v>0</v>
      </c>
      <c r="M81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82" ht="184" customHeight="1">
      <c r="A82" s="31" t="inlineStr">
        <is>
          <t>29 Jun</t>
        </is>
      </c>
      <c r="B82" s="31" t="inlineStr">
        <is>
          <t>39421</t>
        </is>
      </c>
      <c r="C82" s="31" t="n">
        <v>738</v>
      </c>
      <c r="D82" s="31" t="n">
        <v>738</v>
      </c>
      <c r="E82" s="31" t="n">
        <v>0</v>
      </c>
      <c r="F82" s="39" t="n">
        <v>1401491</v>
      </c>
      <c r="G82" s="39" t="n">
        <v>1455816</v>
      </c>
      <c r="H82" s="39" t="inlineStr">
        <is>
          <t>-</t>
        </is>
      </c>
      <c r="I82" s="39" t="inlineStr">
        <is>
          <t>-</t>
        </is>
      </c>
      <c r="J82" s="40" t="n">
        <v>0</v>
      </c>
      <c r="K82" s="31" t="inlineStr">
        <is>
          <t>No</t>
        </is>
      </c>
      <c r="L82" s="31" t="n">
        <v>0</v>
      </c>
      <c r="M82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83" ht="184" customHeight="1">
      <c r="A83" s="31" t="inlineStr">
        <is>
          <t>29 Jun</t>
        </is>
      </c>
      <c r="B83" s="31" t="inlineStr">
        <is>
          <t>39565</t>
        </is>
      </c>
      <c r="C83" s="31" t="n">
        <v>1</v>
      </c>
      <c r="D83" s="31" t="n">
        <v>1</v>
      </c>
      <c r="E83" s="31" t="n">
        <v>0</v>
      </c>
      <c r="F83" s="39" t="n">
        <v>1267285</v>
      </c>
      <c r="G83" s="39" t="n">
        <v>1267285</v>
      </c>
      <c r="H83" s="39" t="inlineStr">
        <is>
          <t>-</t>
        </is>
      </c>
      <c r="I83" s="39" t="inlineStr">
        <is>
          <t>-</t>
        </is>
      </c>
      <c r="J83" s="40" t="n">
        <v>0</v>
      </c>
      <c r="K83" s="31" t="inlineStr">
        <is>
          <t>No</t>
        </is>
      </c>
      <c r="L83" s="31" t="n">
        <v>0</v>
      </c>
      <c r="M83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84" ht="184" customHeight="1">
      <c r="A84" s="31" t="inlineStr">
        <is>
          <t>29 Jun</t>
        </is>
      </c>
      <c r="B84" s="31" t="inlineStr">
        <is>
          <t>45027</t>
        </is>
      </c>
      <c r="C84" s="31" t="n">
        <v>2203</v>
      </c>
      <c r="D84" s="31" t="n">
        <v>2200</v>
      </c>
      <c r="E84" s="31" t="n">
        <v>0</v>
      </c>
      <c r="F84" s="39" t="n">
        <v>1481</v>
      </c>
      <c r="G84" s="39" t="n">
        <v>697381</v>
      </c>
      <c r="H84" s="39" t="inlineStr">
        <is>
          <t>-</t>
        </is>
      </c>
      <c r="I84" s="39" t="inlineStr">
        <is>
          <t>-</t>
        </is>
      </c>
      <c r="J84" s="40" t="n">
        <v>0</v>
      </c>
      <c r="K84" s="31" t="inlineStr">
        <is>
          <t>No</t>
        </is>
      </c>
      <c r="L84" s="31" t="n">
        <v>0</v>
      </c>
      <c r="M84" s="41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2" t="inlineStr">
        <is>
          <t>Methodology</t>
        </is>
      </c>
    </row>
    <row r="3" ht="34" customHeight="1">
      <c r="B3" s="43" t="inlineStr">
        <is>
          <t>Excluded</t>
        </is>
      </c>
      <c r="C3" s="44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3" t="inlineStr">
        <is>
          <t>No of Trips</t>
        </is>
      </c>
      <c r="C4" s="44" t="inlineStr">
        <is>
          <t>A direction-run covering within 5 km of its line length (DN 535.7 / UP 544.9 km) = one FULL trip; out-and-back = 2. A loco with &gt;=1 full trip is 'valid' (its EBs count as Valid). KM Verification lists each loco-day's stations passed / not passed.</t>
        </is>
      </c>
    </row>
    <row r="5" ht="49" customHeight="1">
      <c r="B5" s="43" t="inlineStr">
        <is>
          <t>Total KMs Run on Kavach</t>
        </is>
      </c>
      <c r="C5" s="44" t="inlineStr">
        <is>
          <t>Section coverage per loco = how far it travelled across the section = (max - min) of its abs within the section limits (699070-1243994). Capped at the section length; 0 if the loco never reported inside the section.</t>
        </is>
      </c>
    </row>
    <row r="6">
      <c r="B6" s="43" t="inlineStr">
        <is>
          <t>Availability (FS+OS)</t>
        </is>
      </c>
      <c r="C6" s="44" t="inlineStr">
        <is>
          <t>Packets in FS or OnSight ÷ all packets (all modes) × 100.</t>
        </is>
      </c>
    </row>
    <row r="7" ht="34" customHeight="1">
      <c r="B7" s="43" t="inlineStr">
        <is>
          <t>Total EB</t>
        </is>
      </c>
      <c r="C7" s="44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3" t="inlineStr">
        <is>
          <t>Mode Degradation</t>
        </is>
      </c>
      <c r="C8" s="44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3" t="inlineStr">
        <is>
          <t>EB diagnostics</t>
        </is>
      </c>
      <c r="C9" s="44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3" t="inlineStr">
        <is>
          <t>Ratios</t>
        </is>
      </c>
      <c r="C10" s="44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2026-06-30T10:31:01Z</dcterms:created>
  <dcterms:modified xmlns:dcterms="http://purl.org/dc/terms/" xmlns:xsi="http://www.w3.org/2001/XMLSchema-instance" xsi:type="dcterms:W3CDTF">2026-07-01T05:28:40Z</dcterms:modified>
</cp:coreProperties>
</file>
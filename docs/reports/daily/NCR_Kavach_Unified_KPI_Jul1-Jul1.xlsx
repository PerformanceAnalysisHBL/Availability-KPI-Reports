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4" fontId="9" fillId="5" borderId="1" applyAlignment="1" pivotButton="0" quotePrefix="0" xfId="0">
      <alignment horizontal="center" vertical="center" wrapText="1"/>
    </xf>
    <xf numFmtId="2" fontId="9" fillId="5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2" fontId="11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NCR — Kavach Unified KPI</t>
        </is>
      </c>
    </row>
    <row r="2">
      <c r="A2" s="2" t="inlineStr">
        <is>
          <t>Period: 01 Jul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01 Jul 2026</t>
        </is>
      </c>
      <c r="B5" s="4" t="inlineStr">
        <is>
          <t>NCR</t>
        </is>
      </c>
      <c r="C5" s="4" t="inlineStr">
        <is>
          <t>36001_LC563 → 36014_VRBD</t>
        </is>
      </c>
      <c r="D5" s="5">
        <f>'Daily Breakdown'!C35</f>
        <v/>
      </c>
      <c r="E5" s="6">
        <f>'Daily Breakdown'!D35</f>
        <v/>
      </c>
      <c r="F5" s="7">
        <f>'Daily Breakdown'!G35</f>
        <v/>
      </c>
      <c r="G5" s="5">
        <f>'Daily Breakdown'!H35</f>
        <v/>
      </c>
      <c r="H5" s="8">
        <f>'Daily Breakdown'!I35</f>
        <v/>
      </c>
      <c r="I5" s="8">
        <f>'Daily Breakdown'!J35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Breakdown'!K35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0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14" customWidth="1" min="4" max="4"/>
    <col width="14" customWidth="1" min="5" max="5"/>
    <col width="28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14" t="inlineStr">
        <is>
          <t>Availability base excludes locos with FS+OS pkts = 0 (they are still listed; only the Total-pkts availability base drops them).</t>
        </is>
      </c>
    </row>
    <row r="3" ht="34" customHeight="1">
      <c r="A3" s="15" t="inlineStr">
        <is>
          <t>Date</t>
        </is>
      </c>
      <c r="B3" s="15" t="inlineStr">
        <is>
          <t>Loco ID</t>
        </is>
      </c>
      <c r="C3" s="15" t="inlineStr">
        <is>
          <t>No of Trips</t>
        </is>
      </c>
      <c r="D3" s="15" t="inlineStr">
        <is>
          <t>Total KMs</t>
        </is>
      </c>
      <c r="E3" s="15" t="inlineStr">
        <is>
          <t>FS+OS pkts</t>
        </is>
      </c>
      <c r="F3" s="15" t="inlineStr">
        <is>
          <t>Total pkts</t>
        </is>
      </c>
      <c r="G3" s="15" t="inlineStr">
        <is>
          <t>Availability (FS+OS)</t>
        </is>
      </c>
      <c r="H3" s="15" t="inlineStr">
        <is>
          <t>Total EB</t>
        </is>
      </c>
      <c r="I3" s="15" t="inlineStr">
        <is>
          <t>EB (Valid)</t>
        </is>
      </c>
      <c r="J3" s="15" t="inlineStr">
        <is>
          <t>EB (Non-Valid)</t>
        </is>
      </c>
      <c r="K3" s="15" t="inlineStr">
        <is>
          <t>Mode Degradation</t>
        </is>
      </c>
    </row>
    <row r="4">
      <c r="A4" s="16" t="inlineStr">
        <is>
          <t>1 Jul</t>
        </is>
      </c>
      <c r="B4" s="16" t="inlineStr">
        <is>
          <t>30376</t>
        </is>
      </c>
      <c r="C4" s="17" t="n">
        <v>2</v>
      </c>
      <c r="D4" s="18" t="n">
        <v>77.84999999999999</v>
      </c>
      <c r="E4" s="19" t="n">
        <v>7497</v>
      </c>
      <c r="F4" s="19" t="n">
        <v>7601</v>
      </c>
      <c r="G4" s="20">
        <f>IF(F4=0,0,E4/F4*100)</f>
        <v/>
      </c>
      <c r="H4" s="17" t="n">
        <v>0</v>
      </c>
      <c r="I4" s="17" t="n">
        <v>0</v>
      </c>
      <c r="J4" s="17" t="n">
        <v>0</v>
      </c>
      <c r="K4" s="17" t="n">
        <v>0</v>
      </c>
    </row>
    <row r="5">
      <c r="A5" s="16" t="inlineStr">
        <is>
          <t>1 Jul</t>
        </is>
      </c>
      <c r="B5" s="16" t="inlineStr">
        <is>
          <t>30480</t>
        </is>
      </c>
      <c r="C5" s="17" t="n">
        <v>2</v>
      </c>
      <c r="D5" s="18" t="n">
        <v>77.88</v>
      </c>
      <c r="E5" s="19" t="n">
        <v>6018</v>
      </c>
      <c r="F5" s="19" t="n">
        <v>6106</v>
      </c>
      <c r="G5" s="20">
        <f>IF(F5=0,0,E5/F5*100)</f>
        <v/>
      </c>
      <c r="H5" s="17" t="n">
        <v>0</v>
      </c>
      <c r="I5" s="17" t="n">
        <v>0</v>
      </c>
      <c r="J5" s="17" t="n">
        <v>0</v>
      </c>
      <c r="K5" s="17" t="n">
        <v>0</v>
      </c>
    </row>
    <row r="6">
      <c r="A6" s="16" t="inlineStr">
        <is>
          <t>1 Jul</t>
        </is>
      </c>
      <c r="B6" s="16" t="inlineStr">
        <is>
          <t>39371</t>
        </is>
      </c>
      <c r="C6" s="17" t="n">
        <v>2</v>
      </c>
      <c r="D6" s="18" t="n">
        <v>77.86</v>
      </c>
      <c r="E6" s="19" t="n">
        <v>5428</v>
      </c>
      <c r="F6" s="19" t="n">
        <v>5558</v>
      </c>
      <c r="G6" s="20">
        <f>IF(F6=0,0,E6/F6*100)</f>
        <v/>
      </c>
      <c r="H6" s="17" t="n">
        <v>0</v>
      </c>
      <c r="I6" s="17" t="n">
        <v>0</v>
      </c>
      <c r="J6" s="17" t="n">
        <v>0</v>
      </c>
      <c r="K6" s="17" t="n">
        <v>1</v>
      </c>
    </row>
    <row r="7">
      <c r="A7" s="16" t="inlineStr">
        <is>
          <t>1 Jul</t>
        </is>
      </c>
      <c r="B7" s="16" t="inlineStr">
        <is>
          <t>30339</t>
        </is>
      </c>
      <c r="C7" s="17" t="n">
        <v>2</v>
      </c>
      <c r="D7" s="18" t="n">
        <v>77.83</v>
      </c>
      <c r="E7" s="19" t="n">
        <v>5341</v>
      </c>
      <c r="F7" s="19" t="n">
        <v>5411</v>
      </c>
      <c r="G7" s="20">
        <f>IF(F7=0,0,E7/F7*100)</f>
        <v/>
      </c>
      <c r="H7" s="17" t="n">
        <v>0</v>
      </c>
      <c r="I7" s="17" t="n">
        <v>0</v>
      </c>
      <c r="J7" s="17" t="n">
        <v>0</v>
      </c>
      <c r="K7" s="17" t="n">
        <v>4</v>
      </c>
    </row>
    <row r="8">
      <c r="A8" s="16" t="inlineStr">
        <is>
          <t>1 Jul</t>
        </is>
      </c>
      <c r="B8" s="16" t="inlineStr">
        <is>
          <t>30147</t>
        </is>
      </c>
      <c r="C8" s="17" t="n">
        <v>2</v>
      </c>
      <c r="D8" s="18" t="n">
        <v>77.84999999999999</v>
      </c>
      <c r="E8" s="19" t="n">
        <v>4729</v>
      </c>
      <c r="F8" s="19" t="n">
        <v>4763</v>
      </c>
      <c r="G8" s="20">
        <f>IF(F8=0,0,E8/F8*100)</f>
        <v/>
      </c>
      <c r="H8" s="17" t="n">
        <v>0</v>
      </c>
      <c r="I8" s="17" t="n">
        <v>0</v>
      </c>
      <c r="J8" s="17" t="n">
        <v>0</v>
      </c>
      <c r="K8" s="17" t="n">
        <v>1</v>
      </c>
    </row>
    <row r="9">
      <c r="A9" s="16" t="inlineStr">
        <is>
          <t>1 Jul</t>
        </is>
      </c>
      <c r="B9" s="16" t="inlineStr">
        <is>
          <t>30002</t>
        </is>
      </c>
      <c r="C9" s="17" t="n">
        <v>2</v>
      </c>
      <c r="D9" s="18" t="n">
        <v>77.69</v>
      </c>
      <c r="E9" s="19" t="n">
        <v>2888</v>
      </c>
      <c r="F9" s="19" t="n">
        <v>2919</v>
      </c>
      <c r="G9" s="20">
        <f>IF(F9=0,0,E9/F9*100)</f>
        <v/>
      </c>
      <c r="H9" s="17" t="n">
        <v>0</v>
      </c>
      <c r="I9" s="17" t="n">
        <v>0</v>
      </c>
      <c r="J9" s="17" t="n">
        <v>0</v>
      </c>
      <c r="K9" s="17" t="n">
        <v>0</v>
      </c>
    </row>
    <row r="10">
      <c r="A10" s="16" t="inlineStr">
        <is>
          <t>1 Jul</t>
        </is>
      </c>
      <c r="B10" s="16" t="inlineStr">
        <is>
          <t>30347</t>
        </is>
      </c>
      <c r="C10" s="17" t="n">
        <v>1</v>
      </c>
      <c r="D10" s="18" t="n">
        <v>77.86</v>
      </c>
      <c r="E10" s="19" t="n">
        <v>4354</v>
      </c>
      <c r="F10" s="19" t="n">
        <v>4730</v>
      </c>
      <c r="G10" s="20">
        <f>IF(F10=0,0,E10/F10*100)</f>
        <v/>
      </c>
      <c r="H10" s="17" t="n">
        <v>0</v>
      </c>
      <c r="I10" s="17" t="n">
        <v>0</v>
      </c>
      <c r="J10" s="17" t="n">
        <v>0</v>
      </c>
      <c r="K10" s="17" t="n">
        <v>2</v>
      </c>
    </row>
    <row r="11">
      <c r="A11" s="16" t="inlineStr">
        <is>
          <t>1 Jul</t>
        </is>
      </c>
      <c r="B11" s="16" t="inlineStr">
        <is>
          <t>30757</t>
        </is>
      </c>
      <c r="C11" s="17" t="n">
        <v>1</v>
      </c>
      <c r="D11" s="18" t="n">
        <v>77.72</v>
      </c>
      <c r="E11" s="19" t="n">
        <v>4465</v>
      </c>
      <c r="F11" s="19" t="n">
        <v>4508</v>
      </c>
      <c r="G11" s="20">
        <f>IF(F11=0,0,E11/F11*100)</f>
        <v/>
      </c>
      <c r="H11" s="17" t="n">
        <v>0</v>
      </c>
      <c r="I11" s="17" t="n">
        <v>0</v>
      </c>
      <c r="J11" s="17" t="n">
        <v>0</v>
      </c>
      <c r="K11" s="17" t="n">
        <v>0</v>
      </c>
    </row>
    <row r="12">
      <c r="A12" s="16" t="inlineStr">
        <is>
          <t>1 Jul</t>
        </is>
      </c>
      <c r="B12" s="16" t="inlineStr">
        <is>
          <t>37515</t>
        </is>
      </c>
      <c r="C12" s="17" t="n">
        <v>1</v>
      </c>
      <c r="D12" s="18" t="n">
        <v>77.84999999999999</v>
      </c>
      <c r="E12" s="19" t="n">
        <v>4254</v>
      </c>
      <c r="F12" s="19" t="n">
        <v>4375</v>
      </c>
      <c r="G12" s="20">
        <f>IF(F12=0,0,E12/F12*100)</f>
        <v/>
      </c>
      <c r="H12" s="17" t="n">
        <v>0</v>
      </c>
      <c r="I12" s="17" t="n">
        <v>0</v>
      </c>
      <c r="J12" s="17" t="n">
        <v>0</v>
      </c>
      <c r="K12" s="17" t="n">
        <v>1</v>
      </c>
    </row>
    <row r="13">
      <c r="A13" s="16" t="inlineStr">
        <is>
          <t>1 Jul</t>
        </is>
      </c>
      <c r="B13" s="16" t="inlineStr">
        <is>
          <t>39063</t>
        </is>
      </c>
      <c r="C13" s="17" t="n">
        <v>1</v>
      </c>
      <c r="D13" s="18" t="n">
        <v>77.84</v>
      </c>
      <c r="E13" s="19" t="n">
        <v>3195</v>
      </c>
      <c r="F13" s="19" t="n">
        <v>4042</v>
      </c>
      <c r="G13" s="20">
        <f>IF(F13=0,0,E13/F13*100)</f>
        <v/>
      </c>
      <c r="H13" s="17" t="n">
        <v>0</v>
      </c>
      <c r="I13" s="17" t="n">
        <v>0</v>
      </c>
      <c r="J13" s="17" t="n">
        <v>0</v>
      </c>
      <c r="K13" s="17" t="n">
        <v>0</v>
      </c>
    </row>
    <row r="14">
      <c r="A14" s="16" t="inlineStr">
        <is>
          <t>1 Jul</t>
        </is>
      </c>
      <c r="B14" s="16" t="inlineStr">
        <is>
          <t>30429</t>
        </is>
      </c>
      <c r="C14" s="17" t="n">
        <v>1</v>
      </c>
      <c r="D14" s="18" t="n">
        <v>77.72</v>
      </c>
      <c r="E14" s="19" t="n">
        <v>3599</v>
      </c>
      <c r="F14" s="19" t="n">
        <v>3679</v>
      </c>
      <c r="G14" s="20">
        <f>IF(F14=0,0,E14/F14*100)</f>
        <v/>
      </c>
      <c r="H14" s="17" t="n">
        <v>0</v>
      </c>
      <c r="I14" s="17" t="n">
        <v>0</v>
      </c>
      <c r="J14" s="17" t="n">
        <v>0</v>
      </c>
      <c r="K14" s="17" t="n">
        <v>0</v>
      </c>
    </row>
    <row r="15">
      <c r="A15" s="16" t="inlineStr">
        <is>
          <t>1 Jul</t>
        </is>
      </c>
      <c r="B15" s="16" t="inlineStr">
        <is>
          <t>37454</t>
        </is>
      </c>
      <c r="C15" s="17" t="n">
        <v>1</v>
      </c>
      <c r="D15" s="18" t="n">
        <v>77.84</v>
      </c>
      <c r="E15" s="19" t="n">
        <v>2600</v>
      </c>
      <c r="F15" s="19" t="n">
        <v>3487</v>
      </c>
      <c r="G15" s="20">
        <f>IF(F15=0,0,E15/F15*100)</f>
        <v/>
      </c>
      <c r="H15" s="17" t="n">
        <v>0</v>
      </c>
      <c r="I15" s="17" t="n">
        <v>0</v>
      </c>
      <c r="J15" s="17" t="n">
        <v>0</v>
      </c>
      <c r="K15" s="17" t="n">
        <v>0</v>
      </c>
    </row>
    <row r="16">
      <c r="A16" s="16" t="inlineStr">
        <is>
          <t>1 Jul</t>
        </is>
      </c>
      <c r="B16" s="16" t="inlineStr">
        <is>
          <t>39552</t>
        </is>
      </c>
      <c r="C16" s="17" t="n">
        <v>1</v>
      </c>
      <c r="D16" s="18" t="n">
        <v>77.70999999999999</v>
      </c>
      <c r="E16" s="19" t="n">
        <v>3361</v>
      </c>
      <c r="F16" s="19" t="n">
        <v>3377</v>
      </c>
      <c r="G16" s="20">
        <f>IF(F16=0,0,E16/F16*100)</f>
        <v/>
      </c>
      <c r="H16" s="17" t="n">
        <v>0</v>
      </c>
      <c r="I16" s="17" t="n">
        <v>0</v>
      </c>
      <c r="J16" s="17" t="n">
        <v>0</v>
      </c>
      <c r="K16" s="17" t="n">
        <v>0</v>
      </c>
    </row>
    <row r="17">
      <c r="A17" s="16" t="inlineStr">
        <is>
          <t>1 Jul</t>
        </is>
      </c>
      <c r="B17" s="16" t="inlineStr">
        <is>
          <t>37266</t>
        </is>
      </c>
      <c r="C17" s="17" t="n">
        <v>1</v>
      </c>
      <c r="D17" s="18" t="n">
        <v>77.8</v>
      </c>
      <c r="E17" s="19" t="n">
        <v>2121</v>
      </c>
      <c r="F17" s="19" t="n">
        <v>3287</v>
      </c>
      <c r="G17" s="20">
        <f>IF(F17=0,0,E17/F17*100)</f>
        <v/>
      </c>
      <c r="H17" s="17" t="n">
        <v>0</v>
      </c>
      <c r="I17" s="17" t="n">
        <v>0</v>
      </c>
      <c r="J17" s="17" t="n">
        <v>0</v>
      </c>
      <c r="K17" s="17" t="n">
        <v>12</v>
      </c>
    </row>
    <row r="18">
      <c r="A18" s="16" t="inlineStr">
        <is>
          <t>1 Jul</t>
        </is>
      </c>
      <c r="B18" s="16" t="inlineStr">
        <is>
          <t>30396</t>
        </is>
      </c>
      <c r="C18" s="17" t="n">
        <v>1</v>
      </c>
      <c r="D18" s="18" t="n">
        <v>77.86</v>
      </c>
      <c r="E18" s="19" t="n">
        <v>3030</v>
      </c>
      <c r="F18" s="19" t="n">
        <v>3081</v>
      </c>
      <c r="G18" s="20">
        <f>IF(F18=0,0,E18/F18*100)</f>
        <v/>
      </c>
      <c r="H18" s="17" t="n">
        <v>0</v>
      </c>
      <c r="I18" s="17" t="n">
        <v>0</v>
      </c>
      <c r="J18" s="17" t="n">
        <v>0</v>
      </c>
      <c r="K18" s="17" t="n">
        <v>1</v>
      </c>
    </row>
    <row r="19">
      <c r="A19" s="16" t="inlineStr">
        <is>
          <t>1 Jul</t>
        </is>
      </c>
      <c r="B19" s="16" t="inlineStr">
        <is>
          <t>30346</t>
        </is>
      </c>
      <c r="C19" s="17" t="n">
        <v>1</v>
      </c>
      <c r="D19" s="18" t="n">
        <v>77.83</v>
      </c>
      <c r="E19" s="19" t="n">
        <v>2908</v>
      </c>
      <c r="F19" s="19" t="n">
        <v>2968</v>
      </c>
      <c r="G19" s="20">
        <f>IF(F19=0,0,E19/F19*100)</f>
        <v/>
      </c>
      <c r="H19" s="17" t="n">
        <v>0</v>
      </c>
      <c r="I19" s="17" t="n">
        <v>0</v>
      </c>
      <c r="J19" s="17" t="n">
        <v>0</v>
      </c>
      <c r="K19" s="17" t="n">
        <v>2</v>
      </c>
    </row>
    <row r="20">
      <c r="A20" s="16" t="inlineStr">
        <is>
          <t>1 Jul</t>
        </is>
      </c>
      <c r="B20" s="16" t="inlineStr">
        <is>
          <t>30516</t>
        </is>
      </c>
      <c r="C20" s="17" t="n">
        <v>1</v>
      </c>
      <c r="D20" s="18" t="n">
        <v>77.7</v>
      </c>
      <c r="E20" s="19" t="n">
        <v>2920</v>
      </c>
      <c r="F20" s="19" t="n">
        <v>2936</v>
      </c>
      <c r="G20" s="20">
        <f>IF(F20=0,0,E20/F20*100)</f>
        <v/>
      </c>
      <c r="H20" s="17" t="n">
        <v>0</v>
      </c>
      <c r="I20" s="17" t="n">
        <v>0</v>
      </c>
      <c r="J20" s="17" t="n">
        <v>0</v>
      </c>
      <c r="K20" s="17" t="n">
        <v>0</v>
      </c>
    </row>
    <row r="21">
      <c r="A21" s="16" t="inlineStr">
        <is>
          <t>1 Jul</t>
        </is>
      </c>
      <c r="B21" s="16" t="inlineStr">
        <is>
          <t>39516</t>
        </is>
      </c>
      <c r="C21" s="17" t="n">
        <v>1</v>
      </c>
      <c r="D21" s="18" t="n">
        <v>77.84999999999999</v>
      </c>
      <c r="E21" s="19" t="n">
        <v>2893</v>
      </c>
      <c r="F21" s="19" t="n">
        <v>2914</v>
      </c>
      <c r="G21" s="20">
        <f>IF(F21=0,0,E21/F21*100)</f>
        <v/>
      </c>
      <c r="H21" s="17" t="n">
        <v>0</v>
      </c>
      <c r="I21" s="17" t="n">
        <v>0</v>
      </c>
      <c r="J21" s="17" t="n">
        <v>0</v>
      </c>
      <c r="K21" s="17" t="n">
        <v>2</v>
      </c>
    </row>
    <row r="22">
      <c r="A22" s="16" t="inlineStr">
        <is>
          <t>1 Jul</t>
        </is>
      </c>
      <c r="B22" s="16" t="inlineStr">
        <is>
          <t>37068</t>
        </is>
      </c>
      <c r="C22" s="17" t="n">
        <v>1</v>
      </c>
      <c r="D22" s="18" t="n">
        <v>77.87</v>
      </c>
      <c r="E22" s="19" t="n">
        <v>2782</v>
      </c>
      <c r="F22" s="19" t="n">
        <v>2851</v>
      </c>
      <c r="G22" s="20">
        <f>IF(F22=0,0,E22/F22*100)</f>
        <v/>
      </c>
      <c r="H22" s="17" t="n">
        <v>0</v>
      </c>
      <c r="I22" s="17" t="n">
        <v>0</v>
      </c>
      <c r="J22" s="17" t="n">
        <v>0</v>
      </c>
      <c r="K22" s="17" t="n">
        <v>1</v>
      </c>
    </row>
    <row r="23">
      <c r="A23" s="16" t="inlineStr">
        <is>
          <t>1 Jul</t>
        </is>
      </c>
      <c r="B23" s="16" t="inlineStr">
        <is>
          <t>39025</t>
        </is>
      </c>
      <c r="C23" s="17" t="n">
        <v>1</v>
      </c>
      <c r="D23" s="18" t="n">
        <v>77.68000000000001</v>
      </c>
      <c r="E23" s="19" t="n">
        <v>2818</v>
      </c>
      <c r="F23" s="19" t="n">
        <v>2842</v>
      </c>
      <c r="G23" s="20">
        <f>IF(F23=0,0,E23/F23*100)</f>
        <v/>
      </c>
      <c r="H23" s="17" t="n">
        <v>0</v>
      </c>
      <c r="I23" s="17" t="n">
        <v>0</v>
      </c>
      <c r="J23" s="17" t="n">
        <v>0</v>
      </c>
      <c r="K23" s="17" t="n">
        <v>0</v>
      </c>
    </row>
    <row r="24">
      <c r="A24" s="16" t="inlineStr">
        <is>
          <t>1 Jul</t>
        </is>
      </c>
      <c r="B24" s="16" t="inlineStr">
        <is>
          <t>30377</t>
        </is>
      </c>
      <c r="C24" s="17" t="n">
        <v>1</v>
      </c>
      <c r="D24" s="18" t="n">
        <v>77.68000000000001</v>
      </c>
      <c r="E24" s="19" t="n">
        <v>2815</v>
      </c>
      <c r="F24" s="19" t="n">
        <v>2824</v>
      </c>
      <c r="G24" s="20">
        <f>IF(F24=0,0,E24/F24*100)</f>
        <v/>
      </c>
      <c r="H24" s="17" t="n">
        <v>0</v>
      </c>
      <c r="I24" s="17" t="n">
        <v>0</v>
      </c>
      <c r="J24" s="17" t="n">
        <v>0</v>
      </c>
      <c r="K24" s="17" t="n">
        <v>0</v>
      </c>
    </row>
    <row r="25">
      <c r="A25" s="16" t="inlineStr">
        <is>
          <t>1 Jul</t>
        </is>
      </c>
      <c r="B25" s="16" t="inlineStr">
        <is>
          <t>37873</t>
        </is>
      </c>
      <c r="C25" s="17" t="n">
        <v>1</v>
      </c>
      <c r="D25" s="18" t="n">
        <v>77.69</v>
      </c>
      <c r="E25" s="19" t="n">
        <v>2751</v>
      </c>
      <c r="F25" s="19" t="n">
        <v>2774</v>
      </c>
      <c r="G25" s="20">
        <f>IF(F25=0,0,E25/F25*100)</f>
        <v/>
      </c>
      <c r="H25" s="17" t="n">
        <v>0</v>
      </c>
      <c r="I25" s="17" t="n">
        <v>0</v>
      </c>
      <c r="J25" s="17" t="n">
        <v>0</v>
      </c>
      <c r="K25" s="17" t="n">
        <v>0</v>
      </c>
    </row>
    <row r="26">
      <c r="A26" s="16" t="inlineStr">
        <is>
          <t>1 Jul</t>
        </is>
      </c>
      <c r="B26" s="16" t="inlineStr">
        <is>
          <t>37324</t>
        </is>
      </c>
      <c r="C26" s="17" t="n">
        <v>1</v>
      </c>
      <c r="D26" s="18" t="n">
        <v>77.83</v>
      </c>
      <c r="E26" s="19" t="n">
        <v>2675</v>
      </c>
      <c r="F26" s="19" t="n">
        <v>2726</v>
      </c>
      <c r="G26" s="20">
        <f>IF(F26=0,0,E26/F26*100)</f>
        <v/>
      </c>
      <c r="H26" s="17" t="n">
        <v>0</v>
      </c>
      <c r="I26" s="17" t="n">
        <v>0</v>
      </c>
      <c r="J26" s="17" t="n">
        <v>0</v>
      </c>
      <c r="K26" s="17" t="n">
        <v>1</v>
      </c>
    </row>
    <row r="27">
      <c r="A27" s="16" t="inlineStr">
        <is>
          <t>1 Jul</t>
        </is>
      </c>
      <c r="B27" s="16" t="inlineStr">
        <is>
          <t>30442</t>
        </is>
      </c>
      <c r="C27" s="17" t="n">
        <v>1</v>
      </c>
      <c r="D27" s="18" t="n">
        <v>77.84</v>
      </c>
      <c r="E27" s="19" t="n">
        <v>2604</v>
      </c>
      <c r="F27" s="19" t="n">
        <v>2664</v>
      </c>
      <c r="G27" s="20">
        <f>IF(F27=0,0,E27/F27*100)</f>
        <v/>
      </c>
      <c r="H27" s="17" t="n">
        <v>0</v>
      </c>
      <c r="I27" s="17" t="n">
        <v>0</v>
      </c>
      <c r="J27" s="17" t="n">
        <v>0</v>
      </c>
      <c r="K27" s="17" t="n">
        <v>1</v>
      </c>
    </row>
    <row r="28">
      <c r="A28" s="16" t="inlineStr">
        <is>
          <t>1 Jul</t>
        </is>
      </c>
      <c r="B28" s="16" t="inlineStr">
        <is>
          <t>37346</t>
        </is>
      </c>
      <c r="C28" s="17" t="n">
        <v>1</v>
      </c>
      <c r="D28" s="18" t="n">
        <v>54.23</v>
      </c>
      <c r="E28" s="19" t="n">
        <v>2616</v>
      </c>
      <c r="F28" s="19" t="n">
        <v>2654</v>
      </c>
      <c r="G28" s="20">
        <f>IF(F28=0,0,E28/F28*100)</f>
        <v/>
      </c>
      <c r="H28" s="17" t="n">
        <v>0</v>
      </c>
      <c r="I28" s="17" t="n">
        <v>0</v>
      </c>
      <c r="J28" s="17" t="n">
        <v>0</v>
      </c>
      <c r="K28" s="17" t="n">
        <v>1</v>
      </c>
    </row>
    <row r="29">
      <c r="A29" s="16" t="inlineStr">
        <is>
          <t>1 Jul</t>
        </is>
      </c>
      <c r="B29" s="16" t="inlineStr">
        <is>
          <t>30542</t>
        </is>
      </c>
      <c r="C29" s="17" t="n">
        <v>1</v>
      </c>
      <c r="D29" s="18" t="n">
        <v>77.81999999999999</v>
      </c>
      <c r="E29" s="19" t="n">
        <v>2065</v>
      </c>
      <c r="F29" s="19" t="n">
        <v>2262</v>
      </c>
      <c r="G29" s="20">
        <f>IF(F29=0,0,E29/F29*100)</f>
        <v/>
      </c>
      <c r="H29" s="17" t="n">
        <v>0</v>
      </c>
      <c r="I29" s="17" t="n">
        <v>0</v>
      </c>
      <c r="J29" s="17" t="n">
        <v>0</v>
      </c>
      <c r="K29" s="17" t="n">
        <v>5</v>
      </c>
    </row>
    <row r="30">
      <c r="A30" s="16" t="inlineStr">
        <is>
          <t>1 Jul</t>
        </is>
      </c>
      <c r="B30" s="16" t="inlineStr">
        <is>
          <t>37839</t>
        </is>
      </c>
      <c r="C30" s="17" t="n">
        <v>1</v>
      </c>
      <c r="D30" s="18" t="n">
        <v>27.78</v>
      </c>
      <c r="E30" s="19" t="n">
        <v>1617</v>
      </c>
      <c r="F30" s="19" t="n">
        <v>1742</v>
      </c>
      <c r="G30" s="20">
        <f>IF(F30=0,0,E30/F30*100)</f>
        <v/>
      </c>
      <c r="H30" s="17" t="n">
        <v>0</v>
      </c>
      <c r="I30" s="17" t="n">
        <v>0</v>
      </c>
      <c r="J30" s="17" t="n">
        <v>0</v>
      </c>
      <c r="K30" s="17" t="n">
        <v>0</v>
      </c>
    </row>
    <row r="31">
      <c r="A31" s="16" t="inlineStr">
        <is>
          <t>1 Jul</t>
        </is>
      </c>
      <c r="B31" s="16" t="inlineStr">
        <is>
          <t>30648</t>
        </is>
      </c>
      <c r="C31" s="17" t="n">
        <v>1</v>
      </c>
      <c r="D31" s="18" t="n">
        <v>76.84</v>
      </c>
      <c r="E31" s="19" t="n">
        <v>0</v>
      </c>
      <c r="F31" s="19" t="n">
        <v>27</v>
      </c>
      <c r="G31" s="20">
        <f>IF(F31=0,0,E31/F31*100)</f>
        <v/>
      </c>
      <c r="H31" s="17" t="n">
        <v>0</v>
      </c>
      <c r="I31" s="17" t="n">
        <v>0</v>
      </c>
      <c r="J31" s="17" t="n">
        <v>0</v>
      </c>
      <c r="K31" s="17" t="n">
        <v>0</v>
      </c>
    </row>
    <row r="32">
      <c r="A32" s="16" t="inlineStr">
        <is>
          <t>1 Jul</t>
        </is>
      </c>
      <c r="B32" s="16" t="inlineStr">
        <is>
          <t>37880</t>
        </is>
      </c>
      <c r="C32" s="17" t="n">
        <v>0</v>
      </c>
      <c r="D32" s="18" t="n">
        <v>1.24</v>
      </c>
      <c r="E32" s="19" t="n">
        <v>0</v>
      </c>
      <c r="F32" s="19" t="n">
        <v>96</v>
      </c>
      <c r="G32" s="20">
        <f>IF(F32=0,0,E32/F32*100)</f>
        <v/>
      </c>
      <c r="H32" s="17" t="n">
        <v>0</v>
      </c>
      <c r="I32" s="17" t="n">
        <v>0</v>
      </c>
      <c r="J32" s="17" t="n">
        <v>0</v>
      </c>
      <c r="K32" s="17" t="n">
        <v>0</v>
      </c>
    </row>
    <row r="33">
      <c r="A33" s="16" t="inlineStr">
        <is>
          <t>1 Jul</t>
        </is>
      </c>
      <c r="B33" s="16" t="inlineStr">
        <is>
          <t>37928</t>
        </is>
      </c>
      <c r="C33" s="17" t="n">
        <v>0</v>
      </c>
      <c r="D33" s="18" t="n">
        <v>1.26</v>
      </c>
      <c r="E33" s="19" t="n">
        <v>0</v>
      </c>
      <c r="F33" s="19" t="n">
        <v>34</v>
      </c>
      <c r="G33" s="20">
        <f>IF(F33=0,0,E33/F33*100)</f>
        <v/>
      </c>
      <c r="H33" s="17" t="n">
        <v>0</v>
      </c>
      <c r="I33" s="17" t="n">
        <v>0</v>
      </c>
      <c r="J33" s="17" t="n">
        <v>0</v>
      </c>
      <c r="K33" s="17" t="n">
        <v>0</v>
      </c>
    </row>
    <row r="34">
      <c r="A34" s="21" t="inlineStr">
        <is>
          <t>1 Jul</t>
        </is>
      </c>
      <c r="B34" s="21" t="inlineStr">
        <is>
          <t>Day Total</t>
        </is>
      </c>
      <c r="C34" s="22">
        <f>SUM(C4:C33)</f>
        <v/>
      </c>
      <c r="D34" s="23">
        <f>SUM(D4:D33)</f>
        <v/>
      </c>
      <c r="E34" s="24">
        <f>SUM(E4:E33)</f>
        <v/>
      </c>
      <c r="F34" s="24">
        <f>SUMIF(E4:E33,"&gt;0",F4:F33)</f>
        <v/>
      </c>
      <c r="G34" s="25">
        <f>IF(F34=0,0,E34/F34*100)</f>
        <v/>
      </c>
      <c r="H34" s="22">
        <f>SUM(H4:H33)</f>
        <v/>
      </c>
      <c r="I34" s="22">
        <f>SUM(I4:I33)</f>
        <v/>
      </c>
      <c r="J34" s="22">
        <f>SUM(J4:J33)</f>
        <v/>
      </c>
      <c r="K34" s="22">
        <f>SUM(K4:K33)</f>
        <v/>
      </c>
    </row>
    <row r="35">
      <c r="A35" s="26" t="inlineStr">
        <is>
          <t>GRAND TOTAL</t>
        </is>
      </c>
      <c r="B35" s="26" t="n"/>
      <c r="C35" s="27">
        <f>C34</f>
        <v/>
      </c>
      <c r="D35" s="28">
        <f>D34</f>
        <v/>
      </c>
      <c r="E35" s="29">
        <f>E34</f>
        <v/>
      </c>
      <c r="F35" s="29">
        <f>F34</f>
        <v/>
      </c>
      <c r="G35" s="30">
        <f>IF(F35=0,0,E35/F35*100)</f>
        <v/>
      </c>
      <c r="H35" s="27">
        <f>H34</f>
        <v/>
      </c>
      <c r="I35" s="27">
        <f>I34</f>
        <v/>
      </c>
      <c r="J35" s="27">
        <f>J34</f>
        <v/>
      </c>
      <c r="K35" s="27">
        <f>K34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3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1" t="inlineStr">
        <is>
          <t>Total EB = 0   ·   Valid trips = 0   ·   Non-valid trips = 0   ·   Undesirable = 0</t>
        </is>
      </c>
    </row>
    <row r="4"/>
    <row r="5" ht="34" customHeight="1">
      <c r="A5" s="15" t="inlineStr">
        <is>
          <t>Date</t>
        </is>
      </c>
      <c r="B5" s="15" t="inlineStr">
        <is>
          <t>Loco ID</t>
        </is>
      </c>
      <c r="C5" s="15" t="inlineStr">
        <is>
          <t>Trip Type</t>
        </is>
      </c>
      <c r="D5" s="15" t="inlineStr">
        <is>
          <t>Onset</t>
        </is>
      </c>
      <c r="E5" s="15" t="inlineStr">
        <is>
          <t>End</t>
        </is>
      </c>
      <c r="F5" s="15" t="inlineStr">
        <is>
          <t>Duration (s)</t>
        </is>
      </c>
      <c r="G5" s="15" t="inlineStr">
        <is>
          <t>EB Packets</t>
        </is>
      </c>
      <c r="H5" s="15" t="inlineStr">
        <is>
          <t>Max Speed</t>
        </is>
      </c>
      <c r="I5" s="15" t="inlineStr">
        <is>
          <t>Mode @onset</t>
        </is>
      </c>
      <c r="J5" s="15" t="inlineStr">
        <is>
          <t>Location (km)</t>
        </is>
      </c>
      <c r="K5" s="15" t="inlineStr">
        <is>
          <t>Dir</t>
        </is>
      </c>
      <c r="L5" s="15" t="inlineStr">
        <is>
          <t>Station</t>
        </is>
      </c>
      <c r="M5" s="15" t="inlineStr">
        <is>
          <t>Speed at EB (PG check)</t>
        </is>
      </c>
      <c r="N5" s="15" t="inlineStr">
        <is>
          <t>MA wrt Sig</t>
        </is>
      </c>
      <c r="O5" s="15" t="inlineStr">
        <is>
          <t>Emergency (LReg)</t>
        </is>
      </c>
      <c r="P5" s="15" t="inlineStr">
        <is>
          <t>Suspected Reason (undesirable)</t>
        </is>
      </c>
      <c r="Q5" s="15" t="inlineStr">
        <is>
          <t>Loco Type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1" t="inlineStr">
        <is>
          <t>Total Mode Degradation = 35   ·   one row = one transition into LS or SR</t>
        </is>
      </c>
    </row>
    <row r="5">
      <c r="A5" s="15" t="inlineStr">
        <is>
          <t>Date</t>
        </is>
      </c>
      <c r="B5" s="15" t="inlineStr">
        <is>
          <t>Loco ID</t>
        </is>
      </c>
      <c r="C5" s="15" t="inlineStr">
        <is>
          <t>From</t>
        </is>
      </c>
      <c r="D5" s="15" t="inlineStr">
        <is>
          <t>To (degraded)</t>
        </is>
      </c>
      <c r="E5" s="15" t="inlineStr">
        <is>
          <t>Onset</t>
        </is>
      </c>
      <c r="F5" s="15" t="inlineStr">
        <is>
          <t>End</t>
        </is>
      </c>
      <c r="G5" s="15" t="inlineStr">
        <is>
          <t>Duration (s)</t>
        </is>
      </c>
      <c r="H5" s="15" t="inlineStr">
        <is>
          <t>Packets</t>
        </is>
      </c>
      <c r="I5" s="15" t="inlineStr">
        <is>
          <t>Location (km)</t>
        </is>
      </c>
      <c r="J5" s="15" t="inlineStr">
        <is>
          <t>Station</t>
        </is>
      </c>
      <c r="K5" s="15" t="inlineStr">
        <is>
          <t>Dir</t>
        </is>
      </c>
      <c r="L5" s="15" t="inlineStr">
        <is>
          <t>Valid Trip?</t>
        </is>
      </c>
      <c r="M5" s="15" t="inlineStr">
        <is>
          <t>Loco Travel</t>
        </is>
      </c>
    </row>
    <row r="6">
      <c r="A6" s="17" t="inlineStr">
        <is>
          <t>1 Jul</t>
        </is>
      </c>
      <c r="B6" s="17" t="inlineStr">
        <is>
          <t>37346</t>
        </is>
      </c>
      <c r="C6" s="17" t="inlineStr">
        <is>
          <t>FS</t>
        </is>
      </c>
      <c r="D6" s="17" t="inlineStr">
        <is>
          <t>SR</t>
        </is>
      </c>
      <c r="E6" s="17" t="inlineStr">
        <is>
          <t>00:51:30</t>
        </is>
      </c>
      <c r="F6" s="17" t="inlineStr">
        <is>
          <t>00:52:26</t>
        </is>
      </c>
      <c r="G6" s="17" t="n">
        <v>56</v>
      </c>
      <c r="H6" s="17" t="n">
        <v>38</v>
      </c>
      <c r="I6" s="32" t="n">
        <v>1401.88</v>
      </c>
      <c r="J6" s="17" t="inlineStr">
        <is>
          <t>Vrindavan Road</t>
        </is>
      </c>
      <c r="K6" s="17" t="inlineStr">
        <is>
          <t>R</t>
        </is>
      </c>
      <c r="L6" s="17" t="inlineStr">
        <is>
          <t>Valid</t>
        </is>
      </c>
      <c r="M6" s="17" t="inlineStr">
        <is>
          <t>LC555, Hodal, LC551, Kosikalan, LC545, Chhata, LC540, Ajhai, LC535, Vrindavan Road</t>
        </is>
      </c>
    </row>
    <row r="7">
      <c r="A7" s="17" t="inlineStr">
        <is>
          <t>1 Jul</t>
        </is>
      </c>
      <c r="B7" s="17" t="inlineStr">
        <is>
          <t>37324</t>
        </is>
      </c>
      <c r="C7" s="17" t="inlineStr">
        <is>
          <t>FS</t>
        </is>
      </c>
      <c r="D7" s="17" t="inlineStr">
        <is>
          <t>SR</t>
        </is>
      </c>
      <c r="E7" s="17" t="inlineStr">
        <is>
          <t>01:34:50</t>
        </is>
      </c>
      <c r="F7" s="17" t="inlineStr">
        <is>
          <t>01:35:40</t>
        </is>
      </c>
      <c r="G7" s="17" t="n">
        <v>50</v>
      </c>
      <c r="H7" s="17" t="n">
        <v>49</v>
      </c>
      <c r="I7" s="32" t="n">
        <v>1401.88</v>
      </c>
      <c r="J7" s="17" t="inlineStr">
        <is>
          <t>Vrindavan Road</t>
        </is>
      </c>
      <c r="K7" s="17" t="inlineStr">
        <is>
          <t>R</t>
        </is>
      </c>
      <c r="L7" s="17" t="inlineStr">
        <is>
          <t>Valid</t>
        </is>
      </c>
      <c r="M7" s="17" t="inlineStr">
        <is>
          <t>LC563, Rundhi, LC560, Sholaka, LC555, Hodal, LC551, Kosikalan, LC545, Chhata, LC540, Ajhai, LC535, Vrindavan Road</t>
        </is>
      </c>
    </row>
    <row r="8">
      <c r="A8" s="17" t="inlineStr">
        <is>
          <t>1 Jul</t>
        </is>
      </c>
      <c r="B8" s="17" t="inlineStr">
        <is>
          <t>30339</t>
        </is>
      </c>
      <c r="C8" s="17" t="inlineStr">
        <is>
          <t>FS</t>
        </is>
      </c>
      <c r="D8" s="17" t="inlineStr">
        <is>
          <t>SR</t>
        </is>
      </c>
      <c r="E8" s="17" t="inlineStr">
        <is>
          <t>04:50:40</t>
        </is>
      </c>
      <c r="F8" s="17" t="inlineStr">
        <is>
          <t>04:50:54</t>
        </is>
      </c>
      <c r="G8" s="17" t="n">
        <v>14</v>
      </c>
      <c r="H8" s="17" t="n">
        <v>8</v>
      </c>
      <c r="I8" s="32" t="n">
        <v>1401.7</v>
      </c>
      <c r="J8" s="17" t="inlineStr">
        <is>
          <t>Vrindavan Road</t>
        </is>
      </c>
      <c r="K8" s="17" t="inlineStr">
        <is>
          <t>U</t>
        </is>
      </c>
      <c r="L8" s="17" t="inlineStr">
        <is>
          <t>Valid</t>
        </is>
      </c>
      <c r="M8" s="17" t="inlineStr">
        <is>
          <t>LC563, Rundhi, LC560, Sholaka, LC555, Hodal, LC551, Kosikalan, LC545, Chhata, LC540, Ajhai, LC535, Vrindavan Road</t>
        </is>
      </c>
    </row>
    <row r="9">
      <c r="A9" s="17" t="inlineStr">
        <is>
          <t>1 Jul</t>
        </is>
      </c>
      <c r="B9" s="17" t="inlineStr">
        <is>
          <t>30339</t>
        </is>
      </c>
      <c r="C9" s="17" t="inlineStr">
        <is>
          <t>FS</t>
        </is>
      </c>
      <c r="D9" s="17" t="inlineStr">
        <is>
          <t>LS</t>
        </is>
      </c>
      <c r="E9" s="17" t="inlineStr">
        <is>
          <t>05:43:08</t>
        </is>
      </c>
      <c r="F9" s="17" t="inlineStr">
        <is>
          <t>05:43:10</t>
        </is>
      </c>
      <c r="G9" s="17" t="n">
        <v>2</v>
      </c>
      <c r="H9" s="17" t="n">
        <v>2</v>
      </c>
      <c r="I9" s="32" t="n">
        <v>1469.28</v>
      </c>
      <c r="J9" s="17" t="inlineStr">
        <is>
          <t>LC560</t>
        </is>
      </c>
      <c r="K9" s="17" t="inlineStr">
        <is>
          <t>N</t>
        </is>
      </c>
      <c r="L9" s="17" t="inlineStr">
        <is>
          <t>Valid</t>
        </is>
      </c>
      <c r="M9" s="17" t="inlineStr">
        <is>
          <t>LC563, Rundhi, LC560, Sholaka, LC555, Hodal, LC551, Kosikalan, LC545, Chhata, LC540, Ajhai, LC535, Vrindavan Road</t>
        </is>
      </c>
    </row>
    <row r="10">
      <c r="A10" s="17" t="inlineStr">
        <is>
          <t>1 Jul</t>
        </is>
      </c>
      <c r="B10" s="17" t="inlineStr">
        <is>
          <t>30339</t>
        </is>
      </c>
      <c r="C10" s="17" t="inlineStr">
        <is>
          <t>OS</t>
        </is>
      </c>
      <c r="D10" s="17" t="inlineStr">
        <is>
          <t>LS</t>
        </is>
      </c>
      <c r="E10" s="17" t="inlineStr">
        <is>
          <t>05:43:12</t>
        </is>
      </c>
      <c r="F10" s="17" t="inlineStr">
        <is>
          <t>05:43:12</t>
        </is>
      </c>
      <c r="G10" s="17" t="n">
        <v>0</v>
      </c>
      <c r="H10" s="17" t="n">
        <v>1</v>
      </c>
      <c r="I10" s="32" t="n">
        <v>1469.38</v>
      </c>
      <c r="J10" s="17" t="inlineStr">
        <is>
          <t>LC560</t>
        </is>
      </c>
      <c r="K10" s="17" t="inlineStr">
        <is>
          <t>N</t>
        </is>
      </c>
      <c r="L10" s="17" t="inlineStr">
        <is>
          <t>Valid</t>
        </is>
      </c>
      <c r="M10" s="17" t="inlineStr">
        <is>
          <t>LC563, Rundhi, LC560, Sholaka, LC555, Hodal, LC551, Kosikalan, LC545, Chhata, LC540, Ajhai, LC535, Vrindavan Road</t>
        </is>
      </c>
    </row>
    <row r="11">
      <c r="A11" s="17" t="inlineStr">
        <is>
          <t>1 Jul</t>
        </is>
      </c>
      <c r="B11" s="17" t="inlineStr">
        <is>
          <t>30396</t>
        </is>
      </c>
      <c r="C11" s="17" t="inlineStr">
        <is>
          <t>FS</t>
        </is>
      </c>
      <c r="D11" s="17" t="inlineStr">
        <is>
          <t>SR</t>
        </is>
      </c>
      <c r="E11" s="17" t="inlineStr">
        <is>
          <t>06:16:38</t>
        </is>
      </c>
      <c r="F11" s="17" t="inlineStr">
        <is>
          <t>06:16:38</t>
        </is>
      </c>
      <c r="G11" s="17" t="n">
        <v>0</v>
      </c>
      <c r="H11" s="17" t="n">
        <v>1</v>
      </c>
      <c r="I11" s="32" t="n">
        <v>1401.88</v>
      </c>
      <c r="J11" s="17" t="inlineStr">
        <is>
          <t>Vrindavan Road</t>
        </is>
      </c>
      <c r="K11" s="17" t="inlineStr">
        <is>
          <t>R</t>
        </is>
      </c>
      <c r="L11" s="17" t="inlineStr">
        <is>
          <t>Valid</t>
        </is>
      </c>
      <c r="M11" s="17" t="inlineStr">
        <is>
          <t>LC563, Rundhi, LC560, Sholaka, LC555, Hodal, LC551, Kosikalan, LC545, Chhata, LC540, Ajhai, LC535, Vrindavan Road</t>
        </is>
      </c>
    </row>
    <row r="12">
      <c r="A12" s="17" t="inlineStr">
        <is>
          <t>1 Jul</t>
        </is>
      </c>
      <c r="B12" s="17" t="inlineStr">
        <is>
          <t>30442</t>
        </is>
      </c>
      <c r="C12" s="17" t="inlineStr">
        <is>
          <t>FS</t>
        </is>
      </c>
      <c r="D12" s="17" t="inlineStr">
        <is>
          <t>SR</t>
        </is>
      </c>
      <c r="E12" s="17" t="inlineStr">
        <is>
          <t>06:29:06</t>
        </is>
      </c>
      <c r="F12" s="17" t="inlineStr">
        <is>
          <t>06:30:14</t>
        </is>
      </c>
      <c r="G12" s="17" t="n">
        <v>68</v>
      </c>
      <c r="H12" s="17" t="n">
        <v>58</v>
      </c>
      <c r="I12" s="32" t="n">
        <v>1401.89</v>
      </c>
      <c r="J12" s="17" t="inlineStr">
        <is>
          <t>Vrindavan Road</t>
        </is>
      </c>
      <c r="K12" s="17" t="inlineStr">
        <is>
          <t>R</t>
        </is>
      </c>
      <c r="L12" s="17" t="inlineStr">
        <is>
          <t>Valid</t>
        </is>
      </c>
      <c r="M12" s="17" t="inlineStr">
        <is>
          <t>LC563, Rundhi, LC560, Sholaka, LC555, Hodal, LC551, Kosikalan, LC545, Chhata, LC540, Ajhai, LC535, Vrindavan Road</t>
        </is>
      </c>
    </row>
    <row r="13">
      <c r="A13" s="17" t="inlineStr">
        <is>
          <t>1 Jul</t>
        </is>
      </c>
      <c r="B13" s="17" t="inlineStr">
        <is>
          <t>30347</t>
        </is>
      </c>
      <c r="C13" s="17" t="inlineStr">
        <is>
          <t>FS</t>
        </is>
      </c>
      <c r="D13" s="17" t="inlineStr">
        <is>
          <t>LS</t>
        </is>
      </c>
      <c r="E13" s="17" t="inlineStr">
        <is>
          <t>06:57:28</t>
        </is>
      </c>
      <c r="F13" s="17" t="inlineStr">
        <is>
          <t>06:58:36</t>
        </is>
      </c>
      <c r="G13" s="17" t="n">
        <v>68</v>
      </c>
      <c r="H13" s="17" t="n">
        <v>38</v>
      </c>
      <c r="I13" s="32" t="n">
        <v>1462.14</v>
      </c>
      <c r="J13" s="17" t="inlineStr">
        <is>
          <t>Sholaka</t>
        </is>
      </c>
      <c r="K13" s="17" t="inlineStr">
        <is>
          <t>N</t>
        </is>
      </c>
      <c r="L13" s="17" t="inlineStr">
        <is>
          <t>Valid</t>
        </is>
      </c>
      <c r="M13" s="17" t="inlineStr">
        <is>
          <t>LC563, Rundhi, LC560, Sholaka, LC555, Hodal, LC551, Kosikalan, LC545, Chhata, LC540, Ajhai, LC535, Vrindavan Road</t>
        </is>
      </c>
    </row>
    <row r="14">
      <c r="A14" s="17" t="inlineStr">
        <is>
          <t>1 Jul</t>
        </is>
      </c>
      <c r="B14" s="17" t="inlineStr">
        <is>
          <t>30347</t>
        </is>
      </c>
      <c r="C14" s="17" t="inlineStr">
        <is>
          <t>LS</t>
        </is>
      </c>
      <c r="D14" s="17" t="inlineStr">
        <is>
          <t>SR</t>
        </is>
      </c>
      <c r="E14" s="17" t="inlineStr">
        <is>
          <t>06:58:38</t>
        </is>
      </c>
      <c r="F14" s="17" t="inlineStr">
        <is>
          <t>06:58:38</t>
        </is>
      </c>
      <c r="G14" s="17" t="n">
        <v>0</v>
      </c>
      <c r="H14" s="17" t="n">
        <v>2</v>
      </c>
      <c r="I14" s="32" t="n">
        <v>1464.09</v>
      </c>
      <c r="J14" s="17" t="inlineStr">
        <is>
          <t>Sholaka</t>
        </is>
      </c>
      <c r="K14" s="17" t="inlineStr">
        <is>
          <t>N</t>
        </is>
      </c>
      <c r="L14" s="17" t="inlineStr">
        <is>
          <t>Valid</t>
        </is>
      </c>
      <c r="M14" s="17" t="inlineStr">
        <is>
          <t>LC563, Rundhi, LC560, Sholaka, LC555, Hodal, LC551, Kosikalan, LC545, Chhata, LC540, Ajhai, LC535, Vrindavan Road</t>
        </is>
      </c>
    </row>
    <row r="15">
      <c r="A15" s="17" t="inlineStr">
        <is>
          <t>1 Jul</t>
        </is>
      </c>
      <c r="B15" s="17" t="inlineStr">
        <is>
          <t>39371</t>
        </is>
      </c>
      <c r="C15" s="17" t="inlineStr">
        <is>
          <t>FS</t>
        </is>
      </c>
      <c r="D15" s="17" t="inlineStr">
        <is>
          <t>SR</t>
        </is>
      </c>
      <c r="E15" s="17" t="inlineStr">
        <is>
          <t>07:32:22</t>
        </is>
      </c>
      <c r="F15" s="17" t="inlineStr">
        <is>
          <t>07:32:22</t>
        </is>
      </c>
      <c r="G15" s="17" t="n">
        <v>0</v>
      </c>
      <c r="H15" s="17" t="n">
        <v>1</v>
      </c>
      <c r="I15" s="32" t="n">
        <v>1401.89</v>
      </c>
      <c r="J15" s="17" t="inlineStr">
        <is>
          <t>Vrindavan Road</t>
        </is>
      </c>
      <c r="K15" s="17" t="inlineStr">
        <is>
          <t>R</t>
        </is>
      </c>
      <c r="L15" s="17" t="inlineStr">
        <is>
          <t>Valid</t>
        </is>
      </c>
      <c r="M15" s="17" t="inlineStr">
        <is>
          <t>LC563, Rundhi, LC560, Sholaka, LC555, Hodal, LC551, Kosikalan, LC545, Chhata, LC540, Ajhai, LC535, Vrindavan Road</t>
        </is>
      </c>
    </row>
    <row r="16">
      <c r="A16" s="17" t="inlineStr">
        <is>
          <t>1 Jul</t>
        </is>
      </c>
      <c r="B16" s="17" t="inlineStr">
        <is>
          <t>39516</t>
        </is>
      </c>
      <c r="C16" s="17" t="inlineStr">
        <is>
          <t>FS</t>
        </is>
      </c>
      <c r="D16" s="17" t="inlineStr">
        <is>
          <t>SR</t>
        </is>
      </c>
      <c r="E16" s="17" t="inlineStr">
        <is>
          <t>08:56:32</t>
        </is>
      </c>
      <c r="F16" s="17" t="inlineStr">
        <is>
          <t>08:56:32</t>
        </is>
      </c>
      <c r="G16" s="17" t="n">
        <v>0</v>
      </c>
      <c r="H16" s="17" t="n">
        <v>1</v>
      </c>
      <c r="I16" s="32" t="n">
        <v>1401.77</v>
      </c>
      <c r="J16" s="17" t="inlineStr">
        <is>
          <t>Vrindavan Road</t>
        </is>
      </c>
      <c r="K16" s="17" t="inlineStr">
        <is>
          <t>R</t>
        </is>
      </c>
      <c r="L16" s="17" t="inlineStr">
        <is>
          <t>Valid</t>
        </is>
      </c>
      <c r="M16" s="17" t="inlineStr">
        <is>
          <t>LC563, Rundhi, LC560, Sholaka, LC555, Hodal, LC551, Kosikalan, LC545, Chhata, LC540, Ajhai, LC535, Vrindavan Road</t>
        </is>
      </c>
    </row>
    <row r="17">
      <c r="A17" s="17" t="inlineStr">
        <is>
          <t>1 Jul</t>
        </is>
      </c>
      <c r="B17" s="17" t="inlineStr">
        <is>
          <t>39516</t>
        </is>
      </c>
      <c r="C17" s="17" t="inlineStr">
        <is>
          <t>FS</t>
        </is>
      </c>
      <c r="D17" s="17" t="inlineStr">
        <is>
          <t>SR</t>
        </is>
      </c>
      <c r="E17" s="17" t="inlineStr">
        <is>
          <t>08:56:34</t>
        </is>
      </c>
      <c r="F17" s="17" t="inlineStr">
        <is>
          <t>08:57:20</t>
        </is>
      </c>
      <c r="G17" s="17" t="n">
        <v>46</v>
      </c>
      <c r="H17" s="17" t="n">
        <v>20</v>
      </c>
      <c r="I17" s="32" t="n">
        <v>1401.76</v>
      </c>
      <c r="J17" s="17" t="inlineStr">
        <is>
          <t>Vrindavan Road</t>
        </is>
      </c>
      <c r="K17" s="17" t="inlineStr">
        <is>
          <t>R</t>
        </is>
      </c>
      <c r="L17" s="17" t="inlineStr">
        <is>
          <t>Valid</t>
        </is>
      </c>
      <c r="M17" s="17" t="inlineStr">
        <is>
          <t>LC563, Rundhi, LC560, Sholaka, LC555, Hodal, LC551, Kosikalan, LC545, Chhata, LC540, Ajhai, LC535, Vrindavan Road</t>
        </is>
      </c>
    </row>
    <row r="18">
      <c r="A18" s="17" t="inlineStr">
        <is>
          <t>1 Jul</t>
        </is>
      </c>
      <c r="B18" s="17" t="inlineStr">
        <is>
          <t>30147</t>
        </is>
      </c>
      <c r="C18" s="17" t="inlineStr">
        <is>
          <t>FS</t>
        </is>
      </c>
      <c r="D18" s="17" t="inlineStr">
        <is>
          <t>SR</t>
        </is>
      </c>
      <c r="E18" s="17" t="inlineStr">
        <is>
          <t>09:19:32</t>
        </is>
      </c>
      <c r="F18" s="17" t="inlineStr">
        <is>
          <t>09:19:32</t>
        </is>
      </c>
      <c r="G18" s="17" t="n">
        <v>0</v>
      </c>
      <c r="H18" s="17" t="n">
        <v>1</v>
      </c>
      <c r="I18" s="32" t="n">
        <v>1401.88</v>
      </c>
      <c r="J18" s="17" t="inlineStr">
        <is>
          <t>Vrindavan Road</t>
        </is>
      </c>
      <c r="K18" s="17" t="inlineStr">
        <is>
          <t>R</t>
        </is>
      </c>
      <c r="L18" s="17" t="inlineStr">
        <is>
          <t>Valid</t>
        </is>
      </c>
      <c r="M18" s="17" t="inlineStr">
        <is>
          <t>LC563, Rundhi, LC560, Sholaka, LC555, Hodal, LC551, Kosikalan, LC545, Chhata, LC540, Ajhai, LC535, Vrindavan Road</t>
        </is>
      </c>
    </row>
    <row r="19">
      <c r="A19" s="17" t="inlineStr">
        <is>
          <t>1 Jul</t>
        </is>
      </c>
      <c r="B19" s="17" t="inlineStr">
        <is>
          <t>30339</t>
        </is>
      </c>
      <c r="C19" s="17" t="inlineStr">
        <is>
          <t>FS</t>
        </is>
      </c>
      <c r="D19" s="17" t="inlineStr">
        <is>
          <t>SR</t>
        </is>
      </c>
      <c r="E19" s="17" t="inlineStr">
        <is>
          <t>14:03:42</t>
        </is>
      </c>
      <c r="F19" s="17" t="inlineStr">
        <is>
          <t>14:04:56</t>
        </is>
      </c>
      <c r="G19" s="17" t="n">
        <v>74</v>
      </c>
      <c r="H19" s="17" t="n">
        <v>59</v>
      </c>
      <c r="I19" s="32" t="n">
        <v>1401.88</v>
      </c>
      <c r="J19" s="17" t="inlineStr">
        <is>
          <t>Vrindavan Road</t>
        </is>
      </c>
      <c r="K19" s="17" t="inlineStr">
        <is>
          <t>R</t>
        </is>
      </c>
      <c r="L19" s="17" t="inlineStr">
        <is>
          <t>Valid</t>
        </is>
      </c>
      <c r="M19" s="17" t="inlineStr">
        <is>
          <t>LC563, Rundhi, LC560, Sholaka, LC555, Hodal, LC551, Kosikalan, LC545, Chhata, LC540, Ajhai, LC535, Vrindavan Road</t>
        </is>
      </c>
    </row>
    <row r="20">
      <c r="A20" s="17" t="inlineStr">
        <is>
          <t>1 Jul</t>
        </is>
      </c>
      <c r="B20" s="17" t="inlineStr">
        <is>
          <t>30542</t>
        </is>
      </c>
      <c r="C20" s="17" t="inlineStr">
        <is>
          <t>FS</t>
        </is>
      </c>
      <c r="D20" s="17" t="inlineStr">
        <is>
          <t>SR</t>
        </is>
      </c>
      <c r="E20" s="17" t="inlineStr">
        <is>
          <t>17:27:50</t>
        </is>
      </c>
      <c r="F20" s="17" t="inlineStr">
        <is>
          <t>17:31:18</t>
        </is>
      </c>
      <c r="G20" s="17" t="n">
        <v>208</v>
      </c>
      <c r="H20" s="17" t="n">
        <v>156</v>
      </c>
      <c r="I20" s="32" t="n">
        <v>1476.18</v>
      </c>
      <c r="J20" s="17" t="inlineStr">
        <is>
          <t>LC563</t>
        </is>
      </c>
      <c r="K20" s="17" t="inlineStr">
        <is>
          <t>R</t>
        </is>
      </c>
      <c r="L20" s="17" t="inlineStr">
        <is>
          <t>Valid</t>
        </is>
      </c>
      <c r="M20" s="17" t="inlineStr">
        <is>
          <t>LC563, Rundhi, LC560, Sholaka, LC555, Hodal, LC551, Kosikalan, LC545, Chhata, LC540, Ajhai, LC535, Vrindavan Road</t>
        </is>
      </c>
    </row>
    <row r="21">
      <c r="A21" s="17" t="inlineStr">
        <is>
          <t>1 Jul</t>
        </is>
      </c>
      <c r="B21" s="17" t="inlineStr">
        <is>
          <t>30542</t>
        </is>
      </c>
      <c r="C21" s="17" t="inlineStr">
        <is>
          <t>OS</t>
        </is>
      </c>
      <c r="D21" s="17" t="inlineStr">
        <is>
          <t>SR</t>
        </is>
      </c>
      <c r="E21" s="17" t="inlineStr">
        <is>
          <t>17:31:20</t>
        </is>
      </c>
      <c r="F21" s="17" t="inlineStr">
        <is>
          <t>17:31:20</t>
        </is>
      </c>
      <c r="G21" s="17" t="n">
        <v>0</v>
      </c>
      <c r="H21" s="17" t="n">
        <v>1</v>
      </c>
      <c r="I21" s="32" t="n">
        <v>1468.85</v>
      </c>
      <c r="J21" s="17" t="inlineStr">
        <is>
          <t>LC560</t>
        </is>
      </c>
      <c r="K21" s="17" t="inlineStr">
        <is>
          <t>R</t>
        </is>
      </c>
      <c r="L21" s="17" t="inlineStr">
        <is>
          <t>Valid</t>
        </is>
      </c>
      <c r="M21" s="17" t="inlineStr">
        <is>
          <t>LC563, Rundhi, LC560, Sholaka, LC555, Hodal, LC551, Kosikalan, LC545, Chhata, LC540, Ajhai, LC535, Vrindavan Road</t>
        </is>
      </c>
    </row>
    <row r="22">
      <c r="A22" s="17" t="inlineStr">
        <is>
          <t>1 Jul</t>
        </is>
      </c>
      <c r="B22" s="17" t="inlineStr">
        <is>
          <t>37266</t>
        </is>
      </c>
      <c r="C22" s="17" t="inlineStr">
        <is>
          <t>FS</t>
        </is>
      </c>
      <c r="D22" s="17" t="inlineStr">
        <is>
          <t>LS</t>
        </is>
      </c>
      <c r="E22" s="17" t="inlineStr">
        <is>
          <t>17:36:56</t>
        </is>
      </c>
      <c r="F22" s="17" t="inlineStr">
        <is>
          <t>17:37:10</t>
        </is>
      </c>
      <c r="G22" s="17" t="n">
        <v>14</v>
      </c>
      <c r="H22" s="17" t="n">
        <v>10</v>
      </c>
      <c r="I22" s="32" t="n">
        <v>1420.81</v>
      </c>
      <c r="J22" s="17" t="inlineStr">
        <is>
          <t>LC540</t>
        </is>
      </c>
      <c r="K22" s="17" t="inlineStr">
        <is>
          <t>N</t>
        </is>
      </c>
      <c r="L22" s="17" t="inlineStr">
        <is>
          <t>Valid</t>
        </is>
      </c>
      <c r="M22" s="17" t="inlineStr">
        <is>
          <t>LC563, Rundhi, LC560, Sholaka, LC555, Hodal, LC551, Kosikalan, LC545, Chhata, LC540, Ajhai, LC535, Vrindavan Road</t>
        </is>
      </c>
    </row>
    <row r="23">
      <c r="A23" s="17" t="inlineStr">
        <is>
          <t>1 Jul</t>
        </is>
      </c>
      <c r="B23" s="17" t="inlineStr">
        <is>
          <t>37266</t>
        </is>
      </c>
      <c r="C23" s="17" t="inlineStr">
        <is>
          <t>FS</t>
        </is>
      </c>
      <c r="D23" s="17" t="inlineStr">
        <is>
          <t>LS</t>
        </is>
      </c>
      <c r="E23" s="17" t="inlineStr">
        <is>
          <t>17:38:58</t>
        </is>
      </c>
      <c r="F23" s="17" t="inlineStr">
        <is>
          <t>17:39:18</t>
        </is>
      </c>
      <c r="G23" s="17" t="n">
        <v>20</v>
      </c>
      <c r="H23" s="17" t="n">
        <v>14</v>
      </c>
      <c r="I23" s="32" t="n">
        <v>1424.28</v>
      </c>
      <c r="J23" s="17" t="inlineStr">
        <is>
          <t>LC540</t>
        </is>
      </c>
      <c r="K23" s="17" t="inlineStr">
        <is>
          <t>N</t>
        </is>
      </c>
      <c r="L23" s="17" t="inlineStr">
        <is>
          <t>Valid</t>
        </is>
      </c>
      <c r="M23" s="17" t="inlineStr">
        <is>
          <t>LC563, Rundhi, LC560, Sholaka, LC555, Hodal, LC551, Kosikalan, LC545, Chhata, LC540, Ajhai, LC535, Vrindavan Road</t>
        </is>
      </c>
    </row>
    <row r="24">
      <c r="A24" s="17" t="inlineStr">
        <is>
          <t>1 Jul</t>
        </is>
      </c>
      <c r="B24" s="17" t="inlineStr">
        <is>
          <t>37266</t>
        </is>
      </c>
      <c r="C24" s="17" t="inlineStr">
        <is>
          <t>OS</t>
        </is>
      </c>
      <c r="D24" s="17" t="inlineStr">
        <is>
          <t>LS</t>
        </is>
      </c>
      <c r="E24" s="17" t="inlineStr">
        <is>
          <t>17:39:20</t>
        </is>
      </c>
      <c r="F24" s="17" t="inlineStr">
        <is>
          <t>17:39:20</t>
        </is>
      </c>
      <c r="G24" s="17" t="n">
        <v>0</v>
      </c>
      <c r="H24" s="17" t="n">
        <v>1</v>
      </c>
      <c r="I24" s="32" t="n">
        <v>1424.94</v>
      </c>
      <c r="J24" s="17" t="inlineStr">
        <is>
          <t>LC540</t>
        </is>
      </c>
      <c r="K24" s="17" t="inlineStr">
        <is>
          <t>N</t>
        </is>
      </c>
      <c r="L24" s="17" t="inlineStr">
        <is>
          <t>Valid</t>
        </is>
      </c>
      <c r="M24" s="17" t="inlineStr">
        <is>
          <t>LC563, Rundhi, LC560, Sholaka, LC555, Hodal, LC551, Kosikalan, LC545, Chhata, LC540, Ajhai, LC535, Vrindavan Road</t>
        </is>
      </c>
    </row>
    <row r="25">
      <c r="A25" s="17" t="inlineStr">
        <is>
          <t>1 Jul</t>
        </is>
      </c>
      <c r="B25" s="17" t="inlineStr">
        <is>
          <t>37266</t>
        </is>
      </c>
      <c r="C25" s="17" t="inlineStr">
        <is>
          <t>OS</t>
        </is>
      </c>
      <c r="D25" s="17" t="inlineStr">
        <is>
          <t>SR</t>
        </is>
      </c>
      <c r="E25" s="17" t="inlineStr">
        <is>
          <t>17:39:38</t>
        </is>
      </c>
      <c r="F25" s="17" t="inlineStr">
        <is>
          <t>17:40:00</t>
        </is>
      </c>
      <c r="G25" s="17" t="n">
        <v>22</v>
      </c>
      <c r="H25" s="17" t="n">
        <v>17</v>
      </c>
      <c r="I25" s="32" t="n">
        <v>1425.6</v>
      </c>
      <c r="J25" s="17" t="inlineStr">
        <is>
          <t>Chhata</t>
        </is>
      </c>
      <c r="K25" s="17" t="inlineStr">
        <is>
          <t>N</t>
        </is>
      </c>
      <c r="L25" s="17" t="inlineStr">
        <is>
          <t>Valid</t>
        </is>
      </c>
      <c r="M25" s="17" t="inlineStr">
        <is>
          <t>LC563, Rundhi, LC560, Sholaka, LC555, Hodal, LC551, Kosikalan, LC545, Chhata, LC540, Ajhai, LC535, Vrindavan Road</t>
        </is>
      </c>
    </row>
    <row r="26">
      <c r="A26" s="17" t="inlineStr">
        <is>
          <t>1 Jul</t>
        </is>
      </c>
      <c r="B26" s="17" t="inlineStr">
        <is>
          <t>37266</t>
        </is>
      </c>
      <c r="C26" s="17" t="inlineStr">
        <is>
          <t>FS</t>
        </is>
      </c>
      <c r="D26" s="17" t="inlineStr">
        <is>
          <t>LS</t>
        </is>
      </c>
      <c r="E26" s="17" t="inlineStr">
        <is>
          <t>17:41:52</t>
        </is>
      </c>
      <c r="F26" s="17" t="inlineStr">
        <is>
          <t>17:42:00</t>
        </is>
      </c>
      <c r="G26" s="17" t="n">
        <v>8</v>
      </c>
      <c r="H26" s="17" t="n">
        <v>6</v>
      </c>
      <c r="I26" s="32" t="n">
        <v>1430.17</v>
      </c>
      <c r="J26" s="17" t="inlineStr">
        <is>
          <t>Chhata</t>
        </is>
      </c>
      <c r="K26" s="17" t="inlineStr">
        <is>
          <t>N</t>
        </is>
      </c>
      <c r="L26" s="17" t="inlineStr">
        <is>
          <t>Valid</t>
        </is>
      </c>
      <c r="M26" s="17" t="inlineStr">
        <is>
          <t>LC563, Rundhi, LC560, Sholaka, LC555, Hodal, LC551, Kosikalan, LC545, Chhata, LC540, Ajhai, LC535, Vrindavan Road</t>
        </is>
      </c>
    </row>
    <row r="27">
      <c r="A27" s="17" t="inlineStr">
        <is>
          <t>1 Jul</t>
        </is>
      </c>
      <c r="B27" s="17" t="inlineStr">
        <is>
          <t>37266</t>
        </is>
      </c>
      <c r="C27" s="17" t="inlineStr">
        <is>
          <t>OS</t>
        </is>
      </c>
      <c r="D27" s="17" t="inlineStr">
        <is>
          <t>SR</t>
        </is>
      </c>
      <c r="E27" s="17" t="inlineStr">
        <is>
          <t>17:42:20</t>
        </is>
      </c>
      <c r="F27" s="17" t="inlineStr">
        <is>
          <t>17:42:44</t>
        </is>
      </c>
      <c r="G27" s="17" t="n">
        <v>24</v>
      </c>
      <c r="H27" s="17" t="n">
        <v>21</v>
      </c>
      <c r="I27" s="32" t="n">
        <v>1431.02</v>
      </c>
      <c r="J27" s="17" t="inlineStr">
        <is>
          <t>LC545</t>
        </is>
      </c>
      <c r="K27" s="17" t="inlineStr">
        <is>
          <t>N</t>
        </is>
      </c>
      <c r="L27" s="17" t="inlineStr">
        <is>
          <t>Valid</t>
        </is>
      </c>
      <c r="M27" s="17" t="inlineStr">
        <is>
          <t>LC563, Rundhi, LC560, Sholaka, LC555, Hodal, LC551, Kosikalan, LC545, Chhata, LC540, Ajhai, LC535, Vrindavan Road</t>
        </is>
      </c>
    </row>
    <row r="28">
      <c r="A28" s="17" t="inlineStr">
        <is>
          <t>1 Jul</t>
        </is>
      </c>
      <c r="B28" s="17" t="inlineStr">
        <is>
          <t>37266</t>
        </is>
      </c>
      <c r="C28" s="17" t="inlineStr">
        <is>
          <t>FS</t>
        </is>
      </c>
      <c r="D28" s="17" t="inlineStr">
        <is>
          <t>LS</t>
        </is>
      </c>
      <c r="E28" s="17" t="inlineStr">
        <is>
          <t>17:43:06</t>
        </is>
      </c>
      <c r="F28" s="17" t="inlineStr">
        <is>
          <t>17:43:06</t>
        </is>
      </c>
      <c r="G28" s="17" t="n">
        <v>0</v>
      </c>
      <c r="H28" s="17" t="n">
        <v>1</v>
      </c>
      <c r="I28" s="32" t="n">
        <v>1432.46</v>
      </c>
      <c r="J28" s="17" t="inlineStr">
        <is>
          <t>LC545</t>
        </is>
      </c>
      <c r="K28" s="17" t="inlineStr">
        <is>
          <t>N</t>
        </is>
      </c>
      <c r="L28" s="17" t="inlineStr">
        <is>
          <t>Valid</t>
        </is>
      </c>
      <c r="M28" s="17" t="inlineStr">
        <is>
          <t>LC563, Rundhi, LC560, Sholaka, LC555, Hodal, LC551, Kosikalan, LC545, Chhata, LC540, Ajhai, LC535, Vrindavan Road</t>
        </is>
      </c>
    </row>
    <row r="29">
      <c r="A29" s="17" t="inlineStr">
        <is>
          <t>1 Jul</t>
        </is>
      </c>
      <c r="B29" s="17" t="inlineStr">
        <is>
          <t>37266</t>
        </is>
      </c>
      <c r="C29" s="17" t="inlineStr">
        <is>
          <t>FS</t>
        </is>
      </c>
      <c r="D29" s="17" t="inlineStr">
        <is>
          <t>LS</t>
        </is>
      </c>
      <c r="E29" s="17" t="inlineStr">
        <is>
          <t>17:43:08</t>
        </is>
      </c>
      <c r="F29" s="17" t="inlineStr">
        <is>
          <t>17:44:08</t>
        </is>
      </c>
      <c r="G29" s="17" t="n">
        <v>60</v>
      </c>
      <c r="H29" s="17" t="n">
        <v>50</v>
      </c>
      <c r="I29" s="32" t="n">
        <v>1432.52</v>
      </c>
      <c r="J29" s="17" t="inlineStr">
        <is>
          <t>LC545</t>
        </is>
      </c>
      <c r="K29" s="17" t="inlineStr">
        <is>
          <t>N</t>
        </is>
      </c>
      <c r="L29" s="17" t="inlineStr">
        <is>
          <t>Valid</t>
        </is>
      </c>
      <c r="M29" s="17" t="inlineStr">
        <is>
          <t>LC563, Rundhi, LC560, Sholaka, LC555, Hodal, LC551, Kosikalan, LC545, Chhata, LC540, Ajhai, LC535, Vrindavan Road</t>
        </is>
      </c>
    </row>
    <row r="30">
      <c r="A30" s="17" t="inlineStr">
        <is>
          <t>1 Jul</t>
        </is>
      </c>
      <c r="B30" s="17" t="inlineStr">
        <is>
          <t>37266</t>
        </is>
      </c>
      <c r="C30" s="17" t="inlineStr">
        <is>
          <t>OS</t>
        </is>
      </c>
      <c r="D30" s="17" t="inlineStr">
        <is>
          <t>LS</t>
        </is>
      </c>
      <c r="E30" s="17" t="inlineStr">
        <is>
          <t>17:44:10</t>
        </is>
      </c>
      <c r="F30" s="17" t="inlineStr">
        <is>
          <t>17:44:10</t>
        </is>
      </c>
      <c r="G30" s="17" t="n">
        <v>0</v>
      </c>
      <c r="H30" s="17" t="n">
        <v>1</v>
      </c>
      <c r="I30" s="32" t="n">
        <v>1434.64</v>
      </c>
      <c r="J30" s="17" t="inlineStr">
        <is>
          <t>LC545</t>
        </is>
      </c>
      <c r="K30" s="17" t="inlineStr">
        <is>
          <t>N</t>
        </is>
      </c>
      <c r="L30" s="17" t="inlineStr">
        <is>
          <t>Valid</t>
        </is>
      </c>
      <c r="M30" s="17" t="inlineStr">
        <is>
          <t>LC563, Rundhi, LC560, Sholaka, LC555, Hodal, LC551, Kosikalan, LC545, Chhata, LC540, Ajhai, LC535, Vrindavan Road</t>
        </is>
      </c>
    </row>
    <row r="31">
      <c r="A31" s="17" t="inlineStr">
        <is>
          <t>1 Jul</t>
        </is>
      </c>
      <c r="B31" s="17" t="inlineStr">
        <is>
          <t>37266</t>
        </is>
      </c>
      <c r="C31" s="17" t="inlineStr">
        <is>
          <t>OS</t>
        </is>
      </c>
      <c r="D31" s="17" t="inlineStr">
        <is>
          <t>SR</t>
        </is>
      </c>
      <c r="E31" s="17" t="inlineStr">
        <is>
          <t>17:44:20</t>
        </is>
      </c>
      <c r="F31" s="17" t="inlineStr">
        <is>
          <t>17:44:20</t>
        </is>
      </c>
      <c r="G31" s="17" t="n">
        <v>0</v>
      </c>
      <c r="H31" s="17" t="n">
        <v>1</v>
      </c>
      <c r="I31" s="32" t="n">
        <v>1435.05</v>
      </c>
      <c r="J31" s="17" t="inlineStr">
        <is>
          <t>LC545</t>
        </is>
      </c>
      <c r="K31" s="17" t="inlineStr">
        <is>
          <t>N</t>
        </is>
      </c>
      <c r="L31" s="17" t="inlineStr">
        <is>
          <t>Valid</t>
        </is>
      </c>
      <c r="M31" s="17" t="inlineStr">
        <is>
          <t>LC563, Rundhi, LC560, Sholaka, LC555, Hodal, LC551, Kosikalan, LC545, Chhata, LC540, Ajhai, LC535, Vrindavan Road</t>
        </is>
      </c>
    </row>
    <row r="32">
      <c r="A32" s="17" t="inlineStr">
        <is>
          <t>1 Jul</t>
        </is>
      </c>
      <c r="B32" s="17" t="inlineStr">
        <is>
          <t>37266</t>
        </is>
      </c>
      <c r="C32" s="17" t="inlineStr">
        <is>
          <t>OS</t>
        </is>
      </c>
      <c r="D32" s="17" t="inlineStr">
        <is>
          <t>SR</t>
        </is>
      </c>
      <c r="E32" s="17" t="inlineStr">
        <is>
          <t>17:44:22</t>
        </is>
      </c>
      <c r="F32" s="17" t="inlineStr">
        <is>
          <t>17:44:34</t>
        </is>
      </c>
      <c r="G32" s="17" t="n">
        <v>12</v>
      </c>
      <c r="H32" s="17" t="n">
        <v>10</v>
      </c>
      <c r="I32" s="32" t="n">
        <v>1435.11</v>
      </c>
      <c r="J32" s="17" t="inlineStr">
        <is>
          <t>LC545</t>
        </is>
      </c>
      <c r="K32" s="17" t="inlineStr">
        <is>
          <t>N</t>
        </is>
      </c>
      <c r="L32" s="17" t="inlineStr">
        <is>
          <t>Valid</t>
        </is>
      </c>
      <c r="M32" s="17" t="inlineStr">
        <is>
          <t>LC563, Rundhi, LC560, Sholaka, LC555, Hodal, LC551, Kosikalan, LC545, Chhata, LC540, Ajhai, LC535, Vrindavan Road</t>
        </is>
      </c>
    </row>
    <row r="33">
      <c r="A33" s="17" t="inlineStr">
        <is>
          <t>1 Jul</t>
        </is>
      </c>
      <c r="B33" s="17" t="inlineStr">
        <is>
          <t>37266</t>
        </is>
      </c>
      <c r="C33" s="17" t="inlineStr">
        <is>
          <t>FS</t>
        </is>
      </c>
      <c r="D33" s="17" t="inlineStr">
        <is>
          <t>LS</t>
        </is>
      </c>
      <c r="E33" s="17" t="inlineStr">
        <is>
          <t>17:58:28</t>
        </is>
      </c>
      <c r="F33" s="17" t="inlineStr">
        <is>
          <t>17:59:06</t>
        </is>
      </c>
      <c r="G33" s="17" t="n">
        <v>38</v>
      </c>
      <c r="H33" s="17" t="n">
        <v>18</v>
      </c>
      <c r="I33" s="32" t="n">
        <v>1463.12</v>
      </c>
      <c r="J33" s="17" t="inlineStr">
        <is>
          <t>Sholaka</t>
        </is>
      </c>
      <c r="K33" s="17" t="inlineStr">
        <is>
          <t>N</t>
        </is>
      </c>
      <c r="L33" s="17" t="inlineStr">
        <is>
          <t>Valid</t>
        </is>
      </c>
      <c r="M33" s="17" t="inlineStr">
        <is>
          <t>LC563, Rundhi, LC560, Sholaka, LC555, Hodal, LC551, Kosikalan, LC545, Chhata, LC540, Ajhai, LC535, Vrindavan Road</t>
        </is>
      </c>
    </row>
    <row r="34">
      <c r="A34" s="17" t="inlineStr">
        <is>
          <t>1 Jul</t>
        </is>
      </c>
      <c r="B34" s="17" t="inlineStr">
        <is>
          <t>30542</t>
        </is>
      </c>
      <c r="C34" s="17" t="inlineStr">
        <is>
          <t>FS</t>
        </is>
      </c>
      <c r="D34" s="17" t="inlineStr">
        <is>
          <t>SR</t>
        </is>
      </c>
      <c r="E34" s="17" t="inlineStr">
        <is>
          <t>18:01:24</t>
        </is>
      </c>
      <c r="F34" s="17" t="inlineStr">
        <is>
          <t>18:01:34</t>
        </is>
      </c>
      <c r="G34" s="17" t="n">
        <v>10</v>
      </c>
      <c r="H34" s="17" t="n">
        <v>5</v>
      </c>
      <c r="I34" s="32" t="n">
        <v>1408.03</v>
      </c>
      <c r="J34" s="17" t="inlineStr">
        <is>
          <t>Vrindavan Road</t>
        </is>
      </c>
      <c r="K34" s="17" t="inlineStr">
        <is>
          <t>U</t>
        </is>
      </c>
      <c r="L34" s="17" t="inlineStr">
        <is>
          <t>Valid</t>
        </is>
      </c>
      <c r="M34" s="17" t="inlineStr">
        <is>
          <t>LC563, Rundhi, LC560, Sholaka, LC555, Hodal, LC551, Kosikalan, LC545, Chhata, LC540, Ajhai, LC535, Vrindavan Road</t>
        </is>
      </c>
    </row>
    <row r="35">
      <c r="A35" s="17" t="inlineStr">
        <is>
          <t>1 Jul</t>
        </is>
      </c>
      <c r="B35" s="17" t="inlineStr">
        <is>
          <t>30542</t>
        </is>
      </c>
      <c r="C35" s="17" t="inlineStr">
        <is>
          <t>FS</t>
        </is>
      </c>
      <c r="D35" s="17" t="inlineStr">
        <is>
          <t>SR</t>
        </is>
      </c>
      <c r="E35" s="17" t="inlineStr">
        <is>
          <t>18:08:34</t>
        </is>
      </c>
      <c r="F35" s="17" t="inlineStr">
        <is>
          <t>18:08:34</t>
        </is>
      </c>
      <c r="G35" s="17" t="n">
        <v>0</v>
      </c>
      <c r="H35" s="17" t="n">
        <v>1</v>
      </c>
      <c r="I35" s="32" t="n">
        <v>1401.89</v>
      </c>
      <c r="J35" s="17" t="inlineStr">
        <is>
          <t>Vrindavan Road</t>
        </is>
      </c>
      <c r="K35" s="17" t="inlineStr">
        <is>
          <t>R</t>
        </is>
      </c>
      <c r="L35" s="17" t="inlineStr">
        <is>
          <t>Valid</t>
        </is>
      </c>
      <c r="M35" s="17" t="inlineStr">
        <is>
          <t>LC563, Rundhi, LC560, Sholaka, LC555, Hodal, LC551, Kosikalan, LC545, Chhata, LC540, Ajhai, LC535, Vrindavan Road</t>
        </is>
      </c>
    </row>
    <row r="36">
      <c r="A36" s="17" t="inlineStr">
        <is>
          <t>1 Jul</t>
        </is>
      </c>
      <c r="B36" s="17" t="inlineStr">
        <is>
          <t>30542</t>
        </is>
      </c>
      <c r="C36" s="17" t="inlineStr">
        <is>
          <t>FS</t>
        </is>
      </c>
      <c r="D36" s="17" t="inlineStr">
        <is>
          <t>SR</t>
        </is>
      </c>
      <c r="E36" s="17" t="inlineStr">
        <is>
          <t>18:08:38</t>
        </is>
      </c>
      <c r="F36" s="17" t="inlineStr">
        <is>
          <t>18:09:42</t>
        </is>
      </c>
      <c r="G36" s="17" t="n">
        <v>64</v>
      </c>
      <c r="H36" s="17" t="n">
        <v>30</v>
      </c>
      <c r="I36" s="32" t="n">
        <v>1401.87</v>
      </c>
      <c r="J36" s="17" t="inlineStr">
        <is>
          <t>Vrindavan Road</t>
        </is>
      </c>
      <c r="K36" s="17" t="inlineStr">
        <is>
          <t>R</t>
        </is>
      </c>
      <c r="L36" s="17" t="inlineStr">
        <is>
          <t>Valid</t>
        </is>
      </c>
      <c r="M36" s="17" t="inlineStr">
        <is>
          <t>LC563, Rundhi, LC560, Sholaka, LC555, Hodal, LC551, Kosikalan, LC545, Chhata, LC540, Ajhai, LC535, Vrindavan Road</t>
        </is>
      </c>
    </row>
    <row r="37">
      <c r="A37" s="17" t="inlineStr">
        <is>
          <t>1 Jul</t>
        </is>
      </c>
      <c r="B37" s="17" t="inlineStr">
        <is>
          <t>37515</t>
        </is>
      </c>
      <c r="C37" s="17" t="inlineStr">
        <is>
          <t>FS</t>
        </is>
      </c>
      <c r="D37" s="17" t="inlineStr">
        <is>
          <t>SR</t>
        </is>
      </c>
      <c r="E37" s="17" t="inlineStr">
        <is>
          <t>19:13:24</t>
        </is>
      </c>
      <c r="F37" s="17" t="inlineStr">
        <is>
          <t>19:13:24</t>
        </is>
      </c>
      <c r="G37" s="17" t="n">
        <v>0</v>
      </c>
      <c r="H37" s="17" t="n">
        <v>1</v>
      </c>
      <c r="I37" s="32" t="n">
        <v>1401.88</v>
      </c>
      <c r="J37" s="17" t="inlineStr">
        <is>
          <t>Vrindavan Road</t>
        </is>
      </c>
      <c r="K37" s="17" t="inlineStr">
        <is>
          <t>R</t>
        </is>
      </c>
      <c r="L37" s="17" t="inlineStr">
        <is>
          <t>Valid</t>
        </is>
      </c>
      <c r="M37" s="17" t="inlineStr">
        <is>
          <t>LC563, Rundhi, LC560, Sholaka, LC555, Hodal, LC551, Kosikalan, LC545, Chhata, LC540, Ajhai, LC535, Vrindavan Road</t>
        </is>
      </c>
    </row>
    <row r="38">
      <c r="A38" s="17" t="inlineStr">
        <is>
          <t>1 Jul</t>
        </is>
      </c>
      <c r="B38" s="17" t="inlineStr">
        <is>
          <t>30346</t>
        </is>
      </c>
      <c r="C38" s="17" t="inlineStr">
        <is>
          <t>FS</t>
        </is>
      </c>
      <c r="D38" s="17" t="inlineStr">
        <is>
          <t>SR</t>
        </is>
      </c>
      <c r="E38" s="17" t="inlineStr">
        <is>
          <t>21:25:48</t>
        </is>
      </c>
      <c r="F38" s="17" t="inlineStr">
        <is>
          <t>21:25:48</t>
        </is>
      </c>
      <c r="G38" s="17" t="n">
        <v>0</v>
      </c>
      <c r="H38" s="17" t="n">
        <v>1</v>
      </c>
      <c r="I38" s="32" t="n">
        <v>1401.89</v>
      </c>
      <c r="J38" s="17" t="inlineStr">
        <is>
          <t>Vrindavan Road</t>
        </is>
      </c>
      <c r="K38" s="17" t="inlineStr">
        <is>
          <t>R</t>
        </is>
      </c>
      <c r="L38" s="17" t="inlineStr">
        <is>
          <t>Valid</t>
        </is>
      </c>
      <c r="M38" s="17" t="inlineStr">
        <is>
          <t>LC563, Rundhi, LC560, Sholaka, LC555, Hodal, LC551, Kosikalan, LC545, Chhata, LC540, Ajhai, LC535, Vrindavan Road</t>
        </is>
      </c>
    </row>
    <row r="39">
      <c r="A39" s="17" t="inlineStr">
        <is>
          <t>1 Jul</t>
        </is>
      </c>
      <c r="B39" s="17" t="inlineStr">
        <is>
          <t>30346</t>
        </is>
      </c>
      <c r="C39" s="17" t="inlineStr">
        <is>
          <t>FS</t>
        </is>
      </c>
      <c r="D39" s="17" t="inlineStr">
        <is>
          <t>SR</t>
        </is>
      </c>
      <c r="E39" s="17" t="inlineStr">
        <is>
          <t>21:25:50</t>
        </is>
      </c>
      <c r="F39" s="17" t="inlineStr">
        <is>
          <t>21:26:54</t>
        </is>
      </c>
      <c r="G39" s="17" t="n">
        <v>64</v>
      </c>
      <c r="H39" s="17" t="n">
        <v>57</v>
      </c>
      <c r="I39" s="32" t="n">
        <v>1401.88</v>
      </c>
      <c r="J39" s="17" t="inlineStr">
        <is>
          <t>Vrindavan Road</t>
        </is>
      </c>
      <c r="K39" s="17" t="inlineStr">
        <is>
          <t>R</t>
        </is>
      </c>
      <c r="L39" s="17" t="inlineStr">
        <is>
          <t>Valid</t>
        </is>
      </c>
      <c r="M39" s="17" t="inlineStr">
        <is>
          <t>LC563, Rundhi, LC560, Sholaka, LC555, Hodal, LC551, Kosikalan, LC545, Chhata, LC540, Ajhai, LC535, Vrindavan Road</t>
        </is>
      </c>
    </row>
    <row r="40">
      <c r="A40" s="17" t="inlineStr">
        <is>
          <t>1 Jul</t>
        </is>
      </c>
      <c r="B40" s="17" t="inlineStr">
        <is>
          <t>37068</t>
        </is>
      </c>
      <c r="C40" s="17" t="inlineStr">
        <is>
          <t>FS</t>
        </is>
      </c>
      <c r="D40" s="17" t="inlineStr">
        <is>
          <t>SR</t>
        </is>
      </c>
      <c r="E40" s="17" t="inlineStr">
        <is>
          <t>22:53:46</t>
        </is>
      </c>
      <c r="F40" s="17" t="inlineStr">
        <is>
          <t>22:55:36</t>
        </is>
      </c>
      <c r="G40" s="17" t="n">
        <v>110</v>
      </c>
      <c r="H40" s="17" t="n">
        <v>69</v>
      </c>
      <c r="I40" s="32" t="n">
        <v>1401.88</v>
      </c>
      <c r="J40" s="17" t="inlineStr">
        <is>
          <t>Vrindavan Road</t>
        </is>
      </c>
      <c r="K40" s="17" t="inlineStr">
        <is>
          <t>R</t>
        </is>
      </c>
      <c r="L40" s="17" t="inlineStr">
        <is>
          <t>Valid</t>
        </is>
      </c>
      <c r="M40" s="17" t="inlineStr">
        <is>
          <t>LC563, Rundhi, LC560, Sholaka, LC555, Hodal, LC551, Kosikalan, LC545, Chhata, LC540, Ajhai, LC535, Vrindavan Road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</cols>
  <sheetData>
    <row r="1">
      <c r="A1" s="13" t="inlineStr">
        <is>
          <t>KM Verification  -  KM = (In-section Max Abs  -  In-section Min Abs) / 1000</t>
        </is>
      </c>
    </row>
    <row r="2">
      <c r="A2" s="14" t="inlineStr">
        <is>
          <t>Section window: abs 1401554 - 1479434  (36001 &lt;-&gt; 36014).  Only positions inside this window count; 8388607 'unknown' is excluded.  'In Report'=No means no in-section travel (dropped).</t>
        </is>
      </c>
    </row>
    <row r="3"/>
    <row r="4" ht="34" customHeight="1">
      <c r="A4" s="15" t="inlineStr">
        <is>
          <t>Date</t>
        </is>
      </c>
      <c r="B4" s="15" t="inlineStr">
        <is>
          <t>Loco ID</t>
        </is>
      </c>
      <c r="C4" s="15" t="inlineStr">
        <is>
          <t>Total pkts</t>
        </is>
      </c>
      <c r="D4" s="15" t="inlineStr">
        <is>
          <t>Valid-abs pkts</t>
        </is>
      </c>
      <c r="E4" s="15" t="inlineStr">
        <is>
          <t>In-section pkts</t>
        </is>
      </c>
      <c r="F4" s="15" t="inlineStr">
        <is>
          <t>Raw Min Abs</t>
        </is>
      </c>
      <c r="G4" s="15" t="inlineStr">
        <is>
          <t>Raw Max Abs</t>
        </is>
      </c>
      <c r="H4" s="15" t="inlineStr">
        <is>
          <t>In-sec Min Abs</t>
        </is>
      </c>
      <c r="I4" s="15" t="inlineStr">
        <is>
          <t>In-sec Max Abs</t>
        </is>
      </c>
      <c r="J4" s="15" t="inlineStr">
        <is>
          <t>KM = (Max-Min)/1000</t>
        </is>
      </c>
      <c r="K4" s="15" t="inlineStr">
        <is>
          <t>In Report?</t>
        </is>
      </c>
    </row>
    <row r="5">
      <c r="A5" s="17" t="inlineStr">
        <is>
          <t>1 Jul</t>
        </is>
      </c>
      <c r="B5" s="17" t="inlineStr">
        <is>
          <t>30480</t>
        </is>
      </c>
      <c r="C5" s="17" t="n">
        <v>6106</v>
      </c>
      <c r="D5" s="17" t="n">
        <v>6095</v>
      </c>
      <c r="E5" s="17" t="n">
        <v>4621</v>
      </c>
      <c r="F5" s="33" t="n">
        <v>1191382</v>
      </c>
      <c r="G5" s="33" t="n">
        <v>1512602</v>
      </c>
      <c r="H5" s="33" t="n">
        <v>1401559</v>
      </c>
      <c r="I5" s="33" t="n">
        <v>1479434</v>
      </c>
      <c r="J5" s="20">
        <f>(I5-H5)/1000</f>
        <v/>
      </c>
      <c r="K5" s="17" t="inlineStr">
        <is>
          <t>Yes</t>
        </is>
      </c>
    </row>
    <row r="6">
      <c r="A6" s="17" t="inlineStr">
        <is>
          <t>1 Jul</t>
        </is>
      </c>
      <c r="B6" s="17" t="inlineStr">
        <is>
          <t>37068</t>
        </is>
      </c>
      <c r="C6" s="17" t="n">
        <v>2851</v>
      </c>
      <c r="D6" s="17" t="n">
        <v>2850</v>
      </c>
      <c r="E6" s="17" t="n">
        <v>2568</v>
      </c>
      <c r="F6" s="33" t="n">
        <v>1401304</v>
      </c>
      <c r="G6" s="33" t="n">
        <v>1508535</v>
      </c>
      <c r="H6" s="33" t="n">
        <v>1401560</v>
      </c>
      <c r="I6" s="33" t="n">
        <v>1479432</v>
      </c>
      <c r="J6" s="20">
        <f>(I6-H6)/1000</f>
        <v/>
      </c>
      <c r="K6" s="17" t="inlineStr">
        <is>
          <t>Yes</t>
        </is>
      </c>
    </row>
    <row r="7">
      <c r="A7" s="17" t="inlineStr">
        <is>
          <t>1 Jul</t>
        </is>
      </c>
      <c r="B7" s="17" t="inlineStr">
        <is>
          <t>30347</t>
        </is>
      </c>
      <c r="C7" s="17" t="n">
        <v>4730</v>
      </c>
      <c r="D7" s="17" t="n">
        <v>4730</v>
      </c>
      <c r="E7" s="17" t="n">
        <v>3940</v>
      </c>
      <c r="F7" s="33" t="n">
        <v>1372345</v>
      </c>
      <c r="G7" s="33" t="n">
        <v>1490791</v>
      </c>
      <c r="H7" s="33" t="n">
        <v>1401560</v>
      </c>
      <c r="I7" s="33" t="n">
        <v>1479424</v>
      </c>
      <c r="J7" s="20">
        <f>(I7-H7)/1000</f>
        <v/>
      </c>
      <c r="K7" s="17" t="inlineStr">
        <is>
          <t>Yes</t>
        </is>
      </c>
    </row>
    <row r="8">
      <c r="A8" s="17" t="inlineStr">
        <is>
          <t>1 Jul</t>
        </is>
      </c>
      <c r="B8" s="17" t="inlineStr">
        <is>
          <t>30396</t>
        </is>
      </c>
      <c r="C8" s="17" t="n">
        <v>3081</v>
      </c>
      <c r="D8" s="17" t="n">
        <v>3063</v>
      </c>
      <c r="E8" s="17" t="n">
        <v>2315</v>
      </c>
      <c r="F8" s="33" t="n">
        <v>1192620</v>
      </c>
      <c r="G8" s="33" t="n">
        <v>1494710</v>
      </c>
      <c r="H8" s="33" t="n">
        <v>1401556</v>
      </c>
      <c r="I8" s="33" t="n">
        <v>1479419</v>
      </c>
      <c r="J8" s="20">
        <f>(I8-H8)/1000</f>
        <v/>
      </c>
      <c r="K8" s="17" t="inlineStr">
        <is>
          <t>Yes</t>
        </is>
      </c>
    </row>
    <row r="9">
      <c r="A9" s="17" t="inlineStr">
        <is>
          <t>1 Jul</t>
        </is>
      </c>
      <c r="B9" s="17" t="inlineStr">
        <is>
          <t>39371</t>
        </is>
      </c>
      <c r="C9" s="17" t="n">
        <v>5558</v>
      </c>
      <c r="D9" s="17" t="n">
        <v>5521</v>
      </c>
      <c r="E9" s="17" t="n">
        <v>4627</v>
      </c>
      <c r="F9" s="33" t="n">
        <v>1204252</v>
      </c>
      <c r="G9" s="33" t="n">
        <v>1507817</v>
      </c>
      <c r="H9" s="33" t="n">
        <v>1401556</v>
      </c>
      <c r="I9" s="33" t="n">
        <v>1479416</v>
      </c>
      <c r="J9" s="20">
        <f>(I9-H9)/1000</f>
        <v/>
      </c>
      <c r="K9" s="17" t="inlineStr">
        <is>
          <t>Yes</t>
        </is>
      </c>
    </row>
    <row r="10">
      <c r="A10" s="17" t="inlineStr">
        <is>
          <t>1 Jul</t>
        </is>
      </c>
      <c r="B10" s="17" t="inlineStr">
        <is>
          <t>30147</t>
        </is>
      </c>
      <c r="C10" s="17" t="n">
        <v>4763</v>
      </c>
      <c r="D10" s="17" t="n">
        <v>4762</v>
      </c>
      <c r="E10" s="17" t="n">
        <v>4375</v>
      </c>
      <c r="F10" s="33" t="n">
        <v>1401576</v>
      </c>
      <c r="G10" s="33" t="n">
        <v>1507787</v>
      </c>
      <c r="H10" s="33" t="n">
        <v>1401576</v>
      </c>
      <c r="I10" s="33" t="n">
        <v>1479428</v>
      </c>
      <c r="J10" s="20">
        <f>(I10-H10)/1000</f>
        <v/>
      </c>
      <c r="K10" s="17" t="inlineStr">
        <is>
          <t>Yes</t>
        </is>
      </c>
    </row>
    <row r="11">
      <c r="A11" s="17" t="inlineStr">
        <is>
          <t>1 Jul</t>
        </is>
      </c>
      <c r="B11" s="17" t="inlineStr">
        <is>
          <t>30376</t>
        </is>
      </c>
      <c r="C11" s="17" t="n">
        <v>7601</v>
      </c>
      <c r="D11" s="17" t="n">
        <v>7577</v>
      </c>
      <c r="E11" s="17" t="n">
        <v>5943</v>
      </c>
      <c r="F11" s="33" t="n">
        <v>1188527</v>
      </c>
      <c r="G11" s="33" t="n">
        <v>1499184</v>
      </c>
      <c r="H11" s="33" t="n">
        <v>1401569</v>
      </c>
      <c r="I11" s="33" t="n">
        <v>1479419</v>
      </c>
      <c r="J11" s="20">
        <f>(I11-H11)/1000</f>
        <v/>
      </c>
      <c r="K11" s="17" t="inlineStr">
        <is>
          <t>Yes</t>
        </is>
      </c>
    </row>
    <row r="12">
      <c r="A12" s="17" t="inlineStr">
        <is>
          <t>1 Jul</t>
        </is>
      </c>
      <c r="B12" s="17" t="inlineStr">
        <is>
          <t>37515</t>
        </is>
      </c>
      <c r="C12" s="17" t="n">
        <v>4375</v>
      </c>
      <c r="D12" s="17" t="n">
        <v>4367</v>
      </c>
      <c r="E12" s="17" t="n">
        <v>2982</v>
      </c>
      <c r="F12" s="33" t="n">
        <v>1192734</v>
      </c>
      <c r="G12" s="33" t="n">
        <v>1499161</v>
      </c>
      <c r="H12" s="33" t="n">
        <v>1401557</v>
      </c>
      <c r="I12" s="33" t="n">
        <v>1479411</v>
      </c>
      <c r="J12" s="20">
        <f>(I12-H12)/1000</f>
        <v/>
      </c>
      <c r="K12" s="17" t="inlineStr">
        <is>
          <t>Yes</t>
        </is>
      </c>
    </row>
    <row r="13">
      <c r="A13" s="17" t="inlineStr">
        <is>
          <t>1 Jul</t>
        </is>
      </c>
      <c r="B13" s="17" t="inlineStr">
        <is>
          <t>39516</t>
        </is>
      </c>
      <c r="C13" s="17" t="n">
        <v>2914</v>
      </c>
      <c r="D13" s="17" t="n">
        <v>2914</v>
      </c>
      <c r="E13" s="17" t="n">
        <v>2649</v>
      </c>
      <c r="F13" s="33" t="n">
        <v>1267332</v>
      </c>
      <c r="G13" s="33" t="n">
        <v>1514076</v>
      </c>
      <c r="H13" s="33" t="n">
        <v>1401554</v>
      </c>
      <c r="I13" s="33" t="n">
        <v>1479408</v>
      </c>
      <c r="J13" s="20">
        <f>(I13-H13)/1000</f>
        <v/>
      </c>
      <c r="K13" s="17" t="inlineStr">
        <is>
          <t>Yes</t>
        </is>
      </c>
    </row>
    <row r="14">
      <c r="A14" s="17" t="inlineStr">
        <is>
          <t>1 Jul</t>
        </is>
      </c>
      <c r="B14" s="17" t="inlineStr">
        <is>
          <t>30442</t>
        </is>
      </c>
      <c r="C14" s="17" t="n">
        <v>2664</v>
      </c>
      <c r="D14" s="17" t="n">
        <v>2663</v>
      </c>
      <c r="E14" s="17" t="n">
        <v>2472</v>
      </c>
      <c r="F14" s="33" t="n">
        <v>1401324</v>
      </c>
      <c r="G14" s="33" t="n">
        <v>1499096</v>
      </c>
      <c r="H14" s="33" t="n">
        <v>1401559</v>
      </c>
      <c r="I14" s="33" t="n">
        <v>1479395</v>
      </c>
      <c r="J14" s="20">
        <f>(I14-H14)/1000</f>
        <v/>
      </c>
      <c r="K14" s="17" t="inlineStr">
        <is>
          <t>Yes</t>
        </is>
      </c>
    </row>
    <row r="15">
      <c r="A15" s="17" t="inlineStr">
        <is>
          <t>1 Jul</t>
        </is>
      </c>
      <c r="B15" s="17" t="inlineStr">
        <is>
          <t>37454</t>
        </is>
      </c>
      <c r="C15" s="17" t="n">
        <v>3487</v>
      </c>
      <c r="D15" s="17" t="n">
        <v>3440</v>
      </c>
      <c r="E15" s="17" t="n">
        <v>2384</v>
      </c>
      <c r="F15" s="33" t="n">
        <v>1369294</v>
      </c>
      <c r="G15" s="33" t="n">
        <v>1516036</v>
      </c>
      <c r="H15" s="33" t="n">
        <v>1401562</v>
      </c>
      <c r="I15" s="33" t="n">
        <v>1479407</v>
      </c>
      <c r="J15" s="20">
        <f>(I15-H15)/1000</f>
        <v/>
      </c>
      <c r="K15" s="17" t="inlineStr">
        <is>
          <t>Yes</t>
        </is>
      </c>
    </row>
    <row r="16">
      <c r="A16" s="17" t="inlineStr">
        <is>
          <t>1 Jul</t>
        </is>
      </c>
      <c r="B16" s="17" t="inlineStr">
        <is>
          <t>39063</t>
        </is>
      </c>
      <c r="C16" s="17" t="n">
        <v>4042</v>
      </c>
      <c r="D16" s="17" t="n">
        <v>4042</v>
      </c>
      <c r="E16" s="17" t="n">
        <v>2715</v>
      </c>
      <c r="F16" s="33" t="n">
        <v>1357827</v>
      </c>
      <c r="G16" s="33" t="n">
        <v>1496182</v>
      </c>
      <c r="H16" s="33" t="n">
        <v>1401581</v>
      </c>
      <c r="I16" s="33" t="n">
        <v>1479418</v>
      </c>
      <c r="J16" s="20">
        <f>(I16-H16)/1000</f>
        <v/>
      </c>
      <c r="K16" s="17" t="inlineStr">
        <is>
          <t>Yes</t>
        </is>
      </c>
    </row>
    <row r="17">
      <c r="A17" s="17" t="inlineStr">
        <is>
          <t>1 Jul</t>
        </is>
      </c>
      <c r="B17" s="17" t="inlineStr">
        <is>
          <t>30339</t>
        </is>
      </c>
      <c r="C17" s="17" t="n">
        <v>5411</v>
      </c>
      <c r="D17" s="17" t="n">
        <v>5408</v>
      </c>
      <c r="E17" s="17" t="n">
        <v>4946</v>
      </c>
      <c r="F17" s="33" t="n">
        <v>1223289</v>
      </c>
      <c r="G17" s="33" t="n">
        <v>1493620</v>
      </c>
      <c r="H17" s="33" t="n">
        <v>1401565</v>
      </c>
      <c r="I17" s="33" t="n">
        <v>1479396</v>
      </c>
      <c r="J17" s="20">
        <f>(I17-H17)/1000</f>
        <v/>
      </c>
      <c r="K17" s="17" t="inlineStr">
        <is>
          <t>Yes</t>
        </is>
      </c>
    </row>
    <row r="18">
      <c r="A18" s="17" t="inlineStr">
        <is>
          <t>1 Jul</t>
        </is>
      </c>
      <c r="B18" s="17" t="inlineStr">
        <is>
          <t>30346</t>
        </is>
      </c>
      <c r="C18" s="17" t="n">
        <v>2968</v>
      </c>
      <c r="D18" s="17" t="n">
        <v>2966</v>
      </c>
      <c r="E18" s="17" t="n">
        <v>2778</v>
      </c>
      <c r="F18" s="33" t="n">
        <v>1401329</v>
      </c>
      <c r="G18" s="33" t="n">
        <v>1499078</v>
      </c>
      <c r="H18" s="33" t="n">
        <v>1401565</v>
      </c>
      <c r="I18" s="33" t="n">
        <v>1479390</v>
      </c>
      <c r="J18" s="20">
        <f>(I18-H18)/1000</f>
        <v/>
      </c>
      <c r="K18" s="17" t="inlineStr">
        <is>
          <t>Yes</t>
        </is>
      </c>
    </row>
    <row r="19">
      <c r="A19" s="17" t="inlineStr">
        <is>
          <t>1 Jul</t>
        </is>
      </c>
      <c r="B19" s="17" t="inlineStr">
        <is>
          <t>37324</t>
        </is>
      </c>
      <c r="C19" s="17" t="n">
        <v>2726</v>
      </c>
      <c r="D19" s="17" t="n">
        <v>2724</v>
      </c>
      <c r="E19" s="17" t="n">
        <v>2478</v>
      </c>
      <c r="F19" s="33" t="n">
        <v>1401418</v>
      </c>
      <c r="G19" s="33" t="n">
        <v>1512594</v>
      </c>
      <c r="H19" s="33" t="n">
        <v>1401565</v>
      </c>
      <c r="I19" s="33" t="n">
        <v>1479400</v>
      </c>
      <c r="J19" s="20">
        <f>(I19-H19)/1000</f>
        <v/>
      </c>
      <c r="K19" s="17" t="inlineStr">
        <is>
          <t>Yes</t>
        </is>
      </c>
    </row>
    <row r="20">
      <c r="A20" s="17" t="inlineStr">
        <is>
          <t>1 Jul</t>
        </is>
      </c>
      <c r="B20" s="17" t="inlineStr">
        <is>
          <t>30542</t>
        </is>
      </c>
      <c r="C20" s="17" t="n">
        <v>2262</v>
      </c>
      <c r="D20" s="17" t="n">
        <v>2259</v>
      </c>
      <c r="E20" s="17" t="n">
        <v>2154</v>
      </c>
      <c r="F20" s="33" t="n">
        <v>1401407</v>
      </c>
      <c r="G20" s="33" t="n">
        <v>1490886</v>
      </c>
      <c r="H20" s="33" t="n">
        <v>1401590</v>
      </c>
      <c r="I20" s="33" t="n">
        <v>1479412</v>
      </c>
      <c r="J20" s="20">
        <f>(I20-H20)/1000</f>
        <v/>
      </c>
      <c r="K20" s="17" t="inlineStr">
        <is>
          <t>Yes</t>
        </is>
      </c>
    </row>
    <row r="21">
      <c r="A21" s="17" t="inlineStr">
        <is>
          <t>1 Jul</t>
        </is>
      </c>
      <c r="B21" s="17" t="inlineStr">
        <is>
          <t>37266</t>
        </is>
      </c>
      <c r="C21" s="17" t="n">
        <v>3287</v>
      </c>
      <c r="D21" s="17" t="n">
        <v>3287</v>
      </c>
      <c r="E21" s="17" t="n">
        <v>2198</v>
      </c>
      <c r="F21" s="33" t="n">
        <v>1369146</v>
      </c>
      <c r="G21" s="33" t="n">
        <v>1495784</v>
      </c>
      <c r="H21" s="33" t="n">
        <v>1401607</v>
      </c>
      <c r="I21" s="33" t="n">
        <v>1479408</v>
      </c>
      <c r="J21" s="20">
        <f>(I21-H21)/1000</f>
        <v/>
      </c>
      <c r="K21" s="17" t="inlineStr">
        <is>
          <t>Yes</t>
        </is>
      </c>
    </row>
    <row r="22">
      <c r="A22" s="17" t="inlineStr">
        <is>
          <t>1 Jul</t>
        </is>
      </c>
      <c r="B22" s="17" t="inlineStr">
        <is>
          <t>30429</t>
        </is>
      </c>
      <c r="C22" s="17" t="n">
        <v>3679</v>
      </c>
      <c r="D22" s="17" t="n">
        <v>3657</v>
      </c>
      <c r="E22" s="17" t="n">
        <v>2300</v>
      </c>
      <c r="F22" s="33" t="n">
        <v>1178772</v>
      </c>
      <c r="G22" s="33" t="n">
        <v>1502802</v>
      </c>
      <c r="H22" s="33" t="n">
        <v>1401680</v>
      </c>
      <c r="I22" s="33" t="n">
        <v>1479404</v>
      </c>
      <c r="J22" s="20">
        <f>(I22-H22)/1000</f>
        <v/>
      </c>
      <c r="K22" s="17" t="inlineStr">
        <is>
          <t>Yes</t>
        </is>
      </c>
    </row>
    <row r="23">
      <c r="A23" s="17" t="inlineStr">
        <is>
          <t>1 Jul</t>
        </is>
      </c>
      <c r="B23" s="17" t="inlineStr">
        <is>
          <t>30757</t>
        </is>
      </c>
      <c r="C23" s="17" t="n">
        <v>4508</v>
      </c>
      <c r="D23" s="17" t="n">
        <v>4498</v>
      </c>
      <c r="E23" s="17" t="n">
        <v>3065</v>
      </c>
      <c r="F23" s="33" t="n">
        <v>1179610</v>
      </c>
      <c r="G23" s="33" t="n">
        <v>1508483</v>
      </c>
      <c r="H23" s="33" t="n">
        <v>1401717</v>
      </c>
      <c r="I23" s="33" t="n">
        <v>1479434</v>
      </c>
      <c r="J23" s="20">
        <f>(I23-H23)/1000</f>
        <v/>
      </c>
      <c r="K23" s="17" t="inlineStr">
        <is>
          <t>Yes</t>
        </is>
      </c>
    </row>
    <row r="24">
      <c r="A24" s="17" t="inlineStr">
        <is>
          <t>1 Jul</t>
        </is>
      </c>
      <c r="B24" s="17" t="inlineStr">
        <is>
          <t>39552</t>
        </is>
      </c>
      <c r="C24" s="17" t="n">
        <v>3377</v>
      </c>
      <c r="D24" s="17" t="n">
        <v>3373</v>
      </c>
      <c r="E24" s="17" t="n">
        <v>2679</v>
      </c>
      <c r="F24" s="33" t="n">
        <v>1186511</v>
      </c>
      <c r="G24" s="33" t="n">
        <v>1516099</v>
      </c>
      <c r="H24" s="33" t="n">
        <v>1401680</v>
      </c>
      <c r="I24" s="33" t="n">
        <v>1479394</v>
      </c>
      <c r="J24" s="20">
        <f>(I24-H24)/1000</f>
        <v/>
      </c>
      <c r="K24" s="17" t="inlineStr">
        <is>
          <t>Yes</t>
        </is>
      </c>
    </row>
    <row r="25">
      <c r="A25" s="17" t="inlineStr">
        <is>
          <t>1 Jul</t>
        </is>
      </c>
      <c r="B25" s="17" t="inlineStr">
        <is>
          <t>30516</t>
        </is>
      </c>
      <c r="C25" s="17" t="n">
        <v>2936</v>
      </c>
      <c r="D25" s="17" t="n">
        <v>2932</v>
      </c>
      <c r="E25" s="17" t="n">
        <v>2416</v>
      </c>
      <c r="F25" s="33" t="n">
        <v>1204127</v>
      </c>
      <c r="G25" s="33" t="n">
        <v>1500466</v>
      </c>
      <c r="H25" s="33" t="n">
        <v>1401697</v>
      </c>
      <c r="I25" s="33" t="n">
        <v>1479402</v>
      </c>
      <c r="J25" s="20">
        <f>(I25-H25)/1000</f>
        <v/>
      </c>
      <c r="K25" s="17" t="inlineStr">
        <is>
          <t>Yes</t>
        </is>
      </c>
    </row>
    <row r="26">
      <c r="A26" s="17" t="inlineStr">
        <is>
          <t>1 Jul</t>
        </is>
      </c>
      <c r="B26" s="17" t="inlineStr">
        <is>
          <t>30002</t>
        </is>
      </c>
      <c r="C26" s="17" t="n">
        <v>2919</v>
      </c>
      <c r="D26" s="17" t="n">
        <v>2919</v>
      </c>
      <c r="E26" s="17" t="n">
        <v>2426</v>
      </c>
      <c r="F26" s="33" t="n">
        <v>1398939</v>
      </c>
      <c r="G26" s="33" t="n">
        <v>1507758</v>
      </c>
      <c r="H26" s="33" t="n">
        <v>1401711</v>
      </c>
      <c r="I26" s="33" t="n">
        <v>1479398</v>
      </c>
      <c r="J26" s="20">
        <f>(I26-H26)/1000</f>
        <v/>
      </c>
      <c r="K26" s="17" t="inlineStr">
        <is>
          <t>Yes</t>
        </is>
      </c>
    </row>
    <row r="27">
      <c r="A27" s="17" t="inlineStr">
        <is>
          <t>1 Jul</t>
        </is>
      </c>
      <c r="B27" s="17" t="inlineStr">
        <is>
          <t>37873</t>
        </is>
      </c>
      <c r="C27" s="17" t="n">
        <v>2774</v>
      </c>
      <c r="D27" s="17" t="n">
        <v>2770</v>
      </c>
      <c r="E27" s="17" t="n">
        <v>2260</v>
      </c>
      <c r="F27" s="33" t="n">
        <v>1197196</v>
      </c>
      <c r="G27" s="33" t="n">
        <v>1500615</v>
      </c>
      <c r="H27" s="33" t="n">
        <v>1401680</v>
      </c>
      <c r="I27" s="33" t="n">
        <v>1479375</v>
      </c>
      <c r="J27" s="20">
        <f>(I27-H27)/1000</f>
        <v/>
      </c>
      <c r="K27" s="17" t="inlineStr">
        <is>
          <t>Yes</t>
        </is>
      </c>
    </row>
    <row r="28">
      <c r="A28" s="17" t="inlineStr">
        <is>
          <t>1 Jul</t>
        </is>
      </c>
      <c r="B28" s="17" t="inlineStr">
        <is>
          <t>30377</t>
        </is>
      </c>
      <c r="C28" s="17" t="n">
        <v>2824</v>
      </c>
      <c r="D28" s="17" t="n">
        <v>2820</v>
      </c>
      <c r="E28" s="17" t="n">
        <v>2660</v>
      </c>
      <c r="F28" s="33" t="n">
        <v>1401708</v>
      </c>
      <c r="G28" s="33" t="n">
        <v>1495973</v>
      </c>
      <c r="H28" s="33" t="n">
        <v>1401708</v>
      </c>
      <c r="I28" s="33" t="n">
        <v>1479391</v>
      </c>
      <c r="J28" s="20">
        <f>(I28-H28)/1000</f>
        <v/>
      </c>
      <c r="K28" s="17" t="inlineStr">
        <is>
          <t>Yes</t>
        </is>
      </c>
    </row>
    <row r="29">
      <c r="A29" s="17" t="inlineStr">
        <is>
          <t>1 Jul</t>
        </is>
      </c>
      <c r="B29" s="17" t="inlineStr">
        <is>
          <t>39025</t>
        </is>
      </c>
      <c r="C29" s="17" t="n">
        <v>2842</v>
      </c>
      <c r="D29" s="17" t="n">
        <v>2838</v>
      </c>
      <c r="E29" s="17" t="n">
        <v>2291</v>
      </c>
      <c r="F29" s="33" t="n">
        <v>1191354</v>
      </c>
      <c r="G29" s="33" t="n">
        <v>1494985</v>
      </c>
      <c r="H29" s="33" t="n">
        <v>1401680</v>
      </c>
      <c r="I29" s="33" t="n">
        <v>1479364</v>
      </c>
      <c r="J29" s="20">
        <f>(I29-H29)/1000</f>
        <v/>
      </c>
      <c r="K29" s="17" t="inlineStr">
        <is>
          <t>Yes</t>
        </is>
      </c>
    </row>
    <row r="30">
      <c r="A30" s="17" t="inlineStr">
        <is>
          <t>1 Jul</t>
        </is>
      </c>
      <c r="B30" s="17" t="inlineStr">
        <is>
          <t>30648</t>
        </is>
      </c>
      <c r="C30" s="17" t="n">
        <v>27</v>
      </c>
      <c r="D30" s="17" t="n">
        <v>27</v>
      </c>
      <c r="E30" s="17" t="n">
        <v>22</v>
      </c>
      <c r="F30" s="33" t="n">
        <v>1399264</v>
      </c>
      <c r="G30" s="33" t="n">
        <v>1508708</v>
      </c>
      <c r="H30" s="33" t="n">
        <v>1401569</v>
      </c>
      <c r="I30" s="33" t="n">
        <v>1478413</v>
      </c>
      <c r="J30" s="20">
        <f>(I30-H30)/1000</f>
        <v/>
      </c>
      <c r="K30" s="17" t="inlineStr">
        <is>
          <t>Yes</t>
        </is>
      </c>
    </row>
    <row r="31">
      <c r="A31" s="17" t="inlineStr">
        <is>
          <t>1 Jul</t>
        </is>
      </c>
      <c r="B31" s="17" t="inlineStr">
        <is>
          <t>37346</t>
        </is>
      </c>
      <c r="C31" s="17" t="n">
        <v>2654</v>
      </c>
      <c r="D31" s="17" t="n">
        <v>2653</v>
      </c>
      <c r="E31" s="17" t="n">
        <v>2644</v>
      </c>
      <c r="F31" s="33" t="n">
        <v>1401344</v>
      </c>
      <c r="G31" s="33" t="n">
        <v>1455784</v>
      </c>
      <c r="H31" s="33" t="n">
        <v>1401559</v>
      </c>
      <c r="I31" s="33" t="n">
        <v>1455784</v>
      </c>
      <c r="J31" s="20">
        <f>(I31-H31)/1000</f>
        <v/>
      </c>
      <c r="K31" s="17" t="inlineStr">
        <is>
          <t>Yes</t>
        </is>
      </c>
    </row>
    <row r="32">
      <c r="A32" s="17" t="inlineStr">
        <is>
          <t>1 Jul</t>
        </is>
      </c>
      <c r="B32" s="17" t="inlineStr">
        <is>
          <t>37839</t>
        </is>
      </c>
      <c r="C32" s="17" t="n">
        <v>1742</v>
      </c>
      <c r="D32" s="17" t="n">
        <v>1742</v>
      </c>
      <c r="E32" s="17" t="n">
        <v>1043</v>
      </c>
      <c r="F32" s="33" t="n">
        <v>1195234</v>
      </c>
      <c r="G32" s="33" t="n">
        <v>1508428</v>
      </c>
      <c r="H32" s="33" t="n">
        <v>1451646</v>
      </c>
      <c r="I32" s="33" t="n">
        <v>1479422</v>
      </c>
      <c r="J32" s="20">
        <f>(I32-H32)/1000</f>
        <v/>
      </c>
      <c r="K32" s="17" t="inlineStr">
        <is>
          <t>Yes</t>
        </is>
      </c>
    </row>
    <row r="33">
      <c r="A33" s="17" t="inlineStr">
        <is>
          <t>1 Jul</t>
        </is>
      </c>
      <c r="B33" s="17" t="inlineStr">
        <is>
          <t>37928</t>
        </is>
      </c>
      <c r="C33" s="17" t="n">
        <v>34</v>
      </c>
      <c r="D33" s="17" t="n">
        <v>34</v>
      </c>
      <c r="E33" s="17" t="n">
        <v>2</v>
      </c>
      <c r="F33" s="33" t="n">
        <v>1304599</v>
      </c>
      <c r="G33" s="33" t="n">
        <v>1404609</v>
      </c>
      <c r="H33" s="33" t="n">
        <v>1403352</v>
      </c>
      <c r="I33" s="33" t="n">
        <v>1404609</v>
      </c>
      <c r="J33" s="20">
        <f>(I33-H33)/1000</f>
        <v/>
      </c>
      <c r="K33" s="17" t="inlineStr">
        <is>
          <t>Yes</t>
        </is>
      </c>
    </row>
    <row r="34">
      <c r="A34" s="17" t="inlineStr">
        <is>
          <t>1 Jul</t>
        </is>
      </c>
      <c r="B34" s="17" t="inlineStr">
        <is>
          <t>37880</t>
        </is>
      </c>
      <c r="C34" s="17" t="n">
        <v>96</v>
      </c>
      <c r="D34" s="17" t="n">
        <v>96</v>
      </c>
      <c r="E34" s="17" t="n">
        <v>91</v>
      </c>
      <c r="F34" s="33" t="n">
        <v>1401389</v>
      </c>
      <c r="G34" s="33" t="n">
        <v>1402797</v>
      </c>
      <c r="H34" s="33" t="n">
        <v>1401559</v>
      </c>
      <c r="I34" s="33" t="n">
        <v>1402797</v>
      </c>
      <c r="J34" s="20">
        <f>(I34-H34)/1000</f>
        <v/>
      </c>
      <c r="K34" s="17" t="inlineStr">
        <is>
          <t>Yes</t>
        </is>
      </c>
    </row>
    <row r="35">
      <c r="A35" s="34" t="inlineStr">
        <is>
          <t>1 Jul</t>
        </is>
      </c>
      <c r="B35" s="34" t="inlineStr">
        <is>
          <t>30007</t>
        </is>
      </c>
      <c r="C35" s="34" t="n">
        <v>37</v>
      </c>
      <c r="D35" s="34" t="n">
        <v>37</v>
      </c>
      <c r="E35" s="34" t="n">
        <v>0</v>
      </c>
      <c r="F35" s="35" t="n">
        <v>1310321</v>
      </c>
      <c r="G35" s="35" t="n">
        <v>1396596</v>
      </c>
      <c r="H35" s="35" t="inlineStr">
        <is>
          <t>-</t>
        </is>
      </c>
      <c r="I35" s="35" t="inlineStr">
        <is>
          <t>-</t>
        </is>
      </c>
      <c r="J35" s="36" t="n">
        <v>0</v>
      </c>
      <c r="K35" s="34" t="inlineStr">
        <is>
          <t>No</t>
        </is>
      </c>
    </row>
    <row r="36">
      <c r="A36" s="34" t="inlineStr">
        <is>
          <t>1 Jul</t>
        </is>
      </c>
      <c r="B36" s="34" t="inlineStr">
        <is>
          <t>30206</t>
        </is>
      </c>
      <c r="C36" s="34" t="n">
        <v>598</v>
      </c>
      <c r="D36" s="34" t="n">
        <v>598</v>
      </c>
      <c r="E36" s="34" t="n">
        <v>0</v>
      </c>
      <c r="F36" s="35" t="n">
        <v>1192122</v>
      </c>
      <c r="G36" s="35" t="n">
        <v>1236312</v>
      </c>
      <c r="H36" s="35" t="inlineStr">
        <is>
          <t>-</t>
        </is>
      </c>
      <c r="I36" s="35" t="inlineStr">
        <is>
          <t>-</t>
        </is>
      </c>
      <c r="J36" s="36" t="n">
        <v>0</v>
      </c>
      <c r="K36" s="34" t="inlineStr">
        <is>
          <t>No</t>
        </is>
      </c>
    </row>
    <row r="37">
      <c r="A37" s="34" t="inlineStr">
        <is>
          <t>1 Jul</t>
        </is>
      </c>
      <c r="B37" s="34" t="inlineStr">
        <is>
          <t>30629</t>
        </is>
      </c>
      <c r="C37" s="34" t="n">
        <v>57</v>
      </c>
      <c r="D37" s="34" t="n">
        <v>44</v>
      </c>
      <c r="E37" s="34" t="n">
        <v>0</v>
      </c>
      <c r="F37" s="35" t="n">
        <v>1242984</v>
      </c>
      <c r="G37" s="35" t="n">
        <v>1242984</v>
      </c>
      <c r="H37" s="35" t="inlineStr">
        <is>
          <t>-</t>
        </is>
      </c>
      <c r="I37" s="35" t="inlineStr">
        <is>
          <t>-</t>
        </is>
      </c>
      <c r="J37" s="36" t="n">
        <v>0</v>
      </c>
      <c r="K37" s="34" t="inlineStr">
        <is>
          <t>No</t>
        </is>
      </c>
    </row>
    <row r="38">
      <c r="A38" s="34" t="inlineStr">
        <is>
          <t>1 Jul</t>
        </is>
      </c>
      <c r="B38" s="34" t="inlineStr">
        <is>
          <t>30643</t>
        </is>
      </c>
      <c r="C38" s="34" t="n">
        <v>24</v>
      </c>
      <c r="D38" s="34" t="n">
        <v>24</v>
      </c>
      <c r="E38" s="34" t="n">
        <v>0</v>
      </c>
      <c r="F38" s="35" t="n">
        <v>1309738</v>
      </c>
      <c r="G38" s="35" t="n">
        <v>1396631</v>
      </c>
      <c r="H38" s="35" t="inlineStr">
        <is>
          <t>-</t>
        </is>
      </c>
      <c r="I38" s="35" t="inlineStr">
        <is>
          <t>-</t>
        </is>
      </c>
      <c r="J38" s="36" t="n">
        <v>0</v>
      </c>
      <c r="K38" s="34" t="inlineStr">
        <is>
          <t>No</t>
        </is>
      </c>
    </row>
    <row r="39">
      <c r="A39" s="34" t="inlineStr">
        <is>
          <t>1 Jul</t>
        </is>
      </c>
      <c r="B39" s="34" t="inlineStr">
        <is>
          <t>30813</t>
        </is>
      </c>
      <c r="C39" s="34" t="n">
        <v>23</v>
      </c>
      <c r="D39" s="34" t="n">
        <v>23</v>
      </c>
      <c r="E39" s="34" t="n">
        <v>0</v>
      </c>
      <c r="F39" s="35" t="n">
        <v>1309709</v>
      </c>
      <c r="G39" s="35" t="n">
        <v>1396484</v>
      </c>
      <c r="H39" s="35" t="inlineStr">
        <is>
          <t>-</t>
        </is>
      </c>
      <c r="I39" s="35" t="inlineStr">
        <is>
          <t>-</t>
        </is>
      </c>
      <c r="J39" s="36" t="n">
        <v>0</v>
      </c>
      <c r="K39" s="34" t="inlineStr">
        <is>
          <t>No</t>
        </is>
      </c>
    </row>
    <row r="40">
      <c r="A40" s="34" t="inlineStr">
        <is>
          <t>1 Jul</t>
        </is>
      </c>
      <c r="B40" s="34" t="inlineStr">
        <is>
          <t>37035</t>
        </is>
      </c>
      <c r="C40" s="34" t="n">
        <v>6</v>
      </c>
      <c r="D40" s="34" t="n">
        <v>6</v>
      </c>
      <c r="E40" s="34" t="n">
        <v>0</v>
      </c>
      <c r="F40" s="35" t="n">
        <v>1171657</v>
      </c>
      <c r="G40" s="35" t="n">
        <v>1172132</v>
      </c>
      <c r="H40" s="35" t="inlineStr">
        <is>
          <t>-</t>
        </is>
      </c>
      <c r="I40" s="35" t="inlineStr">
        <is>
          <t>-</t>
        </is>
      </c>
      <c r="J40" s="36" t="n">
        <v>0</v>
      </c>
      <c r="K40" s="34" t="inlineStr">
        <is>
          <t>No</t>
        </is>
      </c>
    </row>
    <row r="41">
      <c r="A41" s="34" t="inlineStr">
        <is>
          <t>1 Jul</t>
        </is>
      </c>
      <c r="B41" s="34" t="inlineStr">
        <is>
          <t>37332</t>
        </is>
      </c>
      <c r="C41" s="34" t="n">
        <v>1</v>
      </c>
      <c r="D41" s="34" t="n">
        <v>1</v>
      </c>
      <c r="E41" s="34" t="n">
        <v>0</v>
      </c>
      <c r="F41" s="35" t="n">
        <v>1381907</v>
      </c>
      <c r="G41" s="35" t="n">
        <v>1381907</v>
      </c>
      <c r="H41" s="35" t="inlineStr">
        <is>
          <t>-</t>
        </is>
      </c>
      <c r="I41" s="35" t="inlineStr">
        <is>
          <t>-</t>
        </is>
      </c>
      <c r="J41" s="36" t="n">
        <v>0</v>
      </c>
      <c r="K41" s="34" t="inlineStr">
        <is>
          <t>No</t>
        </is>
      </c>
    </row>
    <row r="42">
      <c r="A42" s="34" t="inlineStr">
        <is>
          <t>1 Jul</t>
        </is>
      </c>
      <c r="B42" s="34" t="inlineStr">
        <is>
          <t>37569</t>
        </is>
      </c>
      <c r="C42" s="34" t="n">
        <v>563</v>
      </c>
      <c r="D42" s="34" t="n">
        <v>527</v>
      </c>
      <c r="E42" s="34" t="n">
        <v>0</v>
      </c>
      <c r="F42" s="35" t="n">
        <v>1195585</v>
      </c>
      <c r="G42" s="35" t="n">
        <v>1242849</v>
      </c>
      <c r="H42" s="35" t="inlineStr">
        <is>
          <t>-</t>
        </is>
      </c>
      <c r="I42" s="35" t="inlineStr">
        <is>
          <t>-</t>
        </is>
      </c>
      <c r="J42" s="36" t="n">
        <v>0</v>
      </c>
      <c r="K42" s="34" t="inlineStr">
        <is>
          <t>No</t>
        </is>
      </c>
    </row>
    <row r="43">
      <c r="A43" s="34" t="inlineStr">
        <is>
          <t>1 Jul</t>
        </is>
      </c>
      <c r="B43" s="34" t="inlineStr">
        <is>
          <t>39243</t>
        </is>
      </c>
      <c r="C43" s="34" t="n">
        <v>257</v>
      </c>
      <c r="D43" s="34" t="n">
        <v>257</v>
      </c>
      <c r="E43" s="34" t="n">
        <v>0</v>
      </c>
      <c r="F43" s="35" t="n">
        <v>1482987</v>
      </c>
      <c r="G43" s="35" t="n">
        <v>1508560</v>
      </c>
      <c r="H43" s="35" t="inlineStr">
        <is>
          <t>-</t>
        </is>
      </c>
      <c r="I43" s="35" t="inlineStr">
        <is>
          <t>-</t>
        </is>
      </c>
      <c r="J43" s="36" t="n">
        <v>0</v>
      </c>
      <c r="K43" s="34" t="inlineStr">
        <is>
          <t>No</t>
        </is>
      </c>
    </row>
    <row r="44">
      <c r="A44" s="34" t="inlineStr">
        <is>
          <t>1 Jul</t>
        </is>
      </c>
      <c r="B44" s="34" t="inlineStr">
        <is>
          <t>39421</t>
        </is>
      </c>
      <c r="C44" s="34" t="n">
        <v>31</v>
      </c>
      <c r="D44" s="34" t="n">
        <v>31</v>
      </c>
      <c r="E44" s="34" t="n">
        <v>1</v>
      </c>
      <c r="F44" s="35" t="n">
        <v>1308899</v>
      </c>
      <c r="G44" s="35" t="n">
        <v>1410350</v>
      </c>
      <c r="H44" s="35" t="inlineStr">
        <is>
          <t>-</t>
        </is>
      </c>
      <c r="I44" s="35" t="inlineStr">
        <is>
          <t>-</t>
        </is>
      </c>
      <c r="J44" s="36" t="n">
        <v>0</v>
      </c>
      <c r="K44" s="34" t="inlineStr">
        <is>
          <t>No</t>
        </is>
      </c>
    </row>
    <row r="45">
      <c r="A45" s="34" t="inlineStr">
        <is>
          <t>1 Jul</t>
        </is>
      </c>
      <c r="B45" s="34" t="inlineStr">
        <is>
          <t>39565</t>
        </is>
      </c>
      <c r="C45" s="34" t="n">
        <v>50</v>
      </c>
      <c r="D45" s="34" t="n">
        <v>50</v>
      </c>
      <c r="E45" s="34" t="n">
        <v>0</v>
      </c>
      <c r="F45" s="35" t="n">
        <v>1267697</v>
      </c>
      <c r="G45" s="35" t="n">
        <v>1393832</v>
      </c>
      <c r="H45" s="35" t="inlineStr">
        <is>
          <t>-</t>
        </is>
      </c>
      <c r="I45" s="35" t="inlineStr">
        <is>
          <t>-</t>
        </is>
      </c>
      <c r="J45" s="36" t="n">
        <v>0</v>
      </c>
      <c r="K45" s="34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37" t="inlineStr">
        <is>
          <t>Methodology</t>
        </is>
      </c>
    </row>
    <row r="2"/>
    <row r="3" ht="34" customHeight="1">
      <c r="B3" s="38" t="inlineStr">
        <is>
          <t>Excluded</t>
        </is>
      </c>
      <c r="C3" s="39" t="inlineStr">
        <is>
          <t>Loco-days with 0 km in the section (abs never inside 36001-36014, i.e. no section travel) are dropped from the report, unless they completed a trip.</t>
        </is>
      </c>
    </row>
    <row r="4" ht="34" customHeight="1">
      <c r="B4" s="38" t="inlineStr">
        <is>
          <t>No of Trips</t>
        </is>
      </c>
      <c r="C4" s="39" t="inlineStr">
        <is>
          <t>A loco completing the section end-to-end (station 1→14 or 14→1). Reversal = new trip (out-and-back = 2). All loco types included.</t>
        </is>
      </c>
    </row>
    <row r="5" ht="49" customHeight="1">
      <c r="B5" s="38" t="inlineStr">
        <is>
          <t>Total KMs Run on Kavach</t>
        </is>
      </c>
      <c r="C5" s="39" t="inlineStr">
        <is>
          <t>Section coverage per loco = how far it travelled across the 36001-36014 section = (max - min) of its abs within the section limits (1401554-1479434). Capped at the section length (~78 km); 0 if the loco never reported inside the section.</t>
        </is>
      </c>
    </row>
    <row r="6">
      <c r="B6" s="38" t="inlineStr">
        <is>
          <t>Availability (FS+OS)</t>
        </is>
      </c>
      <c r="C6" s="39" t="inlineStr">
        <is>
          <t>Packets in FS or OnSight ÷ all packets (all modes) × 100.</t>
        </is>
      </c>
    </row>
    <row r="7" ht="34" customHeight="1">
      <c r="B7" s="38" t="inlineStr">
        <is>
          <t>Total EB</t>
        </is>
      </c>
      <c r="C7" s="39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38" t="inlineStr">
        <is>
          <t>Mode Degradation</t>
        </is>
      </c>
      <c r="C8" s="39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34" customHeight="1">
      <c r="B9" s="38" t="inlineStr">
        <is>
          <t>EB diagnostics</t>
        </is>
      </c>
      <c r="C9" s="39" t="inlineStr">
        <is>
          <t>Speed at EB + flag if ≥6 km/h jump vs previous packet (possible PG issue); MA from SReg 'MA wrt Sig' + flag drop &gt;500; Emergency from LReg.</t>
        </is>
      </c>
    </row>
    <row r="10" ht="34" customHeight="1">
      <c r="B10" s="38" t="inlineStr">
        <is>
          <t>Ratios</t>
        </is>
      </c>
      <c r="C10" s="39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2026-07-02T02:01:42Z</dcterms:created>
  <dcterms:modified xsi:type="dcterms:W3CDTF">2026-07-02T02:01:42Z</dcterms:modified>
</cp:coreProperties>
</file>
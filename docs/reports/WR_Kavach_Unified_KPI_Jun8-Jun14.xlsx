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WR — Kavach Unified KPI</t>
        </is>
      </c>
    </row>
    <row r="2">
      <c r="A2" s="2" t="inlineStr">
        <is>
          <t>Period: Jun8 - Jun14 (custom)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Jun8 - Jun14 (custom)</t>
        </is>
      </c>
      <c r="B5" s="4" t="inlineStr">
        <is>
          <t>WR</t>
        </is>
      </c>
      <c r="C5" s="4" t="inlineStr">
        <is>
          <t>24000_ADI to 24051_BRC</t>
        </is>
      </c>
      <c r="D5" s="5">
        <f>'Daily Breakdown'!C228</f>
        <v/>
      </c>
      <c r="E5" s="6">
        <f>'Daily Breakdown'!D228</f>
        <v/>
      </c>
      <c r="F5" s="7">
        <f>'Daily Breakdown'!G228</f>
        <v/>
      </c>
      <c r="G5" s="5">
        <f>'Daily Breakdown'!H228</f>
        <v/>
      </c>
      <c r="H5" s="8">
        <f>'Daily Breakdown'!I228</f>
        <v/>
      </c>
      <c r="I5" s="8">
        <f>'Daily Breakdown'!J228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Breakdown'!K228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9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>
      <c r="A2" s="37" t="inlineStr">
        <is>
          <t>Availability base excludes locos with FS+OS pkts = 0 (they are still listed; only the Total-pkts availability base drops them).</t>
        </is>
      </c>
    </row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8 Jun</t>
        </is>
      </c>
      <c r="B4" s="15" t="inlineStr">
        <is>
          <t>37566</t>
        </is>
      </c>
      <c r="C4" s="16" t="n">
        <v>2</v>
      </c>
      <c r="D4" s="49" t="n">
        <v>93.90000000000001</v>
      </c>
      <c r="E4" s="18" t="n">
        <v>8253</v>
      </c>
      <c r="F4" s="18" t="n">
        <v>9594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5</v>
      </c>
    </row>
    <row r="5">
      <c r="A5" s="15" t="inlineStr">
        <is>
          <t>8 Jun</t>
        </is>
      </c>
      <c r="B5" s="15" t="inlineStr">
        <is>
          <t>37019</t>
        </is>
      </c>
      <c r="C5" s="16" t="n">
        <v>2</v>
      </c>
      <c r="D5" s="49" t="n">
        <v>93.87</v>
      </c>
      <c r="E5" s="18" t="n">
        <v>7735</v>
      </c>
      <c r="F5" s="18" t="n">
        <v>8252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5</v>
      </c>
    </row>
    <row r="6">
      <c r="A6" s="15" t="inlineStr">
        <is>
          <t>8 Jun</t>
        </is>
      </c>
      <c r="B6" s="15" t="inlineStr">
        <is>
          <t>39027</t>
        </is>
      </c>
      <c r="C6" s="16" t="n">
        <v>2</v>
      </c>
      <c r="D6" s="49" t="n">
        <v>93.84</v>
      </c>
      <c r="E6" s="18" t="n">
        <v>7480</v>
      </c>
      <c r="F6" s="18" t="n">
        <v>8166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5</v>
      </c>
    </row>
    <row r="7">
      <c r="A7" s="15" t="inlineStr">
        <is>
          <t>8 Jun</t>
        </is>
      </c>
      <c r="B7" s="15" t="inlineStr">
        <is>
          <t>37504</t>
        </is>
      </c>
      <c r="C7" s="16" t="n">
        <v>1</v>
      </c>
      <c r="D7" s="49" t="n">
        <v>93.31999999999999</v>
      </c>
      <c r="E7" s="18" t="n">
        <v>6817</v>
      </c>
      <c r="F7" s="18" t="n">
        <v>7352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3</v>
      </c>
    </row>
    <row r="8">
      <c r="A8" s="15" t="inlineStr">
        <is>
          <t>8 Jun</t>
        </is>
      </c>
      <c r="B8" s="15" t="inlineStr">
        <is>
          <t>37813</t>
        </is>
      </c>
      <c r="C8" s="16" t="n">
        <v>1</v>
      </c>
      <c r="D8" s="49" t="n">
        <v>90.88</v>
      </c>
      <c r="E8" s="18" t="n">
        <v>5315</v>
      </c>
      <c r="F8" s="18" t="n">
        <v>6021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1</v>
      </c>
    </row>
    <row r="9">
      <c r="A9" s="15" t="inlineStr">
        <is>
          <t>8 Jun</t>
        </is>
      </c>
      <c r="B9" s="15" t="inlineStr">
        <is>
          <t>37328</t>
        </is>
      </c>
      <c r="C9" s="16" t="n">
        <v>1</v>
      </c>
      <c r="D9" s="49" t="n">
        <v>93.31</v>
      </c>
      <c r="E9" s="18" t="n">
        <v>5261</v>
      </c>
      <c r="F9" s="18" t="n">
        <v>5784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2</v>
      </c>
    </row>
    <row r="10">
      <c r="A10" s="15" t="inlineStr">
        <is>
          <t>8 Jun</t>
        </is>
      </c>
      <c r="B10" s="15" t="inlineStr">
        <is>
          <t>30080</t>
        </is>
      </c>
      <c r="C10" s="16" t="n">
        <v>1</v>
      </c>
      <c r="D10" s="49" t="n">
        <v>93.86</v>
      </c>
      <c r="E10" s="18" t="n">
        <v>4832</v>
      </c>
      <c r="F10" s="18" t="n">
        <v>5174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3</v>
      </c>
    </row>
    <row r="11">
      <c r="A11" s="15" t="inlineStr">
        <is>
          <t>8 Jun</t>
        </is>
      </c>
      <c r="B11" s="15" t="inlineStr">
        <is>
          <t>39131</t>
        </is>
      </c>
      <c r="C11" s="16" t="n">
        <v>1</v>
      </c>
      <c r="D11" s="49" t="n">
        <v>93.87</v>
      </c>
      <c r="E11" s="18" t="n">
        <v>4520</v>
      </c>
      <c r="F11" s="18" t="n">
        <v>5091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3</v>
      </c>
    </row>
    <row r="12">
      <c r="A12" s="15" t="inlineStr">
        <is>
          <t>8 Jun</t>
        </is>
      </c>
      <c r="B12" s="15" t="inlineStr">
        <is>
          <t>37956</t>
        </is>
      </c>
      <c r="C12" s="16" t="n">
        <v>1</v>
      </c>
      <c r="D12" s="49" t="n">
        <v>93.89</v>
      </c>
      <c r="E12" s="18" t="n">
        <v>4619</v>
      </c>
      <c r="F12" s="18" t="n">
        <v>5045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2</v>
      </c>
    </row>
    <row r="13">
      <c r="A13" s="15" t="inlineStr">
        <is>
          <t>8 Jun</t>
        </is>
      </c>
      <c r="B13" s="15" t="inlineStr">
        <is>
          <t>30791</t>
        </is>
      </c>
      <c r="C13" s="16" t="n">
        <v>1</v>
      </c>
      <c r="D13" s="49" t="n">
        <v>93.84999999999999</v>
      </c>
      <c r="E13" s="18" t="n">
        <v>4499</v>
      </c>
      <c r="F13" s="18" t="n">
        <v>4933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2</v>
      </c>
    </row>
    <row r="14">
      <c r="A14" s="15" t="inlineStr">
        <is>
          <t>8 Jun</t>
        </is>
      </c>
      <c r="B14" s="15" t="inlineStr">
        <is>
          <t>37947</t>
        </is>
      </c>
      <c r="C14" s="16" t="n">
        <v>1</v>
      </c>
      <c r="D14" s="49" t="n">
        <v>93.91</v>
      </c>
      <c r="E14" s="18" t="n">
        <v>3634</v>
      </c>
      <c r="F14" s="18" t="n">
        <v>4354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5</v>
      </c>
    </row>
    <row r="15">
      <c r="A15" s="15" t="inlineStr">
        <is>
          <t>8 Jun</t>
        </is>
      </c>
      <c r="B15" s="15" t="inlineStr">
        <is>
          <t>30474</t>
        </is>
      </c>
      <c r="C15" s="16" t="n">
        <v>1</v>
      </c>
      <c r="D15" s="49" t="n">
        <v>93.88</v>
      </c>
      <c r="E15" s="18" t="n">
        <v>3984</v>
      </c>
      <c r="F15" s="18" t="n">
        <v>4344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3</v>
      </c>
    </row>
    <row r="16">
      <c r="A16" s="15" t="inlineStr">
        <is>
          <t>8 Jun</t>
        </is>
      </c>
      <c r="B16" s="15" t="inlineStr">
        <is>
          <t>30759</t>
        </is>
      </c>
      <c r="C16" s="16" t="n">
        <v>1</v>
      </c>
      <c r="D16" s="49" t="n">
        <v>93.90000000000001</v>
      </c>
      <c r="E16" s="18" t="n">
        <v>3984</v>
      </c>
      <c r="F16" s="18" t="n">
        <v>4300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3</v>
      </c>
    </row>
    <row r="17">
      <c r="A17" s="15" t="inlineStr">
        <is>
          <t>8 Jun</t>
        </is>
      </c>
      <c r="B17" s="15" t="inlineStr">
        <is>
          <t>39465</t>
        </is>
      </c>
      <c r="C17" s="16" t="n">
        <v>1</v>
      </c>
      <c r="D17" s="49" t="n">
        <v>93.91</v>
      </c>
      <c r="E17" s="18" t="n">
        <v>3778</v>
      </c>
      <c r="F17" s="18" t="n">
        <v>4193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2</v>
      </c>
    </row>
    <row r="18">
      <c r="A18" s="15" t="inlineStr">
        <is>
          <t>8 Jun</t>
        </is>
      </c>
      <c r="B18" s="15" t="inlineStr">
        <is>
          <t>30606</t>
        </is>
      </c>
      <c r="C18" s="16" t="n">
        <v>1</v>
      </c>
      <c r="D18" s="49" t="n">
        <v>93.78</v>
      </c>
      <c r="E18" s="18" t="n">
        <v>3543</v>
      </c>
      <c r="F18" s="18" t="n">
        <v>4167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3</v>
      </c>
    </row>
    <row r="19">
      <c r="A19" s="15" t="inlineStr">
        <is>
          <t>8 Jun</t>
        </is>
      </c>
      <c r="B19" s="15" t="inlineStr">
        <is>
          <t>37548</t>
        </is>
      </c>
      <c r="C19" s="16" t="n">
        <v>1</v>
      </c>
      <c r="D19" s="49" t="n">
        <v>93.86</v>
      </c>
      <c r="E19" s="18" t="n">
        <v>3655</v>
      </c>
      <c r="F19" s="18" t="n">
        <v>3963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3</v>
      </c>
    </row>
    <row r="20">
      <c r="A20" s="15" t="inlineStr">
        <is>
          <t>8 Jun</t>
        </is>
      </c>
      <c r="B20" s="15" t="inlineStr">
        <is>
          <t>30098</t>
        </is>
      </c>
      <c r="C20" s="16" t="n">
        <v>1</v>
      </c>
      <c r="D20" s="49" t="n">
        <v>93.91</v>
      </c>
      <c r="E20" s="18" t="n">
        <v>0</v>
      </c>
      <c r="F20" s="18" t="n">
        <v>3383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0</v>
      </c>
    </row>
    <row r="21">
      <c r="A21" s="15" t="inlineStr">
        <is>
          <t>8 Jun</t>
        </is>
      </c>
      <c r="B21" s="15" t="inlineStr">
        <is>
          <t>37164</t>
        </is>
      </c>
      <c r="C21" s="16" t="n">
        <v>0</v>
      </c>
      <c r="D21" s="49" t="n">
        <v>61.65</v>
      </c>
      <c r="E21" s="18" t="n">
        <v>3108</v>
      </c>
      <c r="F21" s="18" t="n">
        <v>3271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1</v>
      </c>
    </row>
    <row r="22">
      <c r="A22" s="15" t="inlineStr">
        <is>
          <t>8 Jun</t>
        </is>
      </c>
      <c r="B22" s="15" t="inlineStr">
        <is>
          <t>37752</t>
        </is>
      </c>
      <c r="C22" s="16" t="n">
        <v>0</v>
      </c>
      <c r="D22" s="49" t="n">
        <v>60.61</v>
      </c>
      <c r="E22" s="18" t="n">
        <v>2674</v>
      </c>
      <c r="F22" s="18" t="n">
        <v>2935</v>
      </c>
      <c r="G22" s="19">
        <f>IF(F22=0,0,E22/F22*100)</f>
        <v/>
      </c>
      <c r="H22" s="16" t="n">
        <v>1</v>
      </c>
      <c r="I22" s="16" t="n">
        <v>0</v>
      </c>
      <c r="J22" s="16" t="n">
        <v>1</v>
      </c>
      <c r="K22" s="16" t="n">
        <v>4</v>
      </c>
    </row>
    <row r="23">
      <c r="A23" s="15" t="inlineStr">
        <is>
          <t>8 Jun</t>
        </is>
      </c>
      <c r="B23" s="15" t="inlineStr">
        <is>
          <t>30757</t>
        </is>
      </c>
      <c r="C23" s="16" t="n">
        <v>0</v>
      </c>
      <c r="D23" s="49" t="n">
        <v>56.65</v>
      </c>
      <c r="E23" s="18" t="n">
        <v>2536</v>
      </c>
      <c r="F23" s="18" t="n">
        <v>2828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2</v>
      </c>
    </row>
    <row r="24">
      <c r="A24" s="15" t="inlineStr">
        <is>
          <t>8 Jun</t>
        </is>
      </c>
      <c r="B24" s="15" t="inlineStr">
        <is>
          <t>30770</t>
        </is>
      </c>
      <c r="C24" s="16" t="n">
        <v>0</v>
      </c>
      <c r="D24" s="49" t="n">
        <v>36.75</v>
      </c>
      <c r="E24" s="18" t="n">
        <v>1301</v>
      </c>
      <c r="F24" s="18" t="n">
        <v>2094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1</v>
      </c>
    </row>
    <row r="25">
      <c r="A25" s="15" t="inlineStr">
        <is>
          <t>8 Jun</t>
        </is>
      </c>
      <c r="B25" s="15" t="inlineStr">
        <is>
          <t>39466</t>
        </is>
      </c>
      <c r="C25" s="16" t="n">
        <v>0</v>
      </c>
      <c r="D25" s="49" t="n">
        <v>30.81</v>
      </c>
      <c r="E25" s="18" t="n">
        <v>1043</v>
      </c>
      <c r="F25" s="18" t="n">
        <v>1159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</v>
      </c>
    </row>
    <row r="26">
      <c r="A26" s="15" t="inlineStr">
        <is>
          <t>8 Jun</t>
        </is>
      </c>
      <c r="B26" s="15" t="inlineStr">
        <is>
          <t>37507</t>
        </is>
      </c>
      <c r="C26" s="16" t="n">
        <v>0</v>
      </c>
      <c r="D26" s="49" t="n">
        <v>36.53</v>
      </c>
      <c r="E26" s="18" t="n">
        <v>709</v>
      </c>
      <c r="F26" s="18" t="n">
        <v>1121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1</v>
      </c>
    </row>
    <row r="27">
      <c r="A27" s="15" t="inlineStr">
        <is>
          <t>8 Jun</t>
        </is>
      </c>
      <c r="B27" s="15" t="inlineStr">
        <is>
          <t>37582</t>
        </is>
      </c>
      <c r="C27" s="16" t="n">
        <v>0</v>
      </c>
      <c r="D27" s="49" t="n">
        <v>36.83</v>
      </c>
      <c r="E27" s="18" t="n">
        <v>429</v>
      </c>
      <c r="F27" s="18" t="n">
        <v>876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1</v>
      </c>
    </row>
    <row r="28">
      <c r="A28" s="15" t="inlineStr">
        <is>
          <t>8 Jun</t>
        </is>
      </c>
      <c r="B28" s="15" t="inlineStr">
        <is>
          <t>39066</t>
        </is>
      </c>
      <c r="C28" s="16" t="n">
        <v>0</v>
      </c>
      <c r="D28" s="49" t="n">
        <v>39.5</v>
      </c>
      <c r="E28" s="18" t="n">
        <v>562</v>
      </c>
      <c r="F28" s="18" t="n">
        <v>820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1</v>
      </c>
    </row>
    <row r="29">
      <c r="A29" s="15" t="inlineStr">
        <is>
          <t>8 Jun</t>
        </is>
      </c>
      <c r="B29" s="15" t="inlineStr">
        <is>
          <t>37818</t>
        </is>
      </c>
      <c r="C29" s="16" t="n">
        <v>0</v>
      </c>
      <c r="D29" s="49" t="n">
        <v>34.17</v>
      </c>
      <c r="E29" s="18" t="n">
        <v>475</v>
      </c>
      <c r="F29" s="18" t="n">
        <v>783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8 Jun</t>
        </is>
      </c>
      <c r="B30" s="15" t="inlineStr">
        <is>
          <t>39014</t>
        </is>
      </c>
      <c r="C30" s="16" t="n">
        <v>0</v>
      </c>
      <c r="D30" s="49" t="n">
        <v>35.14</v>
      </c>
      <c r="E30" s="18" t="n">
        <v>604</v>
      </c>
      <c r="F30" s="18" t="n">
        <v>736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0</v>
      </c>
    </row>
    <row r="31">
      <c r="A31" s="15" t="inlineStr">
        <is>
          <t>8 Jun</t>
        </is>
      </c>
      <c r="B31" s="15" t="inlineStr">
        <is>
          <t>37131</t>
        </is>
      </c>
      <c r="C31" s="16" t="n">
        <v>0</v>
      </c>
      <c r="D31" s="49" t="n">
        <v>40.26</v>
      </c>
      <c r="E31" s="18" t="n">
        <v>464</v>
      </c>
      <c r="F31" s="18" t="n">
        <v>595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1</v>
      </c>
    </row>
    <row r="32">
      <c r="A32" s="15" t="inlineStr">
        <is>
          <t>8 Jun</t>
        </is>
      </c>
      <c r="B32" s="15" t="inlineStr">
        <is>
          <t>37602</t>
        </is>
      </c>
      <c r="C32" s="16" t="n">
        <v>0</v>
      </c>
      <c r="D32" s="49" t="n">
        <v>36.27</v>
      </c>
      <c r="E32" s="18" t="n">
        <v>377</v>
      </c>
      <c r="F32" s="18" t="n">
        <v>538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1</v>
      </c>
    </row>
    <row r="33">
      <c r="A33" s="15" t="inlineStr">
        <is>
          <t>8 Jun</t>
        </is>
      </c>
      <c r="B33" s="15" t="inlineStr">
        <is>
          <t>41605</t>
        </is>
      </c>
      <c r="C33" s="16" t="n">
        <v>0</v>
      </c>
      <c r="D33" s="49" t="n">
        <v>50.06</v>
      </c>
      <c r="E33" s="18" t="n">
        <v>0</v>
      </c>
      <c r="F33" s="18" t="n">
        <v>33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20" t="inlineStr">
        <is>
          <t>8 Jun</t>
        </is>
      </c>
      <c r="B34" s="20" t="inlineStr">
        <is>
          <t>Day Total</t>
        </is>
      </c>
      <c r="C34" s="21">
        <f>SUM(C4:C33)</f>
        <v/>
      </c>
      <c r="D34" s="50">
        <f>SUM(D4:D33)</f>
        <v/>
      </c>
      <c r="E34" s="23">
        <f>SUM(E4:E33)</f>
        <v/>
      </c>
      <c r="F34" s="23">
        <f>SUMIF(E4:E33,"&gt;0",F4:F33)</f>
        <v/>
      </c>
      <c r="G34" s="24">
        <f>IF(F34=0,0,E34/F34*100)</f>
        <v/>
      </c>
      <c r="H34" s="21">
        <f>SUM(H4:H33)</f>
        <v/>
      </c>
      <c r="I34" s="21">
        <f>SUM(I4:I33)</f>
        <v/>
      </c>
      <c r="J34" s="21">
        <f>SUM(J4:J33)</f>
        <v/>
      </c>
      <c r="K34" s="21">
        <f>SUM(K4:K33)</f>
        <v/>
      </c>
    </row>
    <row r="35">
      <c r="A35" s="15" t="inlineStr">
        <is>
          <t>9 Jun</t>
        </is>
      </c>
      <c r="B35" s="15" t="inlineStr">
        <is>
          <t>30821</t>
        </is>
      </c>
      <c r="C35" s="16" t="n">
        <v>2</v>
      </c>
      <c r="D35" s="49" t="n">
        <v>93.88</v>
      </c>
      <c r="E35" s="18" t="n">
        <v>8175</v>
      </c>
      <c r="F35" s="18" t="n">
        <v>8900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5</v>
      </c>
    </row>
    <row r="36">
      <c r="A36" s="15" t="inlineStr">
        <is>
          <t>9 Jun</t>
        </is>
      </c>
      <c r="B36" s="15" t="inlineStr">
        <is>
          <t>39027</t>
        </is>
      </c>
      <c r="C36" s="16" t="n">
        <v>2</v>
      </c>
      <c r="D36" s="49" t="n">
        <v>93.89</v>
      </c>
      <c r="E36" s="18" t="n">
        <v>7834</v>
      </c>
      <c r="F36" s="18" t="n">
        <v>8600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6</v>
      </c>
    </row>
    <row r="37">
      <c r="A37" s="15" t="inlineStr">
        <is>
          <t>9 Jun</t>
        </is>
      </c>
      <c r="B37" s="15" t="inlineStr">
        <is>
          <t>37830</t>
        </is>
      </c>
      <c r="C37" s="16" t="n">
        <v>1</v>
      </c>
      <c r="D37" s="49" t="n">
        <v>93.89</v>
      </c>
      <c r="E37" s="18" t="n">
        <v>7601</v>
      </c>
      <c r="F37" s="18" t="n">
        <v>9131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3</v>
      </c>
    </row>
    <row r="38">
      <c r="A38" s="15" t="inlineStr">
        <is>
          <t>9 Jun</t>
        </is>
      </c>
      <c r="B38" s="15" t="inlineStr">
        <is>
          <t>39194</t>
        </is>
      </c>
      <c r="C38" s="16" t="n">
        <v>1</v>
      </c>
      <c r="D38" s="49" t="n">
        <v>93.31999999999999</v>
      </c>
      <c r="E38" s="18" t="n">
        <v>6006</v>
      </c>
      <c r="F38" s="18" t="n">
        <v>6341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4</v>
      </c>
    </row>
    <row r="39">
      <c r="A39" s="15" t="inlineStr">
        <is>
          <t>9 Jun</t>
        </is>
      </c>
      <c r="B39" s="15" t="inlineStr">
        <is>
          <t>37812</t>
        </is>
      </c>
      <c r="C39" s="16" t="n">
        <v>1</v>
      </c>
      <c r="D39" s="49" t="n">
        <v>90.45999999999999</v>
      </c>
      <c r="E39" s="18" t="n">
        <v>5927</v>
      </c>
      <c r="F39" s="18" t="n">
        <v>6263</v>
      </c>
      <c r="G39" s="19">
        <f>IF(F39=0,0,E39/F39*100)</f>
        <v/>
      </c>
      <c r="H39" s="16" t="n">
        <v>1</v>
      </c>
      <c r="I39" s="16" t="n">
        <v>1</v>
      </c>
      <c r="J39" s="16" t="n">
        <v>0</v>
      </c>
      <c r="K39" s="16" t="n">
        <v>2</v>
      </c>
    </row>
    <row r="40">
      <c r="A40" s="15" t="inlineStr">
        <is>
          <t>9 Jun</t>
        </is>
      </c>
      <c r="B40" s="15" t="inlineStr">
        <is>
          <t>30334</t>
        </is>
      </c>
      <c r="C40" s="16" t="n">
        <v>1</v>
      </c>
      <c r="D40" s="49" t="n">
        <v>93.31999999999999</v>
      </c>
      <c r="E40" s="18" t="n">
        <v>5827</v>
      </c>
      <c r="F40" s="18" t="n">
        <v>5914</v>
      </c>
      <c r="G40" s="19">
        <f>IF(F40=0,0,E40/F40*100)</f>
        <v/>
      </c>
      <c r="H40" s="16" t="n">
        <v>1</v>
      </c>
      <c r="I40" s="16" t="n">
        <v>1</v>
      </c>
      <c r="J40" s="16" t="n">
        <v>0</v>
      </c>
      <c r="K40" s="16" t="n">
        <v>1</v>
      </c>
    </row>
    <row r="41">
      <c r="A41" s="15" t="inlineStr">
        <is>
          <t>9 Jun</t>
        </is>
      </c>
      <c r="B41" s="15" t="inlineStr">
        <is>
          <t>30440</t>
        </is>
      </c>
      <c r="C41" s="16" t="n">
        <v>1</v>
      </c>
      <c r="D41" s="49" t="n">
        <v>93.84</v>
      </c>
      <c r="E41" s="18" t="n">
        <v>4265</v>
      </c>
      <c r="F41" s="18" t="n">
        <v>4815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2</v>
      </c>
    </row>
    <row r="42">
      <c r="A42" s="15" t="inlineStr">
        <is>
          <t>9 Jun</t>
        </is>
      </c>
      <c r="B42" s="15" t="inlineStr">
        <is>
          <t>37566</t>
        </is>
      </c>
      <c r="C42" s="16" t="n">
        <v>1</v>
      </c>
      <c r="D42" s="49" t="n">
        <v>93.84999999999999</v>
      </c>
      <c r="E42" s="18" t="n">
        <v>4420</v>
      </c>
      <c r="F42" s="18" t="n">
        <v>4733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3</v>
      </c>
    </row>
    <row r="43">
      <c r="A43" s="15" t="inlineStr">
        <is>
          <t>9 Jun</t>
        </is>
      </c>
      <c r="B43" s="15" t="inlineStr">
        <is>
          <t>30791</t>
        </is>
      </c>
      <c r="C43" s="16" t="n">
        <v>1</v>
      </c>
      <c r="D43" s="49" t="n">
        <v>93.91</v>
      </c>
      <c r="E43" s="18" t="n">
        <v>4286</v>
      </c>
      <c r="F43" s="18" t="n">
        <v>4720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3</v>
      </c>
    </row>
    <row r="44">
      <c r="A44" s="15" t="inlineStr">
        <is>
          <t>9 Jun</t>
        </is>
      </c>
      <c r="B44" s="15" t="inlineStr">
        <is>
          <t>30733</t>
        </is>
      </c>
      <c r="C44" s="16" t="n">
        <v>1</v>
      </c>
      <c r="D44" s="49" t="n">
        <v>93.87</v>
      </c>
      <c r="E44" s="18" t="n">
        <v>4125</v>
      </c>
      <c r="F44" s="18" t="n">
        <v>4605</v>
      </c>
      <c r="G44" s="19">
        <f>IF(F44=0,0,E44/F44*100)</f>
        <v/>
      </c>
      <c r="H44" s="16" t="n">
        <v>1</v>
      </c>
      <c r="I44" s="16" t="n">
        <v>1</v>
      </c>
      <c r="J44" s="16" t="n">
        <v>0</v>
      </c>
      <c r="K44" s="16" t="n">
        <v>3</v>
      </c>
    </row>
    <row r="45">
      <c r="A45" s="15" t="inlineStr">
        <is>
          <t>9 Jun</t>
        </is>
      </c>
      <c r="B45" s="15" t="inlineStr">
        <is>
          <t>39465</t>
        </is>
      </c>
      <c r="C45" s="16" t="n">
        <v>1</v>
      </c>
      <c r="D45" s="49" t="n">
        <v>93.89</v>
      </c>
      <c r="E45" s="18" t="n">
        <v>3997</v>
      </c>
      <c r="F45" s="18" t="n">
        <v>4493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1</v>
      </c>
    </row>
    <row r="46">
      <c r="A46" s="15" t="inlineStr">
        <is>
          <t>9 Jun</t>
        </is>
      </c>
      <c r="B46" s="15" t="inlineStr">
        <is>
          <t>39028</t>
        </is>
      </c>
      <c r="C46" s="16" t="n">
        <v>1</v>
      </c>
      <c r="D46" s="49" t="n">
        <v>93.86</v>
      </c>
      <c r="E46" s="18" t="n">
        <v>4175</v>
      </c>
      <c r="F46" s="18" t="n">
        <v>4462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2</v>
      </c>
    </row>
    <row r="47">
      <c r="A47" s="15" t="inlineStr">
        <is>
          <t>9 Jun</t>
        </is>
      </c>
      <c r="B47" s="15" t="inlineStr">
        <is>
          <t>39259</t>
        </is>
      </c>
      <c r="C47" s="16" t="n">
        <v>1</v>
      </c>
      <c r="D47" s="49" t="n">
        <v>93.90000000000001</v>
      </c>
      <c r="E47" s="18" t="n">
        <v>3905</v>
      </c>
      <c r="F47" s="18" t="n">
        <v>4395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2</v>
      </c>
    </row>
    <row r="48">
      <c r="A48" s="15" t="inlineStr">
        <is>
          <t>9 Jun</t>
        </is>
      </c>
      <c r="B48" s="15" t="inlineStr">
        <is>
          <t>39150</t>
        </is>
      </c>
      <c r="C48" s="16" t="n">
        <v>1</v>
      </c>
      <c r="D48" s="49" t="n">
        <v>93.90000000000001</v>
      </c>
      <c r="E48" s="18" t="n">
        <v>3863</v>
      </c>
      <c r="F48" s="18" t="n">
        <v>4305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2</v>
      </c>
    </row>
    <row r="49">
      <c r="A49" s="15" t="inlineStr">
        <is>
          <t>9 Jun</t>
        </is>
      </c>
      <c r="B49" s="15" t="inlineStr">
        <is>
          <t>37164</t>
        </is>
      </c>
      <c r="C49" s="16" t="n">
        <v>1</v>
      </c>
      <c r="D49" s="49" t="n">
        <v>93.91</v>
      </c>
      <c r="E49" s="18" t="n">
        <v>3478</v>
      </c>
      <c r="F49" s="18" t="n">
        <v>3835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3</v>
      </c>
    </row>
    <row r="50">
      <c r="A50" s="15" t="inlineStr">
        <is>
          <t>9 Jun</t>
        </is>
      </c>
      <c r="B50" s="15" t="inlineStr">
        <is>
          <t>37948</t>
        </is>
      </c>
      <c r="C50" s="16" t="n">
        <v>1</v>
      </c>
      <c r="D50" s="49" t="n">
        <v>93.89</v>
      </c>
      <c r="E50" s="18" t="n">
        <v>0</v>
      </c>
      <c r="F50" s="18" t="n">
        <v>2706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0</v>
      </c>
    </row>
    <row r="51">
      <c r="A51" s="15" t="inlineStr">
        <is>
          <t>9 Jun</t>
        </is>
      </c>
      <c r="B51" s="15" t="inlineStr">
        <is>
          <t>30757</t>
        </is>
      </c>
      <c r="C51" s="16" t="n">
        <v>0</v>
      </c>
      <c r="D51" s="49" t="n">
        <v>37.21</v>
      </c>
      <c r="E51" s="18" t="n">
        <v>1737</v>
      </c>
      <c r="F51" s="18" t="n">
        <v>1997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1</v>
      </c>
    </row>
    <row r="52">
      <c r="A52" s="15" t="inlineStr">
        <is>
          <t>9 Jun</t>
        </is>
      </c>
      <c r="B52" s="15" t="inlineStr">
        <is>
          <t>39244</t>
        </is>
      </c>
      <c r="C52" s="16" t="n">
        <v>0</v>
      </c>
      <c r="D52" s="49" t="n">
        <v>31.23</v>
      </c>
      <c r="E52" s="18" t="n">
        <v>1624</v>
      </c>
      <c r="F52" s="18" t="n">
        <v>1706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2</v>
      </c>
    </row>
    <row r="53">
      <c r="A53" s="15" t="inlineStr">
        <is>
          <t>9 Jun</t>
        </is>
      </c>
      <c r="B53" s="15" t="inlineStr">
        <is>
          <t>37577</t>
        </is>
      </c>
      <c r="C53" s="16" t="n">
        <v>0</v>
      </c>
      <c r="D53" s="49" t="n">
        <v>41.05</v>
      </c>
      <c r="E53" s="18" t="n">
        <v>1003</v>
      </c>
      <c r="F53" s="18" t="n">
        <v>1440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2</v>
      </c>
    </row>
    <row r="54">
      <c r="A54" s="15" t="inlineStr">
        <is>
          <t>9 Jun</t>
        </is>
      </c>
      <c r="B54" s="15" t="inlineStr">
        <is>
          <t>37505</t>
        </is>
      </c>
      <c r="C54" s="16" t="n">
        <v>0</v>
      </c>
      <c r="D54" s="49" t="n">
        <v>36.74</v>
      </c>
      <c r="E54" s="18" t="n">
        <v>710</v>
      </c>
      <c r="F54" s="18" t="n">
        <v>1090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1</v>
      </c>
    </row>
    <row r="55">
      <c r="A55" s="15" t="inlineStr">
        <is>
          <t>9 Jun</t>
        </is>
      </c>
      <c r="B55" s="15" t="inlineStr">
        <is>
          <t>37019</t>
        </is>
      </c>
      <c r="C55" s="16" t="n">
        <v>0</v>
      </c>
      <c r="D55" s="49" t="n">
        <v>39.49</v>
      </c>
      <c r="E55" s="18" t="n">
        <v>590</v>
      </c>
      <c r="F55" s="18" t="n">
        <v>931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1</v>
      </c>
    </row>
    <row r="56">
      <c r="A56" s="15" t="inlineStr">
        <is>
          <t>9 Jun</t>
        </is>
      </c>
      <c r="B56" s="15" t="inlineStr">
        <is>
          <t>37569</t>
        </is>
      </c>
      <c r="C56" s="16" t="n">
        <v>0</v>
      </c>
      <c r="D56" s="49" t="n">
        <v>39.3</v>
      </c>
      <c r="E56" s="18" t="n">
        <v>524</v>
      </c>
      <c r="F56" s="18" t="n">
        <v>909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1</v>
      </c>
    </row>
    <row r="57">
      <c r="A57" s="15" t="inlineStr">
        <is>
          <t>9 Jun</t>
        </is>
      </c>
      <c r="B57" s="15" t="inlineStr">
        <is>
          <t>37515</t>
        </is>
      </c>
      <c r="C57" s="16" t="n">
        <v>0</v>
      </c>
      <c r="D57" s="49" t="n">
        <v>39.42</v>
      </c>
      <c r="E57" s="18" t="n">
        <v>528</v>
      </c>
      <c r="F57" s="18" t="n">
        <v>908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1</v>
      </c>
    </row>
    <row r="58">
      <c r="A58" s="15" t="inlineStr">
        <is>
          <t>9 Jun</t>
        </is>
      </c>
      <c r="B58" s="15" t="inlineStr">
        <is>
          <t>39466</t>
        </is>
      </c>
      <c r="C58" s="16" t="n">
        <v>0</v>
      </c>
      <c r="D58" s="49" t="n">
        <v>30.27</v>
      </c>
      <c r="E58" s="18" t="n">
        <v>427</v>
      </c>
      <c r="F58" s="18" t="n">
        <v>846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1</v>
      </c>
    </row>
    <row r="59">
      <c r="A59" s="15" t="inlineStr">
        <is>
          <t>9 Jun</t>
        </is>
      </c>
      <c r="B59" s="15" t="inlineStr">
        <is>
          <t>37383</t>
        </is>
      </c>
      <c r="C59" s="16" t="n">
        <v>0</v>
      </c>
      <c r="D59" s="49" t="n">
        <v>38.27</v>
      </c>
      <c r="E59" s="18" t="n">
        <v>632</v>
      </c>
      <c r="F59" s="18" t="n">
        <v>801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1</v>
      </c>
    </row>
    <row r="60">
      <c r="A60" s="15" t="inlineStr">
        <is>
          <t>9 Jun</t>
        </is>
      </c>
      <c r="B60" s="15" t="inlineStr">
        <is>
          <t>39243</t>
        </is>
      </c>
      <c r="C60" s="16" t="n">
        <v>0</v>
      </c>
      <c r="D60" s="49" t="n">
        <v>51.9</v>
      </c>
      <c r="E60" s="18" t="n">
        <v>567</v>
      </c>
      <c r="F60" s="18" t="n">
        <v>762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1</v>
      </c>
    </row>
    <row r="61">
      <c r="A61" s="15" t="inlineStr">
        <is>
          <t>9 Jun</t>
        </is>
      </c>
      <c r="B61" s="15" t="inlineStr">
        <is>
          <t>37955</t>
        </is>
      </c>
      <c r="C61" s="16" t="n">
        <v>0</v>
      </c>
      <c r="D61" s="49" t="n">
        <v>33.78</v>
      </c>
      <c r="E61" s="18" t="n">
        <v>406</v>
      </c>
      <c r="F61" s="18" t="n">
        <v>725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1</v>
      </c>
    </row>
    <row r="62">
      <c r="A62" s="15" t="inlineStr">
        <is>
          <t>9 Jun</t>
        </is>
      </c>
      <c r="B62" s="15" t="inlineStr">
        <is>
          <t>30823</t>
        </is>
      </c>
      <c r="C62" s="16" t="n">
        <v>0</v>
      </c>
      <c r="D62" s="49" t="n">
        <v>3.4</v>
      </c>
      <c r="E62" s="18" t="n">
        <v>720</v>
      </c>
      <c r="F62" s="18" t="n">
        <v>724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0</v>
      </c>
    </row>
    <row r="63">
      <c r="A63" s="15" t="inlineStr">
        <is>
          <t>9 Jun</t>
        </is>
      </c>
      <c r="B63" s="15" t="inlineStr">
        <is>
          <t>41696</t>
        </is>
      </c>
      <c r="C63" s="16" t="n">
        <v>0</v>
      </c>
      <c r="D63" s="49" t="n">
        <v>36.56</v>
      </c>
      <c r="E63" s="18" t="n">
        <v>247</v>
      </c>
      <c r="F63" s="18" t="n">
        <v>478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1</v>
      </c>
    </row>
    <row r="64">
      <c r="A64" s="20" t="inlineStr">
        <is>
          <t>9 Jun</t>
        </is>
      </c>
      <c r="B64" s="20" t="inlineStr">
        <is>
          <t>Day Total</t>
        </is>
      </c>
      <c r="C64" s="21">
        <f>SUM(C35:C63)</f>
        <v/>
      </c>
      <c r="D64" s="50">
        <f>SUM(D35:D63)</f>
        <v/>
      </c>
      <c r="E64" s="23">
        <f>SUM(E35:E63)</f>
        <v/>
      </c>
      <c r="F64" s="23">
        <f>SUMIF(E35:E63,"&gt;0",F35:F63)</f>
        <v/>
      </c>
      <c r="G64" s="24">
        <f>IF(F64=0,0,E64/F64*100)</f>
        <v/>
      </c>
      <c r="H64" s="21">
        <f>SUM(H35:H63)</f>
        <v/>
      </c>
      <c r="I64" s="21">
        <f>SUM(I35:I63)</f>
        <v/>
      </c>
      <c r="J64" s="21">
        <f>SUM(J35:J63)</f>
        <v/>
      </c>
      <c r="K64" s="21">
        <f>SUM(K35:K63)</f>
        <v/>
      </c>
    </row>
    <row r="65">
      <c r="A65" s="15" t="inlineStr">
        <is>
          <t>10 Jun</t>
        </is>
      </c>
      <c r="B65" s="15" t="inlineStr">
        <is>
          <t>37398</t>
        </is>
      </c>
      <c r="C65" s="16" t="n">
        <v>2</v>
      </c>
      <c r="D65" s="49" t="n">
        <v>93.31</v>
      </c>
      <c r="E65" s="18" t="n">
        <v>10704</v>
      </c>
      <c r="F65" s="18" t="n">
        <v>11119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4</v>
      </c>
    </row>
    <row r="66">
      <c r="A66" s="15" t="inlineStr">
        <is>
          <t>10 Jun</t>
        </is>
      </c>
      <c r="B66" s="15" t="inlineStr">
        <is>
          <t>30823</t>
        </is>
      </c>
      <c r="C66" s="16" t="n">
        <v>2</v>
      </c>
      <c r="D66" s="49" t="n">
        <v>93.88</v>
      </c>
      <c r="E66" s="18" t="n">
        <v>7933</v>
      </c>
      <c r="F66" s="18" t="n">
        <v>8505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6</v>
      </c>
    </row>
    <row r="67">
      <c r="A67" s="15" t="inlineStr">
        <is>
          <t>10 Jun</t>
        </is>
      </c>
      <c r="B67" s="15" t="inlineStr">
        <is>
          <t>30635</t>
        </is>
      </c>
      <c r="C67" s="16" t="n">
        <v>2</v>
      </c>
      <c r="D67" s="49" t="n">
        <v>93.91</v>
      </c>
      <c r="E67" s="18" t="n">
        <v>7772</v>
      </c>
      <c r="F67" s="18" t="n">
        <v>8286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5</v>
      </c>
    </row>
    <row r="68">
      <c r="A68" s="15" t="inlineStr">
        <is>
          <t>10 Jun</t>
        </is>
      </c>
      <c r="B68" s="15" t="inlineStr">
        <is>
          <t>37947</t>
        </is>
      </c>
      <c r="C68" s="16" t="n">
        <v>2</v>
      </c>
      <c r="D68" s="49" t="n">
        <v>93.91</v>
      </c>
      <c r="E68" s="18" t="n">
        <v>6349</v>
      </c>
      <c r="F68" s="18" t="n">
        <v>7045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7</v>
      </c>
    </row>
    <row r="69">
      <c r="A69" s="15" t="inlineStr">
        <is>
          <t>10 Jun</t>
        </is>
      </c>
      <c r="B69" s="15" t="inlineStr">
        <is>
          <t>37569</t>
        </is>
      </c>
      <c r="C69" s="16" t="n">
        <v>1</v>
      </c>
      <c r="D69" s="49" t="n">
        <v>93.90000000000001</v>
      </c>
      <c r="E69" s="18" t="n">
        <v>7275</v>
      </c>
      <c r="F69" s="18" t="n">
        <v>7645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4</v>
      </c>
    </row>
    <row r="70">
      <c r="A70" s="15" t="inlineStr">
        <is>
          <t>10 Jun</t>
        </is>
      </c>
      <c r="B70" s="15" t="inlineStr">
        <is>
          <t>37086</t>
        </is>
      </c>
      <c r="C70" s="16" t="n">
        <v>1</v>
      </c>
      <c r="D70" s="49" t="n">
        <v>93.31999999999999</v>
      </c>
      <c r="E70" s="18" t="n">
        <v>6033</v>
      </c>
      <c r="F70" s="18" t="n">
        <v>6367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2</v>
      </c>
    </row>
    <row r="71">
      <c r="A71" s="15" t="inlineStr">
        <is>
          <t>10 Jun</t>
        </is>
      </c>
      <c r="B71" s="15" t="inlineStr">
        <is>
          <t>39131</t>
        </is>
      </c>
      <c r="C71" s="16" t="n">
        <v>1</v>
      </c>
      <c r="D71" s="49" t="n">
        <v>93.91</v>
      </c>
      <c r="E71" s="18" t="n">
        <v>5703</v>
      </c>
      <c r="F71" s="18" t="n">
        <v>6140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4</v>
      </c>
    </row>
    <row r="72">
      <c r="A72" s="15" t="inlineStr">
        <is>
          <t>10 Jun</t>
        </is>
      </c>
      <c r="B72" s="15" t="inlineStr">
        <is>
          <t>37163</t>
        </is>
      </c>
      <c r="C72" s="16" t="n">
        <v>1</v>
      </c>
      <c r="D72" s="49" t="n">
        <v>93.88</v>
      </c>
      <c r="E72" s="18" t="n">
        <v>5432</v>
      </c>
      <c r="F72" s="18" t="n">
        <v>5674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3</v>
      </c>
    </row>
    <row r="73">
      <c r="A73" s="15" t="inlineStr">
        <is>
          <t>10 Jun</t>
        </is>
      </c>
      <c r="B73" s="15" t="inlineStr">
        <is>
          <t>30080</t>
        </is>
      </c>
      <c r="C73" s="16" t="n">
        <v>1</v>
      </c>
      <c r="D73" s="49" t="n">
        <v>93.90000000000001</v>
      </c>
      <c r="E73" s="18" t="n">
        <v>4943</v>
      </c>
      <c r="F73" s="18" t="n">
        <v>5469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3</v>
      </c>
    </row>
    <row r="74">
      <c r="A74" s="15" t="inlineStr">
        <is>
          <t>10 Jun</t>
        </is>
      </c>
      <c r="B74" s="15" t="inlineStr">
        <is>
          <t>39259</t>
        </is>
      </c>
      <c r="C74" s="16" t="n">
        <v>1</v>
      </c>
      <c r="D74" s="49" t="n">
        <v>91.69</v>
      </c>
      <c r="E74" s="18" t="n">
        <v>5294</v>
      </c>
      <c r="F74" s="18" t="n">
        <v>5413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2</v>
      </c>
    </row>
    <row r="75">
      <c r="A75" s="15" t="inlineStr">
        <is>
          <t>10 Jun</t>
        </is>
      </c>
      <c r="B75" s="15" t="inlineStr">
        <is>
          <t>37627</t>
        </is>
      </c>
      <c r="C75" s="16" t="n">
        <v>1</v>
      </c>
      <c r="D75" s="49" t="n">
        <v>93.31999999999999</v>
      </c>
      <c r="E75" s="18" t="n">
        <v>5293</v>
      </c>
      <c r="F75" s="18" t="n">
        <v>5393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2</v>
      </c>
    </row>
    <row r="76">
      <c r="A76" s="15" t="inlineStr">
        <is>
          <t>10 Jun</t>
        </is>
      </c>
      <c r="B76" s="15" t="inlineStr">
        <is>
          <t>37074</t>
        </is>
      </c>
      <c r="C76" s="16" t="n">
        <v>1</v>
      </c>
      <c r="D76" s="49" t="n">
        <v>93.31</v>
      </c>
      <c r="E76" s="18" t="n">
        <v>4883</v>
      </c>
      <c r="F76" s="18" t="n">
        <v>5052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1</v>
      </c>
    </row>
    <row r="77">
      <c r="A77" s="15" t="inlineStr">
        <is>
          <t>10 Jun</t>
        </is>
      </c>
      <c r="B77" s="15" t="inlineStr">
        <is>
          <t>39029</t>
        </is>
      </c>
      <c r="C77" s="16" t="n">
        <v>1</v>
      </c>
      <c r="D77" s="49" t="n">
        <v>93.90000000000001</v>
      </c>
      <c r="E77" s="18" t="n">
        <v>4644</v>
      </c>
      <c r="F77" s="18" t="n">
        <v>4828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3</v>
      </c>
    </row>
    <row r="78">
      <c r="A78" s="15" t="inlineStr">
        <is>
          <t>10 Jun</t>
        </is>
      </c>
      <c r="B78" s="15" t="inlineStr">
        <is>
          <t>37164</t>
        </is>
      </c>
      <c r="C78" s="16" t="n">
        <v>1</v>
      </c>
      <c r="D78" s="49" t="n">
        <v>93.90000000000001</v>
      </c>
      <c r="E78" s="18" t="n">
        <v>4362</v>
      </c>
      <c r="F78" s="18" t="n">
        <v>4819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2</v>
      </c>
    </row>
    <row r="79">
      <c r="A79" s="15" t="inlineStr">
        <is>
          <t>10 Jun</t>
        </is>
      </c>
      <c r="B79" s="15" t="inlineStr">
        <is>
          <t>37287</t>
        </is>
      </c>
      <c r="C79" s="16" t="n">
        <v>1</v>
      </c>
      <c r="D79" s="49" t="n">
        <v>93.84999999999999</v>
      </c>
      <c r="E79" s="18" t="n">
        <v>4403</v>
      </c>
      <c r="F79" s="18" t="n">
        <v>4672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4</v>
      </c>
    </row>
    <row r="80">
      <c r="A80" s="15" t="inlineStr">
        <is>
          <t>10 Jun</t>
        </is>
      </c>
      <c r="B80" s="15" t="inlineStr">
        <is>
          <t>45027</t>
        </is>
      </c>
      <c r="C80" s="16" t="n">
        <v>1</v>
      </c>
      <c r="D80" s="49" t="n">
        <v>93.90000000000001</v>
      </c>
      <c r="E80" s="18" t="n">
        <v>4365</v>
      </c>
      <c r="F80" s="18" t="n">
        <v>4654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3</v>
      </c>
    </row>
    <row r="81">
      <c r="A81" s="15" t="inlineStr">
        <is>
          <t>10 Jun</t>
        </is>
      </c>
      <c r="B81" s="15" t="inlineStr">
        <is>
          <t>37566</t>
        </is>
      </c>
      <c r="C81" s="16" t="n">
        <v>1</v>
      </c>
      <c r="D81" s="49" t="n">
        <v>93.90000000000001</v>
      </c>
      <c r="E81" s="18" t="n">
        <v>3927</v>
      </c>
      <c r="F81" s="18" t="n">
        <v>4296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2</v>
      </c>
    </row>
    <row r="82">
      <c r="A82" s="15" t="inlineStr">
        <is>
          <t>10 Jun</t>
        </is>
      </c>
      <c r="B82" s="15" t="inlineStr">
        <is>
          <t>30829</t>
        </is>
      </c>
      <c r="C82" s="16" t="n">
        <v>1</v>
      </c>
      <c r="D82" s="49" t="n">
        <v>93.87</v>
      </c>
      <c r="E82" s="18" t="n">
        <v>3652</v>
      </c>
      <c r="F82" s="18" t="n">
        <v>4274</v>
      </c>
      <c r="G82" s="19">
        <f>IF(F82=0,0,E82/F82*100)</f>
        <v/>
      </c>
      <c r="H82" s="16" t="n">
        <v>2</v>
      </c>
      <c r="I82" s="16" t="n">
        <v>2</v>
      </c>
      <c r="J82" s="16" t="n">
        <v>0</v>
      </c>
      <c r="K82" s="16" t="n">
        <v>9</v>
      </c>
    </row>
    <row r="83">
      <c r="A83" s="15" t="inlineStr">
        <is>
          <t>10 Jun</t>
        </is>
      </c>
      <c r="B83" s="15" t="inlineStr">
        <is>
          <t>30757</t>
        </is>
      </c>
      <c r="C83" s="16" t="n">
        <v>1</v>
      </c>
      <c r="D83" s="49" t="n">
        <v>93.90000000000001</v>
      </c>
      <c r="E83" s="18" t="n">
        <v>3572</v>
      </c>
      <c r="F83" s="18" t="n">
        <v>3757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2</v>
      </c>
    </row>
    <row r="84">
      <c r="A84" s="15" t="inlineStr">
        <is>
          <t>10 Jun</t>
        </is>
      </c>
      <c r="B84" s="15" t="inlineStr">
        <is>
          <t>39244</t>
        </is>
      </c>
      <c r="C84" s="16" t="n">
        <v>0</v>
      </c>
      <c r="D84" s="49" t="n">
        <v>62.05</v>
      </c>
      <c r="E84" s="18" t="n">
        <v>3859</v>
      </c>
      <c r="F84" s="18" t="n">
        <v>3860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1</v>
      </c>
    </row>
    <row r="85">
      <c r="A85" s="15" t="inlineStr">
        <is>
          <t>10 Jun</t>
        </is>
      </c>
      <c r="B85" s="15" t="inlineStr">
        <is>
          <t>37505</t>
        </is>
      </c>
      <c r="C85" s="16" t="n">
        <v>0</v>
      </c>
      <c r="D85" s="49" t="n">
        <v>38.41</v>
      </c>
      <c r="E85" s="18" t="n">
        <v>1669</v>
      </c>
      <c r="F85" s="18" t="n">
        <v>3284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2</v>
      </c>
    </row>
    <row r="86">
      <c r="A86" s="15" t="inlineStr">
        <is>
          <t>10 Jun</t>
        </is>
      </c>
      <c r="B86" s="15" t="inlineStr">
        <is>
          <t>37493</t>
        </is>
      </c>
      <c r="C86" s="16" t="n">
        <v>0</v>
      </c>
      <c r="D86" s="49" t="n">
        <v>53.34</v>
      </c>
      <c r="E86" s="18" t="n">
        <v>1063</v>
      </c>
      <c r="F86" s="18" t="n">
        <v>1503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2</v>
      </c>
    </row>
    <row r="87">
      <c r="A87" s="15" t="inlineStr">
        <is>
          <t>10 Jun</t>
        </is>
      </c>
      <c r="B87" s="15" t="inlineStr">
        <is>
          <t>37507</t>
        </is>
      </c>
      <c r="C87" s="16" t="n">
        <v>0</v>
      </c>
      <c r="D87" s="49" t="n">
        <v>36.83</v>
      </c>
      <c r="E87" s="18" t="n">
        <v>681</v>
      </c>
      <c r="F87" s="18" t="n">
        <v>1369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1</v>
      </c>
    </row>
    <row r="88">
      <c r="A88" s="15" t="inlineStr">
        <is>
          <t>10 Jun</t>
        </is>
      </c>
      <c r="B88" s="15" t="inlineStr">
        <is>
          <t>37830</t>
        </is>
      </c>
      <c r="C88" s="16" t="n">
        <v>0</v>
      </c>
      <c r="D88" s="49" t="n">
        <v>32.24</v>
      </c>
      <c r="E88" s="18" t="n">
        <v>1125</v>
      </c>
      <c r="F88" s="18" t="n">
        <v>1266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1</v>
      </c>
    </row>
    <row r="89">
      <c r="A89" s="15" t="inlineStr">
        <is>
          <t>10 Jun</t>
        </is>
      </c>
      <c r="B89" s="15" t="inlineStr">
        <is>
          <t>37934</t>
        </is>
      </c>
      <c r="C89" s="16" t="n">
        <v>0</v>
      </c>
      <c r="D89" s="49" t="n">
        <v>22.13</v>
      </c>
      <c r="E89" s="18" t="n">
        <v>1042</v>
      </c>
      <c r="F89" s="18" t="n">
        <v>1149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2</v>
      </c>
    </row>
    <row r="90">
      <c r="A90" s="15" t="inlineStr">
        <is>
          <t>10 Jun</t>
        </is>
      </c>
      <c r="B90" s="15" t="inlineStr">
        <is>
          <t>39243</t>
        </is>
      </c>
      <c r="C90" s="16" t="n">
        <v>0</v>
      </c>
      <c r="D90" s="49" t="n">
        <v>36.89</v>
      </c>
      <c r="E90" s="18" t="n">
        <v>686</v>
      </c>
      <c r="F90" s="18" t="n">
        <v>1137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1</v>
      </c>
    </row>
    <row r="91">
      <c r="A91" s="15" t="inlineStr">
        <is>
          <t>10 Jun</t>
        </is>
      </c>
      <c r="B91" s="15" t="inlineStr">
        <is>
          <t>37853</t>
        </is>
      </c>
      <c r="C91" s="16" t="n">
        <v>0</v>
      </c>
      <c r="D91" s="49" t="n">
        <v>41.57</v>
      </c>
      <c r="E91" s="18" t="n">
        <v>862</v>
      </c>
      <c r="F91" s="18" t="n">
        <v>1094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1</v>
      </c>
    </row>
    <row r="92">
      <c r="A92" s="15" t="inlineStr">
        <is>
          <t>10 Jun</t>
        </is>
      </c>
      <c r="B92" s="15" t="inlineStr">
        <is>
          <t>30435</t>
        </is>
      </c>
      <c r="C92" s="16" t="n">
        <v>0</v>
      </c>
      <c r="D92" s="49" t="n">
        <v>36.61</v>
      </c>
      <c r="E92" s="18" t="n">
        <v>640</v>
      </c>
      <c r="F92" s="18" t="n">
        <v>1037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1</v>
      </c>
    </row>
    <row r="93">
      <c r="A93" s="15" t="inlineStr">
        <is>
          <t>10 Jun</t>
        </is>
      </c>
      <c r="B93" s="15" t="inlineStr">
        <is>
          <t>37424</t>
        </is>
      </c>
      <c r="C93" s="16" t="n">
        <v>0</v>
      </c>
      <c r="D93" s="49" t="n">
        <v>38.24</v>
      </c>
      <c r="E93" s="18" t="n">
        <v>605</v>
      </c>
      <c r="F93" s="18" t="n">
        <v>864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1</v>
      </c>
    </row>
    <row r="94">
      <c r="A94" s="15" t="inlineStr">
        <is>
          <t>10 Jun</t>
        </is>
      </c>
      <c r="B94" s="15" t="inlineStr">
        <is>
          <t>43441</t>
        </is>
      </c>
      <c r="C94" s="16" t="n">
        <v>0</v>
      </c>
      <c r="D94" s="49" t="n">
        <v>0.24</v>
      </c>
      <c r="E94" s="18" t="n">
        <v>278</v>
      </c>
      <c r="F94" s="18" t="n">
        <v>772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3</v>
      </c>
    </row>
    <row r="95">
      <c r="A95" s="15" t="inlineStr">
        <is>
          <t>10 Jun</t>
        </is>
      </c>
      <c r="B95" s="15" t="inlineStr">
        <is>
          <t>37019</t>
        </is>
      </c>
      <c r="C95" s="16" t="n">
        <v>0</v>
      </c>
      <c r="D95" s="49" t="n">
        <v>40.43</v>
      </c>
      <c r="E95" s="18" t="n">
        <v>382</v>
      </c>
      <c r="F95" s="18" t="n">
        <v>755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1</v>
      </c>
    </row>
    <row r="96">
      <c r="A96" s="15" t="inlineStr">
        <is>
          <t>10 Jun</t>
        </is>
      </c>
      <c r="B96" s="15" t="inlineStr">
        <is>
          <t>39014</t>
        </is>
      </c>
      <c r="C96" s="16" t="n">
        <v>0</v>
      </c>
      <c r="D96" s="49" t="n">
        <v>36.55</v>
      </c>
      <c r="E96" s="18" t="n">
        <v>503</v>
      </c>
      <c r="F96" s="18" t="n">
        <v>724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1</v>
      </c>
    </row>
    <row r="97">
      <c r="A97" s="15" t="inlineStr">
        <is>
          <t>10 Jun</t>
        </is>
      </c>
      <c r="B97" s="15" t="inlineStr">
        <is>
          <t>37286</t>
        </is>
      </c>
      <c r="C97" s="16" t="n">
        <v>0</v>
      </c>
      <c r="D97" s="49" t="n">
        <v>33.72</v>
      </c>
      <c r="E97" s="18" t="n">
        <v>417</v>
      </c>
      <c r="F97" s="18" t="n">
        <v>652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1</v>
      </c>
    </row>
    <row r="98">
      <c r="A98" s="15" t="inlineStr">
        <is>
          <t>10 Jun</t>
        </is>
      </c>
      <c r="B98" s="15" t="inlineStr">
        <is>
          <t>39308</t>
        </is>
      </c>
      <c r="C98" s="16" t="n">
        <v>0</v>
      </c>
      <c r="D98" s="49" t="n">
        <v>1.97</v>
      </c>
      <c r="E98" s="18" t="n">
        <v>6</v>
      </c>
      <c r="F98" s="18" t="n">
        <v>589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0</v>
      </c>
    </row>
    <row r="99">
      <c r="A99" s="20" t="inlineStr">
        <is>
          <t>10 Jun</t>
        </is>
      </c>
      <c r="B99" s="20" t="inlineStr">
        <is>
          <t>Day Total</t>
        </is>
      </c>
      <c r="C99" s="21">
        <f>SUM(C65:C98)</f>
        <v/>
      </c>
      <c r="D99" s="50">
        <f>SUM(D65:D98)</f>
        <v/>
      </c>
      <c r="E99" s="23">
        <f>SUM(E65:E98)</f>
        <v/>
      </c>
      <c r="F99" s="23">
        <f>SUMIF(E65:E98,"&gt;0",F65:F98)</f>
        <v/>
      </c>
      <c r="G99" s="24">
        <f>IF(F99=0,0,E99/F99*100)</f>
        <v/>
      </c>
      <c r="H99" s="21">
        <f>SUM(H65:H98)</f>
        <v/>
      </c>
      <c r="I99" s="21">
        <f>SUM(I65:I98)</f>
        <v/>
      </c>
      <c r="J99" s="21">
        <f>SUM(J65:J98)</f>
        <v/>
      </c>
      <c r="K99" s="21">
        <f>SUM(K65:K98)</f>
        <v/>
      </c>
    </row>
    <row r="100">
      <c r="A100" s="15" t="inlineStr">
        <is>
          <t>11 Jun</t>
        </is>
      </c>
      <c r="B100" s="15" t="inlineStr">
        <is>
          <t>39027</t>
        </is>
      </c>
      <c r="C100" s="16" t="n">
        <v>2</v>
      </c>
      <c r="D100" s="49" t="n">
        <v>93.90000000000001</v>
      </c>
      <c r="E100" s="18" t="n">
        <v>7795</v>
      </c>
      <c r="F100" s="18" t="n">
        <v>8187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5</v>
      </c>
    </row>
    <row r="101">
      <c r="A101" s="15" t="inlineStr">
        <is>
          <t>11 Jun</t>
        </is>
      </c>
      <c r="B101" s="15" t="inlineStr">
        <is>
          <t>37830</t>
        </is>
      </c>
      <c r="C101" s="16" t="n">
        <v>1</v>
      </c>
      <c r="D101" s="49" t="n">
        <v>93.91</v>
      </c>
      <c r="E101" s="18" t="n">
        <v>7548</v>
      </c>
      <c r="F101" s="18" t="n">
        <v>8060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4</v>
      </c>
    </row>
    <row r="102">
      <c r="A102" s="15" t="inlineStr">
        <is>
          <t>11 Jun</t>
        </is>
      </c>
      <c r="B102" s="15" t="inlineStr">
        <is>
          <t>37424</t>
        </is>
      </c>
      <c r="C102" s="16" t="n">
        <v>1</v>
      </c>
      <c r="D102" s="49" t="n">
        <v>93.88</v>
      </c>
      <c r="E102" s="18" t="n">
        <v>6749</v>
      </c>
      <c r="F102" s="18" t="n">
        <v>6995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4</v>
      </c>
    </row>
    <row r="103">
      <c r="A103" s="15" t="inlineStr">
        <is>
          <t>11 Jun</t>
        </is>
      </c>
      <c r="B103" s="15" t="inlineStr">
        <is>
          <t>30046</t>
        </is>
      </c>
      <c r="C103" s="16" t="n">
        <v>1</v>
      </c>
      <c r="D103" s="49" t="n">
        <v>93.90000000000001</v>
      </c>
      <c r="E103" s="18" t="n">
        <v>4763</v>
      </c>
      <c r="F103" s="18" t="n">
        <v>5113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3</v>
      </c>
    </row>
    <row r="104">
      <c r="A104" s="15" t="inlineStr">
        <is>
          <t>11 Jun</t>
        </is>
      </c>
      <c r="B104" s="15" t="inlineStr">
        <is>
          <t>39029</t>
        </is>
      </c>
      <c r="C104" s="16" t="n">
        <v>1</v>
      </c>
      <c r="D104" s="49" t="n">
        <v>93.91</v>
      </c>
      <c r="E104" s="18" t="n">
        <v>4558</v>
      </c>
      <c r="F104" s="18" t="n">
        <v>4847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2</v>
      </c>
    </row>
    <row r="105">
      <c r="A105" s="15" t="inlineStr">
        <is>
          <t>11 Jun</t>
        </is>
      </c>
      <c r="B105" s="15" t="inlineStr">
        <is>
          <t>37947</t>
        </is>
      </c>
      <c r="C105" s="16" t="n">
        <v>1</v>
      </c>
      <c r="D105" s="49" t="n">
        <v>93.90000000000001</v>
      </c>
      <c r="E105" s="18" t="n">
        <v>4443</v>
      </c>
      <c r="F105" s="18" t="n">
        <v>4602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2</v>
      </c>
    </row>
    <row r="106">
      <c r="A106" s="15" t="inlineStr">
        <is>
          <t>11 Jun</t>
        </is>
      </c>
      <c r="B106" s="15" t="inlineStr">
        <is>
          <t>30791</t>
        </is>
      </c>
      <c r="C106" s="16" t="n">
        <v>1</v>
      </c>
      <c r="D106" s="49" t="n">
        <v>93.81</v>
      </c>
      <c r="E106" s="18" t="n">
        <v>4374</v>
      </c>
      <c r="F106" s="18" t="n">
        <v>4554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3</v>
      </c>
    </row>
    <row r="107">
      <c r="A107" s="15" t="inlineStr">
        <is>
          <t>11 Jun</t>
        </is>
      </c>
      <c r="B107" s="15" t="inlineStr">
        <is>
          <t>30470</t>
        </is>
      </c>
      <c r="C107" s="16" t="n">
        <v>1</v>
      </c>
      <c r="D107" s="49" t="n">
        <v>93.88</v>
      </c>
      <c r="E107" s="18" t="n">
        <v>4211</v>
      </c>
      <c r="F107" s="18" t="n">
        <v>4384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2</v>
      </c>
    </row>
    <row r="108">
      <c r="A108" s="15" t="inlineStr">
        <is>
          <t>11 Jun</t>
        </is>
      </c>
      <c r="B108" s="15" t="inlineStr">
        <is>
          <t>37956</t>
        </is>
      </c>
      <c r="C108" s="16" t="n">
        <v>1</v>
      </c>
      <c r="D108" s="49" t="n">
        <v>93.83</v>
      </c>
      <c r="E108" s="18" t="n">
        <v>3653</v>
      </c>
      <c r="F108" s="18" t="n">
        <v>3969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2</v>
      </c>
    </row>
    <row r="109">
      <c r="A109" s="15" t="inlineStr">
        <is>
          <t>11 Jun</t>
        </is>
      </c>
      <c r="B109" s="15" t="inlineStr">
        <is>
          <t>39131</t>
        </is>
      </c>
      <c r="C109" s="16" t="n">
        <v>1</v>
      </c>
      <c r="D109" s="49" t="n">
        <v>93.90000000000001</v>
      </c>
      <c r="E109" s="18" t="n">
        <v>3829</v>
      </c>
      <c r="F109" s="18" t="n">
        <v>3947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1</v>
      </c>
    </row>
    <row r="110">
      <c r="A110" s="15" t="inlineStr">
        <is>
          <t>11 Jun</t>
        </is>
      </c>
      <c r="B110" s="15" t="inlineStr">
        <is>
          <t>37287</t>
        </is>
      </c>
      <c r="C110" s="16" t="n">
        <v>1</v>
      </c>
      <c r="D110" s="49" t="n">
        <v>93.87</v>
      </c>
      <c r="E110" s="18" t="n">
        <v>3628</v>
      </c>
      <c r="F110" s="18" t="n">
        <v>3819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3</v>
      </c>
    </row>
    <row r="111">
      <c r="A111" s="15" t="inlineStr">
        <is>
          <t>11 Jun</t>
        </is>
      </c>
      <c r="B111" s="15" t="inlineStr">
        <is>
          <t>37163</t>
        </is>
      </c>
      <c r="C111" s="16" t="n">
        <v>1</v>
      </c>
      <c r="D111" s="49" t="n">
        <v>93.90000000000001</v>
      </c>
      <c r="E111" s="18" t="n">
        <v>3588</v>
      </c>
      <c r="F111" s="18" t="n">
        <v>3804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2</v>
      </c>
    </row>
    <row r="112">
      <c r="A112" s="15" t="inlineStr">
        <is>
          <t>11 Jun</t>
        </is>
      </c>
      <c r="B112" s="15" t="inlineStr">
        <is>
          <t>45026</t>
        </is>
      </c>
      <c r="C112" s="16" t="n">
        <v>1</v>
      </c>
      <c r="D112" s="49" t="n">
        <v>93.81999999999999</v>
      </c>
      <c r="E112" s="18" t="n">
        <v>3525</v>
      </c>
      <c r="F112" s="18" t="n">
        <v>3685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2</v>
      </c>
    </row>
    <row r="113">
      <c r="A113" s="15" t="inlineStr">
        <is>
          <t>11 Jun</t>
        </is>
      </c>
      <c r="B113" s="15" t="inlineStr">
        <is>
          <t>30090</t>
        </is>
      </c>
      <c r="C113" s="16" t="n">
        <v>1</v>
      </c>
      <c r="D113" s="49" t="n">
        <v>93.88</v>
      </c>
      <c r="E113" s="18" t="n">
        <v>3412</v>
      </c>
      <c r="F113" s="18" t="n">
        <v>3664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3</v>
      </c>
    </row>
    <row r="114">
      <c r="A114" s="15" t="inlineStr">
        <is>
          <t>11 Jun</t>
        </is>
      </c>
      <c r="B114" s="15" t="inlineStr">
        <is>
          <t>37507</t>
        </is>
      </c>
      <c r="C114" s="16" t="n">
        <v>1</v>
      </c>
      <c r="D114" s="49" t="n">
        <v>93.86</v>
      </c>
      <c r="E114" s="18" t="n">
        <v>2000</v>
      </c>
      <c r="F114" s="18" t="n">
        <v>2107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1</v>
      </c>
    </row>
    <row r="115">
      <c r="A115" s="15" t="inlineStr">
        <is>
          <t>11 Jun</t>
        </is>
      </c>
      <c r="B115" s="15" t="inlineStr">
        <is>
          <t>37569</t>
        </is>
      </c>
      <c r="C115" s="16" t="n">
        <v>0</v>
      </c>
      <c r="D115" s="49" t="n">
        <v>52.34</v>
      </c>
      <c r="E115" s="18" t="n">
        <v>3909</v>
      </c>
      <c r="F115" s="18" t="n">
        <v>3910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0</v>
      </c>
    </row>
    <row r="116">
      <c r="A116" s="15" t="inlineStr">
        <is>
          <t>11 Jun</t>
        </is>
      </c>
      <c r="B116" s="15" t="inlineStr">
        <is>
          <t>39307</t>
        </is>
      </c>
      <c r="C116" s="16" t="n">
        <v>0</v>
      </c>
      <c r="D116" s="49" t="n">
        <v>62.8</v>
      </c>
      <c r="E116" s="18" t="n">
        <v>2994</v>
      </c>
      <c r="F116" s="18" t="n">
        <v>3139</v>
      </c>
      <c r="G116" s="19">
        <f>IF(F116=0,0,E116/F116*100)</f>
        <v/>
      </c>
      <c r="H116" s="16" t="n">
        <v>1</v>
      </c>
      <c r="I116" s="16" t="n">
        <v>0</v>
      </c>
      <c r="J116" s="16" t="n">
        <v>1</v>
      </c>
      <c r="K116" s="16" t="n">
        <v>3</v>
      </c>
    </row>
    <row r="117">
      <c r="A117" s="15" t="inlineStr">
        <is>
          <t>11 Jun</t>
        </is>
      </c>
      <c r="B117" s="15" t="inlineStr">
        <is>
          <t>39308</t>
        </is>
      </c>
      <c r="C117" s="16" t="n">
        <v>0</v>
      </c>
      <c r="D117" s="49" t="n">
        <v>37.82</v>
      </c>
      <c r="E117" s="18" t="n">
        <v>2392</v>
      </c>
      <c r="F117" s="18" t="n">
        <v>2823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1</v>
      </c>
    </row>
    <row r="118">
      <c r="A118" s="15" t="inlineStr">
        <is>
          <t>11 Jun</t>
        </is>
      </c>
      <c r="B118" s="15" t="inlineStr">
        <is>
          <t>39328</t>
        </is>
      </c>
      <c r="C118" s="16" t="n">
        <v>0</v>
      </c>
      <c r="D118" s="49" t="n">
        <v>51.93</v>
      </c>
      <c r="E118" s="18" t="n">
        <v>1363</v>
      </c>
      <c r="F118" s="18" t="n">
        <v>2332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1</v>
      </c>
    </row>
    <row r="119">
      <c r="A119" s="15" t="inlineStr">
        <is>
          <t>11 Jun</t>
        </is>
      </c>
      <c r="B119" s="15" t="inlineStr">
        <is>
          <t>39243</t>
        </is>
      </c>
      <c r="C119" s="16" t="n">
        <v>0</v>
      </c>
      <c r="D119" s="49" t="n">
        <v>34.31</v>
      </c>
      <c r="E119" s="18" t="n">
        <v>870</v>
      </c>
      <c r="F119" s="18" t="n">
        <v>1011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1</v>
      </c>
    </row>
    <row r="120">
      <c r="A120" s="15" t="inlineStr">
        <is>
          <t>11 Jun</t>
        </is>
      </c>
      <c r="B120" s="15" t="inlineStr">
        <is>
          <t>37217</t>
        </is>
      </c>
      <c r="C120" s="16" t="n">
        <v>0</v>
      </c>
      <c r="D120" s="49" t="n">
        <v>28.03</v>
      </c>
      <c r="E120" s="18" t="n">
        <v>846</v>
      </c>
      <c r="F120" s="18" t="n">
        <v>958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1</v>
      </c>
    </row>
    <row r="121">
      <c r="A121" s="15" t="inlineStr">
        <is>
          <t>11 Jun</t>
        </is>
      </c>
      <c r="B121" s="15" t="inlineStr">
        <is>
          <t>37577</t>
        </is>
      </c>
      <c r="C121" s="16" t="n">
        <v>0</v>
      </c>
      <c r="D121" s="49" t="n">
        <v>40.3</v>
      </c>
      <c r="E121" s="18" t="n">
        <v>605</v>
      </c>
      <c r="F121" s="18" t="n">
        <v>920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1</v>
      </c>
    </row>
    <row r="122">
      <c r="A122" s="15" t="inlineStr">
        <is>
          <t>11 Jun</t>
        </is>
      </c>
      <c r="B122" s="15" t="inlineStr">
        <is>
          <t>30637</t>
        </is>
      </c>
      <c r="C122" s="16" t="n">
        <v>0</v>
      </c>
      <c r="D122" s="49" t="n">
        <v>7.03</v>
      </c>
      <c r="E122" s="18" t="n">
        <v>875</v>
      </c>
      <c r="F122" s="18" t="n">
        <v>902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0</v>
      </c>
    </row>
    <row r="123">
      <c r="A123" s="15" t="inlineStr">
        <is>
          <t>11 Jun</t>
        </is>
      </c>
      <c r="B123" s="15" t="inlineStr">
        <is>
          <t>37019</t>
        </is>
      </c>
      <c r="C123" s="16" t="n">
        <v>0</v>
      </c>
      <c r="D123" s="49" t="n">
        <v>36.52</v>
      </c>
      <c r="E123" s="18" t="n">
        <v>535</v>
      </c>
      <c r="F123" s="18" t="n">
        <v>809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1</v>
      </c>
    </row>
    <row r="124">
      <c r="A124" s="15" t="inlineStr">
        <is>
          <t>11 Jun</t>
        </is>
      </c>
      <c r="B124" s="15" t="inlineStr">
        <is>
          <t>30581</t>
        </is>
      </c>
      <c r="C124" s="16" t="n">
        <v>0</v>
      </c>
      <c r="D124" s="49" t="n">
        <v>33.4</v>
      </c>
      <c r="E124" s="18" t="n">
        <v>790</v>
      </c>
      <c r="F124" s="18" t="n">
        <v>801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1</v>
      </c>
    </row>
    <row r="125">
      <c r="A125" s="15" t="inlineStr">
        <is>
          <t>11 Jun</t>
        </is>
      </c>
      <c r="B125" s="15" t="inlineStr">
        <is>
          <t>37383</t>
        </is>
      </c>
      <c r="C125" s="16" t="n">
        <v>0</v>
      </c>
      <c r="D125" s="49" t="n">
        <v>51.67</v>
      </c>
      <c r="E125" s="18" t="n">
        <v>696</v>
      </c>
      <c r="F125" s="18" t="n">
        <v>795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1</v>
      </c>
    </row>
    <row r="126">
      <c r="A126" s="15" t="inlineStr">
        <is>
          <t>11 Jun</t>
        </is>
      </c>
      <c r="B126" s="15" t="inlineStr">
        <is>
          <t>30635</t>
        </is>
      </c>
      <c r="C126" s="16" t="n">
        <v>0</v>
      </c>
      <c r="D126" s="49" t="n">
        <v>33.84</v>
      </c>
      <c r="E126" s="18" t="n">
        <v>483</v>
      </c>
      <c r="F126" s="18" t="n">
        <v>762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1</v>
      </c>
    </row>
    <row r="127">
      <c r="A127" s="15" t="inlineStr">
        <is>
          <t>11 Jun</t>
        </is>
      </c>
      <c r="B127" s="15" t="inlineStr">
        <is>
          <t>37818</t>
        </is>
      </c>
      <c r="C127" s="16" t="n">
        <v>0</v>
      </c>
      <c r="D127" s="49" t="n">
        <v>36.09</v>
      </c>
      <c r="E127" s="18" t="n">
        <v>569</v>
      </c>
      <c r="F127" s="18" t="n">
        <v>671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1</v>
      </c>
    </row>
    <row r="128">
      <c r="A128" s="15" t="inlineStr">
        <is>
          <t>11 Jun</t>
        </is>
      </c>
      <c r="B128" s="15" t="inlineStr">
        <is>
          <t>39066</t>
        </is>
      </c>
      <c r="C128" s="16" t="n">
        <v>0</v>
      </c>
      <c r="D128" s="49" t="n">
        <v>52.06</v>
      </c>
      <c r="E128" s="18" t="n">
        <v>533</v>
      </c>
      <c r="F128" s="18" t="n">
        <v>655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1</v>
      </c>
    </row>
    <row r="129">
      <c r="A129" s="15" t="inlineStr">
        <is>
          <t>11 Jun</t>
        </is>
      </c>
      <c r="B129" s="15" t="inlineStr">
        <is>
          <t>37286</t>
        </is>
      </c>
      <c r="C129" s="16" t="n">
        <v>0</v>
      </c>
      <c r="D129" s="49" t="n">
        <v>31.61</v>
      </c>
      <c r="E129" s="18" t="n">
        <v>434</v>
      </c>
      <c r="F129" s="18" t="n">
        <v>557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1</v>
      </c>
    </row>
    <row r="130">
      <c r="A130" s="15" t="inlineStr">
        <is>
          <t>11 Jun</t>
        </is>
      </c>
      <c r="B130" s="15" t="inlineStr">
        <is>
          <t>38117</t>
        </is>
      </c>
      <c r="C130" s="16" t="n">
        <v>0</v>
      </c>
      <c r="D130" s="49" t="n">
        <v>32.4</v>
      </c>
      <c r="E130" s="18" t="n">
        <v>340</v>
      </c>
      <c r="F130" s="18" t="n">
        <v>447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0</v>
      </c>
    </row>
    <row r="131">
      <c r="A131" s="15" t="inlineStr">
        <is>
          <t>11 Jun</t>
        </is>
      </c>
      <c r="B131" s="15" t="inlineStr">
        <is>
          <t>37277</t>
        </is>
      </c>
      <c r="C131" s="16" t="n">
        <v>0</v>
      </c>
      <c r="D131" s="49" t="n">
        <v>1.95</v>
      </c>
      <c r="E131" s="18" t="n">
        <v>9</v>
      </c>
      <c r="F131" s="18" t="n">
        <v>266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0</v>
      </c>
    </row>
    <row r="132">
      <c r="A132" s="15" t="inlineStr">
        <is>
          <t>11 Jun</t>
        </is>
      </c>
      <c r="B132" s="15" t="inlineStr">
        <is>
          <t>37955</t>
        </is>
      </c>
      <c r="C132" s="16" t="n">
        <v>0</v>
      </c>
      <c r="D132" s="49" t="n">
        <v>23.62</v>
      </c>
      <c r="E132" s="18" t="n">
        <v>1</v>
      </c>
      <c r="F132" s="18" t="n">
        <v>16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0</v>
      </c>
    </row>
    <row r="133">
      <c r="A133" s="20" t="inlineStr">
        <is>
          <t>11 Jun</t>
        </is>
      </c>
      <c r="B133" s="20" t="inlineStr">
        <is>
          <t>Day Total</t>
        </is>
      </c>
      <c r="C133" s="21">
        <f>SUM(C100:C132)</f>
        <v/>
      </c>
      <c r="D133" s="50">
        <f>SUM(D100:D132)</f>
        <v/>
      </c>
      <c r="E133" s="23">
        <f>SUM(E100:E132)</f>
        <v/>
      </c>
      <c r="F133" s="23">
        <f>SUMIF(E100:E132,"&gt;0",F100:F132)</f>
        <v/>
      </c>
      <c r="G133" s="24">
        <f>IF(F133=0,0,E133/F133*100)</f>
        <v/>
      </c>
      <c r="H133" s="21">
        <f>SUM(H100:H132)</f>
        <v/>
      </c>
      <c r="I133" s="21">
        <f>SUM(I100:I132)</f>
        <v/>
      </c>
      <c r="J133" s="21">
        <f>SUM(J100:J132)</f>
        <v/>
      </c>
      <c r="K133" s="21">
        <f>SUM(K100:K132)</f>
        <v/>
      </c>
    </row>
    <row r="134">
      <c r="A134" s="15" t="inlineStr">
        <is>
          <t>12 Jun</t>
        </is>
      </c>
      <c r="B134" s="15" t="inlineStr">
        <is>
          <t>30606</t>
        </is>
      </c>
      <c r="C134" s="16" t="n">
        <v>1</v>
      </c>
      <c r="D134" s="49" t="n">
        <v>93.91</v>
      </c>
      <c r="E134" s="18" t="n">
        <v>6553</v>
      </c>
      <c r="F134" s="18" t="n">
        <v>7206</v>
      </c>
      <c r="G134" s="19">
        <f>IF(F134=0,0,E134/F134*100)</f>
        <v/>
      </c>
      <c r="H134" s="16" t="n">
        <v>1</v>
      </c>
      <c r="I134" s="16" t="n">
        <v>1</v>
      </c>
      <c r="J134" s="16" t="n">
        <v>0</v>
      </c>
      <c r="K134" s="16" t="n">
        <v>4</v>
      </c>
    </row>
    <row r="135">
      <c r="A135" s="15" t="inlineStr">
        <is>
          <t>12 Jun</t>
        </is>
      </c>
      <c r="B135" s="15" t="inlineStr">
        <is>
          <t>30476</t>
        </is>
      </c>
      <c r="C135" s="16" t="n">
        <v>1</v>
      </c>
      <c r="D135" s="49" t="n">
        <v>93.90000000000001</v>
      </c>
      <c r="E135" s="18" t="n">
        <v>5551</v>
      </c>
      <c r="F135" s="18" t="n">
        <v>6070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4</v>
      </c>
    </row>
    <row r="136">
      <c r="A136" s="15" t="inlineStr">
        <is>
          <t>12 Jun</t>
        </is>
      </c>
      <c r="B136" s="15" t="inlineStr">
        <is>
          <t>30472</t>
        </is>
      </c>
      <c r="C136" s="16" t="n">
        <v>1</v>
      </c>
      <c r="D136" s="49" t="n">
        <v>93.3</v>
      </c>
      <c r="E136" s="18" t="n">
        <v>5532</v>
      </c>
      <c r="F136" s="18" t="n">
        <v>5830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3</v>
      </c>
    </row>
    <row r="137">
      <c r="A137" s="15" t="inlineStr">
        <is>
          <t>12 Jun</t>
        </is>
      </c>
      <c r="B137" s="15" t="inlineStr">
        <is>
          <t>37956</t>
        </is>
      </c>
      <c r="C137" s="16" t="n">
        <v>1</v>
      </c>
      <c r="D137" s="49" t="n">
        <v>93.87</v>
      </c>
      <c r="E137" s="18" t="n">
        <v>5088</v>
      </c>
      <c r="F137" s="18" t="n">
        <v>5646</v>
      </c>
      <c r="G137" s="19">
        <f>IF(F137=0,0,E137/F137*100)</f>
        <v/>
      </c>
      <c r="H137" s="16" t="n">
        <v>1</v>
      </c>
      <c r="I137" s="16" t="n">
        <v>1</v>
      </c>
      <c r="J137" s="16" t="n">
        <v>0</v>
      </c>
      <c r="K137" s="16" t="n">
        <v>7</v>
      </c>
    </row>
    <row r="138">
      <c r="A138" s="15" t="inlineStr">
        <is>
          <t>12 Jun</t>
        </is>
      </c>
      <c r="B138" s="15" t="inlineStr">
        <is>
          <t>30533</t>
        </is>
      </c>
      <c r="C138" s="16" t="n">
        <v>1</v>
      </c>
      <c r="D138" s="49" t="n">
        <v>93.31999999999999</v>
      </c>
      <c r="E138" s="18" t="n">
        <v>5318</v>
      </c>
      <c r="F138" s="18" t="n">
        <v>5400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2</v>
      </c>
    </row>
    <row r="139">
      <c r="A139" s="15" t="inlineStr">
        <is>
          <t>12 Jun</t>
        </is>
      </c>
      <c r="B139" s="15" t="inlineStr">
        <is>
          <t>37506</t>
        </is>
      </c>
      <c r="C139" s="16" t="n">
        <v>1</v>
      </c>
      <c r="D139" s="49" t="n">
        <v>93.87</v>
      </c>
      <c r="E139" s="18" t="n">
        <v>4688</v>
      </c>
      <c r="F139" s="18" t="n">
        <v>5059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3</v>
      </c>
    </row>
    <row r="140">
      <c r="A140" s="15" t="inlineStr">
        <is>
          <t>12 Jun</t>
        </is>
      </c>
      <c r="B140" s="15" t="inlineStr">
        <is>
          <t>39514</t>
        </is>
      </c>
      <c r="C140" s="16" t="n">
        <v>1</v>
      </c>
      <c r="D140" s="49" t="n">
        <v>93.91</v>
      </c>
      <c r="E140" s="18" t="n">
        <v>4641</v>
      </c>
      <c r="F140" s="18" t="n">
        <v>4839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3</v>
      </c>
    </row>
    <row r="141">
      <c r="A141" s="15" t="inlineStr">
        <is>
          <t>12 Jun</t>
        </is>
      </c>
      <c r="B141" s="15" t="inlineStr">
        <is>
          <t>37493</t>
        </is>
      </c>
      <c r="C141" s="16" t="n">
        <v>1</v>
      </c>
      <c r="D141" s="49" t="n">
        <v>93.89</v>
      </c>
      <c r="E141" s="18" t="n">
        <v>4213</v>
      </c>
      <c r="F141" s="18" t="n">
        <v>4758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4</v>
      </c>
    </row>
    <row r="142">
      <c r="A142" s="15" t="inlineStr">
        <is>
          <t>12 Jun</t>
        </is>
      </c>
      <c r="B142" s="15" t="inlineStr">
        <is>
          <t>37947</t>
        </is>
      </c>
      <c r="C142" s="16" t="n">
        <v>1</v>
      </c>
      <c r="D142" s="49" t="n">
        <v>93.91</v>
      </c>
      <c r="E142" s="18" t="n">
        <v>4097</v>
      </c>
      <c r="F142" s="18" t="n">
        <v>4579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7</v>
      </c>
    </row>
    <row r="143">
      <c r="A143" s="15" t="inlineStr">
        <is>
          <t>12 Jun</t>
        </is>
      </c>
      <c r="B143" s="15" t="inlineStr">
        <is>
          <t>39239</t>
        </is>
      </c>
      <c r="C143" s="16" t="n">
        <v>1</v>
      </c>
      <c r="D143" s="49" t="n">
        <v>93.89</v>
      </c>
      <c r="E143" s="18" t="n">
        <v>4288</v>
      </c>
      <c r="F143" s="18" t="n">
        <v>4575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3</v>
      </c>
    </row>
    <row r="144">
      <c r="A144" s="15" t="inlineStr">
        <is>
          <t>12 Jun</t>
        </is>
      </c>
      <c r="B144" s="15" t="inlineStr">
        <is>
          <t>37795</t>
        </is>
      </c>
      <c r="C144" s="16" t="n">
        <v>1</v>
      </c>
      <c r="D144" s="49" t="n">
        <v>93.89</v>
      </c>
      <c r="E144" s="18" t="n">
        <v>4119</v>
      </c>
      <c r="F144" s="18" t="n">
        <v>4469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4</v>
      </c>
    </row>
    <row r="145">
      <c r="A145" s="15" t="inlineStr">
        <is>
          <t>12 Jun</t>
        </is>
      </c>
      <c r="B145" s="15" t="inlineStr">
        <is>
          <t>37164</t>
        </is>
      </c>
      <c r="C145" s="16" t="n">
        <v>1</v>
      </c>
      <c r="D145" s="49" t="n">
        <v>93.88</v>
      </c>
      <c r="E145" s="18" t="n">
        <v>4253</v>
      </c>
      <c r="F145" s="18" t="n">
        <v>4437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2</v>
      </c>
    </row>
    <row r="146">
      <c r="A146" s="15" t="inlineStr">
        <is>
          <t>12 Jun</t>
        </is>
      </c>
      <c r="B146" s="15" t="inlineStr">
        <is>
          <t>37507</t>
        </is>
      </c>
      <c r="C146" s="16" t="n">
        <v>1</v>
      </c>
      <c r="D146" s="49" t="n">
        <v>93.88</v>
      </c>
      <c r="E146" s="18" t="n">
        <v>3974</v>
      </c>
      <c r="F146" s="18" t="n">
        <v>4379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4</v>
      </c>
    </row>
    <row r="147">
      <c r="A147" s="15" t="inlineStr">
        <is>
          <t>12 Jun</t>
        </is>
      </c>
      <c r="B147" s="15" t="inlineStr">
        <is>
          <t>39131</t>
        </is>
      </c>
      <c r="C147" s="16" t="n">
        <v>1</v>
      </c>
      <c r="D147" s="49" t="n">
        <v>93.89</v>
      </c>
      <c r="E147" s="18" t="n">
        <v>4186</v>
      </c>
      <c r="F147" s="18" t="n">
        <v>4372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4</v>
      </c>
    </row>
    <row r="148">
      <c r="A148" s="15" t="inlineStr">
        <is>
          <t>12 Jun</t>
        </is>
      </c>
      <c r="B148" s="15" t="inlineStr">
        <is>
          <t>30470</t>
        </is>
      </c>
      <c r="C148" s="16" t="n">
        <v>1</v>
      </c>
      <c r="D148" s="49" t="n">
        <v>93.88</v>
      </c>
      <c r="E148" s="18" t="n">
        <v>4168</v>
      </c>
      <c r="F148" s="18" t="n">
        <v>4341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2</v>
      </c>
    </row>
    <row r="149">
      <c r="A149" s="15" t="inlineStr">
        <is>
          <t>12 Jun</t>
        </is>
      </c>
      <c r="B149" s="15" t="inlineStr">
        <is>
          <t>30759</t>
        </is>
      </c>
      <c r="C149" s="16" t="n">
        <v>1</v>
      </c>
      <c r="D149" s="49" t="n">
        <v>93.91</v>
      </c>
      <c r="E149" s="18" t="n">
        <v>4081</v>
      </c>
      <c r="F149" s="18" t="n">
        <v>4315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3</v>
      </c>
    </row>
    <row r="150">
      <c r="A150" s="15" t="inlineStr">
        <is>
          <t>12 Jun</t>
        </is>
      </c>
      <c r="B150" s="15" t="inlineStr">
        <is>
          <t>39214</t>
        </is>
      </c>
      <c r="C150" s="16" t="n">
        <v>1</v>
      </c>
      <c r="D150" s="49" t="n">
        <v>93.89</v>
      </c>
      <c r="E150" s="18" t="n">
        <v>4049</v>
      </c>
      <c r="F150" s="18" t="n">
        <v>4209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2</v>
      </c>
    </row>
    <row r="151">
      <c r="A151" s="15" t="inlineStr">
        <is>
          <t>12 Jun</t>
        </is>
      </c>
      <c r="B151" s="15" t="inlineStr">
        <is>
          <t>30823</t>
        </is>
      </c>
      <c r="C151" s="16" t="n">
        <v>1</v>
      </c>
      <c r="D151" s="49" t="n">
        <v>93.86</v>
      </c>
      <c r="E151" s="18" t="n">
        <v>3857</v>
      </c>
      <c r="F151" s="18" t="n">
        <v>4134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3</v>
      </c>
    </row>
    <row r="152">
      <c r="A152" s="15" t="inlineStr">
        <is>
          <t>12 Jun</t>
        </is>
      </c>
      <c r="B152" s="15" t="inlineStr">
        <is>
          <t>39066</t>
        </is>
      </c>
      <c r="C152" s="16" t="n">
        <v>1</v>
      </c>
      <c r="D152" s="49" t="n">
        <v>93.86</v>
      </c>
      <c r="E152" s="18" t="n">
        <v>3091</v>
      </c>
      <c r="F152" s="18" t="n">
        <v>4097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5</v>
      </c>
    </row>
    <row r="153">
      <c r="A153" s="15" t="inlineStr">
        <is>
          <t>12 Jun</t>
        </is>
      </c>
      <c r="B153" s="15" t="inlineStr">
        <is>
          <t>30767</t>
        </is>
      </c>
      <c r="C153" s="16" t="n">
        <v>1</v>
      </c>
      <c r="D153" s="49" t="n">
        <v>93.91</v>
      </c>
      <c r="E153" s="18" t="n">
        <v>3473</v>
      </c>
      <c r="F153" s="18" t="n">
        <v>3977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1</v>
      </c>
    </row>
    <row r="154">
      <c r="A154" s="15" t="inlineStr">
        <is>
          <t>12 Jun</t>
        </is>
      </c>
      <c r="B154" s="15" t="inlineStr">
        <is>
          <t>30480</t>
        </is>
      </c>
      <c r="C154" s="16" t="n">
        <v>1</v>
      </c>
      <c r="D154" s="49" t="n">
        <v>93.89</v>
      </c>
      <c r="E154" s="18" t="n">
        <v>3572</v>
      </c>
      <c r="F154" s="18" t="n">
        <v>3907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5</v>
      </c>
    </row>
    <row r="155">
      <c r="A155" s="15" t="inlineStr">
        <is>
          <t>12 Jun</t>
        </is>
      </c>
      <c r="B155" s="15" t="inlineStr">
        <is>
          <t>37566</t>
        </is>
      </c>
      <c r="C155" s="16" t="n">
        <v>1</v>
      </c>
      <c r="D155" s="49" t="n">
        <v>93.89</v>
      </c>
      <c r="E155" s="18" t="n">
        <v>3533</v>
      </c>
      <c r="F155" s="18" t="n">
        <v>3807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3</v>
      </c>
    </row>
    <row r="156">
      <c r="A156" s="15" t="inlineStr">
        <is>
          <t>12 Jun</t>
        </is>
      </c>
      <c r="B156" s="15" t="inlineStr">
        <is>
          <t>39030</t>
        </is>
      </c>
      <c r="C156" s="16" t="n">
        <v>1</v>
      </c>
      <c r="D156" s="49" t="n">
        <v>93.89</v>
      </c>
      <c r="E156" s="18" t="n">
        <v>3312</v>
      </c>
      <c r="F156" s="18" t="n">
        <v>3652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3</v>
      </c>
    </row>
    <row r="157">
      <c r="A157" s="15" t="inlineStr">
        <is>
          <t>12 Jun</t>
        </is>
      </c>
      <c r="B157" s="15" t="inlineStr">
        <is>
          <t>37321</t>
        </is>
      </c>
      <c r="C157" s="16" t="n">
        <v>1</v>
      </c>
      <c r="D157" s="49" t="n">
        <v>93.31</v>
      </c>
      <c r="E157" s="18" t="n">
        <v>2278</v>
      </c>
      <c r="F157" s="18" t="n">
        <v>2544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6</v>
      </c>
    </row>
    <row r="158">
      <c r="A158" s="15" t="inlineStr">
        <is>
          <t>12 Jun</t>
        </is>
      </c>
      <c r="B158" s="15" t="inlineStr">
        <is>
          <t>37217</t>
        </is>
      </c>
      <c r="C158" s="16" t="n">
        <v>0</v>
      </c>
      <c r="D158" s="49" t="n">
        <v>65.86</v>
      </c>
      <c r="E158" s="18" t="n">
        <v>3466</v>
      </c>
      <c r="F158" s="18" t="n">
        <v>3581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1</v>
      </c>
    </row>
    <row r="159">
      <c r="A159" s="15" t="inlineStr">
        <is>
          <t>12 Jun</t>
        </is>
      </c>
      <c r="B159" s="15" t="inlineStr">
        <is>
          <t>37424</t>
        </is>
      </c>
      <c r="C159" s="16" t="n">
        <v>0</v>
      </c>
      <c r="D159" s="49" t="n">
        <v>55.73</v>
      </c>
      <c r="E159" s="18" t="n">
        <v>3313</v>
      </c>
      <c r="F159" s="18" t="n">
        <v>3314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1</v>
      </c>
    </row>
    <row r="160">
      <c r="A160" s="15" t="inlineStr">
        <is>
          <t>12 Jun</t>
        </is>
      </c>
      <c r="B160" s="15" t="inlineStr">
        <is>
          <t>39308</t>
        </is>
      </c>
      <c r="C160" s="16" t="n">
        <v>0</v>
      </c>
      <c r="D160" s="49" t="n">
        <v>36.88</v>
      </c>
      <c r="E160" s="18" t="n">
        <v>1662</v>
      </c>
      <c r="F160" s="18" t="n">
        <v>2259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2</v>
      </c>
    </row>
    <row r="161">
      <c r="A161" s="15" t="inlineStr">
        <is>
          <t>12 Jun</t>
        </is>
      </c>
      <c r="B161" s="15" t="inlineStr">
        <is>
          <t>37853</t>
        </is>
      </c>
      <c r="C161" s="16" t="n">
        <v>0</v>
      </c>
      <c r="D161" s="49" t="n">
        <v>37.81</v>
      </c>
      <c r="E161" s="18" t="n">
        <v>951</v>
      </c>
      <c r="F161" s="18" t="n">
        <v>1568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1</v>
      </c>
    </row>
    <row r="162">
      <c r="A162" s="15" t="inlineStr">
        <is>
          <t>12 Jun</t>
        </is>
      </c>
      <c r="B162" s="15" t="inlineStr">
        <is>
          <t>37830</t>
        </is>
      </c>
      <c r="C162" s="16" t="n">
        <v>0</v>
      </c>
      <c r="D162" s="49" t="n">
        <v>34.05</v>
      </c>
      <c r="E162" s="18" t="n">
        <v>1286</v>
      </c>
      <c r="F162" s="18" t="n">
        <v>1366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1</v>
      </c>
    </row>
    <row r="163">
      <c r="A163" s="15" t="inlineStr">
        <is>
          <t>12 Jun</t>
        </is>
      </c>
      <c r="B163" s="15" t="inlineStr">
        <is>
          <t>39243</t>
        </is>
      </c>
      <c r="C163" s="16" t="n">
        <v>0</v>
      </c>
      <c r="D163" s="49" t="n">
        <v>36.64</v>
      </c>
      <c r="E163" s="18" t="n">
        <v>446</v>
      </c>
      <c r="F163" s="18" t="n">
        <v>820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1</v>
      </c>
    </row>
    <row r="164">
      <c r="A164" s="15" t="inlineStr">
        <is>
          <t>12 Jun</t>
        </is>
      </c>
      <c r="B164" s="15" t="inlineStr">
        <is>
          <t>39287</t>
        </is>
      </c>
      <c r="C164" s="16" t="n">
        <v>0</v>
      </c>
      <c r="D164" s="49" t="n">
        <v>34.19</v>
      </c>
      <c r="E164" s="18" t="n">
        <v>461</v>
      </c>
      <c r="F164" s="18" t="n">
        <v>804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1</v>
      </c>
    </row>
    <row r="165">
      <c r="A165" s="15" t="inlineStr">
        <is>
          <t>12 Jun</t>
        </is>
      </c>
      <c r="B165" s="15" t="inlineStr">
        <is>
          <t>41888</t>
        </is>
      </c>
      <c r="C165" s="16" t="n">
        <v>0</v>
      </c>
      <c r="D165" s="49" t="n">
        <v>0.26</v>
      </c>
      <c r="E165" s="18" t="n">
        <v>338</v>
      </c>
      <c r="F165" s="18" t="n">
        <v>785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3</v>
      </c>
    </row>
    <row r="166">
      <c r="A166" s="15" t="inlineStr">
        <is>
          <t>12 Jun</t>
        </is>
      </c>
      <c r="B166" s="15" t="inlineStr">
        <is>
          <t>37019</t>
        </is>
      </c>
      <c r="C166" s="16" t="n">
        <v>0</v>
      </c>
      <c r="D166" s="49" t="n">
        <v>40.38</v>
      </c>
      <c r="E166" s="18" t="n">
        <v>634</v>
      </c>
      <c r="F166" s="18" t="n">
        <v>778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1</v>
      </c>
    </row>
    <row r="167">
      <c r="A167" s="15" t="inlineStr">
        <is>
          <t>12 Jun</t>
        </is>
      </c>
      <c r="B167" s="15" t="inlineStr">
        <is>
          <t>30806</t>
        </is>
      </c>
      <c r="C167" s="16" t="n">
        <v>0</v>
      </c>
      <c r="D167" s="49" t="n">
        <v>36.85</v>
      </c>
      <c r="E167" s="18" t="n">
        <v>300</v>
      </c>
      <c r="F167" s="18" t="n">
        <v>457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0</v>
      </c>
    </row>
    <row r="168">
      <c r="A168" s="15" t="inlineStr">
        <is>
          <t>12 Jun</t>
        </is>
      </c>
      <c r="B168" s="15" t="inlineStr">
        <is>
          <t>37091</t>
        </is>
      </c>
      <c r="C168" s="16" t="n">
        <v>0</v>
      </c>
      <c r="D168" s="49" t="n">
        <v>32.2</v>
      </c>
      <c r="E168" s="18" t="n">
        <v>325</v>
      </c>
      <c r="F168" s="18" t="n">
        <v>363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1</v>
      </c>
    </row>
    <row r="169">
      <c r="A169" s="15" t="inlineStr">
        <is>
          <t>12 Jun</t>
        </is>
      </c>
      <c r="B169" s="15" t="inlineStr">
        <is>
          <t>37277</t>
        </is>
      </c>
      <c r="C169" s="16" t="n">
        <v>0</v>
      </c>
      <c r="D169" s="49" t="n">
        <v>1.95</v>
      </c>
      <c r="E169" s="18" t="n">
        <v>10</v>
      </c>
      <c r="F169" s="18" t="n">
        <v>209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1</v>
      </c>
    </row>
    <row r="170">
      <c r="A170" s="20" t="inlineStr">
        <is>
          <t>12 Jun</t>
        </is>
      </c>
      <c r="B170" s="20" t="inlineStr">
        <is>
          <t>Day Total</t>
        </is>
      </c>
      <c r="C170" s="21">
        <f>SUM(C134:C169)</f>
        <v/>
      </c>
      <c r="D170" s="50">
        <f>SUM(D134:D169)</f>
        <v/>
      </c>
      <c r="E170" s="23">
        <f>SUM(E134:E169)</f>
        <v/>
      </c>
      <c r="F170" s="23">
        <f>SUMIF(E134:E169,"&gt;0",F134:F169)</f>
        <v/>
      </c>
      <c r="G170" s="24">
        <f>IF(F170=0,0,E170/F170*100)</f>
        <v/>
      </c>
      <c r="H170" s="21">
        <f>SUM(H134:H169)</f>
        <v/>
      </c>
      <c r="I170" s="21">
        <f>SUM(I134:I169)</f>
        <v/>
      </c>
      <c r="J170" s="21">
        <f>SUM(J134:J169)</f>
        <v/>
      </c>
      <c r="K170" s="21">
        <f>SUM(K134:K169)</f>
        <v/>
      </c>
    </row>
    <row r="171">
      <c r="A171" s="15" t="inlineStr">
        <is>
          <t>13 Jun</t>
        </is>
      </c>
      <c r="B171" s="15" t="inlineStr">
        <is>
          <t>37830</t>
        </is>
      </c>
      <c r="C171" s="16" t="n">
        <v>2</v>
      </c>
      <c r="D171" s="49" t="n">
        <v>93.91</v>
      </c>
      <c r="E171" s="18" t="n">
        <v>8336</v>
      </c>
      <c r="F171" s="18" t="n">
        <v>8937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5</v>
      </c>
    </row>
    <row r="172">
      <c r="A172" s="15" t="inlineStr">
        <is>
          <t>13 Jun</t>
        </is>
      </c>
      <c r="B172" s="15" t="inlineStr">
        <is>
          <t>30767</t>
        </is>
      </c>
      <c r="C172" s="16" t="n">
        <v>2</v>
      </c>
      <c r="D172" s="49" t="n">
        <v>93.91</v>
      </c>
      <c r="E172" s="18" t="n">
        <v>7709</v>
      </c>
      <c r="F172" s="18" t="n">
        <v>8183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3</v>
      </c>
    </row>
    <row r="173">
      <c r="A173" s="15" t="inlineStr">
        <is>
          <t>13 Jun</t>
        </is>
      </c>
      <c r="B173" s="15" t="inlineStr">
        <is>
          <t>30823</t>
        </is>
      </c>
      <c r="C173" s="16" t="n">
        <v>2</v>
      </c>
      <c r="D173" s="49" t="n">
        <v>93.90000000000001</v>
      </c>
      <c r="E173" s="18" t="n">
        <v>6671</v>
      </c>
      <c r="F173" s="18" t="n">
        <v>7090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6</v>
      </c>
    </row>
    <row r="174">
      <c r="A174" s="15" t="inlineStr">
        <is>
          <t>13 Jun</t>
        </is>
      </c>
      <c r="B174" s="15" t="inlineStr">
        <is>
          <t>39258</t>
        </is>
      </c>
      <c r="C174" s="16" t="n">
        <v>1</v>
      </c>
      <c r="D174" s="49" t="n">
        <v>91.72</v>
      </c>
      <c r="E174" s="18" t="n">
        <v>6438</v>
      </c>
      <c r="F174" s="18" t="n">
        <v>6772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2</v>
      </c>
    </row>
    <row r="175">
      <c r="A175" s="15" t="inlineStr">
        <is>
          <t>13 Jun</t>
        </is>
      </c>
      <c r="B175" s="15" t="inlineStr">
        <is>
          <t>30634</t>
        </is>
      </c>
      <c r="C175" s="16" t="n">
        <v>1</v>
      </c>
      <c r="D175" s="49" t="n">
        <v>93.87</v>
      </c>
      <c r="E175" s="18" t="n">
        <v>5172</v>
      </c>
      <c r="F175" s="18" t="n">
        <v>5447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3</v>
      </c>
    </row>
    <row r="176">
      <c r="A176" s="15" t="inlineStr">
        <is>
          <t>13 Jun</t>
        </is>
      </c>
      <c r="B176" s="15" t="inlineStr">
        <is>
          <t>37383</t>
        </is>
      </c>
      <c r="C176" s="16" t="n">
        <v>1</v>
      </c>
      <c r="D176" s="49" t="n">
        <v>93.90000000000001</v>
      </c>
      <c r="E176" s="18" t="n">
        <v>4739</v>
      </c>
      <c r="F176" s="18" t="n">
        <v>5105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3</v>
      </c>
    </row>
    <row r="177">
      <c r="A177" s="15" t="inlineStr">
        <is>
          <t>13 Jun</t>
        </is>
      </c>
      <c r="B177" s="15" t="inlineStr">
        <is>
          <t>37656</t>
        </is>
      </c>
      <c r="C177" s="16" t="n">
        <v>1</v>
      </c>
      <c r="D177" s="49" t="n">
        <v>92.92</v>
      </c>
      <c r="E177" s="18" t="n">
        <v>4471</v>
      </c>
      <c r="F177" s="18" t="n">
        <v>4935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3</v>
      </c>
    </row>
    <row r="178">
      <c r="A178" s="15" t="inlineStr">
        <is>
          <t>13 Jun</t>
        </is>
      </c>
      <c r="B178" s="15" t="inlineStr">
        <is>
          <t>37163</t>
        </is>
      </c>
      <c r="C178" s="16" t="n">
        <v>1</v>
      </c>
      <c r="D178" s="49" t="n">
        <v>93.31999999999999</v>
      </c>
      <c r="E178" s="18" t="n">
        <v>4796</v>
      </c>
      <c r="F178" s="18" t="n">
        <v>4854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4</v>
      </c>
    </row>
    <row r="179">
      <c r="A179" s="15" t="inlineStr">
        <is>
          <t>13 Jun</t>
        </is>
      </c>
      <c r="B179" s="15" t="inlineStr">
        <is>
          <t>39029</t>
        </is>
      </c>
      <c r="C179" s="16" t="n">
        <v>1</v>
      </c>
      <c r="D179" s="49" t="n">
        <v>93.90000000000001</v>
      </c>
      <c r="E179" s="18" t="n">
        <v>4225</v>
      </c>
      <c r="F179" s="18" t="n">
        <v>4650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4</v>
      </c>
    </row>
    <row r="180">
      <c r="A180" s="15" t="inlineStr">
        <is>
          <t>13 Jun</t>
        </is>
      </c>
      <c r="B180" s="15" t="inlineStr">
        <is>
          <t>39514</t>
        </is>
      </c>
      <c r="C180" s="16" t="n">
        <v>1</v>
      </c>
      <c r="D180" s="49" t="n">
        <v>93.89</v>
      </c>
      <c r="E180" s="18" t="n">
        <v>4281</v>
      </c>
      <c r="F180" s="18" t="n">
        <v>4575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2</v>
      </c>
    </row>
    <row r="181">
      <c r="A181" s="15" t="inlineStr">
        <is>
          <t>13 Jun</t>
        </is>
      </c>
      <c r="B181" s="15" t="inlineStr">
        <is>
          <t>39244</t>
        </is>
      </c>
      <c r="C181" s="16" t="n">
        <v>1</v>
      </c>
      <c r="D181" s="49" t="n">
        <v>93.31999999999999</v>
      </c>
      <c r="E181" s="18" t="n">
        <v>4372</v>
      </c>
      <c r="F181" s="18" t="n">
        <v>4554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3</v>
      </c>
    </row>
    <row r="182">
      <c r="A182" s="15" t="inlineStr">
        <is>
          <t>13 Jun</t>
        </is>
      </c>
      <c r="B182" s="15" t="inlineStr">
        <is>
          <t>39131</t>
        </is>
      </c>
      <c r="C182" s="16" t="n">
        <v>1</v>
      </c>
      <c r="D182" s="49" t="n">
        <v>93.84999999999999</v>
      </c>
      <c r="E182" s="18" t="n">
        <v>4056</v>
      </c>
      <c r="F182" s="18" t="n">
        <v>4262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2</v>
      </c>
    </row>
    <row r="183">
      <c r="A183" s="15" t="inlineStr">
        <is>
          <t>13 Jun</t>
        </is>
      </c>
      <c r="B183" s="15" t="inlineStr">
        <is>
          <t>30470</t>
        </is>
      </c>
      <c r="C183" s="16" t="n">
        <v>1</v>
      </c>
      <c r="D183" s="49" t="n">
        <v>93.91</v>
      </c>
      <c r="E183" s="18" t="n">
        <v>3704</v>
      </c>
      <c r="F183" s="18" t="n">
        <v>3985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2</v>
      </c>
    </row>
    <row r="184">
      <c r="A184" s="15" t="inlineStr">
        <is>
          <t>13 Jun</t>
        </is>
      </c>
      <c r="B184" s="15" t="inlineStr">
        <is>
          <t>37752</t>
        </is>
      </c>
      <c r="C184" s="16" t="n">
        <v>1</v>
      </c>
      <c r="D184" s="49" t="n">
        <v>93.88</v>
      </c>
      <c r="E184" s="18" t="n">
        <v>3674</v>
      </c>
      <c r="F184" s="18" t="n">
        <v>3815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3</v>
      </c>
    </row>
    <row r="185">
      <c r="A185" s="15" t="inlineStr">
        <is>
          <t>13 Jun</t>
        </is>
      </c>
      <c r="B185" s="15" t="inlineStr">
        <is>
          <t>37217</t>
        </is>
      </c>
      <c r="C185" s="16" t="n">
        <v>1</v>
      </c>
      <c r="D185" s="49" t="n">
        <v>93.88</v>
      </c>
      <c r="E185" s="18" t="n">
        <v>3594</v>
      </c>
      <c r="F185" s="18" t="n">
        <v>3777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3</v>
      </c>
    </row>
    <row r="186">
      <c r="A186" s="15" t="inlineStr">
        <is>
          <t>13 Jun</t>
        </is>
      </c>
      <c r="B186" s="15" t="inlineStr">
        <is>
          <t>39308</t>
        </is>
      </c>
      <c r="C186" s="16" t="n">
        <v>0</v>
      </c>
      <c r="D186" s="49" t="n">
        <v>40.93</v>
      </c>
      <c r="E186" s="18" t="n">
        <v>1994</v>
      </c>
      <c r="F186" s="18" t="n">
        <v>2970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2</v>
      </c>
    </row>
    <row r="187">
      <c r="A187" s="15" t="inlineStr">
        <is>
          <t>13 Jun</t>
        </is>
      </c>
      <c r="B187" s="15" t="inlineStr">
        <is>
          <t>37507</t>
        </is>
      </c>
      <c r="C187" s="16" t="n">
        <v>0</v>
      </c>
      <c r="D187" s="49" t="n">
        <v>78.06</v>
      </c>
      <c r="E187" s="18" t="n">
        <v>2668</v>
      </c>
      <c r="F187" s="18" t="n">
        <v>2943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2</v>
      </c>
    </row>
    <row r="188">
      <c r="A188" s="15" t="inlineStr">
        <is>
          <t>13 Jun</t>
        </is>
      </c>
      <c r="B188" s="15" t="inlineStr">
        <is>
          <t>37086</t>
        </is>
      </c>
      <c r="C188" s="16" t="n">
        <v>0</v>
      </c>
      <c r="D188" s="49" t="n">
        <v>33.94</v>
      </c>
      <c r="E188" s="18" t="n">
        <v>1802</v>
      </c>
      <c r="F188" s="18" t="n">
        <v>1907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2</v>
      </c>
    </row>
    <row r="189">
      <c r="A189" s="15" t="inlineStr">
        <is>
          <t>13 Jun</t>
        </is>
      </c>
      <c r="B189" s="15" t="inlineStr">
        <is>
          <t>39014</t>
        </is>
      </c>
      <c r="C189" s="16" t="n">
        <v>0</v>
      </c>
      <c r="D189" s="49" t="n">
        <v>34.07</v>
      </c>
      <c r="E189" s="18" t="n">
        <v>831</v>
      </c>
      <c r="F189" s="18" t="n">
        <v>991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1</v>
      </c>
    </row>
    <row r="190">
      <c r="A190" s="15" t="inlineStr">
        <is>
          <t>13 Jun</t>
        </is>
      </c>
      <c r="B190" s="15" t="inlineStr">
        <is>
          <t>37312</t>
        </is>
      </c>
      <c r="C190" s="16" t="n">
        <v>0</v>
      </c>
      <c r="D190" s="49" t="n">
        <v>40.92</v>
      </c>
      <c r="E190" s="18" t="n">
        <v>0</v>
      </c>
      <c r="F190" s="18" t="n">
        <v>915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0</v>
      </c>
    </row>
    <row r="191">
      <c r="A191" s="15" t="inlineStr">
        <is>
          <t>13 Jun</t>
        </is>
      </c>
      <c r="B191" s="15" t="inlineStr">
        <is>
          <t>39331</t>
        </is>
      </c>
      <c r="C191" s="16" t="n">
        <v>0</v>
      </c>
      <c r="D191" s="49" t="n">
        <v>36.7</v>
      </c>
      <c r="E191" s="18" t="n">
        <v>602</v>
      </c>
      <c r="F191" s="18" t="n">
        <v>885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2</v>
      </c>
    </row>
    <row r="192">
      <c r="A192" s="15" t="inlineStr">
        <is>
          <t>13 Jun</t>
        </is>
      </c>
      <c r="B192" s="15" t="inlineStr">
        <is>
          <t>30507</t>
        </is>
      </c>
      <c r="C192" s="16" t="n">
        <v>0</v>
      </c>
      <c r="D192" s="49" t="n">
        <v>52.96</v>
      </c>
      <c r="E192" s="18" t="n">
        <v>582</v>
      </c>
      <c r="F192" s="18" t="n">
        <v>737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1</v>
      </c>
    </row>
    <row r="193">
      <c r="A193" s="15" t="inlineStr">
        <is>
          <t>13 Jun</t>
        </is>
      </c>
      <c r="B193" s="15" t="inlineStr">
        <is>
          <t>30567</t>
        </is>
      </c>
      <c r="C193" s="16" t="n">
        <v>0</v>
      </c>
      <c r="D193" s="49" t="n">
        <v>32.35</v>
      </c>
      <c r="E193" s="18" t="n">
        <v>325</v>
      </c>
      <c r="F193" s="18" t="n">
        <v>373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1</v>
      </c>
    </row>
    <row r="194">
      <c r="A194" s="15" t="inlineStr">
        <is>
          <t>13 Jun</t>
        </is>
      </c>
      <c r="B194" s="15" t="inlineStr">
        <is>
          <t>37321</t>
        </is>
      </c>
      <c r="C194" s="16" t="n">
        <v>0</v>
      </c>
      <c r="D194" s="49" t="n">
        <v>23.49</v>
      </c>
      <c r="E194" s="18" t="n">
        <v>147</v>
      </c>
      <c r="F194" s="18" t="n">
        <v>147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0</v>
      </c>
    </row>
    <row r="195">
      <c r="A195" s="20" t="inlineStr">
        <is>
          <t>13 Jun</t>
        </is>
      </c>
      <c r="B195" s="20" t="inlineStr">
        <is>
          <t>Day Total</t>
        </is>
      </c>
      <c r="C195" s="21">
        <f>SUM(C171:C194)</f>
        <v/>
      </c>
      <c r="D195" s="50">
        <f>SUM(D171:D194)</f>
        <v/>
      </c>
      <c r="E195" s="23">
        <f>SUM(E171:E194)</f>
        <v/>
      </c>
      <c r="F195" s="23">
        <f>SUMIF(E171:E194,"&gt;0",F171:F194)</f>
        <v/>
      </c>
      <c r="G195" s="24">
        <f>IF(F195=0,0,E195/F195*100)</f>
        <v/>
      </c>
      <c r="H195" s="21">
        <f>SUM(H171:H194)</f>
        <v/>
      </c>
      <c r="I195" s="21">
        <f>SUM(I171:I194)</f>
        <v/>
      </c>
      <c r="J195" s="21">
        <f>SUM(J171:J194)</f>
        <v/>
      </c>
      <c r="K195" s="21">
        <f>SUM(K171:K194)</f>
        <v/>
      </c>
    </row>
    <row r="196">
      <c r="A196" s="15" t="inlineStr">
        <is>
          <t>14 Jun</t>
        </is>
      </c>
      <c r="B196" s="15" t="inlineStr">
        <is>
          <t>39066</t>
        </is>
      </c>
      <c r="C196" s="16" t="n">
        <v>2</v>
      </c>
      <c r="D196" s="49" t="n">
        <v>93.90000000000001</v>
      </c>
      <c r="E196" s="18" t="n">
        <v>7609</v>
      </c>
      <c r="F196" s="18" t="n">
        <v>8113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5</v>
      </c>
    </row>
    <row r="197">
      <c r="A197" s="15" t="inlineStr">
        <is>
          <t>14 Jun</t>
        </is>
      </c>
      <c r="B197" s="15" t="inlineStr">
        <is>
          <t>37275</t>
        </is>
      </c>
      <c r="C197" s="16" t="n">
        <v>1</v>
      </c>
      <c r="D197" s="49" t="n">
        <v>93.31999999999999</v>
      </c>
      <c r="E197" s="18" t="n">
        <v>6152</v>
      </c>
      <c r="F197" s="18" t="n">
        <v>6365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3</v>
      </c>
    </row>
    <row r="198">
      <c r="A198" s="15" t="inlineStr">
        <is>
          <t>14 Jun</t>
        </is>
      </c>
      <c r="B198" s="15" t="inlineStr">
        <is>
          <t>37277</t>
        </is>
      </c>
      <c r="C198" s="16" t="n">
        <v>1</v>
      </c>
      <c r="D198" s="49" t="n">
        <v>93.81</v>
      </c>
      <c r="E198" s="18" t="n">
        <v>5873</v>
      </c>
      <c r="F198" s="18" t="n">
        <v>6251</v>
      </c>
      <c r="G198" s="19">
        <f>IF(F198=0,0,E198/F198*100)</f>
        <v/>
      </c>
      <c r="H198" s="16" t="n">
        <v>1</v>
      </c>
      <c r="I198" s="16" t="n">
        <v>1</v>
      </c>
      <c r="J198" s="16" t="n">
        <v>0</v>
      </c>
      <c r="K198" s="16" t="n">
        <v>3</v>
      </c>
    </row>
    <row r="199">
      <c r="A199" s="15" t="inlineStr">
        <is>
          <t>14 Jun</t>
        </is>
      </c>
      <c r="B199" s="15" t="inlineStr">
        <is>
          <t>37399</t>
        </is>
      </c>
      <c r="C199" s="16" t="n">
        <v>1</v>
      </c>
      <c r="D199" s="49" t="n">
        <v>93.86</v>
      </c>
      <c r="E199" s="18" t="n">
        <v>5257</v>
      </c>
      <c r="F199" s="18" t="n">
        <v>5619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4</v>
      </c>
    </row>
    <row r="200">
      <c r="A200" s="15" t="inlineStr">
        <is>
          <t>14 Jun</t>
        </is>
      </c>
      <c r="B200" s="15" t="inlineStr">
        <is>
          <t>37339</t>
        </is>
      </c>
      <c r="C200" s="16" t="n">
        <v>1</v>
      </c>
      <c r="D200" s="49" t="n">
        <v>93.91</v>
      </c>
      <c r="E200" s="18" t="n">
        <v>4399</v>
      </c>
      <c r="F200" s="18" t="n">
        <v>5275</v>
      </c>
      <c r="G200" s="19">
        <f>IF(F200=0,0,E200/F200*100)</f>
        <v/>
      </c>
      <c r="H200" s="16" t="n">
        <v>2</v>
      </c>
      <c r="I200" s="16" t="n">
        <v>2</v>
      </c>
      <c r="J200" s="16" t="n">
        <v>0</v>
      </c>
      <c r="K200" s="16" t="n">
        <v>4</v>
      </c>
    </row>
    <row r="201">
      <c r="A201" s="15" t="inlineStr">
        <is>
          <t>14 Jun</t>
        </is>
      </c>
      <c r="B201" s="15" t="inlineStr">
        <is>
          <t>39260</t>
        </is>
      </c>
      <c r="C201" s="16" t="n">
        <v>1</v>
      </c>
      <c r="D201" s="49" t="n">
        <v>93.91</v>
      </c>
      <c r="E201" s="18" t="n">
        <v>4209</v>
      </c>
      <c r="F201" s="18" t="n">
        <v>4868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2</v>
      </c>
    </row>
    <row r="202">
      <c r="A202" s="15" t="inlineStr">
        <is>
          <t>14 Jun</t>
        </is>
      </c>
      <c r="B202" s="15" t="inlineStr">
        <is>
          <t>39131</t>
        </is>
      </c>
      <c r="C202" s="16" t="n">
        <v>1</v>
      </c>
      <c r="D202" s="49" t="n">
        <v>93.81</v>
      </c>
      <c r="E202" s="18" t="n">
        <v>4313</v>
      </c>
      <c r="F202" s="18" t="n">
        <v>4525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3</v>
      </c>
    </row>
    <row r="203">
      <c r="A203" s="15" t="inlineStr">
        <is>
          <t>14 Jun</t>
        </is>
      </c>
      <c r="B203" s="15" t="inlineStr">
        <is>
          <t>30767</t>
        </is>
      </c>
      <c r="C203" s="16" t="n">
        <v>1</v>
      </c>
      <c r="D203" s="49" t="n">
        <v>93.91</v>
      </c>
      <c r="E203" s="18" t="n">
        <v>3910</v>
      </c>
      <c r="F203" s="18" t="n">
        <v>4442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2</v>
      </c>
    </row>
    <row r="204">
      <c r="A204" s="15" t="inlineStr">
        <is>
          <t>14 Jun</t>
        </is>
      </c>
      <c r="B204" s="15" t="inlineStr">
        <is>
          <t>37217</t>
        </is>
      </c>
      <c r="C204" s="16" t="n">
        <v>1</v>
      </c>
      <c r="D204" s="49" t="n">
        <v>93.81</v>
      </c>
      <c r="E204" s="18" t="n">
        <v>4114</v>
      </c>
      <c r="F204" s="18" t="n">
        <v>4370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3</v>
      </c>
    </row>
    <row r="205">
      <c r="A205" s="15" t="inlineStr">
        <is>
          <t>14 Jun</t>
        </is>
      </c>
      <c r="B205" s="15" t="inlineStr">
        <is>
          <t>37813</t>
        </is>
      </c>
      <c r="C205" s="16" t="n">
        <v>1</v>
      </c>
      <c r="D205" s="49" t="n">
        <v>93.90000000000001</v>
      </c>
      <c r="E205" s="18" t="n">
        <v>4134</v>
      </c>
      <c r="F205" s="18" t="n">
        <v>4330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6</v>
      </c>
    </row>
    <row r="206">
      <c r="A206" s="15" t="inlineStr">
        <is>
          <t>14 Jun</t>
        </is>
      </c>
      <c r="B206" s="15" t="inlineStr">
        <is>
          <t>30470</t>
        </is>
      </c>
      <c r="C206" s="16" t="n">
        <v>1</v>
      </c>
      <c r="D206" s="49" t="n">
        <v>93.91</v>
      </c>
      <c r="E206" s="18" t="n">
        <v>4105</v>
      </c>
      <c r="F206" s="18" t="n">
        <v>4326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3</v>
      </c>
    </row>
    <row r="207">
      <c r="A207" s="15" t="inlineStr">
        <is>
          <t>14 Jun</t>
        </is>
      </c>
      <c r="B207" s="15" t="inlineStr">
        <is>
          <t>37383</t>
        </is>
      </c>
      <c r="C207" s="16" t="n">
        <v>1</v>
      </c>
      <c r="D207" s="49" t="n">
        <v>93.91</v>
      </c>
      <c r="E207" s="18" t="n">
        <v>4034</v>
      </c>
      <c r="F207" s="18" t="n">
        <v>4285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3</v>
      </c>
    </row>
    <row r="208">
      <c r="A208" s="15" t="inlineStr">
        <is>
          <t>14 Jun</t>
        </is>
      </c>
      <c r="B208" s="15" t="inlineStr">
        <is>
          <t>39334</t>
        </is>
      </c>
      <c r="C208" s="16" t="n">
        <v>1</v>
      </c>
      <c r="D208" s="49" t="n">
        <v>93.91</v>
      </c>
      <c r="E208" s="18" t="n">
        <v>3885</v>
      </c>
      <c r="F208" s="18" t="n">
        <v>4228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4</v>
      </c>
    </row>
    <row r="209">
      <c r="A209" s="15" t="inlineStr">
        <is>
          <t>14 Jun</t>
        </is>
      </c>
      <c r="B209" s="15" t="inlineStr">
        <is>
          <t>30759</t>
        </is>
      </c>
      <c r="C209" s="16" t="n">
        <v>1</v>
      </c>
      <c r="D209" s="49" t="n">
        <v>93.87</v>
      </c>
      <c r="E209" s="18" t="n">
        <v>4013</v>
      </c>
      <c r="F209" s="18" t="n">
        <v>4191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3</v>
      </c>
    </row>
    <row r="210">
      <c r="A210" s="15" t="inlineStr">
        <is>
          <t>14 Jun</t>
        </is>
      </c>
      <c r="B210" s="15" t="inlineStr">
        <is>
          <t>39030</t>
        </is>
      </c>
      <c r="C210" s="16" t="n">
        <v>1</v>
      </c>
      <c r="D210" s="49" t="n">
        <v>93.91</v>
      </c>
      <c r="E210" s="18" t="n">
        <v>4010</v>
      </c>
      <c r="F210" s="18" t="n">
        <v>4179</v>
      </c>
      <c r="G210" s="19">
        <f>IF(F210=0,0,E210/F210*100)</f>
        <v/>
      </c>
      <c r="H210" s="16" t="n">
        <v>1</v>
      </c>
      <c r="I210" s="16" t="n">
        <v>1</v>
      </c>
      <c r="J210" s="16" t="n">
        <v>0</v>
      </c>
      <c r="K210" s="16" t="n">
        <v>5</v>
      </c>
    </row>
    <row r="211">
      <c r="A211" s="15" t="inlineStr">
        <is>
          <t>14 Jun</t>
        </is>
      </c>
      <c r="B211" s="15" t="inlineStr">
        <is>
          <t>37131</t>
        </is>
      </c>
      <c r="C211" s="16" t="n">
        <v>1</v>
      </c>
      <c r="D211" s="49" t="n">
        <v>93.90000000000001</v>
      </c>
      <c r="E211" s="18" t="n">
        <v>3773</v>
      </c>
      <c r="F211" s="18" t="n">
        <v>4155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1</v>
      </c>
    </row>
    <row r="212">
      <c r="A212" s="15" t="inlineStr">
        <is>
          <t>14 Jun</t>
        </is>
      </c>
      <c r="B212" s="15" t="inlineStr">
        <is>
          <t>37830</t>
        </is>
      </c>
      <c r="C212" s="16" t="n">
        <v>1</v>
      </c>
      <c r="D212" s="49" t="n">
        <v>93.84</v>
      </c>
      <c r="E212" s="18" t="n">
        <v>3414</v>
      </c>
      <c r="F212" s="18" t="n">
        <v>3654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3</v>
      </c>
    </row>
    <row r="213">
      <c r="A213" s="15" t="inlineStr">
        <is>
          <t>14 Jun</t>
        </is>
      </c>
      <c r="B213" s="15" t="inlineStr">
        <is>
          <t>39023</t>
        </is>
      </c>
      <c r="C213" s="16" t="n">
        <v>1</v>
      </c>
      <c r="D213" s="49" t="n">
        <v>93.88</v>
      </c>
      <c r="E213" s="18" t="n">
        <v>3320</v>
      </c>
      <c r="F213" s="18" t="n">
        <v>3549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2</v>
      </c>
    </row>
    <row r="214">
      <c r="A214" s="15" t="inlineStr">
        <is>
          <t>14 Jun</t>
        </is>
      </c>
      <c r="B214" s="15" t="inlineStr">
        <is>
          <t>30476</t>
        </is>
      </c>
      <c r="C214" s="16" t="n">
        <v>1</v>
      </c>
      <c r="D214" s="49" t="n">
        <v>93.78</v>
      </c>
      <c r="E214" s="18" t="n">
        <v>3049</v>
      </c>
      <c r="F214" s="18" t="n">
        <v>3191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2</v>
      </c>
    </row>
    <row r="215">
      <c r="A215" s="15" t="inlineStr">
        <is>
          <t>14 Jun</t>
        </is>
      </c>
      <c r="B215" s="15" t="inlineStr">
        <is>
          <t>37086</t>
        </is>
      </c>
      <c r="C215" s="16" t="n">
        <v>0</v>
      </c>
      <c r="D215" s="49" t="n">
        <v>59.33</v>
      </c>
      <c r="E215" s="18" t="n">
        <v>4406</v>
      </c>
      <c r="F215" s="18" t="n">
        <v>4407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1</v>
      </c>
    </row>
    <row r="216">
      <c r="A216" s="15" t="inlineStr">
        <is>
          <t>14 Jun</t>
        </is>
      </c>
      <c r="B216" s="15" t="inlineStr">
        <is>
          <t>37956</t>
        </is>
      </c>
      <c r="C216" s="16" t="n">
        <v>0</v>
      </c>
      <c r="D216" s="49" t="n">
        <v>45.33</v>
      </c>
      <c r="E216" s="18" t="n">
        <v>2526</v>
      </c>
      <c r="F216" s="18" t="n">
        <v>2636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2</v>
      </c>
    </row>
    <row r="217">
      <c r="A217" s="15" t="inlineStr">
        <is>
          <t>14 Jun</t>
        </is>
      </c>
      <c r="B217" s="15" t="inlineStr">
        <is>
          <t>39308</t>
        </is>
      </c>
      <c r="C217" s="16" t="n">
        <v>0</v>
      </c>
      <c r="D217" s="49" t="n">
        <v>40.87</v>
      </c>
      <c r="E217" s="18" t="n">
        <v>1801</v>
      </c>
      <c r="F217" s="18" t="n">
        <v>2241</v>
      </c>
      <c r="G217" s="19">
        <f>IF(F217=0,0,E217/F217*100)</f>
        <v/>
      </c>
      <c r="H217" s="16" t="n">
        <v>0</v>
      </c>
      <c r="I217" s="16" t="n">
        <v>0</v>
      </c>
      <c r="J217" s="16" t="n">
        <v>0</v>
      </c>
      <c r="K217" s="16" t="n">
        <v>2</v>
      </c>
    </row>
    <row r="218">
      <c r="A218" s="15" t="inlineStr">
        <is>
          <t>14 Jun</t>
        </is>
      </c>
      <c r="B218" s="15" t="inlineStr">
        <is>
          <t>37507</t>
        </is>
      </c>
      <c r="C218" s="16" t="n">
        <v>0</v>
      </c>
      <c r="D218" s="49" t="n">
        <v>15.78</v>
      </c>
      <c r="E218" s="18" t="n">
        <v>1064</v>
      </c>
      <c r="F218" s="18" t="n">
        <v>1140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0</v>
      </c>
    </row>
    <row r="219">
      <c r="A219" s="15" t="inlineStr">
        <is>
          <t>14 Jun</t>
        </is>
      </c>
      <c r="B219" s="15" t="inlineStr">
        <is>
          <t>39287</t>
        </is>
      </c>
      <c r="C219" s="16" t="n">
        <v>0</v>
      </c>
      <c r="D219" s="49" t="n">
        <v>40.3</v>
      </c>
      <c r="E219" s="18" t="n">
        <v>714</v>
      </c>
      <c r="F219" s="18" t="n">
        <v>905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1</v>
      </c>
    </row>
    <row r="220">
      <c r="A220" s="15" t="inlineStr">
        <is>
          <t>14 Jun</t>
        </is>
      </c>
      <c r="B220" s="15" t="inlineStr">
        <is>
          <t>37322</t>
        </is>
      </c>
      <c r="C220" s="16" t="n">
        <v>0</v>
      </c>
      <c r="D220" s="49" t="n">
        <v>30.36</v>
      </c>
      <c r="E220" s="18" t="n">
        <v>495</v>
      </c>
      <c r="F220" s="18" t="n">
        <v>698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1</v>
      </c>
    </row>
    <row r="221">
      <c r="A221" s="15" t="inlineStr">
        <is>
          <t>14 Jun</t>
        </is>
      </c>
      <c r="B221" s="15" t="inlineStr">
        <is>
          <t>37266</t>
        </is>
      </c>
      <c r="C221" s="16" t="n">
        <v>0</v>
      </c>
      <c r="D221" s="49" t="n">
        <v>36.76</v>
      </c>
      <c r="E221" s="18" t="n">
        <v>568</v>
      </c>
      <c r="F221" s="18" t="n">
        <v>687</v>
      </c>
      <c r="G221" s="19">
        <f>IF(F221=0,0,E221/F221*100)</f>
        <v/>
      </c>
      <c r="H221" s="16" t="n">
        <v>0</v>
      </c>
      <c r="I221" s="16" t="n">
        <v>0</v>
      </c>
      <c r="J221" s="16" t="n">
        <v>0</v>
      </c>
      <c r="K221" s="16" t="n">
        <v>1</v>
      </c>
    </row>
    <row r="222">
      <c r="A222" s="15" t="inlineStr">
        <is>
          <t>14 Jun</t>
        </is>
      </c>
      <c r="B222" s="15" t="inlineStr">
        <is>
          <t>37684</t>
        </is>
      </c>
      <c r="C222" s="16" t="n">
        <v>0</v>
      </c>
      <c r="D222" s="49" t="n">
        <v>19.64</v>
      </c>
      <c r="E222" s="18" t="n">
        <v>529</v>
      </c>
      <c r="F222" s="18" t="n">
        <v>656</v>
      </c>
      <c r="G222" s="19">
        <f>IF(F222=0,0,E222/F222*100)</f>
        <v/>
      </c>
      <c r="H222" s="16" t="n">
        <v>0</v>
      </c>
      <c r="I222" s="16" t="n">
        <v>0</v>
      </c>
      <c r="J222" s="16" t="n">
        <v>0</v>
      </c>
      <c r="K222" s="16" t="n">
        <v>1</v>
      </c>
    </row>
    <row r="223">
      <c r="A223" s="15" t="inlineStr">
        <is>
          <t>14 Jun</t>
        </is>
      </c>
      <c r="B223" s="15" t="inlineStr">
        <is>
          <t>37582</t>
        </is>
      </c>
      <c r="C223" s="16" t="n">
        <v>0</v>
      </c>
      <c r="D223" s="49" t="n">
        <v>31.62</v>
      </c>
      <c r="E223" s="18" t="n">
        <v>488</v>
      </c>
      <c r="F223" s="18" t="n">
        <v>630</v>
      </c>
      <c r="G223" s="19">
        <f>IF(F223=0,0,E223/F223*100)</f>
        <v/>
      </c>
      <c r="H223" s="16" t="n">
        <v>0</v>
      </c>
      <c r="I223" s="16" t="n">
        <v>0</v>
      </c>
      <c r="J223" s="16" t="n">
        <v>0</v>
      </c>
      <c r="K223" s="16" t="n">
        <v>1</v>
      </c>
    </row>
    <row r="224">
      <c r="A224" s="15" t="inlineStr">
        <is>
          <t>14 Jun</t>
        </is>
      </c>
      <c r="B224" s="15" t="inlineStr">
        <is>
          <t>30415</t>
        </is>
      </c>
      <c r="C224" s="16" t="n">
        <v>0</v>
      </c>
      <c r="D224" s="49" t="n">
        <v>36.31</v>
      </c>
      <c r="E224" s="18" t="n">
        <v>295</v>
      </c>
      <c r="F224" s="18" t="n">
        <v>435</v>
      </c>
      <c r="G224" s="19">
        <f>IF(F224=0,0,E224/F224*100)</f>
        <v/>
      </c>
      <c r="H224" s="16" t="n">
        <v>0</v>
      </c>
      <c r="I224" s="16" t="n">
        <v>0</v>
      </c>
      <c r="J224" s="16" t="n">
        <v>0</v>
      </c>
      <c r="K224" s="16" t="n">
        <v>1</v>
      </c>
    </row>
    <row r="225">
      <c r="A225" s="15" t="inlineStr">
        <is>
          <t>14 Jun</t>
        </is>
      </c>
      <c r="B225" s="15" t="inlineStr">
        <is>
          <t>37656</t>
        </is>
      </c>
      <c r="C225" s="16" t="n">
        <v>0</v>
      </c>
      <c r="D225" s="49" t="n">
        <v>0.9399999999999999</v>
      </c>
      <c r="E225" s="18" t="n">
        <v>340</v>
      </c>
      <c r="F225" s="18" t="n">
        <v>364</v>
      </c>
      <c r="G225" s="19">
        <f>IF(F225=0,0,E225/F225*100)</f>
        <v/>
      </c>
      <c r="H225" s="16" t="n">
        <v>0</v>
      </c>
      <c r="I225" s="16" t="n">
        <v>0</v>
      </c>
      <c r="J225" s="16" t="n">
        <v>0</v>
      </c>
      <c r="K225" s="16" t="n">
        <v>0</v>
      </c>
    </row>
    <row r="226">
      <c r="A226" s="15" t="inlineStr">
        <is>
          <t>14 Jun</t>
        </is>
      </c>
      <c r="B226" s="15" t="inlineStr">
        <is>
          <t>37163</t>
        </is>
      </c>
      <c r="C226" s="16" t="n">
        <v>0</v>
      </c>
      <c r="D226" s="49" t="n">
        <v>14.12</v>
      </c>
      <c r="E226" s="18" t="n">
        <v>79</v>
      </c>
      <c r="F226" s="18" t="n">
        <v>79</v>
      </c>
      <c r="G226" s="19">
        <f>IF(F226=0,0,E226/F226*100)</f>
        <v/>
      </c>
      <c r="H226" s="16" t="n">
        <v>0</v>
      </c>
      <c r="I226" s="16" t="n">
        <v>0</v>
      </c>
      <c r="J226" s="16" t="n">
        <v>0</v>
      </c>
      <c r="K226" s="16" t="n">
        <v>0</v>
      </c>
    </row>
    <row r="227">
      <c r="A227" s="20" t="inlineStr">
        <is>
          <t>14 Jun</t>
        </is>
      </c>
      <c r="B227" s="20" t="inlineStr">
        <is>
          <t>Day Total</t>
        </is>
      </c>
      <c r="C227" s="21">
        <f>SUM(C196:C226)</f>
        <v/>
      </c>
      <c r="D227" s="50">
        <f>SUM(D196:D226)</f>
        <v/>
      </c>
      <c r="E227" s="23">
        <f>SUM(E196:E226)</f>
        <v/>
      </c>
      <c r="F227" s="23">
        <f>SUMIF(E196:E226,"&gt;0",F196:F226)</f>
        <v/>
      </c>
      <c r="G227" s="24">
        <f>IF(F227=0,0,E227/F227*100)</f>
        <v/>
      </c>
      <c r="H227" s="21">
        <f>SUM(H196:H226)</f>
        <v/>
      </c>
      <c r="I227" s="21">
        <f>SUM(I196:I226)</f>
        <v/>
      </c>
      <c r="J227" s="21">
        <f>SUM(J196:J226)</f>
        <v/>
      </c>
      <c r="K227" s="21">
        <f>SUM(K196:K226)</f>
        <v/>
      </c>
    </row>
    <row r="228">
      <c r="A228" s="25" t="inlineStr">
        <is>
          <t>GRAND TOTAL</t>
        </is>
      </c>
      <c r="B228" s="25" t="n"/>
      <c r="C228" s="26">
        <f>C34+C64+C99+C133+C170+C195+C227</f>
        <v/>
      </c>
      <c r="D228" s="51">
        <f>D34+D64+D99+D133+D170+D195+D227</f>
        <v/>
      </c>
      <c r="E228" s="28">
        <f>E34+E64+E99+E133+E170+E195+E227</f>
        <v/>
      </c>
      <c r="F228" s="28">
        <f>F34+F64+F99+F133+F170+F195+F227</f>
        <v/>
      </c>
      <c r="G228" s="29">
        <f>IF(F228=0,0,E228/F228*100)</f>
        <v/>
      </c>
      <c r="H228" s="26">
        <f>H34+H64+H99+H133+H170+H195+H227</f>
        <v/>
      </c>
      <c r="I228" s="26">
        <f>I34+I64+I99+I133+I170+I195+I227</f>
        <v/>
      </c>
      <c r="J228" s="26">
        <f>J34+J64+J99+J133+J170+J195+J227</f>
        <v/>
      </c>
      <c r="K228" s="26">
        <f>K34+K64+K99+K133+K170+K195+K227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13   ·   Valid trips = 11   ·   Non-valid trips = 2   ·   Undesirable = 9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</row>
    <row r="6">
      <c r="A6" s="31" t="inlineStr">
        <is>
          <t>8 Jun</t>
        </is>
      </c>
      <c r="B6" s="31" t="inlineStr">
        <is>
          <t>37752</t>
        </is>
      </c>
      <c r="C6" s="31" t="inlineStr">
        <is>
          <t>Non-Valid</t>
        </is>
      </c>
      <c r="D6" s="31" t="inlineStr">
        <is>
          <t>19:58:12</t>
        </is>
      </c>
      <c r="E6" s="31" t="inlineStr">
        <is>
          <t>19:59:20</t>
        </is>
      </c>
      <c r="F6" s="31" t="n">
        <v>68</v>
      </c>
      <c r="G6" s="31" t="n">
        <v>35</v>
      </c>
      <c r="H6" s="31" t="n">
        <v>1</v>
      </c>
      <c r="I6" s="31" t="inlineStr">
        <is>
          <t>TRIP</t>
        </is>
      </c>
      <c r="J6" s="32" t="n">
        <v>433.7</v>
      </c>
      <c r="K6" s="31" t="inlineStr">
        <is>
          <t>R</t>
        </is>
      </c>
      <c r="L6" s="31" t="inlineStr">
        <is>
          <t>ANAND Jn</t>
        </is>
      </c>
      <c r="M6" s="33" t="inlineStr">
        <is>
          <t>1 km/h</t>
        </is>
      </c>
      <c r="N6" s="33" t="inlineStr">
        <is>
          <t>0</t>
        </is>
      </c>
      <c r="O6" s="31" t="inlineStr">
        <is>
          <t>-</t>
        </is>
      </c>
      <c r="P6" s="34" t="inlineStr">
        <is>
          <t>EB at 0-1 km/h; Trip mode</t>
        </is>
      </c>
    </row>
    <row r="7" ht="34" customHeight="1">
      <c r="A7" s="16" t="inlineStr">
        <is>
          <t>9 Jun</t>
        </is>
      </c>
      <c r="B7" s="16" t="inlineStr">
        <is>
          <t>37812</t>
        </is>
      </c>
      <c r="C7" s="16" t="inlineStr">
        <is>
          <t>Valid</t>
        </is>
      </c>
      <c r="D7" s="16" t="inlineStr">
        <is>
          <t>14:29:54</t>
        </is>
      </c>
      <c r="E7" s="16" t="inlineStr">
        <is>
          <t>14:30:04</t>
        </is>
      </c>
      <c r="F7" s="16" t="n">
        <v>10</v>
      </c>
      <c r="G7" s="16" t="n">
        <v>6</v>
      </c>
      <c r="H7" s="16" t="n">
        <v>43</v>
      </c>
      <c r="I7" s="16" t="inlineStr">
        <is>
          <t>FS</t>
        </is>
      </c>
      <c r="J7" s="35" t="n">
        <v>479.13</v>
      </c>
      <c r="K7" s="16" t="inlineStr">
        <is>
          <t>R</t>
        </is>
      </c>
      <c r="L7" s="16" t="inlineStr">
        <is>
          <t>BAREJADI NANDEJ</t>
        </is>
      </c>
      <c r="M7" s="36" t="inlineStr">
        <is>
          <t>43 km/h</t>
        </is>
      </c>
      <c r="N7" s="36" t="inlineStr">
        <is>
          <t>752</t>
        </is>
      </c>
      <c r="O7" s="16" t="inlineStr">
        <is>
          <t>-</t>
        </is>
      </c>
      <c r="P7" s="36" t="inlineStr">
        <is>
          <t>-</t>
        </is>
      </c>
    </row>
    <row r="8">
      <c r="A8" s="16" t="inlineStr">
        <is>
          <t>9 Jun</t>
        </is>
      </c>
      <c r="B8" s="16" t="inlineStr">
        <is>
          <t>30334</t>
        </is>
      </c>
      <c r="C8" s="16" t="inlineStr">
        <is>
          <t>Valid</t>
        </is>
      </c>
      <c r="D8" s="16" t="inlineStr">
        <is>
          <t>15:58:36</t>
        </is>
      </c>
      <c r="E8" s="16" t="inlineStr">
        <is>
          <t>15:58:36</t>
        </is>
      </c>
      <c r="F8" s="16" t="n">
        <v>0</v>
      </c>
      <c r="G8" s="16" t="n">
        <v>1</v>
      </c>
      <c r="H8" s="16" t="n">
        <v>13</v>
      </c>
      <c r="I8" s="16" t="inlineStr">
        <is>
          <t>FS</t>
        </is>
      </c>
      <c r="J8" s="35" t="n">
        <v>432.92</v>
      </c>
      <c r="K8" s="16" t="inlineStr">
        <is>
          <t>R</t>
        </is>
      </c>
      <c r="L8" s="16" t="inlineStr">
        <is>
          <t>ANAND Jn</t>
        </is>
      </c>
      <c r="M8" s="36" t="inlineStr">
        <is>
          <t>13 km/h</t>
        </is>
      </c>
      <c r="N8" s="36" t="inlineStr">
        <is>
          <t>2559</t>
        </is>
      </c>
      <c r="O8" s="16" t="inlineStr">
        <is>
          <t>-</t>
        </is>
      </c>
      <c r="P8" s="36" t="inlineStr">
        <is>
          <t>-</t>
        </is>
      </c>
    </row>
    <row r="9">
      <c r="A9" s="16" t="inlineStr">
        <is>
          <t>9 Jun</t>
        </is>
      </c>
      <c r="B9" s="16" t="inlineStr">
        <is>
          <t>30733</t>
        </is>
      </c>
      <c r="C9" s="16" t="inlineStr">
        <is>
          <t>Valid</t>
        </is>
      </c>
      <c r="D9" s="16" t="inlineStr">
        <is>
          <t>18:55:34</t>
        </is>
      </c>
      <c r="E9" s="16" t="inlineStr">
        <is>
          <t>18:55:42</t>
        </is>
      </c>
      <c r="F9" s="16" t="n">
        <v>8</v>
      </c>
      <c r="G9" s="16" t="n">
        <v>5</v>
      </c>
      <c r="H9" s="16" t="n">
        <v>11</v>
      </c>
      <c r="I9" s="16" t="inlineStr">
        <is>
          <t>SR</t>
        </is>
      </c>
      <c r="J9" s="35" t="n">
        <v>494.9</v>
      </c>
      <c r="K9" s="16" t="inlineStr">
        <is>
          <t>U</t>
        </is>
      </c>
      <c r="L9" s="16" t="inlineStr">
        <is>
          <t>AHMEDABAD Jn</t>
        </is>
      </c>
      <c r="M9" s="36" t="inlineStr">
        <is>
          <t>11 km/h</t>
        </is>
      </c>
      <c r="N9" s="36" t="inlineStr">
        <is>
          <t>1044</t>
        </is>
      </c>
      <c r="O9" s="16" t="inlineStr">
        <is>
          <t>-</t>
        </is>
      </c>
      <c r="P9" s="34" t="inlineStr">
        <is>
          <t>FS-&gt;SR degradation + EB</t>
        </is>
      </c>
    </row>
    <row r="10">
      <c r="A10" s="16" t="inlineStr">
        <is>
          <t>10 Jun</t>
        </is>
      </c>
      <c r="B10" s="16" t="inlineStr">
        <is>
          <t>30829</t>
        </is>
      </c>
      <c r="C10" s="16" t="inlineStr">
        <is>
          <t>Valid</t>
        </is>
      </c>
      <c r="D10" s="16" t="inlineStr">
        <is>
          <t>04:15:48</t>
        </is>
      </c>
      <c r="E10" s="16" t="inlineStr">
        <is>
          <t>04:15:48</t>
        </is>
      </c>
      <c r="F10" s="16" t="n">
        <v>0</v>
      </c>
      <c r="G10" s="16" t="n">
        <v>1</v>
      </c>
      <c r="H10" s="16" t="n">
        <v>13</v>
      </c>
      <c r="I10" s="16" t="inlineStr">
        <is>
          <t>FS</t>
        </is>
      </c>
      <c r="J10" s="35" t="n">
        <v>432.63</v>
      </c>
      <c r="K10" s="16" t="inlineStr">
        <is>
          <t>R</t>
        </is>
      </c>
      <c r="L10" s="16" t="inlineStr">
        <is>
          <t>ANAND Jn</t>
        </is>
      </c>
      <c r="M10" s="36" t="inlineStr">
        <is>
          <t>13 km/h</t>
        </is>
      </c>
      <c r="N10" s="36" t="inlineStr">
        <is>
          <t>1073</t>
        </is>
      </c>
      <c r="O10" s="16" t="inlineStr">
        <is>
          <t>-</t>
        </is>
      </c>
      <c r="P10" s="36" t="inlineStr">
        <is>
          <t>-</t>
        </is>
      </c>
    </row>
    <row r="11" ht="34" customHeight="1">
      <c r="A11" s="16" t="inlineStr">
        <is>
          <t>10 Jun</t>
        </is>
      </c>
      <c r="B11" s="16" t="inlineStr">
        <is>
          <t>30829</t>
        </is>
      </c>
      <c r="C11" s="16" t="inlineStr">
        <is>
          <t>Valid</t>
        </is>
      </c>
      <c r="D11" s="16" t="inlineStr">
        <is>
          <t>04:15:52</t>
        </is>
      </c>
      <c r="E11" s="16" t="inlineStr">
        <is>
          <t>04:17:38</t>
        </is>
      </c>
      <c r="F11" s="16" t="n">
        <v>106</v>
      </c>
      <c r="G11" s="16" t="n">
        <v>54</v>
      </c>
      <c r="H11" s="16" t="n">
        <v>8</v>
      </c>
      <c r="I11" s="16" t="inlineStr">
        <is>
          <t>TRIP</t>
        </is>
      </c>
      <c r="J11" s="35" t="n">
        <v>432.62</v>
      </c>
      <c r="K11" s="16" t="inlineStr">
        <is>
          <t>R</t>
        </is>
      </c>
      <c r="L11" s="16" t="inlineStr">
        <is>
          <t>ANAND Jn</t>
        </is>
      </c>
      <c r="M11" s="36" t="inlineStr">
        <is>
          <t>8 km/h</t>
        </is>
      </c>
      <c r="N11" s="36" t="inlineStr">
        <is>
          <t>0
MA dropped from 1073 to 0.</t>
        </is>
      </c>
      <c r="O11" s="16" t="inlineStr">
        <is>
          <t>-</t>
        </is>
      </c>
      <c r="P11" s="34" t="inlineStr">
        <is>
          <t>Sudden MA drop; Trip mode</t>
        </is>
      </c>
    </row>
    <row r="12">
      <c r="A12" s="31" t="inlineStr">
        <is>
          <t>11 Jun</t>
        </is>
      </c>
      <c r="B12" s="31" t="inlineStr">
        <is>
          <t>39307</t>
        </is>
      </c>
      <c r="C12" s="31" t="inlineStr">
        <is>
          <t>Non-Valid</t>
        </is>
      </c>
      <c r="D12" s="31" t="inlineStr">
        <is>
          <t>20:02:24</t>
        </is>
      </c>
      <c r="E12" s="31" t="inlineStr">
        <is>
          <t>20:04:40</t>
        </is>
      </c>
      <c r="F12" s="31" t="n">
        <v>136</v>
      </c>
      <c r="G12" s="31" t="n">
        <v>55</v>
      </c>
      <c r="H12" s="31" t="n">
        <v>0</v>
      </c>
      <c r="I12" s="31" t="inlineStr">
        <is>
          <t>TRIP</t>
        </is>
      </c>
      <c r="J12" s="32" t="n">
        <v>433.7</v>
      </c>
      <c r="K12" s="31" t="inlineStr">
        <is>
          <t>R</t>
        </is>
      </c>
      <c r="L12" s="31" t="inlineStr">
        <is>
          <t>LC-264</t>
        </is>
      </c>
      <c r="M12" s="33" t="inlineStr">
        <is>
          <t>0 km/h</t>
        </is>
      </c>
      <c r="N12" s="33" t="inlineStr">
        <is>
          <t>0</t>
        </is>
      </c>
      <c r="O12" s="31" t="inlineStr">
        <is>
          <t>-</t>
        </is>
      </c>
      <c r="P12" s="34" t="inlineStr">
        <is>
          <t>EB at 0-1 km/h; Trip mode</t>
        </is>
      </c>
    </row>
    <row r="13">
      <c r="A13" s="16" t="inlineStr">
        <is>
          <t>12 Jun</t>
        </is>
      </c>
      <c r="B13" s="16" t="inlineStr">
        <is>
          <t>30606</t>
        </is>
      </c>
      <c r="C13" s="16" t="inlineStr">
        <is>
          <t>Valid</t>
        </is>
      </c>
      <c r="D13" s="16" t="inlineStr">
        <is>
          <t>13:59:30</t>
        </is>
      </c>
      <c r="E13" s="16" t="inlineStr">
        <is>
          <t>13:59:48</t>
        </is>
      </c>
      <c r="F13" s="16" t="n">
        <v>18</v>
      </c>
      <c r="G13" s="16" t="n">
        <v>10</v>
      </c>
      <c r="H13" s="16" t="n">
        <v>45</v>
      </c>
      <c r="I13" s="16" t="inlineStr">
        <is>
          <t>SR</t>
        </is>
      </c>
      <c r="J13" s="35" t="n">
        <v>497.72</v>
      </c>
      <c r="K13" s="16" t="inlineStr">
        <is>
          <t>U</t>
        </is>
      </c>
      <c r="L13" s="16" t="inlineStr">
        <is>
          <t>AHMEDABAD Jn</t>
        </is>
      </c>
      <c r="M13" s="36" t="inlineStr">
        <is>
          <t>45 km/h</t>
        </is>
      </c>
      <c r="N13" s="36" t="inlineStr">
        <is>
          <t>1574</t>
        </is>
      </c>
      <c r="O13" s="16" t="inlineStr">
        <is>
          <t>-</t>
        </is>
      </c>
      <c r="P13" s="34" t="inlineStr">
        <is>
          <t>FS-&gt;SR degradation + EB</t>
        </is>
      </c>
    </row>
    <row r="14">
      <c r="A14" s="16" t="inlineStr">
        <is>
          <t>12 Jun</t>
        </is>
      </c>
      <c r="B14" s="16" t="inlineStr">
        <is>
          <t>37956</t>
        </is>
      </c>
      <c r="C14" s="16" t="inlineStr">
        <is>
          <t>Valid</t>
        </is>
      </c>
      <c r="D14" s="16" t="inlineStr">
        <is>
          <t>20:35:14</t>
        </is>
      </c>
      <c r="E14" s="16" t="inlineStr">
        <is>
          <t>20:36:32</t>
        </is>
      </c>
      <c r="F14" s="16" t="n">
        <v>78</v>
      </c>
      <c r="G14" s="16" t="n">
        <v>39</v>
      </c>
      <c r="H14" s="16" t="n">
        <v>108</v>
      </c>
      <c r="I14" s="16" t="inlineStr">
        <is>
          <t>TRIP</t>
        </is>
      </c>
      <c r="J14" s="35" t="n">
        <v>461.9</v>
      </c>
      <c r="K14" s="16" t="inlineStr">
        <is>
          <t>N</t>
        </is>
      </c>
      <c r="L14" s="16" t="inlineStr">
        <is>
          <t>LC-286</t>
        </is>
      </c>
      <c r="M14" s="36" t="inlineStr">
        <is>
          <t>108 km/h</t>
        </is>
      </c>
      <c r="N14" s="36" t="inlineStr">
        <is>
          <t>n/a</t>
        </is>
      </c>
      <c r="O14" s="16" t="inlineStr">
        <is>
          <t>-</t>
        </is>
      </c>
      <c r="P14" s="34" t="inlineStr">
        <is>
          <t>Trip mode</t>
        </is>
      </c>
    </row>
    <row r="15">
      <c r="A15" s="16" t="inlineStr">
        <is>
          <t>14 Jun</t>
        </is>
      </c>
      <c r="B15" s="16" t="inlineStr">
        <is>
          <t>37339</t>
        </is>
      </c>
      <c r="C15" s="16" t="inlineStr">
        <is>
          <t>Valid</t>
        </is>
      </c>
      <c r="D15" s="16" t="inlineStr">
        <is>
          <t>01:46:12</t>
        </is>
      </c>
      <c r="E15" s="16" t="inlineStr">
        <is>
          <t>01:46:18</t>
        </is>
      </c>
      <c r="F15" s="16" t="n">
        <v>6</v>
      </c>
      <c r="G15" s="16" t="n">
        <v>4</v>
      </c>
      <c r="H15" s="16" t="n">
        <v>10</v>
      </c>
      <c r="I15" s="16" t="inlineStr">
        <is>
          <t>SR</t>
        </is>
      </c>
      <c r="J15" s="35" t="n">
        <v>495.01</v>
      </c>
      <c r="K15" s="16" t="inlineStr">
        <is>
          <t>U</t>
        </is>
      </c>
      <c r="L15" s="16" t="inlineStr">
        <is>
          <t>AHMEDABAD Jn</t>
        </is>
      </c>
      <c r="M15" s="36" t="inlineStr">
        <is>
          <t>10 km/h</t>
        </is>
      </c>
      <c r="N15" s="36" t="inlineStr">
        <is>
          <t>689</t>
        </is>
      </c>
      <c r="O15" s="16" t="inlineStr">
        <is>
          <t>-</t>
        </is>
      </c>
      <c r="P15" s="34" t="inlineStr">
        <is>
          <t>FS-&gt;SR degradation + EB</t>
        </is>
      </c>
    </row>
    <row r="16">
      <c r="A16" s="16" t="inlineStr">
        <is>
          <t>14 Jun</t>
        </is>
      </c>
      <c r="B16" s="16" t="inlineStr">
        <is>
          <t>37339</t>
        </is>
      </c>
      <c r="C16" s="16" t="inlineStr">
        <is>
          <t>Valid</t>
        </is>
      </c>
      <c r="D16" s="16" t="inlineStr">
        <is>
          <t>02:03:24</t>
        </is>
      </c>
      <c r="E16" s="16" t="inlineStr">
        <is>
          <t>02:03:36</t>
        </is>
      </c>
      <c r="F16" s="16" t="n">
        <v>12</v>
      </c>
      <c r="G16" s="16" t="n">
        <v>7</v>
      </c>
      <c r="H16" s="16" t="n">
        <v>28</v>
      </c>
      <c r="I16" s="16" t="inlineStr">
        <is>
          <t>SR</t>
        </is>
      </c>
      <c r="J16" s="35" t="n">
        <v>497.74</v>
      </c>
      <c r="K16" s="16" t="inlineStr">
        <is>
          <t>U</t>
        </is>
      </c>
      <c r="L16" s="16" t="inlineStr">
        <is>
          <t>AHMEDABAD Jn</t>
        </is>
      </c>
      <c r="M16" s="36" t="inlineStr">
        <is>
          <t>28 km/h</t>
        </is>
      </c>
      <c r="N16" s="36" t="inlineStr">
        <is>
          <t>1804</t>
        </is>
      </c>
      <c r="O16" s="16" t="inlineStr">
        <is>
          <t>-</t>
        </is>
      </c>
      <c r="P16" s="34" t="inlineStr">
        <is>
          <t>FS-&gt;SR degradation + EB</t>
        </is>
      </c>
    </row>
    <row r="17">
      <c r="A17" s="16" t="inlineStr">
        <is>
          <t>14 Jun</t>
        </is>
      </c>
      <c r="B17" s="16" t="inlineStr">
        <is>
          <t>39030</t>
        </is>
      </c>
      <c r="C17" s="16" t="inlineStr">
        <is>
          <t>Valid</t>
        </is>
      </c>
      <c r="D17" s="16" t="inlineStr">
        <is>
          <t>04:51:08</t>
        </is>
      </c>
      <c r="E17" s="16" t="inlineStr">
        <is>
          <t>04:51:08</t>
        </is>
      </c>
      <c r="F17" s="16" t="n">
        <v>0</v>
      </c>
      <c r="G17" s="16" t="n">
        <v>1</v>
      </c>
      <c r="H17" s="16" t="n">
        <v>92</v>
      </c>
      <c r="I17" s="16" t="inlineStr">
        <is>
          <t>FS</t>
        </is>
      </c>
      <c r="J17" s="35" t="n">
        <v>410.64</v>
      </c>
      <c r="K17" s="16" t="inlineStr">
        <is>
          <t>R</t>
        </is>
      </c>
      <c r="L17" s="16" t="inlineStr">
        <is>
          <t>LC-246</t>
        </is>
      </c>
      <c r="M17" s="36" t="inlineStr">
        <is>
          <t>92 km/h</t>
        </is>
      </c>
      <c r="N17" s="36" t="inlineStr">
        <is>
          <t>1977</t>
        </is>
      </c>
      <c r="O17" s="16" t="inlineStr">
        <is>
          <t>-</t>
        </is>
      </c>
      <c r="P17" s="36" t="inlineStr">
        <is>
          <t>-</t>
        </is>
      </c>
    </row>
    <row r="18">
      <c r="A18" s="16" t="inlineStr">
        <is>
          <t>14 Jun</t>
        </is>
      </c>
      <c r="B18" s="16" t="inlineStr">
        <is>
          <t>37277</t>
        </is>
      </c>
      <c r="C18" s="16" t="inlineStr">
        <is>
          <t>Valid</t>
        </is>
      </c>
      <c r="D18" s="16" t="inlineStr">
        <is>
          <t>20:30:18</t>
        </is>
      </c>
      <c r="E18" s="16" t="inlineStr">
        <is>
          <t>20:31:20</t>
        </is>
      </c>
      <c r="F18" s="16" t="n">
        <v>62</v>
      </c>
      <c r="G18" s="16" t="n">
        <v>31</v>
      </c>
      <c r="H18" s="16" t="n">
        <v>80</v>
      </c>
      <c r="I18" s="16" t="inlineStr">
        <is>
          <t>Failure</t>
        </is>
      </c>
      <c r="J18" s="35" t="n">
        <v>447.3</v>
      </c>
      <c r="K18" s="16" t="inlineStr">
        <is>
          <t>R</t>
        </is>
      </c>
      <c r="L18" s="16" t="inlineStr">
        <is>
          <t>NADIAD</t>
        </is>
      </c>
      <c r="M18" s="36" t="inlineStr">
        <is>
          <t>80 km/h</t>
        </is>
      </c>
      <c r="N18" s="36" t="inlineStr">
        <is>
          <t>3517</t>
        </is>
      </c>
      <c r="O18" s="16" t="inlineStr">
        <is>
          <t>-</t>
        </is>
      </c>
      <c r="P18" s="34" t="inlineStr">
        <is>
          <t>Failure mode; Emergency: Stopped in Block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400398 - 494312  (24000_ADI to 24051_BRC).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23)</t>
        </is>
      </c>
      <c r="M4" s="14" t="inlineStr">
        <is>
          <t>Stations Not Passed (if &lt; full trip)</t>
        </is>
      </c>
    </row>
    <row r="5">
      <c r="A5" s="16" t="inlineStr">
        <is>
          <t>8 Jun</t>
        </is>
      </c>
      <c r="B5" s="16" t="inlineStr">
        <is>
          <t>30098</t>
        </is>
      </c>
      <c r="C5" s="16" t="n">
        <v>3383</v>
      </c>
      <c r="D5" s="16" t="n">
        <v>3383</v>
      </c>
      <c r="E5" s="16" t="n">
        <v>2888</v>
      </c>
      <c r="F5" s="38" t="n">
        <v>367920</v>
      </c>
      <c r="G5" s="38" t="n">
        <v>495810</v>
      </c>
      <c r="H5" s="38" t="n">
        <v>400405</v>
      </c>
      <c r="I5" s="38" t="n">
        <v>494311</v>
      </c>
      <c r="J5" s="19">
        <f>(I5-H5)/1000</f>
        <v/>
      </c>
      <c r="K5" s="16" t="inlineStr">
        <is>
          <t>Yes</t>
        </is>
      </c>
      <c r="L5" s="16" t="n">
        <v>23</v>
      </c>
      <c r="M5" s="39" t="inlineStr">
        <is>
          <t>- (full trip)</t>
        </is>
      </c>
    </row>
    <row r="6">
      <c r="A6" s="16" t="inlineStr">
        <is>
          <t>8 Jun</t>
        </is>
      </c>
      <c r="B6" s="16" t="inlineStr">
        <is>
          <t>37947</t>
        </is>
      </c>
      <c r="C6" s="16" t="n">
        <v>4354</v>
      </c>
      <c r="D6" s="16" t="n">
        <v>4354</v>
      </c>
      <c r="E6" s="16" t="n">
        <v>3681</v>
      </c>
      <c r="F6" s="38" t="n">
        <v>367932</v>
      </c>
      <c r="G6" s="38" t="n">
        <v>494981</v>
      </c>
      <c r="H6" s="38" t="n">
        <v>400403</v>
      </c>
      <c r="I6" s="38" t="n">
        <v>494310</v>
      </c>
      <c r="J6" s="19">
        <f>(I6-H6)/1000</f>
        <v/>
      </c>
      <c r="K6" s="16" t="inlineStr">
        <is>
          <t>Yes</t>
        </is>
      </c>
      <c r="L6" s="16" t="n">
        <v>23</v>
      </c>
      <c r="M6" s="39" t="inlineStr">
        <is>
          <t>- (full trip)</t>
        </is>
      </c>
    </row>
    <row r="7">
      <c r="A7" s="16" t="inlineStr">
        <is>
          <t>8 Jun</t>
        </is>
      </c>
      <c r="B7" s="16" t="inlineStr">
        <is>
          <t>39465</t>
        </is>
      </c>
      <c r="C7" s="16" t="n">
        <v>4193</v>
      </c>
      <c r="D7" s="16" t="n">
        <v>4193</v>
      </c>
      <c r="E7" s="16" t="n">
        <v>3785</v>
      </c>
      <c r="F7" s="38" t="n">
        <v>384259</v>
      </c>
      <c r="G7" s="38" t="n">
        <v>495771</v>
      </c>
      <c r="H7" s="38" t="n">
        <v>400403</v>
      </c>
      <c r="I7" s="38" t="n">
        <v>494309</v>
      </c>
      <c r="J7" s="19">
        <f>(I7-H7)/1000</f>
        <v/>
      </c>
      <c r="K7" s="16" t="inlineStr">
        <is>
          <t>Yes</t>
        </is>
      </c>
      <c r="L7" s="16" t="n">
        <v>23</v>
      </c>
      <c r="M7" s="39" t="inlineStr">
        <is>
          <t>- (full trip)</t>
        </is>
      </c>
    </row>
    <row r="8">
      <c r="A8" s="16" t="inlineStr">
        <is>
          <t>8 Jun</t>
        </is>
      </c>
      <c r="B8" s="16" t="inlineStr">
        <is>
          <t>30759</t>
        </is>
      </c>
      <c r="C8" s="16" t="n">
        <v>4300</v>
      </c>
      <c r="D8" s="16" t="n">
        <v>4300</v>
      </c>
      <c r="E8" s="16" t="n">
        <v>3909</v>
      </c>
      <c r="F8" s="38" t="n">
        <v>370100</v>
      </c>
      <c r="G8" s="38" t="n">
        <v>495778</v>
      </c>
      <c r="H8" s="38" t="n">
        <v>400415</v>
      </c>
      <c r="I8" s="38" t="n">
        <v>494312</v>
      </c>
      <c r="J8" s="19">
        <f>(I8-H8)/1000</f>
        <v/>
      </c>
      <c r="K8" s="16" t="inlineStr">
        <is>
          <t>Yes</t>
        </is>
      </c>
      <c r="L8" s="16" t="n">
        <v>23</v>
      </c>
      <c r="M8" s="39" t="inlineStr">
        <is>
          <t>- (full trip)</t>
        </is>
      </c>
    </row>
    <row r="9">
      <c r="A9" s="16" t="inlineStr">
        <is>
          <t>8 Jun</t>
        </is>
      </c>
      <c r="B9" s="16" t="inlineStr">
        <is>
          <t>37566</t>
        </is>
      </c>
      <c r="C9" s="16" t="n">
        <v>9594</v>
      </c>
      <c r="D9" s="16" t="n">
        <v>9594</v>
      </c>
      <c r="E9" s="16" t="n">
        <v>8241</v>
      </c>
      <c r="F9" s="38" t="n">
        <v>375625</v>
      </c>
      <c r="G9" s="38" t="n">
        <v>495781</v>
      </c>
      <c r="H9" s="38" t="n">
        <v>400416</v>
      </c>
      <c r="I9" s="38" t="n">
        <v>494312</v>
      </c>
      <c r="J9" s="19">
        <f>(I9-H9)/1000</f>
        <v/>
      </c>
      <c r="K9" s="16" t="inlineStr">
        <is>
          <t>Yes</t>
        </is>
      </c>
      <c r="L9" s="16" t="n">
        <v>23</v>
      </c>
      <c r="M9" s="39" t="inlineStr">
        <is>
          <t>- (full trip)</t>
        </is>
      </c>
    </row>
    <row r="10">
      <c r="A10" s="16" t="inlineStr">
        <is>
          <t>8 Jun</t>
        </is>
      </c>
      <c r="B10" s="16" t="inlineStr">
        <is>
          <t>37956</t>
        </is>
      </c>
      <c r="C10" s="16" t="n">
        <v>5045</v>
      </c>
      <c r="D10" s="16" t="n">
        <v>5045</v>
      </c>
      <c r="E10" s="16" t="n">
        <v>4518</v>
      </c>
      <c r="F10" s="38" t="n">
        <v>367888</v>
      </c>
      <c r="G10" s="38" t="n">
        <v>495808</v>
      </c>
      <c r="H10" s="38" t="n">
        <v>400419</v>
      </c>
      <c r="I10" s="38" t="n">
        <v>494312</v>
      </c>
      <c r="J10" s="19">
        <f>(I10-H10)/1000</f>
        <v/>
      </c>
      <c r="K10" s="16" t="inlineStr">
        <is>
          <t>Yes</t>
        </is>
      </c>
      <c r="L10" s="16" t="n">
        <v>23</v>
      </c>
      <c r="M10" s="39" t="inlineStr">
        <is>
          <t>- (full trip)</t>
        </is>
      </c>
    </row>
    <row r="11">
      <c r="A11" s="16" t="inlineStr">
        <is>
          <t>8 Jun</t>
        </is>
      </c>
      <c r="B11" s="16" t="inlineStr">
        <is>
          <t>30474</t>
        </is>
      </c>
      <c r="C11" s="16" t="n">
        <v>4344</v>
      </c>
      <c r="D11" s="16" t="n">
        <v>4344</v>
      </c>
      <c r="E11" s="16" t="n">
        <v>3990</v>
      </c>
      <c r="F11" s="38" t="n">
        <v>396293</v>
      </c>
      <c r="G11" s="38" t="n">
        <v>494967</v>
      </c>
      <c r="H11" s="38" t="n">
        <v>400433</v>
      </c>
      <c r="I11" s="38" t="n">
        <v>494311</v>
      </c>
      <c r="J11" s="19">
        <f>(I11-H11)/1000</f>
        <v/>
      </c>
      <c r="K11" s="16" t="inlineStr">
        <is>
          <t>Yes</t>
        </is>
      </c>
      <c r="L11" s="16" t="n">
        <v>23</v>
      </c>
      <c r="M11" s="39" t="inlineStr">
        <is>
          <t>- (full trip)</t>
        </is>
      </c>
    </row>
    <row r="12">
      <c r="A12" s="16" t="inlineStr">
        <is>
          <t>8 Jun</t>
        </is>
      </c>
      <c r="B12" s="16" t="inlineStr">
        <is>
          <t>37019</t>
        </is>
      </c>
      <c r="C12" s="16" t="n">
        <v>8252</v>
      </c>
      <c r="D12" s="16" t="n">
        <v>8252</v>
      </c>
      <c r="E12" s="16" t="n">
        <v>7747</v>
      </c>
      <c r="F12" s="38" t="n">
        <v>383776</v>
      </c>
      <c r="G12" s="38" t="n">
        <v>495793</v>
      </c>
      <c r="H12" s="38" t="n">
        <v>400441</v>
      </c>
      <c r="I12" s="38" t="n">
        <v>494312</v>
      </c>
      <c r="J12" s="19">
        <f>(I12-H12)/1000</f>
        <v/>
      </c>
      <c r="K12" s="16" t="inlineStr">
        <is>
          <t>Yes</t>
        </is>
      </c>
      <c r="L12" s="16" t="n">
        <v>23</v>
      </c>
      <c r="M12" s="39" t="inlineStr">
        <is>
          <t>- (full trip)</t>
        </is>
      </c>
    </row>
    <row r="13">
      <c r="A13" s="16" t="inlineStr">
        <is>
          <t>8 Jun</t>
        </is>
      </c>
      <c r="B13" s="16" t="inlineStr">
        <is>
          <t>39131</t>
        </is>
      </c>
      <c r="C13" s="16" t="n">
        <v>5091</v>
      </c>
      <c r="D13" s="16" t="n">
        <v>5091</v>
      </c>
      <c r="E13" s="16" t="n">
        <v>4525</v>
      </c>
      <c r="F13" s="38" t="n">
        <v>360811</v>
      </c>
      <c r="G13" s="38" t="n">
        <v>495807</v>
      </c>
      <c r="H13" s="38" t="n">
        <v>400429</v>
      </c>
      <c r="I13" s="38" t="n">
        <v>494301</v>
      </c>
      <c r="J13" s="19">
        <f>(I13-H13)/1000</f>
        <v/>
      </c>
      <c r="K13" s="16" t="inlineStr">
        <is>
          <t>Yes</t>
        </is>
      </c>
      <c r="L13" s="16" t="n">
        <v>23</v>
      </c>
      <c r="M13" s="39" t="inlineStr">
        <is>
          <t>- (full trip)</t>
        </is>
      </c>
    </row>
    <row r="14">
      <c r="A14" s="16" t="inlineStr">
        <is>
          <t>8 Jun</t>
        </is>
      </c>
      <c r="B14" s="16" t="inlineStr">
        <is>
          <t>30080</t>
        </is>
      </c>
      <c r="C14" s="16" t="n">
        <v>5174</v>
      </c>
      <c r="D14" s="16" t="n">
        <v>5174</v>
      </c>
      <c r="E14" s="16" t="n">
        <v>4814</v>
      </c>
      <c r="F14" s="38" t="n">
        <v>371985</v>
      </c>
      <c r="G14" s="38" t="n">
        <v>495006</v>
      </c>
      <c r="H14" s="38" t="n">
        <v>400449</v>
      </c>
      <c r="I14" s="38" t="n">
        <v>494311</v>
      </c>
      <c r="J14" s="19">
        <f>(I14-H14)/1000</f>
        <v/>
      </c>
      <c r="K14" s="16" t="inlineStr">
        <is>
          <t>Yes</t>
        </is>
      </c>
      <c r="L14" s="16" t="n">
        <v>23</v>
      </c>
      <c r="M14" s="39" t="inlineStr">
        <is>
          <t>- (full trip)</t>
        </is>
      </c>
    </row>
    <row r="15">
      <c r="A15" s="16" t="inlineStr">
        <is>
          <t>8 Jun</t>
        </is>
      </c>
      <c r="B15" s="16" t="inlineStr">
        <is>
          <t>37548</t>
        </is>
      </c>
      <c r="C15" s="16" t="n">
        <v>3963</v>
      </c>
      <c r="D15" s="16" t="n">
        <v>3963</v>
      </c>
      <c r="E15" s="16" t="n">
        <v>3660</v>
      </c>
      <c r="F15" s="38" t="n">
        <v>384188</v>
      </c>
      <c r="G15" s="38" t="n">
        <v>494895</v>
      </c>
      <c r="H15" s="38" t="n">
        <v>400445</v>
      </c>
      <c r="I15" s="38" t="n">
        <v>494310</v>
      </c>
      <c r="J15" s="19">
        <f>(I15-H15)/1000</f>
        <v/>
      </c>
      <c r="K15" s="16" t="inlineStr">
        <is>
          <t>Yes</t>
        </is>
      </c>
      <c r="L15" s="16" t="n">
        <v>23</v>
      </c>
      <c r="M15" s="39" t="inlineStr">
        <is>
          <t>- (full trip)</t>
        </is>
      </c>
    </row>
    <row r="16">
      <c r="A16" s="16" t="inlineStr">
        <is>
          <t>8 Jun</t>
        </is>
      </c>
      <c r="B16" s="16" t="inlineStr">
        <is>
          <t>30791</t>
        </is>
      </c>
      <c r="C16" s="16" t="n">
        <v>4933</v>
      </c>
      <c r="D16" s="16" t="n">
        <v>4933</v>
      </c>
      <c r="E16" s="16" t="n">
        <v>4587</v>
      </c>
      <c r="F16" s="38" t="n">
        <v>384148</v>
      </c>
      <c r="G16" s="38" t="n">
        <v>494967</v>
      </c>
      <c r="H16" s="38" t="n">
        <v>400466</v>
      </c>
      <c r="I16" s="38" t="n">
        <v>494312</v>
      </c>
      <c r="J16" s="19">
        <f>(I16-H16)/1000</f>
        <v/>
      </c>
      <c r="K16" s="16" t="inlineStr">
        <is>
          <t>Yes</t>
        </is>
      </c>
      <c r="L16" s="16" t="n">
        <v>23</v>
      </c>
      <c r="M16" s="39" t="inlineStr">
        <is>
          <t>- (full trip)</t>
        </is>
      </c>
    </row>
    <row r="17">
      <c r="A17" s="16" t="inlineStr">
        <is>
          <t>8 Jun</t>
        </is>
      </c>
      <c r="B17" s="16" t="inlineStr">
        <is>
          <t>39027</t>
        </is>
      </c>
      <c r="C17" s="16" t="n">
        <v>8166</v>
      </c>
      <c r="D17" s="16" t="n">
        <v>8166</v>
      </c>
      <c r="E17" s="16" t="n">
        <v>7458</v>
      </c>
      <c r="F17" s="38" t="n">
        <v>379840</v>
      </c>
      <c r="G17" s="38" t="n">
        <v>495807</v>
      </c>
      <c r="H17" s="38" t="n">
        <v>400469</v>
      </c>
      <c r="I17" s="38" t="n">
        <v>494312</v>
      </c>
      <c r="J17" s="19">
        <f>(I17-H17)/1000</f>
        <v/>
      </c>
      <c r="K17" s="16" t="inlineStr">
        <is>
          <t>Yes</t>
        </is>
      </c>
      <c r="L17" s="16" t="n">
        <v>23</v>
      </c>
      <c r="M17" s="39" t="inlineStr">
        <is>
          <t>- (full trip)</t>
        </is>
      </c>
    </row>
    <row r="18">
      <c r="A18" s="16" t="inlineStr">
        <is>
          <t>8 Jun</t>
        </is>
      </c>
      <c r="B18" s="16" t="inlineStr">
        <is>
          <t>30606</t>
        </is>
      </c>
      <c r="C18" s="16" t="n">
        <v>4167</v>
      </c>
      <c r="D18" s="16" t="n">
        <v>4167</v>
      </c>
      <c r="E18" s="16" t="n">
        <v>3940</v>
      </c>
      <c r="F18" s="38" t="n">
        <v>396221</v>
      </c>
      <c r="G18" s="38" t="n">
        <v>494975</v>
      </c>
      <c r="H18" s="38" t="n">
        <v>400534</v>
      </c>
      <c r="I18" s="38" t="n">
        <v>494310</v>
      </c>
      <c r="J18" s="19">
        <f>(I18-H18)/1000</f>
        <v/>
      </c>
      <c r="K18" s="16" t="inlineStr">
        <is>
          <t>Yes</t>
        </is>
      </c>
      <c r="L18" s="16" t="n">
        <v>23</v>
      </c>
      <c r="M18" s="39" t="inlineStr">
        <is>
          <t>- (full trip)</t>
        </is>
      </c>
    </row>
    <row r="19">
      <c r="A19" s="16" t="inlineStr">
        <is>
          <t>8 Jun</t>
        </is>
      </c>
      <c r="B19" s="16" t="inlineStr">
        <is>
          <t>37504</t>
        </is>
      </c>
      <c r="C19" s="16" t="n">
        <v>7352</v>
      </c>
      <c r="D19" s="16" t="n">
        <v>7352</v>
      </c>
      <c r="E19" s="16" t="n">
        <v>7060</v>
      </c>
      <c r="F19" s="38" t="n">
        <v>400993</v>
      </c>
      <c r="G19" s="38" t="n">
        <v>495803</v>
      </c>
      <c r="H19" s="38" t="n">
        <v>400993</v>
      </c>
      <c r="I19" s="38" t="n">
        <v>494309</v>
      </c>
      <c r="J19" s="19">
        <f>(I19-H19)/1000</f>
        <v/>
      </c>
      <c r="K19" s="16" t="inlineStr">
        <is>
          <t>Yes</t>
        </is>
      </c>
      <c r="L19" s="16" t="n">
        <v>23</v>
      </c>
      <c r="M19" s="39" t="inlineStr">
        <is>
          <t>- (full trip)</t>
        </is>
      </c>
    </row>
    <row r="20">
      <c r="A20" s="16" t="inlineStr">
        <is>
          <t>8 Jun</t>
        </is>
      </c>
      <c r="B20" s="16" t="inlineStr">
        <is>
          <t>37328</t>
        </is>
      </c>
      <c r="C20" s="16" t="n">
        <v>5784</v>
      </c>
      <c r="D20" s="16" t="n">
        <v>5784</v>
      </c>
      <c r="E20" s="16" t="n">
        <v>5568</v>
      </c>
      <c r="F20" s="38" t="n">
        <v>400996</v>
      </c>
      <c r="G20" s="38" t="n">
        <v>494896</v>
      </c>
      <c r="H20" s="38" t="n">
        <v>400996</v>
      </c>
      <c r="I20" s="38" t="n">
        <v>494310</v>
      </c>
      <c r="J20" s="19">
        <f>(I20-H20)/1000</f>
        <v/>
      </c>
      <c r="K20" s="16" t="inlineStr">
        <is>
          <t>Yes</t>
        </is>
      </c>
      <c r="L20" s="16" t="n">
        <v>23</v>
      </c>
      <c r="M20" s="39" t="inlineStr">
        <is>
          <t>- (full trip)</t>
        </is>
      </c>
    </row>
    <row r="21">
      <c r="A21" s="16" t="inlineStr">
        <is>
          <t>8 Jun</t>
        </is>
      </c>
      <c r="B21" s="16" t="inlineStr">
        <is>
          <t>37813</t>
        </is>
      </c>
      <c r="C21" s="16" t="n">
        <v>6021</v>
      </c>
      <c r="D21" s="16" t="n">
        <v>6021</v>
      </c>
      <c r="E21" s="16" t="n">
        <v>6021</v>
      </c>
      <c r="F21" s="38" t="n">
        <v>403426</v>
      </c>
      <c r="G21" s="38" t="n">
        <v>494307</v>
      </c>
      <c r="H21" s="38" t="n">
        <v>403426</v>
      </c>
      <c r="I21" s="38" t="n">
        <v>494307</v>
      </c>
      <c r="J21" s="19">
        <f>(I21-H21)/1000</f>
        <v/>
      </c>
      <c r="K21" s="16" t="inlineStr">
        <is>
          <t>Yes</t>
        </is>
      </c>
      <c r="L21" s="16" t="n">
        <v>23</v>
      </c>
      <c r="M21" s="39" t="inlineStr">
        <is>
          <t>- (full trip)</t>
        </is>
      </c>
    </row>
    <row r="22">
      <c r="A22" s="16" t="inlineStr">
        <is>
          <t>8 Jun</t>
        </is>
      </c>
      <c r="B22" s="16" t="inlineStr">
        <is>
          <t>37164</t>
        </is>
      </c>
      <c r="C22" s="16" t="n">
        <v>3271</v>
      </c>
      <c r="D22" s="16" t="n">
        <v>3271</v>
      </c>
      <c r="E22" s="16" t="n">
        <v>2965</v>
      </c>
      <c r="F22" s="38" t="n">
        <v>432665</v>
      </c>
      <c r="G22" s="38" t="n">
        <v>495732</v>
      </c>
      <c r="H22" s="38" t="n">
        <v>432665</v>
      </c>
      <c r="I22" s="38" t="n">
        <v>494312</v>
      </c>
      <c r="J22" s="19">
        <f>(I22-H22)/1000</f>
        <v/>
      </c>
      <c r="K22" s="16" t="inlineStr">
        <is>
          <t>Yes</t>
        </is>
      </c>
      <c r="L22" s="16" t="n">
        <v>16</v>
      </c>
      <c r="M22" s="39" t="inlineStr">
        <is>
          <t>BAJWA, RANOLI, LC-246, VASAD, ADAS ROAD, VADOD, LC-258</t>
        </is>
      </c>
    </row>
    <row r="23">
      <c r="A23" s="16" t="inlineStr">
        <is>
          <t>8 Jun</t>
        </is>
      </c>
      <c r="B23" s="16" t="inlineStr">
        <is>
          <t>37752</t>
        </is>
      </c>
      <c r="C23" s="16" t="n">
        <v>2935</v>
      </c>
      <c r="D23" s="16" t="n">
        <v>2935</v>
      </c>
      <c r="E23" s="16" t="n">
        <v>2691</v>
      </c>
      <c r="F23" s="38" t="n">
        <v>433701</v>
      </c>
      <c r="G23" s="38" t="n">
        <v>494980</v>
      </c>
      <c r="H23" s="38" t="n">
        <v>433701</v>
      </c>
      <c r="I23" s="38" t="n">
        <v>494312</v>
      </c>
      <c r="J23" s="19">
        <f>(I23-H23)/1000</f>
        <v/>
      </c>
      <c r="K23" s="16" t="inlineStr">
        <is>
          <t>Yes</t>
        </is>
      </c>
      <c r="L23" s="16" t="n">
        <v>16</v>
      </c>
      <c r="M23" s="39" t="inlineStr">
        <is>
          <t>BAJWA, RANOLI, LC-246, VASAD, ADAS ROAD, VADOD, LC-258</t>
        </is>
      </c>
    </row>
    <row r="24" ht="34" customHeight="1">
      <c r="A24" s="16" t="inlineStr">
        <is>
          <t>8 Jun</t>
        </is>
      </c>
      <c r="B24" s="16" t="inlineStr">
        <is>
          <t>30757</t>
        </is>
      </c>
      <c r="C24" s="16" t="n">
        <v>2828</v>
      </c>
      <c r="D24" s="16" t="n">
        <v>2828</v>
      </c>
      <c r="E24" s="16" t="n">
        <v>2584</v>
      </c>
      <c r="F24" s="38" t="n">
        <v>437657</v>
      </c>
      <c r="G24" s="38" t="n">
        <v>494980</v>
      </c>
      <c r="H24" s="38" t="n">
        <v>437657</v>
      </c>
      <c r="I24" s="38" t="n">
        <v>494310</v>
      </c>
      <c r="J24" s="19">
        <f>(I24-H24)/1000</f>
        <v/>
      </c>
      <c r="K24" s="16" t="inlineStr">
        <is>
          <t>Yes</t>
        </is>
      </c>
      <c r="L24" s="16" t="n">
        <v>14</v>
      </c>
      <c r="M24" s="39" t="inlineStr">
        <is>
          <t>BAJWA, RANOLI, LC-246, VASAD, ADAS ROAD, VADOD, LC-258, ANAND Jn, LC-264</t>
        </is>
      </c>
    </row>
    <row r="25" ht="34" customHeight="1">
      <c r="A25" s="16" t="inlineStr">
        <is>
          <t>8 Jun</t>
        </is>
      </c>
      <c r="B25" s="16" t="inlineStr">
        <is>
          <t>41605</t>
        </is>
      </c>
      <c r="C25" s="16" t="n">
        <v>33</v>
      </c>
      <c r="D25" s="16" t="n">
        <v>33</v>
      </c>
      <c r="E25" s="16" t="n">
        <v>33</v>
      </c>
      <c r="F25" s="38" t="n">
        <v>415776</v>
      </c>
      <c r="G25" s="38" t="n">
        <v>465838</v>
      </c>
      <c r="H25" s="38" t="n">
        <v>415776</v>
      </c>
      <c r="I25" s="38" t="n">
        <v>465838</v>
      </c>
      <c r="J25" s="19">
        <f>(I25-H25)/1000</f>
        <v/>
      </c>
      <c r="K25" s="16" t="inlineStr">
        <is>
          <t>Yes</t>
        </is>
      </c>
      <c r="L25" s="16" t="n">
        <v>13</v>
      </c>
      <c r="M25" s="39" t="inlineStr">
        <is>
          <t>BAJWA, RANOLI, LC-246, LC-294, KANIJ, BAREJADI NANDEJ, GERATPUR, VATVA, KANKARIYA CABIN, AHMEDABAD Jn</t>
        </is>
      </c>
    </row>
    <row r="26" ht="49" customHeight="1">
      <c r="A26" s="16" t="inlineStr">
        <is>
          <t>8 Jun</t>
        </is>
      </c>
      <c r="B26" s="16" t="inlineStr">
        <is>
          <t>37131</t>
        </is>
      </c>
      <c r="C26" s="16" t="n">
        <v>595</v>
      </c>
      <c r="D26" s="16" t="n">
        <v>595</v>
      </c>
      <c r="E26" s="16" t="n">
        <v>504</v>
      </c>
      <c r="F26" s="38" t="n">
        <v>396400</v>
      </c>
      <c r="G26" s="38" t="n">
        <v>440748</v>
      </c>
      <c r="H26" s="38" t="n">
        <v>400486</v>
      </c>
      <c r="I26" s="38" t="n">
        <v>440748</v>
      </c>
      <c r="J26" s="19">
        <f>(I26-H26)/1000</f>
        <v/>
      </c>
      <c r="K26" s="16" t="inlineStr">
        <is>
          <t>Yes</t>
        </is>
      </c>
      <c r="L26" s="16" t="n">
        <v>10</v>
      </c>
      <c r="M26" s="39" t="inlineStr">
        <is>
          <t>UTARSANDA, NADIAD, LC-278, GOTHAJ, LC-286, MAHEMDABAD AND KHEDA ROAD, LC-294, KANIJ, BAREJADI NANDEJ, GERATPUR, VATVA, KANKARIYA CABIN, AHMEDABAD Jn</t>
        </is>
      </c>
    </row>
    <row r="27" ht="49" customHeight="1">
      <c r="A27" s="16" t="inlineStr">
        <is>
          <t>8 Jun</t>
        </is>
      </c>
      <c r="B27" s="16" t="inlineStr">
        <is>
          <t>39066</t>
        </is>
      </c>
      <c r="C27" s="16" t="n">
        <v>820</v>
      </c>
      <c r="D27" s="16" t="n">
        <v>820</v>
      </c>
      <c r="E27" s="16" t="n">
        <v>621</v>
      </c>
      <c r="F27" s="38" t="n">
        <v>369923</v>
      </c>
      <c r="G27" s="38" t="n">
        <v>439906</v>
      </c>
      <c r="H27" s="38" t="n">
        <v>400403</v>
      </c>
      <c r="I27" s="38" t="n">
        <v>439906</v>
      </c>
      <c r="J27" s="19">
        <f>(I27-H27)/1000</f>
        <v/>
      </c>
      <c r="K27" s="16" t="inlineStr">
        <is>
          <t>Yes</t>
        </is>
      </c>
      <c r="L27" s="16" t="n">
        <v>10</v>
      </c>
      <c r="M27" s="39" t="inlineStr">
        <is>
          <t>UTARSANDA, NADIAD, LC-278, GOTHAJ, LC-286, MAHEMDABAD AND KHEDA ROAD, LC-294, KANIJ, BAREJADI NANDEJ, GERATPUR, VATVA, KANKARIYA CABIN, AHMEDABAD Jn</t>
        </is>
      </c>
    </row>
    <row r="28" ht="49" customHeight="1">
      <c r="A28" s="16" t="inlineStr">
        <is>
          <t>8 Jun</t>
        </is>
      </c>
      <c r="B28" s="16" t="inlineStr">
        <is>
          <t>37582</t>
        </is>
      </c>
      <c r="C28" s="16" t="n">
        <v>876</v>
      </c>
      <c r="D28" s="16" t="n">
        <v>876</v>
      </c>
      <c r="E28" s="16" t="n">
        <v>528</v>
      </c>
      <c r="F28" s="38" t="n">
        <v>384525</v>
      </c>
      <c r="G28" s="38" t="n">
        <v>437271</v>
      </c>
      <c r="H28" s="38" t="n">
        <v>400445</v>
      </c>
      <c r="I28" s="38" t="n">
        <v>437271</v>
      </c>
      <c r="J28" s="19">
        <f>(I28-H28)/1000</f>
        <v/>
      </c>
      <c r="K28" s="16" t="inlineStr">
        <is>
          <t>Yes</t>
        </is>
      </c>
      <c r="L28" s="16" t="n">
        <v>10</v>
      </c>
      <c r="M28" s="39" t="inlineStr">
        <is>
          <t>UTARSANDA, NADIAD, LC-278, GOTHAJ, LC-286, MAHEMDABAD AND KHEDA ROAD, LC-294, KANIJ, BAREJADI NANDEJ, GERATPUR, VATVA, KANKARIYA CABIN, AHMEDABAD Jn</t>
        </is>
      </c>
    </row>
    <row r="29" ht="49" customHeight="1">
      <c r="A29" s="16" t="inlineStr">
        <is>
          <t>8 Jun</t>
        </is>
      </c>
      <c r="B29" s="16" t="inlineStr">
        <is>
          <t>30770</t>
        </is>
      </c>
      <c r="C29" s="16" t="n">
        <v>2094</v>
      </c>
      <c r="D29" s="16" t="n">
        <v>2094</v>
      </c>
      <c r="E29" s="16" t="n">
        <v>1459</v>
      </c>
      <c r="F29" s="38" t="n">
        <v>370063</v>
      </c>
      <c r="G29" s="38" t="n">
        <v>437150</v>
      </c>
      <c r="H29" s="38" t="n">
        <v>400402</v>
      </c>
      <c r="I29" s="38" t="n">
        <v>437150</v>
      </c>
      <c r="J29" s="19">
        <f>(I29-H29)/1000</f>
        <v/>
      </c>
      <c r="K29" s="16" t="inlineStr">
        <is>
          <t>Yes</t>
        </is>
      </c>
      <c r="L29" s="16" t="n">
        <v>10</v>
      </c>
      <c r="M29" s="39" t="inlineStr">
        <is>
          <t>UTARSANDA, NADIAD, LC-278, GOTHAJ, LC-286, MAHEMDABAD AND KHEDA ROAD, LC-294, KANIJ, BAREJADI NANDEJ, GERATPUR, VATVA, KANKARIYA CABIN, AHMEDABAD Jn</t>
        </is>
      </c>
    </row>
    <row r="30" ht="49" customHeight="1">
      <c r="A30" s="16" t="inlineStr">
        <is>
          <t>8 Jun</t>
        </is>
      </c>
      <c r="B30" s="16" t="inlineStr">
        <is>
          <t>37507</t>
        </is>
      </c>
      <c r="C30" s="16" t="n">
        <v>1121</v>
      </c>
      <c r="D30" s="16" t="n">
        <v>1121</v>
      </c>
      <c r="E30" s="16" t="n">
        <v>736</v>
      </c>
      <c r="F30" s="38" t="n">
        <v>360770</v>
      </c>
      <c r="G30" s="38" t="n">
        <v>436935</v>
      </c>
      <c r="H30" s="38" t="n">
        <v>400401</v>
      </c>
      <c r="I30" s="38" t="n">
        <v>436935</v>
      </c>
      <c r="J30" s="19">
        <f>(I30-H30)/1000</f>
        <v/>
      </c>
      <c r="K30" s="16" t="inlineStr">
        <is>
          <t>Yes</t>
        </is>
      </c>
      <c r="L30" s="16" t="n">
        <v>10</v>
      </c>
      <c r="M30" s="39" t="inlineStr">
        <is>
          <t>UTARSANDA, NADIAD, LC-278, GOTHAJ, LC-286, MAHEMDABAD AND KHEDA ROAD, LC-294, KANIJ, BAREJADI NANDEJ, GERATPUR, VATVA, KANKARIYA CABIN, AHMEDABAD Jn</t>
        </is>
      </c>
    </row>
    <row r="31" ht="49" customHeight="1">
      <c r="A31" s="16" t="inlineStr">
        <is>
          <t>8 Jun</t>
        </is>
      </c>
      <c r="B31" s="16" t="inlineStr">
        <is>
          <t>37602</t>
        </is>
      </c>
      <c r="C31" s="16" t="n">
        <v>538</v>
      </c>
      <c r="D31" s="16" t="n">
        <v>538</v>
      </c>
      <c r="E31" s="16" t="n">
        <v>422</v>
      </c>
      <c r="F31" s="38" t="n">
        <v>370009</v>
      </c>
      <c r="G31" s="38" t="n">
        <v>436715</v>
      </c>
      <c r="H31" s="38" t="n">
        <v>400448</v>
      </c>
      <c r="I31" s="38" t="n">
        <v>436715</v>
      </c>
      <c r="J31" s="19">
        <f>(I31-H31)/1000</f>
        <v/>
      </c>
      <c r="K31" s="16" t="inlineStr">
        <is>
          <t>Yes</t>
        </is>
      </c>
      <c r="L31" s="16" t="n">
        <v>9</v>
      </c>
      <c r="M31" s="39" t="inlineStr">
        <is>
          <t>KANJARI BORIYAVI, UTARSANDA, NADIAD, LC-278, GOTHAJ, LC-286, MAHEMDABAD AND KHEDA ROAD, LC-294, KANIJ, BAREJADI NANDEJ, GERATPUR, VATVA, KANKARIYA CABIN, AHMEDABAD Jn</t>
        </is>
      </c>
    </row>
    <row r="32" ht="49" customHeight="1">
      <c r="A32" s="16" t="inlineStr">
        <is>
          <t>8 Jun</t>
        </is>
      </c>
      <c r="B32" s="16" t="inlineStr">
        <is>
          <t>39014</t>
        </is>
      </c>
      <c r="C32" s="16" t="n">
        <v>736</v>
      </c>
      <c r="D32" s="16" t="n">
        <v>736</v>
      </c>
      <c r="E32" s="16" t="n">
        <v>673</v>
      </c>
      <c r="F32" s="38" t="n">
        <v>399698</v>
      </c>
      <c r="G32" s="38" t="n">
        <v>435541</v>
      </c>
      <c r="H32" s="38" t="n">
        <v>400402</v>
      </c>
      <c r="I32" s="38" t="n">
        <v>435541</v>
      </c>
      <c r="J32" s="19">
        <f>(I32-H32)/1000</f>
        <v/>
      </c>
      <c r="K32" s="16" t="inlineStr">
        <is>
          <t>Yes</t>
        </is>
      </c>
      <c r="L32" s="16" t="n">
        <v>9</v>
      </c>
      <c r="M32" s="39" t="inlineStr">
        <is>
          <t>KANJARI BORIYAVI, UTARSANDA, NADIAD, LC-278, GOTHAJ, LC-286, MAHEMDABAD AND KHEDA ROAD, LC-294, KANIJ, BAREJADI NANDEJ, GERATPUR, VATVA, KANKARIYA CABIN, AHMEDABAD Jn</t>
        </is>
      </c>
    </row>
    <row r="33" ht="49" customHeight="1">
      <c r="A33" s="16" t="inlineStr">
        <is>
          <t>8 Jun</t>
        </is>
      </c>
      <c r="B33" s="16" t="inlineStr">
        <is>
          <t>37818</t>
        </is>
      </c>
      <c r="C33" s="16" t="n">
        <v>783</v>
      </c>
      <c r="D33" s="16" t="n">
        <v>783</v>
      </c>
      <c r="E33" s="16" t="n">
        <v>543</v>
      </c>
      <c r="F33" s="38" t="n">
        <v>396289</v>
      </c>
      <c r="G33" s="38" t="n">
        <v>434569</v>
      </c>
      <c r="H33" s="38" t="n">
        <v>400399</v>
      </c>
      <c r="I33" s="38" t="n">
        <v>434569</v>
      </c>
      <c r="J33" s="19">
        <f>(I33-H33)/1000</f>
        <v/>
      </c>
      <c r="K33" s="16" t="inlineStr">
        <is>
          <t>Yes</t>
        </is>
      </c>
      <c r="L33" s="16" t="n">
        <v>9</v>
      </c>
      <c r="M33" s="39" t="inlineStr">
        <is>
          <t>KANJARI BORIYAVI, UTARSANDA, NADIAD, LC-278, GOTHAJ, LC-286, MAHEMDABAD AND KHEDA ROAD, LC-294, KANIJ, BAREJADI NANDEJ, GERATPUR, VATVA, KANKARIYA CABIN, AHMEDABAD Jn</t>
        </is>
      </c>
    </row>
    <row r="34" ht="49" customHeight="1">
      <c r="A34" s="16" t="inlineStr">
        <is>
          <t>8 Jun</t>
        </is>
      </c>
      <c r="B34" s="16" t="inlineStr">
        <is>
          <t>39466</t>
        </is>
      </c>
      <c r="C34" s="16" t="n">
        <v>1159</v>
      </c>
      <c r="D34" s="16" t="n">
        <v>1159</v>
      </c>
      <c r="E34" s="16" t="n">
        <v>1076</v>
      </c>
      <c r="F34" s="38" t="n">
        <v>370039</v>
      </c>
      <c r="G34" s="38" t="n">
        <v>431207</v>
      </c>
      <c r="H34" s="38" t="n">
        <v>400401</v>
      </c>
      <c r="I34" s="38" t="n">
        <v>431207</v>
      </c>
      <c r="J34" s="19">
        <f>(I34-H34)/1000</f>
        <v/>
      </c>
      <c r="K34" s="16" t="inlineStr">
        <is>
          <t>Yes</t>
        </is>
      </c>
      <c r="L34" s="16" t="n">
        <v>8</v>
      </c>
      <c r="M34" s="39" t="inlineStr">
        <is>
          <t>LC-264, KANJARI BORIYAVI, UTARSANDA, NADIAD, LC-278, GOTHAJ, LC-286, MAHEMDABAD AND KHEDA ROAD, LC-294, KANIJ, BAREJADI NANDEJ, GERATPUR, VATVA, KANKARIYA CABIN, AHMEDABAD Jn</t>
        </is>
      </c>
    </row>
    <row r="35" ht="64" customHeight="1">
      <c r="A35" s="31" t="inlineStr">
        <is>
          <t>8 Jun</t>
        </is>
      </c>
      <c r="B35" s="31" t="inlineStr">
        <is>
          <t>120850</t>
        </is>
      </c>
      <c r="C35" s="31" t="n">
        <v>1174</v>
      </c>
      <c r="D35" s="31" t="n">
        <v>1138</v>
      </c>
      <c r="E35" s="31" t="n">
        <v>0</v>
      </c>
      <c r="F35" s="40" t="n">
        <v>505383</v>
      </c>
      <c r="G35" s="40" t="n">
        <v>519383</v>
      </c>
      <c r="H35" s="40" t="inlineStr">
        <is>
          <t>-</t>
        </is>
      </c>
      <c r="I35" s="40" t="inlineStr">
        <is>
          <t>-</t>
        </is>
      </c>
      <c r="J35" s="41" t="n">
        <v>0</v>
      </c>
      <c r="K35" s="31" t="inlineStr">
        <is>
          <t>No</t>
        </is>
      </c>
      <c r="L35" s="31" t="n">
        <v>0</v>
      </c>
      <c r="M3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" ht="64" customHeight="1">
      <c r="A36" s="31" t="inlineStr">
        <is>
          <t>8 Jun</t>
        </is>
      </c>
      <c r="B36" s="31" t="inlineStr">
        <is>
          <t>30496</t>
        </is>
      </c>
      <c r="C36" s="31" t="n">
        <v>5</v>
      </c>
      <c r="D36" s="31" t="n">
        <v>0</v>
      </c>
      <c r="E36" s="31" t="n">
        <v>0</v>
      </c>
      <c r="F36" s="40" t="inlineStr">
        <is>
          <t>-</t>
        </is>
      </c>
      <c r="G36" s="40" t="inlineStr">
        <is>
          <t>-</t>
        </is>
      </c>
      <c r="H36" s="40" t="inlineStr">
        <is>
          <t>-</t>
        </is>
      </c>
      <c r="I36" s="40" t="inlineStr">
        <is>
          <t>-</t>
        </is>
      </c>
      <c r="J36" s="41" t="n">
        <v>0</v>
      </c>
      <c r="K36" s="31" t="inlineStr">
        <is>
          <t>No</t>
        </is>
      </c>
      <c r="L36" s="31" t="n">
        <v>0</v>
      </c>
      <c r="M3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" ht="64" customHeight="1">
      <c r="A37" s="31" t="inlineStr">
        <is>
          <t>8 Jun</t>
        </is>
      </c>
      <c r="B37" s="31" t="inlineStr">
        <is>
          <t>30733</t>
        </is>
      </c>
      <c r="C37" s="31" t="n">
        <v>194</v>
      </c>
      <c r="D37" s="31" t="n">
        <v>169</v>
      </c>
      <c r="E37" s="31" t="n">
        <v>0</v>
      </c>
      <c r="F37" s="40" t="n">
        <v>494505</v>
      </c>
      <c r="G37" s="40" t="n">
        <v>494896</v>
      </c>
      <c r="H37" s="40" t="inlineStr">
        <is>
          <t>-</t>
        </is>
      </c>
      <c r="I37" s="40" t="inlineStr">
        <is>
          <t>-</t>
        </is>
      </c>
      <c r="J37" s="41" t="n">
        <v>0</v>
      </c>
      <c r="K37" s="31" t="inlineStr">
        <is>
          <t>No</t>
        </is>
      </c>
      <c r="L37" s="31" t="n">
        <v>0</v>
      </c>
      <c r="M3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" ht="64" customHeight="1">
      <c r="A38" s="31" t="inlineStr">
        <is>
          <t>8 Jun</t>
        </is>
      </c>
      <c r="B38" s="31" t="inlineStr">
        <is>
          <t>31467</t>
        </is>
      </c>
      <c r="C38" s="31" t="n">
        <v>1</v>
      </c>
      <c r="D38" s="31" t="n">
        <v>0</v>
      </c>
      <c r="E38" s="31" t="n">
        <v>0</v>
      </c>
      <c r="F38" s="40" t="inlineStr">
        <is>
          <t>-</t>
        </is>
      </c>
      <c r="G38" s="40" t="inlineStr">
        <is>
          <t>-</t>
        </is>
      </c>
      <c r="H38" s="40" t="inlineStr">
        <is>
          <t>-</t>
        </is>
      </c>
      <c r="I38" s="40" t="inlineStr">
        <is>
          <t>-</t>
        </is>
      </c>
      <c r="J38" s="41" t="n">
        <v>0</v>
      </c>
      <c r="K38" s="31" t="inlineStr">
        <is>
          <t>No</t>
        </is>
      </c>
      <c r="L38" s="31" t="n">
        <v>0</v>
      </c>
      <c r="M3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" ht="64" customHeight="1">
      <c r="A39" s="31" t="inlineStr">
        <is>
          <t>8 Jun</t>
        </is>
      </c>
      <c r="B39" s="31" t="inlineStr">
        <is>
          <t>37396</t>
        </is>
      </c>
      <c r="C39" s="31" t="n">
        <v>3</v>
      </c>
      <c r="D39" s="31" t="n">
        <v>0</v>
      </c>
      <c r="E39" s="31" t="n">
        <v>0</v>
      </c>
      <c r="F39" s="40" t="inlineStr">
        <is>
          <t>-</t>
        </is>
      </c>
      <c r="G39" s="40" t="inlineStr">
        <is>
          <t>-</t>
        </is>
      </c>
      <c r="H39" s="40" t="inlineStr">
        <is>
          <t>-</t>
        </is>
      </c>
      <c r="I39" s="40" t="inlineStr">
        <is>
          <t>-</t>
        </is>
      </c>
      <c r="J39" s="41" t="n">
        <v>0</v>
      </c>
      <c r="K39" s="31" t="inlineStr">
        <is>
          <t>No</t>
        </is>
      </c>
      <c r="L39" s="31" t="n">
        <v>0</v>
      </c>
      <c r="M3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0" ht="64" customHeight="1">
      <c r="A40" s="31" t="inlineStr">
        <is>
          <t>8 Jun</t>
        </is>
      </c>
      <c r="B40" s="31" t="inlineStr">
        <is>
          <t>39089</t>
        </is>
      </c>
      <c r="C40" s="31" t="n">
        <v>25</v>
      </c>
      <c r="D40" s="31" t="n">
        <v>14</v>
      </c>
      <c r="E40" s="31" t="n">
        <v>0</v>
      </c>
      <c r="F40" s="40" t="n">
        <v>375676</v>
      </c>
      <c r="G40" s="40" t="n">
        <v>395638</v>
      </c>
      <c r="H40" s="40" t="inlineStr">
        <is>
          <t>-</t>
        </is>
      </c>
      <c r="I40" s="40" t="inlineStr">
        <is>
          <t>-</t>
        </is>
      </c>
      <c r="J40" s="41" t="n">
        <v>0</v>
      </c>
      <c r="K40" s="31" t="inlineStr">
        <is>
          <t>No</t>
        </is>
      </c>
      <c r="L40" s="31" t="n">
        <v>0</v>
      </c>
      <c r="M4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1" ht="64" customHeight="1">
      <c r="A41" s="31" t="inlineStr">
        <is>
          <t>8 Jun</t>
        </is>
      </c>
      <c r="B41" s="31" t="inlineStr">
        <is>
          <t>39235</t>
        </is>
      </c>
      <c r="C41" s="31" t="n">
        <v>7</v>
      </c>
      <c r="D41" s="31" t="n">
        <v>0</v>
      </c>
      <c r="E41" s="31" t="n">
        <v>0</v>
      </c>
      <c r="F41" s="40" t="inlineStr">
        <is>
          <t>-</t>
        </is>
      </c>
      <c r="G41" s="40" t="inlineStr">
        <is>
          <t>-</t>
        </is>
      </c>
      <c r="H41" s="40" t="inlineStr">
        <is>
          <t>-</t>
        </is>
      </c>
      <c r="I41" s="40" t="inlineStr">
        <is>
          <t>-</t>
        </is>
      </c>
      <c r="J41" s="41" t="n">
        <v>0</v>
      </c>
      <c r="K41" s="31" t="inlineStr">
        <is>
          <t>No</t>
        </is>
      </c>
      <c r="L41" s="31" t="n">
        <v>0</v>
      </c>
      <c r="M4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2" ht="64" customHeight="1">
      <c r="A42" s="31" t="inlineStr">
        <is>
          <t>8 Jun</t>
        </is>
      </c>
      <c r="B42" s="31" t="inlineStr">
        <is>
          <t>39308</t>
        </is>
      </c>
      <c r="C42" s="31" t="n">
        <v>197</v>
      </c>
      <c r="D42" s="31" t="n">
        <v>101</v>
      </c>
      <c r="E42" s="31" t="n">
        <v>0</v>
      </c>
      <c r="F42" s="40" t="n">
        <v>2500143</v>
      </c>
      <c r="G42" s="40" t="n">
        <v>2500569</v>
      </c>
      <c r="H42" s="40" t="inlineStr">
        <is>
          <t>-</t>
        </is>
      </c>
      <c r="I42" s="40" t="inlineStr">
        <is>
          <t>-</t>
        </is>
      </c>
      <c r="J42" s="41" t="n">
        <v>0</v>
      </c>
      <c r="K42" s="31" t="inlineStr">
        <is>
          <t>No</t>
        </is>
      </c>
      <c r="L42" s="31" t="n">
        <v>0</v>
      </c>
      <c r="M4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3" ht="64" customHeight="1">
      <c r="A43" s="31" t="inlineStr">
        <is>
          <t>8 Jun</t>
        </is>
      </c>
      <c r="B43" s="31" t="inlineStr">
        <is>
          <t>43515</t>
        </is>
      </c>
      <c r="C43" s="31" t="n">
        <v>5</v>
      </c>
      <c r="D43" s="31" t="n">
        <v>0</v>
      </c>
      <c r="E43" s="31" t="n">
        <v>0</v>
      </c>
      <c r="F43" s="40" t="inlineStr">
        <is>
          <t>-</t>
        </is>
      </c>
      <c r="G43" s="40" t="inlineStr">
        <is>
          <t>-</t>
        </is>
      </c>
      <c r="H43" s="40" t="inlineStr">
        <is>
          <t>-</t>
        </is>
      </c>
      <c r="I43" s="40" t="inlineStr">
        <is>
          <t>-</t>
        </is>
      </c>
      <c r="J43" s="41" t="n">
        <v>0</v>
      </c>
      <c r="K43" s="31" t="inlineStr">
        <is>
          <t>No</t>
        </is>
      </c>
      <c r="L43" s="31" t="n">
        <v>0</v>
      </c>
      <c r="M4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4" ht="64" customHeight="1">
      <c r="A44" s="31" t="inlineStr">
        <is>
          <t>8 Jun</t>
        </is>
      </c>
      <c r="B44" s="31" t="inlineStr">
        <is>
          <t>43658</t>
        </is>
      </c>
      <c r="C44" s="31" t="n">
        <v>7</v>
      </c>
      <c r="D44" s="31" t="n">
        <v>0</v>
      </c>
      <c r="E44" s="31" t="n">
        <v>0</v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1" t="inlineStr">
        <is>
          <t>No</t>
        </is>
      </c>
      <c r="L44" s="31" t="n">
        <v>0</v>
      </c>
      <c r="M4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5" ht="64" customHeight="1">
      <c r="A45" s="31" t="inlineStr">
        <is>
          <t>8 Jun</t>
        </is>
      </c>
      <c r="B45" s="31" t="inlineStr">
        <is>
          <t>51111</t>
        </is>
      </c>
      <c r="C45" s="31" t="n">
        <v>9073</v>
      </c>
      <c r="D45" s="31" t="n">
        <v>9045</v>
      </c>
      <c r="E45" s="31" t="n">
        <v>0</v>
      </c>
      <c r="F45" s="40" t="n">
        <v>504872</v>
      </c>
      <c r="G45" s="40" t="n">
        <v>529978</v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1" t="inlineStr">
        <is>
          <t>No</t>
        </is>
      </c>
      <c r="L45" s="31" t="n">
        <v>0</v>
      </c>
      <c r="M4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6">
      <c r="A46" s="16" t="inlineStr">
        <is>
          <t>9 Jun</t>
        </is>
      </c>
      <c r="B46" s="16" t="inlineStr">
        <is>
          <t>30791</t>
        </is>
      </c>
      <c r="C46" s="16" t="n">
        <v>4720</v>
      </c>
      <c r="D46" s="16" t="n">
        <v>4720</v>
      </c>
      <c r="E46" s="16" t="n">
        <v>4340</v>
      </c>
      <c r="F46" s="38" t="n">
        <v>375811</v>
      </c>
      <c r="G46" s="38" t="n">
        <v>495814</v>
      </c>
      <c r="H46" s="38" t="n">
        <v>400402</v>
      </c>
      <c r="I46" s="38" t="n">
        <v>494312</v>
      </c>
      <c r="J46" s="19">
        <f>(I46-H46)/1000</f>
        <v/>
      </c>
      <c r="K46" s="16" t="inlineStr">
        <is>
          <t>Yes</t>
        </is>
      </c>
      <c r="L46" s="16" t="n">
        <v>23</v>
      </c>
      <c r="M46" s="39" t="inlineStr">
        <is>
          <t>- (full trip)</t>
        </is>
      </c>
    </row>
    <row r="47">
      <c r="A47" s="16" t="inlineStr">
        <is>
          <t>9 Jun</t>
        </is>
      </c>
      <c r="B47" s="16" t="inlineStr">
        <is>
          <t>37164</t>
        </is>
      </c>
      <c r="C47" s="16" t="n">
        <v>3835</v>
      </c>
      <c r="D47" s="16" t="n">
        <v>3835</v>
      </c>
      <c r="E47" s="16" t="n">
        <v>3521</v>
      </c>
      <c r="F47" s="38" t="n">
        <v>384891</v>
      </c>
      <c r="G47" s="38" t="n">
        <v>494983</v>
      </c>
      <c r="H47" s="38" t="n">
        <v>400401</v>
      </c>
      <c r="I47" s="38" t="n">
        <v>494312</v>
      </c>
      <c r="J47" s="19">
        <f>(I47-H47)/1000</f>
        <v/>
      </c>
      <c r="K47" s="16" t="inlineStr">
        <is>
          <t>Yes</t>
        </is>
      </c>
      <c r="L47" s="16" t="n">
        <v>23</v>
      </c>
      <c r="M47" s="39" t="inlineStr">
        <is>
          <t>- (full trip)</t>
        </is>
      </c>
    </row>
    <row r="48">
      <c r="A48" s="16" t="inlineStr">
        <is>
          <t>9 Jun</t>
        </is>
      </c>
      <c r="B48" s="16" t="inlineStr">
        <is>
          <t>39150</t>
        </is>
      </c>
      <c r="C48" s="16" t="n">
        <v>4305</v>
      </c>
      <c r="D48" s="16" t="n">
        <v>4305</v>
      </c>
      <c r="E48" s="16" t="n">
        <v>3904</v>
      </c>
      <c r="F48" s="38" t="n">
        <v>369960</v>
      </c>
      <c r="G48" s="38" t="n">
        <v>495021</v>
      </c>
      <c r="H48" s="38" t="n">
        <v>400408</v>
      </c>
      <c r="I48" s="38" t="n">
        <v>494309</v>
      </c>
      <c r="J48" s="19">
        <f>(I48-H48)/1000</f>
        <v/>
      </c>
      <c r="K48" s="16" t="inlineStr">
        <is>
          <t>Yes</t>
        </is>
      </c>
      <c r="L48" s="16" t="n">
        <v>23</v>
      </c>
      <c r="M48" s="39" t="inlineStr">
        <is>
          <t>- (full trip)</t>
        </is>
      </c>
    </row>
    <row r="49">
      <c r="A49" s="16" t="inlineStr">
        <is>
          <t>9 Jun</t>
        </is>
      </c>
      <c r="B49" s="16" t="inlineStr">
        <is>
          <t>39259</t>
        </is>
      </c>
      <c r="C49" s="16" t="n">
        <v>4395</v>
      </c>
      <c r="D49" s="16" t="n">
        <v>4395</v>
      </c>
      <c r="E49" s="16" t="n">
        <v>3911</v>
      </c>
      <c r="F49" s="38" t="n">
        <v>398294</v>
      </c>
      <c r="G49" s="38" t="n">
        <v>495840</v>
      </c>
      <c r="H49" s="38" t="n">
        <v>400412</v>
      </c>
      <c r="I49" s="38" t="n">
        <v>494308</v>
      </c>
      <c r="J49" s="19">
        <f>(I49-H49)/1000</f>
        <v/>
      </c>
      <c r="K49" s="16" t="inlineStr">
        <is>
          <t>Yes</t>
        </is>
      </c>
      <c r="L49" s="16" t="n">
        <v>23</v>
      </c>
      <c r="M49" s="39" t="inlineStr">
        <is>
          <t>- (full trip)</t>
        </is>
      </c>
    </row>
    <row r="50">
      <c r="A50" s="16" t="inlineStr">
        <is>
          <t>9 Jun</t>
        </is>
      </c>
      <c r="B50" s="16" t="inlineStr">
        <is>
          <t>37830</t>
        </is>
      </c>
      <c r="C50" s="16" t="n">
        <v>9131</v>
      </c>
      <c r="D50" s="16" t="n">
        <v>8223</v>
      </c>
      <c r="E50" s="16" t="n">
        <v>7279</v>
      </c>
      <c r="F50" s="38" t="n">
        <v>370061</v>
      </c>
      <c r="G50" s="38" t="n">
        <v>495695</v>
      </c>
      <c r="H50" s="38" t="n">
        <v>400420</v>
      </c>
      <c r="I50" s="38" t="n">
        <v>494312</v>
      </c>
      <c r="J50" s="19">
        <f>(I50-H50)/1000</f>
        <v/>
      </c>
      <c r="K50" s="16" t="inlineStr">
        <is>
          <t>Yes</t>
        </is>
      </c>
      <c r="L50" s="16" t="n">
        <v>23</v>
      </c>
      <c r="M50" s="39" t="inlineStr">
        <is>
          <t>- (full trip)</t>
        </is>
      </c>
    </row>
    <row r="51">
      <c r="A51" s="16" t="inlineStr">
        <is>
          <t>9 Jun</t>
        </is>
      </c>
      <c r="B51" s="16" t="inlineStr">
        <is>
          <t>37948</t>
        </is>
      </c>
      <c r="C51" s="16" t="n">
        <v>2706</v>
      </c>
      <c r="D51" s="16" t="n">
        <v>2706</v>
      </c>
      <c r="E51" s="16" t="n">
        <v>2577</v>
      </c>
      <c r="F51" s="38" t="n">
        <v>400418</v>
      </c>
      <c r="G51" s="38" t="n">
        <v>494983</v>
      </c>
      <c r="H51" s="38" t="n">
        <v>400418</v>
      </c>
      <c r="I51" s="38" t="n">
        <v>494309</v>
      </c>
      <c r="J51" s="19">
        <f>(I51-H51)/1000</f>
        <v/>
      </c>
      <c r="K51" s="16" t="inlineStr">
        <is>
          <t>Yes</t>
        </is>
      </c>
      <c r="L51" s="16" t="n">
        <v>23</v>
      </c>
      <c r="M51" s="39" t="inlineStr">
        <is>
          <t>- (full trip)</t>
        </is>
      </c>
    </row>
    <row r="52">
      <c r="A52" s="16" t="inlineStr">
        <is>
          <t>9 Jun</t>
        </is>
      </c>
      <c r="B52" s="16" t="inlineStr">
        <is>
          <t>39027</t>
        </is>
      </c>
      <c r="C52" s="16" t="n">
        <v>8600</v>
      </c>
      <c r="D52" s="16" t="n">
        <v>8600</v>
      </c>
      <c r="E52" s="16" t="n">
        <v>7778</v>
      </c>
      <c r="F52" s="38" t="n">
        <v>370022</v>
      </c>
      <c r="G52" s="38" t="n">
        <v>495810</v>
      </c>
      <c r="H52" s="38" t="n">
        <v>400416</v>
      </c>
      <c r="I52" s="38" t="n">
        <v>494310</v>
      </c>
      <c r="J52" s="19">
        <f>(I52-H52)/1000</f>
        <v/>
      </c>
      <c r="K52" s="16" t="inlineStr">
        <is>
          <t>Yes</t>
        </is>
      </c>
      <c r="L52" s="16" t="n">
        <v>23</v>
      </c>
      <c r="M52" s="39" t="inlineStr">
        <is>
          <t>- (full trip)</t>
        </is>
      </c>
    </row>
    <row r="53">
      <c r="A53" s="16" t="inlineStr">
        <is>
          <t>9 Jun</t>
        </is>
      </c>
      <c r="B53" s="16" t="inlineStr">
        <is>
          <t>39465</t>
        </is>
      </c>
      <c r="C53" s="16" t="n">
        <v>4493</v>
      </c>
      <c r="D53" s="16" t="n">
        <v>4493</v>
      </c>
      <c r="E53" s="16" t="n">
        <v>4119</v>
      </c>
      <c r="F53" s="38" t="n">
        <v>375501</v>
      </c>
      <c r="G53" s="38" t="n">
        <v>494949</v>
      </c>
      <c r="H53" s="38" t="n">
        <v>400421</v>
      </c>
      <c r="I53" s="38" t="n">
        <v>494311</v>
      </c>
      <c r="J53" s="19">
        <f>(I53-H53)/1000</f>
        <v/>
      </c>
      <c r="K53" s="16" t="inlineStr">
        <is>
          <t>Yes</t>
        </is>
      </c>
      <c r="L53" s="16" t="n">
        <v>23</v>
      </c>
      <c r="M53" s="39" t="inlineStr">
        <is>
          <t>- (full trip)</t>
        </is>
      </c>
    </row>
    <row r="54">
      <c r="A54" s="16" t="inlineStr">
        <is>
          <t>9 Jun</t>
        </is>
      </c>
      <c r="B54" s="16" t="inlineStr">
        <is>
          <t>30821</t>
        </is>
      </c>
      <c r="C54" s="16" t="n">
        <v>8900</v>
      </c>
      <c r="D54" s="16" t="n">
        <v>8900</v>
      </c>
      <c r="E54" s="16" t="n">
        <v>8071</v>
      </c>
      <c r="F54" s="38" t="n">
        <v>367918</v>
      </c>
      <c r="G54" s="38" t="n">
        <v>495788</v>
      </c>
      <c r="H54" s="38" t="n">
        <v>400435</v>
      </c>
      <c r="I54" s="38" t="n">
        <v>494311</v>
      </c>
      <c r="J54" s="19">
        <f>(I54-H54)/1000</f>
        <v/>
      </c>
      <c r="K54" s="16" t="inlineStr">
        <is>
          <t>Yes</t>
        </is>
      </c>
      <c r="L54" s="16" t="n">
        <v>23</v>
      </c>
      <c r="M54" s="39" t="inlineStr">
        <is>
          <t>- (full trip)</t>
        </is>
      </c>
    </row>
    <row r="55">
      <c r="A55" s="16" t="inlineStr">
        <is>
          <t>9 Jun</t>
        </is>
      </c>
      <c r="B55" s="16" t="inlineStr">
        <is>
          <t>30733</t>
        </is>
      </c>
      <c r="C55" s="16" t="n">
        <v>4605</v>
      </c>
      <c r="D55" s="16" t="n">
        <v>4338</v>
      </c>
      <c r="E55" s="16" t="n">
        <v>3948</v>
      </c>
      <c r="F55" s="38" t="n">
        <v>375596</v>
      </c>
      <c r="G55" s="38" t="n">
        <v>495778</v>
      </c>
      <c r="H55" s="38" t="n">
        <v>400445</v>
      </c>
      <c r="I55" s="38" t="n">
        <v>494312</v>
      </c>
      <c r="J55" s="19">
        <f>(I55-H55)/1000</f>
        <v/>
      </c>
      <c r="K55" s="16" t="inlineStr">
        <is>
          <t>Yes</t>
        </is>
      </c>
      <c r="L55" s="16" t="n">
        <v>23</v>
      </c>
      <c r="M55" s="39" t="inlineStr">
        <is>
          <t>- (full trip)</t>
        </is>
      </c>
    </row>
    <row r="56">
      <c r="A56" s="16" t="inlineStr">
        <is>
          <t>9 Jun</t>
        </is>
      </c>
      <c r="B56" s="16" t="inlineStr">
        <is>
          <t>39028</t>
        </is>
      </c>
      <c r="C56" s="16" t="n">
        <v>4462</v>
      </c>
      <c r="D56" s="16" t="n">
        <v>4462</v>
      </c>
      <c r="E56" s="16" t="n">
        <v>4342</v>
      </c>
      <c r="F56" s="38" t="n">
        <v>370046</v>
      </c>
      <c r="G56" s="38" t="n">
        <v>494259</v>
      </c>
      <c r="H56" s="38" t="n">
        <v>400402</v>
      </c>
      <c r="I56" s="38" t="n">
        <v>494259</v>
      </c>
      <c r="J56" s="19">
        <f>(I56-H56)/1000</f>
        <v/>
      </c>
      <c r="K56" s="16" t="inlineStr">
        <is>
          <t>Yes</t>
        </is>
      </c>
      <c r="L56" s="16" t="n">
        <v>23</v>
      </c>
      <c r="M56" s="39" t="inlineStr">
        <is>
          <t>- (full trip)</t>
        </is>
      </c>
    </row>
    <row r="57">
      <c r="A57" s="16" t="inlineStr">
        <is>
          <t>9 Jun</t>
        </is>
      </c>
      <c r="B57" s="16" t="inlineStr">
        <is>
          <t>37566</t>
        </is>
      </c>
      <c r="C57" s="16" t="n">
        <v>4733</v>
      </c>
      <c r="D57" s="16" t="n">
        <v>4733</v>
      </c>
      <c r="E57" s="16" t="n">
        <v>4278</v>
      </c>
      <c r="F57" s="38" t="n">
        <v>391286</v>
      </c>
      <c r="G57" s="38" t="n">
        <v>494982</v>
      </c>
      <c r="H57" s="38" t="n">
        <v>400461</v>
      </c>
      <c r="I57" s="38" t="n">
        <v>494312</v>
      </c>
      <c r="J57" s="19">
        <f>(I57-H57)/1000</f>
        <v/>
      </c>
      <c r="K57" s="16" t="inlineStr">
        <is>
          <t>Yes</t>
        </is>
      </c>
      <c r="L57" s="16" t="n">
        <v>23</v>
      </c>
      <c r="M57" s="39" t="inlineStr">
        <is>
          <t>- (full trip)</t>
        </is>
      </c>
    </row>
    <row r="58">
      <c r="A58" s="16" t="inlineStr">
        <is>
          <t>9 Jun</t>
        </is>
      </c>
      <c r="B58" s="16" t="inlineStr">
        <is>
          <t>30440</t>
        </is>
      </c>
      <c r="C58" s="16" t="n">
        <v>4815</v>
      </c>
      <c r="D58" s="16" t="n">
        <v>4761</v>
      </c>
      <c r="E58" s="16" t="n">
        <v>4250</v>
      </c>
      <c r="F58" s="38" t="n">
        <v>370006</v>
      </c>
      <c r="G58" s="38" t="n">
        <v>494989</v>
      </c>
      <c r="H58" s="38" t="n">
        <v>400472</v>
      </c>
      <c r="I58" s="38" t="n">
        <v>494312</v>
      </c>
      <c r="J58" s="19">
        <f>(I58-H58)/1000</f>
        <v/>
      </c>
      <c r="K58" s="16" t="inlineStr">
        <is>
          <t>Yes</t>
        </is>
      </c>
      <c r="L58" s="16" t="n">
        <v>23</v>
      </c>
      <c r="M58" s="39" t="inlineStr">
        <is>
          <t>- (full trip)</t>
        </is>
      </c>
    </row>
    <row r="59">
      <c r="A59" s="16" t="inlineStr">
        <is>
          <t>9 Jun</t>
        </is>
      </c>
      <c r="B59" s="16" t="inlineStr">
        <is>
          <t>30334</t>
        </is>
      </c>
      <c r="C59" s="16" t="n">
        <v>5914</v>
      </c>
      <c r="D59" s="16" t="n">
        <v>5883</v>
      </c>
      <c r="E59" s="16" t="n">
        <v>5611</v>
      </c>
      <c r="F59" s="38" t="n">
        <v>400995</v>
      </c>
      <c r="G59" s="38" t="n">
        <v>494986</v>
      </c>
      <c r="H59" s="38" t="n">
        <v>400995</v>
      </c>
      <c r="I59" s="38" t="n">
        <v>494311</v>
      </c>
      <c r="J59" s="19">
        <f>(I59-H59)/1000</f>
        <v/>
      </c>
      <c r="K59" s="16" t="inlineStr">
        <is>
          <t>Yes</t>
        </is>
      </c>
      <c r="L59" s="16" t="n">
        <v>23</v>
      </c>
      <c r="M59" s="39" t="inlineStr">
        <is>
          <t>- (full trip)</t>
        </is>
      </c>
    </row>
    <row r="60">
      <c r="A60" s="16" t="inlineStr">
        <is>
          <t>9 Jun</t>
        </is>
      </c>
      <c r="B60" s="16" t="inlineStr">
        <is>
          <t>39194</t>
        </is>
      </c>
      <c r="C60" s="16" t="n">
        <v>6341</v>
      </c>
      <c r="D60" s="16" t="n">
        <v>6341</v>
      </c>
      <c r="E60" s="16" t="n">
        <v>6087</v>
      </c>
      <c r="F60" s="38" t="n">
        <v>400991</v>
      </c>
      <c r="G60" s="38" t="n">
        <v>495704</v>
      </c>
      <c r="H60" s="38" t="n">
        <v>400991</v>
      </c>
      <c r="I60" s="38" t="n">
        <v>494310</v>
      </c>
      <c r="J60" s="19">
        <f>(I60-H60)/1000</f>
        <v/>
      </c>
      <c r="K60" s="16" t="inlineStr">
        <is>
          <t>Yes</t>
        </is>
      </c>
      <c r="L60" s="16" t="n">
        <v>23</v>
      </c>
      <c r="M60" s="39" t="inlineStr">
        <is>
          <t>- (full trip)</t>
        </is>
      </c>
    </row>
    <row r="61">
      <c r="A61" s="16" t="inlineStr">
        <is>
          <t>9 Jun</t>
        </is>
      </c>
      <c r="B61" s="16" t="inlineStr">
        <is>
          <t>37812</t>
        </is>
      </c>
      <c r="C61" s="16" t="n">
        <v>6263</v>
      </c>
      <c r="D61" s="16" t="n">
        <v>6263</v>
      </c>
      <c r="E61" s="16" t="n">
        <v>6038</v>
      </c>
      <c r="F61" s="38" t="n">
        <v>403855</v>
      </c>
      <c r="G61" s="38" t="n">
        <v>494965</v>
      </c>
      <c r="H61" s="38" t="n">
        <v>403855</v>
      </c>
      <c r="I61" s="38" t="n">
        <v>494311</v>
      </c>
      <c r="J61" s="19">
        <f>(I61-H61)/1000</f>
        <v/>
      </c>
      <c r="K61" s="16" t="inlineStr">
        <is>
          <t>Yes</t>
        </is>
      </c>
      <c r="L61" s="16" t="n">
        <v>23</v>
      </c>
      <c r="M61" s="39" t="inlineStr">
        <is>
          <t>- (full trip)</t>
        </is>
      </c>
    </row>
    <row r="62" ht="49" customHeight="1">
      <c r="A62" s="16" t="inlineStr">
        <is>
          <t>9 Jun</t>
        </is>
      </c>
      <c r="B62" s="16" t="inlineStr">
        <is>
          <t>39243</t>
        </is>
      </c>
      <c r="C62" s="16" t="n">
        <v>762</v>
      </c>
      <c r="D62" s="16" t="n">
        <v>762</v>
      </c>
      <c r="E62" s="16" t="n">
        <v>612</v>
      </c>
      <c r="F62" s="38" t="n">
        <v>370252</v>
      </c>
      <c r="G62" s="38" t="n">
        <v>452338</v>
      </c>
      <c r="H62" s="38" t="n">
        <v>400442</v>
      </c>
      <c r="I62" s="38" t="n">
        <v>452338</v>
      </c>
      <c r="J62" s="19">
        <f>(I62-H62)/1000</f>
        <v/>
      </c>
      <c r="K62" s="16" t="inlineStr">
        <is>
          <t>Yes</t>
        </is>
      </c>
      <c r="L62" s="16" t="n">
        <v>12</v>
      </c>
      <c r="M62" s="39" t="inlineStr">
        <is>
          <t>LC-278, GOTHAJ, LC-286, MAHEMDABAD AND KHEDA ROAD, LC-294, KANIJ, BAREJADI NANDEJ, GERATPUR, VATVA, KANKARIYA CABIN, AHMEDABAD Jn</t>
        </is>
      </c>
    </row>
    <row r="63" ht="49" customHeight="1">
      <c r="A63" s="16" t="inlineStr">
        <is>
          <t>9 Jun</t>
        </is>
      </c>
      <c r="B63" s="16" t="inlineStr">
        <is>
          <t>37577</t>
        </is>
      </c>
      <c r="C63" s="16" t="n">
        <v>1440</v>
      </c>
      <c r="D63" s="16" t="n">
        <v>1440</v>
      </c>
      <c r="E63" s="16" t="n">
        <v>1046</v>
      </c>
      <c r="F63" s="38" t="n">
        <v>369936</v>
      </c>
      <c r="G63" s="38" t="n">
        <v>441443</v>
      </c>
      <c r="H63" s="38" t="n">
        <v>400398</v>
      </c>
      <c r="I63" s="38" t="n">
        <v>441443</v>
      </c>
      <c r="J63" s="19">
        <f>(I63-H63)/1000</f>
        <v/>
      </c>
      <c r="K63" s="16" t="inlineStr">
        <is>
          <t>Yes</t>
        </is>
      </c>
      <c r="L63" s="16" t="n">
        <v>11</v>
      </c>
      <c r="M63" s="39" t="inlineStr">
        <is>
          <t>NADIAD, LC-278, GOTHAJ, LC-286, MAHEMDABAD AND KHEDA ROAD, LC-294, KANIJ, BAREJADI NANDEJ, GERATPUR, VATVA, KANKARIYA CABIN, AHMEDABAD Jn</t>
        </is>
      </c>
    </row>
    <row r="64" ht="49" customHeight="1">
      <c r="A64" s="16" t="inlineStr">
        <is>
          <t>9 Jun</t>
        </is>
      </c>
      <c r="B64" s="16" t="inlineStr">
        <is>
          <t>37019</t>
        </is>
      </c>
      <c r="C64" s="16" t="n">
        <v>931</v>
      </c>
      <c r="D64" s="16" t="n">
        <v>931</v>
      </c>
      <c r="E64" s="16" t="n">
        <v>617</v>
      </c>
      <c r="F64" s="38" t="n">
        <v>384145</v>
      </c>
      <c r="G64" s="38" t="n">
        <v>439901</v>
      </c>
      <c r="H64" s="38" t="n">
        <v>400413</v>
      </c>
      <c r="I64" s="38" t="n">
        <v>439901</v>
      </c>
      <c r="J64" s="19">
        <f>(I64-H64)/1000</f>
        <v/>
      </c>
      <c r="K64" s="16" t="inlineStr">
        <is>
          <t>Yes</t>
        </is>
      </c>
      <c r="L64" s="16" t="n">
        <v>10</v>
      </c>
      <c r="M64" s="39" t="inlineStr">
        <is>
          <t>UTARSANDA, NADIAD, LC-278, GOTHAJ, LC-286, MAHEMDABAD AND KHEDA ROAD, LC-294, KANIJ, BAREJADI NANDEJ, GERATPUR, VATVA, KANKARIYA CABIN, AHMEDABAD Jn</t>
        </is>
      </c>
    </row>
    <row r="65" ht="49" customHeight="1">
      <c r="A65" s="16" t="inlineStr">
        <is>
          <t>9 Jun</t>
        </is>
      </c>
      <c r="B65" s="16" t="inlineStr">
        <is>
          <t>37515</t>
        </is>
      </c>
      <c r="C65" s="16" t="n">
        <v>908</v>
      </c>
      <c r="D65" s="16" t="n">
        <v>908</v>
      </c>
      <c r="E65" s="16" t="n">
        <v>595</v>
      </c>
      <c r="F65" s="38" t="n">
        <v>369993</v>
      </c>
      <c r="G65" s="38" t="n">
        <v>439821</v>
      </c>
      <c r="H65" s="38" t="n">
        <v>400403</v>
      </c>
      <c r="I65" s="38" t="n">
        <v>439821</v>
      </c>
      <c r="J65" s="19">
        <f>(I65-H65)/1000</f>
        <v/>
      </c>
      <c r="K65" s="16" t="inlineStr">
        <is>
          <t>Yes</t>
        </is>
      </c>
      <c r="L65" s="16" t="n">
        <v>10</v>
      </c>
      <c r="M65" s="39" t="inlineStr">
        <is>
          <t>UTARSANDA, NADIAD, LC-278, GOTHAJ, LC-286, MAHEMDABAD AND KHEDA ROAD, LC-294, KANIJ, BAREJADI NANDEJ, GERATPUR, VATVA, KANKARIYA CABIN, AHMEDABAD Jn</t>
        </is>
      </c>
    </row>
    <row r="66" ht="49" customHeight="1">
      <c r="A66" s="16" t="inlineStr">
        <is>
          <t>9 Jun</t>
        </is>
      </c>
      <c r="B66" s="16" t="inlineStr">
        <is>
          <t>37569</t>
        </is>
      </c>
      <c r="C66" s="16" t="n">
        <v>909</v>
      </c>
      <c r="D66" s="16" t="n">
        <v>909</v>
      </c>
      <c r="E66" s="16" t="n">
        <v>759</v>
      </c>
      <c r="F66" s="38" t="n">
        <v>367981</v>
      </c>
      <c r="G66" s="38" t="n">
        <v>439727</v>
      </c>
      <c r="H66" s="38" t="n">
        <v>400423</v>
      </c>
      <c r="I66" s="38" t="n">
        <v>439727</v>
      </c>
      <c r="J66" s="19">
        <f>(I66-H66)/1000</f>
        <v/>
      </c>
      <c r="K66" s="16" t="inlineStr">
        <is>
          <t>Yes</t>
        </is>
      </c>
      <c r="L66" s="16" t="n">
        <v>10</v>
      </c>
      <c r="M66" s="39" t="inlineStr">
        <is>
          <t>UTARSANDA, NADIAD, LC-278, GOTHAJ, LC-286, MAHEMDABAD AND KHEDA ROAD, LC-294, KANIJ, BAREJADI NANDEJ, GERATPUR, VATVA, KANKARIYA CABIN, AHMEDABAD Jn</t>
        </is>
      </c>
    </row>
    <row r="67" ht="49" customHeight="1">
      <c r="A67" s="16" t="inlineStr">
        <is>
          <t>9 Jun</t>
        </is>
      </c>
      <c r="B67" s="16" t="inlineStr">
        <is>
          <t>37383</t>
        </is>
      </c>
      <c r="C67" s="16" t="n">
        <v>801</v>
      </c>
      <c r="D67" s="16" t="n">
        <v>801</v>
      </c>
      <c r="E67" s="16" t="n">
        <v>651</v>
      </c>
      <c r="F67" s="38" t="n">
        <v>367882</v>
      </c>
      <c r="G67" s="38" t="n">
        <v>438698</v>
      </c>
      <c r="H67" s="38" t="n">
        <v>400425</v>
      </c>
      <c r="I67" s="38" t="n">
        <v>438698</v>
      </c>
      <c r="J67" s="19">
        <f>(I67-H67)/1000</f>
        <v/>
      </c>
      <c r="K67" s="16" t="inlineStr">
        <is>
          <t>Yes</t>
        </is>
      </c>
      <c r="L67" s="16" t="n">
        <v>10</v>
      </c>
      <c r="M67" s="39" t="inlineStr">
        <is>
          <t>UTARSANDA, NADIAD, LC-278, GOTHAJ, LC-286, MAHEMDABAD AND KHEDA ROAD, LC-294, KANIJ, BAREJADI NANDEJ, GERATPUR, VATVA, KANKARIYA CABIN, AHMEDABAD Jn</t>
        </is>
      </c>
    </row>
    <row r="68" ht="49" customHeight="1">
      <c r="A68" s="16" t="inlineStr">
        <is>
          <t>9 Jun</t>
        </is>
      </c>
      <c r="B68" s="16" t="inlineStr">
        <is>
          <t>30757</t>
        </is>
      </c>
      <c r="C68" s="16" t="n">
        <v>1997</v>
      </c>
      <c r="D68" s="16" t="n">
        <v>1997</v>
      </c>
      <c r="E68" s="16" t="n">
        <v>1792</v>
      </c>
      <c r="F68" s="38" t="n">
        <v>384093</v>
      </c>
      <c r="G68" s="38" t="n">
        <v>437640</v>
      </c>
      <c r="H68" s="38" t="n">
        <v>400427</v>
      </c>
      <c r="I68" s="38" t="n">
        <v>437640</v>
      </c>
      <c r="J68" s="19">
        <f>(I68-H68)/1000</f>
        <v/>
      </c>
      <c r="K68" s="16" t="inlineStr">
        <is>
          <t>Yes</t>
        </is>
      </c>
      <c r="L68" s="16" t="n">
        <v>10</v>
      </c>
      <c r="M68" s="39" t="inlineStr">
        <is>
          <t>UTARSANDA, NADIAD, LC-278, GOTHAJ, LC-286, MAHEMDABAD AND KHEDA ROAD, LC-294, KANIJ, BAREJADI NANDEJ, GERATPUR, VATVA, KANKARIYA CABIN, AHMEDABAD Jn</t>
        </is>
      </c>
    </row>
    <row r="69" ht="49" customHeight="1">
      <c r="A69" s="16" t="inlineStr">
        <is>
          <t>9 Jun</t>
        </is>
      </c>
      <c r="B69" s="16" t="inlineStr">
        <is>
          <t>37505</t>
        </is>
      </c>
      <c r="C69" s="16" t="n">
        <v>1090</v>
      </c>
      <c r="D69" s="16" t="n">
        <v>1090</v>
      </c>
      <c r="E69" s="16" t="n">
        <v>757</v>
      </c>
      <c r="F69" s="38" t="n">
        <v>383712</v>
      </c>
      <c r="G69" s="38" t="n">
        <v>437232</v>
      </c>
      <c r="H69" s="38" t="n">
        <v>400496</v>
      </c>
      <c r="I69" s="38" t="n">
        <v>437232</v>
      </c>
      <c r="J69" s="19">
        <f>(I69-H69)/1000</f>
        <v/>
      </c>
      <c r="K69" s="16" t="inlineStr">
        <is>
          <t>Yes</t>
        </is>
      </c>
      <c r="L69" s="16" t="n">
        <v>10</v>
      </c>
      <c r="M69" s="39" t="inlineStr">
        <is>
          <t>UTARSANDA, NADIAD, LC-278, GOTHAJ, LC-286, MAHEMDABAD AND KHEDA ROAD, LC-294, KANIJ, BAREJADI NANDEJ, GERATPUR, VATVA, KANKARIYA CABIN, AHMEDABAD Jn</t>
        </is>
      </c>
    </row>
    <row r="70" ht="49" customHeight="1">
      <c r="A70" s="16" t="inlineStr">
        <is>
          <t>9 Jun</t>
        </is>
      </c>
      <c r="B70" s="16" t="inlineStr">
        <is>
          <t>41696</t>
        </is>
      </c>
      <c r="C70" s="16" t="n">
        <v>478</v>
      </c>
      <c r="D70" s="16" t="n">
        <v>478</v>
      </c>
      <c r="E70" s="16" t="n">
        <v>358</v>
      </c>
      <c r="F70" s="38" t="n">
        <v>395388</v>
      </c>
      <c r="G70" s="38" t="n">
        <v>436966</v>
      </c>
      <c r="H70" s="38" t="n">
        <v>400404</v>
      </c>
      <c r="I70" s="38" t="n">
        <v>436966</v>
      </c>
      <c r="J70" s="19">
        <f>(I70-H70)/1000</f>
        <v/>
      </c>
      <c r="K70" s="16" t="inlineStr">
        <is>
          <t>Yes</t>
        </is>
      </c>
      <c r="L70" s="16" t="n">
        <v>10</v>
      </c>
      <c r="M70" s="39" t="inlineStr">
        <is>
          <t>UTARSANDA, NADIAD, LC-278, GOTHAJ, LC-286, MAHEMDABAD AND KHEDA ROAD, LC-294, KANIJ, BAREJADI NANDEJ, GERATPUR, VATVA, KANKARIYA CABIN, AHMEDABAD Jn</t>
        </is>
      </c>
    </row>
    <row r="71" ht="49" customHeight="1">
      <c r="A71" s="16" t="inlineStr">
        <is>
          <t>9 Jun</t>
        </is>
      </c>
      <c r="B71" s="16" t="inlineStr">
        <is>
          <t>37955</t>
        </is>
      </c>
      <c r="C71" s="16" t="n">
        <v>725</v>
      </c>
      <c r="D71" s="16" t="n">
        <v>725</v>
      </c>
      <c r="E71" s="16" t="n">
        <v>456</v>
      </c>
      <c r="F71" s="38" t="n">
        <v>370102</v>
      </c>
      <c r="G71" s="38" t="n">
        <v>434190</v>
      </c>
      <c r="H71" s="38" t="n">
        <v>400405</v>
      </c>
      <c r="I71" s="38" t="n">
        <v>434190</v>
      </c>
      <c r="J71" s="19">
        <f>(I71-H71)/1000</f>
        <v/>
      </c>
      <c r="K71" s="16" t="inlineStr">
        <is>
          <t>Yes</t>
        </is>
      </c>
      <c r="L71" s="16" t="n">
        <v>9</v>
      </c>
      <c r="M71" s="39" t="inlineStr">
        <is>
          <t>KANJARI BORIYAVI, UTARSANDA, NADIAD, LC-278, GOTHAJ, LC-286, MAHEMDABAD AND KHEDA ROAD, LC-294, KANIJ, BAREJADI NANDEJ, GERATPUR, VATVA, KANKARIYA CABIN, AHMEDABAD Jn</t>
        </is>
      </c>
    </row>
    <row r="72" ht="49" customHeight="1">
      <c r="A72" s="16" t="inlineStr">
        <is>
          <t>9 Jun</t>
        </is>
      </c>
      <c r="B72" s="16" t="inlineStr">
        <is>
          <t>39244</t>
        </is>
      </c>
      <c r="C72" s="16" t="n">
        <v>1706</v>
      </c>
      <c r="D72" s="16" t="n">
        <v>1706</v>
      </c>
      <c r="E72" s="16" t="n">
        <v>1462</v>
      </c>
      <c r="F72" s="38" t="n">
        <v>463079</v>
      </c>
      <c r="G72" s="38" t="n">
        <v>494951</v>
      </c>
      <c r="H72" s="38" t="n">
        <v>463079</v>
      </c>
      <c r="I72" s="38" t="n">
        <v>494311</v>
      </c>
      <c r="J72" s="19">
        <f>(I72-H72)/1000</f>
        <v/>
      </c>
      <c r="K72" s="16" t="inlineStr">
        <is>
          <t>Yes</t>
        </is>
      </c>
      <c r="L72" s="16" t="n">
        <v>9</v>
      </c>
      <c r="M72" s="39" t="inlineStr">
        <is>
          <t>BAJWA, RANOLI, LC-246, VASAD, ADAS ROAD, VADOD, LC-258, ANAND Jn, LC-264, KANJARI BORIYAVI, UTARSANDA, NADIAD, LC-278, GOTHAJ</t>
        </is>
      </c>
    </row>
    <row r="73" ht="49" customHeight="1">
      <c r="A73" s="16" t="inlineStr">
        <is>
          <t>9 Jun</t>
        </is>
      </c>
      <c r="B73" s="16" t="inlineStr">
        <is>
          <t>39466</t>
        </is>
      </c>
      <c r="C73" s="16" t="n">
        <v>846</v>
      </c>
      <c r="D73" s="16" t="n">
        <v>846</v>
      </c>
      <c r="E73" s="16" t="n">
        <v>478</v>
      </c>
      <c r="F73" s="38" t="n">
        <v>383955</v>
      </c>
      <c r="G73" s="38" t="n">
        <v>430667</v>
      </c>
      <c r="H73" s="38" t="n">
        <v>400398</v>
      </c>
      <c r="I73" s="38" t="n">
        <v>430667</v>
      </c>
      <c r="J73" s="19">
        <f>(I73-H73)/1000</f>
        <v/>
      </c>
      <c r="K73" s="16" t="inlineStr">
        <is>
          <t>Yes</t>
        </is>
      </c>
      <c r="L73" s="16" t="n">
        <v>8</v>
      </c>
      <c r="M73" s="39" t="inlineStr">
        <is>
          <t>LC-264, KANJARI BORIYAVI, UTARSANDA, NADIAD, LC-278, GOTHAJ, LC-286, MAHEMDABAD AND KHEDA ROAD, LC-294, KANIJ, BAREJADI NANDEJ, GERATPUR, VATVA, KANKARIYA CABIN, AHMEDABAD Jn</t>
        </is>
      </c>
    </row>
    <row r="74" ht="64" customHeight="1">
      <c r="A74" s="16" t="inlineStr">
        <is>
          <t>9 Jun</t>
        </is>
      </c>
      <c r="B74" s="16" t="inlineStr">
        <is>
          <t>30823</t>
        </is>
      </c>
      <c r="C74" s="16" t="n">
        <v>724</v>
      </c>
      <c r="D74" s="16" t="n">
        <v>724</v>
      </c>
      <c r="E74" s="16" t="n">
        <v>469</v>
      </c>
      <c r="F74" s="38" t="n">
        <v>490917</v>
      </c>
      <c r="G74" s="38" t="n">
        <v>495012</v>
      </c>
      <c r="H74" s="38" t="n">
        <v>490917</v>
      </c>
      <c r="I74" s="38" t="n">
        <v>494312</v>
      </c>
      <c r="J74" s="19">
        <f>(I74-H74)/1000</f>
        <v/>
      </c>
      <c r="K74" s="16" t="inlineStr">
        <is>
          <t>Yes</t>
        </is>
      </c>
      <c r="L74" s="16" t="n">
        <v>2</v>
      </c>
      <c r="M74" s="39" t="inlineStr">
        <is>
          <t>BAJWA, RANOLI, LC-246, VASAD, ADAS ROAD, VADOD, LC-258, ANAND Jn, LC-264, KANJARI BORIYAVI, UTARSANDA, NADIAD, LC-278, GOTHAJ, LC-286, MAHEMDABAD AND KHEDA ROAD, LC-294, KANIJ, BAREJADI NANDEJ, GERATPUR, VATVA</t>
        </is>
      </c>
    </row>
    <row r="75" ht="64" customHeight="1">
      <c r="A75" s="31" t="inlineStr">
        <is>
          <t>9 Jun</t>
        </is>
      </c>
      <c r="B75" s="31" t="inlineStr">
        <is>
          <t>120850</t>
        </is>
      </c>
      <c r="C75" s="31" t="n">
        <v>2889</v>
      </c>
      <c r="D75" s="31" t="n">
        <v>2808</v>
      </c>
      <c r="E75" s="31" t="n">
        <v>0</v>
      </c>
      <c r="F75" s="40" t="n">
        <v>502673</v>
      </c>
      <c r="G75" s="40" t="n">
        <v>775405</v>
      </c>
      <c r="H75" s="40" t="inlineStr">
        <is>
          <t>-</t>
        </is>
      </c>
      <c r="I75" s="40" t="inlineStr">
        <is>
          <t>-</t>
        </is>
      </c>
      <c r="J75" s="41" t="n">
        <v>0</v>
      </c>
      <c r="K75" s="31" t="inlineStr">
        <is>
          <t>No</t>
        </is>
      </c>
      <c r="L75" s="31" t="n">
        <v>0</v>
      </c>
      <c r="M7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6" ht="64" customHeight="1">
      <c r="A76" s="31" t="inlineStr">
        <is>
          <t>9 Jun</t>
        </is>
      </c>
      <c r="B76" s="31" t="inlineStr">
        <is>
          <t>30185</t>
        </is>
      </c>
      <c r="C76" s="31" t="n">
        <v>13</v>
      </c>
      <c r="D76" s="31" t="n">
        <v>0</v>
      </c>
      <c r="E76" s="31" t="n">
        <v>0</v>
      </c>
      <c r="F76" s="40" t="inlineStr">
        <is>
          <t>-</t>
        </is>
      </c>
      <c r="G76" s="40" t="inlineStr">
        <is>
          <t>-</t>
        </is>
      </c>
      <c r="H76" s="40" t="inlineStr">
        <is>
          <t>-</t>
        </is>
      </c>
      <c r="I76" s="40" t="inlineStr">
        <is>
          <t>-</t>
        </is>
      </c>
      <c r="J76" s="41" t="n">
        <v>0</v>
      </c>
      <c r="K76" s="31" t="inlineStr">
        <is>
          <t>No</t>
        </is>
      </c>
      <c r="L76" s="31" t="n">
        <v>0</v>
      </c>
      <c r="M7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7" ht="64" customHeight="1">
      <c r="A77" s="31" t="inlineStr">
        <is>
          <t>9 Jun</t>
        </is>
      </c>
      <c r="B77" s="31" t="inlineStr">
        <is>
          <t>30533</t>
        </is>
      </c>
      <c r="C77" s="31" t="n">
        <v>49</v>
      </c>
      <c r="D77" s="31" t="n">
        <v>49</v>
      </c>
      <c r="E77" s="31" t="n">
        <v>0</v>
      </c>
      <c r="F77" s="40" t="n">
        <v>370082</v>
      </c>
      <c r="G77" s="40" t="n">
        <v>395639</v>
      </c>
      <c r="H77" s="40" t="inlineStr">
        <is>
          <t>-</t>
        </is>
      </c>
      <c r="I77" s="40" t="inlineStr">
        <is>
          <t>-</t>
        </is>
      </c>
      <c r="J77" s="41" t="n">
        <v>0</v>
      </c>
      <c r="K77" s="31" t="inlineStr">
        <is>
          <t>No</t>
        </is>
      </c>
      <c r="L77" s="31" t="n">
        <v>0</v>
      </c>
      <c r="M7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8" ht="64" customHeight="1">
      <c r="A78" s="31" t="inlineStr">
        <is>
          <t>9 Jun</t>
        </is>
      </c>
      <c r="B78" s="31" t="inlineStr">
        <is>
          <t>31431</t>
        </is>
      </c>
      <c r="C78" s="31" t="n">
        <v>5</v>
      </c>
      <c r="D78" s="31" t="n">
        <v>0</v>
      </c>
      <c r="E78" s="31" t="n">
        <v>0</v>
      </c>
      <c r="F78" s="40" t="inlineStr">
        <is>
          <t>-</t>
        </is>
      </c>
      <c r="G78" s="40" t="inlineStr">
        <is>
          <t>-</t>
        </is>
      </c>
      <c r="H78" s="40" t="inlineStr">
        <is>
          <t>-</t>
        </is>
      </c>
      <c r="I78" s="40" t="inlineStr">
        <is>
          <t>-</t>
        </is>
      </c>
      <c r="J78" s="41" t="n">
        <v>0</v>
      </c>
      <c r="K78" s="31" t="inlineStr">
        <is>
          <t>No</t>
        </is>
      </c>
      <c r="L78" s="31" t="n">
        <v>0</v>
      </c>
      <c r="M7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9" ht="64" customHeight="1">
      <c r="A79" s="31" t="inlineStr">
        <is>
          <t>9 Jun</t>
        </is>
      </c>
      <c r="B79" s="31" t="inlineStr">
        <is>
          <t>31467</t>
        </is>
      </c>
      <c r="C79" s="31" t="n">
        <v>9</v>
      </c>
      <c r="D79" s="31" t="n">
        <v>0</v>
      </c>
      <c r="E79" s="31" t="n">
        <v>0</v>
      </c>
      <c r="F79" s="40" t="inlineStr">
        <is>
          <t>-</t>
        </is>
      </c>
      <c r="G79" s="40" t="inlineStr">
        <is>
          <t>-</t>
        </is>
      </c>
      <c r="H79" s="40" t="inlineStr">
        <is>
          <t>-</t>
        </is>
      </c>
      <c r="I79" s="40" t="inlineStr">
        <is>
          <t>-</t>
        </is>
      </c>
      <c r="J79" s="41" t="n">
        <v>0</v>
      </c>
      <c r="K79" s="31" t="inlineStr">
        <is>
          <t>No</t>
        </is>
      </c>
      <c r="L79" s="31" t="n">
        <v>0</v>
      </c>
      <c r="M7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0" ht="64" customHeight="1">
      <c r="A80" s="31" t="inlineStr">
        <is>
          <t>9 Jun</t>
        </is>
      </c>
      <c r="B80" s="31" t="inlineStr">
        <is>
          <t>34002</t>
        </is>
      </c>
      <c r="C80" s="31" t="n">
        <v>20</v>
      </c>
      <c r="D80" s="31" t="n">
        <v>0</v>
      </c>
      <c r="E80" s="31" t="n">
        <v>0</v>
      </c>
      <c r="F80" s="40" t="inlineStr">
        <is>
          <t>-</t>
        </is>
      </c>
      <c r="G80" s="40" t="inlineStr">
        <is>
          <t>-</t>
        </is>
      </c>
      <c r="H80" s="40" t="inlineStr">
        <is>
          <t>-</t>
        </is>
      </c>
      <c r="I80" s="40" t="inlineStr">
        <is>
          <t>-</t>
        </is>
      </c>
      <c r="J80" s="41" t="n">
        <v>0</v>
      </c>
      <c r="K80" s="31" t="inlineStr">
        <is>
          <t>No</t>
        </is>
      </c>
      <c r="L80" s="31" t="n">
        <v>0</v>
      </c>
      <c r="M8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1" ht="64" customHeight="1">
      <c r="A81" s="31" t="inlineStr">
        <is>
          <t>9 Jun</t>
        </is>
      </c>
      <c r="B81" s="31" t="inlineStr">
        <is>
          <t>37279</t>
        </is>
      </c>
      <c r="C81" s="31" t="n">
        <v>11</v>
      </c>
      <c r="D81" s="31" t="n">
        <v>0</v>
      </c>
      <c r="E81" s="31" t="n">
        <v>0</v>
      </c>
      <c r="F81" s="40" t="inlineStr">
        <is>
          <t>-</t>
        </is>
      </c>
      <c r="G81" s="40" t="inlineStr">
        <is>
          <t>-</t>
        </is>
      </c>
      <c r="H81" s="40" t="inlineStr">
        <is>
          <t>-</t>
        </is>
      </c>
      <c r="I81" s="40" t="inlineStr">
        <is>
          <t>-</t>
        </is>
      </c>
      <c r="J81" s="41" t="n">
        <v>0</v>
      </c>
      <c r="K81" s="31" t="inlineStr">
        <is>
          <t>No</t>
        </is>
      </c>
      <c r="L81" s="31" t="n">
        <v>0</v>
      </c>
      <c r="M8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2" ht="64" customHeight="1">
      <c r="A82" s="31" t="inlineStr">
        <is>
          <t>9 Jun</t>
        </is>
      </c>
      <c r="B82" s="31" t="inlineStr">
        <is>
          <t>37506</t>
        </is>
      </c>
      <c r="C82" s="31" t="n">
        <v>16</v>
      </c>
      <c r="D82" s="31" t="n">
        <v>16</v>
      </c>
      <c r="E82" s="31" t="n">
        <v>0</v>
      </c>
      <c r="F82" s="40" t="n">
        <v>383962</v>
      </c>
      <c r="G82" s="40" t="n">
        <v>395631</v>
      </c>
      <c r="H82" s="40" t="inlineStr">
        <is>
          <t>-</t>
        </is>
      </c>
      <c r="I82" s="40" t="inlineStr">
        <is>
          <t>-</t>
        </is>
      </c>
      <c r="J82" s="41" t="n">
        <v>0</v>
      </c>
      <c r="K82" s="31" t="inlineStr">
        <is>
          <t>No</t>
        </is>
      </c>
      <c r="L82" s="31" t="n">
        <v>0</v>
      </c>
      <c r="M8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3" ht="64" customHeight="1">
      <c r="A83" s="31" t="inlineStr">
        <is>
          <t>9 Jun</t>
        </is>
      </c>
      <c r="B83" s="31" t="inlineStr">
        <is>
          <t>37627</t>
        </is>
      </c>
      <c r="C83" s="31" t="n">
        <v>12</v>
      </c>
      <c r="D83" s="31" t="n">
        <v>0</v>
      </c>
      <c r="E83" s="31" t="n">
        <v>0</v>
      </c>
      <c r="F83" s="40" t="inlineStr">
        <is>
          <t>-</t>
        </is>
      </c>
      <c r="G83" s="40" t="inlineStr">
        <is>
          <t>-</t>
        </is>
      </c>
      <c r="H83" s="40" t="inlineStr">
        <is>
          <t>-</t>
        </is>
      </c>
      <c r="I83" s="40" t="inlineStr">
        <is>
          <t>-</t>
        </is>
      </c>
      <c r="J83" s="41" t="n">
        <v>0</v>
      </c>
      <c r="K83" s="31" t="inlineStr">
        <is>
          <t>No</t>
        </is>
      </c>
      <c r="L83" s="31" t="n">
        <v>0</v>
      </c>
      <c r="M8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4" ht="64" customHeight="1">
      <c r="A84" s="31" t="inlineStr">
        <is>
          <t>9 Jun</t>
        </is>
      </c>
      <c r="B84" s="31" t="inlineStr">
        <is>
          <t>37817</t>
        </is>
      </c>
      <c r="C84" s="31" t="n">
        <v>160</v>
      </c>
      <c r="D84" s="31" t="n">
        <v>128</v>
      </c>
      <c r="E84" s="31" t="n">
        <v>0</v>
      </c>
      <c r="F84" s="40" t="n">
        <v>2500005</v>
      </c>
      <c r="G84" s="40" t="n">
        <v>2500594</v>
      </c>
      <c r="H84" s="40" t="inlineStr">
        <is>
          <t>-</t>
        </is>
      </c>
      <c r="I84" s="40" t="inlineStr">
        <is>
          <t>-</t>
        </is>
      </c>
      <c r="J84" s="41" t="n">
        <v>0</v>
      </c>
      <c r="K84" s="31" t="inlineStr">
        <is>
          <t>No</t>
        </is>
      </c>
      <c r="L84" s="31" t="n">
        <v>0</v>
      </c>
      <c r="M8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5" ht="64" customHeight="1">
      <c r="A85" s="31" t="inlineStr">
        <is>
          <t>9 Jun</t>
        </is>
      </c>
      <c r="B85" s="31" t="inlineStr">
        <is>
          <t>39089</t>
        </is>
      </c>
      <c r="C85" s="31" t="n">
        <v>18</v>
      </c>
      <c r="D85" s="31" t="n">
        <v>18</v>
      </c>
      <c r="E85" s="31" t="n">
        <v>0</v>
      </c>
      <c r="F85" s="40" t="n">
        <v>370081</v>
      </c>
      <c r="G85" s="40" t="n">
        <v>395373</v>
      </c>
      <c r="H85" s="40" t="inlineStr">
        <is>
          <t>-</t>
        </is>
      </c>
      <c r="I85" s="40" t="inlineStr">
        <is>
          <t>-</t>
        </is>
      </c>
      <c r="J85" s="41" t="n">
        <v>0</v>
      </c>
      <c r="K85" s="31" t="inlineStr">
        <is>
          <t>No</t>
        </is>
      </c>
      <c r="L85" s="31" t="n">
        <v>0</v>
      </c>
      <c r="M8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6" ht="64" customHeight="1">
      <c r="A86" s="31" t="inlineStr">
        <is>
          <t>9 Jun</t>
        </is>
      </c>
      <c r="B86" s="31" t="inlineStr">
        <is>
          <t>39235</t>
        </is>
      </c>
      <c r="C86" s="31" t="n">
        <v>10</v>
      </c>
      <c r="D86" s="31" t="n">
        <v>0</v>
      </c>
      <c r="E86" s="31" t="n">
        <v>0</v>
      </c>
      <c r="F86" s="40" t="inlineStr">
        <is>
          <t>-</t>
        </is>
      </c>
      <c r="G86" s="40" t="inlineStr">
        <is>
          <t>-</t>
        </is>
      </c>
      <c r="H86" s="40" t="inlineStr">
        <is>
          <t>-</t>
        </is>
      </c>
      <c r="I86" s="40" t="inlineStr">
        <is>
          <t>-</t>
        </is>
      </c>
      <c r="J86" s="41" t="n">
        <v>0</v>
      </c>
      <c r="K86" s="31" t="inlineStr">
        <is>
          <t>No</t>
        </is>
      </c>
      <c r="L86" s="31" t="n">
        <v>0</v>
      </c>
      <c r="M8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7" ht="64" customHeight="1">
      <c r="A87" s="31" t="inlineStr">
        <is>
          <t>9 Jun</t>
        </is>
      </c>
      <c r="B87" s="31" t="inlineStr">
        <is>
          <t>39314</t>
        </is>
      </c>
      <c r="C87" s="31" t="n">
        <v>740</v>
      </c>
      <c r="D87" s="31" t="n">
        <v>446</v>
      </c>
      <c r="E87" s="31" t="n">
        <v>0</v>
      </c>
      <c r="F87" s="40" t="n">
        <v>2500123</v>
      </c>
      <c r="G87" s="40" t="n">
        <v>2500521</v>
      </c>
      <c r="H87" s="40" t="inlineStr">
        <is>
          <t>-</t>
        </is>
      </c>
      <c r="I87" s="40" t="inlineStr">
        <is>
          <t>-</t>
        </is>
      </c>
      <c r="J87" s="41" t="n">
        <v>0</v>
      </c>
      <c r="K87" s="31" t="inlineStr">
        <is>
          <t>No</t>
        </is>
      </c>
      <c r="L87" s="31" t="n">
        <v>0</v>
      </c>
      <c r="M8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8" ht="64" customHeight="1">
      <c r="A88" s="31" t="inlineStr">
        <is>
          <t>9 Jun</t>
        </is>
      </c>
      <c r="B88" s="31" t="inlineStr">
        <is>
          <t>41556</t>
        </is>
      </c>
      <c r="C88" s="31" t="n">
        <v>15</v>
      </c>
      <c r="D88" s="31" t="n">
        <v>0</v>
      </c>
      <c r="E88" s="31" t="n">
        <v>0</v>
      </c>
      <c r="F88" s="40" t="inlineStr">
        <is>
          <t>-</t>
        </is>
      </c>
      <c r="G88" s="40" t="inlineStr">
        <is>
          <t>-</t>
        </is>
      </c>
      <c r="H88" s="40" t="inlineStr">
        <is>
          <t>-</t>
        </is>
      </c>
      <c r="I88" s="40" t="inlineStr">
        <is>
          <t>-</t>
        </is>
      </c>
      <c r="J88" s="41" t="n">
        <v>0</v>
      </c>
      <c r="K88" s="31" t="inlineStr">
        <is>
          <t>No</t>
        </is>
      </c>
      <c r="L88" s="31" t="n">
        <v>0</v>
      </c>
      <c r="M8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9" ht="64" customHeight="1">
      <c r="A89" s="31" t="inlineStr">
        <is>
          <t>9 Jun</t>
        </is>
      </c>
      <c r="B89" s="31" t="inlineStr">
        <is>
          <t>43601</t>
        </is>
      </c>
      <c r="C89" s="31" t="n">
        <v>17</v>
      </c>
      <c r="D89" s="31" t="n">
        <v>0</v>
      </c>
      <c r="E89" s="31" t="n">
        <v>0</v>
      </c>
      <c r="F89" s="40" t="inlineStr">
        <is>
          <t>-</t>
        </is>
      </c>
      <c r="G89" s="40" t="inlineStr">
        <is>
          <t>-</t>
        </is>
      </c>
      <c r="H89" s="40" t="inlineStr">
        <is>
          <t>-</t>
        </is>
      </c>
      <c r="I89" s="40" t="inlineStr">
        <is>
          <t>-</t>
        </is>
      </c>
      <c r="J89" s="41" t="n">
        <v>0</v>
      </c>
      <c r="K89" s="31" t="inlineStr">
        <is>
          <t>No</t>
        </is>
      </c>
      <c r="L89" s="31" t="n">
        <v>0</v>
      </c>
      <c r="M8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0" ht="64" customHeight="1">
      <c r="A90" s="31" t="inlineStr">
        <is>
          <t>9 Jun</t>
        </is>
      </c>
      <c r="B90" s="31" t="inlineStr">
        <is>
          <t>43894</t>
        </is>
      </c>
      <c r="C90" s="31" t="n">
        <v>775</v>
      </c>
      <c r="D90" s="31" t="n">
        <v>561</v>
      </c>
      <c r="E90" s="31" t="n">
        <v>0</v>
      </c>
      <c r="F90" s="40" t="n">
        <v>2500001</v>
      </c>
      <c r="G90" s="40" t="n">
        <v>2500605</v>
      </c>
      <c r="H90" s="40" t="inlineStr">
        <is>
          <t>-</t>
        </is>
      </c>
      <c r="I90" s="40" t="inlineStr">
        <is>
          <t>-</t>
        </is>
      </c>
      <c r="J90" s="41" t="n">
        <v>0</v>
      </c>
      <c r="K90" s="31" t="inlineStr">
        <is>
          <t>No</t>
        </is>
      </c>
      <c r="L90" s="31" t="n">
        <v>0</v>
      </c>
      <c r="M9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1">
      <c r="A91" s="16" t="inlineStr">
        <is>
          <t>10 Jun</t>
        </is>
      </c>
      <c r="B91" s="16" t="inlineStr">
        <is>
          <t>30635</t>
        </is>
      </c>
      <c r="C91" s="16" t="n">
        <v>8286</v>
      </c>
      <c r="D91" s="16" t="n">
        <v>8286</v>
      </c>
      <c r="E91" s="16" t="n">
        <v>7383</v>
      </c>
      <c r="F91" s="38" t="n">
        <v>370039</v>
      </c>
      <c r="G91" s="38" t="n">
        <v>495804</v>
      </c>
      <c r="H91" s="38" t="n">
        <v>400398</v>
      </c>
      <c r="I91" s="38" t="n">
        <v>494312</v>
      </c>
      <c r="J91" s="19">
        <f>(I91-H91)/1000</f>
        <v/>
      </c>
      <c r="K91" s="16" t="inlineStr">
        <is>
          <t>Yes</t>
        </is>
      </c>
      <c r="L91" s="16" t="n">
        <v>23</v>
      </c>
      <c r="M91" s="39" t="inlineStr">
        <is>
          <t>- (full trip)</t>
        </is>
      </c>
    </row>
    <row r="92">
      <c r="A92" s="16" t="inlineStr">
        <is>
          <t>10 Jun</t>
        </is>
      </c>
      <c r="B92" s="16" t="inlineStr">
        <is>
          <t>37947</t>
        </is>
      </c>
      <c r="C92" s="16" t="n">
        <v>7045</v>
      </c>
      <c r="D92" s="16" t="n">
        <v>7045</v>
      </c>
      <c r="E92" s="16" t="n">
        <v>6087</v>
      </c>
      <c r="F92" s="38" t="n">
        <v>370007</v>
      </c>
      <c r="G92" s="38" t="n">
        <v>495782</v>
      </c>
      <c r="H92" s="38" t="n">
        <v>400403</v>
      </c>
      <c r="I92" s="38" t="n">
        <v>494310</v>
      </c>
      <c r="J92" s="19">
        <f>(I92-H92)/1000</f>
        <v/>
      </c>
      <c r="K92" s="16" t="inlineStr">
        <is>
          <t>Yes</t>
        </is>
      </c>
      <c r="L92" s="16" t="n">
        <v>23</v>
      </c>
      <c r="M92" s="39" t="inlineStr">
        <is>
          <t>- (full trip)</t>
        </is>
      </c>
    </row>
    <row r="93">
      <c r="A93" s="16" t="inlineStr">
        <is>
          <t>10 Jun</t>
        </is>
      </c>
      <c r="B93" s="16" t="inlineStr">
        <is>
          <t>39131</t>
        </is>
      </c>
      <c r="C93" s="16" t="n">
        <v>6140</v>
      </c>
      <c r="D93" s="16" t="n">
        <v>6140</v>
      </c>
      <c r="E93" s="16" t="n">
        <v>5583</v>
      </c>
      <c r="F93" s="38" t="n">
        <v>370004</v>
      </c>
      <c r="G93" s="38" t="n">
        <v>494963</v>
      </c>
      <c r="H93" s="38" t="n">
        <v>400402</v>
      </c>
      <c r="I93" s="38" t="n">
        <v>494312</v>
      </c>
      <c r="J93" s="19">
        <f>(I93-H93)/1000</f>
        <v/>
      </c>
      <c r="K93" s="16" t="inlineStr">
        <is>
          <t>Yes</t>
        </is>
      </c>
      <c r="L93" s="16" t="n">
        <v>23</v>
      </c>
      <c r="M93" s="39" t="inlineStr">
        <is>
          <t>- (full trip)</t>
        </is>
      </c>
    </row>
    <row r="94">
      <c r="A94" s="16" t="inlineStr">
        <is>
          <t>10 Jun</t>
        </is>
      </c>
      <c r="B94" s="16" t="inlineStr">
        <is>
          <t>30080</t>
        </is>
      </c>
      <c r="C94" s="16" t="n">
        <v>5469</v>
      </c>
      <c r="D94" s="16" t="n">
        <v>5469</v>
      </c>
      <c r="E94" s="16" t="n">
        <v>4793</v>
      </c>
      <c r="F94" s="38" t="n">
        <v>375612</v>
      </c>
      <c r="G94" s="38" t="n">
        <v>495009</v>
      </c>
      <c r="H94" s="38" t="n">
        <v>400411</v>
      </c>
      <c r="I94" s="38" t="n">
        <v>494311</v>
      </c>
      <c r="J94" s="19">
        <f>(I94-H94)/1000</f>
        <v/>
      </c>
      <c r="K94" s="16" t="inlineStr">
        <is>
          <t>Yes</t>
        </is>
      </c>
      <c r="L94" s="16" t="n">
        <v>23</v>
      </c>
      <c r="M94" s="39" t="inlineStr">
        <is>
          <t>- (full trip)</t>
        </is>
      </c>
    </row>
    <row r="95">
      <c r="A95" s="16" t="inlineStr">
        <is>
          <t>10 Jun</t>
        </is>
      </c>
      <c r="B95" s="16" t="inlineStr">
        <is>
          <t>30757</t>
        </is>
      </c>
      <c r="C95" s="16" t="n">
        <v>3757</v>
      </c>
      <c r="D95" s="16" t="n">
        <v>3757</v>
      </c>
      <c r="E95" s="16" t="n">
        <v>3405</v>
      </c>
      <c r="F95" s="38" t="n">
        <v>375094</v>
      </c>
      <c r="G95" s="38" t="n">
        <v>495470</v>
      </c>
      <c r="H95" s="38" t="n">
        <v>400414</v>
      </c>
      <c r="I95" s="38" t="n">
        <v>494312</v>
      </c>
      <c r="J95" s="19">
        <f>(I95-H95)/1000</f>
        <v/>
      </c>
      <c r="K95" s="16" t="inlineStr">
        <is>
          <t>Yes</t>
        </is>
      </c>
      <c r="L95" s="16" t="n">
        <v>23</v>
      </c>
      <c r="M95" s="39" t="inlineStr">
        <is>
          <t>- (full trip)</t>
        </is>
      </c>
    </row>
    <row r="96">
      <c r="A96" s="16" t="inlineStr">
        <is>
          <t>10 Jun</t>
        </is>
      </c>
      <c r="B96" s="16" t="inlineStr">
        <is>
          <t>37164</t>
        </is>
      </c>
      <c r="C96" s="16" t="n">
        <v>4819</v>
      </c>
      <c r="D96" s="16" t="n">
        <v>4819</v>
      </c>
      <c r="E96" s="16" t="n">
        <v>4327</v>
      </c>
      <c r="F96" s="38" t="n">
        <v>369954</v>
      </c>
      <c r="G96" s="38" t="n">
        <v>495808</v>
      </c>
      <c r="H96" s="38" t="n">
        <v>400415</v>
      </c>
      <c r="I96" s="38" t="n">
        <v>494311</v>
      </c>
      <c r="J96" s="19">
        <f>(I96-H96)/1000</f>
        <v/>
      </c>
      <c r="K96" s="16" t="inlineStr">
        <is>
          <t>Yes</t>
        </is>
      </c>
      <c r="L96" s="16" t="n">
        <v>23</v>
      </c>
      <c r="M96" s="39" t="inlineStr">
        <is>
          <t>- (full trip)</t>
        </is>
      </c>
    </row>
    <row r="97">
      <c r="A97" s="16" t="inlineStr">
        <is>
          <t>10 Jun</t>
        </is>
      </c>
      <c r="B97" s="16" t="inlineStr">
        <is>
          <t>37566</t>
        </is>
      </c>
      <c r="C97" s="16" t="n">
        <v>4296</v>
      </c>
      <c r="D97" s="16" t="n">
        <v>4296</v>
      </c>
      <c r="E97" s="16" t="n">
        <v>3812</v>
      </c>
      <c r="F97" s="38" t="n">
        <v>370072</v>
      </c>
      <c r="G97" s="38" t="n">
        <v>495803</v>
      </c>
      <c r="H97" s="38" t="n">
        <v>400415</v>
      </c>
      <c r="I97" s="38" t="n">
        <v>494312</v>
      </c>
      <c r="J97" s="19">
        <f>(I97-H97)/1000</f>
        <v/>
      </c>
      <c r="K97" s="16" t="inlineStr">
        <is>
          <t>Yes</t>
        </is>
      </c>
      <c r="L97" s="16" t="n">
        <v>23</v>
      </c>
      <c r="M97" s="39" t="inlineStr">
        <is>
          <t>- (full trip)</t>
        </is>
      </c>
    </row>
    <row r="98">
      <c r="A98" s="16" t="inlineStr">
        <is>
          <t>10 Jun</t>
        </is>
      </c>
      <c r="B98" s="16" t="inlineStr">
        <is>
          <t>37569</t>
        </is>
      </c>
      <c r="C98" s="16" t="n">
        <v>7645</v>
      </c>
      <c r="D98" s="16" t="n">
        <v>7633</v>
      </c>
      <c r="E98" s="16" t="n">
        <v>6943</v>
      </c>
      <c r="F98" s="38" t="n">
        <v>380812</v>
      </c>
      <c r="G98" s="38" t="n">
        <v>495711</v>
      </c>
      <c r="H98" s="38" t="n">
        <v>400412</v>
      </c>
      <c r="I98" s="38" t="n">
        <v>494312</v>
      </c>
      <c r="J98" s="19">
        <f>(I98-H98)/1000</f>
        <v/>
      </c>
      <c r="K98" s="16" t="inlineStr">
        <is>
          <t>Yes</t>
        </is>
      </c>
      <c r="L98" s="16" t="n">
        <v>23</v>
      </c>
      <c r="M98" s="39" t="inlineStr">
        <is>
          <t>- (full trip)</t>
        </is>
      </c>
    </row>
    <row r="99">
      <c r="A99" s="16" t="inlineStr">
        <is>
          <t>10 Jun</t>
        </is>
      </c>
      <c r="B99" s="16" t="inlineStr">
        <is>
          <t>39029</t>
        </is>
      </c>
      <c r="C99" s="16" t="n">
        <v>4828</v>
      </c>
      <c r="D99" s="16" t="n">
        <v>4828</v>
      </c>
      <c r="E99" s="16" t="n">
        <v>4559</v>
      </c>
      <c r="F99" s="38" t="n">
        <v>396356</v>
      </c>
      <c r="G99" s="38" t="n">
        <v>494893</v>
      </c>
      <c r="H99" s="38" t="n">
        <v>400414</v>
      </c>
      <c r="I99" s="38" t="n">
        <v>494311</v>
      </c>
      <c r="J99" s="19">
        <f>(I99-H99)/1000</f>
        <v/>
      </c>
      <c r="K99" s="16" t="inlineStr">
        <is>
          <t>Yes</t>
        </is>
      </c>
      <c r="L99" s="16" t="n">
        <v>23</v>
      </c>
      <c r="M99" s="39" t="inlineStr">
        <is>
          <t>- (full trip)</t>
        </is>
      </c>
    </row>
    <row r="100">
      <c r="A100" s="16" t="inlineStr">
        <is>
          <t>10 Jun</t>
        </is>
      </c>
      <c r="B100" s="16" t="inlineStr">
        <is>
          <t>45027</t>
        </is>
      </c>
      <c r="C100" s="16" t="n">
        <v>4654</v>
      </c>
      <c r="D100" s="16" t="n">
        <v>4628</v>
      </c>
      <c r="E100" s="16" t="n">
        <v>4355</v>
      </c>
      <c r="F100" s="38" t="n">
        <v>379831</v>
      </c>
      <c r="G100" s="38" t="n">
        <v>494899</v>
      </c>
      <c r="H100" s="38" t="n">
        <v>400415</v>
      </c>
      <c r="I100" s="38" t="n">
        <v>494311</v>
      </c>
      <c r="J100" s="19">
        <f>(I100-H100)/1000</f>
        <v/>
      </c>
      <c r="K100" s="16" t="inlineStr">
        <is>
          <t>Yes</t>
        </is>
      </c>
      <c r="L100" s="16" t="n">
        <v>23</v>
      </c>
      <c r="M100" s="39" t="inlineStr">
        <is>
          <t>- (full trip)</t>
        </is>
      </c>
    </row>
    <row r="101">
      <c r="A101" s="16" t="inlineStr">
        <is>
          <t>10 Jun</t>
        </is>
      </c>
      <c r="B101" s="16" t="inlineStr">
        <is>
          <t>30823</t>
        </is>
      </c>
      <c r="C101" s="16" t="n">
        <v>8505</v>
      </c>
      <c r="D101" s="16" t="n">
        <v>8505</v>
      </c>
      <c r="E101" s="16" t="n">
        <v>7871</v>
      </c>
      <c r="F101" s="38" t="n">
        <v>368573</v>
      </c>
      <c r="G101" s="38" t="n">
        <v>495784</v>
      </c>
      <c r="H101" s="38" t="n">
        <v>400434</v>
      </c>
      <c r="I101" s="38" t="n">
        <v>494312</v>
      </c>
      <c r="J101" s="19">
        <f>(I101-H101)/1000</f>
        <v/>
      </c>
      <c r="K101" s="16" t="inlineStr">
        <is>
          <t>Yes</t>
        </is>
      </c>
      <c r="L101" s="16" t="n">
        <v>23</v>
      </c>
      <c r="M101" s="39" t="inlineStr">
        <is>
          <t>- (full trip)</t>
        </is>
      </c>
    </row>
    <row r="102">
      <c r="A102" s="16" t="inlineStr">
        <is>
          <t>10 Jun</t>
        </is>
      </c>
      <c r="B102" s="16" t="inlineStr">
        <is>
          <t>37163</t>
        </is>
      </c>
      <c r="C102" s="16" t="n">
        <v>5674</v>
      </c>
      <c r="D102" s="16" t="n">
        <v>5674</v>
      </c>
      <c r="E102" s="16" t="n">
        <v>5253</v>
      </c>
      <c r="F102" s="38" t="n">
        <v>368109</v>
      </c>
      <c r="G102" s="38" t="n">
        <v>494980</v>
      </c>
      <c r="H102" s="38" t="n">
        <v>400434</v>
      </c>
      <c r="I102" s="38" t="n">
        <v>494310</v>
      </c>
      <c r="J102" s="19">
        <f>(I102-H102)/1000</f>
        <v/>
      </c>
      <c r="K102" s="16" t="inlineStr">
        <is>
          <t>Yes</t>
        </is>
      </c>
      <c r="L102" s="16" t="n">
        <v>23</v>
      </c>
      <c r="M102" s="39" t="inlineStr">
        <is>
          <t>- (full trip)</t>
        </is>
      </c>
    </row>
    <row r="103">
      <c r="A103" s="16" t="inlineStr">
        <is>
          <t>10 Jun</t>
        </is>
      </c>
      <c r="B103" s="16" t="inlineStr">
        <is>
          <t>30829</t>
        </is>
      </c>
      <c r="C103" s="16" t="n">
        <v>4274</v>
      </c>
      <c r="D103" s="16" t="n">
        <v>4155</v>
      </c>
      <c r="E103" s="16" t="n">
        <v>3716</v>
      </c>
      <c r="F103" s="38" t="n">
        <v>393618</v>
      </c>
      <c r="G103" s="38" t="n">
        <v>494984</v>
      </c>
      <c r="H103" s="38" t="n">
        <v>400437</v>
      </c>
      <c r="I103" s="38" t="n">
        <v>494311</v>
      </c>
      <c r="J103" s="19">
        <f>(I103-H103)/1000</f>
        <v/>
      </c>
      <c r="K103" s="16" t="inlineStr">
        <is>
          <t>Yes</t>
        </is>
      </c>
      <c r="L103" s="16" t="n">
        <v>23</v>
      </c>
      <c r="M103" s="39" t="inlineStr">
        <is>
          <t>- (full trip)</t>
        </is>
      </c>
    </row>
    <row r="104">
      <c r="A104" s="16" t="inlineStr">
        <is>
          <t>10 Jun</t>
        </is>
      </c>
      <c r="B104" s="16" t="inlineStr">
        <is>
          <t>37287</t>
        </is>
      </c>
      <c r="C104" s="16" t="n">
        <v>4672</v>
      </c>
      <c r="D104" s="16" t="n">
        <v>4672</v>
      </c>
      <c r="E104" s="16" t="n">
        <v>4232</v>
      </c>
      <c r="F104" s="38" t="n">
        <v>368107</v>
      </c>
      <c r="G104" s="38" t="n">
        <v>494968</v>
      </c>
      <c r="H104" s="38" t="n">
        <v>400462</v>
      </c>
      <c r="I104" s="38" t="n">
        <v>494312</v>
      </c>
      <c r="J104" s="19">
        <f>(I104-H104)/1000</f>
        <v/>
      </c>
      <c r="K104" s="16" t="inlineStr">
        <is>
          <t>Yes</t>
        </is>
      </c>
      <c r="L104" s="16" t="n">
        <v>23</v>
      </c>
      <c r="M104" s="39" t="inlineStr">
        <is>
          <t>- (full trip)</t>
        </is>
      </c>
    </row>
    <row r="105">
      <c r="A105" s="16" t="inlineStr">
        <is>
          <t>10 Jun</t>
        </is>
      </c>
      <c r="B105" s="16" t="inlineStr">
        <is>
          <t>37086</t>
        </is>
      </c>
      <c r="C105" s="16" t="n">
        <v>6367</v>
      </c>
      <c r="D105" s="16" t="n">
        <v>6367</v>
      </c>
      <c r="E105" s="16" t="n">
        <v>6089</v>
      </c>
      <c r="F105" s="38" t="n">
        <v>400991</v>
      </c>
      <c r="G105" s="38" t="n">
        <v>495775</v>
      </c>
      <c r="H105" s="38" t="n">
        <v>400991</v>
      </c>
      <c r="I105" s="38" t="n">
        <v>494311</v>
      </c>
      <c r="J105" s="19">
        <f>(I105-H105)/1000</f>
        <v/>
      </c>
      <c r="K105" s="16" t="inlineStr">
        <is>
          <t>Yes</t>
        </is>
      </c>
      <c r="L105" s="16" t="n">
        <v>23</v>
      </c>
      <c r="M105" s="39" t="inlineStr">
        <is>
          <t>- (full trip)</t>
        </is>
      </c>
    </row>
    <row r="106">
      <c r="A106" s="16" t="inlineStr">
        <is>
          <t>10 Jun</t>
        </is>
      </c>
      <c r="B106" s="16" t="inlineStr">
        <is>
          <t>37627</t>
        </is>
      </c>
      <c r="C106" s="16" t="n">
        <v>5393</v>
      </c>
      <c r="D106" s="16" t="n">
        <v>5393</v>
      </c>
      <c r="E106" s="16" t="n">
        <v>5103</v>
      </c>
      <c r="F106" s="38" t="n">
        <v>400991</v>
      </c>
      <c r="G106" s="38" t="n">
        <v>494981</v>
      </c>
      <c r="H106" s="38" t="n">
        <v>400991</v>
      </c>
      <c r="I106" s="38" t="n">
        <v>494310</v>
      </c>
      <c r="J106" s="19">
        <f>(I106-H106)/1000</f>
        <v/>
      </c>
      <c r="K106" s="16" t="inlineStr">
        <is>
          <t>Yes</t>
        </is>
      </c>
      <c r="L106" s="16" t="n">
        <v>23</v>
      </c>
      <c r="M106" s="39" t="inlineStr">
        <is>
          <t>- (full trip)</t>
        </is>
      </c>
    </row>
    <row r="107">
      <c r="A107" s="16" t="inlineStr">
        <is>
          <t>10 Jun</t>
        </is>
      </c>
      <c r="B107" s="16" t="inlineStr">
        <is>
          <t>37074</t>
        </is>
      </c>
      <c r="C107" s="16" t="n">
        <v>5052</v>
      </c>
      <c r="D107" s="16" t="n">
        <v>5026</v>
      </c>
      <c r="E107" s="16" t="n">
        <v>4801</v>
      </c>
      <c r="F107" s="38" t="n">
        <v>401002</v>
      </c>
      <c r="G107" s="38" t="n">
        <v>494898</v>
      </c>
      <c r="H107" s="38" t="n">
        <v>401002</v>
      </c>
      <c r="I107" s="38" t="n">
        <v>494312</v>
      </c>
      <c r="J107" s="19">
        <f>(I107-H107)/1000</f>
        <v/>
      </c>
      <c r="K107" s="16" t="inlineStr">
        <is>
          <t>Yes</t>
        </is>
      </c>
      <c r="L107" s="16" t="n">
        <v>23</v>
      </c>
      <c r="M107" s="39" t="inlineStr">
        <is>
          <t>- (full trip)</t>
        </is>
      </c>
    </row>
    <row r="108">
      <c r="A108" s="16" t="inlineStr">
        <is>
          <t>10 Jun</t>
        </is>
      </c>
      <c r="B108" s="16" t="inlineStr">
        <is>
          <t>37398</t>
        </is>
      </c>
      <c r="C108" s="16" t="n">
        <v>11119</v>
      </c>
      <c r="D108" s="16" t="n">
        <v>11059</v>
      </c>
      <c r="E108" s="16" t="n">
        <v>10519</v>
      </c>
      <c r="F108" s="38" t="n">
        <v>400995</v>
      </c>
      <c r="G108" s="38" t="n">
        <v>495703</v>
      </c>
      <c r="H108" s="38" t="n">
        <v>400995</v>
      </c>
      <c r="I108" s="38" t="n">
        <v>494309</v>
      </c>
      <c r="J108" s="19">
        <f>(I108-H108)/1000</f>
        <v/>
      </c>
      <c r="K108" s="16" t="inlineStr">
        <is>
          <t>Yes</t>
        </is>
      </c>
      <c r="L108" s="16" t="n">
        <v>23</v>
      </c>
      <c r="M108" s="39" t="inlineStr">
        <is>
          <t>- (full trip)</t>
        </is>
      </c>
    </row>
    <row r="109">
      <c r="A109" s="16" t="inlineStr">
        <is>
          <t>10 Jun</t>
        </is>
      </c>
      <c r="B109" s="16" t="inlineStr">
        <is>
          <t>39259</t>
        </is>
      </c>
      <c r="C109" s="16" t="n">
        <v>5413</v>
      </c>
      <c r="D109" s="16" t="n">
        <v>5413</v>
      </c>
      <c r="E109" s="16" t="n">
        <v>5180</v>
      </c>
      <c r="F109" s="38" t="n">
        <v>402623</v>
      </c>
      <c r="G109" s="38" t="n">
        <v>494947</v>
      </c>
      <c r="H109" s="38" t="n">
        <v>402623</v>
      </c>
      <c r="I109" s="38" t="n">
        <v>494312</v>
      </c>
      <c r="J109" s="19">
        <f>(I109-H109)/1000</f>
        <v/>
      </c>
      <c r="K109" s="16" t="inlineStr">
        <is>
          <t>Yes</t>
        </is>
      </c>
      <c r="L109" s="16" t="n">
        <v>23</v>
      </c>
      <c r="M109" s="39" t="inlineStr">
        <is>
          <t>- (full trip)</t>
        </is>
      </c>
    </row>
    <row r="110" ht="34" customHeight="1">
      <c r="A110" s="16" t="inlineStr">
        <is>
          <t>10 Jun</t>
        </is>
      </c>
      <c r="B110" s="16" t="inlineStr">
        <is>
          <t>39244</t>
        </is>
      </c>
      <c r="C110" s="16" t="n">
        <v>3860</v>
      </c>
      <c r="D110" s="16" t="n">
        <v>3860</v>
      </c>
      <c r="E110" s="16" t="n">
        <v>3860</v>
      </c>
      <c r="F110" s="38" t="n">
        <v>400976</v>
      </c>
      <c r="G110" s="38" t="n">
        <v>463021</v>
      </c>
      <c r="H110" s="38" t="n">
        <v>400976</v>
      </c>
      <c r="I110" s="38" t="n">
        <v>463021</v>
      </c>
      <c r="J110" s="19">
        <f>(I110-H110)/1000</f>
        <v/>
      </c>
      <c r="K110" s="16" t="inlineStr">
        <is>
          <t>Yes</t>
        </is>
      </c>
      <c r="L110" s="16" t="n">
        <v>15</v>
      </c>
      <c r="M110" s="39" t="inlineStr">
        <is>
          <t>MAHEMDABAD AND KHEDA ROAD, LC-294, KANIJ, BAREJADI NANDEJ, GERATPUR, VATVA, KANKARIYA CABIN, AHMEDABAD Jn</t>
        </is>
      </c>
    </row>
    <row r="111" ht="49" customHeight="1">
      <c r="A111" s="16" t="inlineStr">
        <is>
          <t>10 Jun</t>
        </is>
      </c>
      <c r="B111" s="16" t="inlineStr">
        <is>
          <t>37493</t>
        </is>
      </c>
      <c r="C111" s="16" t="n">
        <v>1503</v>
      </c>
      <c r="D111" s="16" t="n">
        <v>1503</v>
      </c>
      <c r="E111" s="16" t="n">
        <v>1084</v>
      </c>
      <c r="F111" s="38" t="n">
        <v>368535</v>
      </c>
      <c r="G111" s="38" t="n">
        <v>453762</v>
      </c>
      <c r="H111" s="38" t="n">
        <v>400425</v>
      </c>
      <c r="I111" s="38" t="n">
        <v>453762</v>
      </c>
      <c r="J111" s="19">
        <f>(I111-H111)/1000</f>
        <v/>
      </c>
      <c r="K111" s="16" t="inlineStr">
        <is>
          <t>Yes</t>
        </is>
      </c>
      <c r="L111" s="16" t="n">
        <v>13</v>
      </c>
      <c r="M111" s="39" t="inlineStr">
        <is>
          <t>GOTHAJ, LC-286, MAHEMDABAD AND KHEDA ROAD, LC-294, KANIJ, BAREJADI NANDEJ, GERATPUR, VATVA, KANKARIYA CABIN, AHMEDABAD Jn</t>
        </is>
      </c>
    </row>
    <row r="112" ht="49" customHeight="1">
      <c r="A112" s="16" t="inlineStr">
        <is>
          <t>10 Jun</t>
        </is>
      </c>
      <c r="B112" s="16" t="inlineStr">
        <is>
          <t>37853</t>
        </is>
      </c>
      <c r="C112" s="16" t="n">
        <v>1094</v>
      </c>
      <c r="D112" s="16" t="n">
        <v>1094</v>
      </c>
      <c r="E112" s="16" t="n">
        <v>856</v>
      </c>
      <c r="F112" s="38" t="n">
        <v>369985</v>
      </c>
      <c r="G112" s="38" t="n">
        <v>442003</v>
      </c>
      <c r="H112" s="38" t="n">
        <v>400435</v>
      </c>
      <c r="I112" s="38" t="n">
        <v>442003</v>
      </c>
      <c r="J112" s="19">
        <f>(I112-H112)/1000</f>
        <v/>
      </c>
      <c r="K112" s="16" t="inlineStr">
        <is>
          <t>Yes</t>
        </is>
      </c>
      <c r="L112" s="16" t="n">
        <v>11</v>
      </c>
      <c r="M112" s="39" t="inlineStr">
        <is>
          <t>NADIAD, LC-278, GOTHAJ, LC-286, MAHEMDABAD AND KHEDA ROAD, LC-294, KANIJ, BAREJADI NANDEJ, GERATPUR, VATVA, KANKARIYA CABIN, AHMEDABAD Jn</t>
        </is>
      </c>
    </row>
    <row r="113" ht="49" customHeight="1">
      <c r="A113" s="16" t="inlineStr">
        <is>
          <t>10 Jun</t>
        </is>
      </c>
      <c r="B113" s="16" t="inlineStr">
        <is>
          <t>37019</t>
        </is>
      </c>
      <c r="C113" s="16" t="n">
        <v>755</v>
      </c>
      <c r="D113" s="16" t="n">
        <v>755</v>
      </c>
      <c r="E113" s="16" t="n">
        <v>416</v>
      </c>
      <c r="F113" s="38" t="n">
        <v>384227</v>
      </c>
      <c r="G113" s="38" t="n">
        <v>440858</v>
      </c>
      <c r="H113" s="38" t="n">
        <v>400432</v>
      </c>
      <c r="I113" s="38" t="n">
        <v>440858</v>
      </c>
      <c r="J113" s="19">
        <f>(I113-H113)/1000</f>
        <v/>
      </c>
      <c r="K113" s="16" t="inlineStr">
        <is>
          <t>Yes</t>
        </is>
      </c>
      <c r="L113" s="16" t="n">
        <v>10</v>
      </c>
      <c r="M113" s="39" t="inlineStr">
        <is>
          <t>UTARSANDA, NADIAD, LC-278, GOTHAJ, LC-286, MAHEMDABAD AND KHEDA ROAD, LC-294, KANIJ, BAREJADI NANDEJ, GERATPUR, VATVA, KANKARIYA CABIN, AHMEDABAD Jn</t>
        </is>
      </c>
    </row>
    <row r="114" ht="49" customHeight="1">
      <c r="A114" s="16" t="inlineStr">
        <is>
          <t>10 Jun</t>
        </is>
      </c>
      <c r="B114" s="16" t="inlineStr">
        <is>
          <t>37505</t>
        </is>
      </c>
      <c r="C114" s="16" t="n">
        <v>3284</v>
      </c>
      <c r="D114" s="16" t="n">
        <v>3284</v>
      </c>
      <c r="E114" s="16" t="n">
        <v>1763</v>
      </c>
      <c r="F114" s="38" t="n">
        <v>368485</v>
      </c>
      <c r="G114" s="38" t="n">
        <v>438805</v>
      </c>
      <c r="H114" s="38" t="n">
        <v>400400</v>
      </c>
      <c r="I114" s="38" t="n">
        <v>438805</v>
      </c>
      <c r="J114" s="19">
        <f>(I114-H114)/1000</f>
        <v/>
      </c>
      <c r="K114" s="16" t="inlineStr">
        <is>
          <t>Yes</t>
        </is>
      </c>
      <c r="L114" s="16" t="n">
        <v>10</v>
      </c>
      <c r="M114" s="39" t="inlineStr">
        <is>
          <t>UTARSANDA, NADIAD, LC-278, GOTHAJ, LC-286, MAHEMDABAD AND KHEDA ROAD, LC-294, KANIJ, BAREJADI NANDEJ, GERATPUR, VATVA, KANKARIYA CABIN, AHMEDABAD Jn</t>
        </is>
      </c>
    </row>
    <row r="115" ht="49" customHeight="1">
      <c r="A115" s="16" t="inlineStr">
        <is>
          <t>10 Jun</t>
        </is>
      </c>
      <c r="B115" s="16" t="inlineStr">
        <is>
          <t>37424</t>
        </is>
      </c>
      <c r="C115" s="16" t="n">
        <v>864</v>
      </c>
      <c r="D115" s="16" t="n">
        <v>864</v>
      </c>
      <c r="E115" s="16" t="n">
        <v>646</v>
      </c>
      <c r="F115" s="38" t="n">
        <v>369992</v>
      </c>
      <c r="G115" s="38" t="n">
        <v>438644</v>
      </c>
      <c r="H115" s="38" t="n">
        <v>400405</v>
      </c>
      <c r="I115" s="38" t="n">
        <v>438644</v>
      </c>
      <c r="J115" s="19">
        <f>(I115-H115)/1000</f>
        <v/>
      </c>
      <c r="K115" s="16" t="inlineStr">
        <is>
          <t>Yes</t>
        </is>
      </c>
      <c r="L115" s="16" t="n">
        <v>10</v>
      </c>
      <c r="M115" s="39" t="inlineStr">
        <is>
          <t>UTARSANDA, NADIAD, LC-278, GOTHAJ, LC-286, MAHEMDABAD AND KHEDA ROAD, LC-294, KANIJ, BAREJADI NANDEJ, GERATPUR, VATVA, KANKARIYA CABIN, AHMEDABAD Jn</t>
        </is>
      </c>
    </row>
    <row r="116" ht="49" customHeight="1">
      <c r="A116" s="16" t="inlineStr">
        <is>
          <t>10 Jun</t>
        </is>
      </c>
      <c r="B116" s="16" t="inlineStr">
        <is>
          <t>39243</t>
        </is>
      </c>
      <c r="C116" s="16" t="n">
        <v>1137</v>
      </c>
      <c r="D116" s="16" t="n">
        <v>1137</v>
      </c>
      <c r="E116" s="16" t="n">
        <v>750</v>
      </c>
      <c r="F116" s="38" t="n">
        <v>370071</v>
      </c>
      <c r="G116" s="38" t="n">
        <v>437295</v>
      </c>
      <c r="H116" s="38" t="n">
        <v>400401</v>
      </c>
      <c r="I116" s="38" t="n">
        <v>437295</v>
      </c>
      <c r="J116" s="19">
        <f>(I116-H116)/1000</f>
        <v/>
      </c>
      <c r="K116" s="16" t="inlineStr">
        <is>
          <t>Yes</t>
        </is>
      </c>
      <c r="L116" s="16" t="n">
        <v>10</v>
      </c>
      <c r="M116" s="39" t="inlineStr">
        <is>
          <t>UTARSANDA, NADIAD, LC-278, GOTHAJ, LC-286, MAHEMDABAD AND KHEDA ROAD, LC-294, KANIJ, BAREJADI NANDEJ, GERATPUR, VATVA, KANKARIYA CABIN, AHMEDABAD Jn</t>
        </is>
      </c>
    </row>
    <row r="117" ht="49" customHeight="1">
      <c r="A117" s="16" t="inlineStr">
        <is>
          <t>10 Jun</t>
        </is>
      </c>
      <c r="B117" s="16" t="inlineStr">
        <is>
          <t>37507</t>
        </is>
      </c>
      <c r="C117" s="16" t="n">
        <v>1369</v>
      </c>
      <c r="D117" s="16" t="n">
        <v>1369</v>
      </c>
      <c r="E117" s="16" t="n">
        <v>1009</v>
      </c>
      <c r="F117" s="38" t="n">
        <v>370121</v>
      </c>
      <c r="G117" s="38" t="n">
        <v>437263</v>
      </c>
      <c r="H117" s="38" t="n">
        <v>400438</v>
      </c>
      <c r="I117" s="38" t="n">
        <v>437263</v>
      </c>
      <c r="J117" s="19">
        <f>(I117-H117)/1000</f>
        <v/>
      </c>
      <c r="K117" s="16" t="inlineStr">
        <is>
          <t>Yes</t>
        </is>
      </c>
      <c r="L117" s="16" t="n">
        <v>10</v>
      </c>
      <c r="M117" s="39" t="inlineStr">
        <is>
          <t>UTARSANDA, NADIAD, LC-278, GOTHAJ, LC-286, MAHEMDABAD AND KHEDA ROAD, LC-294, KANIJ, BAREJADI NANDEJ, GERATPUR, VATVA, KANKARIYA CABIN, AHMEDABAD Jn</t>
        </is>
      </c>
    </row>
    <row r="118" ht="49" customHeight="1">
      <c r="A118" s="16" t="inlineStr">
        <is>
          <t>10 Jun</t>
        </is>
      </c>
      <c r="B118" s="16" t="inlineStr">
        <is>
          <t>30435</t>
        </is>
      </c>
      <c r="C118" s="16" t="n">
        <v>1037</v>
      </c>
      <c r="D118" s="16" t="n">
        <v>1037</v>
      </c>
      <c r="E118" s="16" t="n">
        <v>691</v>
      </c>
      <c r="F118" s="38" t="n">
        <v>369937</v>
      </c>
      <c r="G118" s="38" t="n">
        <v>437009</v>
      </c>
      <c r="H118" s="38" t="n">
        <v>400403</v>
      </c>
      <c r="I118" s="38" t="n">
        <v>437009</v>
      </c>
      <c r="J118" s="19">
        <f>(I118-H118)/1000</f>
        <v/>
      </c>
      <c r="K118" s="16" t="inlineStr">
        <is>
          <t>Yes</t>
        </is>
      </c>
      <c r="L118" s="16" t="n">
        <v>10</v>
      </c>
      <c r="M118" s="39" t="inlineStr">
        <is>
          <t>UTARSANDA, NADIAD, LC-278, GOTHAJ, LC-286, MAHEMDABAD AND KHEDA ROAD, LC-294, KANIJ, BAREJADI NANDEJ, GERATPUR, VATVA, KANKARIYA CABIN, AHMEDABAD Jn</t>
        </is>
      </c>
    </row>
    <row r="119" ht="49" customHeight="1">
      <c r="A119" s="16" t="inlineStr">
        <is>
          <t>10 Jun</t>
        </is>
      </c>
      <c r="B119" s="16" t="inlineStr">
        <is>
          <t>39014</t>
        </is>
      </c>
      <c r="C119" s="16" t="n">
        <v>724</v>
      </c>
      <c r="D119" s="16" t="n">
        <v>724</v>
      </c>
      <c r="E119" s="16" t="n">
        <v>524</v>
      </c>
      <c r="F119" s="38" t="n">
        <v>393515</v>
      </c>
      <c r="G119" s="38" t="n">
        <v>437063</v>
      </c>
      <c r="H119" s="38" t="n">
        <v>400509</v>
      </c>
      <c r="I119" s="38" t="n">
        <v>437063</v>
      </c>
      <c r="J119" s="19">
        <f>(I119-H119)/1000</f>
        <v/>
      </c>
      <c r="K119" s="16" t="inlineStr">
        <is>
          <t>Yes</t>
        </is>
      </c>
      <c r="L119" s="16" t="n">
        <v>10</v>
      </c>
      <c r="M119" s="39" t="inlineStr">
        <is>
          <t>UTARSANDA, NADIAD, LC-278, GOTHAJ, LC-286, MAHEMDABAD AND KHEDA ROAD, LC-294, KANIJ, BAREJADI NANDEJ, GERATPUR, VATVA, KANKARIYA CABIN, AHMEDABAD Jn</t>
        </is>
      </c>
    </row>
    <row r="120" ht="49" customHeight="1">
      <c r="A120" s="16" t="inlineStr">
        <is>
          <t>10 Jun</t>
        </is>
      </c>
      <c r="B120" s="16" t="inlineStr">
        <is>
          <t>37286</t>
        </is>
      </c>
      <c r="C120" s="16" t="n">
        <v>652</v>
      </c>
      <c r="D120" s="16" t="n">
        <v>652</v>
      </c>
      <c r="E120" s="16" t="n">
        <v>567</v>
      </c>
      <c r="F120" s="38" t="n">
        <v>369997</v>
      </c>
      <c r="G120" s="38" t="n">
        <v>434226</v>
      </c>
      <c r="H120" s="38" t="n">
        <v>400510</v>
      </c>
      <c r="I120" s="38" t="n">
        <v>434226</v>
      </c>
      <c r="J120" s="19">
        <f>(I120-H120)/1000</f>
        <v/>
      </c>
      <c r="K120" s="16" t="inlineStr">
        <is>
          <t>Yes</t>
        </is>
      </c>
      <c r="L120" s="16" t="n">
        <v>9</v>
      </c>
      <c r="M120" s="39" t="inlineStr">
        <is>
          <t>KANJARI BORIYAVI, UTARSANDA, NADIAD, LC-278, GOTHAJ, LC-286, MAHEMDABAD AND KHEDA ROAD, LC-294, KANIJ, BAREJADI NANDEJ, GERATPUR, VATVA, KANKARIYA CABIN, AHMEDABAD Jn</t>
        </is>
      </c>
    </row>
    <row r="121" ht="49" customHeight="1">
      <c r="A121" s="16" t="inlineStr">
        <is>
          <t>10 Jun</t>
        </is>
      </c>
      <c r="B121" s="16" t="inlineStr">
        <is>
          <t>37830</t>
        </is>
      </c>
      <c r="C121" s="16" t="n">
        <v>1266</v>
      </c>
      <c r="D121" s="16" t="n">
        <v>1266</v>
      </c>
      <c r="E121" s="16" t="n">
        <v>1171</v>
      </c>
      <c r="F121" s="38" t="n">
        <v>385978</v>
      </c>
      <c r="G121" s="38" t="n">
        <v>432646</v>
      </c>
      <c r="H121" s="38" t="n">
        <v>400409</v>
      </c>
      <c r="I121" s="38" t="n">
        <v>432646</v>
      </c>
      <c r="J121" s="19">
        <f>(I121-H121)/1000</f>
        <v/>
      </c>
      <c r="K121" s="16" t="inlineStr">
        <is>
          <t>Yes</t>
        </is>
      </c>
      <c r="L121" s="16" t="n">
        <v>8</v>
      </c>
      <c r="M121" s="39" t="inlineStr">
        <is>
          <t>LC-264, KANJARI BORIYAVI, UTARSANDA, NADIAD, LC-278, GOTHAJ, LC-286, MAHEMDABAD AND KHEDA ROAD, LC-294, KANIJ, BAREJADI NANDEJ, GERATPUR, VATVA, KANKARIYA CABIN, AHMEDABAD Jn</t>
        </is>
      </c>
    </row>
    <row r="122" ht="49" customHeight="1">
      <c r="A122" s="16" t="inlineStr">
        <is>
          <t>10 Jun</t>
        </is>
      </c>
      <c r="B122" s="16" t="inlineStr">
        <is>
          <t>37934</t>
        </is>
      </c>
      <c r="C122" s="16" t="n">
        <v>1149</v>
      </c>
      <c r="D122" s="16" t="n">
        <v>1149</v>
      </c>
      <c r="E122" s="16" t="n">
        <v>899</v>
      </c>
      <c r="F122" s="38" t="n">
        <v>472183</v>
      </c>
      <c r="G122" s="38" t="n">
        <v>494979</v>
      </c>
      <c r="H122" s="38" t="n">
        <v>472183</v>
      </c>
      <c r="I122" s="38" t="n">
        <v>494312</v>
      </c>
      <c r="J122" s="19">
        <f>(I122-H122)/1000</f>
        <v/>
      </c>
      <c r="K122" s="16" t="inlineStr">
        <is>
          <t>Yes</t>
        </is>
      </c>
      <c r="L122" s="16" t="n">
        <v>7</v>
      </c>
      <c r="M122" s="39" t="inlineStr">
        <is>
          <t>BAJWA, RANOLI, LC-246, VASAD, ADAS ROAD, VADOD, LC-258, ANAND Jn, LC-264, KANJARI BORIYAVI, UTARSANDA, NADIAD, LC-278, GOTHAJ, LC-286, MAHEMDABAD AND KHEDA ROAD</t>
        </is>
      </c>
    </row>
    <row r="123" ht="64" customHeight="1">
      <c r="A123" s="16" t="inlineStr">
        <is>
          <t>10 Jun</t>
        </is>
      </c>
      <c r="B123" s="16" t="inlineStr">
        <is>
          <t>39308</t>
        </is>
      </c>
      <c r="C123" s="16" t="n">
        <v>589</v>
      </c>
      <c r="D123" s="16" t="n">
        <v>589</v>
      </c>
      <c r="E123" s="16" t="n">
        <v>178</v>
      </c>
      <c r="F123" s="38" t="n">
        <v>375637</v>
      </c>
      <c r="G123" s="38" t="n">
        <v>402384</v>
      </c>
      <c r="H123" s="38" t="n">
        <v>400415</v>
      </c>
      <c r="I123" s="38" t="n">
        <v>402384</v>
      </c>
      <c r="J123" s="19">
        <f>(I123-H123)/1000</f>
        <v/>
      </c>
      <c r="K123" s="16" t="inlineStr">
        <is>
          <t>Yes</t>
        </is>
      </c>
      <c r="L123" s="16" t="n">
        <v>1</v>
      </c>
      <c r="M123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4" ht="64" customHeight="1">
      <c r="A124" s="16" t="inlineStr">
        <is>
          <t>10 Jun</t>
        </is>
      </c>
      <c r="B124" s="16" t="inlineStr">
        <is>
          <t>43441</t>
        </is>
      </c>
      <c r="C124" s="16" t="n">
        <v>772</v>
      </c>
      <c r="D124" s="16" t="n">
        <v>632</v>
      </c>
      <c r="E124" s="16" t="n">
        <v>100</v>
      </c>
      <c r="F124" s="38" t="n">
        <v>486216</v>
      </c>
      <c r="G124" s="38" t="n">
        <v>2500603</v>
      </c>
      <c r="H124" s="38" t="n">
        <v>486216</v>
      </c>
      <c r="I124" s="38" t="n">
        <v>486461</v>
      </c>
      <c r="J124" s="19">
        <f>(I124-H124)/1000</f>
        <v/>
      </c>
      <c r="K124" s="16" t="inlineStr">
        <is>
          <t>Yes</t>
        </is>
      </c>
      <c r="L124" s="16" t="n">
        <v>1</v>
      </c>
      <c r="M124" s="39" t="inlineStr">
        <is>
          <t>BAJWA, RANOLI, LC-246, VASAD, ADAS ROAD, VADOD, LC-258, ANAND Jn, LC-264, KANJARI BORIYAVI, UTARSANDA, NADIAD, LC-278, GOTHAJ, LC-286, MAHEMDABAD AND KHEDA ROAD, LC-294, KANIJ, BAREJADI NANDEJ, GERATPUR, KANKARIYA CABIN, AHMEDABAD Jn</t>
        </is>
      </c>
    </row>
    <row r="125" ht="64" customHeight="1">
      <c r="A125" s="31" t="inlineStr">
        <is>
          <t>10 Jun</t>
        </is>
      </c>
      <c r="B125" s="31" t="inlineStr">
        <is>
          <t>120850</t>
        </is>
      </c>
      <c r="C125" s="31" t="n">
        <v>5898</v>
      </c>
      <c r="D125" s="31" t="n">
        <v>5871</v>
      </c>
      <c r="E125" s="31" t="n">
        <v>0</v>
      </c>
      <c r="F125" s="40" t="n">
        <v>505797</v>
      </c>
      <c r="G125" s="40" t="n">
        <v>777743</v>
      </c>
      <c r="H125" s="40" t="inlineStr">
        <is>
          <t>-</t>
        </is>
      </c>
      <c r="I125" s="40" t="inlineStr">
        <is>
          <t>-</t>
        </is>
      </c>
      <c r="J125" s="41" t="n">
        <v>0</v>
      </c>
      <c r="K125" s="31" t="inlineStr">
        <is>
          <t>No</t>
        </is>
      </c>
      <c r="L125" s="31" t="n">
        <v>0</v>
      </c>
      <c r="M12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6" ht="64" customHeight="1">
      <c r="A126" s="31" t="inlineStr">
        <is>
          <t>10 Jun</t>
        </is>
      </c>
      <c r="B126" s="31" t="inlineStr">
        <is>
          <t>30046</t>
        </is>
      </c>
      <c r="C126" s="31" t="n">
        <v>51</v>
      </c>
      <c r="D126" s="31" t="n">
        <v>3</v>
      </c>
      <c r="E126" s="31" t="n">
        <v>0</v>
      </c>
      <c r="F126" s="40" t="n">
        <v>494971</v>
      </c>
      <c r="G126" s="40" t="n">
        <v>495057</v>
      </c>
      <c r="H126" s="40" t="inlineStr">
        <is>
          <t>-</t>
        </is>
      </c>
      <c r="I126" s="40" t="inlineStr">
        <is>
          <t>-</t>
        </is>
      </c>
      <c r="J126" s="41" t="n">
        <v>0</v>
      </c>
      <c r="K126" s="31" t="inlineStr">
        <is>
          <t>No</t>
        </is>
      </c>
      <c r="L126" s="31" t="n">
        <v>0</v>
      </c>
      <c r="M12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7" ht="64" customHeight="1">
      <c r="A127" s="31" t="inlineStr">
        <is>
          <t>10 Jun</t>
        </is>
      </c>
      <c r="B127" s="31" t="inlineStr">
        <is>
          <t>31431</t>
        </is>
      </c>
      <c r="C127" s="31" t="n">
        <v>12</v>
      </c>
      <c r="D127" s="31" t="n">
        <v>1</v>
      </c>
      <c r="E127" s="31" t="n">
        <v>0</v>
      </c>
      <c r="F127" s="40" t="n">
        <v>2500566</v>
      </c>
      <c r="G127" s="40" t="n">
        <v>2500566</v>
      </c>
      <c r="H127" s="40" t="inlineStr">
        <is>
          <t>-</t>
        </is>
      </c>
      <c r="I127" s="40" t="inlineStr">
        <is>
          <t>-</t>
        </is>
      </c>
      <c r="J127" s="41" t="n">
        <v>0</v>
      </c>
      <c r="K127" s="31" t="inlineStr">
        <is>
          <t>No</t>
        </is>
      </c>
      <c r="L127" s="31" t="n">
        <v>0</v>
      </c>
      <c r="M12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8" ht="64" customHeight="1">
      <c r="A128" s="31" t="inlineStr">
        <is>
          <t>10 Jun</t>
        </is>
      </c>
      <c r="B128" s="31" t="inlineStr">
        <is>
          <t>37399</t>
        </is>
      </c>
      <c r="C128" s="31" t="n">
        <v>11</v>
      </c>
      <c r="D128" s="31" t="n">
        <v>0</v>
      </c>
      <c r="E128" s="31" t="n">
        <v>0</v>
      </c>
      <c r="F128" s="40" t="inlineStr">
        <is>
          <t>-</t>
        </is>
      </c>
      <c r="G128" s="40" t="inlineStr">
        <is>
          <t>-</t>
        </is>
      </c>
      <c r="H128" s="40" t="inlineStr">
        <is>
          <t>-</t>
        </is>
      </c>
      <c r="I128" s="40" t="inlineStr">
        <is>
          <t>-</t>
        </is>
      </c>
      <c r="J128" s="41" t="n">
        <v>0</v>
      </c>
      <c r="K128" s="31" t="inlineStr">
        <is>
          <t>No</t>
        </is>
      </c>
      <c r="L128" s="31" t="n">
        <v>0</v>
      </c>
      <c r="M12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9" ht="64" customHeight="1">
      <c r="A129" s="31" t="inlineStr">
        <is>
          <t>10 Jun</t>
        </is>
      </c>
      <c r="B129" s="31" t="inlineStr">
        <is>
          <t>39089</t>
        </is>
      </c>
      <c r="C129" s="31" t="n">
        <v>4</v>
      </c>
      <c r="D129" s="31" t="n">
        <v>4</v>
      </c>
      <c r="E129" s="31" t="n">
        <v>0</v>
      </c>
      <c r="F129" s="40" t="n">
        <v>375566</v>
      </c>
      <c r="G129" s="40" t="n">
        <v>395158</v>
      </c>
      <c r="H129" s="40" t="inlineStr">
        <is>
          <t>-</t>
        </is>
      </c>
      <c r="I129" s="40" t="inlineStr">
        <is>
          <t>-</t>
        </is>
      </c>
      <c r="J129" s="41" t="n">
        <v>0</v>
      </c>
      <c r="K129" s="31" t="inlineStr">
        <is>
          <t>No</t>
        </is>
      </c>
      <c r="L129" s="31" t="n">
        <v>0</v>
      </c>
      <c r="M12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0" ht="64" customHeight="1">
      <c r="A130" s="31" t="inlineStr">
        <is>
          <t>10 Jun</t>
        </is>
      </c>
      <c r="B130" s="31" t="inlineStr">
        <is>
          <t>39150</t>
        </is>
      </c>
      <c r="C130" s="31" t="n">
        <v>154</v>
      </c>
      <c r="D130" s="31" t="n">
        <v>154</v>
      </c>
      <c r="E130" s="31" t="n">
        <v>0</v>
      </c>
      <c r="F130" s="40" t="n">
        <v>495029</v>
      </c>
      <c r="G130" s="40" t="n">
        <v>495782</v>
      </c>
      <c r="H130" s="40" t="inlineStr">
        <is>
          <t>-</t>
        </is>
      </c>
      <c r="I130" s="40" t="inlineStr">
        <is>
          <t>-</t>
        </is>
      </c>
      <c r="J130" s="41" t="n">
        <v>0</v>
      </c>
      <c r="K130" s="31" t="inlineStr">
        <is>
          <t>No</t>
        </is>
      </c>
      <c r="L130" s="31" t="n">
        <v>0</v>
      </c>
      <c r="M13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1" ht="64" customHeight="1">
      <c r="A131" s="31" t="inlineStr">
        <is>
          <t>10 Jun</t>
        </is>
      </c>
      <c r="B131" s="31" t="inlineStr">
        <is>
          <t>39239</t>
        </is>
      </c>
      <c r="C131" s="31" t="n">
        <v>36</v>
      </c>
      <c r="D131" s="31" t="n">
        <v>36</v>
      </c>
      <c r="E131" s="31" t="n">
        <v>0</v>
      </c>
      <c r="F131" s="40" t="n">
        <v>375707</v>
      </c>
      <c r="G131" s="40" t="n">
        <v>395929</v>
      </c>
      <c r="H131" s="40" t="inlineStr">
        <is>
          <t>-</t>
        </is>
      </c>
      <c r="I131" s="40" t="inlineStr">
        <is>
          <t>-</t>
        </is>
      </c>
      <c r="J131" s="41" t="n">
        <v>0</v>
      </c>
      <c r="K131" s="31" t="inlineStr">
        <is>
          <t>No</t>
        </is>
      </c>
      <c r="L131" s="31" t="n">
        <v>0</v>
      </c>
      <c r="M13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2" ht="64" customHeight="1">
      <c r="A132" s="31" t="inlineStr">
        <is>
          <t>10 Jun</t>
        </is>
      </c>
      <c r="B132" s="31" t="inlineStr">
        <is>
          <t>39412</t>
        </is>
      </c>
      <c r="C132" s="31" t="n">
        <v>3</v>
      </c>
      <c r="D132" s="31" t="n">
        <v>0</v>
      </c>
      <c r="E132" s="31" t="n">
        <v>0</v>
      </c>
      <c r="F132" s="40" t="inlineStr">
        <is>
          <t>-</t>
        </is>
      </c>
      <c r="G132" s="40" t="inlineStr">
        <is>
          <t>-</t>
        </is>
      </c>
      <c r="H132" s="40" t="inlineStr">
        <is>
          <t>-</t>
        </is>
      </c>
      <c r="I132" s="40" t="inlineStr">
        <is>
          <t>-</t>
        </is>
      </c>
      <c r="J132" s="41" t="n">
        <v>0</v>
      </c>
      <c r="K132" s="31" t="inlineStr">
        <is>
          <t>No</t>
        </is>
      </c>
      <c r="L132" s="31" t="n">
        <v>0</v>
      </c>
      <c r="M13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3" ht="64" customHeight="1">
      <c r="A133" s="31" t="inlineStr">
        <is>
          <t>10 Jun</t>
        </is>
      </c>
      <c r="B133" s="31" t="inlineStr">
        <is>
          <t>41556</t>
        </is>
      </c>
      <c r="C133" s="31" t="n">
        <v>155</v>
      </c>
      <c r="D133" s="31" t="n">
        <v>130</v>
      </c>
      <c r="E133" s="31" t="n">
        <v>0</v>
      </c>
      <c r="F133" s="40" t="n">
        <v>2500003</v>
      </c>
      <c r="G133" s="40" t="n">
        <v>2500597</v>
      </c>
      <c r="H133" s="40" t="inlineStr">
        <is>
          <t>-</t>
        </is>
      </c>
      <c r="I133" s="40" t="inlineStr">
        <is>
          <t>-</t>
        </is>
      </c>
      <c r="J133" s="41" t="n">
        <v>0</v>
      </c>
      <c r="K133" s="31" t="inlineStr">
        <is>
          <t>No</t>
        </is>
      </c>
      <c r="L133" s="31" t="n">
        <v>0</v>
      </c>
      <c r="M13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4" ht="64" customHeight="1">
      <c r="A134" s="31" t="inlineStr">
        <is>
          <t>10 Jun</t>
        </is>
      </c>
      <c r="B134" s="31" t="inlineStr">
        <is>
          <t>42339</t>
        </is>
      </c>
      <c r="C134" s="31" t="n">
        <v>2</v>
      </c>
      <c r="D134" s="31" t="n">
        <v>2</v>
      </c>
      <c r="E134" s="31" t="n">
        <v>0</v>
      </c>
      <c r="F134" s="40" t="n">
        <v>375598</v>
      </c>
      <c r="G134" s="40" t="n">
        <v>384254</v>
      </c>
      <c r="H134" s="40" t="inlineStr">
        <is>
          <t>-</t>
        </is>
      </c>
      <c r="I134" s="40" t="inlineStr">
        <is>
          <t>-</t>
        </is>
      </c>
      <c r="J134" s="41" t="n">
        <v>0</v>
      </c>
      <c r="K134" s="31" t="inlineStr">
        <is>
          <t>No</t>
        </is>
      </c>
      <c r="L134" s="31" t="n">
        <v>0</v>
      </c>
      <c r="M13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5" ht="64" customHeight="1">
      <c r="A135" s="31" t="inlineStr">
        <is>
          <t>10 Jun</t>
        </is>
      </c>
      <c r="B135" s="31" t="inlineStr">
        <is>
          <t>43601</t>
        </is>
      </c>
      <c r="C135" s="31" t="n">
        <v>6</v>
      </c>
      <c r="D135" s="31" t="n">
        <v>0</v>
      </c>
      <c r="E135" s="31" t="n">
        <v>0</v>
      </c>
      <c r="F135" s="40" t="inlineStr">
        <is>
          <t>-</t>
        </is>
      </c>
      <c r="G135" s="40" t="inlineStr">
        <is>
          <t>-</t>
        </is>
      </c>
      <c r="H135" s="40" t="inlineStr">
        <is>
          <t>-</t>
        </is>
      </c>
      <c r="I135" s="40" t="inlineStr">
        <is>
          <t>-</t>
        </is>
      </c>
      <c r="J135" s="41" t="n">
        <v>0</v>
      </c>
      <c r="K135" s="31" t="inlineStr">
        <is>
          <t>No</t>
        </is>
      </c>
      <c r="L135" s="31" t="n">
        <v>0</v>
      </c>
      <c r="M13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6" ht="64" customHeight="1">
      <c r="A136" s="31" t="inlineStr">
        <is>
          <t>10 Jun</t>
        </is>
      </c>
      <c r="B136" s="31" t="inlineStr">
        <is>
          <t>43827</t>
        </is>
      </c>
      <c r="C136" s="31" t="n">
        <v>3</v>
      </c>
      <c r="D136" s="31" t="n">
        <v>0</v>
      </c>
      <c r="E136" s="31" t="n">
        <v>0</v>
      </c>
      <c r="F136" s="40" t="inlineStr">
        <is>
          <t>-</t>
        </is>
      </c>
      <c r="G136" s="40" t="inlineStr">
        <is>
          <t>-</t>
        </is>
      </c>
      <c r="H136" s="40" t="inlineStr">
        <is>
          <t>-</t>
        </is>
      </c>
      <c r="I136" s="40" t="inlineStr">
        <is>
          <t>-</t>
        </is>
      </c>
      <c r="J136" s="41" t="n">
        <v>0</v>
      </c>
      <c r="K136" s="31" t="inlineStr">
        <is>
          <t>No</t>
        </is>
      </c>
      <c r="L136" s="31" t="n">
        <v>0</v>
      </c>
      <c r="M13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7" ht="64" customHeight="1">
      <c r="A137" s="31" t="inlineStr">
        <is>
          <t>10 Jun</t>
        </is>
      </c>
      <c r="B137" s="31" t="inlineStr">
        <is>
          <t>43894</t>
        </is>
      </c>
      <c r="C137" s="31" t="n">
        <v>5</v>
      </c>
      <c r="D137" s="31" t="n">
        <v>0</v>
      </c>
      <c r="E137" s="31" t="n">
        <v>0</v>
      </c>
      <c r="F137" s="40" t="inlineStr">
        <is>
          <t>-</t>
        </is>
      </c>
      <c r="G137" s="40" t="inlineStr">
        <is>
          <t>-</t>
        </is>
      </c>
      <c r="H137" s="40" t="inlineStr">
        <is>
          <t>-</t>
        </is>
      </c>
      <c r="I137" s="40" t="inlineStr">
        <is>
          <t>-</t>
        </is>
      </c>
      <c r="J137" s="41" t="n">
        <v>0</v>
      </c>
      <c r="K137" s="31" t="inlineStr">
        <is>
          <t>No</t>
        </is>
      </c>
      <c r="L137" s="31" t="n">
        <v>0</v>
      </c>
      <c r="M13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8" ht="64" customHeight="1">
      <c r="A138" s="31" t="inlineStr">
        <is>
          <t>10 Jun</t>
        </is>
      </c>
      <c r="B138" s="31" t="inlineStr">
        <is>
          <t>43958</t>
        </is>
      </c>
      <c r="C138" s="31" t="n">
        <v>6</v>
      </c>
      <c r="D138" s="31" t="n">
        <v>0</v>
      </c>
      <c r="E138" s="31" t="n">
        <v>0</v>
      </c>
      <c r="F138" s="40" t="inlineStr">
        <is>
          <t>-</t>
        </is>
      </c>
      <c r="G138" s="40" t="inlineStr">
        <is>
          <t>-</t>
        </is>
      </c>
      <c r="H138" s="40" t="inlineStr">
        <is>
          <t>-</t>
        </is>
      </c>
      <c r="I138" s="40" t="inlineStr">
        <is>
          <t>-</t>
        </is>
      </c>
      <c r="J138" s="41" t="n">
        <v>0</v>
      </c>
      <c r="K138" s="31" t="inlineStr">
        <is>
          <t>No</t>
        </is>
      </c>
      <c r="L138" s="31" t="n">
        <v>0</v>
      </c>
      <c r="M13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9">
      <c r="A139" s="16" t="inlineStr">
        <is>
          <t>11 Jun</t>
        </is>
      </c>
      <c r="B139" s="16" t="inlineStr">
        <is>
          <t>37830</t>
        </is>
      </c>
      <c r="C139" s="16" t="n">
        <v>8060</v>
      </c>
      <c r="D139" s="16" t="n">
        <v>8060</v>
      </c>
      <c r="E139" s="16" t="n">
        <v>7415</v>
      </c>
      <c r="F139" s="38" t="n">
        <v>369924</v>
      </c>
      <c r="G139" s="38" t="n">
        <v>495710</v>
      </c>
      <c r="H139" s="38" t="n">
        <v>400406</v>
      </c>
      <c r="I139" s="38" t="n">
        <v>494311</v>
      </c>
      <c r="J139" s="19">
        <f>(I139-H139)/1000</f>
        <v/>
      </c>
      <c r="K139" s="16" t="inlineStr">
        <is>
          <t>Yes</t>
        </is>
      </c>
      <c r="L139" s="16" t="n">
        <v>23</v>
      </c>
      <c r="M139" s="39" t="inlineStr">
        <is>
          <t>- (full trip)</t>
        </is>
      </c>
    </row>
    <row r="140">
      <c r="A140" s="16" t="inlineStr">
        <is>
          <t>11 Jun</t>
        </is>
      </c>
      <c r="B140" s="16" t="inlineStr">
        <is>
          <t>39029</t>
        </is>
      </c>
      <c r="C140" s="16" t="n">
        <v>4847</v>
      </c>
      <c r="D140" s="16" t="n">
        <v>4847</v>
      </c>
      <c r="E140" s="16" t="n">
        <v>4506</v>
      </c>
      <c r="F140" s="38" t="n">
        <v>376473</v>
      </c>
      <c r="G140" s="38" t="n">
        <v>495809</v>
      </c>
      <c r="H140" s="38" t="n">
        <v>400406</v>
      </c>
      <c r="I140" s="38" t="n">
        <v>494312</v>
      </c>
      <c r="J140" s="19">
        <f>(I140-H140)/1000</f>
        <v/>
      </c>
      <c r="K140" s="16" t="inlineStr">
        <is>
          <t>Yes</t>
        </is>
      </c>
      <c r="L140" s="16" t="n">
        <v>23</v>
      </c>
      <c r="M140" s="39" t="inlineStr">
        <is>
          <t>- (full trip)</t>
        </is>
      </c>
    </row>
    <row r="141">
      <c r="A141" s="16" t="inlineStr">
        <is>
          <t>11 Jun</t>
        </is>
      </c>
      <c r="B141" s="16" t="inlineStr">
        <is>
          <t>30046</t>
        </is>
      </c>
      <c r="C141" s="16" t="n">
        <v>5113</v>
      </c>
      <c r="D141" s="16" t="n">
        <v>5113</v>
      </c>
      <c r="E141" s="16" t="n">
        <v>4797</v>
      </c>
      <c r="F141" s="38" t="n">
        <v>375492</v>
      </c>
      <c r="G141" s="38" t="n">
        <v>495759</v>
      </c>
      <c r="H141" s="38" t="n">
        <v>400405</v>
      </c>
      <c r="I141" s="38" t="n">
        <v>494309</v>
      </c>
      <c r="J141" s="19">
        <f>(I141-H141)/1000</f>
        <v/>
      </c>
      <c r="K141" s="16" t="inlineStr">
        <is>
          <t>Yes</t>
        </is>
      </c>
      <c r="L141" s="16" t="n">
        <v>23</v>
      </c>
      <c r="M141" s="39" t="inlineStr">
        <is>
          <t>- (full trip)</t>
        </is>
      </c>
    </row>
    <row r="142">
      <c r="A142" s="16" t="inlineStr">
        <is>
          <t>11 Jun</t>
        </is>
      </c>
      <c r="B142" s="16" t="inlineStr">
        <is>
          <t>37163</t>
        </is>
      </c>
      <c r="C142" s="16" t="n">
        <v>3804</v>
      </c>
      <c r="D142" s="16" t="n">
        <v>3804</v>
      </c>
      <c r="E142" s="16" t="n">
        <v>3221</v>
      </c>
      <c r="F142" s="38" t="n">
        <v>383781</v>
      </c>
      <c r="G142" s="38" t="n">
        <v>495772</v>
      </c>
      <c r="H142" s="38" t="n">
        <v>400409</v>
      </c>
      <c r="I142" s="38" t="n">
        <v>494312</v>
      </c>
      <c r="J142" s="19">
        <f>(I142-H142)/1000</f>
        <v/>
      </c>
      <c r="K142" s="16" t="inlineStr">
        <is>
          <t>Yes</t>
        </is>
      </c>
      <c r="L142" s="16" t="n">
        <v>23</v>
      </c>
      <c r="M142" s="39" t="inlineStr">
        <is>
          <t>- (full trip)</t>
        </is>
      </c>
    </row>
    <row r="143">
      <c r="A143" s="16" t="inlineStr">
        <is>
          <t>11 Jun</t>
        </is>
      </c>
      <c r="B143" s="16" t="inlineStr">
        <is>
          <t>37947</t>
        </is>
      </c>
      <c r="C143" s="16" t="n">
        <v>4602</v>
      </c>
      <c r="D143" s="16" t="n">
        <v>4602</v>
      </c>
      <c r="E143" s="16" t="n">
        <v>4227</v>
      </c>
      <c r="F143" s="38" t="n">
        <v>368111</v>
      </c>
      <c r="G143" s="38" t="n">
        <v>494981</v>
      </c>
      <c r="H143" s="38" t="n">
        <v>400412</v>
      </c>
      <c r="I143" s="38" t="n">
        <v>494310</v>
      </c>
      <c r="J143" s="19">
        <f>(I143-H143)/1000</f>
        <v/>
      </c>
      <c r="K143" s="16" t="inlineStr">
        <is>
          <t>Yes</t>
        </is>
      </c>
      <c r="L143" s="16" t="n">
        <v>23</v>
      </c>
      <c r="M143" s="39" t="inlineStr">
        <is>
          <t>- (full trip)</t>
        </is>
      </c>
    </row>
    <row r="144">
      <c r="A144" s="16" t="inlineStr">
        <is>
          <t>11 Jun</t>
        </is>
      </c>
      <c r="B144" s="16" t="inlineStr">
        <is>
          <t>39027</t>
        </is>
      </c>
      <c r="C144" s="16" t="n">
        <v>8187</v>
      </c>
      <c r="D144" s="16" t="n">
        <v>8187</v>
      </c>
      <c r="E144" s="16" t="n">
        <v>7574</v>
      </c>
      <c r="F144" s="38" t="n">
        <v>375668</v>
      </c>
      <c r="G144" s="38" t="n">
        <v>495811</v>
      </c>
      <c r="H144" s="38" t="n">
        <v>400410</v>
      </c>
      <c r="I144" s="38" t="n">
        <v>494312</v>
      </c>
      <c r="J144" s="19">
        <f>(I144-H144)/1000</f>
        <v/>
      </c>
      <c r="K144" s="16" t="inlineStr">
        <is>
          <t>Yes</t>
        </is>
      </c>
      <c r="L144" s="16" t="n">
        <v>23</v>
      </c>
      <c r="M144" s="39" t="inlineStr">
        <is>
          <t>- (full trip)</t>
        </is>
      </c>
    </row>
    <row r="145">
      <c r="A145" s="16" t="inlineStr">
        <is>
          <t>11 Jun</t>
        </is>
      </c>
      <c r="B145" s="16" t="inlineStr">
        <is>
          <t>39131</t>
        </is>
      </c>
      <c r="C145" s="16" t="n">
        <v>3947</v>
      </c>
      <c r="D145" s="16" t="n">
        <v>3947</v>
      </c>
      <c r="E145" s="16" t="n">
        <v>3670</v>
      </c>
      <c r="F145" s="38" t="n">
        <v>400216</v>
      </c>
      <c r="G145" s="38" t="n">
        <v>495814</v>
      </c>
      <c r="H145" s="38" t="n">
        <v>400409</v>
      </c>
      <c r="I145" s="38" t="n">
        <v>494309</v>
      </c>
      <c r="J145" s="19">
        <f>(I145-H145)/1000</f>
        <v/>
      </c>
      <c r="K145" s="16" t="inlineStr">
        <is>
          <t>Yes</t>
        </is>
      </c>
      <c r="L145" s="16" t="n">
        <v>23</v>
      </c>
      <c r="M145" s="39" t="inlineStr">
        <is>
          <t>- (full trip)</t>
        </is>
      </c>
    </row>
    <row r="146">
      <c r="A146" s="16" t="inlineStr">
        <is>
          <t>11 Jun</t>
        </is>
      </c>
      <c r="B146" s="16" t="inlineStr">
        <is>
          <t>30090</t>
        </is>
      </c>
      <c r="C146" s="16" t="n">
        <v>3664</v>
      </c>
      <c r="D146" s="16" t="n">
        <v>3664</v>
      </c>
      <c r="E146" s="16" t="n">
        <v>3261</v>
      </c>
      <c r="F146" s="38" t="n">
        <v>393597</v>
      </c>
      <c r="G146" s="38" t="n">
        <v>495008</v>
      </c>
      <c r="H146" s="38" t="n">
        <v>400428</v>
      </c>
      <c r="I146" s="38" t="n">
        <v>494311</v>
      </c>
      <c r="J146" s="19">
        <f>(I146-H146)/1000</f>
        <v/>
      </c>
      <c r="K146" s="16" t="inlineStr">
        <is>
          <t>Yes</t>
        </is>
      </c>
      <c r="L146" s="16" t="n">
        <v>23</v>
      </c>
      <c r="M146" s="39" t="inlineStr">
        <is>
          <t>- (full trip)</t>
        </is>
      </c>
    </row>
    <row r="147">
      <c r="A147" s="16" t="inlineStr">
        <is>
          <t>11 Jun</t>
        </is>
      </c>
      <c r="B147" s="16" t="inlineStr">
        <is>
          <t>30470</t>
        </is>
      </c>
      <c r="C147" s="16" t="n">
        <v>4384</v>
      </c>
      <c r="D147" s="16" t="n">
        <v>4384</v>
      </c>
      <c r="E147" s="16" t="n">
        <v>4051</v>
      </c>
      <c r="F147" s="38" t="n">
        <v>379702</v>
      </c>
      <c r="G147" s="38" t="n">
        <v>495718</v>
      </c>
      <c r="H147" s="38" t="n">
        <v>400428</v>
      </c>
      <c r="I147" s="38" t="n">
        <v>494312</v>
      </c>
      <c r="J147" s="19">
        <f>(I147-H147)/1000</f>
        <v/>
      </c>
      <c r="K147" s="16" t="inlineStr">
        <is>
          <t>Yes</t>
        </is>
      </c>
      <c r="L147" s="16" t="n">
        <v>23</v>
      </c>
      <c r="M147" s="39" t="inlineStr">
        <is>
          <t>- (full trip)</t>
        </is>
      </c>
    </row>
    <row r="148">
      <c r="A148" s="16" t="inlineStr">
        <is>
          <t>11 Jun</t>
        </is>
      </c>
      <c r="B148" s="16" t="inlineStr">
        <is>
          <t>37424</t>
        </is>
      </c>
      <c r="C148" s="16" t="n">
        <v>6995</v>
      </c>
      <c r="D148" s="16" t="n">
        <v>6995</v>
      </c>
      <c r="E148" s="16" t="n">
        <v>6251</v>
      </c>
      <c r="F148" s="38" t="n">
        <v>370038</v>
      </c>
      <c r="G148" s="38" t="n">
        <v>495633</v>
      </c>
      <c r="H148" s="38" t="n">
        <v>400430</v>
      </c>
      <c r="I148" s="38" t="n">
        <v>494311</v>
      </c>
      <c r="J148" s="19">
        <f>(I148-H148)/1000</f>
        <v/>
      </c>
      <c r="K148" s="16" t="inlineStr">
        <is>
          <t>Yes</t>
        </is>
      </c>
      <c r="L148" s="16" t="n">
        <v>23</v>
      </c>
      <c r="M148" s="39" t="inlineStr">
        <is>
          <t>- (full trip)</t>
        </is>
      </c>
    </row>
    <row r="149">
      <c r="A149" s="16" t="inlineStr">
        <is>
          <t>11 Jun</t>
        </is>
      </c>
      <c r="B149" s="16" t="inlineStr">
        <is>
          <t>37287</t>
        </is>
      </c>
      <c r="C149" s="16" t="n">
        <v>3819</v>
      </c>
      <c r="D149" s="16" t="n">
        <v>3819</v>
      </c>
      <c r="E149" s="16" t="n">
        <v>3707</v>
      </c>
      <c r="F149" s="38" t="n">
        <v>370027</v>
      </c>
      <c r="G149" s="38" t="n">
        <v>494291</v>
      </c>
      <c r="H149" s="38" t="n">
        <v>400418</v>
      </c>
      <c r="I149" s="38" t="n">
        <v>494291</v>
      </c>
      <c r="J149" s="19">
        <f>(I149-H149)/1000</f>
        <v/>
      </c>
      <c r="K149" s="16" t="inlineStr">
        <is>
          <t>Yes</t>
        </is>
      </c>
      <c r="L149" s="16" t="n">
        <v>23</v>
      </c>
      <c r="M149" s="39" t="inlineStr">
        <is>
          <t>- (full trip)</t>
        </is>
      </c>
    </row>
    <row r="150">
      <c r="A150" s="16" t="inlineStr">
        <is>
          <t>11 Jun</t>
        </is>
      </c>
      <c r="B150" s="16" t="inlineStr">
        <is>
          <t>37507</t>
        </is>
      </c>
      <c r="C150" s="16" t="n">
        <v>2107</v>
      </c>
      <c r="D150" s="16" t="n">
        <v>2107</v>
      </c>
      <c r="E150" s="16" t="n">
        <v>1931</v>
      </c>
      <c r="F150" s="38" t="n">
        <v>395418</v>
      </c>
      <c r="G150" s="38" t="n">
        <v>495801</v>
      </c>
      <c r="H150" s="38" t="n">
        <v>400450</v>
      </c>
      <c r="I150" s="38" t="n">
        <v>494305</v>
      </c>
      <c r="J150" s="19">
        <f>(I150-H150)/1000</f>
        <v/>
      </c>
      <c r="K150" s="16" t="inlineStr">
        <is>
          <t>Yes</t>
        </is>
      </c>
      <c r="L150" s="16" t="n">
        <v>23</v>
      </c>
      <c r="M150" s="39" t="inlineStr">
        <is>
          <t>- (full trip)</t>
        </is>
      </c>
    </row>
    <row r="151">
      <c r="A151" s="16" t="inlineStr">
        <is>
          <t>11 Jun</t>
        </is>
      </c>
      <c r="B151" s="16" t="inlineStr">
        <is>
          <t>37956</t>
        </is>
      </c>
      <c r="C151" s="16" t="n">
        <v>3969</v>
      </c>
      <c r="D151" s="16" t="n">
        <v>3969</v>
      </c>
      <c r="E151" s="16" t="n">
        <v>3445</v>
      </c>
      <c r="F151" s="38" t="n">
        <v>370060</v>
      </c>
      <c r="G151" s="38" t="n">
        <v>495473</v>
      </c>
      <c r="H151" s="38" t="n">
        <v>400484</v>
      </c>
      <c r="I151" s="38" t="n">
        <v>494311</v>
      </c>
      <c r="J151" s="19">
        <f>(I151-H151)/1000</f>
        <v/>
      </c>
      <c r="K151" s="16" t="inlineStr">
        <is>
          <t>Yes</t>
        </is>
      </c>
      <c r="L151" s="16" t="n">
        <v>23</v>
      </c>
      <c r="M151" s="39" t="inlineStr">
        <is>
          <t>- (full trip)</t>
        </is>
      </c>
    </row>
    <row r="152">
      <c r="A152" s="16" t="inlineStr">
        <is>
          <t>11 Jun</t>
        </is>
      </c>
      <c r="B152" s="16" t="inlineStr">
        <is>
          <t>45026</t>
        </is>
      </c>
      <c r="C152" s="16" t="n">
        <v>3685</v>
      </c>
      <c r="D152" s="16" t="n">
        <v>3656</v>
      </c>
      <c r="E152" s="16" t="n">
        <v>3430</v>
      </c>
      <c r="F152" s="38" t="n">
        <v>395394</v>
      </c>
      <c r="G152" s="38" t="n">
        <v>495056</v>
      </c>
      <c r="H152" s="38" t="n">
        <v>400484</v>
      </c>
      <c r="I152" s="38" t="n">
        <v>494308</v>
      </c>
      <c r="J152" s="19">
        <f>(I152-H152)/1000</f>
        <v/>
      </c>
      <c r="K152" s="16" t="inlineStr">
        <is>
          <t>Yes</t>
        </is>
      </c>
      <c r="L152" s="16" t="n">
        <v>23</v>
      </c>
      <c r="M152" s="39" t="inlineStr">
        <is>
          <t>- (full trip)</t>
        </is>
      </c>
    </row>
    <row r="153">
      <c r="A153" s="16" t="inlineStr">
        <is>
          <t>11 Jun</t>
        </is>
      </c>
      <c r="B153" s="16" t="inlineStr">
        <is>
          <t>30791</t>
        </is>
      </c>
      <c r="C153" s="16" t="n">
        <v>4554</v>
      </c>
      <c r="D153" s="16" t="n">
        <v>4554</v>
      </c>
      <c r="E153" s="16" t="n">
        <v>4259</v>
      </c>
      <c r="F153" s="38" t="n">
        <v>394325</v>
      </c>
      <c r="G153" s="38" t="n">
        <v>494966</v>
      </c>
      <c r="H153" s="38" t="n">
        <v>400505</v>
      </c>
      <c r="I153" s="38" t="n">
        <v>494311</v>
      </c>
      <c r="J153" s="19">
        <f>(I153-H153)/1000</f>
        <v/>
      </c>
      <c r="K153" s="16" t="inlineStr">
        <is>
          <t>Yes</t>
        </is>
      </c>
      <c r="L153" s="16" t="n">
        <v>23</v>
      </c>
      <c r="M153" s="39" t="inlineStr">
        <is>
          <t>- (full trip)</t>
        </is>
      </c>
    </row>
    <row r="154">
      <c r="A154" s="16" t="inlineStr">
        <is>
          <t>11 Jun</t>
        </is>
      </c>
      <c r="B154" s="16" t="inlineStr">
        <is>
          <t>39307</t>
        </is>
      </c>
      <c r="C154" s="16" t="n">
        <v>3139</v>
      </c>
      <c r="D154" s="16" t="n">
        <v>3139</v>
      </c>
      <c r="E154" s="16" t="n">
        <v>2804</v>
      </c>
      <c r="F154" s="38" t="n">
        <v>431512</v>
      </c>
      <c r="G154" s="38" t="n">
        <v>494980</v>
      </c>
      <c r="H154" s="38" t="n">
        <v>431512</v>
      </c>
      <c r="I154" s="38" t="n">
        <v>494310</v>
      </c>
      <c r="J154" s="19">
        <f>(I154-H154)/1000</f>
        <v/>
      </c>
      <c r="K154" s="16" t="inlineStr">
        <is>
          <t>Yes</t>
        </is>
      </c>
      <c r="L154" s="16" t="n">
        <v>16</v>
      </c>
      <c r="M154" s="39" t="inlineStr">
        <is>
          <t>BAJWA, RANOLI, LC-246, VASAD, ADAS ROAD, VADOD, LC-258</t>
        </is>
      </c>
    </row>
    <row r="155" ht="49" customHeight="1">
      <c r="A155" s="16" t="inlineStr">
        <is>
          <t>11 Jun</t>
        </is>
      </c>
      <c r="B155" s="16" t="inlineStr">
        <is>
          <t>37569</t>
        </is>
      </c>
      <c r="C155" s="16" t="n">
        <v>3910</v>
      </c>
      <c r="D155" s="16" t="n">
        <v>3910</v>
      </c>
      <c r="E155" s="16" t="n">
        <v>3910</v>
      </c>
      <c r="F155" s="38" t="n">
        <v>400996</v>
      </c>
      <c r="G155" s="38" t="n">
        <v>453335</v>
      </c>
      <c r="H155" s="38" t="n">
        <v>400996</v>
      </c>
      <c r="I155" s="38" t="n">
        <v>453335</v>
      </c>
      <c r="J155" s="19">
        <f>(I155-H155)/1000</f>
        <v/>
      </c>
      <c r="K155" s="16" t="inlineStr">
        <is>
          <t>Yes</t>
        </is>
      </c>
      <c r="L155" s="16" t="n">
        <v>12</v>
      </c>
      <c r="M155" s="39" t="inlineStr">
        <is>
          <t>LC-278, GOTHAJ, LC-286, MAHEMDABAD AND KHEDA ROAD, LC-294, KANIJ, BAREJADI NANDEJ, GERATPUR, VATVA, KANKARIYA CABIN, AHMEDABAD Jn</t>
        </is>
      </c>
    </row>
    <row r="156" ht="49" customHeight="1">
      <c r="A156" s="16" t="inlineStr">
        <is>
          <t>11 Jun</t>
        </is>
      </c>
      <c r="B156" s="16" t="inlineStr">
        <is>
          <t>39066</t>
        </is>
      </c>
      <c r="C156" s="16" t="n">
        <v>655</v>
      </c>
      <c r="D156" s="16" t="n">
        <v>655</v>
      </c>
      <c r="E156" s="16" t="n">
        <v>568</v>
      </c>
      <c r="F156" s="38" t="n">
        <v>383702</v>
      </c>
      <c r="G156" s="38" t="n">
        <v>452588</v>
      </c>
      <c r="H156" s="38" t="n">
        <v>400527</v>
      </c>
      <c r="I156" s="38" t="n">
        <v>452588</v>
      </c>
      <c r="J156" s="19">
        <f>(I156-H156)/1000</f>
        <v/>
      </c>
      <c r="K156" s="16" t="inlineStr">
        <is>
          <t>Yes</t>
        </is>
      </c>
      <c r="L156" s="16" t="n">
        <v>12</v>
      </c>
      <c r="M156" s="39" t="inlineStr">
        <is>
          <t>LC-278, GOTHAJ, LC-286, MAHEMDABAD AND KHEDA ROAD, LC-294, KANIJ, BAREJADI NANDEJ, GERATPUR, VATVA, KANKARIYA CABIN, AHMEDABAD Jn</t>
        </is>
      </c>
    </row>
    <row r="157" ht="49" customHeight="1">
      <c r="A157" s="16" t="inlineStr">
        <is>
          <t>11 Jun</t>
        </is>
      </c>
      <c r="B157" s="16" t="inlineStr">
        <is>
          <t>39328</t>
        </is>
      </c>
      <c r="C157" s="16" t="n">
        <v>2332</v>
      </c>
      <c r="D157" s="16" t="n">
        <v>2332</v>
      </c>
      <c r="E157" s="16" t="n">
        <v>1461</v>
      </c>
      <c r="F157" s="38" t="n">
        <v>370049</v>
      </c>
      <c r="G157" s="38" t="n">
        <v>452334</v>
      </c>
      <c r="H157" s="38" t="n">
        <v>400402</v>
      </c>
      <c r="I157" s="38" t="n">
        <v>452334</v>
      </c>
      <c r="J157" s="19">
        <f>(I157-H157)/1000</f>
        <v/>
      </c>
      <c r="K157" s="16" t="inlineStr">
        <is>
          <t>Yes</t>
        </is>
      </c>
      <c r="L157" s="16" t="n">
        <v>12</v>
      </c>
      <c r="M157" s="39" t="inlineStr">
        <is>
          <t>LC-278, GOTHAJ, LC-286, MAHEMDABAD AND KHEDA ROAD, LC-294, KANIJ, BAREJADI NANDEJ, GERATPUR, VATVA, KANKARIYA CABIN, AHMEDABAD Jn</t>
        </is>
      </c>
    </row>
    <row r="158" ht="49" customHeight="1">
      <c r="A158" s="16" t="inlineStr">
        <is>
          <t>11 Jun</t>
        </is>
      </c>
      <c r="B158" s="16" t="inlineStr">
        <is>
          <t>37383</t>
        </is>
      </c>
      <c r="C158" s="16" t="n">
        <v>795</v>
      </c>
      <c r="D158" s="16" t="n">
        <v>795</v>
      </c>
      <c r="E158" s="16" t="n">
        <v>724</v>
      </c>
      <c r="F158" s="38" t="n">
        <v>379150</v>
      </c>
      <c r="G158" s="38" t="n">
        <v>452178</v>
      </c>
      <c r="H158" s="38" t="n">
        <v>400508</v>
      </c>
      <c r="I158" s="38" t="n">
        <v>452178</v>
      </c>
      <c r="J158" s="19">
        <f>(I158-H158)/1000</f>
        <v/>
      </c>
      <c r="K158" s="16" t="inlineStr">
        <is>
          <t>Yes</t>
        </is>
      </c>
      <c r="L158" s="16" t="n">
        <v>12</v>
      </c>
      <c r="M158" s="39" t="inlineStr">
        <is>
          <t>LC-278, GOTHAJ, LC-286, MAHEMDABAD AND KHEDA ROAD, LC-294, KANIJ, BAREJADI NANDEJ, GERATPUR, VATVA, KANKARIYA CABIN, AHMEDABAD Jn</t>
        </is>
      </c>
    </row>
    <row r="159" ht="49" customHeight="1">
      <c r="A159" s="16" t="inlineStr">
        <is>
          <t>11 Jun</t>
        </is>
      </c>
      <c r="B159" s="16" t="inlineStr">
        <is>
          <t>37577</t>
        </is>
      </c>
      <c r="C159" s="16" t="n">
        <v>920</v>
      </c>
      <c r="D159" s="16" t="n">
        <v>920</v>
      </c>
      <c r="E159" s="16" t="n">
        <v>665</v>
      </c>
      <c r="F159" s="38" t="n">
        <v>384493</v>
      </c>
      <c r="G159" s="38" t="n">
        <v>440733</v>
      </c>
      <c r="H159" s="38" t="n">
        <v>400435</v>
      </c>
      <c r="I159" s="38" t="n">
        <v>440733</v>
      </c>
      <c r="J159" s="19">
        <f>(I159-H159)/1000</f>
        <v/>
      </c>
      <c r="K159" s="16" t="inlineStr">
        <is>
          <t>Yes</t>
        </is>
      </c>
      <c r="L159" s="16" t="n">
        <v>10</v>
      </c>
      <c r="M159" s="39" t="inlineStr">
        <is>
          <t>UTARSANDA, NADIAD, LC-278, GOTHAJ, LC-286, MAHEMDABAD AND KHEDA ROAD, LC-294, KANIJ, BAREJADI NANDEJ, GERATPUR, VATVA, KANKARIYA CABIN, AHMEDABAD Jn</t>
        </is>
      </c>
    </row>
    <row r="160" ht="49" customHeight="1">
      <c r="A160" s="16" t="inlineStr">
        <is>
          <t>11 Jun</t>
        </is>
      </c>
      <c r="B160" s="16" t="inlineStr">
        <is>
          <t>39308</t>
        </is>
      </c>
      <c r="C160" s="16" t="n">
        <v>2823</v>
      </c>
      <c r="D160" s="16" t="n">
        <v>2823</v>
      </c>
      <c r="E160" s="16" t="n">
        <v>2441</v>
      </c>
      <c r="F160" s="38" t="n">
        <v>383707</v>
      </c>
      <c r="G160" s="38" t="n">
        <v>438242</v>
      </c>
      <c r="H160" s="38" t="n">
        <v>400419</v>
      </c>
      <c r="I160" s="38" t="n">
        <v>438242</v>
      </c>
      <c r="J160" s="19">
        <f>(I160-H160)/1000</f>
        <v/>
      </c>
      <c r="K160" s="16" t="inlineStr">
        <is>
          <t>Yes</t>
        </is>
      </c>
      <c r="L160" s="16" t="n">
        <v>10</v>
      </c>
      <c r="M160" s="39" t="inlineStr">
        <is>
          <t>UTARSANDA, NADIAD, LC-278, GOTHAJ, LC-286, MAHEMDABAD AND KHEDA ROAD, LC-294, KANIJ, BAREJADI NANDEJ, GERATPUR, VATVA, KANKARIYA CABIN, AHMEDABAD Jn</t>
        </is>
      </c>
    </row>
    <row r="161" ht="49" customHeight="1">
      <c r="A161" s="16" t="inlineStr">
        <is>
          <t>11 Jun</t>
        </is>
      </c>
      <c r="B161" s="16" t="inlineStr">
        <is>
          <t>37019</t>
        </is>
      </c>
      <c r="C161" s="16" t="n">
        <v>809</v>
      </c>
      <c r="D161" s="16" t="n">
        <v>809</v>
      </c>
      <c r="E161" s="16" t="n">
        <v>586</v>
      </c>
      <c r="F161" s="38" t="n">
        <v>375687</v>
      </c>
      <c r="G161" s="38" t="n">
        <v>436921</v>
      </c>
      <c r="H161" s="38" t="n">
        <v>400403</v>
      </c>
      <c r="I161" s="38" t="n">
        <v>436921</v>
      </c>
      <c r="J161" s="19">
        <f>(I161-H161)/1000</f>
        <v/>
      </c>
      <c r="K161" s="16" t="inlineStr">
        <is>
          <t>Yes</t>
        </is>
      </c>
      <c r="L161" s="16" t="n">
        <v>10</v>
      </c>
      <c r="M161" s="39" t="inlineStr">
        <is>
          <t>UTARSANDA, NADIAD, LC-278, GOTHAJ, LC-286, MAHEMDABAD AND KHEDA ROAD, LC-294, KANIJ, BAREJADI NANDEJ, GERATPUR, VATVA, KANKARIYA CABIN, AHMEDABAD Jn</t>
        </is>
      </c>
    </row>
    <row r="162" ht="49" customHeight="1">
      <c r="A162" s="16" t="inlineStr">
        <is>
          <t>11 Jun</t>
        </is>
      </c>
      <c r="B162" s="16" t="inlineStr">
        <is>
          <t>37818</t>
        </is>
      </c>
      <c r="C162" s="16" t="n">
        <v>671</v>
      </c>
      <c r="D162" s="16" t="n">
        <v>671</v>
      </c>
      <c r="E162" s="16" t="n">
        <v>606</v>
      </c>
      <c r="F162" s="38" t="n">
        <v>396078</v>
      </c>
      <c r="G162" s="38" t="n">
        <v>436501</v>
      </c>
      <c r="H162" s="38" t="n">
        <v>400406</v>
      </c>
      <c r="I162" s="38" t="n">
        <v>436501</v>
      </c>
      <c r="J162" s="19">
        <f>(I162-H162)/1000</f>
        <v/>
      </c>
      <c r="K162" s="16" t="inlineStr">
        <is>
          <t>Yes</t>
        </is>
      </c>
      <c r="L162" s="16" t="n">
        <v>9</v>
      </c>
      <c r="M162" s="39" t="inlineStr">
        <is>
          <t>KANJARI BORIYAVI, UTARSANDA, NADIAD, LC-278, GOTHAJ, LC-286, MAHEMDABAD AND KHEDA ROAD, LC-294, KANIJ, BAREJADI NANDEJ, GERATPUR, VATVA, KANKARIYA CABIN, AHMEDABAD Jn</t>
        </is>
      </c>
    </row>
    <row r="163" ht="49" customHeight="1">
      <c r="A163" s="16" t="inlineStr">
        <is>
          <t>11 Jun</t>
        </is>
      </c>
      <c r="B163" s="16" t="inlineStr">
        <is>
          <t>39243</t>
        </is>
      </c>
      <c r="C163" s="16" t="n">
        <v>1011</v>
      </c>
      <c r="D163" s="16" t="n">
        <v>1011</v>
      </c>
      <c r="E163" s="16" t="n">
        <v>887</v>
      </c>
      <c r="F163" s="38" t="n">
        <v>370035</v>
      </c>
      <c r="G163" s="38" t="n">
        <v>434747</v>
      </c>
      <c r="H163" s="38" t="n">
        <v>400441</v>
      </c>
      <c r="I163" s="38" t="n">
        <v>434747</v>
      </c>
      <c r="J163" s="19">
        <f>(I163-H163)/1000</f>
        <v/>
      </c>
      <c r="K163" s="16" t="inlineStr">
        <is>
          <t>Yes</t>
        </is>
      </c>
      <c r="L163" s="16" t="n">
        <v>9</v>
      </c>
      <c r="M163" s="39" t="inlineStr">
        <is>
          <t>KANJARI BORIYAVI, UTARSANDA, NADIAD, LC-278, GOTHAJ, LC-286, MAHEMDABAD AND KHEDA ROAD, LC-294, KANIJ, BAREJADI NANDEJ, GERATPUR, VATVA, KANKARIYA CABIN, AHMEDABAD Jn</t>
        </is>
      </c>
    </row>
    <row r="164" ht="49" customHeight="1">
      <c r="A164" s="16" t="inlineStr">
        <is>
          <t>11 Jun</t>
        </is>
      </c>
      <c r="B164" s="16" t="inlineStr">
        <is>
          <t>30635</t>
        </is>
      </c>
      <c r="C164" s="16" t="n">
        <v>762</v>
      </c>
      <c r="D164" s="16" t="n">
        <v>762</v>
      </c>
      <c r="E164" s="16" t="n">
        <v>509</v>
      </c>
      <c r="F164" s="38" t="n">
        <v>375484</v>
      </c>
      <c r="G164" s="38" t="n">
        <v>434280</v>
      </c>
      <c r="H164" s="38" t="n">
        <v>400437</v>
      </c>
      <c r="I164" s="38" t="n">
        <v>434280</v>
      </c>
      <c r="J164" s="19">
        <f>(I164-H164)/1000</f>
        <v/>
      </c>
      <c r="K164" s="16" t="inlineStr">
        <is>
          <t>Yes</t>
        </is>
      </c>
      <c r="L164" s="16" t="n">
        <v>9</v>
      </c>
      <c r="M164" s="39" t="inlineStr">
        <is>
          <t>KANJARI BORIYAVI, UTARSANDA, NADIAD, LC-278, GOTHAJ, LC-286, MAHEMDABAD AND KHEDA ROAD, LC-294, KANIJ, BAREJADI NANDEJ, GERATPUR, VATVA, KANKARIYA CABIN, AHMEDABAD Jn</t>
        </is>
      </c>
    </row>
    <row r="165" ht="49" customHeight="1">
      <c r="A165" s="16" t="inlineStr">
        <is>
          <t>11 Jun</t>
        </is>
      </c>
      <c r="B165" s="16" t="inlineStr">
        <is>
          <t>30581</t>
        </is>
      </c>
      <c r="C165" s="16" t="n">
        <v>801</v>
      </c>
      <c r="D165" s="16" t="n">
        <v>801</v>
      </c>
      <c r="E165" s="16" t="n">
        <v>801</v>
      </c>
      <c r="F165" s="38" t="n">
        <v>403883</v>
      </c>
      <c r="G165" s="38" t="n">
        <v>437278</v>
      </c>
      <c r="H165" s="38" t="n">
        <v>403883</v>
      </c>
      <c r="I165" s="38" t="n">
        <v>437278</v>
      </c>
      <c r="J165" s="19">
        <f>(I165-H165)/1000</f>
        <v/>
      </c>
      <c r="K165" s="16" t="inlineStr">
        <is>
          <t>Yes</t>
        </is>
      </c>
      <c r="L165" s="16" t="n">
        <v>10</v>
      </c>
      <c r="M165" s="39" t="inlineStr">
        <is>
          <t>UTARSANDA, NADIAD, LC-278, GOTHAJ, LC-286, MAHEMDABAD AND KHEDA ROAD, LC-294, KANIJ, BAREJADI NANDEJ, GERATPUR, VATVA, KANKARIYA CABIN, AHMEDABAD Jn</t>
        </is>
      </c>
    </row>
    <row r="166" ht="49" customHeight="1">
      <c r="A166" s="16" t="inlineStr">
        <is>
          <t>11 Jun</t>
        </is>
      </c>
      <c r="B166" s="16" t="inlineStr">
        <is>
          <t>38117</t>
        </is>
      </c>
      <c r="C166" s="16" t="n">
        <v>447</v>
      </c>
      <c r="D166" s="16" t="n">
        <v>435</v>
      </c>
      <c r="E166" s="16" t="n">
        <v>342</v>
      </c>
      <c r="F166" s="38" t="n">
        <v>398467</v>
      </c>
      <c r="G166" s="38" t="n">
        <v>436260</v>
      </c>
      <c r="H166" s="38" t="n">
        <v>403860</v>
      </c>
      <c r="I166" s="38" t="n">
        <v>436260</v>
      </c>
      <c r="J166" s="19">
        <f>(I166-H166)/1000</f>
        <v/>
      </c>
      <c r="K166" s="16" t="inlineStr">
        <is>
          <t>Yes</t>
        </is>
      </c>
      <c r="L166" s="16" t="n">
        <v>9</v>
      </c>
      <c r="M166" s="39" t="inlineStr">
        <is>
          <t>KANJARI BORIYAVI, UTARSANDA, NADIAD, LC-278, GOTHAJ, LC-286, MAHEMDABAD AND KHEDA ROAD, LC-294, KANIJ, BAREJADI NANDEJ, GERATPUR, VATVA, KANKARIYA CABIN, AHMEDABAD Jn</t>
        </is>
      </c>
    </row>
    <row r="167" ht="49" customHeight="1">
      <c r="A167" s="16" t="inlineStr">
        <is>
          <t>11 Jun</t>
        </is>
      </c>
      <c r="B167" s="16" t="inlineStr">
        <is>
          <t>37286</t>
        </is>
      </c>
      <c r="C167" s="16" t="n">
        <v>557</v>
      </c>
      <c r="D167" s="16" t="n">
        <v>557</v>
      </c>
      <c r="E167" s="16" t="n">
        <v>454</v>
      </c>
      <c r="F167" s="38" t="n">
        <v>369975</v>
      </c>
      <c r="G167" s="38" t="n">
        <v>432015</v>
      </c>
      <c r="H167" s="38" t="n">
        <v>400400</v>
      </c>
      <c r="I167" s="38" t="n">
        <v>432015</v>
      </c>
      <c r="J167" s="19">
        <f>(I167-H167)/1000</f>
        <v/>
      </c>
      <c r="K167" s="16" t="inlineStr">
        <is>
          <t>Yes</t>
        </is>
      </c>
      <c r="L167" s="16" t="n">
        <v>8</v>
      </c>
      <c r="M167" s="39" t="inlineStr">
        <is>
          <t>LC-264, KANJARI BORIYAVI, UTARSANDA, NADIAD, LC-278, GOTHAJ, LC-286, MAHEMDABAD AND KHEDA ROAD, LC-294, KANIJ, BAREJADI NANDEJ, GERATPUR, VATVA, KANKARIYA CABIN, AHMEDABAD Jn</t>
        </is>
      </c>
    </row>
    <row r="168" ht="64" customHeight="1">
      <c r="A168" s="16" t="inlineStr">
        <is>
          <t>11 Jun</t>
        </is>
      </c>
      <c r="B168" s="16" t="inlineStr">
        <is>
          <t>37217</t>
        </is>
      </c>
      <c r="C168" s="16" t="n">
        <v>958</v>
      </c>
      <c r="D168" s="16" t="n">
        <v>958</v>
      </c>
      <c r="E168" s="16" t="n">
        <v>850</v>
      </c>
      <c r="F168" s="38" t="n">
        <v>370042</v>
      </c>
      <c r="G168" s="38" t="n">
        <v>428447</v>
      </c>
      <c r="H168" s="38" t="n">
        <v>400417</v>
      </c>
      <c r="I168" s="38" t="n">
        <v>428447</v>
      </c>
      <c r="J168" s="19">
        <f>(I168-H168)/1000</f>
        <v/>
      </c>
      <c r="K168" s="16" t="inlineStr">
        <is>
          <t>Yes</t>
        </is>
      </c>
      <c r="L168" s="16" t="n">
        <v>7</v>
      </c>
      <c r="M168" s="39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169" ht="64" customHeight="1">
      <c r="A169" s="16" t="inlineStr">
        <is>
          <t>11 Jun</t>
        </is>
      </c>
      <c r="B169" s="16" t="inlineStr">
        <is>
          <t>37955</t>
        </is>
      </c>
      <c r="C169" s="16" t="n">
        <v>16</v>
      </c>
      <c r="D169" s="16" t="n">
        <v>14</v>
      </c>
      <c r="E169" s="16" t="n">
        <v>10</v>
      </c>
      <c r="F169" s="38" t="n">
        <v>384449</v>
      </c>
      <c r="G169" s="38" t="n">
        <v>425383</v>
      </c>
      <c r="H169" s="38" t="n">
        <v>401762</v>
      </c>
      <c r="I169" s="38" t="n">
        <v>425383</v>
      </c>
      <c r="J169" s="19">
        <f>(I169-H169)/1000</f>
        <v/>
      </c>
      <c r="K169" s="16" t="inlineStr">
        <is>
          <t>Yes</t>
        </is>
      </c>
      <c r="L169" s="16" t="n">
        <v>6</v>
      </c>
      <c r="M169" s="39" t="inlineStr">
        <is>
          <t>LC-258, ANAND Jn, LC-264, KANJARI BORIYAVI, UTARSANDA, NADIAD, LC-278, GOTHAJ, LC-286, MAHEMDABAD AND KHEDA ROAD, LC-294, KANIJ, BAREJADI NANDEJ, GERATPUR, VATVA, KANKARIYA CABIN, AHMEDABAD Jn</t>
        </is>
      </c>
    </row>
    <row r="170" ht="64" customHeight="1">
      <c r="A170" s="16" t="inlineStr">
        <is>
          <t>11 Jun</t>
        </is>
      </c>
      <c r="B170" s="16" t="inlineStr">
        <is>
          <t>30637</t>
        </is>
      </c>
      <c r="C170" s="16" t="n">
        <v>902</v>
      </c>
      <c r="D170" s="16" t="n">
        <v>902</v>
      </c>
      <c r="E170" s="16" t="n">
        <v>662</v>
      </c>
      <c r="F170" s="38" t="n">
        <v>487279</v>
      </c>
      <c r="G170" s="38" t="n">
        <v>494950</v>
      </c>
      <c r="H170" s="38" t="n">
        <v>487279</v>
      </c>
      <c r="I170" s="38" t="n">
        <v>494309</v>
      </c>
      <c r="J170" s="19">
        <f>(I170-H170)/1000</f>
        <v/>
      </c>
      <c r="K170" s="16" t="inlineStr">
        <is>
          <t>Yes</t>
        </is>
      </c>
      <c r="L170" s="16" t="n">
        <v>3</v>
      </c>
      <c r="M170" s="39" t="inlineStr">
        <is>
          <t>BAJWA, RANOLI, LC-246, VASAD, ADAS ROAD, VADOD, LC-258, ANAND Jn, LC-264, KANJARI BORIYAVI, UTARSANDA, NADIAD, LC-278, GOTHAJ, LC-286, MAHEMDABAD AND KHEDA ROAD, LC-294, KANIJ, BAREJADI NANDEJ, GERATPUR</t>
        </is>
      </c>
    </row>
    <row r="171" ht="64" customHeight="1">
      <c r="A171" s="16" t="inlineStr">
        <is>
          <t>11 Jun</t>
        </is>
      </c>
      <c r="B171" s="16" t="inlineStr">
        <is>
          <t>37277</t>
        </is>
      </c>
      <c r="C171" s="16" t="n">
        <v>266</v>
      </c>
      <c r="D171" s="16" t="n">
        <v>266</v>
      </c>
      <c r="E171" s="16" t="n">
        <v>126</v>
      </c>
      <c r="F171" s="38" t="n">
        <v>370028</v>
      </c>
      <c r="G171" s="38" t="n">
        <v>402379</v>
      </c>
      <c r="H171" s="38" t="n">
        <v>400428</v>
      </c>
      <c r="I171" s="38" t="n">
        <v>402379</v>
      </c>
      <c r="J171" s="19">
        <f>(I171-H171)/1000</f>
        <v/>
      </c>
      <c r="K171" s="16" t="inlineStr">
        <is>
          <t>Yes</t>
        </is>
      </c>
      <c r="L171" s="16" t="n">
        <v>1</v>
      </c>
      <c r="M171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2" ht="64" customHeight="1">
      <c r="A172" s="31" t="inlineStr">
        <is>
          <t>11 Jun</t>
        </is>
      </c>
      <c r="B172" s="31" t="inlineStr">
        <is>
          <t>120850</t>
        </is>
      </c>
      <c r="C172" s="31" t="n">
        <v>8522</v>
      </c>
      <c r="D172" s="31" t="n">
        <v>8496</v>
      </c>
      <c r="E172" s="31" t="n">
        <v>0</v>
      </c>
      <c r="F172" s="40" t="n">
        <v>767391</v>
      </c>
      <c r="G172" s="40" t="n">
        <v>777742</v>
      </c>
      <c r="H172" s="40" t="inlineStr">
        <is>
          <t>-</t>
        </is>
      </c>
      <c r="I172" s="40" t="inlineStr">
        <is>
          <t>-</t>
        </is>
      </c>
      <c r="J172" s="41" t="n">
        <v>0</v>
      </c>
      <c r="K172" s="31" t="inlineStr">
        <is>
          <t>No</t>
        </is>
      </c>
      <c r="L172" s="31" t="n">
        <v>0</v>
      </c>
      <c r="M17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3" ht="64" customHeight="1">
      <c r="A173" s="31" t="inlineStr">
        <is>
          <t>11 Jun</t>
        </is>
      </c>
      <c r="B173" s="31" t="inlineStr">
        <is>
          <t>37330</t>
        </is>
      </c>
      <c r="C173" s="31" t="n">
        <v>120</v>
      </c>
      <c r="D173" s="31" t="n">
        <v>67</v>
      </c>
      <c r="E173" s="31" t="n">
        <v>0</v>
      </c>
      <c r="F173" s="40" t="n">
        <v>2499996</v>
      </c>
      <c r="G173" s="40" t="n">
        <v>2500594</v>
      </c>
      <c r="H173" s="40" t="inlineStr">
        <is>
          <t>-</t>
        </is>
      </c>
      <c r="I173" s="40" t="inlineStr">
        <is>
          <t>-</t>
        </is>
      </c>
      <c r="J173" s="41" t="n">
        <v>0</v>
      </c>
      <c r="K173" s="31" t="inlineStr">
        <is>
          <t>No</t>
        </is>
      </c>
      <c r="L173" s="31" t="n">
        <v>0</v>
      </c>
      <c r="M17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4" ht="64" customHeight="1">
      <c r="A174" s="31" t="inlineStr">
        <is>
          <t>11 Jun</t>
        </is>
      </c>
      <c r="B174" s="31" t="inlineStr">
        <is>
          <t>38149</t>
        </is>
      </c>
      <c r="C174" s="31" t="n">
        <v>517</v>
      </c>
      <c r="D174" s="31" t="n">
        <v>413</v>
      </c>
      <c r="E174" s="31" t="n">
        <v>22</v>
      </c>
      <c r="F174" s="40" t="n">
        <v>486456</v>
      </c>
      <c r="G174" s="40" t="n">
        <v>2500585</v>
      </c>
      <c r="H174" s="40" t="n">
        <v>486456</v>
      </c>
      <c r="I174" s="40" t="n">
        <v>486458</v>
      </c>
      <c r="J174" s="41">
        <f>(I174-H174)/1000</f>
        <v/>
      </c>
      <c r="K174" s="31" t="inlineStr">
        <is>
          <t>No</t>
        </is>
      </c>
      <c r="L174" s="31" t="n">
        <v>1</v>
      </c>
      <c r="M174" s="42" t="inlineStr">
        <is>
          <t>BAJWA, RANOLI, LC-246, VASAD, ADAS ROAD, VADOD, LC-258, ANAND Jn, LC-264, KANJARI BORIYAVI, UTARSANDA, NADIAD, LC-278, GOTHAJ, LC-286, MAHEMDABAD AND KHEDA ROAD, LC-294, KANIJ, BAREJADI NANDEJ, GERATPUR, KANKARIYA CABIN, AHMEDABAD Jn</t>
        </is>
      </c>
    </row>
    <row r="175" ht="64" customHeight="1">
      <c r="A175" s="31" t="inlineStr">
        <is>
          <t>11 Jun</t>
        </is>
      </c>
      <c r="B175" s="31" t="inlineStr">
        <is>
          <t>39258</t>
        </is>
      </c>
      <c r="C175" s="31" t="n">
        <v>24</v>
      </c>
      <c r="D175" s="31" t="n">
        <v>0</v>
      </c>
      <c r="E175" s="31" t="n">
        <v>0</v>
      </c>
      <c r="F175" s="40" t="inlineStr">
        <is>
          <t>-</t>
        </is>
      </c>
      <c r="G175" s="40" t="inlineStr">
        <is>
          <t>-</t>
        </is>
      </c>
      <c r="H175" s="40" t="inlineStr">
        <is>
          <t>-</t>
        </is>
      </c>
      <c r="I175" s="40" t="inlineStr">
        <is>
          <t>-</t>
        </is>
      </c>
      <c r="J175" s="41" t="n">
        <v>0</v>
      </c>
      <c r="K175" s="31" t="inlineStr">
        <is>
          <t>No</t>
        </is>
      </c>
      <c r="L175" s="31" t="n">
        <v>0</v>
      </c>
      <c r="M17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6" ht="64" customHeight="1">
      <c r="A176" s="31" t="inlineStr">
        <is>
          <t>11 Jun</t>
        </is>
      </c>
      <c r="B176" s="31" t="inlineStr">
        <is>
          <t>39287</t>
        </is>
      </c>
      <c r="C176" s="31" t="n">
        <v>2</v>
      </c>
      <c r="D176" s="31" t="n">
        <v>2</v>
      </c>
      <c r="E176" s="31" t="n">
        <v>0</v>
      </c>
      <c r="F176" s="40" t="n">
        <v>384305</v>
      </c>
      <c r="G176" s="40" t="n">
        <v>384359</v>
      </c>
      <c r="H176" s="40" t="inlineStr">
        <is>
          <t>-</t>
        </is>
      </c>
      <c r="I176" s="40" t="inlineStr">
        <is>
          <t>-</t>
        </is>
      </c>
      <c r="J176" s="41" t="n">
        <v>0</v>
      </c>
      <c r="K176" s="31" t="inlineStr">
        <is>
          <t>No</t>
        </is>
      </c>
      <c r="L176" s="31" t="n">
        <v>0</v>
      </c>
      <c r="M17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7" ht="64" customHeight="1">
      <c r="A177" s="31" t="inlineStr">
        <is>
          <t>11 Jun</t>
        </is>
      </c>
      <c r="B177" s="31" t="inlineStr">
        <is>
          <t>39465</t>
        </is>
      </c>
      <c r="C177" s="31" t="n">
        <v>15</v>
      </c>
      <c r="D177" s="31" t="n">
        <v>15</v>
      </c>
      <c r="E177" s="31" t="n">
        <v>0</v>
      </c>
      <c r="F177" s="40" t="n">
        <v>384202</v>
      </c>
      <c r="G177" s="40" t="n">
        <v>395626</v>
      </c>
      <c r="H177" s="40" t="inlineStr">
        <is>
          <t>-</t>
        </is>
      </c>
      <c r="I177" s="40" t="inlineStr">
        <is>
          <t>-</t>
        </is>
      </c>
      <c r="J177" s="41" t="n">
        <v>0</v>
      </c>
      <c r="K177" s="31" t="inlineStr">
        <is>
          <t>No</t>
        </is>
      </c>
      <c r="L177" s="31" t="n">
        <v>0</v>
      </c>
      <c r="M17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8" ht="64" customHeight="1">
      <c r="A178" s="31" t="inlineStr">
        <is>
          <t>11 Jun</t>
        </is>
      </c>
      <c r="B178" s="31" t="inlineStr">
        <is>
          <t>41430</t>
        </is>
      </c>
      <c r="C178" s="31" t="n">
        <v>6</v>
      </c>
      <c r="D178" s="31" t="n">
        <v>0</v>
      </c>
      <c r="E178" s="31" t="n">
        <v>0</v>
      </c>
      <c r="F178" s="40" t="inlineStr">
        <is>
          <t>-</t>
        </is>
      </c>
      <c r="G178" s="40" t="inlineStr">
        <is>
          <t>-</t>
        </is>
      </c>
      <c r="H178" s="40" t="inlineStr">
        <is>
          <t>-</t>
        </is>
      </c>
      <c r="I178" s="40" t="inlineStr">
        <is>
          <t>-</t>
        </is>
      </c>
      <c r="J178" s="41" t="n">
        <v>0</v>
      </c>
      <c r="K178" s="31" t="inlineStr">
        <is>
          <t>No</t>
        </is>
      </c>
      <c r="L178" s="31" t="n">
        <v>0</v>
      </c>
      <c r="M17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9" ht="64" customHeight="1">
      <c r="A179" s="31" t="inlineStr">
        <is>
          <t>11 Jun</t>
        </is>
      </c>
      <c r="B179" s="31" t="inlineStr">
        <is>
          <t>41977</t>
        </is>
      </c>
      <c r="C179" s="31" t="n">
        <v>3</v>
      </c>
      <c r="D179" s="31" t="n">
        <v>0</v>
      </c>
      <c r="E179" s="31" t="n">
        <v>0</v>
      </c>
      <c r="F179" s="40" t="inlineStr">
        <is>
          <t>-</t>
        </is>
      </c>
      <c r="G179" s="40" t="inlineStr">
        <is>
          <t>-</t>
        </is>
      </c>
      <c r="H179" s="40" t="inlineStr">
        <is>
          <t>-</t>
        </is>
      </c>
      <c r="I179" s="40" t="inlineStr">
        <is>
          <t>-</t>
        </is>
      </c>
      <c r="J179" s="41" t="n">
        <v>0</v>
      </c>
      <c r="K179" s="31" t="inlineStr">
        <is>
          <t>No</t>
        </is>
      </c>
      <c r="L179" s="31" t="n">
        <v>0</v>
      </c>
      <c r="M17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0" ht="64" customHeight="1">
      <c r="A180" s="31" t="inlineStr">
        <is>
          <t>11 Jun</t>
        </is>
      </c>
      <c r="B180" s="31" t="inlineStr">
        <is>
          <t>43559</t>
        </is>
      </c>
      <c r="C180" s="31" t="n">
        <v>12</v>
      </c>
      <c r="D180" s="31" t="n">
        <v>0</v>
      </c>
      <c r="E180" s="31" t="n">
        <v>0</v>
      </c>
      <c r="F180" s="40" t="inlineStr">
        <is>
          <t>-</t>
        </is>
      </c>
      <c r="G180" s="40" t="inlineStr">
        <is>
          <t>-</t>
        </is>
      </c>
      <c r="H180" s="40" t="inlineStr">
        <is>
          <t>-</t>
        </is>
      </c>
      <c r="I180" s="40" t="inlineStr">
        <is>
          <t>-</t>
        </is>
      </c>
      <c r="J180" s="41" t="n">
        <v>0</v>
      </c>
      <c r="K180" s="31" t="inlineStr">
        <is>
          <t>No</t>
        </is>
      </c>
      <c r="L180" s="31" t="n">
        <v>0</v>
      </c>
      <c r="M18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1" ht="64" customHeight="1">
      <c r="A181" s="31" t="inlineStr">
        <is>
          <t>11 Jun</t>
        </is>
      </c>
      <c r="B181" s="31" t="inlineStr">
        <is>
          <t>51347</t>
        </is>
      </c>
      <c r="C181" s="31" t="n">
        <v>9</v>
      </c>
      <c r="D181" s="31" t="n">
        <v>0</v>
      </c>
      <c r="E181" s="31" t="n">
        <v>0</v>
      </c>
      <c r="F181" s="40" t="inlineStr">
        <is>
          <t>-</t>
        </is>
      </c>
      <c r="G181" s="40" t="inlineStr">
        <is>
          <t>-</t>
        </is>
      </c>
      <c r="H181" s="40" t="inlineStr">
        <is>
          <t>-</t>
        </is>
      </c>
      <c r="I181" s="40" t="inlineStr">
        <is>
          <t>-</t>
        </is>
      </c>
      <c r="J181" s="41" t="n">
        <v>0</v>
      </c>
      <c r="K181" s="31" t="inlineStr">
        <is>
          <t>No</t>
        </is>
      </c>
      <c r="L181" s="31" t="n">
        <v>0</v>
      </c>
      <c r="M18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2">
      <c r="A182" s="16" t="inlineStr">
        <is>
          <t>12 Jun</t>
        </is>
      </c>
      <c r="B182" s="16" t="inlineStr">
        <is>
          <t>30606</t>
        </is>
      </c>
      <c r="C182" s="16" t="n">
        <v>7206</v>
      </c>
      <c r="D182" s="16" t="n">
        <v>7076</v>
      </c>
      <c r="E182" s="16" t="n">
        <v>6040</v>
      </c>
      <c r="F182" s="38" t="n">
        <v>396342</v>
      </c>
      <c r="G182" s="38" t="n">
        <v>500974</v>
      </c>
      <c r="H182" s="38" t="n">
        <v>400398</v>
      </c>
      <c r="I182" s="38" t="n">
        <v>494312</v>
      </c>
      <c r="J182" s="19">
        <f>(I182-H182)/1000</f>
        <v/>
      </c>
      <c r="K182" s="16" t="inlineStr">
        <is>
          <t>Yes</t>
        </is>
      </c>
      <c r="L182" s="16" t="n">
        <v>23</v>
      </c>
      <c r="M182" s="39" t="inlineStr">
        <is>
          <t>- (full trip)</t>
        </is>
      </c>
    </row>
    <row r="183">
      <c r="A183" s="16" t="inlineStr">
        <is>
          <t>12 Jun</t>
        </is>
      </c>
      <c r="B183" s="16" t="inlineStr">
        <is>
          <t>30759</t>
        </is>
      </c>
      <c r="C183" s="16" t="n">
        <v>4315</v>
      </c>
      <c r="D183" s="16" t="n">
        <v>4315</v>
      </c>
      <c r="E183" s="16" t="n">
        <v>3918</v>
      </c>
      <c r="F183" s="38" t="n">
        <v>370032</v>
      </c>
      <c r="G183" s="38" t="n">
        <v>495808</v>
      </c>
      <c r="H183" s="38" t="n">
        <v>400403</v>
      </c>
      <c r="I183" s="38" t="n">
        <v>494310</v>
      </c>
      <c r="J183" s="19">
        <f>(I183-H183)/1000</f>
        <v/>
      </c>
      <c r="K183" s="16" t="inlineStr">
        <is>
          <t>Yes</t>
        </is>
      </c>
      <c r="L183" s="16" t="n">
        <v>23</v>
      </c>
      <c r="M183" s="39" t="inlineStr">
        <is>
          <t>- (full trip)</t>
        </is>
      </c>
    </row>
    <row r="184">
      <c r="A184" s="16" t="inlineStr">
        <is>
          <t>12 Jun</t>
        </is>
      </c>
      <c r="B184" s="16" t="inlineStr">
        <is>
          <t>30767</t>
        </is>
      </c>
      <c r="C184" s="16" t="n">
        <v>3977</v>
      </c>
      <c r="D184" s="16" t="n">
        <v>3977</v>
      </c>
      <c r="E184" s="16" t="n">
        <v>3545</v>
      </c>
      <c r="F184" s="38" t="n">
        <v>398303</v>
      </c>
      <c r="G184" s="38" t="n">
        <v>495796</v>
      </c>
      <c r="H184" s="38" t="n">
        <v>400400</v>
      </c>
      <c r="I184" s="38" t="n">
        <v>494310</v>
      </c>
      <c r="J184" s="19">
        <f>(I184-H184)/1000</f>
        <v/>
      </c>
      <c r="K184" s="16" t="inlineStr">
        <is>
          <t>Yes</t>
        </is>
      </c>
      <c r="L184" s="16" t="n">
        <v>23</v>
      </c>
      <c r="M184" s="39" t="inlineStr">
        <is>
          <t>- (full trip)</t>
        </is>
      </c>
    </row>
    <row r="185">
      <c r="A185" s="16" t="inlineStr">
        <is>
          <t>12 Jun</t>
        </is>
      </c>
      <c r="B185" s="16" t="inlineStr">
        <is>
          <t>37947</t>
        </is>
      </c>
      <c r="C185" s="16" t="n">
        <v>4579</v>
      </c>
      <c r="D185" s="16" t="n">
        <v>4579</v>
      </c>
      <c r="E185" s="16" t="n">
        <v>4176</v>
      </c>
      <c r="F185" s="38" t="n">
        <v>370496</v>
      </c>
      <c r="G185" s="38" t="n">
        <v>495768</v>
      </c>
      <c r="H185" s="38" t="n">
        <v>400400</v>
      </c>
      <c r="I185" s="38" t="n">
        <v>494312</v>
      </c>
      <c r="J185" s="19">
        <f>(I185-H185)/1000</f>
        <v/>
      </c>
      <c r="K185" s="16" t="inlineStr">
        <is>
          <t>Yes</t>
        </is>
      </c>
      <c r="L185" s="16" t="n">
        <v>23</v>
      </c>
      <c r="M185" s="39" t="inlineStr">
        <is>
          <t>- (full trip)</t>
        </is>
      </c>
    </row>
    <row r="186">
      <c r="A186" s="16" t="inlineStr">
        <is>
          <t>12 Jun</t>
        </is>
      </c>
      <c r="B186" s="16" t="inlineStr">
        <is>
          <t>39514</t>
        </is>
      </c>
      <c r="C186" s="16" t="n">
        <v>4839</v>
      </c>
      <c r="D186" s="16" t="n">
        <v>4839</v>
      </c>
      <c r="E186" s="16" t="n">
        <v>4545</v>
      </c>
      <c r="F186" s="38" t="n">
        <v>396107</v>
      </c>
      <c r="G186" s="38" t="n">
        <v>494950</v>
      </c>
      <c r="H186" s="38" t="n">
        <v>400404</v>
      </c>
      <c r="I186" s="38" t="n">
        <v>494311</v>
      </c>
      <c r="J186" s="19">
        <f>(I186-H186)/1000</f>
        <v/>
      </c>
      <c r="K186" s="16" t="inlineStr">
        <is>
          <t>Yes</t>
        </is>
      </c>
      <c r="L186" s="16" t="n">
        <v>23</v>
      </c>
      <c r="M186" s="39" t="inlineStr">
        <is>
          <t>- (full trip)</t>
        </is>
      </c>
    </row>
    <row r="187">
      <c r="A187" s="16" t="inlineStr">
        <is>
          <t>12 Jun</t>
        </is>
      </c>
      <c r="B187" s="16" t="inlineStr">
        <is>
          <t>30476</t>
        </is>
      </c>
      <c r="C187" s="16" t="n">
        <v>6070</v>
      </c>
      <c r="D187" s="16" t="n">
        <v>6070</v>
      </c>
      <c r="E187" s="16" t="n">
        <v>5757</v>
      </c>
      <c r="F187" s="38" t="n">
        <v>384353</v>
      </c>
      <c r="G187" s="38" t="n">
        <v>494966</v>
      </c>
      <c r="H187" s="38" t="n">
        <v>400416</v>
      </c>
      <c r="I187" s="38" t="n">
        <v>494312</v>
      </c>
      <c r="J187" s="19">
        <f>(I187-H187)/1000</f>
        <v/>
      </c>
      <c r="K187" s="16" t="inlineStr">
        <is>
          <t>Yes</t>
        </is>
      </c>
      <c r="L187" s="16" t="n">
        <v>23</v>
      </c>
      <c r="M187" s="39" t="inlineStr">
        <is>
          <t>- (full trip)</t>
        </is>
      </c>
    </row>
    <row r="188">
      <c r="A188" s="16" t="inlineStr">
        <is>
          <t>12 Jun</t>
        </is>
      </c>
      <c r="B188" s="16" t="inlineStr">
        <is>
          <t>30480</t>
        </is>
      </c>
      <c r="C188" s="16" t="n">
        <v>3907</v>
      </c>
      <c r="D188" s="16" t="n">
        <v>3907</v>
      </c>
      <c r="E188" s="16" t="n">
        <v>3541</v>
      </c>
      <c r="F188" s="38" t="n">
        <v>375497</v>
      </c>
      <c r="G188" s="38" t="n">
        <v>495777</v>
      </c>
      <c r="H188" s="38" t="n">
        <v>400411</v>
      </c>
      <c r="I188" s="38" t="n">
        <v>494305</v>
      </c>
      <c r="J188" s="19">
        <f>(I188-H188)/1000</f>
        <v/>
      </c>
      <c r="K188" s="16" t="inlineStr">
        <is>
          <t>Yes</t>
        </is>
      </c>
      <c r="L188" s="16" t="n">
        <v>23</v>
      </c>
      <c r="M188" s="39" t="inlineStr">
        <is>
          <t>- (full trip)</t>
        </is>
      </c>
    </row>
    <row r="189">
      <c r="A189" s="16" t="inlineStr">
        <is>
          <t>12 Jun</t>
        </is>
      </c>
      <c r="B189" s="16" t="inlineStr">
        <is>
          <t>37493</t>
        </is>
      </c>
      <c r="C189" s="16" t="n">
        <v>4758</v>
      </c>
      <c r="D189" s="16" t="n">
        <v>4758</v>
      </c>
      <c r="E189" s="16" t="n">
        <v>4162</v>
      </c>
      <c r="F189" s="38" t="n">
        <v>375556</v>
      </c>
      <c r="G189" s="38" t="n">
        <v>495810</v>
      </c>
      <c r="H189" s="38" t="n">
        <v>400424</v>
      </c>
      <c r="I189" s="38" t="n">
        <v>494311</v>
      </c>
      <c r="J189" s="19">
        <f>(I189-H189)/1000</f>
        <v/>
      </c>
      <c r="K189" s="16" t="inlineStr">
        <is>
          <t>Yes</t>
        </is>
      </c>
      <c r="L189" s="16" t="n">
        <v>23</v>
      </c>
      <c r="M189" s="39" t="inlineStr">
        <is>
          <t>- (full trip)</t>
        </is>
      </c>
    </row>
    <row r="190">
      <c r="A190" s="16" t="inlineStr">
        <is>
          <t>12 Jun</t>
        </is>
      </c>
      <c r="B190" s="16" t="inlineStr">
        <is>
          <t>37566</t>
        </is>
      </c>
      <c r="C190" s="16" t="n">
        <v>3807</v>
      </c>
      <c r="D190" s="16" t="n">
        <v>3807</v>
      </c>
      <c r="E190" s="16" t="n">
        <v>3356</v>
      </c>
      <c r="F190" s="38" t="n">
        <v>370005</v>
      </c>
      <c r="G190" s="38" t="n">
        <v>495010</v>
      </c>
      <c r="H190" s="38" t="n">
        <v>400417</v>
      </c>
      <c r="I190" s="38" t="n">
        <v>494311</v>
      </c>
      <c r="J190" s="19">
        <f>(I190-H190)/1000</f>
        <v/>
      </c>
      <c r="K190" s="16" t="inlineStr">
        <is>
          <t>Yes</t>
        </is>
      </c>
      <c r="L190" s="16" t="n">
        <v>23</v>
      </c>
      <c r="M190" s="39" t="inlineStr">
        <is>
          <t>- (full trip)</t>
        </is>
      </c>
    </row>
    <row r="191">
      <c r="A191" s="16" t="inlineStr">
        <is>
          <t>12 Jun</t>
        </is>
      </c>
      <c r="B191" s="16" t="inlineStr">
        <is>
          <t>37795</t>
        </is>
      </c>
      <c r="C191" s="16" t="n">
        <v>4469</v>
      </c>
      <c r="D191" s="16" t="n">
        <v>4463</v>
      </c>
      <c r="E191" s="16" t="n">
        <v>4054</v>
      </c>
      <c r="F191" s="38" t="n">
        <v>369997</v>
      </c>
      <c r="G191" s="38" t="n">
        <v>494982</v>
      </c>
      <c r="H191" s="38" t="n">
        <v>400418</v>
      </c>
      <c r="I191" s="38" t="n">
        <v>494310</v>
      </c>
      <c r="J191" s="19">
        <f>(I191-H191)/1000</f>
        <v/>
      </c>
      <c r="K191" s="16" t="inlineStr">
        <is>
          <t>Yes</t>
        </is>
      </c>
      <c r="L191" s="16" t="n">
        <v>23</v>
      </c>
      <c r="M191" s="39" t="inlineStr">
        <is>
          <t>- (full trip)</t>
        </is>
      </c>
    </row>
    <row r="192">
      <c r="A192" s="16" t="inlineStr">
        <is>
          <t>12 Jun</t>
        </is>
      </c>
      <c r="B192" s="16" t="inlineStr">
        <is>
          <t>39030</t>
        </is>
      </c>
      <c r="C192" s="16" t="n">
        <v>3652</v>
      </c>
      <c r="D192" s="16" t="n">
        <v>3652</v>
      </c>
      <c r="E192" s="16" t="n">
        <v>3191</v>
      </c>
      <c r="F192" s="38" t="n">
        <v>390843</v>
      </c>
      <c r="G192" s="38" t="n">
        <v>494964</v>
      </c>
      <c r="H192" s="38" t="n">
        <v>400427</v>
      </c>
      <c r="I192" s="38" t="n">
        <v>494312</v>
      </c>
      <c r="J192" s="19">
        <f>(I192-H192)/1000</f>
        <v/>
      </c>
      <c r="K192" s="16" t="inlineStr">
        <is>
          <t>Yes</t>
        </is>
      </c>
      <c r="L192" s="16" t="n">
        <v>23</v>
      </c>
      <c r="M192" s="39" t="inlineStr">
        <is>
          <t>- (full trip)</t>
        </is>
      </c>
    </row>
    <row r="193">
      <c r="A193" s="16" t="inlineStr">
        <is>
          <t>12 Jun</t>
        </is>
      </c>
      <c r="B193" s="16" t="inlineStr">
        <is>
          <t>39131</t>
        </is>
      </c>
      <c r="C193" s="16" t="n">
        <v>4372</v>
      </c>
      <c r="D193" s="16" t="n">
        <v>4372</v>
      </c>
      <c r="E193" s="16" t="n">
        <v>4053</v>
      </c>
      <c r="F193" s="38" t="n">
        <v>370028</v>
      </c>
      <c r="G193" s="38" t="n">
        <v>494966</v>
      </c>
      <c r="H193" s="38" t="n">
        <v>400426</v>
      </c>
      <c r="I193" s="38" t="n">
        <v>494312</v>
      </c>
      <c r="J193" s="19">
        <f>(I193-H193)/1000</f>
        <v/>
      </c>
      <c r="K193" s="16" t="inlineStr">
        <is>
          <t>Yes</t>
        </is>
      </c>
      <c r="L193" s="16" t="n">
        <v>23</v>
      </c>
      <c r="M193" s="39" t="inlineStr">
        <is>
          <t>- (full trip)</t>
        </is>
      </c>
    </row>
    <row r="194">
      <c r="A194" s="16" t="inlineStr">
        <is>
          <t>12 Jun</t>
        </is>
      </c>
      <c r="B194" s="16" t="inlineStr">
        <is>
          <t>39214</t>
        </is>
      </c>
      <c r="C194" s="16" t="n">
        <v>4209</v>
      </c>
      <c r="D194" s="16" t="n">
        <v>4186</v>
      </c>
      <c r="E194" s="16" t="n">
        <v>3901</v>
      </c>
      <c r="F194" s="38" t="n">
        <v>375695</v>
      </c>
      <c r="G194" s="38" t="n">
        <v>494955</v>
      </c>
      <c r="H194" s="38" t="n">
        <v>400421</v>
      </c>
      <c r="I194" s="38" t="n">
        <v>494310</v>
      </c>
      <c r="J194" s="19">
        <f>(I194-H194)/1000</f>
        <v/>
      </c>
      <c r="K194" s="16" t="inlineStr">
        <is>
          <t>Yes</t>
        </is>
      </c>
      <c r="L194" s="16" t="n">
        <v>23</v>
      </c>
      <c r="M194" s="39" t="inlineStr">
        <is>
          <t>- (full trip)</t>
        </is>
      </c>
    </row>
    <row r="195">
      <c r="A195" s="16" t="inlineStr">
        <is>
          <t>12 Jun</t>
        </is>
      </c>
      <c r="B195" s="16" t="inlineStr">
        <is>
          <t>39239</t>
        </is>
      </c>
      <c r="C195" s="16" t="n">
        <v>4575</v>
      </c>
      <c r="D195" s="16" t="n">
        <v>4575</v>
      </c>
      <c r="E195" s="16" t="n">
        <v>4171</v>
      </c>
      <c r="F195" s="38" t="n">
        <v>375530</v>
      </c>
      <c r="G195" s="38" t="n">
        <v>495785</v>
      </c>
      <c r="H195" s="38" t="n">
        <v>400418</v>
      </c>
      <c r="I195" s="38" t="n">
        <v>494311</v>
      </c>
      <c r="J195" s="19">
        <f>(I195-H195)/1000</f>
        <v/>
      </c>
      <c r="K195" s="16" t="inlineStr">
        <is>
          <t>Yes</t>
        </is>
      </c>
      <c r="L195" s="16" t="n">
        <v>23</v>
      </c>
      <c r="M195" s="39" t="inlineStr">
        <is>
          <t>- (full trip)</t>
        </is>
      </c>
    </row>
    <row r="196">
      <c r="A196" s="16" t="inlineStr">
        <is>
          <t>12 Jun</t>
        </is>
      </c>
      <c r="B196" s="16" t="inlineStr">
        <is>
          <t>30470</t>
        </is>
      </c>
      <c r="C196" s="16" t="n">
        <v>4341</v>
      </c>
      <c r="D196" s="16" t="n">
        <v>4341</v>
      </c>
      <c r="E196" s="16" t="n">
        <v>4028</v>
      </c>
      <c r="F196" s="38" t="n">
        <v>395400</v>
      </c>
      <c r="G196" s="38" t="n">
        <v>495011</v>
      </c>
      <c r="H196" s="38" t="n">
        <v>400435</v>
      </c>
      <c r="I196" s="38" t="n">
        <v>494312</v>
      </c>
      <c r="J196" s="19">
        <f>(I196-H196)/1000</f>
        <v/>
      </c>
      <c r="K196" s="16" t="inlineStr">
        <is>
          <t>Yes</t>
        </is>
      </c>
      <c r="L196" s="16" t="n">
        <v>23</v>
      </c>
      <c r="M196" s="39" t="inlineStr">
        <is>
          <t>- (full trip)</t>
        </is>
      </c>
    </row>
    <row r="197">
      <c r="A197" s="16" t="inlineStr">
        <is>
          <t>12 Jun</t>
        </is>
      </c>
      <c r="B197" s="16" t="inlineStr">
        <is>
          <t>37164</t>
        </is>
      </c>
      <c r="C197" s="16" t="n">
        <v>4437</v>
      </c>
      <c r="D197" s="16" t="n">
        <v>4437</v>
      </c>
      <c r="E197" s="16" t="n">
        <v>4113</v>
      </c>
      <c r="F197" s="38" t="n">
        <v>369944</v>
      </c>
      <c r="G197" s="38" t="n">
        <v>494965</v>
      </c>
      <c r="H197" s="38" t="n">
        <v>400433</v>
      </c>
      <c r="I197" s="38" t="n">
        <v>494311</v>
      </c>
      <c r="J197" s="19">
        <f>(I197-H197)/1000</f>
        <v/>
      </c>
      <c r="K197" s="16" t="inlineStr">
        <is>
          <t>Yes</t>
        </is>
      </c>
      <c r="L197" s="16" t="n">
        <v>23</v>
      </c>
      <c r="M197" s="39" t="inlineStr">
        <is>
          <t>- (full trip)</t>
        </is>
      </c>
    </row>
    <row r="198">
      <c r="A198" s="16" t="inlineStr">
        <is>
          <t>12 Jun</t>
        </is>
      </c>
      <c r="B198" s="16" t="inlineStr">
        <is>
          <t>37507</t>
        </is>
      </c>
      <c r="C198" s="16" t="n">
        <v>4379</v>
      </c>
      <c r="D198" s="16" t="n">
        <v>4379</v>
      </c>
      <c r="E198" s="16" t="n">
        <v>3963</v>
      </c>
      <c r="F198" s="38" t="n">
        <v>369947</v>
      </c>
      <c r="G198" s="38" t="n">
        <v>494978</v>
      </c>
      <c r="H198" s="38" t="n">
        <v>400428</v>
      </c>
      <c r="I198" s="38" t="n">
        <v>494312</v>
      </c>
      <c r="J198" s="19">
        <f>(I198-H198)/1000</f>
        <v/>
      </c>
      <c r="K198" s="16" t="inlineStr">
        <is>
          <t>Yes</t>
        </is>
      </c>
      <c r="L198" s="16" t="n">
        <v>23</v>
      </c>
      <c r="M198" s="39" t="inlineStr">
        <is>
          <t>- (full trip)</t>
        </is>
      </c>
    </row>
    <row r="199">
      <c r="A199" s="16" t="inlineStr">
        <is>
          <t>12 Jun</t>
        </is>
      </c>
      <c r="B199" s="16" t="inlineStr">
        <is>
          <t>37506</t>
        </is>
      </c>
      <c r="C199" s="16" t="n">
        <v>5059</v>
      </c>
      <c r="D199" s="16" t="n">
        <v>5021</v>
      </c>
      <c r="E199" s="16" t="n">
        <v>4692</v>
      </c>
      <c r="F199" s="38" t="n">
        <v>398636</v>
      </c>
      <c r="G199" s="38" t="n">
        <v>494946</v>
      </c>
      <c r="H199" s="38" t="n">
        <v>400440</v>
      </c>
      <c r="I199" s="38" t="n">
        <v>494312</v>
      </c>
      <c r="J199" s="19">
        <f>(I199-H199)/1000</f>
        <v/>
      </c>
      <c r="K199" s="16" t="inlineStr">
        <is>
          <t>Yes</t>
        </is>
      </c>
      <c r="L199" s="16" t="n">
        <v>23</v>
      </c>
      <c r="M199" s="39" t="inlineStr">
        <is>
          <t>- (full trip)</t>
        </is>
      </c>
    </row>
    <row r="200">
      <c r="A200" s="16" t="inlineStr">
        <is>
          <t>12 Jun</t>
        </is>
      </c>
      <c r="B200" s="16" t="inlineStr">
        <is>
          <t>37956</t>
        </is>
      </c>
      <c r="C200" s="16" t="n">
        <v>5646</v>
      </c>
      <c r="D200" s="16" t="n">
        <v>5646</v>
      </c>
      <c r="E200" s="16" t="n">
        <v>5132</v>
      </c>
      <c r="F200" s="38" t="n">
        <v>370104</v>
      </c>
      <c r="G200" s="38" t="n">
        <v>495806</v>
      </c>
      <c r="H200" s="38" t="n">
        <v>400439</v>
      </c>
      <c r="I200" s="38" t="n">
        <v>494307</v>
      </c>
      <c r="J200" s="19">
        <f>(I200-H200)/1000</f>
        <v/>
      </c>
      <c r="K200" s="16" t="inlineStr">
        <is>
          <t>Yes</t>
        </is>
      </c>
      <c r="L200" s="16" t="n">
        <v>23</v>
      </c>
      <c r="M200" s="39" t="inlineStr">
        <is>
          <t>- (full trip)</t>
        </is>
      </c>
    </row>
    <row r="201">
      <c r="A201" s="16" t="inlineStr">
        <is>
          <t>12 Jun</t>
        </is>
      </c>
      <c r="B201" s="16" t="inlineStr">
        <is>
          <t>30823</t>
        </is>
      </c>
      <c r="C201" s="16" t="n">
        <v>4134</v>
      </c>
      <c r="D201" s="16" t="n">
        <v>4134</v>
      </c>
      <c r="E201" s="16" t="n">
        <v>3783</v>
      </c>
      <c r="F201" s="38" t="n">
        <v>383762</v>
      </c>
      <c r="G201" s="38" t="n">
        <v>494983</v>
      </c>
      <c r="H201" s="38" t="n">
        <v>400449</v>
      </c>
      <c r="I201" s="38" t="n">
        <v>494312</v>
      </c>
      <c r="J201" s="19">
        <f>(I201-H201)/1000</f>
        <v/>
      </c>
      <c r="K201" s="16" t="inlineStr">
        <is>
          <t>Yes</t>
        </is>
      </c>
      <c r="L201" s="16" t="n">
        <v>23</v>
      </c>
      <c r="M201" s="39" t="inlineStr">
        <is>
          <t>- (full trip)</t>
        </is>
      </c>
    </row>
    <row r="202">
      <c r="A202" s="16" t="inlineStr">
        <is>
          <t>12 Jun</t>
        </is>
      </c>
      <c r="B202" s="16" t="inlineStr">
        <is>
          <t>39066</t>
        </is>
      </c>
      <c r="C202" s="16" t="n">
        <v>4097</v>
      </c>
      <c r="D202" s="16" t="n">
        <v>4097</v>
      </c>
      <c r="E202" s="16" t="n">
        <v>3717</v>
      </c>
      <c r="F202" s="38" t="n">
        <v>372218</v>
      </c>
      <c r="G202" s="38" t="n">
        <v>495809</v>
      </c>
      <c r="H202" s="38" t="n">
        <v>400455</v>
      </c>
      <c r="I202" s="38" t="n">
        <v>494310</v>
      </c>
      <c r="J202" s="19">
        <f>(I202-H202)/1000</f>
        <v/>
      </c>
      <c r="K202" s="16" t="inlineStr">
        <is>
          <t>Yes</t>
        </is>
      </c>
      <c r="L202" s="16" t="n">
        <v>23</v>
      </c>
      <c r="M202" s="39" t="inlineStr">
        <is>
          <t>- (full trip)</t>
        </is>
      </c>
    </row>
    <row r="203">
      <c r="A203" s="16" t="inlineStr">
        <is>
          <t>12 Jun</t>
        </is>
      </c>
      <c r="B203" s="16" t="inlineStr">
        <is>
          <t>30533</t>
        </is>
      </c>
      <c r="C203" s="16" t="n">
        <v>5400</v>
      </c>
      <c r="D203" s="16" t="n">
        <v>5400</v>
      </c>
      <c r="E203" s="16" t="n">
        <v>5144</v>
      </c>
      <c r="F203" s="38" t="n">
        <v>400995</v>
      </c>
      <c r="G203" s="38" t="n">
        <v>494982</v>
      </c>
      <c r="H203" s="38" t="n">
        <v>400995</v>
      </c>
      <c r="I203" s="38" t="n">
        <v>494312</v>
      </c>
      <c r="J203" s="19">
        <f>(I203-H203)/1000</f>
        <v/>
      </c>
      <c r="K203" s="16" t="inlineStr">
        <is>
          <t>Yes</t>
        </is>
      </c>
      <c r="L203" s="16" t="n">
        <v>23</v>
      </c>
      <c r="M203" s="39" t="inlineStr">
        <is>
          <t>- (full trip)</t>
        </is>
      </c>
    </row>
    <row r="204">
      <c r="A204" s="16" t="inlineStr">
        <is>
          <t>12 Jun</t>
        </is>
      </c>
      <c r="B204" s="16" t="inlineStr">
        <is>
          <t>37321</t>
        </is>
      </c>
      <c r="C204" s="16" t="n">
        <v>2544</v>
      </c>
      <c r="D204" s="16" t="n">
        <v>2544</v>
      </c>
      <c r="E204" s="16" t="n">
        <v>2419</v>
      </c>
      <c r="F204" s="38" t="n">
        <v>400992</v>
      </c>
      <c r="G204" s="38" t="n">
        <v>494983</v>
      </c>
      <c r="H204" s="38" t="n">
        <v>400992</v>
      </c>
      <c r="I204" s="38" t="n">
        <v>494306</v>
      </c>
      <c r="J204" s="19">
        <f>(I204-H204)/1000</f>
        <v/>
      </c>
      <c r="K204" s="16" t="inlineStr">
        <is>
          <t>Yes</t>
        </is>
      </c>
      <c r="L204" s="16" t="n">
        <v>23</v>
      </c>
      <c r="M204" s="39" t="inlineStr">
        <is>
          <t>- (full trip)</t>
        </is>
      </c>
    </row>
    <row r="205">
      <c r="A205" s="16" t="inlineStr">
        <is>
          <t>12 Jun</t>
        </is>
      </c>
      <c r="B205" s="16" t="inlineStr">
        <is>
          <t>30472</t>
        </is>
      </c>
      <c r="C205" s="16" t="n">
        <v>5830</v>
      </c>
      <c r="D205" s="16" t="n">
        <v>5830</v>
      </c>
      <c r="E205" s="16" t="n">
        <v>5830</v>
      </c>
      <c r="F205" s="38" t="n">
        <v>400991</v>
      </c>
      <c r="G205" s="38" t="n">
        <v>494290</v>
      </c>
      <c r="H205" s="38" t="n">
        <v>400991</v>
      </c>
      <c r="I205" s="38" t="n">
        <v>494290</v>
      </c>
      <c r="J205" s="19">
        <f>(I205-H205)/1000</f>
        <v/>
      </c>
      <c r="K205" s="16" t="inlineStr">
        <is>
          <t>Yes</t>
        </is>
      </c>
      <c r="L205" s="16" t="n">
        <v>23</v>
      </c>
      <c r="M205" s="39" t="inlineStr">
        <is>
          <t>- (full trip)</t>
        </is>
      </c>
    </row>
    <row r="206">
      <c r="A206" s="16" t="inlineStr">
        <is>
          <t>12 Jun</t>
        </is>
      </c>
      <c r="B206" s="16" t="inlineStr">
        <is>
          <t>37217</t>
        </is>
      </c>
      <c r="C206" s="16" t="n">
        <v>3581</v>
      </c>
      <c r="D206" s="16" t="n">
        <v>3581</v>
      </c>
      <c r="E206" s="16" t="n">
        <v>3389</v>
      </c>
      <c r="F206" s="38" t="n">
        <v>428447</v>
      </c>
      <c r="G206" s="38" t="n">
        <v>495798</v>
      </c>
      <c r="H206" s="38" t="n">
        <v>428447</v>
      </c>
      <c r="I206" s="38" t="n">
        <v>494310</v>
      </c>
      <c r="J206" s="19">
        <f>(I206-H206)/1000</f>
        <v/>
      </c>
      <c r="K206" s="16" t="inlineStr">
        <is>
          <t>Yes</t>
        </is>
      </c>
      <c r="L206" s="16" t="n">
        <v>17</v>
      </c>
      <c r="M206" s="39" t="inlineStr">
        <is>
          <t>BAJWA, RANOLI, LC-246, VASAD, ADAS ROAD, VADOD</t>
        </is>
      </c>
    </row>
    <row r="207" ht="34" customHeight="1">
      <c r="A207" s="16" t="inlineStr">
        <is>
          <t>12 Jun</t>
        </is>
      </c>
      <c r="B207" s="16" t="inlineStr">
        <is>
          <t>37424</t>
        </is>
      </c>
      <c r="C207" s="16" t="n">
        <v>3314</v>
      </c>
      <c r="D207" s="16" t="n">
        <v>3314</v>
      </c>
      <c r="E207" s="16" t="n">
        <v>3314</v>
      </c>
      <c r="F207" s="38" t="n">
        <v>400995</v>
      </c>
      <c r="G207" s="38" t="n">
        <v>456726</v>
      </c>
      <c r="H207" s="38" t="n">
        <v>400995</v>
      </c>
      <c r="I207" s="38" t="n">
        <v>456726</v>
      </c>
      <c r="J207" s="19">
        <f>(I207-H207)/1000</f>
        <v/>
      </c>
      <c r="K207" s="16" t="inlineStr">
        <is>
          <t>Yes</t>
        </is>
      </c>
      <c r="L207" s="16" t="n">
        <v>14</v>
      </c>
      <c r="M207" s="39" t="inlineStr">
        <is>
          <t>LC-286, MAHEMDABAD AND KHEDA ROAD, LC-294, KANIJ, BAREJADI NANDEJ, GERATPUR, VATVA, KANKARIYA CABIN, AHMEDABAD Jn</t>
        </is>
      </c>
    </row>
    <row r="208" ht="49" customHeight="1">
      <c r="A208" s="16" t="inlineStr">
        <is>
          <t>12 Jun</t>
        </is>
      </c>
      <c r="B208" s="16" t="inlineStr">
        <is>
          <t>37019</t>
        </is>
      </c>
      <c r="C208" s="16" t="n">
        <v>778</v>
      </c>
      <c r="D208" s="16" t="n">
        <v>778</v>
      </c>
      <c r="E208" s="16" t="n">
        <v>673</v>
      </c>
      <c r="F208" s="38" t="n">
        <v>375617</v>
      </c>
      <c r="G208" s="38" t="n">
        <v>440818</v>
      </c>
      <c r="H208" s="38" t="n">
        <v>400442</v>
      </c>
      <c r="I208" s="38" t="n">
        <v>440818</v>
      </c>
      <c r="J208" s="19">
        <f>(I208-H208)/1000</f>
        <v/>
      </c>
      <c r="K208" s="16" t="inlineStr">
        <is>
          <t>Yes</t>
        </is>
      </c>
      <c r="L208" s="16" t="n">
        <v>10</v>
      </c>
      <c r="M208" s="39" t="inlineStr">
        <is>
          <t>UTARSANDA, NADIAD, LC-278, GOTHAJ, LC-286, MAHEMDABAD AND KHEDA ROAD, LC-294, KANIJ, BAREJADI NANDEJ, GERATPUR, VATVA, KANKARIYA CABIN, AHMEDABAD Jn</t>
        </is>
      </c>
    </row>
    <row r="209" ht="49" customHeight="1">
      <c r="A209" s="16" t="inlineStr">
        <is>
          <t>12 Jun</t>
        </is>
      </c>
      <c r="B209" s="16" t="inlineStr">
        <is>
          <t>37853</t>
        </is>
      </c>
      <c r="C209" s="16" t="n">
        <v>1568</v>
      </c>
      <c r="D209" s="16" t="n">
        <v>1568</v>
      </c>
      <c r="E209" s="16" t="n">
        <v>1009</v>
      </c>
      <c r="F209" s="38" t="n">
        <v>383724</v>
      </c>
      <c r="G209" s="38" t="n">
        <v>438240</v>
      </c>
      <c r="H209" s="38" t="n">
        <v>400432</v>
      </c>
      <c r="I209" s="38" t="n">
        <v>438240</v>
      </c>
      <c r="J209" s="19">
        <f>(I209-H209)/1000</f>
        <v/>
      </c>
      <c r="K209" s="16" t="inlineStr">
        <is>
          <t>Yes</t>
        </is>
      </c>
      <c r="L209" s="16" t="n">
        <v>10</v>
      </c>
      <c r="M209" s="39" t="inlineStr">
        <is>
          <t>UTARSANDA, NADIAD, LC-278, GOTHAJ, LC-286, MAHEMDABAD AND KHEDA ROAD, LC-294, KANIJ, BAREJADI NANDEJ, GERATPUR, VATVA, KANKARIYA CABIN, AHMEDABAD Jn</t>
        </is>
      </c>
    </row>
    <row r="210" ht="49" customHeight="1">
      <c r="A210" s="16" t="inlineStr">
        <is>
          <t>12 Jun</t>
        </is>
      </c>
      <c r="B210" s="16" t="inlineStr">
        <is>
          <t>39308</t>
        </is>
      </c>
      <c r="C210" s="16" t="n">
        <v>2259</v>
      </c>
      <c r="D210" s="16" t="n">
        <v>2259</v>
      </c>
      <c r="E210" s="16" t="n">
        <v>1714</v>
      </c>
      <c r="F210" s="38" t="n">
        <v>369960</v>
      </c>
      <c r="G210" s="38" t="n">
        <v>437284</v>
      </c>
      <c r="H210" s="38" t="n">
        <v>400402</v>
      </c>
      <c r="I210" s="38" t="n">
        <v>437284</v>
      </c>
      <c r="J210" s="19">
        <f>(I210-H210)/1000</f>
        <v/>
      </c>
      <c r="K210" s="16" t="inlineStr">
        <is>
          <t>Yes</t>
        </is>
      </c>
      <c r="L210" s="16" t="n">
        <v>10</v>
      </c>
      <c r="M210" s="39" t="inlineStr">
        <is>
          <t>UTARSANDA, NADIAD, LC-278, GOTHAJ, LC-286, MAHEMDABAD AND KHEDA ROAD, LC-294, KANIJ, BAREJADI NANDEJ, GERATPUR, VATVA, KANKARIYA CABIN, AHMEDABAD Jn</t>
        </is>
      </c>
    </row>
    <row r="211" ht="49" customHeight="1">
      <c r="A211" s="16" t="inlineStr">
        <is>
          <t>12 Jun</t>
        </is>
      </c>
      <c r="B211" s="16" t="inlineStr">
        <is>
          <t>30806</t>
        </is>
      </c>
      <c r="C211" s="16" t="n">
        <v>457</v>
      </c>
      <c r="D211" s="16" t="n">
        <v>457</v>
      </c>
      <c r="E211" s="16" t="n">
        <v>325</v>
      </c>
      <c r="F211" s="38" t="n">
        <v>396330</v>
      </c>
      <c r="G211" s="38" t="n">
        <v>437274</v>
      </c>
      <c r="H211" s="38" t="n">
        <v>400427</v>
      </c>
      <c r="I211" s="38" t="n">
        <v>437274</v>
      </c>
      <c r="J211" s="19">
        <f>(I211-H211)/1000</f>
        <v/>
      </c>
      <c r="K211" s="16" t="inlineStr">
        <is>
          <t>Yes</t>
        </is>
      </c>
      <c r="L211" s="16" t="n">
        <v>10</v>
      </c>
      <c r="M211" s="39" t="inlineStr">
        <is>
          <t>UTARSANDA, NADIAD, LC-278, GOTHAJ, LC-286, MAHEMDABAD AND KHEDA ROAD, LC-294, KANIJ, BAREJADI NANDEJ, GERATPUR, VATVA, KANKARIYA CABIN, AHMEDABAD Jn</t>
        </is>
      </c>
    </row>
    <row r="212" ht="49" customHeight="1">
      <c r="A212" s="16" t="inlineStr">
        <is>
          <t>12 Jun</t>
        </is>
      </c>
      <c r="B212" s="16" t="inlineStr">
        <is>
          <t>39243</t>
        </is>
      </c>
      <c r="C212" s="16" t="n">
        <v>820</v>
      </c>
      <c r="D212" s="16" t="n">
        <v>820</v>
      </c>
      <c r="E212" s="16" t="n">
        <v>486</v>
      </c>
      <c r="F212" s="38" t="n">
        <v>370067</v>
      </c>
      <c r="G212" s="38" t="n">
        <v>437054</v>
      </c>
      <c r="H212" s="38" t="n">
        <v>400411</v>
      </c>
      <c r="I212" s="38" t="n">
        <v>437054</v>
      </c>
      <c r="J212" s="19">
        <f>(I212-H212)/1000</f>
        <v/>
      </c>
      <c r="K212" s="16" t="inlineStr">
        <is>
          <t>Yes</t>
        </is>
      </c>
      <c r="L212" s="16" t="n">
        <v>10</v>
      </c>
      <c r="M212" s="39" t="inlineStr">
        <is>
          <t>UTARSANDA, NADIAD, LC-278, GOTHAJ, LC-286, MAHEMDABAD AND KHEDA ROAD, LC-294, KANIJ, BAREJADI NANDEJ, GERATPUR, VATVA, KANKARIYA CABIN, AHMEDABAD Jn</t>
        </is>
      </c>
    </row>
    <row r="213" ht="49" customHeight="1">
      <c r="A213" s="16" t="inlineStr">
        <is>
          <t>12 Jun</t>
        </is>
      </c>
      <c r="B213" s="16" t="inlineStr">
        <is>
          <t>39287</t>
        </is>
      </c>
      <c r="C213" s="16" t="n">
        <v>804</v>
      </c>
      <c r="D213" s="16" t="n">
        <v>804</v>
      </c>
      <c r="E213" s="16" t="n">
        <v>511</v>
      </c>
      <c r="F213" s="38" t="n">
        <v>384425</v>
      </c>
      <c r="G213" s="38" t="n">
        <v>434591</v>
      </c>
      <c r="H213" s="38" t="n">
        <v>400398</v>
      </c>
      <c r="I213" s="38" t="n">
        <v>434591</v>
      </c>
      <c r="J213" s="19">
        <f>(I213-H213)/1000</f>
        <v/>
      </c>
      <c r="K213" s="16" t="inlineStr">
        <is>
          <t>Yes</t>
        </is>
      </c>
      <c r="L213" s="16" t="n">
        <v>9</v>
      </c>
      <c r="M213" s="39" t="inlineStr">
        <is>
          <t>KANJARI BORIYAVI, UTARSANDA, NADIAD, LC-278, GOTHAJ, LC-286, MAHEMDABAD AND KHEDA ROAD, LC-294, KANIJ, BAREJADI NANDEJ, GERATPUR, VATVA, KANKARIYA CABIN, AHMEDABAD Jn</t>
        </is>
      </c>
    </row>
    <row r="214" ht="49" customHeight="1">
      <c r="A214" s="16" t="inlineStr">
        <is>
          <t>12 Jun</t>
        </is>
      </c>
      <c r="B214" s="16" t="inlineStr">
        <is>
          <t>37830</t>
        </is>
      </c>
      <c r="C214" s="16" t="n">
        <v>1366</v>
      </c>
      <c r="D214" s="16" t="n">
        <v>1366</v>
      </c>
      <c r="E214" s="16" t="n">
        <v>1305</v>
      </c>
      <c r="F214" s="38" t="n">
        <v>383703</v>
      </c>
      <c r="G214" s="38" t="n">
        <v>434457</v>
      </c>
      <c r="H214" s="38" t="n">
        <v>400412</v>
      </c>
      <c r="I214" s="38" t="n">
        <v>434457</v>
      </c>
      <c r="J214" s="19">
        <f>(I214-H214)/1000</f>
        <v/>
      </c>
      <c r="K214" s="16" t="inlineStr">
        <is>
          <t>Yes</t>
        </is>
      </c>
      <c r="L214" s="16" t="n">
        <v>9</v>
      </c>
      <c r="M214" s="39" t="inlineStr">
        <is>
          <t>KANJARI BORIYAVI, UTARSANDA, NADIAD, LC-278, GOTHAJ, LC-286, MAHEMDABAD AND KHEDA ROAD, LC-294, KANIJ, BAREJADI NANDEJ, GERATPUR, VATVA, KANKARIYA CABIN, AHMEDABAD Jn</t>
        </is>
      </c>
    </row>
    <row r="215" ht="49" customHeight="1">
      <c r="A215" s="16" t="inlineStr">
        <is>
          <t>12 Jun</t>
        </is>
      </c>
      <c r="B215" s="16" t="inlineStr">
        <is>
          <t>37091</t>
        </is>
      </c>
      <c r="C215" s="16" t="n">
        <v>363</v>
      </c>
      <c r="D215" s="16" t="n">
        <v>363</v>
      </c>
      <c r="E215" s="16" t="n">
        <v>340</v>
      </c>
      <c r="F215" s="38" t="n">
        <v>396532</v>
      </c>
      <c r="G215" s="38" t="n">
        <v>432776</v>
      </c>
      <c r="H215" s="38" t="n">
        <v>400578</v>
      </c>
      <c r="I215" s="38" t="n">
        <v>432776</v>
      </c>
      <c r="J215" s="19">
        <f>(I215-H215)/1000</f>
        <v/>
      </c>
      <c r="K215" s="16" t="inlineStr">
        <is>
          <t>Yes</t>
        </is>
      </c>
      <c r="L215" s="16" t="n">
        <v>8</v>
      </c>
      <c r="M215" s="39" t="inlineStr">
        <is>
          <t>LC-264, KANJARI BORIYAVI, UTARSANDA, NADIAD, LC-278, GOTHAJ, LC-286, MAHEMDABAD AND KHEDA ROAD, LC-294, KANIJ, BAREJADI NANDEJ, GERATPUR, VATVA, KANKARIYA CABIN, AHMEDABAD Jn</t>
        </is>
      </c>
    </row>
    <row r="216" ht="64" customHeight="1">
      <c r="A216" s="16" t="inlineStr">
        <is>
          <t>12 Jun</t>
        </is>
      </c>
      <c r="B216" s="16" t="inlineStr">
        <is>
          <t>37277</t>
        </is>
      </c>
      <c r="C216" s="16" t="n">
        <v>209</v>
      </c>
      <c r="D216" s="16" t="n">
        <v>209</v>
      </c>
      <c r="E216" s="16" t="n">
        <v>94</v>
      </c>
      <c r="F216" s="38" t="n">
        <v>370111</v>
      </c>
      <c r="G216" s="38" t="n">
        <v>402387</v>
      </c>
      <c r="H216" s="38" t="n">
        <v>400438</v>
      </c>
      <c r="I216" s="38" t="n">
        <v>402387</v>
      </c>
      <c r="J216" s="19">
        <f>(I216-H216)/1000</f>
        <v/>
      </c>
      <c r="K216" s="16" t="inlineStr">
        <is>
          <t>Yes</t>
        </is>
      </c>
      <c r="L216" s="16" t="n">
        <v>1</v>
      </c>
      <c r="M216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7" ht="64" customHeight="1">
      <c r="A217" s="16" t="inlineStr">
        <is>
          <t>12 Jun</t>
        </is>
      </c>
      <c r="B217" s="16" t="inlineStr">
        <is>
          <t>41888</t>
        </is>
      </c>
      <c r="C217" s="16" t="n">
        <v>785</v>
      </c>
      <c r="D217" s="16" t="n">
        <v>714</v>
      </c>
      <c r="E217" s="16" t="n">
        <v>94</v>
      </c>
      <c r="F217" s="38" t="n">
        <v>486202</v>
      </c>
      <c r="G217" s="38" t="n">
        <v>2500604</v>
      </c>
      <c r="H217" s="38" t="n">
        <v>486202</v>
      </c>
      <c r="I217" s="38" t="n">
        <v>486462</v>
      </c>
      <c r="J217" s="19">
        <f>(I217-H217)/1000</f>
        <v/>
      </c>
      <c r="K217" s="16" t="inlineStr">
        <is>
          <t>Yes</t>
        </is>
      </c>
      <c r="L217" s="16" t="n">
        <v>1</v>
      </c>
      <c r="M217" s="39" t="inlineStr">
        <is>
          <t>BAJWA, RANOLI, LC-246, VASAD, ADAS ROAD, VADOD, LC-258, ANAND Jn, LC-264, KANJARI BORIYAVI, UTARSANDA, NADIAD, LC-278, GOTHAJ, LC-286, MAHEMDABAD AND KHEDA ROAD, LC-294, KANIJ, BAREJADI NANDEJ, GERATPUR, KANKARIYA CABIN, AHMEDABAD Jn</t>
        </is>
      </c>
    </row>
    <row r="218" ht="64" customHeight="1">
      <c r="A218" s="31" t="inlineStr">
        <is>
          <t>12 Jun</t>
        </is>
      </c>
      <c r="B218" s="31" t="inlineStr">
        <is>
          <t>120850</t>
        </is>
      </c>
      <c r="C218" s="31" t="n">
        <v>9028</v>
      </c>
      <c r="D218" s="31" t="n">
        <v>8992</v>
      </c>
      <c r="E218" s="31" t="n">
        <v>0</v>
      </c>
      <c r="F218" s="40" t="n">
        <v>773792</v>
      </c>
      <c r="G218" s="40" t="n">
        <v>777746</v>
      </c>
      <c r="H218" s="40" t="inlineStr">
        <is>
          <t>-</t>
        </is>
      </c>
      <c r="I218" s="40" t="inlineStr">
        <is>
          <t>-</t>
        </is>
      </c>
      <c r="J218" s="41" t="n">
        <v>0</v>
      </c>
      <c r="K218" s="31" t="inlineStr">
        <is>
          <t>No</t>
        </is>
      </c>
      <c r="L218" s="31" t="n">
        <v>0</v>
      </c>
      <c r="M21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9" ht="64" customHeight="1">
      <c r="A219" s="31" t="inlineStr">
        <is>
          <t>12 Jun</t>
        </is>
      </c>
      <c r="B219" s="31" t="inlineStr">
        <is>
          <t>30088</t>
        </is>
      </c>
      <c r="C219" s="31" t="n">
        <v>5</v>
      </c>
      <c r="D219" s="31" t="n">
        <v>0</v>
      </c>
      <c r="E219" s="31" t="n">
        <v>0</v>
      </c>
      <c r="F219" s="40" t="inlineStr">
        <is>
          <t>-</t>
        </is>
      </c>
      <c r="G219" s="40" t="inlineStr">
        <is>
          <t>-</t>
        </is>
      </c>
      <c r="H219" s="40" t="inlineStr">
        <is>
          <t>-</t>
        </is>
      </c>
      <c r="I219" s="40" t="inlineStr">
        <is>
          <t>-</t>
        </is>
      </c>
      <c r="J219" s="41" t="n">
        <v>0</v>
      </c>
      <c r="K219" s="31" t="inlineStr">
        <is>
          <t>No</t>
        </is>
      </c>
      <c r="L219" s="31" t="n">
        <v>0</v>
      </c>
      <c r="M21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0" ht="64" customHeight="1">
      <c r="A220" s="31" t="inlineStr">
        <is>
          <t>12 Jun</t>
        </is>
      </c>
      <c r="B220" s="31" t="inlineStr">
        <is>
          <t>30496</t>
        </is>
      </c>
      <c r="C220" s="31" t="n">
        <v>5</v>
      </c>
      <c r="D220" s="31" t="n">
        <v>0</v>
      </c>
      <c r="E220" s="31" t="n">
        <v>0</v>
      </c>
      <c r="F220" s="40" t="inlineStr">
        <is>
          <t>-</t>
        </is>
      </c>
      <c r="G220" s="40" t="inlineStr">
        <is>
          <t>-</t>
        </is>
      </c>
      <c r="H220" s="40" t="inlineStr">
        <is>
          <t>-</t>
        </is>
      </c>
      <c r="I220" s="40" t="inlineStr">
        <is>
          <t>-</t>
        </is>
      </c>
      <c r="J220" s="41" t="n">
        <v>0</v>
      </c>
      <c r="K220" s="31" t="inlineStr">
        <is>
          <t>No</t>
        </is>
      </c>
      <c r="L220" s="31" t="n">
        <v>0</v>
      </c>
      <c r="M22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1" ht="64" customHeight="1">
      <c r="A221" s="31" t="inlineStr">
        <is>
          <t>12 Jun</t>
        </is>
      </c>
      <c r="B221" s="31" t="inlineStr">
        <is>
          <t>37330</t>
        </is>
      </c>
      <c r="C221" s="31" t="n">
        <v>2</v>
      </c>
      <c r="D221" s="31" t="n">
        <v>0</v>
      </c>
      <c r="E221" s="31" t="n">
        <v>0</v>
      </c>
      <c r="F221" s="40" t="inlineStr">
        <is>
          <t>-</t>
        </is>
      </c>
      <c r="G221" s="40" t="inlineStr">
        <is>
          <t>-</t>
        </is>
      </c>
      <c r="H221" s="40" t="inlineStr">
        <is>
          <t>-</t>
        </is>
      </c>
      <c r="I221" s="40" t="inlineStr">
        <is>
          <t>-</t>
        </is>
      </c>
      <c r="J221" s="41" t="n">
        <v>0</v>
      </c>
      <c r="K221" s="31" t="inlineStr">
        <is>
          <t>No</t>
        </is>
      </c>
      <c r="L221" s="31" t="n">
        <v>0</v>
      </c>
      <c r="M22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2" ht="64" customHeight="1">
      <c r="A222" s="31" t="inlineStr">
        <is>
          <t>12 Jun</t>
        </is>
      </c>
      <c r="B222" s="31" t="inlineStr">
        <is>
          <t>37582</t>
        </is>
      </c>
      <c r="C222" s="31" t="n">
        <v>19</v>
      </c>
      <c r="D222" s="31" t="n">
        <v>0</v>
      </c>
      <c r="E222" s="31" t="n">
        <v>0</v>
      </c>
      <c r="F222" s="40" t="inlineStr">
        <is>
          <t>-</t>
        </is>
      </c>
      <c r="G222" s="40" t="inlineStr">
        <is>
          <t>-</t>
        </is>
      </c>
      <c r="H222" s="40" t="inlineStr">
        <is>
          <t>-</t>
        </is>
      </c>
      <c r="I222" s="40" t="inlineStr">
        <is>
          <t>-</t>
        </is>
      </c>
      <c r="J222" s="41" t="n">
        <v>0</v>
      </c>
      <c r="K222" s="31" t="inlineStr">
        <is>
          <t>No</t>
        </is>
      </c>
      <c r="L222" s="31" t="n">
        <v>0</v>
      </c>
      <c r="M22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3" ht="64" customHeight="1">
      <c r="A223" s="31" t="inlineStr">
        <is>
          <t>12 Jun</t>
        </is>
      </c>
      <c r="B223" s="31" t="inlineStr">
        <is>
          <t>39047</t>
        </is>
      </c>
      <c r="C223" s="31" t="n">
        <v>1</v>
      </c>
      <c r="D223" s="31" t="n">
        <v>0</v>
      </c>
      <c r="E223" s="31" t="n">
        <v>0</v>
      </c>
      <c r="F223" s="40" t="inlineStr">
        <is>
          <t>-</t>
        </is>
      </c>
      <c r="G223" s="40" t="inlineStr">
        <is>
          <t>-</t>
        </is>
      </c>
      <c r="H223" s="40" t="inlineStr">
        <is>
          <t>-</t>
        </is>
      </c>
      <c r="I223" s="40" t="inlineStr">
        <is>
          <t>-</t>
        </is>
      </c>
      <c r="J223" s="41" t="n">
        <v>0</v>
      </c>
      <c r="K223" s="31" t="inlineStr">
        <is>
          <t>No</t>
        </is>
      </c>
      <c r="L223" s="31" t="n">
        <v>0</v>
      </c>
      <c r="M22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4" ht="64" customHeight="1">
      <c r="A224" s="31" t="inlineStr">
        <is>
          <t>12 Jun</t>
        </is>
      </c>
      <c r="B224" s="31" t="inlineStr">
        <is>
          <t>39254</t>
        </is>
      </c>
      <c r="C224" s="31" t="n">
        <v>6</v>
      </c>
      <c r="D224" s="31" t="n">
        <v>0</v>
      </c>
      <c r="E224" s="31" t="n">
        <v>0</v>
      </c>
      <c r="F224" s="40" t="inlineStr">
        <is>
          <t>-</t>
        </is>
      </c>
      <c r="G224" s="40" t="inlineStr">
        <is>
          <t>-</t>
        </is>
      </c>
      <c r="H224" s="40" t="inlineStr">
        <is>
          <t>-</t>
        </is>
      </c>
      <c r="I224" s="40" t="inlineStr">
        <is>
          <t>-</t>
        </is>
      </c>
      <c r="J224" s="41" t="n">
        <v>0</v>
      </c>
      <c r="K224" s="31" t="inlineStr">
        <is>
          <t>No</t>
        </is>
      </c>
      <c r="L224" s="31" t="n">
        <v>0</v>
      </c>
      <c r="M22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5" ht="64" customHeight="1">
      <c r="A225" s="31" t="inlineStr">
        <is>
          <t>12 Jun</t>
        </is>
      </c>
      <c r="B225" s="31" t="inlineStr">
        <is>
          <t>39328</t>
        </is>
      </c>
      <c r="C225" s="31" t="n">
        <v>40</v>
      </c>
      <c r="D225" s="31" t="n">
        <v>40</v>
      </c>
      <c r="E225" s="31" t="n">
        <v>0</v>
      </c>
      <c r="F225" s="40" t="n">
        <v>370088</v>
      </c>
      <c r="G225" s="40" t="n">
        <v>395931</v>
      </c>
      <c r="H225" s="40" t="inlineStr">
        <is>
          <t>-</t>
        </is>
      </c>
      <c r="I225" s="40" t="inlineStr">
        <is>
          <t>-</t>
        </is>
      </c>
      <c r="J225" s="41" t="n">
        <v>0</v>
      </c>
      <c r="K225" s="31" t="inlineStr">
        <is>
          <t>No</t>
        </is>
      </c>
      <c r="L225" s="31" t="n">
        <v>0</v>
      </c>
      <c r="M22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6" ht="64" customHeight="1">
      <c r="A226" s="31" t="inlineStr">
        <is>
          <t>12 Jun</t>
        </is>
      </c>
      <c r="B226" s="31" t="inlineStr">
        <is>
          <t>43559</t>
        </is>
      </c>
      <c r="C226" s="31" t="n">
        <v>11</v>
      </c>
      <c r="D226" s="31" t="n">
        <v>0</v>
      </c>
      <c r="E226" s="31" t="n">
        <v>0</v>
      </c>
      <c r="F226" s="40" t="inlineStr">
        <is>
          <t>-</t>
        </is>
      </c>
      <c r="G226" s="40" t="inlineStr">
        <is>
          <t>-</t>
        </is>
      </c>
      <c r="H226" s="40" t="inlineStr">
        <is>
          <t>-</t>
        </is>
      </c>
      <c r="I226" s="40" t="inlineStr">
        <is>
          <t>-</t>
        </is>
      </c>
      <c r="J226" s="41" t="n">
        <v>0</v>
      </c>
      <c r="K226" s="31" t="inlineStr">
        <is>
          <t>No</t>
        </is>
      </c>
      <c r="L226" s="31" t="n">
        <v>0</v>
      </c>
      <c r="M22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7" ht="64" customHeight="1">
      <c r="A227" s="31" t="inlineStr">
        <is>
          <t>12 Jun</t>
        </is>
      </c>
      <c r="B227" s="31" t="inlineStr">
        <is>
          <t>43943</t>
        </is>
      </c>
      <c r="C227" s="31" t="n">
        <v>95</v>
      </c>
      <c r="D227" s="31" t="n">
        <v>64</v>
      </c>
      <c r="E227" s="31" t="n">
        <v>0</v>
      </c>
      <c r="F227" s="40" t="n">
        <v>2500002</v>
      </c>
      <c r="G227" s="40" t="n">
        <v>2500586</v>
      </c>
      <c r="H227" s="40" t="inlineStr">
        <is>
          <t>-</t>
        </is>
      </c>
      <c r="I227" s="40" t="inlineStr">
        <is>
          <t>-</t>
        </is>
      </c>
      <c r="J227" s="41" t="n">
        <v>0</v>
      </c>
      <c r="K227" s="31" t="inlineStr">
        <is>
          <t>No</t>
        </is>
      </c>
      <c r="L227" s="31" t="n">
        <v>0</v>
      </c>
      <c r="M22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8">
      <c r="A228" s="16" t="inlineStr">
        <is>
          <t>13 Jun</t>
        </is>
      </c>
      <c r="B228" s="16" t="inlineStr">
        <is>
          <t>30470</t>
        </is>
      </c>
      <c r="C228" s="16" t="n">
        <v>3985</v>
      </c>
      <c r="D228" s="16" t="n">
        <v>3985</v>
      </c>
      <c r="E228" s="16" t="n">
        <v>3497</v>
      </c>
      <c r="F228" s="38" t="n">
        <v>375799</v>
      </c>
      <c r="G228" s="38" t="n">
        <v>495788</v>
      </c>
      <c r="H228" s="38" t="n">
        <v>400405</v>
      </c>
      <c r="I228" s="38" t="n">
        <v>494312</v>
      </c>
      <c r="J228" s="19">
        <f>(I228-H228)/1000</f>
        <v/>
      </c>
      <c r="K228" s="16" t="inlineStr">
        <is>
          <t>Yes</t>
        </is>
      </c>
      <c r="L228" s="16" t="n">
        <v>23</v>
      </c>
      <c r="M228" s="39" t="inlineStr">
        <is>
          <t>- (full trip)</t>
        </is>
      </c>
    </row>
    <row r="229">
      <c r="A229" s="16" t="inlineStr">
        <is>
          <t>13 Jun</t>
        </is>
      </c>
      <c r="B229" s="16" t="inlineStr">
        <is>
          <t>30767</t>
        </is>
      </c>
      <c r="C229" s="16" t="n">
        <v>8183</v>
      </c>
      <c r="D229" s="16" t="n">
        <v>8183</v>
      </c>
      <c r="E229" s="16" t="n">
        <v>7507</v>
      </c>
      <c r="F229" s="38" t="n">
        <v>398302</v>
      </c>
      <c r="G229" s="38" t="n">
        <v>495782</v>
      </c>
      <c r="H229" s="38" t="n">
        <v>400399</v>
      </c>
      <c r="I229" s="38" t="n">
        <v>494311</v>
      </c>
      <c r="J229" s="19">
        <f>(I229-H229)/1000</f>
        <v/>
      </c>
      <c r="K229" s="16" t="inlineStr">
        <is>
          <t>Yes</t>
        </is>
      </c>
      <c r="L229" s="16" t="n">
        <v>23</v>
      </c>
      <c r="M229" s="39" t="inlineStr">
        <is>
          <t>- (full trip)</t>
        </is>
      </c>
    </row>
    <row r="230">
      <c r="A230" s="16" t="inlineStr">
        <is>
          <t>13 Jun</t>
        </is>
      </c>
      <c r="B230" s="16" t="inlineStr">
        <is>
          <t>37830</t>
        </is>
      </c>
      <c r="C230" s="16" t="n">
        <v>8937</v>
      </c>
      <c r="D230" s="16" t="n">
        <v>8937</v>
      </c>
      <c r="E230" s="16" t="n">
        <v>8067</v>
      </c>
      <c r="F230" s="38" t="n">
        <v>367895</v>
      </c>
      <c r="G230" s="38" t="n">
        <v>495730</v>
      </c>
      <c r="H230" s="38" t="n">
        <v>400406</v>
      </c>
      <c r="I230" s="38" t="n">
        <v>494312</v>
      </c>
      <c r="J230" s="19">
        <f>(I230-H230)/1000</f>
        <v/>
      </c>
      <c r="K230" s="16" t="inlineStr">
        <is>
          <t>Yes</t>
        </is>
      </c>
      <c r="L230" s="16" t="n">
        <v>23</v>
      </c>
      <c r="M230" s="39" t="inlineStr">
        <is>
          <t>- (full trip)</t>
        </is>
      </c>
    </row>
    <row r="231">
      <c r="A231" s="16" t="inlineStr">
        <is>
          <t>13 Jun</t>
        </is>
      </c>
      <c r="B231" s="16" t="inlineStr">
        <is>
          <t>30823</t>
        </is>
      </c>
      <c r="C231" s="16" t="n">
        <v>7090</v>
      </c>
      <c r="D231" s="16" t="n">
        <v>7090</v>
      </c>
      <c r="E231" s="16" t="n">
        <v>6281</v>
      </c>
      <c r="F231" s="38" t="n">
        <v>375579</v>
      </c>
      <c r="G231" s="38" t="n">
        <v>495772</v>
      </c>
      <c r="H231" s="38" t="n">
        <v>400414</v>
      </c>
      <c r="I231" s="38" t="n">
        <v>494312</v>
      </c>
      <c r="J231" s="19">
        <f>(I231-H231)/1000</f>
        <v/>
      </c>
      <c r="K231" s="16" t="inlineStr">
        <is>
          <t>Yes</t>
        </is>
      </c>
      <c r="L231" s="16" t="n">
        <v>23</v>
      </c>
      <c r="M231" s="39" t="inlineStr">
        <is>
          <t>- (full trip)</t>
        </is>
      </c>
    </row>
    <row r="232">
      <c r="A232" s="16" t="inlineStr">
        <is>
          <t>13 Jun</t>
        </is>
      </c>
      <c r="B232" s="16" t="inlineStr">
        <is>
          <t>37383</t>
        </is>
      </c>
      <c r="C232" s="16" t="n">
        <v>5105</v>
      </c>
      <c r="D232" s="16" t="n">
        <v>5105</v>
      </c>
      <c r="E232" s="16" t="n">
        <v>4701</v>
      </c>
      <c r="F232" s="38" t="n">
        <v>370176</v>
      </c>
      <c r="G232" s="38" t="n">
        <v>494968</v>
      </c>
      <c r="H232" s="38" t="n">
        <v>400408</v>
      </c>
      <c r="I232" s="38" t="n">
        <v>494310</v>
      </c>
      <c r="J232" s="19">
        <f>(I232-H232)/1000</f>
        <v/>
      </c>
      <c r="K232" s="16" t="inlineStr">
        <is>
          <t>Yes</t>
        </is>
      </c>
      <c r="L232" s="16" t="n">
        <v>23</v>
      </c>
      <c r="M232" s="39" t="inlineStr">
        <is>
          <t>- (full trip)</t>
        </is>
      </c>
    </row>
    <row r="233">
      <c r="A233" s="16" t="inlineStr">
        <is>
          <t>13 Jun</t>
        </is>
      </c>
      <c r="B233" s="16" t="inlineStr">
        <is>
          <t>39029</t>
        </is>
      </c>
      <c r="C233" s="16" t="n">
        <v>4650</v>
      </c>
      <c r="D233" s="16" t="n">
        <v>4650</v>
      </c>
      <c r="E233" s="16" t="n">
        <v>4098</v>
      </c>
      <c r="F233" s="38" t="n">
        <v>375741</v>
      </c>
      <c r="G233" s="38" t="n">
        <v>495009</v>
      </c>
      <c r="H233" s="38" t="n">
        <v>400413</v>
      </c>
      <c r="I233" s="38" t="n">
        <v>494310</v>
      </c>
      <c r="J233" s="19">
        <f>(I233-H233)/1000</f>
        <v/>
      </c>
      <c r="K233" s="16" t="inlineStr">
        <is>
          <t>Yes</t>
        </is>
      </c>
      <c r="L233" s="16" t="n">
        <v>23</v>
      </c>
      <c r="M233" s="39" t="inlineStr">
        <is>
          <t>- (full trip)</t>
        </is>
      </c>
    </row>
    <row r="234">
      <c r="A234" s="16" t="inlineStr">
        <is>
          <t>13 Jun</t>
        </is>
      </c>
      <c r="B234" s="16" t="inlineStr">
        <is>
          <t>39514</t>
        </is>
      </c>
      <c r="C234" s="16" t="n">
        <v>4575</v>
      </c>
      <c r="D234" s="16" t="n">
        <v>4575</v>
      </c>
      <c r="E234" s="16" t="n">
        <v>4104</v>
      </c>
      <c r="F234" s="38" t="n">
        <v>369950</v>
      </c>
      <c r="G234" s="38" t="n">
        <v>495779</v>
      </c>
      <c r="H234" s="38" t="n">
        <v>400424</v>
      </c>
      <c r="I234" s="38" t="n">
        <v>494312</v>
      </c>
      <c r="J234" s="19">
        <f>(I234-H234)/1000</f>
        <v/>
      </c>
      <c r="K234" s="16" t="inlineStr">
        <is>
          <t>Yes</t>
        </is>
      </c>
      <c r="L234" s="16" t="n">
        <v>23</v>
      </c>
      <c r="M234" s="39" t="inlineStr">
        <is>
          <t>- (full trip)</t>
        </is>
      </c>
    </row>
    <row r="235">
      <c r="A235" s="16" t="inlineStr">
        <is>
          <t>13 Jun</t>
        </is>
      </c>
      <c r="B235" s="16" t="inlineStr">
        <is>
          <t>37217</t>
        </is>
      </c>
      <c r="C235" s="16" t="n">
        <v>3777</v>
      </c>
      <c r="D235" s="16" t="n">
        <v>3777</v>
      </c>
      <c r="E235" s="16" t="n">
        <v>3433</v>
      </c>
      <c r="F235" s="38" t="n">
        <v>375492</v>
      </c>
      <c r="G235" s="38" t="n">
        <v>494981</v>
      </c>
      <c r="H235" s="38" t="n">
        <v>400428</v>
      </c>
      <c r="I235" s="38" t="n">
        <v>494310</v>
      </c>
      <c r="J235" s="19">
        <f>(I235-H235)/1000</f>
        <v/>
      </c>
      <c r="K235" s="16" t="inlineStr">
        <is>
          <t>Yes</t>
        </is>
      </c>
      <c r="L235" s="16" t="n">
        <v>23</v>
      </c>
      <c r="M235" s="39" t="inlineStr">
        <is>
          <t>- (full trip)</t>
        </is>
      </c>
    </row>
    <row r="236">
      <c r="A236" s="16" t="inlineStr">
        <is>
          <t>13 Jun</t>
        </is>
      </c>
      <c r="B236" s="16" t="inlineStr">
        <is>
          <t>37752</t>
        </is>
      </c>
      <c r="C236" s="16" t="n">
        <v>3815</v>
      </c>
      <c r="D236" s="16" t="n">
        <v>3815</v>
      </c>
      <c r="E236" s="16" t="n">
        <v>3519</v>
      </c>
      <c r="F236" s="38" t="n">
        <v>394408</v>
      </c>
      <c r="G236" s="38" t="n">
        <v>494980</v>
      </c>
      <c r="H236" s="38" t="n">
        <v>400434</v>
      </c>
      <c r="I236" s="38" t="n">
        <v>494310</v>
      </c>
      <c r="J236" s="19">
        <f>(I236-H236)/1000</f>
        <v/>
      </c>
      <c r="K236" s="16" t="inlineStr">
        <is>
          <t>Yes</t>
        </is>
      </c>
      <c r="L236" s="16" t="n">
        <v>23</v>
      </c>
      <c r="M236" s="39" t="inlineStr">
        <is>
          <t>- (full trip)</t>
        </is>
      </c>
    </row>
    <row r="237">
      <c r="A237" s="16" t="inlineStr">
        <is>
          <t>13 Jun</t>
        </is>
      </c>
      <c r="B237" s="16" t="inlineStr">
        <is>
          <t>30634</t>
        </is>
      </c>
      <c r="C237" s="16" t="n">
        <v>5447</v>
      </c>
      <c r="D237" s="16" t="n">
        <v>5447</v>
      </c>
      <c r="E237" s="16" t="n">
        <v>5053</v>
      </c>
      <c r="F237" s="38" t="n">
        <v>375499</v>
      </c>
      <c r="G237" s="38" t="n">
        <v>494983</v>
      </c>
      <c r="H237" s="38" t="n">
        <v>400441</v>
      </c>
      <c r="I237" s="38" t="n">
        <v>494312</v>
      </c>
      <c r="J237" s="19">
        <f>(I237-H237)/1000</f>
        <v/>
      </c>
      <c r="K237" s="16" t="inlineStr">
        <is>
          <t>Yes</t>
        </is>
      </c>
      <c r="L237" s="16" t="n">
        <v>23</v>
      </c>
      <c r="M237" s="39" t="inlineStr">
        <is>
          <t>- (full trip)</t>
        </is>
      </c>
    </row>
    <row r="238">
      <c r="A238" s="16" t="inlineStr">
        <is>
          <t>13 Jun</t>
        </is>
      </c>
      <c r="B238" s="16" t="inlineStr">
        <is>
          <t>39131</t>
        </is>
      </c>
      <c r="C238" s="16" t="n">
        <v>4262</v>
      </c>
      <c r="D238" s="16" t="n">
        <v>4262</v>
      </c>
      <c r="E238" s="16" t="n">
        <v>3908</v>
      </c>
      <c r="F238" s="38" t="n">
        <v>370022</v>
      </c>
      <c r="G238" s="38" t="n">
        <v>495785</v>
      </c>
      <c r="H238" s="38" t="n">
        <v>400456</v>
      </c>
      <c r="I238" s="38" t="n">
        <v>494310</v>
      </c>
      <c r="J238" s="19">
        <f>(I238-H238)/1000</f>
        <v/>
      </c>
      <c r="K238" s="16" t="inlineStr">
        <is>
          <t>Yes</t>
        </is>
      </c>
      <c r="L238" s="16" t="n">
        <v>23</v>
      </c>
      <c r="M238" s="39" t="inlineStr">
        <is>
          <t>- (full trip)</t>
        </is>
      </c>
    </row>
    <row r="239">
      <c r="A239" s="16" t="inlineStr">
        <is>
          <t>13 Jun</t>
        </is>
      </c>
      <c r="B239" s="16" t="inlineStr">
        <is>
          <t>37163</t>
        </is>
      </c>
      <c r="C239" s="16" t="n">
        <v>4854</v>
      </c>
      <c r="D239" s="16" t="n">
        <v>4854</v>
      </c>
      <c r="E239" s="16" t="n">
        <v>4576</v>
      </c>
      <c r="F239" s="38" t="n">
        <v>400993</v>
      </c>
      <c r="G239" s="38" t="n">
        <v>494983</v>
      </c>
      <c r="H239" s="38" t="n">
        <v>400993</v>
      </c>
      <c r="I239" s="38" t="n">
        <v>494312</v>
      </c>
      <c r="J239" s="19">
        <f>(I239-H239)/1000</f>
        <v/>
      </c>
      <c r="K239" s="16" t="inlineStr">
        <is>
          <t>Yes</t>
        </is>
      </c>
      <c r="L239" s="16" t="n">
        <v>23</v>
      </c>
      <c r="M239" s="39" t="inlineStr">
        <is>
          <t>- (full trip)</t>
        </is>
      </c>
    </row>
    <row r="240">
      <c r="A240" s="16" t="inlineStr">
        <is>
          <t>13 Jun</t>
        </is>
      </c>
      <c r="B240" s="16" t="inlineStr">
        <is>
          <t>39244</t>
        </is>
      </c>
      <c r="C240" s="16" t="n">
        <v>4554</v>
      </c>
      <c r="D240" s="16" t="n">
        <v>4554</v>
      </c>
      <c r="E240" s="16" t="n">
        <v>4310</v>
      </c>
      <c r="F240" s="38" t="n">
        <v>400992</v>
      </c>
      <c r="G240" s="38" t="n">
        <v>495783</v>
      </c>
      <c r="H240" s="38" t="n">
        <v>400992</v>
      </c>
      <c r="I240" s="38" t="n">
        <v>494312</v>
      </c>
      <c r="J240" s="19">
        <f>(I240-H240)/1000</f>
        <v/>
      </c>
      <c r="K240" s="16" t="inlineStr">
        <is>
          <t>Yes</t>
        </is>
      </c>
      <c r="L240" s="16" t="n">
        <v>23</v>
      </c>
      <c r="M240" s="39" t="inlineStr">
        <is>
          <t>- (full trip)</t>
        </is>
      </c>
    </row>
    <row r="241">
      <c r="A241" s="16" t="inlineStr">
        <is>
          <t>13 Jun</t>
        </is>
      </c>
      <c r="B241" s="16" t="inlineStr">
        <is>
          <t>37656</t>
        </is>
      </c>
      <c r="C241" s="16" t="n">
        <v>4935</v>
      </c>
      <c r="D241" s="16" t="n">
        <v>4935</v>
      </c>
      <c r="E241" s="16" t="n">
        <v>4571</v>
      </c>
      <c r="F241" s="38" t="n">
        <v>370315</v>
      </c>
      <c r="G241" s="38" t="n">
        <v>493357</v>
      </c>
      <c r="H241" s="38" t="n">
        <v>400432</v>
      </c>
      <c r="I241" s="38" t="n">
        <v>493357</v>
      </c>
      <c r="J241" s="19">
        <f>(I241-H241)/1000</f>
        <v/>
      </c>
      <c r="K241" s="16" t="inlineStr">
        <is>
          <t>Yes</t>
        </is>
      </c>
      <c r="L241" s="16" t="n">
        <v>22</v>
      </c>
      <c r="M241" s="39" t="inlineStr">
        <is>
          <t>- (full trip)</t>
        </is>
      </c>
    </row>
    <row r="242">
      <c r="A242" s="16" t="inlineStr">
        <is>
          <t>13 Jun</t>
        </is>
      </c>
      <c r="B242" s="16" t="inlineStr">
        <is>
          <t>39258</t>
        </is>
      </c>
      <c r="C242" s="16" t="n">
        <v>6772</v>
      </c>
      <c r="D242" s="16" t="n">
        <v>6772</v>
      </c>
      <c r="E242" s="16" t="n">
        <v>6531</v>
      </c>
      <c r="F242" s="38" t="n">
        <v>402587</v>
      </c>
      <c r="G242" s="38" t="n">
        <v>494966</v>
      </c>
      <c r="H242" s="38" t="n">
        <v>402587</v>
      </c>
      <c r="I242" s="38" t="n">
        <v>494312</v>
      </c>
      <c r="J242" s="19">
        <f>(I242-H242)/1000</f>
        <v/>
      </c>
      <c r="K242" s="16" t="inlineStr">
        <is>
          <t>Yes</t>
        </is>
      </c>
      <c r="L242" s="16" t="n">
        <v>23</v>
      </c>
      <c r="M242" s="39" t="inlineStr">
        <is>
          <t>- (full trip)</t>
        </is>
      </c>
    </row>
    <row r="243">
      <c r="A243" s="16" t="inlineStr">
        <is>
          <t>13 Jun</t>
        </is>
      </c>
      <c r="B243" s="16" t="inlineStr">
        <is>
          <t>37507</t>
        </is>
      </c>
      <c r="C243" s="16" t="n">
        <v>2943</v>
      </c>
      <c r="D243" s="16" t="n">
        <v>2943</v>
      </c>
      <c r="E243" s="16" t="n">
        <v>2688</v>
      </c>
      <c r="F243" s="38" t="n">
        <v>375545</v>
      </c>
      <c r="G243" s="38" t="n">
        <v>478462</v>
      </c>
      <c r="H243" s="38" t="n">
        <v>400404</v>
      </c>
      <c r="I243" s="38" t="n">
        <v>478462</v>
      </c>
      <c r="J243" s="19">
        <f>(I243-H243)/1000</f>
        <v/>
      </c>
      <c r="K243" s="16" t="inlineStr">
        <is>
          <t>Yes</t>
        </is>
      </c>
      <c r="L243" s="16" t="n">
        <v>19</v>
      </c>
      <c r="M243" s="39" t="inlineStr">
        <is>
          <t>GERATPUR, VATVA, KANKARIYA CABIN, AHMEDABAD Jn</t>
        </is>
      </c>
    </row>
    <row r="244" ht="49" customHeight="1">
      <c r="A244" s="16" t="inlineStr">
        <is>
          <t>13 Jun</t>
        </is>
      </c>
      <c r="B244" s="16" t="inlineStr">
        <is>
          <t>30507</t>
        </is>
      </c>
      <c r="C244" s="16" t="n">
        <v>737</v>
      </c>
      <c r="D244" s="16" t="n">
        <v>737</v>
      </c>
      <c r="E244" s="16" t="n">
        <v>624</v>
      </c>
      <c r="F244" s="38" t="n">
        <v>396172</v>
      </c>
      <c r="G244" s="38" t="n">
        <v>453480</v>
      </c>
      <c r="H244" s="38" t="n">
        <v>400516</v>
      </c>
      <c r="I244" s="38" t="n">
        <v>453480</v>
      </c>
      <c r="J244" s="19">
        <f>(I244-H244)/1000</f>
        <v/>
      </c>
      <c r="K244" s="16" t="inlineStr">
        <is>
          <t>Yes</t>
        </is>
      </c>
      <c r="L244" s="16" t="n">
        <v>12</v>
      </c>
      <c r="M244" s="39" t="inlineStr">
        <is>
          <t>LC-278, GOTHAJ, LC-286, MAHEMDABAD AND KHEDA ROAD, LC-294, KANIJ, BAREJADI NANDEJ, GERATPUR, VATVA, KANKARIYA CABIN, AHMEDABAD Jn</t>
        </is>
      </c>
    </row>
    <row r="245" ht="49" customHeight="1">
      <c r="A245" s="16" t="inlineStr">
        <is>
          <t>13 Jun</t>
        </is>
      </c>
      <c r="B245" s="16" t="inlineStr">
        <is>
          <t>39308</t>
        </is>
      </c>
      <c r="C245" s="16" t="n">
        <v>2970</v>
      </c>
      <c r="D245" s="16" t="n">
        <v>2970</v>
      </c>
      <c r="E245" s="16" t="n">
        <v>2091</v>
      </c>
      <c r="F245" s="38" t="n">
        <v>370094</v>
      </c>
      <c r="G245" s="38" t="n">
        <v>441338</v>
      </c>
      <c r="H245" s="38" t="n">
        <v>400406</v>
      </c>
      <c r="I245" s="38" t="n">
        <v>441338</v>
      </c>
      <c r="J245" s="19">
        <f>(I245-H245)/1000</f>
        <v/>
      </c>
      <c r="K245" s="16" t="inlineStr">
        <is>
          <t>Yes</t>
        </is>
      </c>
      <c r="L245" s="16" t="n">
        <v>11</v>
      </c>
      <c r="M245" s="39" t="inlineStr">
        <is>
          <t>NADIAD, LC-278, GOTHAJ, LC-286, MAHEMDABAD AND KHEDA ROAD, LC-294, KANIJ, BAREJADI NANDEJ, GERATPUR, VATVA, KANKARIYA CABIN, AHMEDABAD Jn</t>
        </is>
      </c>
    </row>
    <row r="246" ht="49" customHeight="1">
      <c r="A246" s="16" t="inlineStr">
        <is>
          <t>13 Jun</t>
        </is>
      </c>
      <c r="B246" s="16" t="inlineStr">
        <is>
          <t>37312</t>
        </is>
      </c>
      <c r="C246" s="16" t="n">
        <v>915</v>
      </c>
      <c r="D246" s="16" t="n">
        <v>915</v>
      </c>
      <c r="E246" s="16" t="n">
        <v>752</v>
      </c>
      <c r="F246" s="38" t="n">
        <v>396496</v>
      </c>
      <c r="G246" s="38" t="n">
        <v>441348</v>
      </c>
      <c r="H246" s="38" t="n">
        <v>400429</v>
      </c>
      <c r="I246" s="38" t="n">
        <v>441348</v>
      </c>
      <c r="J246" s="19">
        <f>(I246-H246)/1000</f>
        <v/>
      </c>
      <c r="K246" s="16" t="inlineStr">
        <is>
          <t>Yes</t>
        </is>
      </c>
      <c r="L246" s="16" t="n">
        <v>11</v>
      </c>
      <c r="M246" s="39" t="inlineStr">
        <is>
          <t>NADIAD, LC-278, GOTHAJ, LC-286, MAHEMDABAD AND KHEDA ROAD, LC-294, KANIJ, BAREJADI NANDEJ, GERATPUR, VATVA, KANKARIYA CABIN, AHMEDABAD Jn</t>
        </is>
      </c>
    </row>
    <row r="247" ht="49" customHeight="1">
      <c r="A247" s="16" t="inlineStr">
        <is>
          <t>13 Jun</t>
        </is>
      </c>
      <c r="B247" s="16" t="inlineStr">
        <is>
          <t>39331</t>
        </is>
      </c>
      <c r="C247" s="16" t="n">
        <v>885</v>
      </c>
      <c r="D247" s="16" t="n">
        <v>885</v>
      </c>
      <c r="E247" s="16" t="n">
        <v>637</v>
      </c>
      <c r="F247" s="38" t="n">
        <v>383737</v>
      </c>
      <c r="G247" s="38" t="n">
        <v>437102</v>
      </c>
      <c r="H247" s="38" t="n">
        <v>400400</v>
      </c>
      <c r="I247" s="38" t="n">
        <v>437102</v>
      </c>
      <c r="J247" s="19">
        <f>(I247-H247)/1000</f>
        <v/>
      </c>
      <c r="K247" s="16" t="inlineStr">
        <is>
          <t>Yes</t>
        </is>
      </c>
      <c r="L247" s="16" t="n">
        <v>10</v>
      </c>
      <c r="M247" s="39" t="inlineStr">
        <is>
          <t>UTARSANDA, NADIAD, LC-278, GOTHAJ, LC-286, MAHEMDABAD AND KHEDA ROAD, LC-294, KANIJ, BAREJADI NANDEJ, GERATPUR, VATVA, KANKARIYA CABIN, AHMEDABAD Jn</t>
        </is>
      </c>
    </row>
    <row r="248" ht="49" customHeight="1">
      <c r="A248" s="16" t="inlineStr">
        <is>
          <t>13 Jun</t>
        </is>
      </c>
      <c r="B248" s="16" t="inlineStr">
        <is>
          <t>39014</t>
        </is>
      </c>
      <c r="C248" s="16" t="n">
        <v>991</v>
      </c>
      <c r="D248" s="16" t="n">
        <v>991</v>
      </c>
      <c r="E248" s="16" t="n">
        <v>851</v>
      </c>
      <c r="F248" s="38" t="n">
        <v>375599</v>
      </c>
      <c r="G248" s="38" t="n">
        <v>434551</v>
      </c>
      <c r="H248" s="38" t="n">
        <v>400485</v>
      </c>
      <c r="I248" s="38" t="n">
        <v>434551</v>
      </c>
      <c r="J248" s="19">
        <f>(I248-H248)/1000</f>
        <v/>
      </c>
      <c r="K248" s="16" t="inlineStr">
        <is>
          <t>Yes</t>
        </is>
      </c>
      <c r="L248" s="16" t="n">
        <v>9</v>
      </c>
      <c r="M248" s="39" t="inlineStr">
        <is>
          <t>KANJARI BORIYAVI, UTARSANDA, NADIAD, LC-278, GOTHAJ, LC-286, MAHEMDABAD AND KHEDA ROAD, LC-294, KANIJ, BAREJADI NANDEJ, GERATPUR, VATVA, KANKARIYA CABIN, AHMEDABAD Jn</t>
        </is>
      </c>
    </row>
    <row r="249" ht="34" customHeight="1">
      <c r="A249" s="16" t="inlineStr">
        <is>
          <t>13 Jun</t>
        </is>
      </c>
      <c r="B249" s="16" t="inlineStr">
        <is>
          <t>37086</t>
        </is>
      </c>
      <c r="C249" s="16" t="n">
        <v>1907</v>
      </c>
      <c r="D249" s="16" t="n">
        <v>1907</v>
      </c>
      <c r="E249" s="16" t="n">
        <v>1639</v>
      </c>
      <c r="F249" s="38" t="n">
        <v>460377</v>
      </c>
      <c r="G249" s="38" t="n">
        <v>494969</v>
      </c>
      <c r="H249" s="38" t="n">
        <v>460377</v>
      </c>
      <c r="I249" s="38" t="n">
        <v>494312</v>
      </c>
      <c r="J249" s="19">
        <f>(I249-H249)/1000</f>
        <v/>
      </c>
      <c r="K249" s="16" t="inlineStr">
        <is>
          <t>Yes</t>
        </is>
      </c>
      <c r="L249" s="16" t="n">
        <v>10</v>
      </c>
      <c r="M249" s="39" t="inlineStr">
        <is>
          <t>BAJWA, RANOLI, LC-246, VASAD, ADAS ROAD, VADOD, LC-258, ANAND Jn, LC-264, KANJARI BORIYAVI, UTARSANDA, NADIAD, LC-278</t>
        </is>
      </c>
    </row>
    <row r="250" ht="49" customHeight="1">
      <c r="A250" s="16" t="inlineStr">
        <is>
          <t>13 Jun</t>
        </is>
      </c>
      <c r="B250" s="16" t="inlineStr">
        <is>
          <t>30567</t>
        </is>
      </c>
      <c r="C250" s="16" t="n">
        <v>373</v>
      </c>
      <c r="D250" s="16" t="n">
        <v>373</v>
      </c>
      <c r="E250" s="16" t="n">
        <v>339</v>
      </c>
      <c r="F250" s="38" t="n">
        <v>395426</v>
      </c>
      <c r="G250" s="38" t="n">
        <v>432940</v>
      </c>
      <c r="H250" s="38" t="n">
        <v>400588</v>
      </c>
      <c r="I250" s="38" t="n">
        <v>432940</v>
      </c>
      <c r="J250" s="19">
        <f>(I250-H250)/1000</f>
        <v/>
      </c>
      <c r="K250" s="16" t="inlineStr">
        <is>
          <t>Yes</t>
        </is>
      </c>
      <c r="L250" s="16" t="n">
        <v>8</v>
      </c>
      <c r="M250" s="39" t="inlineStr">
        <is>
          <t>LC-264, KANJARI BORIYAVI, UTARSANDA, NADIAD, LC-278, GOTHAJ, LC-286, MAHEMDABAD AND KHEDA ROAD, LC-294, KANIJ, BAREJADI NANDEJ, GERATPUR, VATVA, KANKARIYA CABIN, AHMEDABAD Jn</t>
        </is>
      </c>
    </row>
    <row r="251" ht="49" customHeight="1">
      <c r="A251" s="16" t="inlineStr">
        <is>
          <t>13 Jun</t>
        </is>
      </c>
      <c r="B251" s="16" t="inlineStr">
        <is>
          <t>37321</t>
        </is>
      </c>
      <c r="C251" s="16" t="n">
        <v>147</v>
      </c>
      <c r="D251" s="16" t="n">
        <v>147</v>
      </c>
      <c r="E251" s="16" t="n">
        <v>147</v>
      </c>
      <c r="F251" s="38" t="n">
        <v>415270</v>
      </c>
      <c r="G251" s="38" t="n">
        <v>438761</v>
      </c>
      <c r="H251" s="38" t="n">
        <v>415270</v>
      </c>
      <c r="I251" s="38" t="n">
        <v>438761</v>
      </c>
      <c r="J251" s="19">
        <f>(I251-H251)/1000</f>
        <v/>
      </c>
      <c r="K251" s="16" t="inlineStr">
        <is>
          <t>Yes</t>
        </is>
      </c>
      <c r="L251" s="16" t="n">
        <v>7</v>
      </c>
      <c r="M251" s="39" t="inlineStr">
        <is>
          <t>BAJWA, RANOLI, LC-246, UTARSANDA, NADIAD, LC-278, GOTHAJ, LC-286, MAHEMDABAD AND KHEDA ROAD, LC-294, KANIJ, BAREJADI NANDEJ, GERATPUR, VATVA, KANKARIYA CABIN, AHMEDABAD Jn</t>
        </is>
      </c>
    </row>
    <row r="252" ht="64" customHeight="1">
      <c r="A252" s="31" t="inlineStr">
        <is>
          <t>13 Jun</t>
        </is>
      </c>
      <c r="B252" s="31" t="inlineStr">
        <is>
          <t>32354</t>
        </is>
      </c>
      <c r="C252" s="31" t="n">
        <v>28</v>
      </c>
      <c r="D252" s="31" t="n">
        <v>0</v>
      </c>
      <c r="E252" s="31" t="n">
        <v>0</v>
      </c>
      <c r="F252" s="40" t="inlineStr">
        <is>
          <t>-</t>
        </is>
      </c>
      <c r="G252" s="40" t="inlineStr">
        <is>
          <t>-</t>
        </is>
      </c>
      <c r="H252" s="40" t="inlineStr">
        <is>
          <t>-</t>
        </is>
      </c>
      <c r="I252" s="40" t="inlineStr">
        <is>
          <t>-</t>
        </is>
      </c>
      <c r="J252" s="41" t="n">
        <v>0</v>
      </c>
      <c r="K252" s="31" t="inlineStr">
        <is>
          <t>No</t>
        </is>
      </c>
      <c r="L252" s="31" t="n">
        <v>0</v>
      </c>
      <c r="M25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3" ht="64" customHeight="1">
      <c r="A253" s="31" t="inlineStr">
        <is>
          <t>13 Jun</t>
        </is>
      </c>
      <c r="B253" s="31" t="inlineStr">
        <is>
          <t>37019</t>
        </is>
      </c>
      <c r="C253" s="31" t="n">
        <v>8</v>
      </c>
      <c r="D253" s="31" t="n">
        <v>8</v>
      </c>
      <c r="E253" s="31" t="n">
        <v>0</v>
      </c>
      <c r="F253" s="40" t="n">
        <v>384282</v>
      </c>
      <c r="G253" s="40" t="n">
        <v>395859</v>
      </c>
      <c r="H253" s="40" t="inlineStr">
        <is>
          <t>-</t>
        </is>
      </c>
      <c r="I253" s="40" t="inlineStr">
        <is>
          <t>-</t>
        </is>
      </c>
      <c r="J253" s="41" t="n">
        <v>0</v>
      </c>
      <c r="K253" s="31" t="inlineStr">
        <is>
          <t>No</t>
        </is>
      </c>
      <c r="L253" s="31" t="n">
        <v>0</v>
      </c>
      <c r="M25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4" ht="64" customHeight="1">
      <c r="A254" s="31" t="inlineStr">
        <is>
          <t>13 Jun</t>
        </is>
      </c>
      <c r="B254" s="31" t="inlineStr">
        <is>
          <t>37074</t>
        </is>
      </c>
      <c r="C254" s="31" t="n">
        <v>10</v>
      </c>
      <c r="D254" s="31" t="n">
        <v>0</v>
      </c>
      <c r="E254" s="31" t="n">
        <v>0</v>
      </c>
      <c r="F254" s="40" t="inlineStr">
        <is>
          <t>-</t>
        </is>
      </c>
      <c r="G254" s="40" t="inlineStr">
        <is>
          <t>-</t>
        </is>
      </c>
      <c r="H254" s="40" t="inlineStr">
        <is>
          <t>-</t>
        </is>
      </c>
      <c r="I254" s="40" t="inlineStr">
        <is>
          <t>-</t>
        </is>
      </c>
      <c r="J254" s="41" t="n">
        <v>0</v>
      </c>
      <c r="K254" s="31" t="inlineStr">
        <is>
          <t>No</t>
        </is>
      </c>
      <c r="L254" s="31" t="n">
        <v>0</v>
      </c>
      <c r="M25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5" ht="64" customHeight="1">
      <c r="A255" s="31" t="inlineStr">
        <is>
          <t>13 Jun</t>
        </is>
      </c>
      <c r="B255" s="31" t="inlineStr">
        <is>
          <t>37277</t>
        </is>
      </c>
      <c r="C255" s="31" t="n">
        <v>15</v>
      </c>
      <c r="D255" s="31" t="n">
        <v>15</v>
      </c>
      <c r="E255" s="31" t="n">
        <v>0</v>
      </c>
      <c r="F255" s="40" t="n">
        <v>369970</v>
      </c>
      <c r="G255" s="40" t="n">
        <v>395420</v>
      </c>
      <c r="H255" s="40" t="inlineStr">
        <is>
          <t>-</t>
        </is>
      </c>
      <c r="I255" s="40" t="inlineStr">
        <is>
          <t>-</t>
        </is>
      </c>
      <c r="J255" s="41" t="n">
        <v>0</v>
      </c>
      <c r="K255" s="31" t="inlineStr">
        <is>
          <t>No</t>
        </is>
      </c>
      <c r="L255" s="31" t="n">
        <v>0</v>
      </c>
      <c r="M25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6" ht="64" customHeight="1">
      <c r="A256" s="31" t="inlineStr">
        <is>
          <t>13 Jun</t>
        </is>
      </c>
      <c r="B256" s="31" t="inlineStr">
        <is>
          <t>37339</t>
        </is>
      </c>
      <c r="C256" s="31" t="n">
        <v>31</v>
      </c>
      <c r="D256" s="31" t="n">
        <v>31</v>
      </c>
      <c r="E256" s="31" t="n">
        <v>0</v>
      </c>
      <c r="F256" s="40" t="n">
        <v>375641</v>
      </c>
      <c r="G256" s="40" t="n">
        <v>395620</v>
      </c>
      <c r="H256" s="40" t="inlineStr">
        <is>
          <t>-</t>
        </is>
      </c>
      <c r="I256" s="40" t="inlineStr">
        <is>
          <t>-</t>
        </is>
      </c>
      <c r="J256" s="41" t="n">
        <v>0</v>
      </c>
      <c r="K256" s="31" t="inlineStr">
        <is>
          <t>No</t>
        </is>
      </c>
      <c r="L256" s="31" t="n">
        <v>0</v>
      </c>
      <c r="M25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7" ht="64" customHeight="1">
      <c r="A257" s="31" t="inlineStr">
        <is>
          <t>13 Jun</t>
        </is>
      </c>
      <c r="B257" s="31" t="inlineStr">
        <is>
          <t>37506</t>
        </is>
      </c>
      <c r="C257" s="31" t="n">
        <v>34</v>
      </c>
      <c r="D257" s="31" t="n">
        <v>0</v>
      </c>
      <c r="E257" s="31" t="n">
        <v>0</v>
      </c>
      <c r="F257" s="40" t="inlineStr">
        <is>
          <t>-</t>
        </is>
      </c>
      <c r="G257" s="40" t="inlineStr">
        <is>
          <t>-</t>
        </is>
      </c>
      <c r="H257" s="40" t="inlineStr">
        <is>
          <t>-</t>
        </is>
      </c>
      <c r="I257" s="40" t="inlineStr">
        <is>
          <t>-</t>
        </is>
      </c>
      <c r="J257" s="41" t="n">
        <v>0</v>
      </c>
      <c r="K257" s="31" t="inlineStr">
        <is>
          <t>No</t>
        </is>
      </c>
      <c r="L257" s="31" t="n">
        <v>0</v>
      </c>
      <c r="M2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8" ht="64" customHeight="1">
      <c r="A258" s="31" t="inlineStr">
        <is>
          <t>13 Jun</t>
        </is>
      </c>
      <c r="B258" s="31" t="inlineStr">
        <is>
          <t>37566</t>
        </is>
      </c>
      <c r="C258" s="31" t="n">
        <v>44</v>
      </c>
      <c r="D258" s="31" t="n">
        <v>44</v>
      </c>
      <c r="E258" s="31" t="n">
        <v>0</v>
      </c>
      <c r="F258" s="40" t="n">
        <v>372331</v>
      </c>
      <c r="G258" s="40" t="n">
        <v>395906</v>
      </c>
      <c r="H258" s="40" t="inlineStr">
        <is>
          <t>-</t>
        </is>
      </c>
      <c r="I258" s="40" t="inlineStr">
        <is>
          <t>-</t>
        </is>
      </c>
      <c r="J258" s="41" t="n">
        <v>0</v>
      </c>
      <c r="K258" s="31" t="inlineStr">
        <is>
          <t>No</t>
        </is>
      </c>
      <c r="L258" s="31" t="n">
        <v>0</v>
      </c>
      <c r="M2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9" ht="64" customHeight="1">
      <c r="A259" s="31" t="inlineStr">
        <is>
          <t>13 Jun</t>
        </is>
      </c>
      <c r="B259" s="31" t="inlineStr">
        <is>
          <t>39254</t>
        </is>
      </c>
      <c r="C259" s="31" t="n">
        <v>10</v>
      </c>
      <c r="D259" s="31" t="n">
        <v>0</v>
      </c>
      <c r="E259" s="31" t="n">
        <v>0</v>
      </c>
      <c r="F259" s="40" t="inlineStr">
        <is>
          <t>-</t>
        </is>
      </c>
      <c r="G259" s="40" t="inlineStr">
        <is>
          <t>-</t>
        </is>
      </c>
      <c r="H259" s="40" t="inlineStr">
        <is>
          <t>-</t>
        </is>
      </c>
      <c r="I259" s="40" t="inlineStr">
        <is>
          <t>-</t>
        </is>
      </c>
      <c r="J259" s="41" t="n">
        <v>0</v>
      </c>
      <c r="K259" s="31" t="inlineStr">
        <is>
          <t>No</t>
        </is>
      </c>
      <c r="L259" s="31" t="n">
        <v>0</v>
      </c>
      <c r="M2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0" ht="64" customHeight="1">
      <c r="A260" s="31" t="inlineStr">
        <is>
          <t>13 Jun</t>
        </is>
      </c>
      <c r="B260" s="31" t="inlineStr">
        <is>
          <t>39488</t>
        </is>
      </c>
      <c r="C260" s="31" t="n">
        <v>6</v>
      </c>
      <c r="D260" s="31" t="n">
        <v>0</v>
      </c>
      <c r="E260" s="31" t="n">
        <v>0</v>
      </c>
      <c r="F260" s="40" t="inlineStr">
        <is>
          <t>-</t>
        </is>
      </c>
      <c r="G260" s="40" t="inlineStr">
        <is>
          <t>-</t>
        </is>
      </c>
      <c r="H260" s="40" t="inlineStr">
        <is>
          <t>-</t>
        </is>
      </c>
      <c r="I260" s="40" t="inlineStr">
        <is>
          <t>-</t>
        </is>
      </c>
      <c r="J260" s="41" t="n">
        <v>0</v>
      </c>
      <c r="K260" s="31" t="inlineStr">
        <is>
          <t>No</t>
        </is>
      </c>
      <c r="L260" s="31" t="n">
        <v>0</v>
      </c>
      <c r="M2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1" ht="64" customHeight="1">
      <c r="A261" s="31" t="inlineStr">
        <is>
          <t>13 Jun</t>
        </is>
      </c>
      <c r="B261" s="31" t="inlineStr">
        <is>
          <t>41430</t>
        </is>
      </c>
      <c r="C261" s="31" t="n">
        <v>10</v>
      </c>
      <c r="D261" s="31" t="n">
        <v>0</v>
      </c>
      <c r="E261" s="31" t="n">
        <v>0</v>
      </c>
      <c r="F261" s="40" t="inlineStr">
        <is>
          <t>-</t>
        </is>
      </c>
      <c r="G261" s="40" t="inlineStr">
        <is>
          <t>-</t>
        </is>
      </c>
      <c r="H261" s="40" t="inlineStr">
        <is>
          <t>-</t>
        </is>
      </c>
      <c r="I261" s="40" t="inlineStr">
        <is>
          <t>-</t>
        </is>
      </c>
      <c r="J261" s="41" t="n">
        <v>0</v>
      </c>
      <c r="K261" s="31" t="inlineStr">
        <is>
          <t>No</t>
        </is>
      </c>
      <c r="L261" s="31" t="n">
        <v>0</v>
      </c>
      <c r="M26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2" ht="64" customHeight="1">
      <c r="A262" s="31" t="inlineStr">
        <is>
          <t>13 Jun</t>
        </is>
      </c>
      <c r="B262" s="31" t="inlineStr">
        <is>
          <t>43524</t>
        </is>
      </c>
      <c r="C262" s="31" t="n">
        <v>4</v>
      </c>
      <c r="D262" s="31" t="n">
        <v>0</v>
      </c>
      <c r="E262" s="31" t="n">
        <v>0</v>
      </c>
      <c r="F262" s="40" t="inlineStr">
        <is>
          <t>-</t>
        </is>
      </c>
      <c r="G262" s="40" t="inlineStr">
        <is>
          <t>-</t>
        </is>
      </c>
      <c r="H262" s="40" t="inlineStr">
        <is>
          <t>-</t>
        </is>
      </c>
      <c r="I262" s="40" t="inlineStr">
        <is>
          <t>-</t>
        </is>
      </c>
      <c r="J262" s="41" t="n">
        <v>0</v>
      </c>
      <c r="K262" s="31" t="inlineStr">
        <is>
          <t>No</t>
        </is>
      </c>
      <c r="L262" s="31" t="n">
        <v>0</v>
      </c>
      <c r="M26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3">
      <c r="A263" s="16" t="inlineStr">
        <is>
          <t>14 Jun</t>
        </is>
      </c>
      <c r="B263" s="16" t="inlineStr">
        <is>
          <t>30470</t>
        </is>
      </c>
      <c r="C263" s="16" t="n">
        <v>4326</v>
      </c>
      <c r="D263" s="16" t="n">
        <v>4326</v>
      </c>
      <c r="E263" s="16" t="n">
        <v>4002</v>
      </c>
      <c r="F263" s="38" t="n">
        <v>375748</v>
      </c>
      <c r="G263" s="38" t="n">
        <v>494982</v>
      </c>
      <c r="H263" s="38" t="n">
        <v>400405</v>
      </c>
      <c r="I263" s="38" t="n">
        <v>494311</v>
      </c>
      <c r="J263" s="19">
        <f>(I263-H263)/1000</f>
        <v/>
      </c>
      <c r="K263" s="16" t="inlineStr">
        <is>
          <t>Yes</t>
        </is>
      </c>
      <c r="L263" s="16" t="n">
        <v>23</v>
      </c>
      <c r="M263" s="39" t="inlineStr">
        <is>
          <t>- (full trip)</t>
        </is>
      </c>
    </row>
    <row r="264">
      <c r="A264" s="16" t="inlineStr">
        <is>
          <t>14 Jun</t>
        </is>
      </c>
      <c r="B264" s="16" t="inlineStr">
        <is>
          <t>30767</t>
        </is>
      </c>
      <c r="C264" s="16" t="n">
        <v>4442</v>
      </c>
      <c r="D264" s="16" t="n">
        <v>4442</v>
      </c>
      <c r="E264" s="16" t="n">
        <v>4087</v>
      </c>
      <c r="F264" s="38" t="n">
        <v>367849</v>
      </c>
      <c r="G264" s="38" t="n">
        <v>494947</v>
      </c>
      <c r="H264" s="38" t="n">
        <v>400398</v>
      </c>
      <c r="I264" s="38" t="n">
        <v>494309</v>
      </c>
      <c r="J264" s="19">
        <f>(I264-H264)/1000</f>
        <v/>
      </c>
      <c r="K264" s="16" t="inlineStr">
        <is>
          <t>Yes</t>
        </is>
      </c>
      <c r="L264" s="16" t="n">
        <v>23</v>
      </c>
      <c r="M264" s="39" t="inlineStr">
        <is>
          <t>- (full trip)</t>
        </is>
      </c>
    </row>
    <row r="265">
      <c r="A265" s="16" t="inlineStr">
        <is>
          <t>14 Jun</t>
        </is>
      </c>
      <c r="B265" s="16" t="inlineStr">
        <is>
          <t>37339</t>
        </is>
      </c>
      <c r="C265" s="16" t="n">
        <v>5275</v>
      </c>
      <c r="D265" s="16" t="n">
        <v>5077</v>
      </c>
      <c r="E265" s="16" t="n">
        <v>3982</v>
      </c>
      <c r="F265" s="38" t="n">
        <v>396431</v>
      </c>
      <c r="G265" s="38" t="n">
        <v>497743</v>
      </c>
      <c r="H265" s="38" t="n">
        <v>400405</v>
      </c>
      <c r="I265" s="38" t="n">
        <v>494311</v>
      </c>
      <c r="J265" s="19">
        <f>(I265-H265)/1000</f>
        <v/>
      </c>
      <c r="K265" s="16" t="inlineStr">
        <is>
          <t>Yes</t>
        </is>
      </c>
      <c r="L265" s="16" t="n">
        <v>23</v>
      </c>
      <c r="M265" s="39" t="inlineStr">
        <is>
          <t>- (full trip)</t>
        </is>
      </c>
    </row>
    <row r="266">
      <c r="A266" s="16" t="inlineStr">
        <is>
          <t>14 Jun</t>
        </is>
      </c>
      <c r="B266" s="16" t="inlineStr">
        <is>
          <t>37383</t>
        </is>
      </c>
      <c r="C266" s="16" t="n">
        <v>4285</v>
      </c>
      <c r="D266" s="16" t="n">
        <v>4285</v>
      </c>
      <c r="E266" s="16" t="n">
        <v>3943</v>
      </c>
      <c r="F266" s="38" t="n">
        <v>370122</v>
      </c>
      <c r="G266" s="38" t="n">
        <v>495779</v>
      </c>
      <c r="H266" s="38" t="n">
        <v>400400</v>
      </c>
      <c r="I266" s="38" t="n">
        <v>494312</v>
      </c>
      <c r="J266" s="19">
        <f>(I266-H266)/1000</f>
        <v/>
      </c>
      <c r="K266" s="16" t="inlineStr">
        <is>
          <t>Yes</t>
        </is>
      </c>
      <c r="L266" s="16" t="n">
        <v>23</v>
      </c>
      <c r="M266" s="39" t="inlineStr">
        <is>
          <t>- (full trip)</t>
        </is>
      </c>
    </row>
    <row r="267">
      <c r="A267" s="16" t="inlineStr">
        <is>
          <t>14 Jun</t>
        </is>
      </c>
      <c r="B267" s="16" t="inlineStr">
        <is>
          <t>39030</t>
        </is>
      </c>
      <c r="C267" s="16" t="n">
        <v>4179</v>
      </c>
      <c r="D267" s="16" t="n">
        <v>4179</v>
      </c>
      <c r="E267" s="16" t="n">
        <v>3877</v>
      </c>
      <c r="F267" s="38" t="n">
        <v>396509</v>
      </c>
      <c r="G267" s="38" t="n">
        <v>494964</v>
      </c>
      <c r="H267" s="38" t="n">
        <v>400407</v>
      </c>
      <c r="I267" s="38" t="n">
        <v>494312</v>
      </c>
      <c r="J267" s="19">
        <f>(I267-H267)/1000</f>
        <v/>
      </c>
      <c r="K267" s="16" t="inlineStr">
        <is>
          <t>Yes</t>
        </is>
      </c>
      <c r="L267" s="16" t="n">
        <v>23</v>
      </c>
      <c r="M267" s="39" t="inlineStr">
        <is>
          <t>- (full trip)</t>
        </is>
      </c>
    </row>
    <row r="268">
      <c r="A268" s="16" t="inlineStr">
        <is>
          <t>14 Jun</t>
        </is>
      </c>
      <c r="B268" s="16" t="inlineStr">
        <is>
          <t>39260</t>
        </is>
      </c>
      <c r="C268" s="16" t="n">
        <v>4868</v>
      </c>
      <c r="D268" s="16" t="n">
        <v>4868</v>
      </c>
      <c r="E268" s="16" t="n">
        <v>4100</v>
      </c>
      <c r="F268" s="38" t="n">
        <v>370079</v>
      </c>
      <c r="G268" s="38" t="n">
        <v>494968</v>
      </c>
      <c r="H268" s="38" t="n">
        <v>400398</v>
      </c>
      <c r="I268" s="38" t="n">
        <v>494310</v>
      </c>
      <c r="J268" s="19">
        <f>(I268-H268)/1000</f>
        <v/>
      </c>
      <c r="K268" s="16" t="inlineStr">
        <is>
          <t>Yes</t>
        </is>
      </c>
      <c r="L268" s="16" t="n">
        <v>23</v>
      </c>
      <c r="M268" s="39" t="inlineStr">
        <is>
          <t>- (full trip)</t>
        </is>
      </c>
    </row>
    <row r="269">
      <c r="A269" s="16" t="inlineStr">
        <is>
          <t>14 Jun</t>
        </is>
      </c>
      <c r="B269" s="16" t="inlineStr">
        <is>
          <t>39334</t>
        </is>
      </c>
      <c r="C269" s="16" t="n">
        <v>4228</v>
      </c>
      <c r="D269" s="16" t="n">
        <v>4228</v>
      </c>
      <c r="E269" s="16" t="n">
        <v>3761</v>
      </c>
      <c r="F269" s="38" t="n">
        <v>379760</v>
      </c>
      <c r="G269" s="38" t="n">
        <v>494968</v>
      </c>
      <c r="H269" s="38" t="n">
        <v>400399</v>
      </c>
      <c r="I269" s="38" t="n">
        <v>494312</v>
      </c>
      <c r="J269" s="19">
        <f>(I269-H269)/1000</f>
        <v/>
      </c>
      <c r="K269" s="16" t="inlineStr">
        <is>
          <t>Yes</t>
        </is>
      </c>
      <c r="L269" s="16" t="n">
        <v>23</v>
      </c>
      <c r="M269" s="39" t="inlineStr">
        <is>
          <t>- (full trip)</t>
        </is>
      </c>
    </row>
    <row r="270">
      <c r="A270" s="16" t="inlineStr">
        <is>
          <t>14 Jun</t>
        </is>
      </c>
      <c r="B270" s="16" t="inlineStr">
        <is>
          <t>37131</t>
        </is>
      </c>
      <c r="C270" s="16" t="n">
        <v>4155</v>
      </c>
      <c r="D270" s="16" t="n">
        <v>4155</v>
      </c>
      <c r="E270" s="16" t="n">
        <v>3668</v>
      </c>
      <c r="F270" s="38" t="n">
        <v>398296</v>
      </c>
      <c r="G270" s="38" t="n">
        <v>495782</v>
      </c>
      <c r="H270" s="38" t="n">
        <v>400401</v>
      </c>
      <c r="I270" s="38" t="n">
        <v>494305</v>
      </c>
      <c r="J270" s="19">
        <f>(I270-H270)/1000</f>
        <v/>
      </c>
      <c r="K270" s="16" t="inlineStr">
        <is>
          <t>Yes</t>
        </is>
      </c>
      <c r="L270" s="16" t="n">
        <v>23</v>
      </c>
      <c r="M270" s="39" t="inlineStr">
        <is>
          <t>- (full trip)</t>
        </is>
      </c>
    </row>
    <row r="271">
      <c r="A271" s="16" t="inlineStr">
        <is>
          <t>14 Jun</t>
        </is>
      </c>
      <c r="B271" s="16" t="inlineStr">
        <is>
          <t>37813</t>
        </is>
      </c>
      <c r="C271" s="16" t="n">
        <v>4330</v>
      </c>
      <c r="D271" s="16" t="n">
        <v>4330</v>
      </c>
      <c r="E271" s="16" t="n">
        <v>4024</v>
      </c>
      <c r="F271" s="38" t="n">
        <v>370027</v>
      </c>
      <c r="G271" s="38" t="n">
        <v>494968</v>
      </c>
      <c r="H271" s="38" t="n">
        <v>400408</v>
      </c>
      <c r="I271" s="38" t="n">
        <v>494310</v>
      </c>
      <c r="J271" s="19">
        <f>(I271-H271)/1000</f>
        <v/>
      </c>
      <c r="K271" s="16" t="inlineStr">
        <is>
          <t>Yes</t>
        </is>
      </c>
      <c r="L271" s="16" t="n">
        <v>23</v>
      </c>
      <c r="M271" s="39" t="inlineStr">
        <is>
          <t>- (full trip)</t>
        </is>
      </c>
    </row>
    <row r="272">
      <c r="A272" s="16" t="inlineStr">
        <is>
          <t>14 Jun</t>
        </is>
      </c>
      <c r="B272" s="16" t="inlineStr">
        <is>
          <t>39066</t>
        </is>
      </c>
      <c r="C272" s="16" t="n">
        <v>8113</v>
      </c>
      <c r="D272" s="16" t="n">
        <v>8113</v>
      </c>
      <c r="E272" s="16" t="n">
        <v>7338</v>
      </c>
      <c r="F272" s="38" t="n">
        <v>371975</v>
      </c>
      <c r="G272" s="38" t="n">
        <v>495784</v>
      </c>
      <c r="H272" s="38" t="n">
        <v>400415</v>
      </c>
      <c r="I272" s="38" t="n">
        <v>494312</v>
      </c>
      <c r="J272" s="19">
        <f>(I272-H272)/1000</f>
        <v/>
      </c>
      <c r="K272" s="16" t="inlineStr">
        <is>
          <t>Yes</t>
        </is>
      </c>
      <c r="L272" s="16" t="n">
        <v>23</v>
      </c>
      <c r="M272" s="39" t="inlineStr">
        <is>
          <t>- (full trip)</t>
        </is>
      </c>
    </row>
    <row r="273">
      <c r="A273" s="16" t="inlineStr">
        <is>
          <t>14 Jun</t>
        </is>
      </c>
      <c r="B273" s="16" t="inlineStr">
        <is>
          <t>39023</t>
        </is>
      </c>
      <c r="C273" s="16" t="n">
        <v>3549</v>
      </c>
      <c r="D273" s="16" t="n">
        <v>3520</v>
      </c>
      <c r="E273" s="16" t="n">
        <v>3136</v>
      </c>
      <c r="F273" s="38" t="n">
        <v>395385</v>
      </c>
      <c r="G273" s="38" t="n">
        <v>494974</v>
      </c>
      <c r="H273" s="38" t="n">
        <v>400435</v>
      </c>
      <c r="I273" s="38" t="n">
        <v>494312</v>
      </c>
      <c r="J273" s="19">
        <f>(I273-H273)/1000</f>
        <v/>
      </c>
      <c r="K273" s="16" t="inlineStr">
        <is>
          <t>Yes</t>
        </is>
      </c>
      <c r="L273" s="16" t="n">
        <v>23</v>
      </c>
      <c r="M273" s="39" t="inlineStr">
        <is>
          <t>- (full trip)</t>
        </is>
      </c>
    </row>
    <row r="274">
      <c r="A274" s="16" t="inlineStr">
        <is>
          <t>14 Jun</t>
        </is>
      </c>
      <c r="B274" s="16" t="inlineStr">
        <is>
          <t>30759</t>
        </is>
      </c>
      <c r="C274" s="16" t="n">
        <v>4191</v>
      </c>
      <c r="D274" s="16" t="n">
        <v>4191</v>
      </c>
      <c r="E274" s="16" t="n">
        <v>3857</v>
      </c>
      <c r="F274" s="38" t="n">
        <v>375576</v>
      </c>
      <c r="G274" s="38" t="n">
        <v>494960</v>
      </c>
      <c r="H274" s="38" t="n">
        <v>400438</v>
      </c>
      <c r="I274" s="38" t="n">
        <v>494310</v>
      </c>
      <c r="J274" s="19">
        <f>(I274-H274)/1000</f>
        <v/>
      </c>
      <c r="K274" s="16" t="inlineStr">
        <is>
          <t>Yes</t>
        </is>
      </c>
      <c r="L274" s="16" t="n">
        <v>23</v>
      </c>
      <c r="M274" s="39" t="inlineStr">
        <is>
          <t>- (full trip)</t>
        </is>
      </c>
    </row>
    <row r="275">
      <c r="A275" s="16" t="inlineStr">
        <is>
          <t>14 Jun</t>
        </is>
      </c>
      <c r="B275" s="16" t="inlineStr">
        <is>
          <t>37399</t>
        </is>
      </c>
      <c r="C275" s="16" t="n">
        <v>5619</v>
      </c>
      <c r="D275" s="16" t="n">
        <v>5613</v>
      </c>
      <c r="E275" s="16" t="n">
        <v>5218</v>
      </c>
      <c r="F275" s="38" t="n">
        <v>384128</v>
      </c>
      <c r="G275" s="38" t="n">
        <v>494948</v>
      </c>
      <c r="H275" s="38" t="n">
        <v>400452</v>
      </c>
      <c r="I275" s="38" t="n">
        <v>494311</v>
      </c>
      <c r="J275" s="19">
        <f>(I275-H275)/1000</f>
        <v/>
      </c>
      <c r="K275" s="16" t="inlineStr">
        <is>
          <t>Yes</t>
        </is>
      </c>
      <c r="L275" s="16" t="n">
        <v>23</v>
      </c>
      <c r="M275" s="39" t="inlineStr">
        <is>
          <t>- (full trip)</t>
        </is>
      </c>
    </row>
    <row r="276">
      <c r="A276" s="16" t="inlineStr">
        <is>
          <t>14 Jun</t>
        </is>
      </c>
      <c r="B276" s="16" t="inlineStr">
        <is>
          <t>37830</t>
        </is>
      </c>
      <c r="C276" s="16" t="n">
        <v>3654</v>
      </c>
      <c r="D276" s="16" t="n">
        <v>3654</v>
      </c>
      <c r="E276" s="16" t="n">
        <v>3376</v>
      </c>
      <c r="F276" s="38" t="n">
        <v>395893</v>
      </c>
      <c r="G276" s="38" t="n">
        <v>494977</v>
      </c>
      <c r="H276" s="38" t="n">
        <v>400475</v>
      </c>
      <c r="I276" s="38" t="n">
        <v>494312</v>
      </c>
      <c r="J276" s="19">
        <f>(I276-H276)/1000</f>
        <v/>
      </c>
      <c r="K276" s="16" t="inlineStr">
        <is>
          <t>Yes</t>
        </is>
      </c>
      <c r="L276" s="16" t="n">
        <v>23</v>
      </c>
      <c r="M276" s="39" t="inlineStr">
        <is>
          <t>- (full trip)</t>
        </is>
      </c>
    </row>
    <row r="277">
      <c r="A277" s="16" t="inlineStr">
        <is>
          <t>14 Jun</t>
        </is>
      </c>
      <c r="B277" s="16" t="inlineStr">
        <is>
          <t>37217</t>
        </is>
      </c>
      <c r="C277" s="16" t="n">
        <v>4370</v>
      </c>
      <c r="D277" s="16" t="n">
        <v>4370</v>
      </c>
      <c r="E277" s="16" t="n">
        <v>3928</v>
      </c>
      <c r="F277" s="38" t="n">
        <v>370153</v>
      </c>
      <c r="G277" s="38" t="n">
        <v>495811</v>
      </c>
      <c r="H277" s="38" t="n">
        <v>400495</v>
      </c>
      <c r="I277" s="38" t="n">
        <v>494308</v>
      </c>
      <c r="J277" s="19">
        <f>(I277-H277)/1000</f>
        <v/>
      </c>
      <c r="K277" s="16" t="inlineStr">
        <is>
          <t>Yes</t>
        </is>
      </c>
      <c r="L277" s="16" t="n">
        <v>23</v>
      </c>
      <c r="M277" s="39" t="inlineStr">
        <is>
          <t>- (full trip)</t>
        </is>
      </c>
    </row>
    <row r="278">
      <c r="A278" s="16" t="inlineStr">
        <is>
          <t>14 Jun</t>
        </is>
      </c>
      <c r="B278" s="16" t="inlineStr">
        <is>
          <t>37277</t>
        </is>
      </c>
      <c r="C278" s="16" t="n">
        <v>6251</v>
      </c>
      <c r="D278" s="16" t="n">
        <v>6251</v>
      </c>
      <c r="E278" s="16" t="n">
        <v>5603</v>
      </c>
      <c r="F278" s="38" t="n">
        <v>368164</v>
      </c>
      <c r="G278" s="38" t="n">
        <v>495807</v>
      </c>
      <c r="H278" s="38" t="n">
        <v>400503</v>
      </c>
      <c r="I278" s="38" t="n">
        <v>494311</v>
      </c>
      <c r="J278" s="19">
        <f>(I278-H278)/1000</f>
        <v/>
      </c>
      <c r="K278" s="16" t="inlineStr">
        <is>
          <t>Yes</t>
        </is>
      </c>
      <c r="L278" s="16" t="n">
        <v>23</v>
      </c>
      <c r="M278" s="39" t="inlineStr">
        <is>
          <t>- (full trip)</t>
        </is>
      </c>
    </row>
    <row r="279">
      <c r="A279" s="16" t="inlineStr">
        <is>
          <t>14 Jun</t>
        </is>
      </c>
      <c r="B279" s="16" t="inlineStr">
        <is>
          <t>39131</t>
        </is>
      </c>
      <c r="C279" s="16" t="n">
        <v>4525</v>
      </c>
      <c r="D279" s="16" t="n">
        <v>4525</v>
      </c>
      <c r="E279" s="16" t="n">
        <v>4164</v>
      </c>
      <c r="F279" s="38" t="n">
        <v>396110</v>
      </c>
      <c r="G279" s="38" t="n">
        <v>494951</v>
      </c>
      <c r="H279" s="38" t="n">
        <v>400503</v>
      </c>
      <c r="I279" s="38" t="n">
        <v>494311</v>
      </c>
      <c r="J279" s="19">
        <f>(I279-H279)/1000</f>
        <v/>
      </c>
      <c r="K279" s="16" t="inlineStr">
        <is>
          <t>Yes</t>
        </is>
      </c>
      <c r="L279" s="16" t="n">
        <v>23</v>
      </c>
      <c r="M279" s="39" t="inlineStr">
        <is>
          <t>- (full trip)</t>
        </is>
      </c>
    </row>
    <row r="280">
      <c r="A280" s="16" t="inlineStr">
        <is>
          <t>14 Jun</t>
        </is>
      </c>
      <c r="B280" s="16" t="inlineStr">
        <is>
          <t>30476</t>
        </is>
      </c>
      <c r="C280" s="16" t="n">
        <v>3191</v>
      </c>
      <c r="D280" s="16" t="n">
        <v>3191</v>
      </c>
      <c r="E280" s="16" t="n">
        <v>3152</v>
      </c>
      <c r="F280" s="38" t="n">
        <v>384240</v>
      </c>
      <c r="G280" s="38" t="n">
        <v>494215</v>
      </c>
      <c r="H280" s="38" t="n">
        <v>400430</v>
      </c>
      <c r="I280" s="38" t="n">
        <v>494215</v>
      </c>
      <c r="J280" s="19">
        <f>(I280-H280)/1000</f>
        <v/>
      </c>
      <c r="K280" s="16" t="inlineStr">
        <is>
          <t>Yes</t>
        </is>
      </c>
      <c r="L280" s="16" t="n">
        <v>23</v>
      </c>
      <c r="M280" s="39" t="inlineStr">
        <is>
          <t>- (full trip)</t>
        </is>
      </c>
    </row>
    <row r="281">
      <c r="A281" s="16" t="inlineStr">
        <is>
          <t>14 Jun</t>
        </is>
      </c>
      <c r="B281" s="16" t="inlineStr">
        <is>
          <t>37275</t>
        </is>
      </c>
      <c r="C281" s="16" t="n">
        <v>6365</v>
      </c>
      <c r="D281" s="16" t="n">
        <v>6363</v>
      </c>
      <c r="E281" s="16" t="n">
        <v>6076</v>
      </c>
      <c r="F281" s="38" t="n">
        <v>400991</v>
      </c>
      <c r="G281" s="38" t="n">
        <v>495809</v>
      </c>
      <c r="H281" s="38" t="n">
        <v>400991</v>
      </c>
      <c r="I281" s="38" t="n">
        <v>494312</v>
      </c>
      <c r="J281" s="19">
        <f>(I281-H281)/1000</f>
        <v/>
      </c>
      <c r="K281" s="16" t="inlineStr">
        <is>
          <t>Yes</t>
        </is>
      </c>
      <c r="L281" s="16" t="n">
        <v>23</v>
      </c>
      <c r="M281" s="39" t="inlineStr">
        <is>
          <t>- (full trip)</t>
        </is>
      </c>
    </row>
    <row r="282" ht="34" customHeight="1">
      <c r="A282" s="16" t="inlineStr">
        <is>
          <t>14 Jun</t>
        </is>
      </c>
      <c r="B282" s="16" t="inlineStr">
        <is>
          <t>37086</t>
        </is>
      </c>
      <c r="C282" s="16" t="n">
        <v>4407</v>
      </c>
      <c r="D282" s="16" t="n">
        <v>4407</v>
      </c>
      <c r="E282" s="16" t="n">
        <v>4407</v>
      </c>
      <c r="F282" s="38" t="n">
        <v>400993</v>
      </c>
      <c r="G282" s="38" t="n">
        <v>460325</v>
      </c>
      <c r="H282" s="38" t="n">
        <v>400993</v>
      </c>
      <c r="I282" s="38" t="n">
        <v>460325</v>
      </c>
      <c r="J282" s="19">
        <f>(I282-H282)/1000</f>
        <v/>
      </c>
      <c r="K282" s="16" t="inlineStr">
        <is>
          <t>Yes</t>
        </is>
      </c>
      <c r="L282" s="16" t="n">
        <v>14</v>
      </c>
      <c r="M282" s="39" t="inlineStr">
        <is>
          <t>LC-286, MAHEMDABAD AND KHEDA ROAD, LC-294, KANIJ, BAREJADI NANDEJ, GERATPUR, VATVA, KANKARIYA CABIN, AHMEDABAD Jn</t>
        </is>
      </c>
    </row>
    <row r="283" ht="34" customHeight="1">
      <c r="A283" s="16" t="inlineStr">
        <is>
          <t>14 Jun</t>
        </is>
      </c>
      <c r="B283" s="16" t="inlineStr">
        <is>
          <t>37956</t>
        </is>
      </c>
      <c r="C283" s="16" t="n">
        <v>2636</v>
      </c>
      <c r="D283" s="16" t="n">
        <v>2636</v>
      </c>
      <c r="E283" s="16" t="n">
        <v>2347</v>
      </c>
      <c r="F283" s="38" t="n">
        <v>448983</v>
      </c>
      <c r="G283" s="38" t="n">
        <v>494981</v>
      </c>
      <c r="H283" s="38" t="n">
        <v>448983</v>
      </c>
      <c r="I283" s="38" t="n">
        <v>494310</v>
      </c>
      <c r="J283" s="19">
        <f>(I283-H283)/1000</f>
        <v/>
      </c>
      <c r="K283" s="16" t="inlineStr">
        <is>
          <t>Yes</t>
        </is>
      </c>
      <c r="L283" s="16" t="n">
        <v>12</v>
      </c>
      <c r="M283" s="39" t="inlineStr">
        <is>
          <t>BAJWA, RANOLI, LC-246, VASAD, ADAS ROAD, VADOD, LC-258, ANAND Jn, LC-264, KANJARI BORIYAVI, UTARSANDA</t>
        </is>
      </c>
    </row>
    <row r="284" ht="49" customHeight="1">
      <c r="A284" s="16" t="inlineStr">
        <is>
          <t>14 Jun</t>
        </is>
      </c>
      <c r="B284" s="16" t="inlineStr">
        <is>
          <t>39308</t>
        </is>
      </c>
      <c r="C284" s="16" t="n">
        <v>2241</v>
      </c>
      <c r="D284" s="16" t="n">
        <v>2241</v>
      </c>
      <c r="E284" s="16" t="n">
        <v>1835</v>
      </c>
      <c r="F284" s="38" t="n">
        <v>370202</v>
      </c>
      <c r="G284" s="38" t="n">
        <v>441309</v>
      </c>
      <c r="H284" s="38" t="n">
        <v>400436</v>
      </c>
      <c r="I284" s="38" t="n">
        <v>441309</v>
      </c>
      <c r="J284" s="19">
        <f>(I284-H284)/1000</f>
        <v/>
      </c>
      <c r="K284" s="16" t="inlineStr">
        <is>
          <t>Yes</t>
        </is>
      </c>
      <c r="L284" s="16" t="n">
        <v>11</v>
      </c>
      <c r="M284" s="39" t="inlineStr">
        <is>
          <t>NADIAD, LC-278, GOTHAJ, LC-286, MAHEMDABAD AND KHEDA ROAD, LC-294, KANIJ, BAREJADI NANDEJ, GERATPUR, VATVA, KANKARIYA CABIN, AHMEDABAD Jn</t>
        </is>
      </c>
    </row>
    <row r="285" ht="49" customHeight="1">
      <c r="A285" s="16" t="inlineStr">
        <is>
          <t>14 Jun</t>
        </is>
      </c>
      <c r="B285" s="16" t="inlineStr">
        <is>
          <t>39287</t>
        </is>
      </c>
      <c r="C285" s="16" t="n">
        <v>905</v>
      </c>
      <c r="D285" s="16" t="n">
        <v>905</v>
      </c>
      <c r="E285" s="16" t="n">
        <v>738</v>
      </c>
      <c r="F285" s="38" t="n">
        <v>370088</v>
      </c>
      <c r="G285" s="38" t="n">
        <v>440802</v>
      </c>
      <c r="H285" s="38" t="n">
        <v>400505</v>
      </c>
      <c r="I285" s="38" t="n">
        <v>440802</v>
      </c>
      <c r="J285" s="19">
        <f>(I285-H285)/1000</f>
        <v/>
      </c>
      <c r="K285" s="16" t="inlineStr">
        <is>
          <t>Yes</t>
        </is>
      </c>
      <c r="L285" s="16" t="n">
        <v>10</v>
      </c>
      <c r="M285" s="39" t="inlineStr">
        <is>
          <t>UTARSANDA, NADIAD, LC-278, GOTHAJ, LC-286, MAHEMDABAD AND KHEDA ROAD, LC-294, KANIJ, BAREJADI NANDEJ, GERATPUR, VATVA, KANKARIYA CABIN, AHMEDABAD Jn</t>
        </is>
      </c>
    </row>
    <row r="286" ht="49" customHeight="1">
      <c r="A286" s="16" t="inlineStr">
        <is>
          <t>14 Jun</t>
        </is>
      </c>
      <c r="B286" s="16" t="inlineStr">
        <is>
          <t>37266</t>
        </is>
      </c>
      <c r="C286" s="16" t="n">
        <v>687</v>
      </c>
      <c r="D286" s="16" t="n">
        <v>687</v>
      </c>
      <c r="E286" s="16" t="n">
        <v>589</v>
      </c>
      <c r="F286" s="38" t="n">
        <v>384619</v>
      </c>
      <c r="G286" s="38" t="n">
        <v>437309</v>
      </c>
      <c r="H286" s="38" t="n">
        <v>400553</v>
      </c>
      <c r="I286" s="38" t="n">
        <v>437309</v>
      </c>
      <c r="J286" s="19">
        <f>(I286-H286)/1000</f>
        <v/>
      </c>
      <c r="K286" s="16" t="inlineStr">
        <is>
          <t>Yes</t>
        </is>
      </c>
      <c r="L286" s="16" t="n">
        <v>10</v>
      </c>
      <c r="M286" s="39" t="inlineStr">
        <is>
          <t>UTARSANDA, NADIAD, LC-278, GOTHAJ, LC-286, MAHEMDABAD AND KHEDA ROAD, LC-294, KANIJ, BAREJADI NANDEJ, GERATPUR, VATVA, KANKARIYA CABIN, AHMEDABAD Jn</t>
        </is>
      </c>
    </row>
    <row r="287" ht="49" customHeight="1">
      <c r="A287" s="16" t="inlineStr">
        <is>
          <t>14 Jun</t>
        </is>
      </c>
      <c r="B287" s="16" t="inlineStr">
        <is>
          <t>30415</t>
        </is>
      </c>
      <c r="C287" s="16" t="n">
        <v>435</v>
      </c>
      <c r="D287" s="16" t="n">
        <v>435</v>
      </c>
      <c r="E287" s="16" t="n">
        <v>312</v>
      </c>
      <c r="F287" s="38" t="n">
        <v>375551</v>
      </c>
      <c r="G287" s="38" t="n">
        <v>436709</v>
      </c>
      <c r="H287" s="38" t="n">
        <v>400403</v>
      </c>
      <c r="I287" s="38" t="n">
        <v>436709</v>
      </c>
      <c r="J287" s="19">
        <f>(I287-H287)/1000</f>
        <v/>
      </c>
      <c r="K287" s="16" t="inlineStr">
        <is>
          <t>Yes</t>
        </is>
      </c>
      <c r="L287" s="16" t="n">
        <v>9</v>
      </c>
      <c r="M287" s="39" t="inlineStr">
        <is>
          <t>KANJARI BORIYAVI, UTARSANDA, NADIAD, LC-278, GOTHAJ, LC-286, MAHEMDABAD AND KHEDA ROAD, LC-294, KANIJ, BAREJADI NANDEJ, GERATPUR, VATVA, KANKARIYA CABIN, AHMEDABAD Jn</t>
        </is>
      </c>
    </row>
    <row r="288" ht="49" customHeight="1">
      <c r="A288" s="16" t="inlineStr">
        <is>
          <t>14 Jun</t>
        </is>
      </c>
      <c r="B288" s="16" t="inlineStr">
        <is>
          <t>37582</t>
        </is>
      </c>
      <c r="C288" s="16" t="n">
        <v>630</v>
      </c>
      <c r="D288" s="16" t="n">
        <v>630</v>
      </c>
      <c r="E288" s="16" t="n">
        <v>502</v>
      </c>
      <c r="F288" s="38" t="n">
        <v>383959</v>
      </c>
      <c r="G288" s="38" t="n">
        <v>432030</v>
      </c>
      <c r="H288" s="38" t="n">
        <v>400405</v>
      </c>
      <c r="I288" s="38" t="n">
        <v>432030</v>
      </c>
      <c r="J288" s="19">
        <f>(I288-H288)/1000</f>
        <v/>
      </c>
      <c r="K288" s="16" t="inlineStr">
        <is>
          <t>Yes</t>
        </is>
      </c>
      <c r="L288" s="16" t="n">
        <v>8</v>
      </c>
      <c r="M288" s="39" t="inlineStr">
        <is>
          <t>LC-264, KANJARI BORIYAVI, UTARSANDA, NADIAD, LC-278, GOTHAJ, LC-286, MAHEMDABAD AND KHEDA ROAD, LC-294, KANIJ, BAREJADI NANDEJ, GERATPUR, VATVA, KANKARIYA CABIN, AHMEDABAD Jn</t>
        </is>
      </c>
    </row>
    <row r="289" ht="49" customHeight="1">
      <c r="A289" s="16" t="inlineStr">
        <is>
          <t>14 Jun</t>
        </is>
      </c>
      <c r="B289" s="16" t="inlineStr">
        <is>
          <t>37322</t>
        </is>
      </c>
      <c r="C289" s="16" t="n">
        <v>698</v>
      </c>
      <c r="D289" s="16" t="n">
        <v>698</v>
      </c>
      <c r="E289" s="16" t="n">
        <v>545</v>
      </c>
      <c r="F289" s="38" t="n">
        <v>384072</v>
      </c>
      <c r="G289" s="38" t="n">
        <v>430769</v>
      </c>
      <c r="H289" s="38" t="n">
        <v>400404</v>
      </c>
      <c r="I289" s="38" t="n">
        <v>430769</v>
      </c>
      <c r="J289" s="19">
        <f>(I289-H289)/1000</f>
        <v/>
      </c>
      <c r="K289" s="16" t="inlineStr">
        <is>
          <t>Yes</t>
        </is>
      </c>
      <c r="L289" s="16" t="n">
        <v>8</v>
      </c>
      <c r="M289" s="39" t="inlineStr">
        <is>
          <t>LC-264, KANJARI BORIYAVI, UTARSANDA, NADIAD, LC-278, GOTHAJ, LC-286, MAHEMDABAD AND KHEDA ROAD, LC-294, KANIJ, BAREJADI NANDEJ, GERATPUR, VATVA, KANKARIYA CABIN, AHMEDABAD Jn</t>
        </is>
      </c>
    </row>
    <row r="290" ht="64" customHeight="1">
      <c r="A290" s="16" t="inlineStr">
        <is>
          <t>14 Jun</t>
        </is>
      </c>
      <c r="B290" s="16" t="inlineStr">
        <is>
          <t>37684</t>
        </is>
      </c>
      <c r="C290" s="16" t="n">
        <v>656</v>
      </c>
      <c r="D290" s="16" t="n">
        <v>656</v>
      </c>
      <c r="E290" s="16" t="n">
        <v>530</v>
      </c>
      <c r="F290" s="38" t="n">
        <v>370028</v>
      </c>
      <c r="G290" s="38" t="n">
        <v>420134</v>
      </c>
      <c r="H290" s="38" t="n">
        <v>400497</v>
      </c>
      <c r="I290" s="38" t="n">
        <v>420134</v>
      </c>
      <c r="J290" s="19">
        <f>(I290-H290)/1000</f>
        <v/>
      </c>
      <c r="K290" s="16" t="inlineStr">
        <is>
          <t>Yes</t>
        </is>
      </c>
      <c r="L290" s="16" t="n">
        <v>5</v>
      </c>
      <c r="M290" s="39" t="inlineStr">
        <is>
          <t>VADOD, LC-258, ANAND Jn, LC-264, KANJARI BORIYAVI, UTARSANDA, NADIAD, LC-278, GOTHAJ, LC-286, MAHEMDABAD AND KHEDA ROAD, LC-294, KANIJ, BAREJADI NANDEJ, GERATPUR, VATVA, KANKARIYA CABIN, AHMEDABAD Jn</t>
        </is>
      </c>
    </row>
    <row r="291" ht="49" customHeight="1">
      <c r="A291" s="16" t="inlineStr">
        <is>
          <t>14 Jun</t>
        </is>
      </c>
      <c r="B291" s="16" t="inlineStr">
        <is>
          <t>37507</t>
        </is>
      </c>
      <c r="C291" s="16" t="n">
        <v>1140</v>
      </c>
      <c r="D291" s="16" t="n">
        <v>1140</v>
      </c>
      <c r="E291" s="16" t="n">
        <v>886</v>
      </c>
      <c r="F291" s="38" t="n">
        <v>478530</v>
      </c>
      <c r="G291" s="38" t="n">
        <v>495783</v>
      </c>
      <c r="H291" s="38" t="n">
        <v>478530</v>
      </c>
      <c r="I291" s="38" t="n">
        <v>494308</v>
      </c>
      <c r="J291" s="19">
        <f>(I291-H291)/1000</f>
        <v/>
      </c>
      <c r="K291" s="16" t="inlineStr">
        <is>
          <t>Yes</t>
        </is>
      </c>
      <c r="L291" s="16" t="n">
        <v>5</v>
      </c>
      <c r="M291" s="39" t="inlineStr">
        <is>
          <t>BAJWA, RANOLI, LC-246, VASAD, ADAS ROAD, VADOD, LC-258, ANAND Jn, LC-264, KANJARI BORIYAVI, UTARSANDA, NADIAD, LC-278, GOTHAJ, LC-286, MAHEMDABAD AND KHEDA ROAD, LC-294, KANIJ</t>
        </is>
      </c>
    </row>
    <row r="292" ht="64" customHeight="1">
      <c r="A292" s="16" t="inlineStr">
        <is>
          <t>14 Jun</t>
        </is>
      </c>
      <c r="B292" s="16" t="inlineStr">
        <is>
          <t>37163</t>
        </is>
      </c>
      <c r="C292" s="16" t="n">
        <v>79</v>
      </c>
      <c r="D292" s="16" t="n">
        <v>79</v>
      </c>
      <c r="E292" s="16" t="n">
        <v>79</v>
      </c>
      <c r="F292" s="38" t="n">
        <v>422971</v>
      </c>
      <c r="G292" s="38" t="n">
        <v>437093</v>
      </c>
      <c r="H292" s="38" t="n">
        <v>422971</v>
      </c>
      <c r="I292" s="38" t="n">
        <v>437093</v>
      </c>
      <c r="J292" s="19">
        <f>(I292-H292)/1000</f>
        <v/>
      </c>
      <c r="K292" s="16" t="inlineStr">
        <is>
          <t>Yes</t>
        </is>
      </c>
      <c r="L292" s="16" t="n">
        <v>5</v>
      </c>
      <c r="M292" s="39" t="inlineStr">
        <is>
          <t>BAJWA, RANOLI, LC-246, VASAD, ADAS ROAD, UTARSANDA, NADIAD, LC-278, GOTHAJ, LC-286, MAHEMDABAD AND KHEDA ROAD, LC-294, KANIJ, BAREJADI NANDEJ, GERATPUR, VATVA, KANKARIYA CABIN, AHMEDABAD Jn</t>
        </is>
      </c>
    </row>
    <row r="293" ht="64" customHeight="1">
      <c r="A293" s="16" t="inlineStr">
        <is>
          <t>14 Jun</t>
        </is>
      </c>
      <c r="B293" s="16" t="inlineStr">
        <is>
          <t>37656</t>
        </is>
      </c>
      <c r="C293" s="16" t="n">
        <v>364</v>
      </c>
      <c r="D293" s="16" t="n">
        <v>364</v>
      </c>
      <c r="E293" s="16" t="n">
        <v>97</v>
      </c>
      <c r="F293" s="38" t="n">
        <v>493368</v>
      </c>
      <c r="G293" s="38" t="n">
        <v>495808</v>
      </c>
      <c r="H293" s="38" t="n">
        <v>493368</v>
      </c>
      <c r="I293" s="38" t="n">
        <v>494309</v>
      </c>
      <c r="J293" s="19">
        <f>(I293-H293)/1000</f>
        <v/>
      </c>
      <c r="K293" s="16" t="inlineStr">
        <is>
          <t>Yes</t>
        </is>
      </c>
      <c r="L293" s="16" t="n">
        <v>2</v>
      </c>
      <c r="M293" s="39" t="inlineStr">
        <is>
          <t>BAJWA, RANOLI, LC-246, VASAD, ADAS ROAD, VADOD, LC-258, ANAND Jn, LC-264, KANJARI BORIYAVI, UTARSANDA, NADIAD, LC-278, GOTHAJ, LC-286, MAHEMDABAD AND KHEDA ROAD, LC-294, KANIJ, BAREJADI NANDEJ, GERATPUR, VATVA</t>
        </is>
      </c>
    </row>
    <row r="294" ht="64" customHeight="1">
      <c r="A294" s="31" t="inlineStr">
        <is>
          <t>14 Jun</t>
        </is>
      </c>
      <c r="B294" s="31" t="inlineStr">
        <is>
          <t>30502</t>
        </is>
      </c>
      <c r="C294" s="31" t="n">
        <v>85</v>
      </c>
      <c r="D294" s="31" t="n">
        <v>0</v>
      </c>
      <c r="E294" s="31" t="n">
        <v>0</v>
      </c>
      <c r="F294" s="40" t="inlineStr">
        <is>
          <t>-</t>
        </is>
      </c>
      <c r="G294" s="40" t="inlineStr">
        <is>
          <t>-</t>
        </is>
      </c>
      <c r="H294" s="40" t="inlineStr">
        <is>
          <t>-</t>
        </is>
      </c>
      <c r="I294" s="40" t="inlineStr">
        <is>
          <t>-</t>
        </is>
      </c>
      <c r="J294" s="41" t="n">
        <v>0</v>
      </c>
      <c r="K294" s="31" t="inlineStr">
        <is>
          <t>No</t>
        </is>
      </c>
      <c r="L294" s="31" t="n">
        <v>0</v>
      </c>
      <c r="M29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5" ht="64" customHeight="1">
      <c r="A295" s="31" t="inlineStr">
        <is>
          <t>14 Jun</t>
        </is>
      </c>
      <c r="B295" s="31" t="inlineStr">
        <is>
          <t>30581</t>
        </is>
      </c>
      <c r="C295" s="31" t="n">
        <v>6</v>
      </c>
      <c r="D295" s="31" t="n">
        <v>0</v>
      </c>
      <c r="E295" s="31" t="n">
        <v>0</v>
      </c>
      <c r="F295" s="40" t="inlineStr">
        <is>
          <t>-</t>
        </is>
      </c>
      <c r="G295" s="40" t="inlineStr">
        <is>
          <t>-</t>
        </is>
      </c>
      <c r="H295" s="40" t="inlineStr">
        <is>
          <t>-</t>
        </is>
      </c>
      <c r="I295" s="40" t="inlineStr">
        <is>
          <t>-</t>
        </is>
      </c>
      <c r="J295" s="41" t="n">
        <v>0</v>
      </c>
      <c r="K295" s="31" t="inlineStr">
        <is>
          <t>No</t>
        </is>
      </c>
      <c r="L295" s="31" t="n">
        <v>0</v>
      </c>
      <c r="M29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6" ht="64" customHeight="1">
      <c r="A296" s="31" t="inlineStr">
        <is>
          <t>14 Jun</t>
        </is>
      </c>
      <c r="B296" s="31" t="inlineStr">
        <is>
          <t>30634</t>
        </is>
      </c>
      <c r="C296" s="31" t="n">
        <v>24</v>
      </c>
      <c r="D296" s="31" t="n">
        <v>24</v>
      </c>
      <c r="E296" s="31" t="n">
        <v>0</v>
      </c>
      <c r="F296" s="40" t="n">
        <v>370005</v>
      </c>
      <c r="G296" s="40" t="n">
        <v>395914</v>
      </c>
      <c r="H296" s="40" t="inlineStr">
        <is>
          <t>-</t>
        </is>
      </c>
      <c r="I296" s="40" t="inlineStr">
        <is>
          <t>-</t>
        </is>
      </c>
      <c r="J296" s="41" t="n">
        <v>0</v>
      </c>
      <c r="K296" s="31" t="inlineStr">
        <is>
          <t>No</t>
        </is>
      </c>
      <c r="L296" s="31" t="n">
        <v>0</v>
      </c>
      <c r="M29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7" ht="64" customHeight="1">
      <c r="A297" s="31" t="inlineStr">
        <is>
          <t>14 Jun</t>
        </is>
      </c>
      <c r="B297" s="31" t="inlineStr">
        <is>
          <t>30823</t>
        </is>
      </c>
      <c r="C297" s="31" t="n">
        <v>30</v>
      </c>
      <c r="D297" s="31" t="n">
        <v>30</v>
      </c>
      <c r="E297" s="31" t="n">
        <v>0</v>
      </c>
      <c r="F297" s="40" t="n">
        <v>368506</v>
      </c>
      <c r="G297" s="40" t="n">
        <v>396590</v>
      </c>
      <c r="H297" s="40" t="inlineStr">
        <is>
          <t>-</t>
        </is>
      </c>
      <c r="I297" s="40" t="inlineStr">
        <is>
          <t>-</t>
        </is>
      </c>
      <c r="J297" s="41" t="n">
        <v>0</v>
      </c>
      <c r="K297" s="31" t="inlineStr">
        <is>
          <t>No</t>
        </is>
      </c>
      <c r="L297" s="31" t="n">
        <v>0</v>
      </c>
      <c r="M29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8" ht="64" customHeight="1">
      <c r="A298" s="31" t="inlineStr">
        <is>
          <t>14 Jun</t>
        </is>
      </c>
      <c r="B298" s="31" t="inlineStr">
        <is>
          <t>37248</t>
        </is>
      </c>
      <c r="C298" s="31" t="n">
        <v>5</v>
      </c>
      <c r="D298" s="31" t="n">
        <v>0</v>
      </c>
      <c r="E298" s="31" t="n">
        <v>0</v>
      </c>
      <c r="F298" s="40" t="inlineStr">
        <is>
          <t>-</t>
        </is>
      </c>
      <c r="G298" s="40" t="inlineStr">
        <is>
          <t>-</t>
        </is>
      </c>
      <c r="H298" s="40" t="inlineStr">
        <is>
          <t>-</t>
        </is>
      </c>
      <c r="I298" s="40" t="inlineStr">
        <is>
          <t>-</t>
        </is>
      </c>
      <c r="J298" s="41" t="n">
        <v>0</v>
      </c>
      <c r="K298" s="31" t="inlineStr">
        <is>
          <t>No</t>
        </is>
      </c>
      <c r="L298" s="31" t="n">
        <v>0</v>
      </c>
      <c r="M29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9" ht="64" customHeight="1">
      <c r="A299" s="31" t="inlineStr">
        <is>
          <t>14 Jun</t>
        </is>
      </c>
      <c r="B299" s="31" t="inlineStr">
        <is>
          <t>37337</t>
        </is>
      </c>
      <c r="C299" s="31" t="n">
        <v>42</v>
      </c>
      <c r="D299" s="31" t="n">
        <v>42</v>
      </c>
      <c r="E299" s="31" t="n">
        <v>0</v>
      </c>
      <c r="F299" s="40" t="n">
        <v>370041</v>
      </c>
      <c r="G299" s="40" t="n">
        <v>395426</v>
      </c>
      <c r="H299" s="40" t="inlineStr">
        <is>
          <t>-</t>
        </is>
      </c>
      <c r="I299" s="40" t="inlineStr">
        <is>
          <t>-</t>
        </is>
      </c>
      <c r="J299" s="41" t="n">
        <v>0</v>
      </c>
      <c r="K299" s="31" t="inlineStr">
        <is>
          <t>No</t>
        </is>
      </c>
      <c r="L299" s="31" t="n">
        <v>0</v>
      </c>
      <c r="M29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0" ht="64" customHeight="1">
      <c r="A300" s="31" t="inlineStr">
        <is>
          <t>14 Jun</t>
        </is>
      </c>
      <c r="B300" s="31" t="inlineStr">
        <is>
          <t>37846</t>
        </is>
      </c>
      <c r="C300" s="31" t="n">
        <v>3</v>
      </c>
      <c r="D300" s="31" t="n">
        <v>0</v>
      </c>
      <c r="E300" s="31" t="n">
        <v>0</v>
      </c>
      <c r="F300" s="40" t="inlineStr">
        <is>
          <t>-</t>
        </is>
      </c>
      <c r="G300" s="40" t="inlineStr">
        <is>
          <t>-</t>
        </is>
      </c>
      <c r="H300" s="40" t="inlineStr">
        <is>
          <t>-</t>
        </is>
      </c>
      <c r="I300" s="40" t="inlineStr">
        <is>
          <t>-</t>
        </is>
      </c>
      <c r="J300" s="41" t="n">
        <v>0</v>
      </c>
      <c r="K300" s="31" t="inlineStr">
        <is>
          <t>No</t>
        </is>
      </c>
      <c r="L300" s="31" t="n">
        <v>0</v>
      </c>
      <c r="M30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1" ht="64" customHeight="1">
      <c r="A301" s="31" t="inlineStr">
        <is>
          <t>14 Jun</t>
        </is>
      </c>
      <c r="B301" s="31" t="inlineStr">
        <is>
          <t>39047</t>
        </is>
      </c>
      <c r="C301" s="31" t="n">
        <v>8</v>
      </c>
      <c r="D301" s="31" t="n">
        <v>8</v>
      </c>
      <c r="E301" s="31" t="n">
        <v>0</v>
      </c>
      <c r="F301" s="40" t="n">
        <v>384331</v>
      </c>
      <c r="G301" s="40" t="n">
        <v>395221</v>
      </c>
      <c r="H301" s="40" t="inlineStr">
        <is>
          <t>-</t>
        </is>
      </c>
      <c r="I301" s="40" t="inlineStr">
        <is>
          <t>-</t>
        </is>
      </c>
      <c r="J301" s="41" t="n">
        <v>0</v>
      </c>
      <c r="K301" s="31" t="inlineStr">
        <is>
          <t>No</t>
        </is>
      </c>
      <c r="L301" s="31" t="n">
        <v>0</v>
      </c>
      <c r="M30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2" ht="64" customHeight="1">
      <c r="A302" s="31" t="inlineStr">
        <is>
          <t>14 Jun</t>
        </is>
      </c>
      <c r="B302" s="31" t="inlineStr">
        <is>
          <t>39254</t>
        </is>
      </c>
      <c r="C302" s="31" t="n">
        <v>20</v>
      </c>
      <c r="D302" s="31" t="n">
        <v>20</v>
      </c>
      <c r="E302" s="31" t="n">
        <v>0</v>
      </c>
      <c r="F302" s="40" t="n">
        <v>370039</v>
      </c>
      <c r="G302" s="40" t="n">
        <v>394824</v>
      </c>
      <c r="H302" s="40" t="inlineStr">
        <is>
          <t>-</t>
        </is>
      </c>
      <c r="I302" s="40" t="inlineStr">
        <is>
          <t>-</t>
        </is>
      </c>
      <c r="J302" s="41" t="n">
        <v>0</v>
      </c>
      <c r="K302" s="31" t="inlineStr">
        <is>
          <t>No</t>
        </is>
      </c>
      <c r="L302" s="31" t="n">
        <v>0</v>
      </c>
      <c r="M30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3" ht="64" customHeight="1">
      <c r="A303" s="31" t="inlineStr">
        <is>
          <t>14 Jun</t>
        </is>
      </c>
      <c r="B303" s="31" t="inlineStr">
        <is>
          <t>45027</t>
        </is>
      </c>
      <c r="C303" s="31" t="n">
        <v>1</v>
      </c>
      <c r="D303" s="31" t="n">
        <v>0</v>
      </c>
      <c r="E303" s="31" t="n">
        <v>0</v>
      </c>
      <c r="F303" s="40" t="inlineStr">
        <is>
          <t>-</t>
        </is>
      </c>
      <c r="G303" s="40" t="inlineStr">
        <is>
          <t>-</t>
        </is>
      </c>
      <c r="H303" s="40" t="inlineStr">
        <is>
          <t>-</t>
        </is>
      </c>
      <c r="I303" s="40" t="inlineStr">
        <is>
          <t>-</t>
        </is>
      </c>
      <c r="J303" s="41" t="n">
        <v>0</v>
      </c>
      <c r="K303" s="31" t="inlineStr">
        <is>
          <t>No</t>
        </is>
      </c>
      <c r="L303" s="31" t="n">
        <v>0</v>
      </c>
      <c r="M30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93.91 / UP 93.91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(400398-494312).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4" t="inlineStr">
        <is>
          <t>Mode Degradation</t>
        </is>
      </c>
      <c r="C8" s="45" t="inlineStr">
        <is>
          <t>FS→Trip/LS/SR/Standby &amp; OS→SR/Standby (every transition). Excluded: start-of-mission/re-init SR, NonLeading→SR, FS→SR at 0 km/h, boundary-station re-init (917-reverse).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2026-06-23T08:43:08Z</dcterms:created>
  <dcterms:modified xmlns:dcterms="http://purl.org/dc/terms/" xmlns:xsi="http://www.w3.org/2001/XMLSchema-instance" xsi:type="dcterms:W3CDTF">2026-07-01T05:57:09Z</dcterms:modified>
</cp:coreProperties>
</file>